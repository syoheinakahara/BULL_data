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340" yWindow="580" windowWidth="34840" windowHeight="19560" tabRatio="500" activeTab="1"/>
  </bookViews>
  <sheets>
    <sheet name="output" sheetId="1" r:id="rId1"/>
    <sheet name="bugbonuses" sheetId="2" r:id="rId2"/>
  </sheets>
  <externalReferences>
    <externalReference r:id="rId3"/>
    <externalReference r:id="rId4"/>
  </externalReferences>
  <definedNames>
    <definedName name="_xlnm._FilterDatabase" localSheetId="1" hidden="1">bugbonuses!$A$1:$S$932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0" i="2" l="1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3" i="2"/>
  <c r="G4" i="2"/>
  <c r="G5" i="2"/>
  <c r="G6" i="2"/>
  <c r="G7" i="2"/>
  <c r="G8" i="2"/>
  <c r="G9" i="2"/>
  <c r="G2" i="2"/>
  <c r="C932" i="2"/>
  <c r="D932" i="2"/>
  <c r="C931" i="2"/>
  <c r="D931" i="2"/>
  <c r="C930" i="2"/>
  <c r="D930" i="2"/>
  <c r="C929" i="2"/>
  <c r="D929" i="2"/>
  <c r="C928" i="2"/>
  <c r="D928" i="2"/>
  <c r="C927" i="2"/>
  <c r="D927" i="2"/>
  <c r="C926" i="2"/>
  <c r="D926" i="2"/>
  <c r="C925" i="2"/>
  <c r="D925" i="2"/>
  <c r="C924" i="2"/>
  <c r="D924" i="2"/>
  <c r="C923" i="2"/>
  <c r="D923" i="2"/>
  <c r="C922" i="2"/>
  <c r="D922" i="2"/>
  <c r="C921" i="2"/>
  <c r="D921" i="2"/>
  <c r="C920" i="2"/>
  <c r="D920" i="2"/>
  <c r="C919" i="2"/>
  <c r="D919" i="2"/>
  <c r="C918" i="2"/>
  <c r="D918" i="2"/>
  <c r="C917" i="2"/>
  <c r="D917" i="2"/>
  <c r="C916" i="2"/>
  <c r="D916" i="2"/>
  <c r="C915" i="2"/>
  <c r="D915" i="2"/>
  <c r="C914" i="2"/>
  <c r="D914" i="2"/>
  <c r="C913" i="2"/>
  <c r="D913" i="2"/>
  <c r="C912" i="2"/>
  <c r="D912" i="2"/>
  <c r="C891" i="2"/>
  <c r="D891" i="2"/>
  <c r="C911" i="2"/>
  <c r="D911" i="2"/>
  <c r="C910" i="2"/>
  <c r="D910" i="2"/>
  <c r="C909" i="2"/>
  <c r="D909" i="2"/>
  <c r="C908" i="2"/>
  <c r="D908" i="2"/>
  <c r="C907" i="2"/>
  <c r="D907" i="2"/>
  <c r="C906" i="2"/>
  <c r="D906" i="2"/>
  <c r="C905" i="2"/>
  <c r="D905" i="2"/>
  <c r="C904" i="2"/>
  <c r="D904" i="2"/>
  <c r="C903" i="2"/>
  <c r="D903" i="2"/>
  <c r="C902" i="2"/>
  <c r="D902" i="2"/>
  <c r="C901" i="2"/>
  <c r="D901" i="2"/>
  <c r="C900" i="2"/>
  <c r="D900" i="2"/>
  <c r="C899" i="2"/>
  <c r="D899" i="2"/>
  <c r="C898" i="2"/>
  <c r="D898" i="2"/>
  <c r="C897" i="2"/>
  <c r="D897" i="2"/>
  <c r="C896" i="2"/>
  <c r="D896" i="2"/>
  <c r="C895" i="2"/>
  <c r="D895" i="2"/>
  <c r="C894" i="2"/>
  <c r="D894" i="2"/>
  <c r="C893" i="2"/>
  <c r="D893" i="2"/>
  <c r="C892" i="2"/>
  <c r="D892" i="2"/>
  <c r="C890" i="2"/>
  <c r="D890" i="2"/>
  <c r="C889" i="2"/>
  <c r="D889" i="2"/>
  <c r="C888" i="2"/>
  <c r="D888" i="2"/>
  <c r="C887" i="2"/>
  <c r="D887" i="2"/>
  <c r="C886" i="2"/>
  <c r="D886" i="2"/>
  <c r="C885" i="2"/>
  <c r="D885" i="2"/>
  <c r="C884" i="2"/>
  <c r="D884" i="2"/>
  <c r="C883" i="2"/>
  <c r="D883" i="2"/>
  <c r="C882" i="2"/>
  <c r="D882" i="2"/>
  <c r="C881" i="2"/>
  <c r="D881" i="2"/>
  <c r="C880" i="2"/>
  <c r="D880" i="2"/>
  <c r="C879" i="2"/>
  <c r="D879" i="2"/>
  <c r="C878" i="2"/>
  <c r="D878" i="2"/>
  <c r="C877" i="2"/>
  <c r="D877" i="2"/>
  <c r="C876" i="2"/>
  <c r="D876" i="2"/>
  <c r="C875" i="2"/>
  <c r="D875" i="2"/>
  <c r="C874" i="2"/>
  <c r="D874" i="2"/>
  <c r="C873" i="2"/>
  <c r="D873" i="2"/>
  <c r="C872" i="2"/>
  <c r="D872" i="2"/>
  <c r="C871" i="2"/>
  <c r="D871" i="2"/>
  <c r="C870" i="2"/>
  <c r="D870" i="2"/>
  <c r="C869" i="2"/>
  <c r="D869" i="2"/>
  <c r="C868" i="2"/>
  <c r="D868" i="2"/>
  <c r="C867" i="2"/>
  <c r="D867" i="2"/>
  <c r="C866" i="2"/>
  <c r="D866" i="2"/>
  <c r="C865" i="2"/>
  <c r="D865" i="2"/>
  <c r="C864" i="2"/>
  <c r="D864" i="2"/>
  <c r="C863" i="2"/>
  <c r="D863" i="2"/>
  <c r="C862" i="2"/>
  <c r="D862" i="2"/>
  <c r="C861" i="2"/>
  <c r="D861" i="2"/>
  <c r="C860" i="2"/>
  <c r="D860" i="2"/>
  <c r="C859" i="2"/>
  <c r="D859" i="2"/>
  <c r="C858" i="2"/>
  <c r="D858" i="2"/>
  <c r="C857" i="2"/>
  <c r="D857" i="2"/>
  <c r="C856" i="2"/>
  <c r="D856" i="2"/>
  <c r="C855" i="2"/>
  <c r="D855" i="2"/>
  <c r="C854" i="2"/>
  <c r="D854" i="2"/>
  <c r="C853" i="2"/>
  <c r="D853" i="2"/>
  <c r="C852" i="2"/>
  <c r="D852" i="2"/>
  <c r="C851" i="2"/>
  <c r="D851" i="2"/>
  <c r="C850" i="2"/>
  <c r="D850" i="2"/>
  <c r="C849" i="2"/>
  <c r="D849" i="2"/>
  <c r="C848" i="2"/>
  <c r="D848" i="2"/>
  <c r="C847" i="2"/>
  <c r="D847" i="2"/>
  <c r="C846" i="2"/>
  <c r="D846" i="2"/>
  <c r="C845" i="2"/>
  <c r="D845" i="2"/>
  <c r="C844" i="2"/>
  <c r="D844" i="2"/>
  <c r="C843" i="2"/>
  <c r="D843" i="2"/>
  <c r="C842" i="2"/>
  <c r="D842" i="2"/>
  <c r="C841" i="2"/>
  <c r="D841" i="2"/>
  <c r="C840" i="2"/>
  <c r="D840" i="2"/>
  <c r="C839" i="2"/>
  <c r="D839" i="2"/>
  <c r="C838" i="2"/>
  <c r="D838" i="2"/>
  <c r="C837" i="2"/>
  <c r="D837" i="2"/>
  <c r="C836" i="2"/>
  <c r="D836" i="2"/>
  <c r="C835" i="2"/>
  <c r="D835" i="2"/>
  <c r="C834" i="2"/>
  <c r="D834" i="2"/>
  <c r="C833" i="2"/>
  <c r="D833" i="2"/>
  <c r="C832" i="2"/>
  <c r="D832" i="2"/>
  <c r="C831" i="2"/>
  <c r="D831" i="2"/>
  <c r="C830" i="2"/>
  <c r="D830" i="2"/>
  <c r="C829" i="2"/>
  <c r="D829" i="2"/>
  <c r="C828" i="2"/>
  <c r="D828" i="2"/>
  <c r="C827" i="2"/>
  <c r="D827" i="2"/>
  <c r="C826" i="2"/>
  <c r="D826" i="2"/>
  <c r="C825" i="2"/>
  <c r="D825" i="2"/>
  <c r="C824" i="2"/>
  <c r="D824" i="2"/>
  <c r="C823" i="2"/>
  <c r="D823" i="2"/>
  <c r="C822" i="2"/>
  <c r="D822" i="2"/>
  <c r="C821" i="2"/>
  <c r="D821" i="2"/>
  <c r="C820" i="2"/>
  <c r="D820" i="2"/>
  <c r="C819" i="2"/>
  <c r="D819" i="2"/>
  <c r="C818" i="2"/>
  <c r="D818" i="2"/>
  <c r="C817" i="2"/>
  <c r="D817" i="2"/>
  <c r="C816" i="2"/>
  <c r="D816" i="2"/>
  <c r="C815" i="2"/>
  <c r="D815" i="2"/>
  <c r="C814" i="2"/>
  <c r="D814" i="2"/>
  <c r="C813" i="2"/>
  <c r="D813" i="2"/>
  <c r="C812" i="2"/>
  <c r="D812" i="2"/>
  <c r="C811" i="2"/>
  <c r="D811" i="2"/>
  <c r="C810" i="2"/>
  <c r="D810" i="2"/>
  <c r="C809" i="2"/>
  <c r="D809" i="2"/>
  <c r="C808" i="2"/>
  <c r="D808" i="2"/>
  <c r="C807" i="2"/>
  <c r="D807" i="2"/>
  <c r="C806" i="2"/>
  <c r="D806" i="2"/>
  <c r="C805" i="2"/>
  <c r="D805" i="2"/>
  <c r="C804" i="2"/>
  <c r="D804" i="2"/>
  <c r="C803" i="2"/>
  <c r="D803" i="2"/>
  <c r="C802" i="2"/>
  <c r="D802" i="2"/>
  <c r="C801" i="2"/>
  <c r="D801" i="2"/>
  <c r="C800" i="2"/>
  <c r="D800" i="2"/>
  <c r="C799" i="2"/>
  <c r="D799" i="2"/>
  <c r="C798" i="2"/>
  <c r="D798" i="2"/>
  <c r="C797" i="2"/>
  <c r="D797" i="2"/>
  <c r="C796" i="2"/>
  <c r="D796" i="2"/>
  <c r="C795" i="2"/>
  <c r="D795" i="2"/>
  <c r="C794" i="2"/>
  <c r="D794" i="2"/>
  <c r="C793" i="2"/>
  <c r="D793" i="2"/>
  <c r="C792" i="2"/>
  <c r="D792" i="2"/>
  <c r="C791" i="2"/>
  <c r="D791" i="2"/>
  <c r="C790" i="2"/>
  <c r="D790" i="2"/>
  <c r="C789" i="2"/>
  <c r="D789" i="2"/>
  <c r="C788" i="2"/>
  <c r="D788" i="2"/>
  <c r="C787" i="2"/>
  <c r="D787" i="2"/>
  <c r="C786" i="2"/>
  <c r="D786" i="2"/>
  <c r="C785" i="2"/>
  <c r="D785" i="2"/>
  <c r="C784" i="2"/>
  <c r="D784" i="2"/>
  <c r="C783" i="2"/>
  <c r="D783" i="2"/>
  <c r="C782" i="2"/>
  <c r="D782" i="2"/>
  <c r="C781" i="2"/>
  <c r="D781" i="2"/>
  <c r="C780" i="2"/>
  <c r="D780" i="2"/>
  <c r="C779" i="2"/>
  <c r="D779" i="2"/>
  <c r="C778" i="2"/>
  <c r="D778" i="2"/>
  <c r="C777" i="2"/>
  <c r="D777" i="2"/>
  <c r="C776" i="2"/>
  <c r="D776" i="2"/>
  <c r="C775" i="2"/>
  <c r="D775" i="2"/>
  <c r="C774" i="2"/>
  <c r="D774" i="2"/>
  <c r="C773" i="2"/>
  <c r="D773" i="2"/>
  <c r="C772" i="2"/>
  <c r="D772" i="2"/>
  <c r="C771" i="2"/>
  <c r="D771" i="2"/>
  <c r="C770" i="2"/>
  <c r="D770" i="2"/>
  <c r="C769" i="2"/>
  <c r="D769" i="2"/>
  <c r="C768" i="2"/>
  <c r="D768" i="2"/>
  <c r="C767" i="2"/>
  <c r="D767" i="2"/>
  <c r="C766" i="2"/>
  <c r="D766" i="2"/>
  <c r="C765" i="2"/>
  <c r="D765" i="2"/>
  <c r="C764" i="2"/>
  <c r="D764" i="2"/>
  <c r="C763" i="2"/>
  <c r="D763" i="2"/>
  <c r="C762" i="2"/>
  <c r="D762" i="2"/>
  <c r="C761" i="2"/>
  <c r="D761" i="2"/>
  <c r="C760" i="2"/>
  <c r="D760" i="2"/>
  <c r="C759" i="2"/>
  <c r="D759" i="2"/>
  <c r="C758" i="2"/>
  <c r="D758" i="2"/>
  <c r="C757" i="2"/>
  <c r="D757" i="2"/>
  <c r="C756" i="2"/>
  <c r="D756" i="2"/>
  <c r="C755" i="2"/>
  <c r="D755" i="2"/>
  <c r="C754" i="2"/>
  <c r="D754" i="2"/>
  <c r="C753" i="2"/>
  <c r="D753" i="2"/>
  <c r="C752" i="2"/>
  <c r="D752" i="2"/>
  <c r="C751" i="2"/>
  <c r="D751" i="2"/>
  <c r="C750" i="2"/>
  <c r="D750" i="2"/>
  <c r="C749" i="2"/>
  <c r="D749" i="2"/>
  <c r="C748" i="2"/>
  <c r="D748" i="2"/>
  <c r="C747" i="2"/>
  <c r="D747" i="2"/>
  <c r="C746" i="2"/>
  <c r="D746" i="2"/>
  <c r="C745" i="2"/>
  <c r="D745" i="2"/>
  <c r="C744" i="2"/>
  <c r="D744" i="2"/>
  <c r="C743" i="2"/>
  <c r="D743" i="2"/>
  <c r="C742" i="2"/>
  <c r="D742" i="2"/>
  <c r="C741" i="2"/>
  <c r="D741" i="2"/>
  <c r="C740" i="2"/>
  <c r="D740" i="2"/>
  <c r="C739" i="2"/>
  <c r="D739" i="2"/>
  <c r="C738" i="2"/>
  <c r="D738" i="2"/>
  <c r="C737" i="2"/>
  <c r="D737" i="2"/>
  <c r="C736" i="2"/>
  <c r="D736" i="2"/>
  <c r="C735" i="2"/>
  <c r="D735" i="2"/>
  <c r="C734" i="2"/>
  <c r="D734" i="2"/>
  <c r="C733" i="2"/>
  <c r="D733" i="2"/>
  <c r="C732" i="2"/>
  <c r="D732" i="2"/>
  <c r="C731" i="2"/>
  <c r="D731" i="2"/>
  <c r="C730" i="2"/>
  <c r="D730" i="2"/>
  <c r="C729" i="2"/>
  <c r="D729" i="2"/>
  <c r="C728" i="2"/>
  <c r="D728" i="2"/>
  <c r="C727" i="2"/>
  <c r="D727" i="2"/>
  <c r="C726" i="2"/>
  <c r="D726" i="2"/>
  <c r="C725" i="2"/>
  <c r="D725" i="2"/>
  <c r="C724" i="2"/>
  <c r="D724" i="2"/>
  <c r="C723" i="2"/>
  <c r="D723" i="2"/>
  <c r="C722" i="2"/>
  <c r="D722" i="2"/>
  <c r="C721" i="2"/>
  <c r="D721" i="2"/>
  <c r="C720" i="2"/>
  <c r="D720" i="2"/>
  <c r="C719" i="2"/>
  <c r="D719" i="2"/>
  <c r="C718" i="2"/>
  <c r="D718" i="2"/>
  <c r="C717" i="2"/>
  <c r="D717" i="2"/>
  <c r="C716" i="2"/>
  <c r="D716" i="2"/>
  <c r="C715" i="2"/>
  <c r="D715" i="2"/>
  <c r="C714" i="2"/>
  <c r="D714" i="2"/>
  <c r="C713" i="2"/>
  <c r="D713" i="2"/>
  <c r="C712" i="2"/>
  <c r="D712" i="2"/>
  <c r="C711" i="2"/>
  <c r="D711" i="2"/>
  <c r="C710" i="2"/>
  <c r="D710" i="2"/>
  <c r="C709" i="2"/>
  <c r="D709" i="2"/>
  <c r="C708" i="2"/>
  <c r="D708" i="2"/>
  <c r="C707" i="2"/>
  <c r="D707" i="2"/>
  <c r="C706" i="2"/>
  <c r="D706" i="2"/>
  <c r="C705" i="2"/>
  <c r="D705" i="2"/>
  <c r="C704" i="2"/>
  <c r="D704" i="2"/>
  <c r="C703" i="2"/>
  <c r="D703" i="2"/>
  <c r="C702" i="2"/>
  <c r="D702" i="2"/>
  <c r="C701" i="2"/>
  <c r="D701" i="2"/>
  <c r="C700" i="2"/>
  <c r="D700" i="2"/>
  <c r="C699" i="2"/>
  <c r="D699" i="2"/>
  <c r="C698" i="2"/>
  <c r="D698" i="2"/>
  <c r="C697" i="2"/>
  <c r="D697" i="2"/>
  <c r="C696" i="2"/>
  <c r="D696" i="2"/>
  <c r="C695" i="2"/>
  <c r="D695" i="2"/>
  <c r="C694" i="2"/>
  <c r="D694" i="2"/>
  <c r="C693" i="2"/>
  <c r="D693" i="2"/>
  <c r="C692" i="2"/>
  <c r="D692" i="2"/>
  <c r="C691" i="2"/>
  <c r="D691" i="2"/>
  <c r="C690" i="2"/>
  <c r="D690" i="2"/>
  <c r="C689" i="2"/>
  <c r="D689" i="2"/>
  <c r="C688" i="2"/>
  <c r="D688" i="2"/>
  <c r="C687" i="2"/>
  <c r="D687" i="2"/>
  <c r="C686" i="2"/>
  <c r="D686" i="2"/>
  <c r="C685" i="2"/>
  <c r="D685" i="2"/>
  <c r="C684" i="2"/>
  <c r="D684" i="2"/>
  <c r="C683" i="2"/>
  <c r="D683" i="2"/>
  <c r="C682" i="2"/>
  <c r="D682" i="2"/>
  <c r="C681" i="2"/>
  <c r="D681" i="2"/>
  <c r="C680" i="2"/>
  <c r="D680" i="2"/>
  <c r="C679" i="2"/>
  <c r="D679" i="2"/>
  <c r="C678" i="2"/>
  <c r="D678" i="2"/>
  <c r="C677" i="2"/>
  <c r="D677" i="2"/>
  <c r="C676" i="2"/>
  <c r="D676" i="2"/>
  <c r="C675" i="2"/>
  <c r="D675" i="2"/>
  <c r="C674" i="2"/>
  <c r="D674" i="2"/>
  <c r="C673" i="2"/>
  <c r="D673" i="2"/>
  <c r="C672" i="2"/>
  <c r="D672" i="2"/>
  <c r="C671" i="2"/>
  <c r="D671" i="2"/>
  <c r="C670" i="2"/>
  <c r="D670" i="2"/>
  <c r="C669" i="2"/>
  <c r="D669" i="2"/>
  <c r="C668" i="2"/>
  <c r="D668" i="2"/>
  <c r="C667" i="2"/>
  <c r="D667" i="2"/>
  <c r="C666" i="2"/>
  <c r="D666" i="2"/>
  <c r="C665" i="2"/>
  <c r="D665" i="2"/>
  <c r="C664" i="2"/>
  <c r="D664" i="2"/>
  <c r="C663" i="2"/>
  <c r="D663" i="2"/>
  <c r="C662" i="2"/>
  <c r="D662" i="2"/>
  <c r="C661" i="2"/>
  <c r="D661" i="2"/>
  <c r="C660" i="2"/>
  <c r="D660" i="2"/>
  <c r="C659" i="2"/>
  <c r="D659" i="2"/>
  <c r="C658" i="2"/>
  <c r="D658" i="2"/>
  <c r="C657" i="2"/>
  <c r="D657" i="2"/>
  <c r="C656" i="2"/>
  <c r="D656" i="2"/>
  <c r="C655" i="2"/>
  <c r="D655" i="2"/>
  <c r="C654" i="2"/>
  <c r="D654" i="2"/>
  <c r="C653" i="2"/>
  <c r="D653" i="2"/>
  <c r="C652" i="2"/>
  <c r="D652" i="2"/>
  <c r="C651" i="2"/>
  <c r="D651" i="2"/>
  <c r="C650" i="2"/>
  <c r="D650" i="2"/>
  <c r="C649" i="2"/>
  <c r="D649" i="2"/>
  <c r="C648" i="2"/>
  <c r="D648" i="2"/>
  <c r="C647" i="2"/>
  <c r="D647" i="2"/>
  <c r="C646" i="2"/>
  <c r="D646" i="2"/>
  <c r="C645" i="2"/>
  <c r="D645" i="2"/>
  <c r="C644" i="2"/>
  <c r="D644" i="2"/>
  <c r="C643" i="2"/>
  <c r="D643" i="2"/>
  <c r="C642" i="2"/>
  <c r="D642" i="2"/>
  <c r="C641" i="2"/>
  <c r="D641" i="2"/>
  <c r="C640" i="2"/>
  <c r="D640" i="2"/>
  <c r="C639" i="2"/>
  <c r="D639" i="2"/>
  <c r="C638" i="2"/>
  <c r="D638" i="2"/>
  <c r="C637" i="2"/>
  <c r="D637" i="2"/>
  <c r="C636" i="2"/>
  <c r="D636" i="2"/>
  <c r="C635" i="2"/>
  <c r="D635" i="2"/>
  <c r="C634" i="2"/>
  <c r="D634" i="2"/>
  <c r="C633" i="2"/>
  <c r="D633" i="2"/>
  <c r="C632" i="2"/>
  <c r="D632" i="2"/>
  <c r="C631" i="2"/>
  <c r="D631" i="2"/>
  <c r="C630" i="2"/>
  <c r="D630" i="2"/>
  <c r="C629" i="2"/>
  <c r="D629" i="2"/>
  <c r="C628" i="2"/>
  <c r="D628" i="2"/>
  <c r="C627" i="2"/>
  <c r="D627" i="2"/>
  <c r="C626" i="2"/>
  <c r="D626" i="2"/>
  <c r="C625" i="2"/>
  <c r="D625" i="2"/>
  <c r="C624" i="2"/>
  <c r="D624" i="2"/>
  <c r="C623" i="2"/>
  <c r="D623" i="2"/>
  <c r="C622" i="2"/>
  <c r="D622" i="2"/>
  <c r="C621" i="2"/>
  <c r="D621" i="2"/>
  <c r="C620" i="2"/>
  <c r="D620" i="2"/>
  <c r="C619" i="2"/>
  <c r="D619" i="2"/>
  <c r="C618" i="2"/>
  <c r="D618" i="2"/>
  <c r="C617" i="2"/>
  <c r="D617" i="2"/>
  <c r="C616" i="2"/>
  <c r="D616" i="2"/>
  <c r="C615" i="2"/>
  <c r="D615" i="2"/>
  <c r="C614" i="2"/>
  <c r="D614" i="2"/>
  <c r="C613" i="2"/>
  <c r="D613" i="2"/>
  <c r="C612" i="2"/>
  <c r="D612" i="2"/>
  <c r="C611" i="2"/>
  <c r="D611" i="2"/>
  <c r="C610" i="2"/>
  <c r="D610" i="2"/>
  <c r="C609" i="2"/>
  <c r="D609" i="2"/>
  <c r="C608" i="2"/>
  <c r="D608" i="2"/>
  <c r="C607" i="2"/>
  <c r="D607" i="2"/>
  <c r="C606" i="2"/>
  <c r="D606" i="2"/>
  <c r="C605" i="2"/>
  <c r="D605" i="2"/>
  <c r="C604" i="2"/>
  <c r="D604" i="2"/>
  <c r="C603" i="2"/>
  <c r="D603" i="2"/>
  <c r="C602" i="2"/>
  <c r="D602" i="2"/>
  <c r="C601" i="2"/>
  <c r="D601" i="2"/>
  <c r="C600" i="2"/>
  <c r="D600" i="2"/>
  <c r="C599" i="2"/>
  <c r="D599" i="2"/>
  <c r="C598" i="2"/>
  <c r="D598" i="2"/>
  <c r="C597" i="2"/>
  <c r="D597" i="2"/>
  <c r="C596" i="2"/>
  <c r="D596" i="2"/>
  <c r="C595" i="2"/>
  <c r="D595" i="2"/>
  <c r="C594" i="2"/>
  <c r="D594" i="2"/>
  <c r="C593" i="2"/>
  <c r="D593" i="2"/>
  <c r="C592" i="2"/>
  <c r="D592" i="2"/>
  <c r="C591" i="2"/>
  <c r="D591" i="2"/>
  <c r="C590" i="2"/>
  <c r="D590" i="2"/>
  <c r="C589" i="2"/>
  <c r="D589" i="2"/>
  <c r="C588" i="2"/>
  <c r="D588" i="2"/>
  <c r="C587" i="2"/>
  <c r="D587" i="2"/>
  <c r="C586" i="2"/>
  <c r="D586" i="2"/>
  <c r="C585" i="2"/>
  <c r="D585" i="2"/>
  <c r="C584" i="2"/>
  <c r="D584" i="2"/>
  <c r="C583" i="2"/>
  <c r="D583" i="2"/>
  <c r="C582" i="2"/>
  <c r="D582" i="2"/>
  <c r="C581" i="2"/>
  <c r="D581" i="2"/>
  <c r="C580" i="2"/>
  <c r="D580" i="2"/>
  <c r="C579" i="2"/>
  <c r="D579" i="2"/>
  <c r="C578" i="2"/>
  <c r="D578" i="2"/>
  <c r="C577" i="2"/>
  <c r="D577" i="2"/>
  <c r="C576" i="2"/>
  <c r="D576" i="2"/>
  <c r="C575" i="2"/>
  <c r="D575" i="2"/>
  <c r="C574" i="2"/>
  <c r="D574" i="2"/>
  <c r="C573" i="2"/>
  <c r="D573" i="2"/>
  <c r="C572" i="2"/>
  <c r="D572" i="2"/>
  <c r="C571" i="2"/>
  <c r="D571" i="2"/>
  <c r="C570" i="2"/>
  <c r="D570" i="2"/>
  <c r="C569" i="2"/>
  <c r="D569" i="2"/>
  <c r="C568" i="2"/>
  <c r="D568" i="2"/>
  <c r="C567" i="2"/>
  <c r="D567" i="2"/>
  <c r="C566" i="2"/>
  <c r="D566" i="2"/>
  <c r="C565" i="2"/>
  <c r="D565" i="2"/>
  <c r="C564" i="2"/>
  <c r="D564" i="2"/>
  <c r="C563" i="2"/>
  <c r="D563" i="2"/>
  <c r="C562" i="2"/>
  <c r="D562" i="2"/>
  <c r="C561" i="2"/>
  <c r="D561" i="2"/>
  <c r="C560" i="2"/>
  <c r="D560" i="2"/>
  <c r="C559" i="2"/>
  <c r="D559" i="2"/>
  <c r="C558" i="2"/>
  <c r="D558" i="2"/>
  <c r="C557" i="2"/>
  <c r="D557" i="2"/>
  <c r="C556" i="2"/>
  <c r="D556" i="2"/>
  <c r="C555" i="2"/>
  <c r="D555" i="2"/>
  <c r="C554" i="2"/>
  <c r="D554" i="2"/>
  <c r="C553" i="2"/>
  <c r="D553" i="2"/>
  <c r="C552" i="2"/>
  <c r="D552" i="2"/>
  <c r="C551" i="2"/>
  <c r="D551" i="2"/>
  <c r="C550" i="2"/>
  <c r="D550" i="2"/>
  <c r="C549" i="2"/>
  <c r="D549" i="2"/>
  <c r="C548" i="2"/>
  <c r="D548" i="2"/>
  <c r="C547" i="2"/>
  <c r="D547" i="2"/>
  <c r="C546" i="2"/>
  <c r="D546" i="2"/>
  <c r="C545" i="2"/>
  <c r="D545" i="2"/>
  <c r="C544" i="2"/>
  <c r="D544" i="2"/>
  <c r="C543" i="2"/>
  <c r="D543" i="2"/>
  <c r="C542" i="2"/>
  <c r="D542" i="2"/>
  <c r="C541" i="2"/>
  <c r="D541" i="2"/>
  <c r="C540" i="2"/>
  <c r="D540" i="2"/>
  <c r="C539" i="2"/>
  <c r="D539" i="2"/>
  <c r="C538" i="2"/>
  <c r="D538" i="2"/>
  <c r="C537" i="2"/>
  <c r="D537" i="2"/>
  <c r="C536" i="2"/>
  <c r="D536" i="2"/>
  <c r="C535" i="2"/>
  <c r="D535" i="2"/>
  <c r="C534" i="2"/>
  <c r="D534" i="2"/>
  <c r="C533" i="2"/>
  <c r="D533" i="2"/>
  <c r="C532" i="2"/>
  <c r="D532" i="2"/>
  <c r="C531" i="2"/>
  <c r="D531" i="2"/>
  <c r="C530" i="2"/>
  <c r="D530" i="2"/>
  <c r="C529" i="2"/>
  <c r="D529" i="2"/>
  <c r="C528" i="2"/>
  <c r="D528" i="2"/>
  <c r="C527" i="2"/>
  <c r="D527" i="2"/>
  <c r="C526" i="2"/>
  <c r="D526" i="2"/>
  <c r="C525" i="2"/>
  <c r="D525" i="2"/>
  <c r="C524" i="2"/>
  <c r="D524" i="2"/>
  <c r="C523" i="2"/>
  <c r="D523" i="2"/>
  <c r="C522" i="2"/>
  <c r="D522" i="2"/>
  <c r="C521" i="2"/>
  <c r="D521" i="2"/>
  <c r="C520" i="2"/>
  <c r="D520" i="2"/>
  <c r="C519" i="2"/>
  <c r="D519" i="2"/>
  <c r="C518" i="2"/>
  <c r="D518" i="2"/>
  <c r="C517" i="2"/>
  <c r="D517" i="2"/>
  <c r="C516" i="2"/>
  <c r="D516" i="2"/>
  <c r="C515" i="2"/>
  <c r="D515" i="2"/>
  <c r="C514" i="2"/>
  <c r="D514" i="2"/>
  <c r="C513" i="2"/>
  <c r="D513" i="2"/>
  <c r="C512" i="2"/>
  <c r="D512" i="2"/>
  <c r="C511" i="2"/>
  <c r="D511" i="2"/>
  <c r="C510" i="2"/>
  <c r="D510" i="2"/>
  <c r="C509" i="2"/>
  <c r="D509" i="2"/>
  <c r="C508" i="2"/>
  <c r="D508" i="2"/>
  <c r="C507" i="2"/>
  <c r="D507" i="2"/>
  <c r="C506" i="2"/>
  <c r="D506" i="2"/>
  <c r="C505" i="2"/>
  <c r="D505" i="2"/>
  <c r="C504" i="2"/>
  <c r="D504" i="2"/>
  <c r="C503" i="2"/>
  <c r="D503" i="2"/>
  <c r="C502" i="2"/>
  <c r="D502" i="2"/>
  <c r="C501" i="2"/>
  <c r="D501" i="2"/>
  <c r="C500" i="2"/>
  <c r="D500" i="2"/>
  <c r="C499" i="2"/>
  <c r="D499" i="2"/>
  <c r="C498" i="2"/>
  <c r="D498" i="2"/>
  <c r="C497" i="2"/>
  <c r="D497" i="2"/>
  <c r="C496" i="2"/>
  <c r="D496" i="2"/>
  <c r="C495" i="2"/>
  <c r="D495" i="2"/>
  <c r="C494" i="2"/>
  <c r="D494" i="2"/>
  <c r="C493" i="2"/>
  <c r="D493" i="2"/>
  <c r="C492" i="2"/>
  <c r="D492" i="2"/>
  <c r="C491" i="2"/>
  <c r="D491" i="2"/>
  <c r="C490" i="2"/>
  <c r="D490" i="2"/>
  <c r="C489" i="2"/>
  <c r="D489" i="2"/>
  <c r="C488" i="2"/>
  <c r="D488" i="2"/>
  <c r="C487" i="2"/>
  <c r="D487" i="2"/>
  <c r="C486" i="2"/>
  <c r="D486" i="2"/>
  <c r="C485" i="2"/>
  <c r="D485" i="2"/>
  <c r="C484" i="2"/>
  <c r="D484" i="2"/>
  <c r="C483" i="2"/>
  <c r="D483" i="2"/>
  <c r="C482" i="2"/>
  <c r="D482" i="2"/>
  <c r="C481" i="2"/>
  <c r="D481" i="2"/>
  <c r="C480" i="2"/>
  <c r="D480" i="2"/>
  <c r="C479" i="2"/>
  <c r="D479" i="2"/>
  <c r="C478" i="2"/>
  <c r="D478" i="2"/>
  <c r="C477" i="2"/>
  <c r="D477" i="2"/>
  <c r="C476" i="2"/>
  <c r="D476" i="2"/>
  <c r="C475" i="2"/>
  <c r="D475" i="2"/>
  <c r="C474" i="2"/>
  <c r="D474" i="2"/>
  <c r="C473" i="2"/>
  <c r="D473" i="2"/>
  <c r="C472" i="2"/>
  <c r="D472" i="2"/>
  <c r="C471" i="2"/>
  <c r="D471" i="2"/>
  <c r="C470" i="2"/>
  <c r="D470" i="2"/>
  <c r="C469" i="2"/>
  <c r="D469" i="2"/>
  <c r="C468" i="2"/>
  <c r="D468" i="2"/>
  <c r="C467" i="2"/>
  <c r="D467" i="2"/>
  <c r="C466" i="2"/>
  <c r="D466" i="2"/>
  <c r="C465" i="2"/>
  <c r="D465" i="2"/>
  <c r="C464" i="2"/>
  <c r="D464" i="2"/>
  <c r="C463" i="2"/>
  <c r="D463" i="2"/>
  <c r="C462" i="2"/>
  <c r="D462" i="2"/>
  <c r="C461" i="2"/>
  <c r="D461" i="2"/>
  <c r="C460" i="2"/>
  <c r="D460" i="2"/>
  <c r="C459" i="2"/>
  <c r="D459" i="2"/>
  <c r="C458" i="2"/>
  <c r="D458" i="2"/>
  <c r="C457" i="2"/>
  <c r="D457" i="2"/>
  <c r="C456" i="2"/>
  <c r="D456" i="2"/>
  <c r="C455" i="2"/>
  <c r="D455" i="2"/>
  <c r="C454" i="2"/>
  <c r="D454" i="2"/>
  <c r="C453" i="2"/>
  <c r="D453" i="2"/>
  <c r="C452" i="2"/>
  <c r="D452" i="2"/>
  <c r="C451" i="2"/>
  <c r="D451" i="2"/>
  <c r="C450" i="2"/>
  <c r="D450" i="2"/>
  <c r="C449" i="2"/>
  <c r="D449" i="2"/>
  <c r="C448" i="2"/>
  <c r="D448" i="2"/>
  <c r="C447" i="2"/>
  <c r="D447" i="2"/>
  <c r="C446" i="2"/>
  <c r="D446" i="2"/>
  <c r="C445" i="2"/>
  <c r="D445" i="2"/>
  <c r="C444" i="2"/>
  <c r="D444" i="2"/>
  <c r="C443" i="2"/>
  <c r="D443" i="2"/>
  <c r="C442" i="2"/>
  <c r="D442" i="2"/>
  <c r="C441" i="2"/>
  <c r="D441" i="2"/>
  <c r="C440" i="2"/>
  <c r="D440" i="2"/>
  <c r="C439" i="2"/>
  <c r="D439" i="2"/>
  <c r="C438" i="2"/>
  <c r="D438" i="2"/>
  <c r="C437" i="2"/>
  <c r="D437" i="2"/>
  <c r="C436" i="2"/>
  <c r="D436" i="2"/>
  <c r="C435" i="2"/>
  <c r="D435" i="2"/>
  <c r="C434" i="2"/>
  <c r="D434" i="2"/>
  <c r="C433" i="2"/>
  <c r="D433" i="2"/>
  <c r="C432" i="2"/>
  <c r="D432" i="2"/>
  <c r="C431" i="2"/>
  <c r="D431" i="2"/>
  <c r="C430" i="2"/>
  <c r="D430" i="2"/>
  <c r="C429" i="2"/>
  <c r="D429" i="2"/>
  <c r="C428" i="2"/>
  <c r="D428" i="2"/>
  <c r="C427" i="2"/>
  <c r="D427" i="2"/>
  <c r="C426" i="2"/>
  <c r="D426" i="2"/>
  <c r="C425" i="2"/>
  <c r="D425" i="2"/>
  <c r="C424" i="2"/>
  <c r="D424" i="2"/>
  <c r="C423" i="2"/>
  <c r="D423" i="2"/>
  <c r="C422" i="2"/>
  <c r="D422" i="2"/>
  <c r="C421" i="2"/>
  <c r="D421" i="2"/>
  <c r="C420" i="2"/>
  <c r="D420" i="2"/>
  <c r="C419" i="2"/>
  <c r="D419" i="2"/>
  <c r="C418" i="2"/>
  <c r="D418" i="2"/>
  <c r="C417" i="2"/>
  <c r="D417" i="2"/>
  <c r="C416" i="2"/>
  <c r="D416" i="2"/>
  <c r="C415" i="2"/>
  <c r="D415" i="2"/>
  <c r="C414" i="2"/>
  <c r="D414" i="2"/>
  <c r="C413" i="2"/>
  <c r="D413" i="2"/>
  <c r="C412" i="2"/>
  <c r="D412" i="2"/>
  <c r="C411" i="2"/>
  <c r="D411" i="2"/>
  <c r="C410" i="2"/>
  <c r="D410" i="2"/>
  <c r="C409" i="2"/>
  <c r="D409" i="2"/>
  <c r="C408" i="2"/>
  <c r="D408" i="2"/>
  <c r="C407" i="2"/>
  <c r="D407" i="2"/>
  <c r="C406" i="2"/>
  <c r="D406" i="2"/>
  <c r="C405" i="2"/>
  <c r="D405" i="2"/>
  <c r="C404" i="2"/>
  <c r="D404" i="2"/>
  <c r="C403" i="2"/>
  <c r="D403" i="2"/>
  <c r="C402" i="2"/>
  <c r="D402" i="2"/>
  <c r="C401" i="2"/>
  <c r="D401" i="2"/>
  <c r="C400" i="2"/>
  <c r="D400" i="2"/>
  <c r="C399" i="2"/>
  <c r="D399" i="2"/>
  <c r="C398" i="2"/>
  <c r="D398" i="2"/>
  <c r="C397" i="2"/>
  <c r="D397" i="2"/>
  <c r="C396" i="2"/>
  <c r="D396" i="2"/>
  <c r="C395" i="2"/>
  <c r="D395" i="2"/>
  <c r="C394" i="2"/>
  <c r="D394" i="2"/>
  <c r="C393" i="2"/>
  <c r="D393" i="2"/>
  <c r="C392" i="2"/>
  <c r="D392" i="2"/>
  <c r="C391" i="2"/>
  <c r="D391" i="2"/>
  <c r="C390" i="2"/>
  <c r="D390" i="2"/>
  <c r="C389" i="2"/>
  <c r="D389" i="2"/>
  <c r="C388" i="2"/>
  <c r="D388" i="2"/>
  <c r="C387" i="2"/>
  <c r="D387" i="2"/>
  <c r="C386" i="2"/>
  <c r="D386" i="2"/>
  <c r="C385" i="2"/>
  <c r="D385" i="2"/>
  <c r="C384" i="2"/>
  <c r="D384" i="2"/>
  <c r="C383" i="2"/>
  <c r="D383" i="2"/>
  <c r="C382" i="2"/>
  <c r="D382" i="2"/>
  <c r="C381" i="2"/>
  <c r="D381" i="2"/>
  <c r="C380" i="2"/>
  <c r="D380" i="2"/>
  <c r="C379" i="2"/>
  <c r="D379" i="2"/>
  <c r="C378" i="2"/>
  <c r="D378" i="2"/>
  <c r="C377" i="2"/>
  <c r="D377" i="2"/>
  <c r="C376" i="2"/>
  <c r="D376" i="2"/>
  <c r="C375" i="2"/>
  <c r="D375" i="2"/>
  <c r="C374" i="2"/>
  <c r="D374" i="2"/>
  <c r="C373" i="2"/>
  <c r="D373" i="2"/>
  <c r="C372" i="2"/>
  <c r="D372" i="2"/>
  <c r="C371" i="2"/>
  <c r="D371" i="2"/>
  <c r="C370" i="2"/>
  <c r="D370" i="2"/>
  <c r="C369" i="2"/>
  <c r="D369" i="2"/>
  <c r="C368" i="2"/>
  <c r="D368" i="2"/>
  <c r="C367" i="2"/>
  <c r="D367" i="2"/>
  <c r="C366" i="2"/>
  <c r="D366" i="2"/>
  <c r="C365" i="2"/>
  <c r="D365" i="2"/>
  <c r="C364" i="2"/>
  <c r="D364" i="2"/>
  <c r="C363" i="2"/>
  <c r="D363" i="2"/>
  <c r="C362" i="2"/>
  <c r="D362" i="2"/>
  <c r="C361" i="2"/>
  <c r="D361" i="2"/>
  <c r="C360" i="2"/>
  <c r="D360" i="2"/>
  <c r="C359" i="2"/>
  <c r="D359" i="2"/>
  <c r="C358" i="2"/>
  <c r="D358" i="2"/>
  <c r="C357" i="2"/>
  <c r="D357" i="2"/>
  <c r="C356" i="2"/>
  <c r="D356" i="2"/>
  <c r="C355" i="2"/>
  <c r="D355" i="2"/>
  <c r="C354" i="2"/>
  <c r="D354" i="2"/>
  <c r="C353" i="2"/>
  <c r="D353" i="2"/>
  <c r="C352" i="2"/>
  <c r="D352" i="2"/>
  <c r="C351" i="2"/>
  <c r="D351" i="2"/>
  <c r="C350" i="2"/>
  <c r="D350" i="2"/>
  <c r="C349" i="2"/>
  <c r="D349" i="2"/>
  <c r="C348" i="2"/>
  <c r="D348" i="2"/>
  <c r="C347" i="2"/>
  <c r="D347" i="2"/>
  <c r="C346" i="2"/>
  <c r="D346" i="2"/>
  <c r="C345" i="2"/>
  <c r="D345" i="2"/>
  <c r="C344" i="2"/>
  <c r="D344" i="2"/>
  <c r="C343" i="2"/>
  <c r="D343" i="2"/>
  <c r="C342" i="2"/>
  <c r="D342" i="2"/>
  <c r="C341" i="2"/>
  <c r="D341" i="2"/>
  <c r="C340" i="2"/>
  <c r="D340" i="2"/>
  <c r="C339" i="2"/>
  <c r="D339" i="2"/>
  <c r="C338" i="2"/>
  <c r="D338" i="2"/>
  <c r="C337" i="2"/>
  <c r="D337" i="2"/>
  <c r="C336" i="2"/>
  <c r="D336" i="2"/>
  <c r="C335" i="2"/>
  <c r="D335" i="2"/>
  <c r="C334" i="2"/>
  <c r="D334" i="2"/>
  <c r="C333" i="2"/>
  <c r="D333" i="2"/>
  <c r="C332" i="2"/>
  <c r="D332" i="2"/>
  <c r="C331" i="2"/>
  <c r="D331" i="2"/>
  <c r="C330" i="2"/>
  <c r="D330" i="2"/>
  <c r="C329" i="2"/>
  <c r="D329" i="2"/>
  <c r="C328" i="2"/>
  <c r="D328" i="2"/>
  <c r="C327" i="2"/>
  <c r="D327" i="2"/>
  <c r="C326" i="2"/>
  <c r="D326" i="2"/>
  <c r="C325" i="2"/>
  <c r="D325" i="2"/>
  <c r="C324" i="2"/>
  <c r="D324" i="2"/>
  <c r="C323" i="2"/>
  <c r="D323" i="2"/>
  <c r="C322" i="2"/>
  <c r="D322" i="2"/>
  <c r="C321" i="2"/>
  <c r="D321" i="2"/>
  <c r="C320" i="2"/>
  <c r="D320" i="2"/>
  <c r="C319" i="2"/>
  <c r="D319" i="2"/>
  <c r="C318" i="2"/>
  <c r="D318" i="2"/>
  <c r="C317" i="2"/>
  <c r="D317" i="2"/>
  <c r="C316" i="2"/>
  <c r="D316" i="2"/>
  <c r="C315" i="2"/>
  <c r="D315" i="2"/>
  <c r="C314" i="2"/>
  <c r="D314" i="2"/>
  <c r="C313" i="2"/>
  <c r="D313" i="2"/>
  <c r="C312" i="2"/>
  <c r="D312" i="2"/>
  <c r="C311" i="2"/>
  <c r="D311" i="2"/>
  <c r="C310" i="2"/>
  <c r="D310" i="2"/>
  <c r="C309" i="2"/>
  <c r="D309" i="2"/>
  <c r="C308" i="2"/>
  <c r="D308" i="2"/>
  <c r="C307" i="2"/>
  <c r="D307" i="2"/>
  <c r="C306" i="2"/>
  <c r="D306" i="2"/>
  <c r="C305" i="2"/>
  <c r="D305" i="2"/>
  <c r="C304" i="2"/>
  <c r="D304" i="2"/>
  <c r="C303" i="2"/>
  <c r="D303" i="2"/>
  <c r="C302" i="2"/>
  <c r="D302" i="2"/>
  <c r="C301" i="2"/>
  <c r="D301" i="2"/>
  <c r="C300" i="2"/>
  <c r="D300" i="2"/>
  <c r="C299" i="2"/>
  <c r="D299" i="2"/>
  <c r="C298" i="2"/>
  <c r="D298" i="2"/>
  <c r="C297" i="2"/>
  <c r="D297" i="2"/>
  <c r="C296" i="2"/>
  <c r="D296" i="2"/>
  <c r="C295" i="2"/>
  <c r="D295" i="2"/>
  <c r="C294" i="2"/>
  <c r="D294" i="2"/>
  <c r="C293" i="2"/>
  <c r="D293" i="2"/>
  <c r="C292" i="2"/>
  <c r="D292" i="2"/>
  <c r="C291" i="2"/>
  <c r="D291" i="2"/>
  <c r="C290" i="2"/>
  <c r="D290" i="2"/>
  <c r="C289" i="2"/>
  <c r="D289" i="2"/>
  <c r="C288" i="2"/>
  <c r="D288" i="2"/>
  <c r="C287" i="2"/>
  <c r="D287" i="2"/>
  <c r="C286" i="2"/>
  <c r="D286" i="2"/>
  <c r="C285" i="2"/>
  <c r="D285" i="2"/>
  <c r="C284" i="2"/>
  <c r="D284" i="2"/>
  <c r="C283" i="2"/>
  <c r="D283" i="2"/>
  <c r="C282" i="2"/>
  <c r="D282" i="2"/>
  <c r="C281" i="2"/>
  <c r="D281" i="2"/>
  <c r="C280" i="2"/>
  <c r="D280" i="2"/>
  <c r="C279" i="2"/>
  <c r="D279" i="2"/>
  <c r="C278" i="2"/>
  <c r="D278" i="2"/>
  <c r="C277" i="2"/>
  <c r="D277" i="2"/>
  <c r="C276" i="2"/>
  <c r="D276" i="2"/>
  <c r="C275" i="2"/>
  <c r="D275" i="2"/>
  <c r="C274" i="2"/>
  <c r="D274" i="2"/>
  <c r="C273" i="2"/>
  <c r="D273" i="2"/>
  <c r="C272" i="2"/>
  <c r="D272" i="2"/>
  <c r="C271" i="2"/>
  <c r="D271" i="2"/>
  <c r="C270" i="2"/>
  <c r="D270" i="2"/>
  <c r="C269" i="2"/>
  <c r="D269" i="2"/>
  <c r="C268" i="2"/>
  <c r="D268" i="2"/>
  <c r="C267" i="2"/>
  <c r="D267" i="2"/>
  <c r="C266" i="2"/>
  <c r="D266" i="2"/>
  <c r="C265" i="2"/>
  <c r="D265" i="2"/>
  <c r="C264" i="2"/>
  <c r="D264" i="2"/>
  <c r="C263" i="2"/>
  <c r="D263" i="2"/>
  <c r="C262" i="2"/>
  <c r="D262" i="2"/>
  <c r="C261" i="2"/>
  <c r="D261" i="2"/>
  <c r="C260" i="2"/>
  <c r="D260" i="2"/>
  <c r="C259" i="2"/>
  <c r="D259" i="2"/>
  <c r="C258" i="2"/>
  <c r="D258" i="2"/>
  <c r="C257" i="2"/>
  <c r="D257" i="2"/>
  <c r="C256" i="2"/>
  <c r="D256" i="2"/>
  <c r="C255" i="2"/>
  <c r="D255" i="2"/>
  <c r="C254" i="2"/>
  <c r="D254" i="2"/>
  <c r="C253" i="2"/>
  <c r="D253" i="2"/>
  <c r="C252" i="2"/>
  <c r="D252" i="2"/>
  <c r="C251" i="2"/>
  <c r="D251" i="2"/>
  <c r="C250" i="2"/>
  <c r="D250" i="2"/>
  <c r="C249" i="2"/>
  <c r="D249" i="2"/>
  <c r="C248" i="2"/>
  <c r="D248" i="2"/>
  <c r="C247" i="2"/>
  <c r="D247" i="2"/>
  <c r="C246" i="2"/>
  <c r="D246" i="2"/>
  <c r="C245" i="2"/>
  <c r="D245" i="2"/>
  <c r="C244" i="2"/>
  <c r="D244" i="2"/>
  <c r="C243" i="2"/>
  <c r="D243" i="2"/>
  <c r="C242" i="2"/>
  <c r="D242" i="2"/>
  <c r="C241" i="2"/>
  <c r="D241" i="2"/>
  <c r="C240" i="2"/>
  <c r="D240" i="2"/>
  <c r="C239" i="2"/>
  <c r="D239" i="2"/>
  <c r="C238" i="2"/>
  <c r="D238" i="2"/>
  <c r="C237" i="2"/>
  <c r="D237" i="2"/>
  <c r="C236" i="2"/>
  <c r="D236" i="2"/>
  <c r="C235" i="2"/>
  <c r="D235" i="2"/>
  <c r="C234" i="2"/>
  <c r="D234" i="2"/>
  <c r="C233" i="2"/>
  <c r="D233" i="2"/>
  <c r="C232" i="2"/>
  <c r="D232" i="2"/>
  <c r="C231" i="2"/>
  <c r="D231" i="2"/>
  <c r="C230" i="2"/>
  <c r="D230" i="2"/>
  <c r="C229" i="2"/>
  <c r="D229" i="2"/>
  <c r="C228" i="2"/>
  <c r="D228" i="2"/>
  <c r="C227" i="2"/>
  <c r="D227" i="2"/>
  <c r="C226" i="2"/>
  <c r="D226" i="2"/>
  <c r="C225" i="2"/>
  <c r="D225" i="2"/>
  <c r="C224" i="2"/>
  <c r="D224" i="2"/>
  <c r="C223" i="2"/>
  <c r="D223" i="2"/>
  <c r="C222" i="2"/>
  <c r="D222" i="2"/>
  <c r="C221" i="2"/>
  <c r="D221" i="2"/>
  <c r="C220" i="2"/>
  <c r="D220" i="2"/>
  <c r="C219" i="2"/>
  <c r="D219" i="2"/>
  <c r="C218" i="2"/>
  <c r="D218" i="2"/>
  <c r="C217" i="2"/>
  <c r="D217" i="2"/>
  <c r="C216" i="2"/>
  <c r="D216" i="2"/>
  <c r="C215" i="2"/>
  <c r="D215" i="2"/>
  <c r="C214" i="2"/>
  <c r="D214" i="2"/>
  <c r="C213" i="2"/>
  <c r="D213" i="2"/>
  <c r="C212" i="2"/>
  <c r="D212" i="2"/>
  <c r="C211" i="2"/>
  <c r="D211" i="2"/>
  <c r="C210" i="2"/>
  <c r="D210" i="2"/>
  <c r="C209" i="2"/>
  <c r="D209" i="2"/>
  <c r="C208" i="2"/>
  <c r="D208" i="2"/>
  <c r="C207" i="2"/>
  <c r="D207" i="2"/>
  <c r="C206" i="2"/>
  <c r="D206" i="2"/>
  <c r="C205" i="2"/>
  <c r="D205" i="2"/>
  <c r="C204" i="2"/>
  <c r="D204" i="2"/>
  <c r="C203" i="2"/>
  <c r="D203" i="2"/>
  <c r="C202" i="2"/>
  <c r="D202" i="2"/>
  <c r="C201" i="2"/>
  <c r="D201" i="2"/>
  <c r="C200" i="2"/>
  <c r="D200" i="2"/>
  <c r="C199" i="2"/>
  <c r="D199" i="2"/>
  <c r="C198" i="2"/>
  <c r="D198" i="2"/>
  <c r="C197" i="2"/>
  <c r="D197" i="2"/>
  <c r="C196" i="2"/>
  <c r="D196" i="2"/>
  <c r="C195" i="2"/>
  <c r="D195" i="2"/>
  <c r="C194" i="2"/>
  <c r="D194" i="2"/>
  <c r="C193" i="2"/>
  <c r="D193" i="2"/>
  <c r="C192" i="2"/>
  <c r="D192" i="2"/>
  <c r="C191" i="2"/>
  <c r="D191" i="2"/>
  <c r="C190" i="2"/>
  <c r="D190" i="2"/>
  <c r="C189" i="2"/>
  <c r="D189" i="2"/>
  <c r="C188" i="2"/>
  <c r="D188" i="2"/>
  <c r="C187" i="2"/>
  <c r="D187" i="2"/>
  <c r="C186" i="2"/>
  <c r="D186" i="2"/>
  <c r="C185" i="2"/>
  <c r="D185" i="2"/>
  <c r="C184" i="2"/>
  <c r="D184" i="2"/>
  <c r="C183" i="2"/>
  <c r="D183" i="2"/>
  <c r="C182" i="2"/>
  <c r="D182" i="2"/>
  <c r="C181" i="2"/>
  <c r="D181" i="2"/>
  <c r="C180" i="2"/>
  <c r="D180" i="2"/>
  <c r="C179" i="2"/>
  <c r="D179" i="2"/>
  <c r="C178" i="2"/>
  <c r="D178" i="2"/>
  <c r="C177" i="2"/>
  <c r="D177" i="2"/>
  <c r="C176" i="2"/>
  <c r="D176" i="2"/>
  <c r="C175" i="2"/>
  <c r="D175" i="2"/>
  <c r="C174" i="2"/>
  <c r="D174" i="2"/>
  <c r="C173" i="2"/>
  <c r="D173" i="2"/>
  <c r="C172" i="2"/>
  <c r="D172" i="2"/>
  <c r="C171" i="2"/>
  <c r="D171" i="2"/>
  <c r="C170" i="2"/>
  <c r="D170" i="2"/>
  <c r="C169" i="2"/>
  <c r="D169" i="2"/>
  <c r="C168" i="2"/>
  <c r="D168" i="2"/>
  <c r="C167" i="2"/>
  <c r="D167" i="2"/>
  <c r="C166" i="2"/>
  <c r="D166" i="2"/>
  <c r="C165" i="2"/>
  <c r="D165" i="2"/>
  <c r="C164" i="2"/>
  <c r="D164" i="2"/>
  <c r="C163" i="2"/>
  <c r="D163" i="2"/>
  <c r="C162" i="2"/>
  <c r="D162" i="2"/>
  <c r="C161" i="2"/>
  <c r="D161" i="2"/>
  <c r="C160" i="2"/>
  <c r="D160" i="2"/>
  <c r="C159" i="2"/>
  <c r="D159" i="2"/>
  <c r="C158" i="2"/>
  <c r="D158" i="2"/>
  <c r="C157" i="2"/>
  <c r="D157" i="2"/>
  <c r="C156" i="2"/>
  <c r="D156" i="2"/>
  <c r="C155" i="2"/>
  <c r="D155" i="2"/>
  <c r="C154" i="2"/>
  <c r="D154" i="2"/>
  <c r="C153" i="2"/>
  <c r="D153" i="2"/>
  <c r="C152" i="2"/>
  <c r="D152" i="2"/>
  <c r="C151" i="2"/>
  <c r="D151" i="2"/>
  <c r="C150" i="2"/>
  <c r="D150" i="2"/>
  <c r="C149" i="2"/>
  <c r="D149" i="2"/>
  <c r="C148" i="2"/>
  <c r="D148" i="2"/>
  <c r="C147" i="2"/>
  <c r="D147" i="2"/>
  <c r="C146" i="2"/>
  <c r="D146" i="2"/>
  <c r="C145" i="2"/>
  <c r="D145" i="2"/>
  <c r="C144" i="2"/>
  <c r="D144" i="2"/>
  <c r="C143" i="2"/>
  <c r="D143" i="2"/>
  <c r="C142" i="2"/>
  <c r="D142" i="2"/>
  <c r="C141" i="2"/>
  <c r="D141" i="2"/>
  <c r="C140" i="2"/>
  <c r="D140" i="2"/>
  <c r="C139" i="2"/>
  <c r="D139" i="2"/>
  <c r="C138" i="2"/>
  <c r="D138" i="2"/>
  <c r="C137" i="2"/>
  <c r="D137" i="2"/>
  <c r="C136" i="2"/>
  <c r="D136" i="2"/>
  <c r="C135" i="2"/>
  <c r="D135" i="2"/>
  <c r="C134" i="2"/>
  <c r="D134" i="2"/>
  <c r="C133" i="2"/>
  <c r="D133" i="2"/>
  <c r="C132" i="2"/>
  <c r="D132" i="2"/>
  <c r="C131" i="2"/>
  <c r="D131" i="2"/>
  <c r="C130" i="2"/>
  <c r="D130" i="2"/>
  <c r="C129" i="2"/>
  <c r="D129" i="2"/>
  <c r="C128" i="2"/>
  <c r="D128" i="2"/>
  <c r="C127" i="2"/>
  <c r="D127" i="2"/>
  <c r="C126" i="2"/>
  <c r="D126" i="2"/>
  <c r="C125" i="2"/>
  <c r="D125" i="2"/>
  <c r="C124" i="2"/>
  <c r="D124" i="2"/>
  <c r="C123" i="2"/>
  <c r="D123" i="2"/>
  <c r="C122" i="2"/>
  <c r="D122" i="2"/>
  <c r="C121" i="2"/>
  <c r="D121" i="2"/>
  <c r="C120" i="2"/>
  <c r="D120" i="2"/>
  <c r="C119" i="2"/>
  <c r="D119" i="2"/>
  <c r="C118" i="2"/>
  <c r="D118" i="2"/>
  <c r="C117" i="2"/>
  <c r="D117" i="2"/>
  <c r="C116" i="2"/>
  <c r="D116" i="2"/>
  <c r="C115" i="2"/>
  <c r="D115" i="2"/>
  <c r="C114" i="2"/>
  <c r="D114" i="2"/>
  <c r="C113" i="2"/>
  <c r="D113" i="2"/>
  <c r="C112" i="2"/>
  <c r="D112" i="2"/>
  <c r="C111" i="2"/>
  <c r="D111" i="2"/>
  <c r="C110" i="2"/>
  <c r="D110" i="2"/>
  <c r="C109" i="2"/>
  <c r="D109" i="2"/>
  <c r="C108" i="2"/>
  <c r="D108" i="2"/>
  <c r="C107" i="2"/>
  <c r="D107" i="2"/>
  <c r="C106" i="2"/>
  <c r="D106" i="2"/>
  <c r="C105" i="2"/>
  <c r="D105" i="2"/>
  <c r="C104" i="2"/>
  <c r="D104" i="2"/>
  <c r="C103" i="2"/>
  <c r="D103" i="2"/>
  <c r="C102" i="2"/>
  <c r="D102" i="2"/>
  <c r="C101" i="2"/>
  <c r="D101" i="2"/>
  <c r="C100" i="2"/>
  <c r="D100" i="2"/>
  <c r="C99" i="2"/>
  <c r="D99" i="2"/>
  <c r="C98" i="2"/>
  <c r="D98" i="2"/>
  <c r="C97" i="2"/>
  <c r="D97" i="2"/>
  <c r="C96" i="2"/>
  <c r="D96" i="2"/>
  <c r="C95" i="2"/>
  <c r="D95" i="2"/>
  <c r="C94" i="2"/>
  <c r="D94" i="2"/>
  <c r="C93" i="2"/>
  <c r="D93" i="2"/>
  <c r="C92" i="2"/>
  <c r="D92" i="2"/>
  <c r="C91" i="2"/>
  <c r="D91" i="2"/>
  <c r="C90" i="2"/>
  <c r="D90" i="2"/>
  <c r="C89" i="2"/>
  <c r="D89" i="2"/>
  <c r="C88" i="2"/>
  <c r="D88" i="2"/>
  <c r="C87" i="2"/>
  <c r="D87" i="2"/>
  <c r="C86" i="2"/>
  <c r="D86" i="2"/>
  <c r="C85" i="2"/>
  <c r="D85" i="2"/>
  <c r="C84" i="2"/>
  <c r="D84" i="2"/>
  <c r="C83" i="2"/>
  <c r="D83" i="2"/>
  <c r="C82" i="2"/>
  <c r="D82" i="2"/>
  <c r="C81" i="2"/>
  <c r="D81" i="2"/>
  <c r="C80" i="2"/>
  <c r="D80" i="2"/>
  <c r="C79" i="2"/>
  <c r="D79" i="2"/>
  <c r="C78" i="2"/>
  <c r="D78" i="2"/>
  <c r="C77" i="2"/>
  <c r="D77" i="2"/>
  <c r="C76" i="2"/>
  <c r="D76" i="2"/>
  <c r="C75" i="2"/>
  <c r="D75" i="2"/>
  <c r="C74" i="2"/>
  <c r="D74" i="2"/>
  <c r="C73" i="2"/>
  <c r="D73" i="2"/>
  <c r="C72" i="2"/>
  <c r="D72" i="2"/>
  <c r="C71" i="2"/>
  <c r="D71" i="2"/>
  <c r="C70" i="2"/>
  <c r="D70" i="2"/>
  <c r="C69" i="2"/>
  <c r="D69" i="2"/>
  <c r="C68" i="2"/>
  <c r="D68" i="2"/>
  <c r="C67" i="2"/>
  <c r="D67" i="2"/>
  <c r="C66" i="2"/>
  <c r="D66" i="2"/>
  <c r="C65" i="2"/>
  <c r="D65" i="2"/>
  <c r="C64" i="2"/>
  <c r="D64" i="2"/>
  <c r="C63" i="2"/>
  <c r="D63" i="2"/>
  <c r="C62" i="2"/>
  <c r="D62" i="2"/>
  <c r="C61" i="2"/>
  <c r="D61" i="2"/>
  <c r="C60" i="2"/>
  <c r="D60" i="2"/>
  <c r="C59" i="2"/>
  <c r="D5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C48" i="2"/>
  <c r="D48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C38" i="2"/>
  <c r="D38" i="2"/>
  <c r="C37" i="2"/>
  <c r="D37" i="2"/>
  <c r="C36" i="2"/>
  <c r="D36" i="2"/>
  <c r="C35" i="2"/>
  <c r="D35" i="2"/>
  <c r="C34" i="2"/>
  <c r="D34" i="2"/>
  <c r="C33" i="2"/>
  <c r="D33" i="2"/>
  <c r="C26" i="2"/>
  <c r="D26" i="2"/>
  <c r="C32" i="2"/>
  <c r="D32" i="2"/>
  <c r="C31" i="2"/>
  <c r="D31" i="2"/>
  <c r="C30" i="2"/>
  <c r="D30" i="2"/>
  <c r="C29" i="2"/>
  <c r="D29" i="2"/>
  <c r="C28" i="2"/>
  <c r="D28" i="2"/>
  <c r="C27" i="2"/>
  <c r="D27" i="2"/>
  <c r="C25" i="2"/>
  <c r="D25" i="2"/>
  <c r="C24" i="2"/>
  <c r="D24" i="2"/>
  <c r="C23" i="2"/>
  <c r="D23" i="2"/>
  <c r="C22" i="2"/>
  <c r="D22" i="2"/>
  <c r="C21" i="2"/>
  <c r="D21" i="2"/>
  <c r="C20" i="2"/>
  <c r="D20" i="2"/>
  <c r="C19" i="2"/>
  <c r="D19" i="2"/>
  <c r="C18" i="2"/>
  <c r="D18" i="2"/>
  <c r="C17" i="2"/>
  <c r="D17" i="2"/>
  <c r="C16" i="2"/>
  <c r="D16" i="2"/>
  <c r="C15" i="2"/>
  <c r="D15" i="2"/>
  <c r="C14" i="2"/>
  <c r="D14" i="2"/>
  <c r="C13" i="2"/>
  <c r="D13" i="2"/>
  <c r="C12" i="2"/>
  <c r="D12" i="2"/>
  <c r="C11" i="2"/>
  <c r="D11" i="2"/>
  <c r="C7" i="2"/>
  <c r="D7" i="2"/>
  <c r="C8" i="2"/>
  <c r="D8" i="2"/>
  <c r="C10" i="2"/>
  <c r="D10" i="2"/>
  <c r="C9" i="2"/>
  <c r="D9" i="2"/>
  <c r="C3" i="2"/>
  <c r="D3" i="2"/>
  <c r="C4" i="2"/>
  <c r="D4" i="2"/>
  <c r="C5" i="2"/>
  <c r="D5" i="2"/>
  <c r="C6" i="2"/>
  <c r="D6" i="2"/>
  <c r="C2" i="2"/>
  <c r="D2" i="2"/>
  <c r="E2" i="1"/>
</calcChain>
</file>

<file path=xl/comments1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<sst xmlns="http://schemas.openxmlformats.org/spreadsheetml/2006/main" count="3019" uniqueCount="38">
  <si>
    <t>出力flg</t>
    <rPh sb="0" eb="2">
      <t>シュツリョク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</si>
  <si>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</si>
  <si>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</si>
  <si>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</si>
  <si>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</si>
  <si>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</si>
  <si>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</si>
  <si>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quest_id</t>
    <phoneticPr fontId="3"/>
  </si>
  <si>
    <t>bugbonuses</t>
    <phoneticPr fontId="3"/>
  </si>
  <si>
    <t>stage_id</t>
    <phoneticPr fontId="3"/>
  </si>
  <si>
    <t>stage_target</t>
    <phoneticPr fontId="3"/>
  </si>
  <si>
    <t>bonus_id</t>
    <phoneticPr fontId="3"/>
  </si>
  <si>
    <t>bonus_type</t>
    <phoneticPr fontId="3"/>
  </si>
  <si>
    <t>bonus_value</t>
    <phoneticPr fontId="3"/>
  </si>
  <si>
    <t>bonus_count</t>
    <phoneticPr fontId="3"/>
  </si>
  <si>
    <t>level</t>
    <phoneticPr fontId="3"/>
  </si>
  <si>
    <t>skill_level</t>
    <phoneticPr fontId="3"/>
  </si>
  <si>
    <t>hp_plus</t>
    <phoneticPr fontId="3"/>
  </si>
  <si>
    <t>attack_plus</t>
    <phoneticPr fontId="3"/>
  </si>
  <si>
    <t>defense_plus</t>
    <phoneticPr fontId="3"/>
  </si>
  <si>
    <t>heal_plus</t>
    <phoneticPr fontId="3"/>
  </si>
  <si>
    <t>bug</t>
    <phoneticPr fontId="3"/>
  </si>
  <si>
    <t>weight</t>
    <phoneticPr fontId="3"/>
  </si>
  <si>
    <t>definite_start_date</t>
    <phoneticPr fontId="3"/>
  </si>
  <si>
    <t>definite_end_date</t>
    <phoneticPr fontId="3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</si>
  <si>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3"/>
  </si>
  <si>
    <t>temp_stage</t>
    <phoneticPr fontId="4"/>
  </si>
  <si>
    <t>2015-03-27 00:00:00</t>
  </si>
  <si>
    <t>2970-01-01 09:00:00</t>
  </si>
  <si>
    <t>stage_bug_bonuses_</t>
    <phoneticPr fontId="3"/>
  </si>
  <si>
    <t>stage_target</t>
    <phoneticPr fontId="3"/>
  </si>
  <si>
    <t>old</t>
    <phoneticPr fontId="4"/>
  </si>
  <si>
    <t>bit</t>
  </si>
  <si>
    <t>null</t>
    <phoneticPr fontId="3"/>
  </si>
  <si>
    <t>event</t>
    <phoneticPr fontId="3"/>
  </si>
  <si>
    <t>link</t>
    <phoneticPr fontId="3"/>
  </si>
  <si>
    <t>unit</t>
    <phoneticPr fontId="3"/>
  </si>
  <si>
    <t>name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</si>
</sst>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0"/>
      <color indexed="81"/>
      <name val="ＭＳ Ｐゴシック"/>
      <family val="2"/>
      <charset val="128"/>
    </font>
    <font>
      <b/>
      <sz val="10"/>
      <color indexed="81"/>
      <name val="ＭＳ Ｐゴシック"/>
      <family val="2"/>
      <charset val="128"/>
    </font>
    <font>
      <sz val="12"/>
      <name val="ＭＳ Ｐゴシック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77">
    <xf numFmtId="0" fontId="0" fillId="0" borderId="0"/>
    <xf numFmtId="0" fontId="1" fillId="0" borderId="0"/>
    <xf numFmtId="0" fontId="1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7">
    <xf numFmtId="0" fontId="0" fillId="0" borderId="0" xfId="0"/>
    <xf numFmtId="0" fontId="2" fillId="2" borderId="1" xfId="0" applyFont="1" applyFill="1" applyBorder="1"/>
    <xf numFmtId="0" fontId="2" fillId="2" borderId="1" xfId="1" applyFont="1" applyFill="1" applyBorder="1"/>
    <xf numFmtId="0" fontId="1" fillId="2" borderId="1" xfId="1" applyFill="1" applyBorder="1"/>
    <xf numFmtId="0" fontId="5" fillId="3" borderId="1" xfId="2" applyFont="1" applyFill="1" applyBorder="1" applyAlignment="1">
      <alignment horizontal="left"/>
    </xf>
    <xf numFmtId="0" fontId="0" fillId="0" borderId="1" xfId="1" applyFont="1" applyBorder="1"/>
    <xf numFmtId="0" fontId="0" fillId="3" borderId="1" xfId="1" applyFont="1" applyFill="1" applyBorder="1"/>
    <xf numFmtId="0" fontId="8" fillId="4" borderId="0" xfId="2" applyFont="1" applyFill="1" applyAlignment="1">
      <alignment horizontal="center" vertical="center"/>
    </xf>
    <xf numFmtId="0" fontId="5" fillId="5" borderId="1" xfId="2" applyFont="1" applyFill="1" applyBorder="1" applyAlignment="1">
      <alignment horizontal="left"/>
    </xf>
    <xf numFmtId="0" fontId="11" fillId="6" borderId="1" xfId="0" applyFont="1" applyFill="1" applyBorder="1"/>
    <xf numFmtId="0" fontId="11" fillId="8" borderId="1" xfId="0" applyFont="1" applyFill="1" applyBorder="1"/>
    <xf numFmtId="0" fontId="11" fillId="9" borderId="1" xfId="0" applyFont="1" applyFill="1" applyBorder="1"/>
    <xf numFmtId="0" fontId="11" fillId="7" borderId="1" xfId="0" applyFont="1" applyFill="1" applyBorder="1"/>
    <xf numFmtId="0" fontId="5" fillId="10" borderId="1" xfId="2" applyFont="1" applyFill="1" applyBorder="1" applyAlignment="1">
      <alignment horizontal="left"/>
    </xf>
    <xf numFmtId="0" fontId="11" fillId="6" borderId="2" xfId="0" applyFont="1" applyFill="1" applyBorder="1"/>
    <xf numFmtId="0" fontId="11" fillId="8" borderId="2" xfId="0" applyFont="1" applyFill="1" applyBorder="1"/>
    <xf numFmtId="0" fontId="11" fillId="8" borderId="3" xfId="0" applyFont="1" applyFill="1" applyBorder="1"/>
    <xf numFmtId="0" fontId="11" fillId="6" borderId="4" xfId="0" applyFont="1" applyFill="1" applyBorder="1"/>
    <xf numFmtId="0" fontId="11" fillId="6" borderId="5" xfId="0" applyFont="1" applyFill="1" applyBorder="1"/>
    <xf numFmtId="0" fontId="11" fillId="8" borderId="5" xfId="0" applyFont="1" applyFill="1" applyBorder="1"/>
    <xf numFmtId="0" fontId="11" fillId="6" borderId="6" xfId="0" applyFont="1" applyFill="1" applyBorder="1"/>
    <xf numFmtId="0" fontId="11" fillId="6" borderId="7" xfId="0" applyFont="1" applyFill="1" applyBorder="1"/>
    <xf numFmtId="0" fontId="11" fillId="6" borderId="8" xfId="0" applyFont="1" applyFill="1" applyBorder="1"/>
    <xf numFmtId="0" fontId="11" fillId="6" borderId="9" xfId="0" applyFont="1" applyFill="1" applyBorder="1"/>
    <xf numFmtId="0" fontId="11" fillId="6" borderId="10" xfId="0" applyFont="1" applyFill="1" applyBorder="1"/>
    <xf numFmtId="0" fontId="11" fillId="8" borderId="10" xfId="0" applyFont="1" applyFill="1" applyBorder="1"/>
    <xf numFmtId="0" fontId="11" fillId="6" borderId="11" xfId="0" applyFont="1" applyFill="1" applyBorder="1"/>
  </cellXfs>
  <cellStyles count="277"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標準" xfId="0" builtinId="0"/>
    <cellStyle name="標準 4" xfId="2"/>
    <cellStyle name="標準 6" xfId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externalLink" Target="externalLinks/externalLink2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/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2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2280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2460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2670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2980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3750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2310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2490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2700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3010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3780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2410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2590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2800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3120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3880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2610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2790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3000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3310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4080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2850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3030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3240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3550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5250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11006_4</v>
          </cell>
          <cell r="B223">
            <v>3</v>
          </cell>
          <cell r="C223">
            <v>11006</v>
          </cell>
          <cell r="D223" t="str">
            <v>【土日限定】 ゴールドカジノ</v>
          </cell>
          <cell r="E223" t="str">
            <v>土日クエスト</v>
          </cell>
          <cell r="F223">
            <v>4</v>
          </cell>
          <cell r="G223" t="str">
            <v>ja</v>
          </cell>
          <cell r="H223" t="str">
            <v xml:space="preserve">【超級】ゴールドカジノ </v>
          </cell>
          <cell r="I223" t="str">
            <v>超級</v>
          </cell>
          <cell r="J223">
            <v>120</v>
          </cell>
          <cell r="K223">
            <v>30</v>
          </cell>
          <cell r="L223">
            <v>1400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105</v>
          </cell>
          <cell r="AD223">
            <v>6</v>
          </cell>
          <cell r="AE223" t="str">
            <v>everyone</v>
          </cell>
        </row>
        <row r="224">
          <cell r="A224" t="str">
            <v>11007_1</v>
          </cell>
          <cell r="B224">
            <v>3</v>
          </cell>
          <cell r="C224">
            <v>11007</v>
          </cell>
          <cell r="D224" t="str">
            <v>【土曜限定】 赤と緑の素材</v>
          </cell>
          <cell r="E224" t="str">
            <v>土曜クエスト</v>
          </cell>
          <cell r="F224">
            <v>1</v>
          </cell>
          <cell r="G224" t="str">
            <v>ja</v>
          </cell>
          <cell r="H224" t="str">
            <v xml:space="preserve">【初級】火と樹のチェシャ猫 </v>
          </cell>
          <cell r="I224" t="str">
            <v>初級</v>
          </cell>
          <cell r="J224">
            <v>101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11007_2</v>
          </cell>
          <cell r="B225">
            <v>3</v>
          </cell>
          <cell r="C225">
            <v>11007</v>
          </cell>
          <cell r="D225" t="str">
            <v>【土曜限定】 赤と緑の素材</v>
          </cell>
          <cell r="E225" t="str">
            <v>土曜クエスト</v>
          </cell>
          <cell r="F225">
            <v>2</v>
          </cell>
          <cell r="G225" t="str">
            <v>ja</v>
          </cell>
          <cell r="H225" t="str">
            <v xml:space="preserve">【中級】火と樹のウサギ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102</v>
          </cell>
          <cell r="AD225">
            <v>6</v>
          </cell>
          <cell r="AE225" t="str">
            <v>everyone</v>
          </cell>
        </row>
        <row r="226">
          <cell r="A226" t="str">
            <v>11007_3</v>
          </cell>
          <cell r="B226">
            <v>3</v>
          </cell>
          <cell r="C226">
            <v>11007</v>
          </cell>
          <cell r="D226" t="str">
            <v>【土曜限定】 赤と緑の素材</v>
          </cell>
          <cell r="E226" t="str">
            <v>土曜クエスト</v>
          </cell>
          <cell r="F226">
            <v>3</v>
          </cell>
          <cell r="G226" t="str">
            <v>ja</v>
          </cell>
          <cell r="H226" t="str">
            <v xml:space="preserve">【上級】火と樹のイモムシ </v>
          </cell>
          <cell r="I226" t="str">
            <v>上級</v>
          </cell>
          <cell r="J226">
            <v>103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11007_4</v>
          </cell>
          <cell r="B227">
            <v>3</v>
          </cell>
          <cell r="C227">
            <v>11007</v>
          </cell>
          <cell r="D227" t="str">
            <v>【土曜限定】 赤と緑の素材</v>
          </cell>
          <cell r="E227" t="str">
            <v>土曜クエスト</v>
          </cell>
          <cell r="F227">
            <v>4</v>
          </cell>
          <cell r="G227" t="str">
            <v>ja</v>
          </cell>
          <cell r="H227" t="str">
            <v xml:space="preserve">【超級】火と樹の帽子屋 </v>
          </cell>
          <cell r="I227" t="str">
            <v>超級（★5覚醒素材）</v>
          </cell>
          <cell r="J227">
            <v>108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11007_5</v>
          </cell>
          <cell r="B228">
            <v>3</v>
          </cell>
          <cell r="C228">
            <v>11007</v>
          </cell>
          <cell r="D228" t="str">
            <v>【土曜限定】 赤と緑の素材</v>
          </cell>
          <cell r="E228" t="str">
            <v>土曜クエスト</v>
          </cell>
          <cell r="F228">
            <v>5</v>
          </cell>
          <cell r="G228" t="str">
            <v>ja</v>
          </cell>
          <cell r="H228" t="str">
            <v>【超絶級】ドードーとグリフォン</v>
          </cell>
          <cell r="I228" t="str">
            <v>超絶級（★6覚醒素材）</v>
          </cell>
          <cell r="J228">
            <v>356</v>
          </cell>
          <cell r="K228">
            <v>35</v>
          </cell>
          <cell r="L228">
            <v>2240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11008_1</v>
          </cell>
          <cell r="B229">
            <v>3</v>
          </cell>
          <cell r="C229">
            <v>11008</v>
          </cell>
          <cell r="D229" t="str">
            <v>【日曜限定】 青と黄の素材</v>
          </cell>
          <cell r="E229" t="str">
            <v>日曜クエスト</v>
          </cell>
          <cell r="F229">
            <v>1</v>
          </cell>
          <cell r="G229" t="str">
            <v>ja</v>
          </cell>
          <cell r="H229" t="str">
            <v xml:space="preserve">【初級】水と雷のチェシャ猫 </v>
          </cell>
          <cell r="I229" t="str">
            <v>初級</v>
          </cell>
          <cell r="J229">
            <v>109</v>
          </cell>
          <cell r="K229">
            <v>8</v>
          </cell>
          <cell r="L229">
            <v>240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11008_2</v>
          </cell>
          <cell r="B230">
            <v>3</v>
          </cell>
          <cell r="C230">
            <v>11008</v>
          </cell>
          <cell r="D230" t="str">
            <v>【日曜限定】 青と黄の素材</v>
          </cell>
          <cell r="E230" t="str">
            <v>日曜クエスト</v>
          </cell>
          <cell r="F230">
            <v>2</v>
          </cell>
          <cell r="G230" t="str">
            <v>ja</v>
          </cell>
          <cell r="H230" t="str">
            <v xml:space="preserve">【中級】水と雷のウサギ </v>
          </cell>
          <cell r="I230" t="str">
            <v>中級</v>
          </cell>
          <cell r="J230">
            <v>114</v>
          </cell>
          <cell r="K230">
            <v>15</v>
          </cell>
          <cell r="L230">
            <v>525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11008_3</v>
          </cell>
          <cell r="B231">
            <v>3</v>
          </cell>
          <cell r="C231">
            <v>11008</v>
          </cell>
          <cell r="D231" t="str">
            <v>【日曜限定】 青と黄の素材</v>
          </cell>
          <cell r="E231" t="str">
            <v>日曜クエスト</v>
          </cell>
          <cell r="F231">
            <v>3</v>
          </cell>
          <cell r="G231" t="str">
            <v>ja</v>
          </cell>
          <cell r="H231" t="str">
            <v xml:space="preserve">【上級】水と雷のイモムシ </v>
          </cell>
          <cell r="I231" t="str">
            <v>上級</v>
          </cell>
          <cell r="J231">
            <v>111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103</v>
          </cell>
          <cell r="AD231">
            <v>6</v>
          </cell>
          <cell r="AE231" t="str">
            <v>everyone</v>
          </cell>
        </row>
        <row r="232">
          <cell r="A232" t="str">
            <v>11008_4</v>
          </cell>
          <cell r="B232">
            <v>3</v>
          </cell>
          <cell r="C232">
            <v>11008</v>
          </cell>
          <cell r="D232" t="str">
            <v>【日曜限定】 青と黄の素材</v>
          </cell>
          <cell r="E232" t="str">
            <v>日曜クエスト</v>
          </cell>
          <cell r="F232">
            <v>4</v>
          </cell>
          <cell r="G232" t="str">
            <v>ja</v>
          </cell>
          <cell r="H232" t="str">
            <v xml:space="preserve">【超級】水と雷の帽子屋 </v>
          </cell>
          <cell r="I232" t="str">
            <v>超級（★5覚醒素材）</v>
          </cell>
          <cell r="J232">
            <v>116</v>
          </cell>
          <cell r="K232">
            <v>30</v>
          </cell>
          <cell r="L232">
            <v>1400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101</v>
          </cell>
          <cell r="AD232">
            <v>6</v>
          </cell>
          <cell r="AE232" t="str">
            <v>everyone</v>
          </cell>
        </row>
        <row r="233">
          <cell r="A233" t="str">
            <v>11008_5</v>
          </cell>
          <cell r="B233">
            <v>3</v>
          </cell>
          <cell r="C233">
            <v>11008</v>
          </cell>
          <cell r="D233" t="str">
            <v>【日曜限定】 青と黄の素材</v>
          </cell>
          <cell r="E233" t="str">
            <v>日曜クエスト</v>
          </cell>
          <cell r="F233">
            <v>5</v>
          </cell>
          <cell r="G233" t="str">
            <v>ja</v>
          </cell>
          <cell r="H233" t="str">
            <v>【超絶級】ウミガメとネズミ</v>
          </cell>
          <cell r="I233" t="str">
            <v>超絶級（★6覚醒素材）</v>
          </cell>
          <cell r="J233">
            <v>358</v>
          </cell>
          <cell r="K233">
            <v>35</v>
          </cell>
          <cell r="L233">
            <v>2240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11016_1</v>
          </cell>
          <cell r="B234">
            <v>3</v>
          </cell>
          <cell r="C234">
            <v>11016</v>
          </cell>
          <cell r="D234" t="str">
            <v>【マルチ専用1/2】 ゴールドカジノ</v>
          </cell>
          <cell r="E234" t="str">
            <v>土日クエスト1</v>
          </cell>
          <cell r="F234">
            <v>1</v>
          </cell>
          <cell r="G234" t="str">
            <v>ja</v>
          </cell>
          <cell r="H234" t="str">
            <v xml:space="preserve">【上級】ゴールドカジノ </v>
          </cell>
          <cell r="I234" t="str">
            <v>上級</v>
          </cell>
          <cell r="J234">
            <v>119</v>
          </cell>
          <cell r="K234">
            <v>10</v>
          </cell>
          <cell r="L234">
            <v>860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multionly</v>
          </cell>
        </row>
        <row r="235">
          <cell r="A235" t="str">
            <v>11017_1</v>
          </cell>
          <cell r="B235">
            <v>3</v>
          </cell>
          <cell r="C235">
            <v>11017</v>
          </cell>
          <cell r="D235" t="str">
            <v>【期間限定】リトルハンプティを追え！</v>
          </cell>
          <cell r="E235" t="str">
            <v>期間限定クエスト</v>
          </cell>
          <cell r="F235">
            <v>1</v>
          </cell>
          <cell r="G235" t="str">
            <v>ja</v>
          </cell>
          <cell r="H235" t="str">
            <v>【上級】リトルハンプティを追え！</v>
          </cell>
          <cell r="I235" t="str">
            <v>上級</v>
          </cell>
          <cell r="J235">
            <v>837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</v>
          </cell>
          <cell r="AD235">
            <v>6</v>
          </cell>
          <cell r="AE235" t="str">
            <v>everyone</v>
          </cell>
        </row>
        <row r="236">
          <cell r="A236" t="str">
            <v>11018_1</v>
          </cell>
          <cell r="B236">
            <v>3</v>
          </cell>
          <cell r="C236">
            <v>11018</v>
          </cell>
          <cell r="D236" t="str">
            <v>【エナジー1/2】 ゴールドカジノ</v>
          </cell>
          <cell r="E236" t="str">
            <v>土日クエスト1</v>
          </cell>
          <cell r="F236">
            <v>1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10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11101_1</v>
          </cell>
          <cell r="B237">
            <v>3</v>
          </cell>
          <cell r="C237">
            <v>11101</v>
          </cell>
          <cell r="D237" t="str">
            <v>【期間限定】 黄の素材</v>
          </cell>
          <cell r="E237" t="str">
            <v>月曜クエスト</v>
          </cell>
          <cell r="F237">
            <v>1</v>
          </cell>
          <cell r="G237" t="str">
            <v>ja</v>
          </cell>
          <cell r="H237" t="str">
            <v>【初級】雷のチェシャ猫</v>
          </cell>
          <cell r="I237" t="str">
            <v>初級</v>
          </cell>
          <cell r="J237">
            <v>113</v>
          </cell>
          <cell r="K237">
            <v>8</v>
          </cell>
          <cell r="L237">
            <v>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101</v>
          </cell>
          <cell r="AD237">
            <v>6</v>
          </cell>
          <cell r="AE237" t="str">
            <v>everyone</v>
          </cell>
        </row>
        <row r="238">
          <cell r="A238" t="str">
            <v>11101_2</v>
          </cell>
          <cell r="B238">
            <v>3</v>
          </cell>
          <cell r="C238">
            <v>11101</v>
          </cell>
          <cell r="D238" t="str">
            <v>【期間限定】 黄の素材</v>
          </cell>
          <cell r="E238" t="str">
            <v>月曜クエスト</v>
          </cell>
          <cell r="F238">
            <v>2</v>
          </cell>
          <cell r="G238" t="str">
            <v>ja</v>
          </cell>
          <cell r="H238" t="str">
            <v xml:space="preserve">【中級】雷のウサギ </v>
          </cell>
          <cell r="I238" t="str">
            <v>中級</v>
          </cell>
          <cell r="J238">
            <v>114</v>
          </cell>
          <cell r="K238">
            <v>15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101</v>
          </cell>
          <cell r="AD238">
            <v>6</v>
          </cell>
          <cell r="AE238" t="str">
            <v>everyone</v>
          </cell>
        </row>
        <row r="239">
          <cell r="A239" t="str">
            <v>11101_3</v>
          </cell>
          <cell r="B239">
            <v>0</v>
          </cell>
          <cell r="C239">
            <v>11101</v>
          </cell>
          <cell r="D239" t="str">
            <v>【期間限定】 黄の素材</v>
          </cell>
          <cell r="E239" t="str">
            <v>月曜クエスト</v>
          </cell>
          <cell r="F239">
            <v>3</v>
          </cell>
          <cell r="G239" t="str">
            <v>ja</v>
          </cell>
          <cell r="H239" t="str">
            <v>【上級】雷のイモムシ</v>
          </cell>
          <cell r="I239" t="str">
            <v>上級</v>
          </cell>
          <cell r="J239">
            <v>115</v>
          </cell>
          <cell r="K239">
            <v>20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101</v>
          </cell>
          <cell r="AD239">
            <v>6</v>
          </cell>
          <cell r="AE239" t="str">
            <v>everyone</v>
          </cell>
        </row>
        <row r="240">
          <cell r="A240" t="str">
            <v>11101_4</v>
          </cell>
          <cell r="B240">
            <v>3</v>
          </cell>
          <cell r="C240">
            <v>11101</v>
          </cell>
          <cell r="D240" t="str">
            <v>【期間限定】 黄の素材</v>
          </cell>
          <cell r="E240" t="str">
            <v>月曜クエスト</v>
          </cell>
          <cell r="F240">
            <v>4</v>
          </cell>
          <cell r="G240" t="str">
            <v>ja</v>
          </cell>
          <cell r="H240" t="str">
            <v>【上級】雷のイモムシ</v>
          </cell>
          <cell r="I240" t="str">
            <v>上級</v>
          </cell>
          <cell r="J240">
            <v>115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101</v>
          </cell>
          <cell r="AD240">
            <v>6</v>
          </cell>
          <cell r="AE240" t="str">
            <v>everyone</v>
          </cell>
        </row>
        <row r="241">
          <cell r="A241" t="str">
            <v>11101_10</v>
          </cell>
          <cell r="B241">
            <v>3</v>
          </cell>
          <cell r="C241">
            <v>11101</v>
          </cell>
          <cell r="D241" t="str">
            <v>【期間限定】 黄の素材</v>
          </cell>
          <cell r="E241" t="str">
            <v>月曜クエスト</v>
          </cell>
          <cell r="F241">
            <v>10</v>
          </cell>
          <cell r="G241" t="str">
            <v>ja</v>
          </cell>
          <cell r="H241" t="str">
            <v>【超絶級】醒電の眠りネズミ</v>
          </cell>
          <cell r="I241" t="str">
            <v>超絶級（★6覚醒素材）</v>
          </cell>
          <cell r="J241">
            <v>359</v>
          </cell>
          <cell r="K241">
            <v>35</v>
          </cell>
          <cell r="L241">
            <v>2240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101</v>
          </cell>
          <cell r="AD241">
            <v>6</v>
          </cell>
          <cell r="AE241" t="str">
            <v>everyone</v>
          </cell>
        </row>
        <row r="242">
          <cell r="A242" t="str">
            <v>11102_1</v>
          </cell>
          <cell r="B242">
            <v>3</v>
          </cell>
          <cell r="C242">
            <v>11102</v>
          </cell>
          <cell r="D242" t="str">
            <v>【期間限定】 赤の素材</v>
          </cell>
          <cell r="E242" t="str">
            <v>火曜クエスト</v>
          </cell>
          <cell r="F242">
            <v>1</v>
          </cell>
          <cell r="G242" t="str">
            <v>ja</v>
          </cell>
          <cell r="H242" t="str">
            <v xml:space="preserve">【初級】火のチェシャ猫 </v>
          </cell>
          <cell r="I242" t="str">
            <v>初級</v>
          </cell>
          <cell r="J242">
            <v>101</v>
          </cell>
          <cell r="K242">
            <v>8</v>
          </cell>
          <cell r="L242">
            <v>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102</v>
          </cell>
          <cell r="AD242">
            <v>6</v>
          </cell>
          <cell r="AE242" t="str">
            <v>everyone</v>
          </cell>
        </row>
        <row r="243">
          <cell r="A243" t="str">
            <v>11102_2</v>
          </cell>
          <cell r="B243">
            <v>3</v>
          </cell>
          <cell r="C243">
            <v>11102</v>
          </cell>
          <cell r="D243" t="str">
            <v>【期間限定】 赤の素材</v>
          </cell>
          <cell r="E243" t="str">
            <v>火曜クエスト</v>
          </cell>
          <cell r="F243">
            <v>2</v>
          </cell>
          <cell r="G243" t="str">
            <v>ja</v>
          </cell>
          <cell r="H243" t="str">
            <v xml:space="preserve">【中級】火のウサギ </v>
          </cell>
          <cell r="I243" t="str">
            <v>中級</v>
          </cell>
          <cell r="J243">
            <v>102</v>
          </cell>
          <cell r="K243">
            <v>15</v>
          </cell>
          <cell r="L243">
            <v>525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11102_3</v>
          </cell>
          <cell r="B244">
            <v>0</v>
          </cell>
          <cell r="C244">
            <v>11102</v>
          </cell>
          <cell r="D244" t="str">
            <v>【期間限定】 赤の素材</v>
          </cell>
          <cell r="E244" t="str">
            <v>火曜クエスト</v>
          </cell>
          <cell r="F244">
            <v>3</v>
          </cell>
          <cell r="G244" t="str">
            <v>ja</v>
          </cell>
          <cell r="H244" t="str">
            <v xml:space="preserve">【上級】火のイモムシ </v>
          </cell>
          <cell r="I244" t="str">
            <v>上級</v>
          </cell>
          <cell r="J244">
            <v>103</v>
          </cell>
          <cell r="K244">
            <v>20</v>
          </cell>
          <cell r="L244">
            <v>860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102</v>
          </cell>
          <cell r="AD244">
            <v>6</v>
          </cell>
          <cell r="AE244" t="str">
            <v>everyone</v>
          </cell>
        </row>
        <row r="245">
          <cell r="A245" t="str">
            <v>11102_4</v>
          </cell>
          <cell r="B245">
            <v>3</v>
          </cell>
          <cell r="C245">
            <v>11102</v>
          </cell>
          <cell r="D245" t="str">
            <v>【期間限定】 赤の素材</v>
          </cell>
          <cell r="E245" t="str">
            <v>火曜クエスト</v>
          </cell>
          <cell r="F245">
            <v>4</v>
          </cell>
          <cell r="G245" t="str">
            <v>ja</v>
          </cell>
          <cell r="H245" t="str">
            <v xml:space="preserve">【上級】火のイモムシ </v>
          </cell>
          <cell r="I245" t="str">
            <v>上級</v>
          </cell>
          <cell r="J245">
            <v>103</v>
          </cell>
          <cell r="K245">
            <v>20</v>
          </cell>
          <cell r="L245">
            <v>860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102</v>
          </cell>
          <cell r="AD245">
            <v>6</v>
          </cell>
          <cell r="AE245" t="str">
            <v>everyone</v>
          </cell>
        </row>
        <row r="246">
          <cell r="A246" t="str">
            <v>11102_10</v>
          </cell>
          <cell r="B246">
            <v>3</v>
          </cell>
          <cell r="C246">
            <v>11102</v>
          </cell>
          <cell r="D246" t="str">
            <v>【期間限定】 赤の素材</v>
          </cell>
          <cell r="E246" t="str">
            <v>火曜クエスト</v>
          </cell>
          <cell r="F246">
            <v>10</v>
          </cell>
          <cell r="G246" t="str">
            <v>ja</v>
          </cell>
          <cell r="H246" t="str">
            <v>【超絶級】炎上のドードー</v>
          </cell>
          <cell r="I246" t="str">
            <v>超絶級（★6覚醒素材）</v>
          </cell>
          <cell r="J246">
            <v>356</v>
          </cell>
          <cell r="K246">
            <v>35</v>
          </cell>
          <cell r="L246">
            <v>2240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102</v>
          </cell>
          <cell r="AD246">
            <v>6</v>
          </cell>
          <cell r="AE246" t="str">
            <v>everyone</v>
          </cell>
        </row>
        <row r="247">
          <cell r="A247" t="str">
            <v>11103_1</v>
          </cell>
          <cell r="B247">
            <v>3</v>
          </cell>
          <cell r="C247">
            <v>11103</v>
          </cell>
          <cell r="D247" t="str">
            <v>【期間限定】 青の素材</v>
          </cell>
          <cell r="E247" t="str">
            <v>水曜クエスト</v>
          </cell>
          <cell r="F247">
            <v>1</v>
          </cell>
          <cell r="G247" t="str">
            <v>ja</v>
          </cell>
          <cell r="H247" t="str">
            <v>【初級】水のチェシャ猫</v>
          </cell>
          <cell r="I247" t="str">
            <v>初級</v>
          </cell>
          <cell r="J247">
            <v>109</v>
          </cell>
          <cell r="K247">
            <v>8</v>
          </cell>
          <cell r="L247">
            <v>240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103</v>
          </cell>
          <cell r="AD247">
            <v>6</v>
          </cell>
          <cell r="AE247" t="str">
            <v>everyone</v>
          </cell>
        </row>
        <row r="248">
          <cell r="A248" t="str">
            <v>11103_2</v>
          </cell>
          <cell r="B248">
            <v>3</v>
          </cell>
          <cell r="C248">
            <v>11103</v>
          </cell>
          <cell r="D248" t="str">
            <v>【期間限定】 青の素材</v>
          </cell>
          <cell r="E248" t="str">
            <v>水曜クエスト</v>
          </cell>
          <cell r="F248">
            <v>2</v>
          </cell>
          <cell r="G248" t="str">
            <v>ja</v>
          </cell>
          <cell r="H248" t="str">
            <v xml:space="preserve">【中級】水のウサギ </v>
          </cell>
          <cell r="I248" t="str">
            <v>中級</v>
          </cell>
          <cell r="J248">
            <v>110</v>
          </cell>
          <cell r="K248">
            <v>15</v>
          </cell>
          <cell r="L248">
            <v>525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103</v>
          </cell>
          <cell r="AD248">
            <v>6</v>
          </cell>
          <cell r="AE248" t="str">
            <v>everyone</v>
          </cell>
        </row>
        <row r="249">
          <cell r="A249" t="str">
            <v>11103_3</v>
          </cell>
          <cell r="B249">
            <v>0</v>
          </cell>
          <cell r="C249">
            <v>11103</v>
          </cell>
          <cell r="D249" t="str">
            <v>【期間限定】 青の素材</v>
          </cell>
          <cell r="E249" t="str">
            <v>水曜クエスト</v>
          </cell>
          <cell r="F249">
            <v>3</v>
          </cell>
          <cell r="G249" t="str">
            <v>ja</v>
          </cell>
          <cell r="H249" t="str">
            <v xml:space="preserve">【上級】水のイモムシ </v>
          </cell>
          <cell r="I249" t="str">
            <v>上級</v>
          </cell>
          <cell r="J249">
            <v>111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103</v>
          </cell>
          <cell r="AD249">
            <v>6</v>
          </cell>
          <cell r="AE249" t="str">
            <v>everyone</v>
          </cell>
        </row>
        <row r="250">
          <cell r="A250" t="str">
            <v>11103_4</v>
          </cell>
          <cell r="B250">
            <v>3</v>
          </cell>
          <cell r="C250">
            <v>11103</v>
          </cell>
          <cell r="D250" t="str">
            <v>【期間限定】 青の素材</v>
          </cell>
          <cell r="E250" t="str">
            <v>水曜クエスト</v>
          </cell>
          <cell r="F250">
            <v>4</v>
          </cell>
          <cell r="G250" t="str">
            <v>ja</v>
          </cell>
          <cell r="H250" t="str">
            <v xml:space="preserve">【上級】水のイモムシ </v>
          </cell>
          <cell r="I250" t="str">
            <v>上級</v>
          </cell>
          <cell r="J250">
            <v>111</v>
          </cell>
          <cell r="K250">
            <v>20</v>
          </cell>
          <cell r="L250">
            <v>860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103</v>
          </cell>
          <cell r="AD250">
            <v>6</v>
          </cell>
          <cell r="AE250" t="str">
            <v>everyone</v>
          </cell>
        </row>
        <row r="251">
          <cell r="A251" t="str">
            <v>11103_10</v>
          </cell>
          <cell r="B251">
            <v>3</v>
          </cell>
          <cell r="C251">
            <v>11103</v>
          </cell>
          <cell r="D251" t="str">
            <v>【期間限定】 青の素材</v>
          </cell>
          <cell r="E251" t="str">
            <v>水曜クエスト</v>
          </cell>
          <cell r="F251">
            <v>10</v>
          </cell>
          <cell r="G251" t="str">
            <v>ja</v>
          </cell>
          <cell r="H251" t="str">
            <v>【超絶級】深淵の代用ウミガメ</v>
          </cell>
          <cell r="I251" t="str">
            <v>超絶級（★6覚醒素材）</v>
          </cell>
          <cell r="J251">
            <v>358</v>
          </cell>
          <cell r="K251">
            <v>35</v>
          </cell>
          <cell r="L251">
            <v>2240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103</v>
          </cell>
          <cell r="AD251">
            <v>6</v>
          </cell>
          <cell r="AE251" t="str">
            <v>everyone</v>
          </cell>
        </row>
        <row r="252">
          <cell r="A252" t="str">
            <v>11104_1</v>
          </cell>
          <cell r="B252">
            <v>3</v>
          </cell>
          <cell r="C252">
            <v>11104</v>
          </cell>
          <cell r="D252" t="str">
            <v>【期間限定】 緑の素材</v>
          </cell>
          <cell r="E252" t="str">
            <v>木曜クエスト</v>
          </cell>
          <cell r="F252">
            <v>1</v>
          </cell>
          <cell r="G252" t="str">
            <v>ja</v>
          </cell>
          <cell r="H252" t="str">
            <v xml:space="preserve">【初級】樹のチェシャ猫 </v>
          </cell>
          <cell r="I252" t="str">
            <v>初級</v>
          </cell>
          <cell r="J252">
            <v>105</v>
          </cell>
          <cell r="K252">
            <v>8</v>
          </cell>
          <cell r="L252">
            <v>240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104</v>
          </cell>
          <cell r="AD252">
            <v>6</v>
          </cell>
          <cell r="AE252" t="str">
            <v>everyone</v>
          </cell>
        </row>
        <row r="253">
          <cell r="A253" t="str">
            <v>11104_2</v>
          </cell>
          <cell r="B253">
            <v>3</v>
          </cell>
          <cell r="C253">
            <v>11104</v>
          </cell>
          <cell r="D253" t="str">
            <v>【期間限定】 緑の素材</v>
          </cell>
          <cell r="E253" t="str">
            <v>木曜クエスト</v>
          </cell>
          <cell r="F253">
            <v>2</v>
          </cell>
          <cell r="G253" t="str">
            <v>ja</v>
          </cell>
          <cell r="H253" t="str">
            <v xml:space="preserve">【中級】樹のウサギ </v>
          </cell>
          <cell r="I253" t="str">
            <v>中級</v>
          </cell>
          <cell r="J253">
            <v>106</v>
          </cell>
          <cell r="K253">
            <v>15</v>
          </cell>
          <cell r="L253">
            <v>525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104</v>
          </cell>
          <cell r="AD253">
            <v>6</v>
          </cell>
          <cell r="AE253" t="str">
            <v>everyone</v>
          </cell>
        </row>
        <row r="254">
          <cell r="A254" t="str">
            <v>11104_3</v>
          </cell>
          <cell r="B254">
            <v>0</v>
          </cell>
          <cell r="C254">
            <v>11104</v>
          </cell>
          <cell r="D254" t="str">
            <v>【期間限定】 緑の素材</v>
          </cell>
          <cell r="E254" t="str">
            <v>木曜クエスト</v>
          </cell>
          <cell r="F254">
            <v>3</v>
          </cell>
          <cell r="G254" t="str">
            <v>ja</v>
          </cell>
          <cell r="H254" t="str">
            <v>【上級】樹のイモムシ</v>
          </cell>
          <cell r="I254" t="str">
            <v>上級</v>
          </cell>
          <cell r="J254">
            <v>107</v>
          </cell>
          <cell r="K254">
            <v>20</v>
          </cell>
          <cell r="L254">
            <v>860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104</v>
          </cell>
          <cell r="AD254">
            <v>6</v>
          </cell>
          <cell r="AE254" t="str">
            <v>everyone</v>
          </cell>
        </row>
        <row r="255">
          <cell r="A255" t="str">
            <v>11104_4</v>
          </cell>
          <cell r="B255">
            <v>3</v>
          </cell>
          <cell r="C255">
            <v>11104</v>
          </cell>
          <cell r="D255" t="str">
            <v>【期間限定】 緑の素材</v>
          </cell>
          <cell r="E255" t="str">
            <v>木曜クエスト</v>
          </cell>
          <cell r="F255">
            <v>4</v>
          </cell>
          <cell r="G255" t="str">
            <v>ja</v>
          </cell>
          <cell r="H255" t="str">
            <v>【上級】樹のイモムシ</v>
          </cell>
          <cell r="I255" t="str">
            <v>上級</v>
          </cell>
          <cell r="J255">
            <v>107</v>
          </cell>
          <cell r="K255">
            <v>20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104</v>
          </cell>
          <cell r="AD255">
            <v>6</v>
          </cell>
          <cell r="AE255" t="str">
            <v>everyone</v>
          </cell>
        </row>
        <row r="256">
          <cell r="A256" t="str">
            <v>11104_10</v>
          </cell>
          <cell r="B256">
            <v>3</v>
          </cell>
          <cell r="C256">
            <v>11104</v>
          </cell>
          <cell r="D256" t="str">
            <v>【期間限定】 緑の素材</v>
          </cell>
          <cell r="E256" t="str">
            <v>木曜クエスト</v>
          </cell>
          <cell r="F256">
            <v>10</v>
          </cell>
          <cell r="G256" t="str">
            <v>ja</v>
          </cell>
          <cell r="H256" t="str">
            <v>【超絶級】千風のグリフォン</v>
          </cell>
          <cell r="I256" t="str">
            <v>超絶級（★6覚醒素材）</v>
          </cell>
          <cell r="J256">
            <v>357</v>
          </cell>
          <cell r="K256">
            <v>35</v>
          </cell>
          <cell r="L256">
            <v>2240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104</v>
          </cell>
          <cell r="AD256">
            <v>6</v>
          </cell>
          <cell r="AE256" t="str">
            <v>everyone</v>
          </cell>
        </row>
        <row r="257">
          <cell r="A257" t="str">
            <v>11105_1</v>
          </cell>
          <cell r="B257">
            <v>3</v>
          </cell>
          <cell r="C257">
            <v>11105</v>
          </cell>
          <cell r="D257" t="str">
            <v>【期間限定】 帽子屋を追え！</v>
          </cell>
          <cell r="E257" t="str">
            <v>金曜クエスト</v>
          </cell>
          <cell r="F257">
            <v>1</v>
          </cell>
          <cell r="G257" t="str">
            <v>ja</v>
          </cell>
          <cell r="H257" t="str">
            <v xml:space="preserve">【超級】火の帽子屋 </v>
          </cell>
          <cell r="I257" t="str">
            <v>赤R5</v>
          </cell>
          <cell r="J257">
            <v>104</v>
          </cell>
          <cell r="K257">
            <v>30</v>
          </cell>
          <cell r="L257">
            <v>1400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102</v>
          </cell>
          <cell r="AD257">
            <v>6</v>
          </cell>
          <cell r="AE257" t="str">
            <v>everyone</v>
          </cell>
        </row>
        <row r="258">
          <cell r="A258" t="str">
            <v>11105_2</v>
          </cell>
          <cell r="B258">
            <v>3</v>
          </cell>
          <cell r="C258">
            <v>11105</v>
          </cell>
          <cell r="D258" t="str">
            <v>【期間限定】 帽子屋を追え！</v>
          </cell>
          <cell r="E258" t="str">
            <v>金曜クエスト</v>
          </cell>
          <cell r="F258">
            <v>2</v>
          </cell>
          <cell r="G258" t="str">
            <v>ja</v>
          </cell>
          <cell r="H258" t="str">
            <v>【超級】樹の帽子屋</v>
          </cell>
          <cell r="I258" t="str">
            <v>緑R5</v>
          </cell>
          <cell r="J258">
            <v>108</v>
          </cell>
          <cell r="K258">
            <v>30</v>
          </cell>
          <cell r="L258">
            <v>1400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104</v>
          </cell>
          <cell r="AD258">
            <v>6</v>
          </cell>
          <cell r="AE258" t="str">
            <v>everyone</v>
          </cell>
        </row>
        <row r="259">
          <cell r="A259" t="str">
            <v>11105_3</v>
          </cell>
          <cell r="B259">
            <v>3</v>
          </cell>
          <cell r="C259">
            <v>11105</v>
          </cell>
          <cell r="D259" t="str">
            <v>【期間限定】 帽子屋を追え！</v>
          </cell>
          <cell r="E259" t="str">
            <v>金曜クエスト</v>
          </cell>
          <cell r="F259">
            <v>3</v>
          </cell>
          <cell r="G259" t="str">
            <v>ja</v>
          </cell>
          <cell r="H259" t="str">
            <v xml:space="preserve">【超級】水の帽子屋 </v>
          </cell>
          <cell r="I259" t="str">
            <v>青R5</v>
          </cell>
          <cell r="J259">
            <v>112</v>
          </cell>
          <cell r="K259">
            <v>30</v>
          </cell>
          <cell r="L259">
            <v>1400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103</v>
          </cell>
          <cell r="AD259">
            <v>6</v>
          </cell>
          <cell r="AE259" t="str">
            <v>everyone</v>
          </cell>
        </row>
        <row r="260">
          <cell r="A260" t="str">
            <v>11105_4</v>
          </cell>
          <cell r="B260">
            <v>3</v>
          </cell>
          <cell r="C260">
            <v>11105</v>
          </cell>
          <cell r="D260" t="str">
            <v>【期間限定】 帽子屋を追え！</v>
          </cell>
          <cell r="E260" t="str">
            <v>金曜クエスト</v>
          </cell>
          <cell r="F260">
            <v>4</v>
          </cell>
          <cell r="G260" t="str">
            <v>ja</v>
          </cell>
          <cell r="H260" t="str">
            <v xml:space="preserve">【超級】雷の帽子屋 </v>
          </cell>
          <cell r="I260" t="str">
            <v>黄R5</v>
          </cell>
          <cell r="J260">
            <v>116</v>
          </cell>
          <cell r="K260">
            <v>30</v>
          </cell>
          <cell r="L260">
            <v>1400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101</v>
          </cell>
          <cell r="AD260">
            <v>6</v>
          </cell>
          <cell r="AE260" t="str">
            <v>everyone</v>
          </cell>
        </row>
        <row r="261">
          <cell r="A261" t="str">
            <v>11106_1</v>
          </cell>
          <cell r="B261">
            <v>0</v>
          </cell>
          <cell r="C261">
            <v>11106</v>
          </cell>
          <cell r="D261" t="str">
            <v>【キャンペーン限定】 ゴールドカジノ</v>
          </cell>
          <cell r="E261" t="str">
            <v>土日クエスト1</v>
          </cell>
          <cell r="F261">
            <v>1</v>
          </cell>
          <cell r="G261" t="str">
            <v>ja</v>
          </cell>
          <cell r="H261" t="str">
            <v xml:space="preserve">【初級】ゴールドカジノ </v>
          </cell>
          <cell r="I261" t="str">
            <v>初級</v>
          </cell>
          <cell r="J261">
            <v>117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11106_2</v>
          </cell>
          <cell r="B262">
            <v>0</v>
          </cell>
          <cell r="C262">
            <v>11106</v>
          </cell>
          <cell r="D262" t="str">
            <v>【キャンペーン限定】 ゴールドカジノ</v>
          </cell>
          <cell r="E262" t="str">
            <v>土日クエスト1</v>
          </cell>
          <cell r="F262">
            <v>2</v>
          </cell>
          <cell r="G262" t="str">
            <v>ja</v>
          </cell>
          <cell r="H262" t="str">
            <v xml:space="preserve">【中級】ゴールドカジノ </v>
          </cell>
          <cell r="I262" t="str">
            <v>中級</v>
          </cell>
          <cell r="J262">
            <v>118</v>
          </cell>
          <cell r="K262">
            <v>15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105</v>
          </cell>
          <cell r="AD262">
            <v>6</v>
          </cell>
          <cell r="AE262" t="str">
            <v>everyone</v>
          </cell>
        </row>
        <row r="263">
          <cell r="A263" t="str">
            <v>11106_3</v>
          </cell>
          <cell r="B263">
            <v>0</v>
          </cell>
          <cell r="C263">
            <v>11106</v>
          </cell>
          <cell r="D263" t="str">
            <v>【キャンペーン限定】 ゴールドカジノ</v>
          </cell>
          <cell r="E263" t="str">
            <v>土日クエスト1</v>
          </cell>
          <cell r="F263">
            <v>3</v>
          </cell>
          <cell r="G263" t="str">
            <v>ja</v>
          </cell>
          <cell r="H263" t="str">
            <v xml:space="preserve">【上級】ゴールドカジノ </v>
          </cell>
          <cell r="I263" t="str">
            <v>上級</v>
          </cell>
          <cell r="J263">
            <v>119</v>
          </cell>
          <cell r="K263">
            <v>20</v>
          </cell>
          <cell r="L263">
            <v>860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everyone</v>
          </cell>
        </row>
        <row r="264">
          <cell r="A264" t="str">
            <v>11206_1</v>
          </cell>
          <cell r="B264">
            <v>0</v>
          </cell>
          <cell r="C264">
            <v>11206</v>
          </cell>
          <cell r="D264" t="str">
            <v>【キャンペーン限定】 ゴールドカジノ</v>
          </cell>
          <cell r="E264" t="str">
            <v>土日クエスト2</v>
          </cell>
          <cell r="F264">
            <v>1</v>
          </cell>
          <cell r="G264" t="str">
            <v>ja</v>
          </cell>
          <cell r="H264" t="str">
            <v>【初級】ゴールドカジノ</v>
          </cell>
          <cell r="I264" t="str">
            <v>初級</v>
          </cell>
          <cell r="J264">
            <v>117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everyone</v>
          </cell>
        </row>
        <row r="265">
          <cell r="A265" t="str">
            <v>11206_2</v>
          </cell>
          <cell r="B265">
            <v>0</v>
          </cell>
          <cell r="C265">
            <v>11206</v>
          </cell>
          <cell r="D265" t="str">
            <v>【キャンペーン限定】 ゴールドカジノ</v>
          </cell>
          <cell r="E265" t="str">
            <v>土日クエスト2</v>
          </cell>
          <cell r="F265">
            <v>2</v>
          </cell>
          <cell r="G265" t="str">
            <v>ja</v>
          </cell>
          <cell r="H265" t="str">
            <v xml:space="preserve">【中級】ゴールドカジノ </v>
          </cell>
          <cell r="I265" t="str">
            <v>中級</v>
          </cell>
          <cell r="J265">
            <v>118</v>
          </cell>
          <cell r="K265">
            <v>15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everyone</v>
          </cell>
        </row>
        <row r="266">
          <cell r="A266" t="str">
            <v>11206_3</v>
          </cell>
          <cell r="B266">
            <v>0</v>
          </cell>
          <cell r="C266">
            <v>11206</v>
          </cell>
          <cell r="D266" t="str">
            <v>【キャンペーン限定】 ゴールドカジノ</v>
          </cell>
          <cell r="E266" t="str">
            <v>土日クエスト2</v>
          </cell>
          <cell r="F266">
            <v>3</v>
          </cell>
          <cell r="G266" t="str">
            <v>ja</v>
          </cell>
          <cell r="H266" t="str">
            <v xml:space="preserve">【上級】ゴールドカジノ </v>
          </cell>
          <cell r="I266" t="str">
            <v>上級</v>
          </cell>
          <cell r="J266">
            <v>119</v>
          </cell>
          <cell r="K266">
            <v>20</v>
          </cell>
          <cell r="L266">
            <v>860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105</v>
          </cell>
          <cell r="AD266">
            <v>6</v>
          </cell>
          <cell r="AE266" t="str">
            <v>everyone</v>
          </cell>
        </row>
        <row r="267">
          <cell r="A267" t="str">
            <v>11207_1</v>
          </cell>
          <cell r="B267">
            <v>3</v>
          </cell>
          <cell r="C267">
            <v>11207</v>
          </cell>
          <cell r="D267" t="str">
            <v>果実達の大宴会</v>
          </cell>
          <cell r="E267">
            <v>0</v>
          </cell>
          <cell r="F267">
            <v>1</v>
          </cell>
          <cell r="G267" t="str">
            <v>ja</v>
          </cell>
          <cell r="H267" t="str">
            <v>【上級】果実達の大宴会</v>
          </cell>
          <cell r="I267" t="str">
            <v>ボーナス</v>
          </cell>
          <cell r="J267" t="str">
            <v>NULL</v>
          </cell>
          <cell r="K267">
            <v>20</v>
          </cell>
          <cell r="L267">
            <v>525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21</v>
          </cell>
          <cell r="AD267">
            <v>6</v>
          </cell>
          <cell r="AE267" t="str">
            <v>singleonly</v>
          </cell>
        </row>
        <row r="268">
          <cell r="A268" t="str">
            <v>11207_2</v>
          </cell>
          <cell r="B268">
            <v>3</v>
          </cell>
          <cell r="C268">
            <v>11207</v>
          </cell>
          <cell r="D268" t="str">
            <v>果実達の大宴会</v>
          </cell>
          <cell r="E268">
            <v>0</v>
          </cell>
          <cell r="F268">
            <v>2</v>
          </cell>
          <cell r="G268" t="str">
            <v>ja</v>
          </cell>
          <cell r="H268" t="str">
            <v>【超級】果実達の大宴会</v>
          </cell>
          <cell r="I268" t="str">
            <v>ボーナス</v>
          </cell>
          <cell r="J268">
            <v>610</v>
          </cell>
          <cell r="K268">
            <v>30</v>
          </cell>
          <cell r="L268">
            <v>860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0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21</v>
          </cell>
          <cell r="AD268">
            <v>6</v>
          </cell>
          <cell r="AE268" t="str">
            <v>singleonly</v>
          </cell>
        </row>
        <row r="269">
          <cell r="A269" t="str">
            <v>11208_1</v>
          </cell>
          <cell r="B269">
            <v>0</v>
          </cell>
          <cell r="C269">
            <v>11208</v>
          </cell>
          <cell r="D269" t="str">
            <v>果実達の大宴会</v>
          </cell>
          <cell r="E269">
            <v>0</v>
          </cell>
          <cell r="F269">
            <v>1</v>
          </cell>
          <cell r="G269" t="str">
            <v>ja</v>
          </cell>
          <cell r="H269" t="str">
            <v>【上級】果実達の大宴会</v>
          </cell>
          <cell r="I269" t="str">
            <v>ボーナス</v>
          </cell>
          <cell r="J269" t="str">
            <v>NULL</v>
          </cell>
          <cell r="K269">
            <v>20</v>
          </cell>
          <cell r="L269">
            <v>525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21</v>
          </cell>
          <cell r="AD269">
            <v>6</v>
          </cell>
          <cell r="AE269" t="str">
            <v>singleonly</v>
          </cell>
        </row>
        <row r="270">
          <cell r="A270" t="str">
            <v>11208_2</v>
          </cell>
          <cell r="B270">
            <v>0</v>
          </cell>
          <cell r="C270">
            <v>11208</v>
          </cell>
          <cell r="D270" t="str">
            <v>果実達の大宴会</v>
          </cell>
          <cell r="E270">
            <v>0</v>
          </cell>
          <cell r="F270">
            <v>2</v>
          </cell>
          <cell r="G270" t="str">
            <v>ja</v>
          </cell>
          <cell r="H270" t="str">
            <v>【超級】果実達の大宴会</v>
          </cell>
          <cell r="I270" t="str">
            <v>ボーナス</v>
          </cell>
          <cell r="J270">
            <v>125</v>
          </cell>
          <cell r="K270">
            <v>40</v>
          </cell>
          <cell r="L270">
            <v>860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21</v>
          </cell>
          <cell r="AD270">
            <v>6</v>
          </cell>
          <cell r="AE270" t="str">
            <v>singleonly</v>
          </cell>
        </row>
        <row r="271">
          <cell r="A271" t="str">
            <v>11209_1</v>
          </cell>
          <cell r="B271">
            <v>3</v>
          </cell>
          <cell r="C271">
            <v>11209</v>
          </cell>
          <cell r="D271" t="str">
            <v>スタートダッシュキャンペーンクエスト</v>
          </cell>
          <cell r="E271" t="str">
            <v>スタートダッシュキャンペーンクエスト</v>
          </cell>
          <cell r="F271">
            <v>1</v>
          </cell>
          <cell r="G271" t="str">
            <v>ja</v>
          </cell>
          <cell r="H271" t="str">
            <v>【初級】メタルダックを捕獲せよ！</v>
          </cell>
          <cell r="I271" t="str">
            <v>経験値ゲリラ</v>
          </cell>
          <cell r="J271">
            <v>334</v>
          </cell>
          <cell r="K271">
            <v>8</v>
          </cell>
          <cell r="L271">
            <v>140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0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201</v>
          </cell>
          <cell r="AD271">
            <v>6</v>
          </cell>
          <cell r="AE271" t="str">
            <v>everyone</v>
          </cell>
        </row>
        <row r="272">
          <cell r="A272" t="str">
            <v>11209_2</v>
          </cell>
          <cell r="B272">
            <v>3</v>
          </cell>
          <cell r="C272">
            <v>11209</v>
          </cell>
          <cell r="D272" t="str">
            <v>スタートダッシュキャンペーンクエスト</v>
          </cell>
          <cell r="E272" t="str">
            <v>スタートダッシュキャンペーンクエスト</v>
          </cell>
          <cell r="F272">
            <v>2</v>
          </cell>
          <cell r="G272" t="str">
            <v>ja</v>
          </cell>
          <cell r="H272" t="str">
            <v>【初級】ゴールドカジノ</v>
          </cell>
          <cell r="I272" t="str">
            <v>初級</v>
          </cell>
          <cell r="J272">
            <v>117</v>
          </cell>
          <cell r="K272">
            <v>8</v>
          </cell>
          <cell r="L272">
            <v>140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105</v>
          </cell>
          <cell r="AD272">
            <v>6</v>
          </cell>
          <cell r="AE272" t="str">
            <v>everyone</v>
          </cell>
        </row>
        <row r="273">
          <cell r="A273" t="str">
            <v>11212_1</v>
          </cell>
          <cell r="B273">
            <v>1</v>
          </cell>
          <cell r="C273">
            <v>11212</v>
          </cell>
          <cell r="D273" t="str">
            <v>100万DL記念★特別クエスト</v>
          </cell>
          <cell r="E273" t="str">
            <v>100万DL記念★特別クエスト</v>
          </cell>
          <cell r="F273">
            <v>1</v>
          </cell>
          <cell r="G273" t="str">
            <v>ja</v>
          </cell>
          <cell r="H273" t="str">
            <v>ミリオンダックより愛をこめて</v>
          </cell>
          <cell r="I273" t="str">
            <v>100万DL記念限定クエスト</v>
          </cell>
          <cell r="J273">
            <v>97</v>
          </cell>
          <cell r="K273">
            <v>1</v>
          </cell>
          <cell r="L273">
            <v>100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once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11213_1</v>
          </cell>
          <cell r="B274">
            <v>0</v>
          </cell>
          <cell r="C274">
            <v>11213</v>
          </cell>
          <cell r="D274" t="str">
            <v>クエスト名</v>
          </cell>
          <cell r="E274" t="str">
            <v>【超級】カジノ</v>
          </cell>
          <cell r="F274">
            <v>1</v>
          </cell>
          <cell r="G274" t="str">
            <v>ja</v>
          </cell>
          <cell r="H274" t="str">
            <v xml:space="preserve">【超級】ゴールドカジノ </v>
          </cell>
          <cell r="I274" t="str">
            <v>超級カジノ</v>
          </cell>
          <cell r="J274">
            <v>119</v>
          </cell>
          <cell r="K274">
            <v>30</v>
          </cell>
          <cell r="L274">
            <v>777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105</v>
          </cell>
          <cell r="AD274">
            <v>6</v>
          </cell>
          <cell r="AE274" t="str">
            <v>everyone</v>
          </cell>
        </row>
        <row r="275">
          <cell r="A275" t="str">
            <v>11214_1</v>
          </cell>
          <cell r="B275">
            <v>0</v>
          </cell>
          <cell r="C275">
            <v>11214</v>
          </cell>
          <cell r="D275" t="str">
            <v>プロメテウスの恋</v>
          </cell>
          <cell r="E275" t="str">
            <v>2015年クリスマスクエスト</v>
          </cell>
          <cell r="F275">
            <v>1</v>
          </cell>
          <cell r="G275" t="str">
            <v>ja</v>
          </cell>
          <cell r="H275" t="str">
            <v>【ストーリー前編】勢いまかせ</v>
          </cell>
          <cell r="I275" t="str">
            <v>2015年クリスマスクエスト</v>
          </cell>
          <cell r="J275">
            <v>202</v>
          </cell>
          <cell r="K275">
            <v>1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520,521,522,523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1</v>
          </cell>
          <cell r="AD275">
            <v>6</v>
          </cell>
          <cell r="AE275" t="str">
            <v>singleonly</v>
          </cell>
        </row>
        <row r="276">
          <cell r="A276" t="str">
            <v>11214_2</v>
          </cell>
          <cell r="B276">
            <v>0</v>
          </cell>
          <cell r="C276">
            <v>11214</v>
          </cell>
          <cell r="D276" t="str">
            <v>プロメテウスの恋</v>
          </cell>
          <cell r="E276" t="str">
            <v>2015年クリスマスクエスト</v>
          </cell>
          <cell r="F276">
            <v>2</v>
          </cell>
          <cell r="G276" t="str">
            <v>ja</v>
          </cell>
          <cell r="H276" t="str">
            <v>【ストーリー中編】恋の奥義</v>
          </cell>
          <cell r="I276" t="str">
            <v>幻と化したボツステージ</v>
          </cell>
          <cell r="J276">
            <v>202</v>
          </cell>
          <cell r="K276">
            <v>1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none</v>
          </cell>
          <cell r="T276">
            <v>0</v>
          </cell>
          <cell r="U276">
            <v>11214</v>
          </cell>
          <cell r="V276">
            <v>1</v>
          </cell>
          <cell r="W276" t="str">
            <v>【ストーリー前編】勢いまかせ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105</v>
          </cell>
          <cell r="AD276">
            <v>6</v>
          </cell>
          <cell r="AE276" t="str">
            <v>singleonly</v>
          </cell>
        </row>
        <row r="277">
          <cell r="A277" t="str">
            <v>11214_3</v>
          </cell>
          <cell r="B277">
            <v>0</v>
          </cell>
          <cell r="C277">
            <v>11214</v>
          </cell>
          <cell r="D277" t="str">
            <v>プロメテウスの恋</v>
          </cell>
          <cell r="E277" t="str">
            <v>2015年クリスマスクエスト</v>
          </cell>
          <cell r="F277">
            <v>3</v>
          </cell>
          <cell r="G277" t="str">
            <v>ja</v>
          </cell>
          <cell r="H277" t="str">
            <v>【ストーリー後編】フィーバーの力</v>
          </cell>
          <cell r="I277" t="str">
            <v>2015年クリスマスクエスト</v>
          </cell>
          <cell r="J277">
            <v>202</v>
          </cell>
          <cell r="K277">
            <v>1</v>
          </cell>
          <cell r="L277">
            <v>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520,521,522,523</v>
          </cell>
          <cell r="U277">
            <v>11214</v>
          </cell>
          <cell r="V277">
            <v>1</v>
          </cell>
          <cell r="W277" t="str">
            <v>【ストーリー前編】勢いまかせ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105</v>
          </cell>
          <cell r="AD277">
            <v>6</v>
          </cell>
          <cell r="AE277" t="str">
            <v>singleonly</v>
          </cell>
        </row>
        <row r="278">
          <cell r="A278" t="str">
            <v>11215_1</v>
          </cell>
          <cell r="B278">
            <v>0</v>
          </cell>
          <cell r="C278">
            <v>11215</v>
          </cell>
          <cell r="D278" t="str">
            <v>【マルチ】サンタダックを捕獲せよ！</v>
          </cell>
          <cell r="E278" t="str">
            <v>2015年クリスマスゲリラクエスト</v>
          </cell>
          <cell r="F278">
            <v>1</v>
          </cell>
          <cell r="G278" t="str">
            <v>ja</v>
          </cell>
          <cell r="H278" t="str">
            <v>【上級】サンタダックを捕獲せよ！</v>
          </cell>
          <cell r="I278" t="str">
            <v>2015年クリスマスゲリラクエスト</v>
          </cell>
          <cell r="J278">
            <v>520</v>
          </cell>
          <cell r="K278">
            <v>10</v>
          </cell>
          <cell r="L278">
            <v>350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105</v>
          </cell>
          <cell r="AD278">
            <v>6</v>
          </cell>
          <cell r="AE278" t="str">
            <v>multionly</v>
          </cell>
        </row>
        <row r="279">
          <cell r="A279" t="str">
            <v>11216_1</v>
          </cell>
          <cell r="B279">
            <v>0</v>
          </cell>
          <cell r="C279">
            <v>11216</v>
          </cell>
          <cell r="D279" t="str">
            <v>年越し★特別クエスト</v>
          </cell>
          <cell r="E279" t="str">
            <v>2015年年越しクエスト</v>
          </cell>
          <cell r="F279">
            <v>1</v>
          </cell>
          <cell r="G279" t="str">
            <v>ja</v>
          </cell>
          <cell r="H279" t="str">
            <v>【上級】年を越える宴（ハートなし）</v>
          </cell>
          <cell r="I279" t="str">
            <v>2015年年忘れクエスト</v>
          </cell>
          <cell r="J279">
            <v>377</v>
          </cell>
          <cell r="K279">
            <v>10</v>
          </cell>
          <cell r="L279">
            <v>350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0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901</v>
          </cell>
          <cell r="AD279">
            <v>6</v>
          </cell>
          <cell r="AE279" t="str">
            <v>multionly</v>
          </cell>
        </row>
        <row r="280">
          <cell r="A280" t="str">
            <v>11217_1</v>
          </cell>
          <cell r="B280">
            <v>0</v>
          </cell>
          <cell r="C280">
            <v>11217</v>
          </cell>
          <cell r="D280" t="str">
            <v>年明け★特別クエスト</v>
          </cell>
          <cell r="E280" t="str">
            <v>2016年あけおめクエスト</v>
          </cell>
          <cell r="F280">
            <v>1</v>
          </cell>
          <cell r="G280" t="str">
            <v>ja</v>
          </cell>
          <cell r="H280" t="str">
            <v>あけおめダックのお年玉</v>
          </cell>
          <cell r="I280" t="str">
            <v>2016年あけおめクエスト</v>
          </cell>
          <cell r="J280">
            <v>524</v>
          </cell>
          <cell r="K280">
            <v>1</v>
          </cell>
          <cell r="L280">
            <v>2016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0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once</v>
          </cell>
          <cell r="AC280">
            <v>2</v>
          </cell>
          <cell r="AD280">
            <v>6</v>
          </cell>
          <cell r="AE280" t="str">
            <v>singleonly</v>
          </cell>
        </row>
        <row r="281">
          <cell r="A281" t="str">
            <v>11218_1</v>
          </cell>
          <cell r="B281">
            <v>3</v>
          </cell>
          <cell r="C281">
            <v>11218</v>
          </cell>
          <cell r="D281" t="str">
            <v>バレンタイン★特別クエスト</v>
          </cell>
          <cell r="E281" t="str">
            <v>2016年バレンタインクエスト</v>
          </cell>
          <cell r="F281">
            <v>1</v>
          </cell>
          <cell r="G281" t="str">
            <v>ja</v>
          </cell>
          <cell r="H281" t="str">
            <v>【ストーリー】バレンタイン狂想曲</v>
          </cell>
          <cell r="I281" t="str">
            <v>ストーリー</v>
          </cell>
          <cell r="J281">
            <v>572</v>
          </cell>
          <cell r="K281">
            <v>1</v>
          </cell>
          <cell r="L281">
            <v>214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polygon</v>
          </cell>
          <cell r="T281">
            <v>1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once</v>
          </cell>
          <cell r="AC281">
            <v>1</v>
          </cell>
          <cell r="AD281">
            <v>6</v>
          </cell>
          <cell r="AE281" t="str">
            <v>singleonly</v>
          </cell>
        </row>
        <row r="282">
          <cell r="A282" t="str">
            <v>11219_1</v>
          </cell>
          <cell r="B282">
            <v>3</v>
          </cell>
          <cell r="C282">
            <v>11219</v>
          </cell>
          <cell r="D282" t="str">
            <v>200万DL記念★特別クエスト</v>
          </cell>
          <cell r="E282" t="str">
            <v>200万DL記念★特別クエスト</v>
          </cell>
          <cell r="F282">
            <v>1</v>
          </cell>
          <cell r="G282" t="str">
            <v>ja</v>
          </cell>
          <cell r="H282" t="str">
            <v>ミリオンダックより愛を込めて 2</v>
          </cell>
          <cell r="I282" t="str">
            <v>200万DL記念限定クエスト</v>
          </cell>
          <cell r="J282">
            <v>97</v>
          </cell>
          <cell r="K282">
            <v>1</v>
          </cell>
          <cell r="L282">
            <v>200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polygon</v>
          </cell>
          <cell r="T282">
            <v>1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1</v>
          </cell>
          <cell r="AD282">
            <v>6</v>
          </cell>
          <cell r="AE282" t="str">
            <v>singleonly</v>
          </cell>
        </row>
        <row r="283">
          <cell r="A283" t="str">
            <v>11220_1</v>
          </cell>
          <cell r="B283">
            <v>3</v>
          </cell>
          <cell r="C283">
            <v>11220</v>
          </cell>
          <cell r="D283" t="str">
            <v>ホワイトデー★特別クエスト</v>
          </cell>
          <cell r="E283" t="str">
            <v>2016年ホワイトデークエスト</v>
          </cell>
          <cell r="F283">
            <v>1</v>
          </cell>
          <cell r="G283" t="str">
            <v>ja</v>
          </cell>
          <cell r="H283" t="str">
            <v>【ストーリー】ホワイトデー独騒曲</v>
          </cell>
          <cell r="I283" t="str">
            <v>2016年ホワイトデークエスト</v>
          </cell>
          <cell r="J283">
            <v>350</v>
          </cell>
          <cell r="K283">
            <v>1</v>
          </cell>
          <cell r="L283">
            <v>314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polygon</v>
          </cell>
          <cell r="T283">
            <v>1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once</v>
          </cell>
          <cell r="AC283">
            <v>1</v>
          </cell>
          <cell r="AD283">
            <v>6</v>
          </cell>
          <cell r="AE283" t="str">
            <v>singleonly</v>
          </cell>
        </row>
        <row r="284">
          <cell r="A284" t="str">
            <v>11221_1</v>
          </cell>
          <cell r="B284">
            <v>3</v>
          </cell>
          <cell r="C284">
            <v>11221</v>
          </cell>
          <cell r="D284" t="str">
            <v>新生活★応援クエスト</v>
          </cell>
          <cell r="E284" t="str">
            <v>2016年卒業クエスト</v>
          </cell>
          <cell r="F284">
            <v>1</v>
          </cell>
          <cell r="G284" t="str">
            <v>ja</v>
          </cell>
          <cell r="H284" t="str">
            <v>【ストーリー】桜舞い散る樹の下で</v>
          </cell>
          <cell r="I284" t="str">
            <v>2016年卒業クエスト</v>
          </cell>
          <cell r="J284">
            <v>794</v>
          </cell>
          <cell r="K284">
            <v>1</v>
          </cell>
          <cell r="L284">
            <v>331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polygon</v>
          </cell>
          <cell r="T284">
            <v>1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once</v>
          </cell>
          <cell r="AC284">
            <v>926</v>
          </cell>
          <cell r="AD284">
            <v>6</v>
          </cell>
          <cell r="AE284" t="str">
            <v>singleonly</v>
          </cell>
        </row>
        <row r="285">
          <cell r="A285" t="str">
            <v>11224_1</v>
          </cell>
          <cell r="B285">
            <v>3</v>
          </cell>
          <cell r="C285">
            <v>11224</v>
          </cell>
          <cell r="D285" t="str">
            <v>TVCM放送記念★特別クエスト</v>
          </cell>
          <cell r="E285" t="str">
            <v>TVCM放送記念★特別クエスト</v>
          </cell>
          <cell r="F285">
            <v>1</v>
          </cell>
          <cell r="G285" t="str">
            <v>ja</v>
          </cell>
          <cell r="H285" t="str">
            <v>【超ウザード級】ウザリーマン襲来！</v>
          </cell>
          <cell r="I285" t="str">
            <v>記念クエスト</v>
          </cell>
          <cell r="J285">
            <v>976</v>
          </cell>
          <cell r="K285">
            <v>1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0</v>
          </cell>
          <cell r="R285">
            <v>3</v>
          </cell>
          <cell r="S285" t="str">
            <v>polygon</v>
          </cell>
          <cell r="T285">
            <v>10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907</v>
          </cell>
          <cell r="AD285">
            <v>6</v>
          </cell>
          <cell r="AE285" t="str">
            <v>singleonly</v>
          </cell>
        </row>
        <row r="286">
          <cell r="A286" t="str">
            <v>11225_1</v>
          </cell>
          <cell r="B286">
            <v>3</v>
          </cell>
          <cell r="C286">
            <v>11225</v>
          </cell>
          <cell r="D286" t="str">
            <v>400万DL記念★特別クエスト</v>
          </cell>
          <cell r="E286" t="str">
            <v>400万DL記念★特別クエスト</v>
          </cell>
          <cell r="F286">
            <v>1</v>
          </cell>
          <cell r="G286" t="str">
            <v>ja</v>
          </cell>
          <cell r="H286" t="str">
            <v>ミリオンダックより愛をこめて 4</v>
          </cell>
          <cell r="I286" t="str">
            <v>400万DL記念限定クエスト</v>
          </cell>
          <cell r="J286">
            <v>444</v>
          </cell>
          <cell r="K286">
            <v>1</v>
          </cell>
          <cell r="L286">
            <v>200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polygon</v>
          </cell>
          <cell r="T286">
            <v>1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once</v>
          </cell>
          <cell r="AC286">
            <v>1</v>
          </cell>
          <cell r="AD286">
            <v>6</v>
          </cell>
          <cell r="AE286" t="str">
            <v>singleonly</v>
          </cell>
        </row>
        <row r="287">
          <cell r="A287" t="str">
            <v>11226_1</v>
          </cell>
          <cell r="B287">
            <v>3</v>
          </cell>
          <cell r="C287">
            <v>11226</v>
          </cell>
          <cell r="F287">
            <v>1</v>
          </cell>
          <cell r="G287" t="str">
            <v>ja</v>
          </cell>
          <cell r="H287" t="str">
            <v>1周年のキセキ</v>
          </cell>
          <cell r="I287" t="str">
            <v>1周年記念限定クエスト</v>
          </cell>
          <cell r="J287">
            <v>1079</v>
          </cell>
          <cell r="K287">
            <v>1</v>
          </cell>
          <cell r="L287">
            <v>200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polygon</v>
          </cell>
          <cell r="T287">
            <v>1</v>
          </cell>
          <cell r="U287" t="str">
            <v>NULL</v>
          </cell>
          <cell r="V287" t="str">
            <v>NULL</v>
          </cell>
          <cell r="W287" t="str">
            <v/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once</v>
          </cell>
          <cell r="AC287">
            <v>1</v>
          </cell>
          <cell r="AD287">
            <v>6</v>
          </cell>
          <cell r="AE287" t="str">
            <v>singleonly</v>
          </cell>
        </row>
        <row r="288">
          <cell r="A288" t="str">
            <v>11226_2</v>
          </cell>
          <cell r="B288">
            <v>3</v>
          </cell>
          <cell r="C288">
            <v>11226</v>
          </cell>
          <cell r="D288" t="str">
            <v>1周年記念★特別クエスト</v>
          </cell>
          <cell r="E288" t="str">
            <v>1周年記念★特別クエスト</v>
          </cell>
          <cell r="F288">
            <v>2</v>
          </cell>
          <cell r="G288" t="str">
            <v>ja</v>
          </cell>
          <cell r="H288" t="str">
            <v>【クリスマス前編】勢いまかせ</v>
          </cell>
          <cell r="I288" t="str">
            <v>2015年クリスマスクエスト</v>
          </cell>
          <cell r="J288">
            <v>202</v>
          </cell>
          <cell r="K288">
            <v>1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520,521,522,523</v>
          </cell>
          <cell r="U288">
            <v>11226</v>
          </cell>
          <cell r="V288">
            <v>1</v>
          </cell>
          <cell r="W288" t="str">
            <v>1周年のキセキ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once</v>
          </cell>
          <cell r="AC288">
            <v>1</v>
          </cell>
          <cell r="AD288">
            <v>100</v>
          </cell>
          <cell r="AE288" t="str">
            <v>singleonly</v>
          </cell>
        </row>
        <row r="289">
          <cell r="A289" t="str">
            <v>11226_3</v>
          </cell>
          <cell r="B289">
            <v>3</v>
          </cell>
          <cell r="C289">
            <v>11226</v>
          </cell>
          <cell r="D289" t="str">
            <v>1周年記念★特別クエスト</v>
          </cell>
          <cell r="E289" t="str">
            <v>1周年記念★特別クエスト</v>
          </cell>
          <cell r="F289">
            <v>3</v>
          </cell>
          <cell r="G289" t="str">
            <v>ja</v>
          </cell>
          <cell r="H289" t="str">
            <v>【クリスマス後編】フィーバーの力</v>
          </cell>
          <cell r="I289" t="str">
            <v>2015年クリスマスクエスト</v>
          </cell>
          <cell r="J289">
            <v>202</v>
          </cell>
          <cell r="K289">
            <v>1</v>
          </cell>
          <cell r="L289">
            <v>2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520,521,522,523</v>
          </cell>
          <cell r="U289">
            <v>11226</v>
          </cell>
          <cell r="V289">
            <v>1</v>
          </cell>
          <cell r="W289" t="str">
            <v>1周年のキセキ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once</v>
          </cell>
          <cell r="AC289">
            <v>105</v>
          </cell>
          <cell r="AD289">
            <v>100</v>
          </cell>
          <cell r="AE289" t="str">
            <v>singleonly</v>
          </cell>
        </row>
        <row r="290">
          <cell r="A290" t="str">
            <v>11226_4</v>
          </cell>
          <cell r="B290">
            <v>3</v>
          </cell>
          <cell r="C290">
            <v>11226</v>
          </cell>
          <cell r="D290" t="str">
            <v>1周年記念★特別クエスト</v>
          </cell>
          <cell r="E290" t="str">
            <v>1周年記念★特別クエスト</v>
          </cell>
          <cell r="F290">
            <v>4</v>
          </cell>
          <cell r="G290" t="str">
            <v>ja</v>
          </cell>
          <cell r="H290" t="str">
            <v>【上級】年を越える宴（ハートなし）</v>
          </cell>
          <cell r="I290" t="str">
            <v>2015年年忘れクエスト</v>
          </cell>
          <cell r="J290">
            <v>377</v>
          </cell>
          <cell r="K290">
            <v>20</v>
          </cell>
          <cell r="L290">
            <v>350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0</v>
          </cell>
          <cell r="R290">
            <v>3</v>
          </cell>
          <cell r="S290" t="str">
            <v>none</v>
          </cell>
          <cell r="T290">
            <v>0</v>
          </cell>
          <cell r="U290">
            <v>11226</v>
          </cell>
          <cell r="V290">
            <v>1</v>
          </cell>
          <cell r="W290" t="str">
            <v>1周年のキセキ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901</v>
          </cell>
          <cell r="AD290">
            <v>6</v>
          </cell>
          <cell r="AE290" t="str">
            <v>multionly</v>
          </cell>
        </row>
        <row r="291">
          <cell r="A291" t="str">
            <v>11226_5</v>
          </cell>
          <cell r="B291">
            <v>3</v>
          </cell>
          <cell r="C291">
            <v>11226</v>
          </cell>
          <cell r="D291" t="str">
            <v>1周年記念★特別クエスト</v>
          </cell>
          <cell r="E291" t="str">
            <v>1周年記念★特別クエスト</v>
          </cell>
          <cell r="F291">
            <v>5</v>
          </cell>
          <cell r="G291" t="str">
            <v>ja</v>
          </cell>
          <cell r="H291" t="str">
            <v>あけおめダックのお年玉</v>
          </cell>
          <cell r="I291" t="str">
            <v>2016年あけおめクエスト</v>
          </cell>
          <cell r="J291">
            <v>524</v>
          </cell>
          <cell r="K291">
            <v>1</v>
          </cell>
          <cell r="L291">
            <v>2016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0</v>
          </cell>
          <cell r="R291">
            <v>3</v>
          </cell>
          <cell r="S291" t="str">
            <v>polygon</v>
          </cell>
          <cell r="T291">
            <v>1</v>
          </cell>
          <cell r="U291">
            <v>11226</v>
          </cell>
          <cell r="V291">
            <v>1</v>
          </cell>
          <cell r="W291" t="str">
            <v>1周年のキセキ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once</v>
          </cell>
          <cell r="AC291">
            <v>2</v>
          </cell>
          <cell r="AD291">
            <v>100</v>
          </cell>
          <cell r="AE291" t="str">
            <v>singleonly</v>
          </cell>
        </row>
        <row r="292">
          <cell r="A292" t="str">
            <v>11226_6</v>
          </cell>
          <cell r="B292">
            <v>3</v>
          </cell>
          <cell r="C292">
            <v>11226</v>
          </cell>
          <cell r="D292" t="str">
            <v>1周年記念★特別クエスト</v>
          </cell>
          <cell r="E292" t="str">
            <v>1周年記念★特別クエスト</v>
          </cell>
          <cell r="F292">
            <v>6</v>
          </cell>
          <cell r="G292" t="str">
            <v>ja</v>
          </cell>
          <cell r="H292" t="str">
            <v>【ストーリー】バレンタイン狂想曲</v>
          </cell>
          <cell r="I292" t="str">
            <v>ストーリー</v>
          </cell>
          <cell r="J292">
            <v>572</v>
          </cell>
          <cell r="K292">
            <v>1</v>
          </cell>
          <cell r="L292">
            <v>214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polygon</v>
          </cell>
          <cell r="T292">
            <v>1</v>
          </cell>
          <cell r="U292">
            <v>11226</v>
          </cell>
          <cell r="V292">
            <v>1</v>
          </cell>
          <cell r="W292" t="str">
            <v>1周年のキセキ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once</v>
          </cell>
          <cell r="AC292">
            <v>1</v>
          </cell>
          <cell r="AD292">
            <v>100</v>
          </cell>
          <cell r="AE292" t="str">
            <v>singleonly</v>
          </cell>
        </row>
        <row r="293">
          <cell r="A293" t="str">
            <v>11226_7</v>
          </cell>
          <cell r="B293">
            <v>3</v>
          </cell>
          <cell r="C293">
            <v>11226</v>
          </cell>
          <cell r="D293" t="str">
            <v>1周年記念★特別クエスト</v>
          </cell>
          <cell r="E293" t="str">
            <v>1周年記念★特別クエスト</v>
          </cell>
          <cell r="F293">
            <v>7</v>
          </cell>
          <cell r="G293" t="str">
            <v>ja</v>
          </cell>
          <cell r="H293" t="str">
            <v>【ストーリー】ホワイトデー独騒曲</v>
          </cell>
          <cell r="I293" t="str">
            <v>2016年ホワイトデークエスト</v>
          </cell>
          <cell r="J293">
            <v>350</v>
          </cell>
          <cell r="K293">
            <v>1</v>
          </cell>
          <cell r="L293">
            <v>314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polygon</v>
          </cell>
          <cell r="T293">
            <v>1</v>
          </cell>
          <cell r="U293">
            <v>11226</v>
          </cell>
          <cell r="V293">
            <v>1</v>
          </cell>
          <cell r="W293" t="str">
            <v>1周年のキセキ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once</v>
          </cell>
          <cell r="AC293">
            <v>1</v>
          </cell>
          <cell r="AD293">
            <v>100</v>
          </cell>
          <cell r="AE293" t="str">
            <v>singleonly</v>
          </cell>
        </row>
        <row r="294">
          <cell r="A294" t="str">
            <v>11226_8</v>
          </cell>
          <cell r="B294">
            <v>3</v>
          </cell>
          <cell r="C294">
            <v>11226</v>
          </cell>
          <cell r="D294" t="str">
            <v>1周年記念★特別クエスト</v>
          </cell>
          <cell r="E294" t="str">
            <v>1周年記念★特別クエスト</v>
          </cell>
          <cell r="F294">
            <v>8</v>
          </cell>
          <cell r="G294" t="str">
            <v>ja</v>
          </cell>
          <cell r="H294" t="str">
            <v>【ストーリー】桜舞い散る樹の下で</v>
          </cell>
          <cell r="I294" t="str">
            <v>2016年卒業クエスト</v>
          </cell>
          <cell r="J294">
            <v>794</v>
          </cell>
          <cell r="K294">
            <v>1</v>
          </cell>
          <cell r="L294">
            <v>331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polygon</v>
          </cell>
          <cell r="T294">
            <v>1</v>
          </cell>
          <cell r="U294">
            <v>11226</v>
          </cell>
          <cell r="V294">
            <v>1</v>
          </cell>
          <cell r="W294" t="str">
            <v>1周年のキセキ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once</v>
          </cell>
          <cell r="AC294">
            <v>926</v>
          </cell>
          <cell r="AD294">
            <v>100</v>
          </cell>
          <cell r="AE294" t="str">
            <v>singleonly</v>
          </cell>
        </row>
        <row r="295">
          <cell r="A295" t="str">
            <v>11227_1</v>
          </cell>
          <cell r="B295">
            <v>1</v>
          </cell>
          <cell r="C295">
            <v>11227</v>
          </cell>
          <cell r="D295" t="str">
            <v>TVCM第2弾放送記念★特別クエスト</v>
          </cell>
          <cell r="E295" t="str">
            <v>TVCM第2弾放送記念★特別クエスト</v>
          </cell>
          <cell r="F295">
            <v>1</v>
          </cell>
          <cell r="G295" t="str">
            <v>ja</v>
          </cell>
          <cell r="H295" t="str">
            <v>【ALICE日常編】…勘違いじゃないよ。</v>
          </cell>
          <cell r="I295" t="str">
            <v>幻と化したボツステージ</v>
          </cell>
          <cell r="J295">
            <v>619</v>
          </cell>
          <cell r="K295">
            <v>1</v>
          </cell>
          <cell r="L295">
            <v>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926</v>
          </cell>
          <cell r="AD295">
            <v>100</v>
          </cell>
          <cell r="AE295" t="str">
            <v>singleonly</v>
          </cell>
        </row>
        <row r="296">
          <cell r="A296" t="str">
            <v>11227_2</v>
          </cell>
          <cell r="B296">
            <v>3</v>
          </cell>
          <cell r="C296">
            <v>11227</v>
          </cell>
          <cell r="D296" t="str">
            <v>TVCM第2弾放送記念★特別クエスト</v>
          </cell>
          <cell r="E296" t="str">
            <v>TVCM第2弾放送記念★特別クエスト</v>
          </cell>
          <cell r="F296">
            <v>2</v>
          </cell>
          <cell r="G296" t="str">
            <v>ja</v>
          </cell>
          <cell r="H296" t="str">
            <v>…勘違いじゃないよ。</v>
          </cell>
          <cell r="I296" t="str">
            <v>記念クエスト</v>
          </cell>
          <cell r="J296">
            <v>619</v>
          </cell>
          <cell r="K296">
            <v>1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polygon</v>
          </cell>
          <cell r="T296">
            <v>10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926</v>
          </cell>
          <cell r="AD296">
            <v>100</v>
          </cell>
          <cell r="AE296" t="str">
            <v>singleonly</v>
          </cell>
        </row>
        <row r="297">
          <cell r="A297" t="str">
            <v>11228_1</v>
          </cell>
          <cell r="B297">
            <v>3</v>
          </cell>
          <cell r="C297">
            <v>11228</v>
          </cell>
          <cell r="D297" t="str">
            <v>バレンタイン★特別クエスト</v>
          </cell>
          <cell r="E297" t="str">
            <v>2016年バレンタインクエスト復刻</v>
          </cell>
          <cell r="F297">
            <v>1</v>
          </cell>
          <cell r="G297" t="str">
            <v>ja</v>
          </cell>
          <cell r="H297" t="str">
            <v>【ストーリー】バレンタイン狂想曲</v>
          </cell>
          <cell r="I297" t="str">
            <v>ストーリー</v>
          </cell>
          <cell r="J297">
            <v>572</v>
          </cell>
          <cell r="K297">
            <v>1</v>
          </cell>
          <cell r="L297">
            <v>214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polygon</v>
          </cell>
          <cell r="T297">
            <v>1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once</v>
          </cell>
          <cell r="AC297">
            <v>1</v>
          </cell>
          <cell r="AD297">
            <v>6</v>
          </cell>
          <cell r="AE297" t="str">
            <v>singleonly</v>
          </cell>
        </row>
        <row r="298">
          <cell r="A298" t="str">
            <v>11229_1</v>
          </cell>
          <cell r="B298">
            <v>3</v>
          </cell>
          <cell r="C298">
            <v>11229</v>
          </cell>
          <cell r="D298" t="str">
            <v>ホワイトデー★特別クエスト</v>
          </cell>
          <cell r="E298" t="str">
            <v>2016年ホワイトデークエスト復刻</v>
          </cell>
          <cell r="F298">
            <v>1</v>
          </cell>
          <cell r="G298" t="str">
            <v>ja</v>
          </cell>
          <cell r="H298" t="str">
            <v>【ストーリー】ホワイトデー独騒曲</v>
          </cell>
          <cell r="I298" t="str">
            <v>2016年ホワイトデークエスト</v>
          </cell>
          <cell r="J298">
            <v>350</v>
          </cell>
          <cell r="K298">
            <v>1</v>
          </cell>
          <cell r="L298">
            <v>314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once</v>
          </cell>
          <cell r="AC298">
            <v>1</v>
          </cell>
          <cell r="AD298">
            <v>6</v>
          </cell>
          <cell r="AE298" t="str">
            <v>singleonly</v>
          </cell>
        </row>
        <row r="299">
          <cell r="A299" t="str">
            <v>12001_1</v>
          </cell>
          <cell r="B299">
            <v>3</v>
          </cell>
          <cell r="C299">
            <v>12001</v>
          </cell>
          <cell r="D299" t="str">
            <v>【緊急！！】 アヒル捕獲作戦</v>
          </cell>
          <cell r="E299" t="str">
            <v>ゲリラクエスト</v>
          </cell>
          <cell r="F299">
            <v>1</v>
          </cell>
          <cell r="G299" t="str">
            <v>ja</v>
          </cell>
          <cell r="H299" t="str">
            <v xml:space="preserve">【初級】メタルダックを捕獲せよ！ </v>
          </cell>
          <cell r="I299" t="str">
            <v>経験値ゲリラ</v>
          </cell>
          <cell r="J299">
            <v>334</v>
          </cell>
          <cell r="K299">
            <v>8</v>
          </cell>
          <cell r="L299">
            <v>140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0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201</v>
          </cell>
          <cell r="AD299">
            <v>6</v>
          </cell>
          <cell r="AE299" t="str">
            <v>everyone</v>
          </cell>
        </row>
        <row r="300">
          <cell r="A300" t="str">
            <v>12001_2</v>
          </cell>
          <cell r="B300">
            <v>3</v>
          </cell>
          <cell r="C300">
            <v>12001</v>
          </cell>
          <cell r="D300" t="str">
            <v>【緊急！！】 アヒル捕獲作戦</v>
          </cell>
          <cell r="E300" t="str">
            <v>ゲリラクエスト</v>
          </cell>
          <cell r="F300">
            <v>2</v>
          </cell>
          <cell r="G300" t="str">
            <v>ja</v>
          </cell>
          <cell r="H300" t="str">
            <v xml:space="preserve">【上級】メタルダックを捕獲せよ！ </v>
          </cell>
          <cell r="I300" t="str">
            <v>経験値ゲリラ</v>
          </cell>
          <cell r="J300">
            <v>334</v>
          </cell>
          <cell r="K300">
            <v>20</v>
          </cell>
          <cell r="L300">
            <v>350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201</v>
          </cell>
          <cell r="AD300">
            <v>6</v>
          </cell>
          <cell r="AE300" t="str">
            <v>everyone</v>
          </cell>
        </row>
        <row r="301">
          <cell r="A301" t="str">
            <v>12001_3</v>
          </cell>
          <cell r="B301">
            <v>3</v>
          </cell>
          <cell r="C301">
            <v>12001</v>
          </cell>
          <cell r="D301" t="str">
            <v>【緊急！！】 アヒル捕獲作戦</v>
          </cell>
          <cell r="E301" t="str">
            <v>ゲリラクエスト</v>
          </cell>
          <cell r="F301">
            <v>3</v>
          </cell>
          <cell r="G301" t="str">
            <v>ja</v>
          </cell>
          <cell r="H301" t="str">
            <v xml:space="preserve">【超級】メタルダックを捕獲せよ！ </v>
          </cell>
          <cell r="I301" t="str">
            <v>経験値ゲリラ</v>
          </cell>
          <cell r="J301">
            <v>334</v>
          </cell>
          <cell r="K301">
            <v>30</v>
          </cell>
          <cell r="L301">
            <v>444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7</v>
          </cell>
          <cell r="AD301">
            <v>6</v>
          </cell>
          <cell r="AE301" t="str">
            <v>everyone</v>
          </cell>
        </row>
        <row r="302">
          <cell r="A302" t="str">
            <v>12002_1</v>
          </cell>
          <cell r="B302">
            <v>3</v>
          </cell>
          <cell r="C302">
            <v>12002</v>
          </cell>
          <cell r="D302" t="str">
            <v>【マルチ専用1/2】 アヒル捕獲作戦</v>
          </cell>
          <cell r="E302" t="str">
            <v>ゲリラクエスト</v>
          </cell>
          <cell r="F302">
            <v>1</v>
          </cell>
          <cell r="G302" t="str">
            <v>ja</v>
          </cell>
          <cell r="H302" t="str">
            <v>【上級】メタルダックを捕獲せよ！</v>
          </cell>
          <cell r="I302" t="str">
            <v>経験値ゲリラ</v>
          </cell>
          <cell r="J302">
            <v>334</v>
          </cell>
          <cell r="K302">
            <v>10</v>
          </cell>
          <cell r="L302">
            <v>350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201</v>
          </cell>
          <cell r="AD302">
            <v>6</v>
          </cell>
          <cell r="AE302" t="str">
            <v>multionly</v>
          </cell>
        </row>
        <row r="303">
          <cell r="A303" t="str">
            <v>12002_2</v>
          </cell>
          <cell r="B303">
            <v>1</v>
          </cell>
          <cell r="C303">
            <v>12002</v>
          </cell>
          <cell r="D303" t="str">
            <v>【マルチ専用1/2】 アヒル捕獲作戦</v>
          </cell>
          <cell r="E303" t="str">
            <v>ゲリラクエスト</v>
          </cell>
          <cell r="F303">
            <v>2</v>
          </cell>
          <cell r="G303" t="str">
            <v>ja</v>
          </cell>
          <cell r="H303" t="str">
            <v xml:space="preserve">【超級】メタルダックを捕獲せよ！ </v>
          </cell>
          <cell r="I303" t="str">
            <v>経験値ゲリラ</v>
          </cell>
          <cell r="J303">
            <v>334</v>
          </cell>
          <cell r="K303">
            <v>15</v>
          </cell>
          <cell r="L303">
            <v>444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7</v>
          </cell>
          <cell r="AD303">
            <v>6</v>
          </cell>
          <cell r="AE303" t="str">
            <v>multionly</v>
          </cell>
        </row>
        <row r="304">
          <cell r="A304" t="str">
            <v>12003_1</v>
          </cell>
          <cell r="B304">
            <v>3</v>
          </cell>
          <cell r="C304">
            <v>12003</v>
          </cell>
          <cell r="D304" t="str">
            <v>【超緊急！！】メタルジェントルを追え</v>
          </cell>
          <cell r="E304" t="str">
            <v>ゲリラ【超級】</v>
          </cell>
          <cell r="F304">
            <v>1</v>
          </cell>
          <cell r="G304" t="str">
            <v>ja</v>
          </cell>
          <cell r="H304" t="str">
            <v>【超級】雷のジェントルを追え！</v>
          </cell>
          <cell r="I304" t="str">
            <v>超級ゲリラ</v>
          </cell>
          <cell r="J304">
            <v>347</v>
          </cell>
          <cell r="K304">
            <v>40</v>
          </cell>
          <cell r="L304">
            <v>500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12</v>
          </cell>
          <cell r="AD304">
            <v>6</v>
          </cell>
          <cell r="AE304" t="str">
            <v>singleonly</v>
          </cell>
        </row>
        <row r="305">
          <cell r="A305" t="str">
            <v>12003_2</v>
          </cell>
          <cell r="B305">
            <v>3</v>
          </cell>
          <cell r="C305">
            <v>12003</v>
          </cell>
          <cell r="D305" t="str">
            <v>【超緊急！！】メタルジェントルを追え</v>
          </cell>
          <cell r="E305" t="str">
            <v>ゲリラ【超級】</v>
          </cell>
          <cell r="F305">
            <v>2</v>
          </cell>
          <cell r="G305" t="str">
            <v>ja</v>
          </cell>
          <cell r="H305" t="str">
            <v>【超級】水のジェントルを追え！</v>
          </cell>
          <cell r="I305" t="str">
            <v>超級ゲリラ</v>
          </cell>
          <cell r="J305">
            <v>343</v>
          </cell>
          <cell r="K305">
            <v>40</v>
          </cell>
          <cell r="L305">
            <v>500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5</v>
          </cell>
          <cell r="AD305">
            <v>6</v>
          </cell>
          <cell r="AE305" t="str">
            <v>singleonly</v>
          </cell>
        </row>
        <row r="306">
          <cell r="A306" t="str">
            <v>12003_3</v>
          </cell>
          <cell r="B306">
            <v>3</v>
          </cell>
          <cell r="C306">
            <v>12003</v>
          </cell>
          <cell r="D306" t="str">
            <v>【超緊急！！】メタルジェントルを追え</v>
          </cell>
          <cell r="E306" t="str">
            <v>ゲリラ【超級】</v>
          </cell>
          <cell r="F306">
            <v>3</v>
          </cell>
          <cell r="G306" t="str">
            <v>ja</v>
          </cell>
          <cell r="H306" t="str">
            <v>【超級】森のジェントルを追え！</v>
          </cell>
          <cell r="I306" t="str">
            <v>超級ゲリラ</v>
          </cell>
          <cell r="J306">
            <v>339</v>
          </cell>
          <cell r="K306">
            <v>40</v>
          </cell>
          <cell r="L306">
            <v>500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7</v>
          </cell>
          <cell r="AD306">
            <v>6</v>
          </cell>
          <cell r="AE306" t="str">
            <v>singleonly</v>
          </cell>
        </row>
        <row r="307">
          <cell r="A307" t="str">
            <v>12003_4</v>
          </cell>
          <cell r="B307">
            <v>3</v>
          </cell>
          <cell r="C307">
            <v>12003</v>
          </cell>
          <cell r="D307" t="str">
            <v>【超緊急！！】メタルジェントルを追え</v>
          </cell>
          <cell r="E307" t="str">
            <v>ゲリラ【超級】</v>
          </cell>
          <cell r="F307">
            <v>4</v>
          </cell>
          <cell r="G307" t="str">
            <v>ja</v>
          </cell>
          <cell r="H307" t="str">
            <v>【超級】炎のジェントルを追え！</v>
          </cell>
          <cell r="I307" t="str">
            <v>超級ゲリラ</v>
          </cell>
          <cell r="J307">
            <v>335</v>
          </cell>
          <cell r="K307">
            <v>40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10</v>
          </cell>
          <cell r="AD307">
            <v>6</v>
          </cell>
          <cell r="AE307" t="str">
            <v>singleonly</v>
          </cell>
        </row>
        <row r="308">
          <cell r="A308" t="str">
            <v>12004_1</v>
          </cell>
          <cell r="B308">
            <v>3</v>
          </cell>
          <cell r="C308">
            <v>12004</v>
          </cell>
          <cell r="D308" t="str">
            <v>メタルフロッグをもとめて</v>
          </cell>
          <cell r="E308" t="str">
            <v>イベントクエスト</v>
          </cell>
          <cell r="F308">
            <v>1</v>
          </cell>
          <cell r="G308" t="str">
            <v>ja</v>
          </cell>
          <cell r="H308" t="str">
            <v>【上級】メタルフロッグをもとめて</v>
          </cell>
          <cell r="I308" t="str">
            <v>経験値イベント</v>
          </cell>
          <cell r="J308">
            <v>351</v>
          </cell>
          <cell r="K308">
            <v>20</v>
          </cell>
          <cell r="L308">
            <v>100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23</v>
          </cell>
          <cell r="AD308">
            <v>6</v>
          </cell>
          <cell r="AE308" t="str">
            <v>everyone</v>
          </cell>
        </row>
        <row r="309">
          <cell r="A309" t="str">
            <v>13001_1</v>
          </cell>
          <cell r="B309">
            <v>3</v>
          </cell>
          <cell r="C309">
            <v>13001</v>
          </cell>
          <cell r="D309" t="str">
            <v>チャレンジタワー(ソロ専用)</v>
          </cell>
          <cell r="E309" t="str">
            <v>試練の塔</v>
          </cell>
          <cell r="F309">
            <v>1</v>
          </cell>
          <cell r="G309" t="str">
            <v>ja</v>
          </cell>
          <cell r="H309" t="str">
            <v>チャレンジタワー 1F</v>
          </cell>
          <cell r="I309" t="str">
            <v>試練の塔</v>
          </cell>
          <cell r="J309">
            <v>345</v>
          </cell>
          <cell r="K309">
            <v>3</v>
          </cell>
          <cell r="L309">
            <v>120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character</v>
          </cell>
          <cell r="T309" t="str">
            <v>345,345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26</v>
          </cell>
          <cell r="AD309">
            <v>6</v>
          </cell>
          <cell r="AE309" t="str">
            <v>singleonly</v>
          </cell>
        </row>
        <row r="310">
          <cell r="A310" t="str">
            <v>13001_2</v>
          </cell>
          <cell r="B310">
            <v>3</v>
          </cell>
          <cell r="C310">
            <v>13001</v>
          </cell>
          <cell r="D310" t="str">
            <v>チャレンジタワー(ソロ専用)</v>
          </cell>
          <cell r="E310" t="str">
            <v>試練の塔</v>
          </cell>
          <cell r="F310">
            <v>2</v>
          </cell>
          <cell r="G310" t="str">
            <v>ja</v>
          </cell>
          <cell r="H310" t="str">
            <v>チャレンジタワー 2F</v>
          </cell>
          <cell r="I310" t="str">
            <v>試練の塔</v>
          </cell>
          <cell r="J310">
            <v>333</v>
          </cell>
          <cell r="K310">
            <v>4</v>
          </cell>
          <cell r="L310">
            <v>176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character</v>
          </cell>
          <cell r="T310" t="str">
            <v>333,333</v>
          </cell>
          <cell r="U310">
            <v>13001</v>
          </cell>
          <cell r="V310">
            <v>1</v>
          </cell>
          <cell r="W310" t="str">
            <v>チャレンジタワー 1F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26</v>
          </cell>
          <cell r="AD310">
            <v>6</v>
          </cell>
          <cell r="AE310" t="str">
            <v>singleonly</v>
          </cell>
        </row>
        <row r="311">
          <cell r="A311" t="str">
            <v>13001_3</v>
          </cell>
          <cell r="B311">
            <v>3</v>
          </cell>
          <cell r="C311">
            <v>13001</v>
          </cell>
          <cell r="D311" t="str">
            <v>チャレンジタワー(ソロ専用)</v>
          </cell>
          <cell r="E311" t="str">
            <v>試練の塔</v>
          </cell>
          <cell r="F311">
            <v>3</v>
          </cell>
          <cell r="G311" t="str">
            <v>ja</v>
          </cell>
          <cell r="H311" t="str">
            <v>チャレンジタワー 3F</v>
          </cell>
          <cell r="I311" t="str">
            <v>試練の塔</v>
          </cell>
          <cell r="J311">
            <v>337</v>
          </cell>
          <cell r="K311">
            <v>5</v>
          </cell>
          <cell r="L311">
            <v>242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character</v>
          </cell>
          <cell r="T311" t="str">
            <v>337,337</v>
          </cell>
          <cell r="U311">
            <v>13001</v>
          </cell>
          <cell r="V311">
            <v>2</v>
          </cell>
          <cell r="W311" t="str">
            <v>チャレンジタワー 2F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26</v>
          </cell>
          <cell r="AD311">
            <v>6</v>
          </cell>
          <cell r="AE311" t="str">
            <v>singleonly</v>
          </cell>
        </row>
        <row r="312">
          <cell r="A312" t="str">
            <v>13001_4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4</v>
          </cell>
          <cell r="G312" t="str">
            <v>ja</v>
          </cell>
          <cell r="H312" t="str">
            <v>チャレンジタワー 4F</v>
          </cell>
          <cell r="I312" t="str">
            <v>試練の塔</v>
          </cell>
          <cell r="J312">
            <v>341</v>
          </cell>
          <cell r="K312">
            <v>7</v>
          </cell>
          <cell r="L312">
            <v>508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341,341</v>
          </cell>
          <cell r="U312">
            <v>13001</v>
          </cell>
          <cell r="V312">
            <v>3</v>
          </cell>
          <cell r="W312" t="str">
            <v>チャレンジタワー 3F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13001_5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5</v>
          </cell>
          <cell r="G313" t="str">
            <v>ja</v>
          </cell>
          <cell r="H313" t="str">
            <v>チャレンジタワー 5F</v>
          </cell>
          <cell r="I313" t="str">
            <v>試練の塔</v>
          </cell>
          <cell r="J313">
            <v>333</v>
          </cell>
          <cell r="K313">
            <v>7</v>
          </cell>
          <cell r="L313">
            <v>280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333,337,341,345</v>
          </cell>
          <cell r="U313">
            <v>13001</v>
          </cell>
          <cell r="V313">
            <v>4</v>
          </cell>
          <cell r="W313" t="str">
            <v>チャレンジタワー 4F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13001_6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6</v>
          </cell>
          <cell r="G314" t="str">
            <v>ja</v>
          </cell>
          <cell r="H314" t="str">
            <v>チャレンジタワー 6F</v>
          </cell>
          <cell r="I314" t="str">
            <v>試練の塔</v>
          </cell>
          <cell r="J314">
            <v>346</v>
          </cell>
          <cell r="K314">
            <v>8</v>
          </cell>
          <cell r="L314">
            <v>474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346,345</v>
          </cell>
          <cell r="U314">
            <v>13001</v>
          </cell>
          <cell r="V314">
            <v>5</v>
          </cell>
          <cell r="W314" t="str">
            <v>チャレンジタワー 5F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13001_7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7</v>
          </cell>
          <cell r="G315" t="str">
            <v>ja</v>
          </cell>
          <cell r="H315" t="str">
            <v>チャレンジタワー 7F</v>
          </cell>
          <cell r="I315" t="str">
            <v>試練の塔</v>
          </cell>
          <cell r="J315">
            <v>342</v>
          </cell>
          <cell r="K315">
            <v>8</v>
          </cell>
          <cell r="L315">
            <v>486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342,341</v>
          </cell>
          <cell r="U315">
            <v>13001</v>
          </cell>
          <cell r="V315">
            <v>6</v>
          </cell>
          <cell r="W315" t="str">
            <v>チャレンジタワー 6F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13001_8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8</v>
          </cell>
          <cell r="G316" t="str">
            <v>ja</v>
          </cell>
          <cell r="H316" t="str">
            <v>チャレンジタワー 8F</v>
          </cell>
          <cell r="I316" t="str">
            <v>試練の塔</v>
          </cell>
          <cell r="J316">
            <v>334</v>
          </cell>
          <cell r="K316">
            <v>10</v>
          </cell>
          <cell r="L316">
            <v>1006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334,333</v>
          </cell>
          <cell r="U316">
            <v>13001</v>
          </cell>
          <cell r="V316">
            <v>7</v>
          </cell>
          <cell r="W316" t="str">
            <v>チャレンジタワー 7F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13001_9</v>
          </cell>
          <cell r="B317">
            <v>3</v>
          </cell>
          <cell r="C317">
            <v>13001</v>
          </cell>
          <cell r="D317" t="str">
            <v>チャレンジタワー(ソロ専用)</v>
          </cell>
          <cell r="E317" t="str">
            <v>試練の塔</v>
          </cell>
          <cell r="F317">
            <v>9</v>
          </cell>
          <cell r="G317" t="str">
            <v>ja</v>
          </cell>
          <cell r="H317" t="str">
            <v>チャレンジタワー 9F</v>
          </cell>
          <cell r="I317" t="str">
            <v>試練の塔</v>
          </cell>
          <cell r="J317">
            <v>338</v>
          </cell>
          <cell r="K317">
            <v>10</v>
          </cell>
          <cell r="L317">
            <v>702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character</v>
          </cell>
          <cell r="T317" t="str">
            <v>337,337,338</v>
          </cell>
          <cell r="U317">
            <v>13001</v>
          </cell>
          <cell r="V317">
            <v>8</v>
          </cell>
          <cell r="W317" t="str">
            <v>チャレンジタワー 8F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26</v>
          </cell>
          <cell r="AD317">
            <v>6</v>
          </cell>
          <cell r="AE317" t="str">
            <v>singleonly</v>
          </cell>
        </row>
        <row r="318">
          <cell r="A318" t="str">
            <v>13001_10</v>
          </cell>
          <cell r="B318">
            <v>3</v>
          </cell>
          <cell r="C318">
            <v>13001</v>
          </cell>
          <cell r="D318" t="str">
            <v>チャレンジタワー(ソロ専用)</v>
          </cell>
          <cell r="E318" t="str">
            <v>試練の塔</v>
          </cell>
          <cell r="F318">
            <v>10</v>
          </cell>
          <cell r="G318" t="str">
            <v>ja</v>
          </cell>
          <cell r="H318" t="str">
            <v>チャレンジタワー 10F</v>
          </cell>
          <cell r="I318" t="str">
            <v>試練の塔</v>
          </cell>
          <cell r="J318">
            <v>346</v>
          </cell>
          <cell r="K318">
            <v>11</v>
          </cell>
          <cell r="L318">
            <v>788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character</v>
          </cell>
          <cell r="T318" t="str">
            <v>346,333,337,341</v>
          </cell>
          <cell r="U318">
            <v>13001</v>
          </cell>
          <cell r="V318">
            <v>9</v>
          </cell>
          <cell r="W318" t="str">
            <v>チャレンジタワー 9F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26</v>
          </cell>
          <cell r="AD318">
            <v>6</v>
          </cell>
          <cell r="AE318" t="str">
            <v>singleonly</v>
          </cell>
        </row>
        <row r="319">
          <cell r="A319" t="str">
            <v>13001_11</v>
          </cell>
          <cell r="B319">
            <v>3</v>
          </cell>
          <cell r="C319">
            <v>13001</v>
          </cell>
          <cell r="D319" t="str">
            <v>チャレンジタワー(ソロ専用)</v>
          </cell>
          <cell r="E319" t="str">
            <v>試練の塔</v>
          </cell>
          <cell r="F319">
            <v>11</v>
          </cell>
          <cell r="G319" t="str">
            <v>ja</v>
          </cell>
          <cell r="H319" t="str">
            <v>チャレンジタワー 11F</v>
          </cell>
          <cell r="I319" t="str">
            <v>試練の塔</v>
          </cell>
          <cell r="J319">
            <v>346</v>
          </cell>
          <cell r="K319">
            <v>12</v>
          </cell>
          <cell r="L319">
            <v>936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character</v>
          </cell>
          <cell r="T319" t="str">
            <v>346,346</v>
          </cell>
          <cell r="U319">
            <v>13001</v>
          </cell>
          <cell r="V319">
            <v>10</v>
          </cell>
          <cell r="W319" t="str">
            <v>チャレンジタワー 10F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26</v>
          </cell>
          <cell r="AD319">
            <v>6</v>
          </cell>
          <cell r="AE319" t="str">
            <v>singleonly</v>
          </cell>
        </row>
        <row r="320">
          <cell r="A320" t="str">
            <v>13001_12</v>
          </cell>
          <cell r="B320">
            <v>3</v>
          </cell>
          <cell r="C320">
            <v>13001</v>
          </cell>
          <cell r="D320" t="str">
            <v>チャレンジタワー(ソロ専用)</v>
          </cell>
          <cell r="E320" t="str">
            <v>試練の塔</v>
          </cell>
          <cell r="F320">
            <v>12</v>
          </cell>
          <cell r="G320" t="str">
            <v>ja</v>
          </cell>
          <cell r="H320" t="str">
            <v>チャレンジタワー 12F</v>
          </cell>
          <cell r="I320" t="str">
            <v>試練の塔</v>
          </cell>
          <cell r="J320">
            <v>342</v>
          </cell>
          <cell r="K320">
            <v>13</v>
          </cell>
          <cell r="L320">
            <v>1601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character</v>
          </cell>
          <cell r="T320" t="str">
            <v>342,342</v>
          </cell>
          <cell r="U320">
            <v>13001</v>
          </cell>
          <cell r="V320">
            <v>11</v>
          </cell>
          <cell r="W320" t="str">
            <v>チャレンジタワー 11F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</v>
          </cell>
          <cell r="AD320">
            <v>6</v>
          </cell>
          <cell r="AE320" t="str">
            <v>singleonly</v>
          </cell>
        </row>
        <row r="321">
          <cell r="A321" t="str">
            <v>13001_13</v>
          </cell>
          <cell r="B321">
            <v>3</v>
          </cell>
          <cell r="C321">
            <v>13001</v>
          </cell>
          <cell r="D321" t="str">
            <v>チャレンジタワー(ソロ専用)</v>
          </cell>
          <cell r="E321" t="str">
            <v>試練の塔</v>
          </cell>
          <cell r="F321">
            <v>13</v>
          </cell>
          <cell r="G321" t="str">
            <v>ja</v>
          </cell>
          <cell r="H321" t="str">
            <v>チャレンジタワー 13F</v>
          </cell>
          <cell r="I321" t="str">
            <v>試練の塔</v>
          </cell>
          <cell r="J321">
            <v>338</v>
          </cell>
          <cell r="K321">
            <v>14</v>
          </cell>
          <cell r="L321">
            <v>945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character</v>
          </cell>
          <cell r="T321" t="str">
            <v>338,338</v>
          </cell>
          <cell r="U321">
            <v>13001</v>
          </cell>
          <cell r="V321">
            <v>12</v>
          </cell>
          <cell r="W321" t="str">
            <v>チャレンジタワー 12F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</v>
          </cell>
          <cell r="AD321">
            <v>6</v>
          </cell>
          <cell r="AE321" t="str">
            <v>singleonly</v>
          </cell>
        </row>
        <row r="322">
          <cell r="A322" t="str">
            <v>13001_14</v>
          </cell>
          <cell r="B322">
            <v>3</v>
          </cell>
          <cell r="C322">
            <v>13001</v>
          </cell>
          <cell r="D322" t="str">
            <v>チャレンジタワー(ソロ専用)</v>
          </cell>
          <cell r="E322" t="str">
            <v>試練の塔</v>
          </cell>
          <cell r="F322">
            <v>14</v>
          </cell>
          <cell r="G322" t="str">
            <v>ja</v>
          </cell>
          <cell r="H322" t="str">
            <v>チャレンジタワー 14F</v>
          </cell>
          <cell r="I322" t="str">
            <v>試練の塔</v>
          </cell>
          <cell r="J322">
            <v>334</v>
          </cell>
          <cell r="K322">
            <v>14</v>
          </cell>
          <cell r="L322">
            <v>1188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character</v>
          </cell>
          <cell r="T322" t="str">
            <v>334,334</v>
          </cell>
          <cell r="U322">
            <v>13001</v>
          </cell>
          <cell r="V322">
            <v>13</v>
          </cell>
          <cell r="W322" t="str">
            <v>チャレンジタワー 13F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</v>
          </cell>
          <cell r="AD322">
            <v>6</v>
          </cell>
          <cell r="AE322" t="str">
            <v>singleonly</v>
          </cell>
        </row>
        <row r="323">
          <cell r="A323" t="str">
            <v>13001_15</v>
          </cell>
          <cell r="B323">
            <v>3</v>
          </cell>
          <cell r="C323">
            <v>13001</v>
          </cell>
          <cell r="D323" t="str">
            <v>チャレンジタワー(ソロ専用)</v>
          </cell>
          <cell r="E323" t="str">
            <v>試練の塔</v>
          </cell>
          <cell r="F323">
            <v>15</v>
          </cell>
          <cell r="G323" t="str">
            <v>ja</v>
          </cell>
          <cell r="H323" t="str">
            <v>チャレンジタワー 15F</v>
          </cell>
          <cell r="I323" t="str">
            <v>試練の塔</v>
          </cell>
          <cell r="J323">
            <v>316</v>
          </cell>
          <cell r="K323">
            <v>14</v>
          </cell>
          <cell r="L323">
            <v>1008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character</v>
          </cell>
          <cell r="T323" t="str">
            <v>316</v>
          </cell>
          <cell r="U323">
            <v>13001</v>
          </cell>
          <cell r="V323">
            <v>14</v>
          </cell>
          <cell r="W323" t="str">
            <v>チャレンジタワー 14F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26</v>
          </cell>
          <cell r="AD323">
            <v>6</v>
          </cell>
          <cell r="AE323" t="str">
            <v>singleonly</v>
          </cell>
        </row>
        <row r="324">
          <cell r="A324" t="str">
            <v>13001_16</v>
          </cell>
          <cell r="B324">
            <v>3</v>
          </cell>
          <cell r="C324">
            <v>13001</v>
          </cell>
          <cell r="D324" t="str">
            <v>チャレンジタワー(ソロ専用)</v>
          </cell>
          <cell r="E324" t="str">
            <v>試練の塔</v>
          </cell>
          <cell r="F324">
            <v>16</v>
          </cell>
          <cell r="G324" t="str">
            <v>ja</v>
          </cell>
          <cell r="H324" t="str">
            <v>チャレンジタワー 16F</v>
          </cell>
          <cell r="I324" t="str">
            <v>試練の塔</v>
          </cell>
          <cell r="J324">
            <v>338</v>
          </cell>
          <cell r="K324">
            <v>16</v>
          </cell>
          <cell r="L324">
            <v>2573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character</v>
          </cell>
          <cell r="T324" t="str">
            <v>338,338,337</v>
          </cell>
          <cell r="U324">
            <v>13001</v>
          </cell>
          <cell r="V324">
            <v>15</v>
          </cell>
          <cell r="W324" t="str">
            <v>チャレンジタワー 15F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26</v>
          </cell>
          <cell r="AD324">
            <v>6</v>
          </cell>
          <cell r="AE324" t="str">
            <v>singleonly</v>
          </cell>
        </row>
        <row r="325">
          <cell r="A325" t="str">
            <v>13001_17</v>
          </cell>
          <cell r="B325">
            <v>3</v>
          </cell>
          <cell r="C325">
            <v>13001</v>
          </cell>
          <cell r="D325" t="str">
            <v>チャレンジタワー(ソロ専用)</v>
          </cell>
          <cell r="E325" t="str">
            <v>試練の塔</v>
          </cell>
          <cell r="F325">
            <v>17</v>
          </cell>
          <cell r="G325" t="str">
            <v>ja</v>
          </cell>
          <cell r="H325" t="str">
            <v>チャレンジタワー 17F</v>
          </cell>
          <cell r="I325" t="str">
            <v>試練の塔</v>
          </cell>
          <cell r="J325">
            <v>346</v>
          </cell>
          <cell r="K325">
            <v>16</v>
          </cell>
          <cell r="L325">
            <v>1568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character</v>
          </cell>
          <cell r="T325" t="str">
            <v>346,346,345</v>
          </cell>
          <cell r="U325">
            <v>13001</v>
          </cell>
          <cell r="V325">
            <v>16</v>
          </cell>
          <cell r="W325" t="str">
            <v>チャレンジタワー 16F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26</v>
          </cell>
          <cell r="AD325">
            <v>6</v>
          </cell>
          <cell r="AE325" t="str">
            <v>singleonly</v>
          </cell>
        </row>
        <row r="326">
          <cell r="A326" t="str">
            <v>13001_18</v>
          </cell>
          <cell r="B326">
            <v>3</v>
          </cell>
          <cell r="C326">
            <v>13001</v>
          </cell>
          <cell r="D326" t="str">
            <v>チャレンジタワー(ソロ専用)</v>
          </cell>
          <cell r="E326" t="str">
            <v>試練の塔</v>
          </cell>
          <cell r="F326">
            <v>18</v>
          </cell>
          <cell r="G326" t="str">
            <v>ja</v>
          </cell>
          <cell r="H326" t="str">
            <v>チャレンジタワー 18F</v>
          </cell>
          <cell r="I326" t="str">
            <v>試練の塔</v>
          </cell>
          <cell r="J326">
            <v>334</v>
          </cell>
          <cell r="K326">
            <v>17</v>
          </cell>
          <cell r="L326">
            <v>1821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character</v>
          </cell>
          <cell r="T326" t="str">
            <v>334,334,333</v>
          </cell>
          <cell r="U326">
            <v>13001</v>
          </cell>
          <cell r="V326">
            <v>17</v>
          </cell>
          <cell r="W326" t="str">
            <v>チャレンジタワー 17F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26</v>
          </cell>
          <cell r="AD326">
            <v>6</v>
          </cell>
          <cell r="AE326" t="str">
            <v>singleonly</v>
          </cell>
        </row>
        <row r="327">
          <cell r="A327" t="str">
            <v>13001_19</v>
          </cell>
          <cell r="B327">
            <v>3</v>
          </cell>
          <cell r="C327">
            <v>13001</v>
          </cell>
          <cell r="D327" t="str">
            <v>チャレンジタワー(ソロ専用)</v>
          </cell>
          <cell r="E327" t="str">
            <v>試練の塔</v>
          </cell>
          <cell r="F327">
            <v>19</v>
          </cell>
          <cell r="G327" t="str">
            <v>ja</v>
          </cell>
          <cell r="H327" t="str">
            <v>チャレンジタワー 19F</v>
          </cell>
          <cell r="I327" t="str">
            <v>試練の塔</v>
          </cell>
          <cell r="J327">
            <v>342</v>
          </cell>
          <cell r="K327">
            <v>18</v>
          </cell>
          <cell r="L327">
            <v>2108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character</v>
          </cell>
          <cell r="T327" t="str">
            <v>342,342,341</v>
          </cell>
          <cell r="U327">
            <v>13001</v>
          </cell>
          <cell r="V327">
            <v>18</v>
          </cell>
          <cell r="W327" t="str">
            <v>チャレンジタワー 18F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26</v>
          </cell>
          <cell r="AD327">
            <v>6</v>
          </cell>
          <cell r="AE327" t="str">
            <v>singleonly</v>
          </cell>
        </row>
        <row r="328">
          <cell r="A328" t="str">
            <v>13001_20</v>
          </cell>
          <cell r="B328">
            <v>3</v>
          </cell>
          <cell r="C328">
            <v>13001</v>
          </cell>
          <cell r="D328" t="str">
            <v>チャレンジタワー(ソロ専用)</v>
          </cell>
          <cell r="E328" t="str">
            <v>試練の塔</v>
          </cell>
          <cell r="F328">
            <v>20</v>
          </cell>
          <cell r="G328" t="str">
            <v>ja</v>
          </cell>
          <cell r="H328" t="str">
            <v>チャレンジタワー 20F</v>
          </cell>
          <cell r="I328" t="str">
            <v>試練の塔</v>
          </cell>
          <cell r="J328">
            <v>318</v>
          </cell>
          <cell r="K328">
            <v>18</v>
          </cell>
          <cell r="L328">
            <v>1620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character</v>
          </cell>
          <cell r="T328" t="str">
            <v>318</v>
          </cell>
          <cell r="U328">
            <v>13001</v>
          </cell>
          <cell r="V328">
            <v>19</v>
          </cell>
          <cell r="W328" t="str">
            <v>チャレンジタワー 19F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26</v>
          </cell>
          <cell r="AD328">
            <v>6</v>
          </cell>
          <cell r="AE328" t="str">
            <v>singleonly</v>
          </cell>
        </row>
        <row r="329">
          <cell r="A329" t="str">
            <v>13001_21</v>
          </cell>
          <cell r="B329">
            <v>3</v>
          </cell>
          <cell r="C329">
            <v>13001</v>
          </cell>
          <cell r="D329" t="str">
            <v>チャレンジタワー(ソロ専用)</v>
          </cell>
          <cell r="E329" t="str">
            <v>試練の塔</v>
          </cell>
          <cell r="F329">
            <v>21</v>
          </cell>
          <cell r="G329" t="str">
            <v>ja</v>
          </cell>
          <cell r="H329" t="str">
            <v>チャレンジタワー 21F</v>
          </cell>
          <cell r="I329" t="str">
            <v>試練の塔</v>
          </cell>
          <cell r="J329" t="str">
            <v>335</v>
          </cell>
          <cell r="K329">
            <v>18</v>
          </cell>
          <cell r="L329">
            <v>1620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character</v>
          </cell>
          <cell r="T329" t="str">
            <v>334,335,335</v>
          </cell>
          <cell r="U329">
            <v>13001</v>
          </cell>
          <cell r="V329">
            <v>20</v>
          </cell>
          <cell r="W329" t="str">
            <v>チャレンジタワー 20F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26</v>
          </cell>
          <cell r="AD329">
            <v>6</v>
          </cell>
          <cell r="AE329" t="str">
            <v>singleonly</v>
          </cell>
        </row>
        <row r="330">
          <cell r="A330" t="str">
            <v>13001_22</v>
          </cell>
          <cell r="B330">
            <v>3</v>
          </cell>
          <cell r="C330">
            <v>13001</v>
          </cell>
          <cell r="D330" t="str">
            <v>チャレンジタワー(ソロ専用)</v>
          </cell>
          <cell r="E330" t="str">
            <v>試練の塔</v>
          </cell>
          <cell r="F330">
            <v>22</v>
          </cell>
          <cell r="G330" t="str">
            <v>ja</v>
          </cell>
          <cell r="H330" t="str">
            <v>チャレンジタワー 22F</v>
          </cell>
          <cell r="I330" t="str">
            <v>試練の塔</v>
          </cell>
          <cell r="J330" t="str">
            <v>339</v>
          </cell>
          <cell r="K330">
            <v>18</v>
          </cell>
          <cell r="L330">
            <v>1620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character</v>
          </cell>
          <cell r="T330" t="str">
            <v>338,339,339</v>
          </cell>
          <cell r="U330">
            <v>13001</v>
          </cell>
          <cell r="V330">
            <v>21</v>
          </cell>
          <cell r="W330" t="str">
            <v>チャレンジタワー 21F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</v>
          </cell>
          <cell r="AD330">
            <v>6</v>
          </cell>
          <cell r="AE330" t="str">
            <v>singleonly</v>
          </cell>
        </row>
        <row r="331">
          <cell r="A331" t="str">
            <v>13001_23</v>
          </cell>
          <cell r="B331">
            <v>3</v>
          </cell>
          <cell r="C331">
            <v>13001</v>
          </cell>
          <cell r="D331" t="str">
            <v>チャレンジタワー(ソロ専用)</v>
          </cell>
          <cell r="E331" t="str">
            <v>試練の塔</v>
          </cell>
          <cell r="F331">
            <v>23</v>
          </cell>
          <cell r="G331" t="str">
            <v>ja</v>
          </cell>
          <cell r="H331" t="str">
            <v>チャレンジタワー 23F</v>
          </cell>
          <cell r="I331" t="str">
            <v>試練の塔</v>
          </cell>
          <cell r="J331" t="str">
            <v>347</v>
          </cell>
          <cell r="K331">
            <v>20</v>
          </cell>
          <cell r="L331">
            <v>1821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character</v>
          </cell>
          <cell r="T331" t="str">
            <v>346,347,347</v>
          </cell>
          <cell r="U331">
            <v>13001</v>
          </cell>
          <cell r="V331">
            <v>22</v>
          </cell>
          <cell r="W331" t="str">
            <v>チャレンジタワー 22F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26</v>
          </cell>
          <cell r="AD331">
            <v>6</v>
          </cell>
          <cell r="AE331" t="str">
            <v>singleonly</v>
          </cell>
        </row>
        <row r="332">
          <cell r="A332" t="str">
            <v>13001_24</v>
          </cell>
          <cell r="B332">
            <v>3</v>
          </cell>
          <cell r="C332">
            <v>13001</v>
          </cell>
          <cell r="D332" t="str">
            <v>チャレンジタワー(ソロ専用)</v>
          </cell>
          <cell r="E332" t="str">
            <v>試練の塔</v>
          </cell>
          <cell r="F332">
            <v>24</v>
          </cell>
          <cell r="G332" t="str">
            <v>ja</v>
          </cell>
          <cell r="H332" t="str">
            <v>チャレンジタワー 24F</v>
          </cell>
          <cell r="I332" t="str">
            <v>試練の塔</v>
          </cell>
          <cell r="J332" t="str">
            <v>343</v>
          </cell>
          <cell r="K332">
            <v>20</v>
          </cell>
          <cell r="L332">
            <v>2871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character</v>
          </cell>
          <cell r="T332" t="str">
            <v>342,343,343</v>
          </cell>
          <cell r="U332">
            <v>13001</v>
          </cell>
          <cell r="V332">
            <v>23</v>
          </cell>
          <cell r="W332" t="str">
            <v>チャレンジタワー 23F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26</v>
          </cell>
          <cell r="AD332">
            <v>6</v>
          </cell>
          <cell r="AE332" t="str">
            <v>singleonly</v>
          </cell>
        </row>
        <row r="333">
          <cell r="A333" t="str">
            <v>13001_25</v>
          </cell>
          <cell r="B333">
            <v>3</v>
          </cell>
          <cell r="C333">
            <v>13001</v>
          </cell>
          <cell r="D333" t="str">
            <v>チャレンジタワー(ソロ専用)</v>
          </cell>
          <cell r="E333" t="str">
            <v>試練の塔</v>
          </cell>
          <cell r="F333">
            <v>25</v>
          </cell>
          <cell r="G333" t="str">
            <v>ja</v>
          </cell>
          <cell r="H333" t="str">
            <v>チャレンジタワー 25F</v>
          </cell>
          <cell r="I333" t="str">
            <v>試練の塔</v>
          </cell>
          <cell r="J333" t="str">
            <v>368</v>
          </cell>
          <cell r="K333">
            <v>22</v>
          </cell>
          <cell r="L333">
            <v>3740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character</v>
          </cell>
          <cell r="T333" t="str">
            <v>368</v>
          </cell>
          <cell r="U333">
            <v>13001</v>
          </cell>
          <cell r="V333">
            <v>24</v>
          </cell>
          <cell r="W333" t="str">
            <v>チャレンジタワー 24F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26</v>
          </cell>
          <cell r="AD333">
            <v>6</v>
          </cell>
          <cell r="AE333" t="str">
            <v>singleonly</v>
          </cell>
        </row>
        <row r="334">
          <cell r="A334" t="str">
            <v>13101_1</v>
          </cell>
          <cell r="B334">
            <v>1</v>
          </cell>
          <cell r="C334">
            <v>13101</v>
          </cell>
          <cell r="D334" t="str">
            <v>チャレンジタワー</v>
          </cell>
          <cell r="E334" t="str">
            <v>リセット型チャレンジタワー</v>
          </cell>
          <cell r="F334">
            <v>1</v>
          </cell>
          <cell r="G334" t="str">
            <v>ja</v>
          </cell>
          <cell r="H334" t="str">
            <v>チャレンジタワー 1F</v>
          </cell>
          <cell r="I334" t="str">
            <v>試練の塔</v>
          </cell>
          <cell r="J334">
            <v>345</v>
          </cell>
          <cell r="K334">
            <v>3</v>
          </cell>
          <cell r="L334">
            <v>120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character</v>
          </cell>
          <cell r="T334" t="str">
            <v>345,345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26</v>
          </cell>
          <cell r="AD334">
            <v>6</v>
          </cell>
          <cell r="AE334" t="str">
            <v>singleonly</v>
          </cell>
        </row>
        <row r="335">
          <cell r="A335" t="str">
            <v>13101_2</v>
          </cell>
          <cell r="B335">
            <v>1</v>
          </cell>
          <cell r="C335">
            <v>13101</v>
          </cell>
          <cell r="D335" t="str">
            <v>チャレンジタワー</v>
          </cell>
          <cell r="E335" t="str">
            <v>リセット型チャレンジタワー</v>
          </cell>
          <cell r="F335">
            <v>2</v>
          </cell>
          <cell r="G335" t="str">
            <v>ja</v>
          </cell>
          <cell r="H335" t="str">
            <v>チャレンジタワー 2F</v>
          </cell>
          <cell r="I335" t="str">
            <v>試練の塔</v>
          </cell>
          <cell r="J335">
            <v>333</v>
          </cell>
          <cell r="K335">
            <v>4</v>
          </cell>
          <cell r="L335">
            <v>176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character</v>
          </cell>
          <cell r="T335" t="str">
            <v>333,333</v>
          </cell>
          <cell r="U335">
            <v>13101</v>
          </cell>
          <cell r="V335">
            <v>1</v>
          </cell>
          <cell r="W335" t="str">
            <v>チャレンジタワー 1F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26</v>
          </cell>
          <cell r="AD335">
            <v>6</v>
          </cell>
          <cell r="AE335" t="str">
            <v>singleonly</v>
          </cell>
        </row>
        <row r="336">
          <cell r="A336" t="str">
            <v>13101_3</v>
          </cell>
          <cell r="B336">
            <v>1</v>
          </cell>
          <cell r="C336">
            <v>13101</v>
          </cell>
          <cell r="D336" t="str">
            <v>チャレンジタワー</v>
          </cell>
          <cell r="E336" t="str">
            <v>リセット型チャレンジタワー</v>
          </cell>
          <cell r="F336">
            <v>3</v>
          </cell>
          <cell r="G336" t="str">
            <v>ja</v>
          </cell>
          <cell r="H336" t="str">
            <v>チャレンジタワー 3F</v>
          </cell>
          <cell r="I336" t="str">
            <v>試練の塔</v>
          </cell>
          <cell r="J336">
            <v>337</v>
          </cell>
          <cell r="K336">
            <v>5</v>
          </cell>
          <cell r="L336">
            <v>242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character</v>
          </cell>
          <cell r="T336" t="str">
            <v>337,337</v>
          </cell>
          <cell r="U336">
            <v>13101</v>
          </cell>
          <cell r="V336">
            <v>2</v>
          </cell>
          <cell r="W336" t="str">
            <v>チャレンジタワー 2F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26</v>
          </cell>
          <cell r="AD336">
            <v>6</v>
          </cell>
          <cell r="AE336" t="str">
            <v>singleonly</v>
          </cell>
        </row>
        <row r="337">
          <cell r="A337" t="str">
            <v>13101_4</v>
          </cell>
          <cell r="B337">
            <v>1</v>
          </cell>
          <cell r="C337">
            <v>13101</v>
          </cell>
          <cell r="D337" t="str">
            <v>チャレンジタワー</v>
          </cell>
          <cell r="E337" t="str">
            <v>リセット型チャレンジタワー</v>
          </cell>
          <cell r="F337">
            <v>4</v>
          </cell>
          <cell r="G337" t="str">
            <v>ja</v>
          </cell>
          <cell r="H337" t="str">
            <v>チャレンジタワー 4F</v>
          </cell>
          <cell r="I337" t="str">
            <v>試練の塔</v>
          </cell>
          <cell r="J337">
            <v>341</v>
          </cell>
          <cell r="K337">
            <v>7</v>
          </cell>
          <cell r="L337">
            <v>508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character</v>
          </cell>
          <cell r="T337" t="str">
            <v>341,341</v>
          </cell>
          <cell r="U337">
            <v>13101</v>
          </cell>
          <cell r="V337">
            <v>3</v>
          </cell>
          <cell r="W337" t="str">
            <v>チャレンジタワー 3F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26</v>
          </cell>
          <cell r="AD337">
            <v>6</v>
          </cell>
          <cell r="AE337" t="str">
            <v>singleonly</v>
          </cell>
        </row>
        <row r="338">
          <cell r="A338" t="str">
            <v>13101_5</v>
          </cell>
          <cell r="B338">
            <v>1</v>
          </cell>
          <cell r="C338">
            <v>13101</v>
          </cell>
          <cell r="D338" t="str">
            <v>チャレンジタワー</v>
          </cell>
          <cell r="E338" t="str">
            <v>リセット型チャレンジタワー</v>
          </cell>
          <cell r="F338">
            <v>5</v>
          </cell>
          <cell r="G338" t="str">
            <v>ja</v>
          </cell>
          <cell r="H338" t="str">
            <v>チャレンジタワー 5F</v>
          </cell>
          <cell r="I338" t="str">
            <v>試練の塔</v>
          </cell>
          <cell r="J338">
            <v>333</v>
          </cell>
          <cell r="K338">
            <v>7</v>
          </cell>
          <cell r="L338">
            <v>280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character</v>
          </cell>
          <cell r="T338" t="str">
            <v>333,337,341,345</v>
          </cell>
          <cell r="U338">
            <v>13101</v>
          </cell>
          <cell r="V338">
            <v>4</v>
          </cell>
          <cell r="W338" t="str">
            <v>チャレンジタワー 4F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26</v>
          </cell>
          <cell r="AD338">
            <v>6</v>
          </cell>
          <cell r="AE338" t="str">
            <v>singleonly</v>
          </cell>
        </row>
        <row r="339">
          <cell r="A339" t="str">
            <v>13101_6</v>
          </cell>
          <cell r="B339">
            <v>1</v>
          </cell>
          <cell r="C339">
            <v>13101</v>
          </cell>
          <cell r="D339" t="str">
            <v>チャレンジタワー</v>
          </cell>
          <cell r="E339" t="str">
            <v>リセット型チャレンジタワー</v>
          </cell>
          <cell r="F339">
            <v>6</v>
          </cell>
          <cell r="G339" t="str">
            <v>ja</v>
          </cell>
          <cell r="H339" t="str">
            <v>チャレンジタワー 6F</v>
          </cell>
          <cell r="I339" t="str">
            <v>試練の塔</v>
          </cell>
          <cell r="J339">
            <v>346</v>
          </cell>
          <cell r="K339">
            <v>8</v>
          </cell>
          <cell r="L339">
            <v>474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character</v>
          </cell>
          <cell r="T339" t="str">
            <v>346,345</v>
          </cell>
          <cell r="U339">
            <v>13101</v>
          </cell>
          <cell r="V339">
            <v>5</v>
          </cell>
          <cell r="W339" t="str">
            <v>チャレンジタワー 5F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26</v>
          </cell>
          <cell r="AD339">
            <v>6</v>
          </cell>
          <cell r="AE339" t="str">
            <v>singleonly</v>
          </cell>
        </row>
        <row r="340">
          <cell r="A340" t="str">
            <v>13101_7</v>
          </cell>
          <cell r="B340">
            <v>1</v>
          </cell>
          <cell r="C340">
            <v>13101</v>
          </cell>
          <cell r="D340" t="str">
            <v>チャレンジタワー</v>
          </cell>
          <cell r="E340" t="str">
            <v>リセット型チャレンジタワー</v>
          </cell>
          <cell r="F340">
            <v>7</v>
          </cell>
          <cell r="G340" t="str">
            <v>ja</v>
          </cell>
          <cell r="H340" t="str">
            <v>チャレンジタワー 7F</v>
          </cell>
          <cell r="I340" t="str">
            <v>試練の塔</v>
          </cell>
          <cell r="J340">
            <v>342</v>
          </cell>
          <cell r="K340">
            <v>8</v>
          </cell>
          <cell r="L340">
            <v>486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character</v>
          </cell>
          <cell r="T340" t="str">
            <v>342,341</v>
          </cell>
          <cell r="U340">
            <v>13101</v>
          </cell>
          <cell r="V340">
            <v>6</v>
          </cell>
          <cell r="W340" t="str">
            <v>チャレンジタワー 6F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26</v>
          </cell>
          <cell r="AD340">
            <v>6</v>
          </cell>
          <cell r="AE340" t="str">
            <v>singleonly</v>
          </cell>
        </row>
        <row r="341">
          <cell r="A341" t="str">
            <v>13101_8</v>
          </cell>
          <cell r="B341">
            <v>1</v>
          </cell>
          <cell r="C341">
            <v>13101</v>
          </cell>
          <cell r="D341" t="str">
            <v>チャレンジタワー</v>
          </cell>
          <cell r="E341" t="str">
            <v>リセット型チャレンジタワー</v>
          </cell>
          <cell r="F341">
            <v>8</v>
          </cell>
          <cell r="G341" t="str">
            <v>ja</v>
          </cell>
          <cell r="H341" t="str">
            <v>チャレンジタワー 8F</v>
          </cell>
          <cell r="I341" t="str">
            <v>試練の塔</v>
          </cell>
          <cell r="J341">
            <v>334</v>
          </cell>
          <cell r="K341">
            <v>10</v>
          </cell>
          <cell r="L341">
            <v>1006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character</v>
          </cell>
          <cell r="T341" t="str">
            <v>334,333</v>
          </cell>
          <cell r="U341">
            <v>13101</v>
          </cell>
          <cell r="V341">
            <v>7</v>
          </cell>
          <cell r="W341" t="str">
            <v>チャレンジタワー 7F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26</v>
          </cell>
          <cell r="AD341">
            <v>6</v>
          </cell>
          <cell r="AE341" t="str">
            <v>singleonly</v>
          </cell>
        </row>
        <row r="342">
          <cell r="A342" t="str">
            <v>13101_9</v>
          </cell>
          <cell r="B342">
            <v>1</v>
          </cell>
          <cell r="C342">
            <v>13101</v>
          </cell>
          <cell r="D342" t="str">
            <v>チャレンジタワー</v>
          </cell>
          <cell r="E342" t="str">
            <v>リセット型チャレンジタワー</v>
          </cell>
          <cell r="F342">
            <v>9</v>
          </cell>
          <cell r="G342" t="str">
            <v>ja</v>
          </cell>
          <cell r="H342" t="str">
            <v>チャレンジタワー 9F</v>
          </cell>
          <cell r="I342" t="str">
            <v>試練の塔</v>
          </cell>
          <cell r="J342">
            <v>338</v>
          </cell>
          <cell r="K342">
            <v>10</v>
          </cell>
          <cell r="L342">
            <v>702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character</v>
          </cell>
          <cell r="T342" t="str">
            <v>337,337,338</v>
          </cell>
          <cell r="U342">
            <v>13101</v>
          </cell>
          <cell r="V342">
            <v>8</v>
          </cell>
          <cell r="W342" t="str">
            <v>チャレンジタワー 8F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26</v>
          </cell>
          <cell r="AD342">
            <v>6</v>
          </cell>
          <cell r="AE342" t="str">
            <v>singleonly</v>
          </cell>
        </row>
        <row r="343">
          <cell r="A343" t="str">
            <v>13101_10</v>
          </cell>
          <cell r="B343">
            <v>1</v>
          </cell>
          <cell r="C343">
            <v>13101</v>
          </cell>
          <cell r="D343" t="str">
            <v>チャレンジタワー</v>
          </cell>
          <cell r="E343" t="str">
            <v>リセット型チャレンジタワー</v>
          </cell>
          <cell r="F343">
            <v>10</v>
          </cell>
          <cell r="G343" t="str">
            <v>ja</v>
          </cell>
          <cell r="H343" t="str">
            <v>チャレンジタワー 10F</v>
          </cell>
          <cell r="I343" t="str">
            <v>試練の塔</v>
          </cell>
          <cell r="J343">
            <v>346</v>
          </cell>
          <cell r="K343">
            <v>11</v>
          </cell>
          <cell r="L343">
            <v>788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character</v>
          </cell>
          <cell r="T343" t="str">
            <v>346,333,337,341</v>
          </cell>
          <cell r="U343">
            <v>13101</v>
          </cell>
          <cell r="V343">
            <v>9</v>
          </cell>
          <cell r="W343" t="str">
            <v>チャレンジタワー 9F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26</v>
          </cell>
          <cell r="AD343">
            <v>6</v>
          </cell>
          <cell r="AE343" t="str">
            <v>singleonly</v>
          </cell>
        </row>
        <row r="344">
          <cell r="A344" t="str">
            <v>13101_11</v>
          </cell>
          <cell r="B344">
            <v>1</v>
          </cell>
          <cell r="C344">
            <v>13101</v>
          </cell>
          <cell r="D344" t="str">
            <v>チャレンジタワー</v>
          </cell>
          <cell r="E344" t="str">
            <v>リセット型チャレンジタワー</v>
          </cell>
          <cell r="F344">
            <v>11</v>
          </cell>
          <cell r="G344" t="str">
            <v>ja</v>
          </cell>
          <cell r="H344" t="str">
            <v>チャレンジタワー 11F</v>
          </cell>
          <cell r="I344" t="str">
            <v>試練の塔</v>
          </cell>
          <cell r="J344">
            <v>346</v>
          </cell>
          <cell r="K344">
            <v>12</v>
          </cell>
          <cell r="L344">
            <v>936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character</v>
          </cell>
          <cell r="T344" t="str">
            <v>346,346</v>
          </cell>
          <cell r="U344">
            <v>13101</v>
          </cell>
          <cell r="V344">
            <v>10</v>
          </cell>
          <cell r="W344" t="str">
            <v>チャレンジタワー 10F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26</v>
          </cell>
          <cell r="AD344">
            <v>6</v>
          </cell>
          <cell r="AE344" t="str">
            <v>singleonly</v>
          </cell>
        </row>
        <row r="345">
          <cell r="A345" t="str">
            <v>13101_12</v>
          </cell>
          <cell r="B345">
            <v>1</v>
          </cell>
          <cell r="C345">
            <v>13101</v>
          </cell>
          <cell r="D345" t="str">
            <v>チャレンジタワー</v>
          </cell>
          <cell r="E345" t="str">
            <v>リセット型チャレンジタワー</v>
          </cell>
          <cell r="F345">
            <v>12</v>
          </cell>
          <cell r="G345" t="str">
            <v>ja</v>
          </cell>
          <cell r="H345" t="str">
            <v>チャレンジタワー 12F</v>
          </cell>
          <cell r="I345" t="str">
            <v>試練の塔</v>
          </cell>
          <cell r="J345">
            <v>342</v>
          </cell>
          <cell r="K345">
            <v>13</v>
          </cell>
          <cell r="L345">
            <v>1601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character</v>
          </cell>
          <cell r="T345" t="str">
            <v>342,342</v>
          </cell>
          <cell r="U345">
            <v>13101</v>
          </cell>
          <cell r="V345">
            <v>11</v>
          </cell>
          <cell r="W345" t="str">
            <v>チャレンジタワー 11F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26</v>
          </cell>
          <cell r="AD345">
            <v>6</v>
          </cell>
          <cell r="AE345" t="str">
            <v>singleonly</v>
          </cell>
        </row>
        <row r="346">
          <cell r="A346" t="str">
            <v>13101_13</v>
          </cell>
          <cell r="B346">
            <v>1</v>
          </cell>
          <cell r="C346">
            <v>13101</v>
          </cell>
          <cell r="D346" t="str">
            <v>チャレンジタワー</v>
          </cell>
          <cell r="E346" t="str">
            <v>リセット型チャレンジタワー</v>
          </cell>
          <cell r="F346">
            <v>13</v>
          </cell>
          <cell r="G346" t="str">
            <v>ja</v>
          </cell>
          <cell r="H346" t="str">
            <v>チャレンジタワー 13F</v>
          </cell>
          <cell r="I346" t="str">
            <v>試練の塔</v>
          </cell>
          <cell r="J346">
            <v>338</v>
          </cell>
          <cell r="K346">
            <v>14</v>
          </cell>
          <cell r="L346">
            <v>945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character</v>
          </cell>
          <cell r="T346" t="str">
            <v>338,338</v>
          </cell>
          <cell r="U346">
            <v>13101</v>
          </cell>
          <cell r="V346">
            <v>12</v>
          </cell>
          <cell r="W346" t="str">
            <v>チャレンジタワー 12F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26</v>
          </cell>
          <cell r="AD346">
            <v>6</v>
          </cell>
          <cell r="AE346" t="str">
            <v>singleonly</v>
          </cell>
        </row>
        <row r="347">
          <cell r="A347" t="str">
            <v>13101_14</v>
          </cell>
          <cell r="B347">
            <v>1</v>
          </cell>
          <cell r="C347">
            <v>13101</v>
          </cell>
          <cell r="D347" t="str">
            <v>チャレンジタワー</v>
          </cell>
          <cell r="E347" t="str">
            <v>リセット型チャレンジタワー</v>
          </cell>
          <cell r="F347">
            <v>14</v>
          </cell>
          <cell r="G347" t="str">
            <v>ja</v>
          </cell>
          <cell r="H347" t="str">
            <v>チャレンジタワー 14F</v>
          </cell>
          <cell r="I347" t="str">
            <v>試練の塔</v>
          </cell>
          <cell r="J347">
            <v>334</v>
          </cell>
          <cell r="K347">
            <v>14</v>
          </cell>
          <cell r="L347">
            <v>1188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character</v>
          </cell>
          <cell r="T347" t="str">
            <v>334,334</v>
          </cell>
          <cell r="U347">
            <v>13101</v>
          </cell>
          <cell r="V347">
            <v>13</v>
          </cell>
          <cell r="W347" t="str">
            <v>チャレンジタワー 13F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26</v>
          </cell>
          <cell r="AD347">
            <v>6</v>
          </cell>
          <cell r="AE347" t="str">
            <v>singleonly</v>
          </cell>
        </row>
        <row r="348">
          <cell r="A348" t="str">
            <v>13101_15</v>
          </cell>
          <cell r="B348">
            <v>1</v>
          </cell>
          <cell r="C348">
            <v>13101</v>
          </cell>
          <cell r="D348" t="str">
            <v>チャレンジタワー</v>
          </cell>
          <cell r="E348" t="str">
            <v>リセット型チャレンジタワー</v>
          </cell>
          <cell r="F348">
            <v>15</v>
          </cell>
          <cell r="G348" t="str">
            <v>ja</v>
          </cell>
          <cell r="H348" t="str">
            <v>チャレンジタワー 15F</v>
          </cell>
          <cell r="I348" t="str">
            <v>試練の塔</v>
          </cell>
          <cell r="J348">
            <v>316</v>
          </cell>
          <cell r="K348">
            <v>14</v>
          </cell>
          <cell r="L348">
            <v>1008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character</v>
          </cell>
          <cell r="T348" t="str">
            <v>316</v>
          </cell>
          <cell r="U348">
            <v>13101</v>
          </cell>
          <cell r="V348">
            <v>14</v>
          </cell>
          <cell r="W348" t="str">
            <v>チャレンジタワー 14F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26</v>
          </cell>
          <cell r="AD348">
            <v>6</v>
          </cell>
          <cell r="AE348" t="str">
            <v>singleonly</v>
          </cell>
        </row>
        <row r="349">
          <cell r="A349" t="str">
            <v>13101_16</v>
          </cell>
          <cell r="B349">
            <v>1</v>
          </cell>
          <cell r="C349">
            <v>13101</v>
          </cell>
          <cell r="D349" t="str">
            <v>チャレンジタワー</v>
          </cell>
          <cell r="E349" t="str">
            <v>リセット型チャレンジタワー</v>
          </cell>
          <cell r="F349">
            <v>16</v>
          </cell>
          <cell r="G349" t="str">
            <v>ja</v>
          </cell>
          <cell r="H349" t="str">
            <v>チャレンジタワー 16F</v>
          </cell>
          <cell r="I349" t="str">
            <v>試練の塔</v>
          </cell>
          <cell r="J349">
            <v>338</v>
          </cell>
          <cell r="K349">
            <v>16</v>
          </cell>
          <cell r="L349">
            <v>2573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character</v>
          </cell>
          <cell r="T349" t="str">
            <v>338,338,337</v>
          </cell>
          <cell r="U349">
            <v>13101</v>
          </cell>
          <cell r="V349">
            <v>15</v>
          </cell>
          <cell r="W349" t="str">
            <v>チャレンジタワー 15F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26</v>
          </cell>
          <cell r="AD349">
            <v>6</v>
          </cell>
          <cell r="AE349" t="str">
            <v>singleonly</v>
          </cell>
        </row>
        <row r="350">
          <cell r="A350" t="str">
            <v>13101_17</v>
          </cell>
          <cell r="B350">
            <v>1</v>
          </cell>
          <cell r="C350">
            <v>13101</v>
          </cell>
          <cell r="D350" t="str">
            <v>チャレンジタワー</v>
          </cell>
          <cell r="E350" t="str">
            <v>リセット型チャレンジタワー</v>
          </cell>
          <cell r="F350">
            <v>17</v>
          </cell>
          <cell r="G350" t="str">
            <v>ja</v>
          </cell>
          <cell r="H350" t="str">
            <v>チャレンジタワー 17F</v>
          </cell>
          <cell r="I350" t="str">
            <v>試練の塔</v>
          </cell>
          <cell r="J350">
            <v>346</v>
          </cell>
          <cell r="K350">
            <v>16</v>
          </cell>
          <cell r="L350">
            <v>1568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character</v>
          </cell>
          <cell r="T350" t="str">
            <v>346,346,345</v>
          </cell>
          <cell r="U350">
            <v>13101</v>
          </cell>
          <cell r="V350">
            <v>16</v>
          </cell>
          <cell r="W350" t="str">
            <v>チャレンジタワー 16F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26</v>
          </cell>
          <cell r="AD350">
            <v>6</v>
          </cell>
          <cell r="AE350" t="str">
            <v>singleonly</v>
          </cell>
        </row>
        <row r="351">
          <cell r="A351" t="str">
            <v>13101_18</v>
          </cell>
          <cell r="B351">
            <v>1</v>
          </cell>
          <cell r="C351">
            <v>13101</v>
          </cell>
          <cell r="D351" t="str">
            <v>チャレンジタワー</v>
          </cell>
          <cell r="E351" t="str">
            <v>リセット型チャレンジタワー</v>
          </cell>
          <cell r="F351">
            <v>18</v>
          </cell>
          <cell r="G351" t="str">
            <v>ja</v>
          </cell>
          <cell r="H351" t="str">
            <v>チャレンジタワー 18F</v>
          </cell>
          <cell r="I351" t="str">
            <v>試練の塔</v>
          </cell>
          <cell r="J351">
            <v>334</v>
          </cell>
          <cell r="K351">
            <v>17</v>
          </cell>
          <cell r="L351">
            <v>1821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character</v>
          </cell>
          <cell r="T351" t="str">
            <v>334,334,333</v>
          </cell>
          <cell r="U351">
            <v>13101</v>
          </cell>
          <cell r="V351">
            <v>17</v>
          </cell>
          <cell r="W351" t="str">
            <v>チャレンジタワー 17F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26</v>
          </cell>
          <cell r="AD351">
            <v>6</v>
          </cell>
          <cell r="AE351" t="str">
            <v>singleonly</v>
          </cell>
        </row>
        <row r="352">
          <cell r="A352" t="str">
            <v>13101_19</v>
          </cell>
          <cell r="B352">
            <v>1</v>
          </cell>
          <cell r="C352">
            <v>13101</v>
          </cell>
          <cell r="D352" t="str">
            <v>チャレンジタワー</v>
          </cell>
          <cell r="E352" t="str">
            <v>リセット型チャレンジタワー</v>
          </cell>
          <cell r="F352">
            <v>19</v>
          </cell>
          <cell r="G352" t="str">
            <v>ja</v>
          </cell>
          <cell r="H352" t="str">
            <v>チャレンジタワー 19F</v>
          </cell>
          <cell r="I352" t="str">
            <v>試練の塔</v>
          </cell>
          <cell r="J352">
            <v>342</v>
          </cell>
          <cell r="K352">
            <v>18</v>
          </cell>
          <cell r="L352">
            <v>2108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character</v>
          </cell>
          <cell r="T352" t="str">
            <v>342,342,341</v>
          </cell>
          <cell r="U352">
            <v>13101</v>
          </cell>
          <cell r="V352">
            <v>18</v>
          </cell>
          <cell r="W352" t="str">
            <v>チャレンジタワー 18F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26</v>
          </cell>
          <cell r="AD352">
            <v>6</v>
          </cell>
          <cell r="AE352" t="str">
            <v>singleonly</v>
          </cell>
        </row>
        <row r="353">
          <cell r="A353" t="str">
            <v>13101_20</v>
          </cell>
          <cell r="B353">
            <v>1</v>
          </cell>
          <cell r="C353">
            <v>13101</v>
          </cell>
          <cell r="D353" t="str">
            <v>チャレンジタワー</v>
          </cell>
          <cell r="E353" t="str">
            <v>リセット型チャレンジタワー</v>
          </cell>
          <cell r="F353">
            <v>20</v>
          </cell>
          <cell r="G353" t="str">
            <v>ja</v>
          </cell>
          <cell r="H353" t="str">
            <v>チャレンジタワー 20F</v>
          </cell>
          <cell r="I353" t="str">
            <v>試練の塔</v>
          </cell>
          <cell r="J353">
            <v>318</v>
          </cell>
          <cell r="K353">
            <v>18</v>
          </cell>
          <cell r="L353">
            <v>1620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character</v>
          </cell>
          <cell r="T353" t="str">
            <v>318</v>
          </cell>
          <cell r="U353">
            <v>13101</v>
          </cell>
          <cell r="V353">
            <v>19</v>
          </cell>
          <cell r="W353" t="str">
            <v>チャレンジタワー 19F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26</v>
          </cell>
          <cell r="AD353">
            <v>6</v>
          </cell>
          <cell r="AE353" t="str">
            <v>singleonly</v>
          </cell>
        </row>
        <row r="354">
          <cell r="A354" t="str">
            <v>13101_21</v>
          </cell>
          <cell r="B354">
            <v>1</v>
          </cell>
          <cell r="C354">
            <v>13101</v>
          </cell>
          <cell r="D354" t="str">
            <v>チャレンジタワー</v>
          </cell>
          <cell r="E354" t="str">
            <v>リセット型チャレンジタワー</v>
          </cell>
          <cell r="F354">
            <v>21</v>
          </cell>
          <cell r="G354" t="str">
            <v>ja</v>
          </cell>
          <cell r="H354" t="str">
            <v>チャレンジタワー 21F</v>
          </cell>
          <cell r="I354" t="str">
            <v>試練の塔</v>
          </cell>
          <cell r="J354" t="str">
            <v>335</v>
          </cell>
          <cell r="K354">
            <v>18</v>
          </cell>
          <cell r="L354">
            <v>1620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character</v>
          </cell>
          <cell r="T354" t="str">
            <v>334,335,335</v>
          </cell>
          <cell r="U354">
            <v>13101</v>
          </cell>
          <cell r="V354">
            <v>20</v>
          </cell>
          <cell r="W354" t="str">
            <v>チャレンジタワー 20F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26</v>
          </cell>
          <cell r="AD354">
            <v>6</v>
          </cell>
          <cell r="AE354" t="str">
            <v>singleonly</v>
          </cell>
        </row>
        <row r="355">
          <cell r="A355" t="str">
            <v>13101_22</v>
          </cell>
          <cell r="B355">
            <v>1</v>
          </cell>
          <cell r="C355">
            <v>13101</v>
          </cell>
          <cell r="D355" t="str">
            <v>チャレンジタワー</v>
          </cell>
          <cell r="E355" t="str">
            <v>リセット型チャレンジタワー</v>
          </cell>
          <cell r="F355">
            <v>22</v>
          </cell>
          <cell r="G355" t="str">
            <v>ja</v>
          </cell>
          <cell r="H355" t="str">
            <v>チャレンジタワー 22F</v>
          </cell>
          <cell r="I355" t="str">
            <v>試練の塔</v>
          </cell>
          <cell r="J355" t="str">
            <v>339</v>
          </cell>
          <cell r="K355">
            <v>18</v>
          </cell>
          <cell r="L355">
            <v>1620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character</v>
          </cell>
          <cell r="T355" t="str">
            <v>338,339,339</v>
          </cell>
          <cell r="U355">
            <v>13101</v>
          </cell>
          <cell r="V355">
            <v>21</v>
          </cell>
          <cell r="W355" t="str">
            <v>チャレンジタワー 21F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26</v>
          </cell>
          <cell r="AD355">
            <v>6</v>
          </cell>
          <cell r="AE355" t="str">
            <v>singleonly</v>
          </cell>
        </row>
        <row r="356">
          <cell r="A356" t="str">
            <v>13101_23</v>
          </cell>
          <cell r="B356">
            <v>1</v>
          </cell>
          <cell r="C356">
            <v>13101</v>
          </cell>
          <cell r="D356" t="str">
            <v>チャレンジタワー</v>
          </cell>
          <cell r="E356" t="str">
            <v>リセット型チャレンジタワー</v>
          </cell>
          <cell r="F356">
            <v>23</v>
          </cell>
          <cell r="G356" t="str">
            <v>ja</v>
          </cell>
          <cell r="H356" t="str">
            <v>チャレンジタワー 23F</v>
          </cell>
          <cell r="I356" t="str">
            <v>試練の塔</v>
          </cell>
          <cell r="J356" t="str">
            <v>347</v>
          </cell>
          <cell r="K356">
            <v>20</v>
          </cell>
          <cell r="L356">
            <v>1821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character</v>
          </cell>
          <cell r="T356" t="str">
            <v>346,347,347</v>
          </cell>
          <cell r="U356">
            <v>13101</v>
          </cell>
          <cell r="V356">
            <v>22</v>
          </cell>
          <cell r="W356" t="str">
            <v>チャレンジタワー 22F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26</v>
          </cell>
          <cell r="AD356">
            <v>6</v>
          </cell>
          <cell r="AE356" t="str">
            <v>singleonly</v>
          </cell>
        </row>
        <row r="357">
          <cell r="A357" t="str">
            <v>13101_24</v>
          </cell>
          <cell r="B357">
            <v>1</v>
          </cell>
          <cell r="C357">
            <v>13101</v>
          </cell>
          <cell r="D357" t="str">
            <v>チャレンジタワー</v>
          </cell>
          <cell r="E357" t="str">
            <v>リセット型チャレンジタワー</v>
          </cell>
          <cell r="F357">
            <v>24</v>
          </cell>
          <cell r="G357" t="str">
            <v>ja</v>
          </cell>
          <cell r="H357" t="str">
            <v>チャレンジタワー 24F</v>
          </cell>
          <cell r="I357" t="str">
            <v>試練の塔</v>
          </cell>
          <cell r="J357" t="str">
            <v>343</v>
          </cell>
          <cell r="K357">
            <v>20</v>
          </cell>
          <cell r="L357">
            <v>2871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character</v>
          </cell>
          <cell r="T357" t="str">
            <v>342,343,343</v>
          </cell>
          <cell r="U357">
            <v>13101</v>
          </cell>
          <cell r="V357">
            <v>23</v>
          </cell>
          <cell r="W357" t="str">
            <v>チャレンジタワー 23F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26</v>
          </cell>
          <cell r="AD357">
            <v>6</v>
          </cell>
          <cell r="AE357" t="str">
            <v>singleonly</v>
          </cell>
        </row>
        <row r="358">
          <cell r="A358" t="str">
            <v>13101_25</v>
          </cell>
          <cell r="B358">
            <v>1</v>
          </cell>
          <cell r="C358">
            <v>13101</v>
          </cell>
          <cell r="D358" t="str">
            <v>チャレンジタワー</v>
          </cell>
          <cell r="E358" t="str">
            <v>リセット型チャレンジタワー</v>
          </cell>
          <cell r="F358">
            <v>25</v>
          </cell>
          <cell r="G358" t="str">
            <v>ja</v>
          </cell>
          <cell r="H358" t="str">
            <v>チャレンジタワー 25F</v>
          </cell>
          <cell r="I358" t="str">
            <v>試練の塔</v>
          </cell>
          <cell r="J358" t="str">
            <v>368</v>
          </cell>
          <cell r="K358">
            <v>22</v>
          </cell>
          <cell r="L358">
            <v>3740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character</v>
          </cell>
          <cell r="T358" t="str">
            <v>368</v>
          </cell>
          <cell r="U358">
            <v>13101</v>
          </cell>
          <cell r="V358">
            <v>24</v>
          </cell>
          <cell r="W358" t="str">
            <v>チャレンジタワー 24F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26</v>
          </cell>
          <cell r="AD358">
            <v>6</v>
          </cell>
          <cell r="AE358" t="str">
            <v>singleonly</v>
          </cell>
        </row>
        <row r="359">
          <cell r="A359" t="str">
            <v>13300_1</v>
          </cell>
          <cell r="B359">
            <v>3</v>
          </cell>
          <cell r="C359">
            <v>13300</v>
          </cell>
          <cell r="D359" t="str">
            <v>タワーオブザクイーン -アヴァルシア-</v>
          </cell>
          <cell r="E359" t="str">
            <v>タワーオブザクイーン1本目</v>
          </cell>
          <cell r="F359">
            <v>1</v>
          </cell>
          <cell r="G359" t="str">
            <v>ja</v>
          </cell>
          <cell r="H359" t="str">
            <v>1階 コスト制限なし</v>
          </cell>
          <cell r="I359" t="str">
            <v>タワーオブザクイーン</v>
          </cell>
          <cell r="J359">
            <v>347</v>
          </cell>
          <cell r="K359">
            <v>15</v>
          </cell>
          <cell r="L359">
            <v>750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character</v>
          </cell>
          <cell r="T359" t="str">
            <v>347,347,347,837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965</v>
          </cell>
          <cell r="AD359">
            <v>6</v>
          </cell>
          <cell r="AE359" t="str">
            <v>singleonly</v>
          </cell>
        </row>
        <row r="360">
          <cell r="A360" t="str">
            <v>13300_2</v>
          </cell>
          <cell r="B360">
            <v>3</v>
          </cell>
          <cell r="C360">
            <v>13300</v>
          </cell>
          <cell r="D360" t="str">
            <v>タワーオブザクイーン -アヴァルシア-</v>
          </cell>
          <cell r="E360" t="str">
            <v>タワーオブザクイーン1本目</v>
          </cell>
          <cell r="F360">
            <v>2</v>
          </cell>
          <cell r="G360" t="str">
            <v>ja</v>
          </cell>
          <cell r="H360" t="str">
            <v>2階 コスト制限なし</v>
          </cell>
          <cell r="I360" t="str">
            <v>タワーオブザクイーン</v>
          </cell>
          <cell r="J360">
            <v>343</v>
          </cell>
          <cell r="K360">
            <v>18</v>
          </cell>
          <cell r="L360">
            <v>990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character</v>
          </cell>
          <cell r="T360" t="str">
            <v>343,343,343,342</v>
          </cell>
          <cell r="U360">
            <v>13300</v>
          </cell>
          <cell r="V360">
            <v>1</v>
          </cell>
          <cell r="W360" t="str">
            <v>1階 コスト制限なし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965</v>
          </cell>
          <cell r="AD360">
            <v>6</v>
          </cell>
          <cell r="AE360" t="str">
            <v>singleonly</v>
          </cell>
        </row>
        <row r="361">
          <cell r="A361" t="str">
            <v>13300_3</v>
          </cell>
          <cell r="B361">
            <v>3</v>
          </cell>
          <cell r="C361">
            <v>13300</v>
          </cell>
          <cell r="D361" t="str">
            <v>タワーオブザクイーン -アヴァルシア-</v>
          </cell>
          <cell r="E361" t="str">
            <v>タワーオブザクイーン1本目</v>
          </cell>
          <cell r="F361">
            <v>3</v>
          </cell>
          <cell r="G361" t="str">
            <v>ja</v>
          </cell>
          <cell r="H361" t="str">
            <v>3階 コスト制限なし</v>
          </cell>
          <cell r="I361" t="str">
            <v>タワーオブザクイーン</v>
          </cell>
          <cell r="J361">
            <v>335</v>
          </cell>
          <cell r="K361">
            <v>19</v>
          </cell>
          <cell r="L361">
            <v>1140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character</v>
          </cell>
          <cell r="T361" t="str">
            <v>335,335,335,334</v>
          </cell>
          <cell r="U361">
            <v>13300</v>
          </cell>
          <cell r="V361">
            <v>2</v>
          </cell>
          <cell r="W361" t="str">
            <v>2階 コスト制限なし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965</v>
          </cell>
          <cell r="AD361">
            <v>6</v>
          </cell>
          <cell r="AE361" t="str">
            <v>singleonly</v>
          </cell>
        </row>
        <row r="362">
          <cell r="A362" t="str">
            <v>13300_4</v>
          </cell>
          <cell r="B362">
            <v>3</v>
          </cell>
          <cell r="C362">
            <v>13300</v>
          </cell>
          <cell r="D362" t="str">
            <v>タワーオブザクイーン -アヴァルシア-</v>
          </cell>
          <cell r="E362" t="str">
            <v>タワーオブザクイーン1本目</v>
          </cell>
          <cell r="F362">
            <v>4</v>
          </cell>
          <cell r="G362" t="str">
            <v>ja</v>
          </cell>
          <cell r="H362" t="str">
            <v>4階 コスト制限なし</v>
          </cell>
          <cell r="I362" t="str">
            <v>タワーオブザクイーン</v>
          </cell>
          <cell r="J362">
            <v>339</v>
          </cell>
          <cell r="K362">
            <v>20</v>
          </cell>
          <cell r="L362">
            <v>1300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character</v>
          </cell>
          <cell r="T362" t="str">
            <v>339,339,339,338</v>
          </cell>
          <cell r="U362">
            <v>13300</v>
          </cell>
          <cell r="V362">
            <v>3</v>
          </cell>
          <cell r="W362" t="str">
            <v>3階 コスト制限なし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965</v>
          </cell>
          <cell r="AD362">
            <v>6</v>
          </cell>
          <cell r="AE362" t="str">
            <v>singleonly</v>
          </cell>
        </row>
        <row r="363">
          <cell r="A363" t="str">
            <v>13300_5</v>
          </cell>
          <cell r="B363">
            <v>3</v>
          </cell>
          <cell r="C363">
            <v>13300</v>
          </cell>
          <cell r="D363" t="str">
            <v>タワーオブザクイーン -アヴァルシア-</v>
          </cell>
          <cell r="E363" t="str">
            <v>タワーオブザクイーン1本目</v>
          </cell>
          <cell r="F363">
            <v>5</v>
          </cell>
          <cell r="G363" t="str">
            <v>ja</v>
          </cell>
          <cell r="H363" t="str">
            <v>5階 コスト30以下限定</v>
          </cell>
          <cell r="I363" t="str">
            <v>タワーオブザクイーン</v>
          </cell>
          <cell r="J363">
            <v>837</v>
          </cell>
          <cell r="K363">
            <v>24</v>
          </cell>
          <cell r="L363">
            <v>1680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character</v>
          </cell>
          <cell r="T363" t="str">
            <v>837,610,125</v>
          </cell>
          <cell r="U363">
            <v>13300</v>
          </cell>
          <cell r="V363">
            <v>4</v>
          </cell>
          <cell r="W363" t="str">
            <v>4階 コスト制限なし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965</v>
          </cell>
          <cell r="AD363">
            <v>6</v>
          </cell>
          <cell r="AE363" t="str">
            <v>singleonly</v>
          </cell>
        </row>
        <row r="364">
          <cell r="A364" t="str">
            <v>13300_6</v>
          </cell>
          <cell r="B364">
            <v>3</v>
          </cell>
          <cell r="C364">
            <v>13300</v>
          </cell>
          <cell r="D364" t="str">
            <v>タワーオブザクイーン -アヴァルシア-</v>
          </cell>
          <cell r="E364" t="str">
            <v>タワーオブザクイーン1本目</v>
          </cell>
          <cell r="F364">
            <v>6</v>
          </cell>
          <cell r="G364" t="str">
            <v>ja</v>
          </cell>
          <cell r="H364" t="str">
            <v>6階 コスト30以下ヒューマン限定</v>
          </cell>
          <cell r="I364" t="str">
            <v>タワーオブザクイーン</v>
          </cell>
          <cell r="J364">
            <v>612</v>
          </cell>
          <cell r="K364">
            <v>25</v>
          </cell>
          <cell r="L364">
            <v>1875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character</v>
          </cell>
          <cell r="T364" t="str">
            <v>612,612,355</v>
          </cell>
          <cell r="U364">
            <v>13300</v>
          </cell>
          <cell r="V364">
            <v>5</v>
          </cell>
          <cell r="W364" t="str">
            <v>5階 コスト30以下限定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965</v>
          </cell>
          <cell r="AD364">
            <v>6</v>
          </cell>
          <cell r="AE364" t="str">
            <v>singleonly</v>
          </cell>
        </row>
        <row r="365">
          <cell r="A365" t="str">
            <v>13300_7</v>
          </cell>
          <cell r="B365">
            <v>3</v>
          </cell>
          <cell r="C365">
            <v>13300</v>
          </cell>
          <cell r="D365" t="str">
            <v>タワーオブザクイーン -アヴァルシア-</v>
          </cell>
          <cell r="E365" t="str">
            <v>タワーオブザクイーン1本目</v>
          </cell>
          <cell r="F365">
            <v>7</v>
          </cell>
          <cell r="G365" t="str">
            <v>ja</v>
          </cell>
          <cell r="H365" t="str">
            <v>7階 コスト制限なし</v>
          </cell>
          <cell r="I365" t="str">
            <v>タワーオブザクイーン</v>
          </cell>
          <cell r="J365">
            <v>613</v>
          </cell>
          <cell r="K365">
            <v>28</v>
          </cell>
          <cell r="L365">
            <v>2240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character</v>
          </cell>
          <cell r="T365" t="str">
            <v>613,613,353</v>
          </cell>
          <cell r="U365">
            <v>13300</v>
          </cell>
          <cell r="V365">
            <v>6</v>
          </cell>
          <cell r="W365" t="str">
            <v>6階 コスト30以下ヒューマン限定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965</v>
          </cell>
          <cell r="AD365">
            <v>6</v>
          </cell>
          <cell r="AE365" t="str">
            <v>singleonly</v>
          </cell>
        </row>
        <row r="366">
          <cell r="A366" t="str">
            <v>13300_8</v>
          </cell>
          <cell r="B366">
            <v>3</v>
          </cell>
          <cell r="C366">
            <v>13300</v>
          </cell>
          <cell r="D366" t="str">
            <v>タワーオブザクイーン -アヴァルシア-</v>
          </cell>
          <cell r="E366" t="str">
            <v>タワーオブザクイーン1本目</v>
          </cell>
          <cell r="F366">
            <v>8</v>
          </cell>
          <cell r="G366" t="str">
            <v>ja</v>
          </cell>
          <cell r="H366" t="str">
            <v>8階 コスト28以下限定</v>
          </cell>
          <cell r="I366" t="str">
            <v>タワーオブザクイーン</v>
          </cell>
          <cell r="J366">
            <v>611</v>
          </cell>
          <cell r="K366">
            <v>30</v>
          </cell>
          <cell r="L366">
            <v>2550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character</v>
          </cell>
          <cell r="T366" t="str">
            <v>611,611,349</v>
          </cell>
          <cell r="U366">
            <v>13300</v>
          </cell>
          <cell r="V366">
            <v>7</v>
          </cell>
          <cell r="W366" t="str">
            <v>7階 コスト制限なし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965</v>
          </cell>
          <cell r="AD366">
            <v>6</v>
          </cell>
          <cell r="AE366" t="str">
            <v>singleonly</v>
          </cell>
        </row>
        <row r="367">
          <cell r="A367" t="str">
            <v>13300_9</v>
          </cell>
          <cell r="B367">
            <v>3</v>
          </cell>
          <cell r="C367">
            <v>13300</v>
          </cell>
          <cell r="D367" t="str">
            <v>タワーオブザクイーン -アヴァルシア-</v>
          </cell>
          <cell r="E367" t="str">
            <v>タワーオブザクイーン1本目</v>
          </cell>
          <cell r="F367">
            <v>9</v>
          </cell>
          <cell r="G367" t="str">
            <v>ja</v>
          </cell>
          <cell r="H367" t="str">
            <v>9階 コスト28以下ヒューマン限定</v>
          </cell>
          <cell r="I367" t="str">
            <v>タワーオブザクイーン</v>
          </cell>
          <cell r="J367">
            <v>610</v>
          </cell>
          <cell r="K367">
            <v>31</v>
          </cell>
          <cell r="L367">
            <v>2790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character</v>
          </cell>
          <cell r="T367" t="str">
            <v>837,610,125</v>
          </cell>
          <cell r="U367">
            <v>13300</v>
          </cell>
          <cell r="V367">
            <v>8</v>
          </cell>
          <cell r="W367" t="str">
            <v>8階 コスト28以下限定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965</v>
          </cell>
          <cell r="AD367">
            <v>6</v>
          </cell>
          <cell r="AE367" t="str">
            <v>singleonly</v>
          </cell>
        </row>
        <row r="368">
          <cell r="A368" t="str">
            <v>13300_10</v>
          </cell>
          <cell r="B368">
            <v>3</v>
          </cell>
          <cell r="C368">
            <v>13300</v>
          </cell>
          <cell r="D368" t="str">
            <v>タワーオブザクイーン -アヴァルシア-</v>
          </cell>
          <cell r="E368" t="str">
            <v>タワーオブザクイーン1本目</v>
          </cell>
          <cell r="F368">
            <v>10</v>
          </cell>
          <cell r="G368" t="str">
            <v>ja</v>
          </cell>
          <cell r="H368" t="str">
            <v>10階 ボナンザ 現る！</v>
          </cell>
          <cell r="I368" t="str">
            <v>タワーオブザクイーン</v>
          </cell>
          <cell r="J368">
            <v>0</v>
          </cell>
          <cell r="K368">
            <v>35</v>
          </cell>
          <cell r="L368">
            <v>3325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polygon</v>
          </cell>
          <cell r="T368" t="str">
            <v>2</v>
          </cell>
          <cell r="U368">
            <v>13300</v>
          </cell>
          <cell r="V368">
            <v>9</v>
          </cell>
          <cell r="W368" t="str">
            <v>9階 コスト28以下ヒューマン限定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965</v>
          </cell>
          <cell r="AD368">
            <v>6</v>
          </cell>
          <cell r="AE368" t="str">
            <v>singleonly</v>
          </cell>
        </row>
        <row r="369">
          <cell r="A369" t="str">
            <v>13300_11</v>
          </cell>
          <cell r="B369">
            <v>3</v>
          </cell>
          <cell r="C369">
            <v>13300</v>
          </cell>
          <cell r="D369" t="str">
            <v>タワーオブザクイーン -アヴァルシア-</v>
          </cell>
          <cell r="E369" t="str">
            <v>タワーオブザクイーン1本目</v>
          </cell>
          <cell r="F369">
            <v>11</v>
          </cell>
          <cell r="G369" t="str">
            <v>ja</v>
          </cell>
          <cell r="H369" t="str">
            <v>11階 コスト30以下限定</v>
          </cell>
          <cell r="I369" t="str">
            <v>タワーオブザクイーン</v>
          </cell>
          <cell r="J369">
            <v>612</v>
          </cell>
          <cell r="K369">
            <v>37</v>
          </cell>
          <cell r="L369">
            <v>3700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character</v>
          </cell>
          <cell r="T369" t="str">
            <v>612,612,612,351</v>
          </cell>
          <cell r="U369">
            <v>13300</v>
          </cell>
          <cell r="V369">
            <v>10</v>
          </cell>
          <cell r="W369" t="str">
            <v>10階 ボナンザ 現る！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965</v>
          </cell>
          <cell r="AD369">
            <v>6</v>
          </cell>
          <cell r="AE369" t="str">
            <v>singleonly</v>
          </cell>
        </row>
        <row r="370">
          <cell r="A370" t="str">
            <v>13300_12</v>
          </cell>
          <cell r="B370">
            <v>3</v>
          </cell>
          <cell r="C370">
            <v>13300</v>
          </cell>
          <cell r="D370" t="str">
            <v>タワーオブザクイーン -アヴァルシア-</v>
          </cell>
          <cell r="E370" t="str">
            <v>タワーオブザクイーン1本目</v>
          </cell>
          <cell r="F370">
            <v>12</v>
          </cell>
          <cell r="G370" t="str">
            <v>ja</v>
          </cell>
          <cell r="H370" t="str">
            <v>12階 コスト30以下ヒューマン限定</v>
          </cell>
          <cell r="I370" t="str">
            <v>タワーオブザクイーン</v>
          </cell>
          <cell r="J370">
            <v>613</v>
          </cell>
          <cell r="K370">
            <v>38</v>
          </cell>
          <cell r="L370">
            <v>3990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character</v>
          </cell>
          <cell r="T370" t="str">
            <v>613,613,613,346</v>
          </cell>
          <cell r="U370">
            <v>13300</v>
          </cell>
          <cell r="V370">
            <v>11</v>
          </cell>
          <cell r="W370" t="str">
            <v>11階 コスト30以下限定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965</v>
          </cell>
          <cell r="AD370">
            <v>6</v>
          </cell>
          <cell r="AE370" t="str">
            <v>singleonly</v>
          </cell>
        </row>
        <row r="371">
          <cell r="A371" t="str">
            <v>13300_13</v>
          </cell>
          <cell r="B371">
            <v>3</v>
          </cell>
          <cell r="C371">
            <v>13300</v>
          </cell>
          <cell r="D371" t="str">
            <v>タワーオブザクイーン -アヴァルシア-</v>
          </cell>
          <cell r="E371" t="str">
            <v>タワーオブザクイーン1本目</v>
          </cell>
          <cell r="F371">
            <v>13</v>
          </cell>
          <cell r="G371" t="str">
            <v>ja</v>
          </cell>
          <cell r="H371" t="str">
            <v>13階 コスト制限なし</v>
          </cell>
          <cell r="I371" t="str">
            <v>タワーオブザクイーン</v>
          </cell>
          <cell r="J371">
            <v>611</v>
          </cell>
          <cell r="K371">
            <v>39</v>
          </cell>
          <cell r="L371">
            <v>4290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character</v>
          </cell>
          <cell r="T371" t="str">
            <v>611,611,611,338</v>
          </cell>
          <cell r="U371">
            <v>13300</v>
          </cell>
          <cell r="V371">
            <v>12</v>
          </cell>
          <cell r="W371" t="str">
            <v>12階 コスト30以下ヒューマン限定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965</v>
          </cell>
          <cell r="AD371">
            <v>6</v>
          </cell>
          <cell r="AE371" t="str">
            <v>singleonly</v>
          </cell>
        </row>
        <row r="372">
          <cell r="A372" t="str">
            <v>13300_14</v>
          </cell>
          <cell r="B372">
            <v>3</v>
          </cell>
          <cell r="C372">
            <v>13300</v>
          </cell>
          <cell r="D372" t="str">
            <v>タワーオブザクイーン -アヴァルシア-</v>
          </cell>
          <cell r="E372" t="str">
            <v>タワーオブザクイーン1本目</v>
          </cell>
          <cell r="F372">
            <v>14</v>
          </cell>
          <cell r="G372" t="str">
            <v>ja</v>
          </cell>
          <cell r="H372" t="str">
            <v>14階 コスト制限なし</v>
          </cell>
          <cell r="I372" t="str">
            <v>タワーオブザクイーン</v>
          </cell>
          <cell r="J372">
            <v>614</v>
          </cell>
          <cell r="K372">
            <v>40</v>
          </cell>
          <cell r="L372">
            <v>4600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character</v>
          </cell>
          <cell r="T372" t="str">
            <v>614,611,334,334</v>
          </cell>
          <cell r="U372">
            <v>13300</v>
          </cell>
          <cell r="V372">
            <v>13</v>
          </cell>
          <cell r="W372" t="str">
            <v>13階 コスト制限なし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965</v>
          </cell>
          <cell r="AD372">
            <v>6</v>
          </cell>
          <cell r="AE372" t="str">
            <v>singleonly</v>
          </cell>
        </row>
        <row r="373">
          <cell r="A373" t="str">
            <v>13300_15</v>
          </cell>
          <cell r="B373">
            <v>3</v>
          </cell>
          <cell r="C373">
            <v>13300</v>
          </cell>
          <cell r="D373" t="str">
            <v>タワーオブザクイーン -アヴァルシア-</v>
          </cell>
          <cell r="E373" t="str">
            <v>タワーオブザクイーン1本目</v>
          </cell>
          <cell r="F373">
            <v>15</v>
          </cell>
          <cell r="G373" t="str">
            <v>ja</v>
          </cell>
          <cell r="H373" t="str">
            <v>15階 アヴァルシアの女王 ボナンザ</v>
          </cell>
          <cell r="I373" t="str">
            <v>タワーオブザクイーン</v>
          </cell>
          <cell r="J373">
            <v>1115</v>
          </cell>
          <cell r="K373">
            <v>50</v>
          </cell>
          <cell r="L373">
            <v>6250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character</v>
          </cell>
          <cell r="T373" t="str">
            <v>1114</v>
          </cell>
          <cell r="U373">
            <v>13300</v>
          </cell>
          <cell r="V373">
            <v>14</v>
          </cell>
          <cell r="W373" t="str">
            <v>14階 コスト制限なし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965</v>
          </cell>
          <cell r="AD373">
            <v>6</v>
          </cell>
          <cell r="AE373" t="str">
            <v>singleonly</v>
          </cell>
        </row>
        <row r="374">
          <cell r="A374" t="str">
            <v>13301_1</v>
          </cell>
          <cell r="B374">
            <v>3</v>
          </cell>
          <cell r="C374">
            <v>13301</v>
          </cell>
          <cell r="D374" t="str">
            <v>タワーオブザクイーン -アヴァルシア-</v>
          </cell>
          <cell r="E374" t="str">
            <v>タワーオブザクイーン1本目</v>
          </cell>
          <cell r="F374">
            <v>1</v>
          </cell>
          <cell r="G374" t="str">
            <v>ja</v>
          </cell>
          <cell r="H374" t="str">
            <v>1階 コスト制限なし</v>
          </cell>
          <cell r="I374" t="str">
            <v>タワーオブザクイーン</v>
          </cell>
          <cell r="J374">
            <v>347</v>
          </cell>
          <cell r="K374">
            <v>15</v>
          </cell>
          <cell r="L374">
            <v>750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character</v>
          </cell>
          <cell r="T374" t="str">
            <v>347,837,347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965</v>
          </cell>
          <cell r="AD374">
            <v>6</v>
          </cell>
          <cell r="AE374" t="str">
            <v>singleonly</v>
          </cell>
        </row>
        <row r="375">
          <cell r="A375" t="str">
            <v>13301_2</v>
          </cell>
          <cell r="B375">
            <v>3</v>
          </cell>
          <cell r="C375">
            <v>13301</v>
          </cell>
          <cell r="D375" t="str">
            <v>タワーオブザクイーン -アヴァルシア-</v>
          </cell>
          <cell r="E375" t="str">
            <v>タワーオブザクイーン1本目</v>
          </cell>
          <cell r="F375">
            <v>2</v>
          </cell>
          <cell r="G375" t="str">
            <v>ja</v>
          </cell>
          <cell r="H375" t="str">
            <v>2階 コスト制限なし</v>
          </cell>
          <cell r="I375" t="str">
            <v>タワーオブザクイーン</v>
          </cell>
          <cell r="J375">
            <v>343</v>
          </cell>
          <cell r="K375">
            <v>18</v>
          </cell>
          <cell r="L375">
            <v>990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character</v>
          </cell>
          <cell r="T375" t="str">
            <v>343,343,343</v>
          </cell>
          <cell r="U375">
            <v>13301</v>
          </cell>
          <cell r="V375">
            <v>1</v>
          </cell>
          <cell r="W375" t="str">
            <v>1階 コスト制限なし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965</v>
          </cell>
          <cell r="AD375">
            <v>6</v>
          </cell>
          <cell r="AE375" t="str">
            <v>singleonly</v>
          </cell>
        </row>
        <row r="376">
          <cell r="A376" t="str">
            <v>13301_3</v>
          </cell>
          <cell r="B376">
            <v>3</v>
          </cell>
          <cell r="C376">
            <v>13301</v>
          </cell>
          <cell r="D376" t="str">
            <v>タワーオブザクイーン -アヴァルシア-</v>
          </cell>
          <cell r="E376" t="str">
            <v>タワーオブザクイーン1本目</v>
          </cell>
          <cell r="F376">
            <v>3</v>
          </cell>
          <cell r="G376" t="str">
            <v>ja</v>
          </cell>
          <cell r="H376" t="str">
            <v>3階 コスト制限なし</v>
          </cell>
          <cell r="I376" t="str">
            <v>タワーオブザクイーン</v>
          </cell>
          <cell r="J376">
            <v>335</v>
          </cell>
          <cell r="K376">
            <v>19</v>
          </cell>
          <cell r="L376">
            <v>1140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character</v>
          </cell>
          <cell r="T376" t="str">
            <v>335,335,335</v>
          </cell>
          <cell r="U376">
            <v>13301</v>
          </cell>
          <cell r="V376">
            <v>2</v>
          </cell>
          <cell r="W376" t="str">
            <v>2階 コスト制限なし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965</v>
          </cell>
          <cell r="AD376">
            <v>6</v>
          </cell>
          <cell r="AE376" t="str">
            <v>singleonly</v>
          </cell>
        </row>
        <row r="377">
          <cell r="A377" t="str">
            <v>13301_4</v>
          </cell>
          <cell r="B377">
            <v>3</v>
          </cell>
          <cell r="C377">
            <v>13301</v>
          </cell>
          <cell r="D377" t="str">
            <v>タワーオブザクイーン -アヴァルシア-</v>
          </cell>
          <cell r="E377" t="str">
            <v>タワーオブザクイーン1本目</v>
          </cell>
          <cell r="F377">
            <v>4</v>
          </cell>
          <cell r="G377" t="str">
            <v>ja</v>
          </cell>
          <cell r="H377" t="str">
            <v>4階 コスト制限なし</v>
          </cell>
          <cell r="I377" t="str">
            <v>タワーオブザクイーン</v>
          </cell>
          <cell r="J377">
            <v>339</v>
          </cell>
          <cell r="K377">
            <v>20</v>
          </cell>
          <cell r="L377">
            <v>1300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character</v>
          </cell>
          <cell r="T377" t="str">
            <v>339,339,339</v>
          </cell>
          <cell r="U377">
            <v>13301</v>
          </cell>
          <cell r="V377">
            <v>3</v>
          </cell>
          <cell r="W377" t="str">
            <v>3階 コスト制限なし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965</v>
          </cell>
          <cell r="AD377">
            <v>6</v>
          </cell>
          <cell r="AE377" t="str">
            <v>singleonly</v>
          </cell>
        </row>
        <row r="378">
          <cell r="A378" t="str">
            <v>13301_5</v>
          </cell>
          <cell r="B378">
            <v>3</v>
          </cell>
          <cell r="C378">
            <v>13301</v>
          </cell>
          <cell r="D378" t="str">
            <v>タワーオブザクイーン -アヴァルシア-</v>
          </cell>
          <cell r="E378" t="str">
            <v>タワーオブザクイーン1本目</v>
          </cell>
          <cell r="F378">
            <v>5</v>
          </cell>
          <cell r="G378" t="str">
            <v>ja</v>
          </cell>
          <cell r="H378" t="str">
            <v>5階 コスト30以下限定</v>
          </cell>
          <cell r="I378" t="str">
            <v>タワーオブザクイーン</v>
          </cell>
          <cell r="J378">
            <v>837</v>
          </cell>
          <cell r="K378">
            <v>24</v>
          </cell>
          <cell r="L378">
            <v>1680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character</v>
          </cell>
          <cell r="T378" t="str">
            <v>837,610,125</v>
          </cell>
          <cell r="U378">
            <v>13301</v>
          </cell>
          <cell r="V378">
            <v>4</v>
          </cell>
          <cell r="W378" t="str">
            <v>4階 コスト制限なし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965</v>
          </cell>
          <cell r="AD378">
            <v>6</v>
          </cell>
          <cell r="AE378" t="str">
            <v>singleonly</v>
          </cell>
        </row>
        <row r="379">
          <cell r="A379" t="str">
            <v>13301_6</v>
          </cell>
          <cell r="B379">
            <v>3</v>
          </cell>
          <cell r="C379">
            <v>13301</v>
          </cell>
          <cell r="D379" t="str">
            <v>タワーオブザクイーン -アヴァルシア-</v>
          </cell>
          <cell r="E379" t="str">
            <v>タワーオブザクイーン1本目</v>
          </cell>
          <cell r="F379">
            <v>6</v>
          </cell>
          <cell r="G379" t="str">
            <v>ja</v>
          </cell>
          <cell r="H379" t="str">
            <v>6階 コスト30以下ヒューマン限定</v>
          </cell>
          <cell r="I379" t="str">
            <v>タワーオブザクイーン</v>
          </cell>
          <cell r="J379">
            <v>612</v>
          </cell>
          <cell r="K379">
            <v>25</v>
          </cell>
          <cell r="L379">
            <v>1875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character</v>
          </cell>
          <cell r="T379" t="str">
            <v>612,612,355</v>
          </cell>
          <cell r="U379">
            <v>13301</v>
          </cell>
          <cell r="V379">
            <v>5</v>
          </cell>
          <cell r="W379" t="str">
            <v>5階 コスト30以下限定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965</v>
          </cell>
          <cell r="AD379">
            <v>6</v>
          </cell>
          <cell r="AE379" t="str">
            <v>singleonly</v>
          </cell>
        </row>
        <row r="380">
          <cell r="A380" t="str">
            <v>13301_7</v>
          </cell>
          <cell r="B380">
            <v>3</v>
          </cell>
          <cell r="C380">
            <v>13301</v>
          </cell>
          <cell r="D380" t="str">
            <v>タワーオブザクイーン -アヴァルシア-</v>
          </cell>
          <cell r="E380" t="str">
            <v>タワーオブザクイーン1本目</v>
          </cell>
          <cell r="F380">
            <v>7</v>
          </cell>
          <cell r="G380" t="str">
            <v>ja</v>
          </cell>
          <cell r="H380" t="str">
            <v>7階 コスト制限なし</v>
          </cell>
          <cell r="I380" t="str">
            <v>タワーオブザクイーン</v>
          </cell>
          <cell r="J380">
            <v>613</v>
          </cell>
          <cell r="K380">
            <v>28</v>
          </cell>
          <cell r="L380">
            <v>2240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character</v>
          </cell>
          <cell r="T380" t="str">
            <v>613,613,353</v>
          </cell>
          <cell r="U380">
            <v>13301</v>
          </cell>
          <cell r="V380">
            <v>6</v>
          </cell>
          <cell r="W380" t="str">
            <v>6階 コスト30以下ヒューマン限定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965</v>
          </cell>
          <cell r="AD380">
            <v>6</v>
          </cell>
          <cell r="AE380" t="str">
            <v>singleonly</v>
          </cell>
        </row>
        <row r="381">
          <cell r="A381" t="str">
            <v>13301_8</v>
          </cell>
          <cell r="B381">
            <v>3</v>
          </cell>
          <cell r="C381">
            <v>13301</v>
          </cell>
          <cell r="D381" t="str">
            <v>タワーオブザクイーン -アヴァルシア-</v>
          </cell>
          <cell r="E381" t="str">
            <v>タワーオブザクイーン1本目</v>
          </cell>
          <cell r="F381">
            <v>8</v>
          </cell>
          <cell r="G381" t="str">
            <v>ja</v>
          </cell>
          <cell r="H381" t="str">
            <v>8階 コスト28以下限定</v>
          </cell>
          <cell r="I381" t="str">
            <v>タワーオブザクイーン</v>
          </cell>
          <cell r="J381">
            <v>611</v>
          </cell>
          <cell r="K381">
            <v>30</v>
          </cell>
          <cell r="L381">
            <v>2550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character</v>
          </cell>
          <cell r="T381" t="str">
            <v>611,611,349</v>
          </cell>
          <cell r="U381">
            <v>13301</v>
          </cell>
          <cell r="V381">
            <v>7</v>
          </cell>
          <cell r="W381" t="str">
            <v>7階 コスト制限なし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965</v>
          </cell>
          <cell r="AD381">
            <v>6</v>
          </cell>
          <cell r="AE381" t="str">
            <v>singleonly</v>
          </cell>
        </row>
        <row r="382">
          <cell r="A382" t="str">
            <v>13301_9</v>
          </cell>
          <cell r="B382">
            <v>3</v>
          </cell>
          <cell r="C382">
            <v>13301</v>
          </cell>
          <cell r="D382" t="str">
            <v>タワーオブザクイーン -アヴァルシア-</v>
          </cell>
          <cell r="E382" t="str">
            <v>タワーオブザクイーン1本目</v>
          </cell>
          <cell r="F382">
            <v>9</v>
          </cell>
          <cell r="G382" t="str">
            <v>ja</v>
          </cell>
          <cell r="H382" t="str">
            <v>9階 コスト28以下ヒューマン限定</v>
          </cell>
          <cell r="I382" t="str">
            <v>タワーオブザクイーン</v>
          </cell>
          <cell r="J382">
            <v>837</v>
          </cell>
          <cell r="K382">
            <v>31</v>
          </cell>
          <cell r="L382">
            <v>2790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character</v>
          </cell>
          <cell r="T382" t="str">
            <v>837,610,125</v>
          </cell>
          <cell r="U382">
            <v>13301</v>
          </cell>
          <cell r="V382">
            <v>8</v>
          </cell>
          <cell r="W382" t="str">
            <v>8階 コスト28以下限定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965</v>
          </cell>
          <cell r="AD382">
            <v>6</v>
          </cell>
          <cell r="AE382" t="str">
            <v>singleonly</v>
          </cell>
        </row>
        <row r="383">
          <cell r="A383" t="str">
            <v>13301_10</v>
          </cell>
          <cell r="B383">
            <v>3</v>
          </cell>
          <cell r="C383">
            <v>13301</v>
          </cell>
          <cell r="D383" t="str">
            <v>タワーオブザクイーン -アヴァルシア-</v>
          </cell>
          <cell r="E383" t="str">
            <v>タワーオブザクイーン1本目</v>
          </cell>
          <cell r="F383">
            <v>10</v>
          </cell>
          <cell r="G383" t="str">
            <v>ja</v>
          </cell>
          <cell r="H383" t="str">
            <v>10階 ボナンザ 現る！</v>
          </cell>
          <cell r="I383" t="str">
            <v>タワーオブザクイーン</v>
          </cell>
          <cell r="J383">
            <v>0</v>
          </cell>
          <cell r="K383">
            <v>35</v>
          </cell>
          <cell r="L383">
            <v>3325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polygon</v>
          </cell>
          <cell r="T383" t="str">
            <v>2</v>
          </cell>
          <cell r="U383">
            <v>13301</v>
          </cell>
          <cell r="V383">
            <v>9</v>
          </cell>
          <cell r="W383" t="str">
            <v>9階 コスト28以下ヒューマン限定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965</v>
          </cell>
          <cell r="AD383">
            <v>6</v>
          </cell>
          <cell r="AE383" t="str">
            <v>singleonly</v>
          </cell>
        </row>
        <row r="384">
          <cell r="A384" t="str">
            <v>13301_11</v>
          </cell>
          <cell r="B384">
            <v>3</v>
          </cell>
          <cell r="C384">
            <v>13301</v>
          </cell>
          <cell r="D384" t="str">
            <v>タワーオブザクイーン -アヴァルシア-</v>
          </cell>
          <cell r="E384" t="str">
            <v>タワーオブザクイーン1本目</v>
          </cell>
          <cell r="F384">
            <v>11</v>
          </cell>
          <cell r="G384" t="str">
            <v>ja</v>
          </cell>
          <cell r="H384" t="str">
            <v>11階 コスト30以下限定</v>
          </cell>
          <cell r="I384" t="str">
            <v>タワーオブザクイーン</v>
          </cell>
          <cell r="J384">
            <v>612</v>
          </cell>
          <cell r="K384">
            <v>37</v>
          </cell>
          <cell r="L384">
            <v>3700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 t="str">
            <v>612,612,612</v>
          </cell>
          <cell r="U384">
            <v>13301</v>
          </cell>
          <cell r="V384">
            <v>10</v>
          </cell>
          <cell r="W384" t="str">
            <v>10階 ボナンザ 現る！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965</v>
          </cell>
          <cell r="AD384">
            <v>6</v>
          </cell>
          <cell r="AE384" t="str">
            <v>singleonly</v>
          </cell>
        </row>
        <row r="385">
          <cell r="A385" t="str">
            <v>13301_12</v>
          </cell>
          <cell r="B385">
            <v>3</v>
          </cell>
          <cell r="C385">
            <v>13301</v>
          </cell>
          <cell r="D385" t="str">
            <v>タワーオブザクイーン -アヴァルシア-</v>
          </cell>
          <cell r="E385" t="str">
            <v>タワーオブザクイーン1本目</v>
          </cell>
          <cell r="F385">
            <v>12</v>
          </cell>
          <cell r="G385" t="str">
            <v>ja</v>
          </cell>
          <cell r="H385" t="str">
            <v>12階 コスト30以下ヒューマン限定</v>
          </cell>
          <cell r="I385" t="str">
            <v>タワーオブザクイーン</v>
          </cell>
          <cell r="J385">
            <v>613</v>
          </cell>
          <cell r="K385">
            <v>38</v>
          </cell>
          <cell r="L385">
            <v>3990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character</v>
          </cell>
          <cell r="T385" t="str">
            <v>613,613,613</v>
          </cell>
          <cell r="U385">
            <v>13301</v>
          </cell>
          <cell r="V385">
            <v>11</v>
          </cell>
          <cell r="W385" t="str">
            <v>11階 コスト30以下限定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965</v>
          </cell>
          <cell r="AD385">
            <v>6</v>
          </cell>
          <cell r="AE385" t="str">
            <v>singleonly</v>
          </cell>
        </row>
        <row r="386">
          <cell r="A386" t="str">
            <v>13301_13</v>
          </cell>
          <cell r="B386">
            <v>3</v>
          </cell>
          <cell r="C386">
            <v>13301</v>
          </cell>
          <cell r="D386" t="str">
            <v>タワーオブザクイーン -アヴァルシア-</v>
          </cell>
          <cell r="E386" t="str">
            <v>タワーオブザクイーン1本目</v>
          </cell>
          <cell r="F386">
            <v>13</v>
          </cell>
          <cell r="G386" t="str">
            <v>ja</v>
          </cell>
          <cell r="H386" t="str">
            <v>13階 コスト制限なし</v>
          </cell>
          <cell r="I386" t="str">
            <v>タワーオブザクイーン</v>
          </cell>
          <cell r="J386">
            <v>611</v>
          </cell>
          <cell r="K386">
            <v>39</v>
          </cell>
          <cell r="L386">
            <v>4290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character</v>
          </cell>
          <cell r="T386" t="str">
            <v>611,611,611</v>
          </cell>
          <cell r="U386">
            <v>13301</v>
          </cell>
          <cell r="V386">
            <v>12</v>
          </cell>
          <cell r="W386" t="str">
            <v>12階 コスト30以下ヒューマン限定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965</v>
          </cell>
          <cell r="AD386">
            <v>6</v>
          </cell>
          <cell r="AE386" t="str">
            <v>singleonly</v>
          </cell>
        </row>
        <row r="387">
          <cell r="A387" t="str">
            <v>13301_14</v>
          </cell>
          <cell r="B387">
            <v>3</v>
          </cell>
          <cell r="C387">
            <v>13301</v>
          </cell>
          <cell r="D387" t="str">
            <v>タワーオブザクイーン -アヴァルシア-</v>
          </cell>
          <cell r="E387" t="str">
            <v>タワーオブザクイーン1本目</v>
          </cell>
          <cell r="F387">
            <v>14</v>
          </cell>
          <cell r="G387" t="str">
            <v>ja</v>
          </cell>
          <cell r="H387" t="str">
            <v>14階 コスト制限なし</v>
          </cell>
          <cell r="I387" t="str">
            <v>タワーオブザクイーン</v>
          </cell>
          <cell r="J387">
            <v>614</v>
          </cell>
          <cell r="K387">
            <v>40</v>
          </cell>
          <cell r="L387">
            <v>4600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 t="str">
            <v>614,611,351</v>
          </cell>
          <cell r="U387">
            <v>13301</v>
          </cell>
          <cell r="V387">
            <v>13</v>
          </cell>
          <cell r="W387" t="str">
            <v>13階 コスト制限なし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965</v>
          </cell>
          <cell r="AD387">
            <v>6</v>
          </cell>
          <cell r="AE387" t="str">
            <v>singleonly</v>
          </cell>
        </row>
        <row r="388">
          <cell r="A388" t="str">
            <v>13301_15</v>
          </cell>
          <cell r="B388">
            <v>3</v>
          </cell>
          <cell r="C388">
            <v>13301</v>
          </cell>
          <cell r="D388" t="str">
            <v>タワーオブザクイーン -アヴァルシア-</v>
          </cell>
          <cell r="E388" t="str">
            <v>タワーオブザクイーン1本目</v>
          </cell>
          <cell r="F388">
            <v>15</v>
          </cell>
          <cell r="G388" t="str">
            <v>ja</v>
          </cell>
          <cell r="H388" t="str">
            <v>15階 アヴァルシアの女王 ボナンザ</v>
          </cell>
          <cell r="I388" t="str">
            <v>タワーオブザクイーン</v>
          </cell>
          <cell r="J388">
            <v>1115</v>
          </cell>
          <cell r="K388">
            <v>50</v>
          </cell>
          <cell r="L388">
            <v>6250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 t="str">
            <v>1114</v>
          </cell>
          <cell r="U388">
            <v>13301</v>
          </cell>
          <cell r="V388">
            <v>14</v>
          </cell>
          <cell r="W388" t="str">
            <v>14階 コスト制限なし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965</v>
          </cell>
          <cell r="AD388">
            <v>6</v>
          </cell>
          <cell r="AE388" t="str">
            <v>singleonly</v>
          </cell>
        </row>
        <row r="389">
          <cell r="A389" t="str">
            <v>13302_1</v>
          </cell>
          <cell r="B389">
            <v>3</v>
          </cell>
          <cell r="C389">
            <v>13302</v>
          </cell>
          <cell r="D389" t="str">
            <v>タワーオブザクイーン -アヴァルシア-</v>
          </cell>
          <cell r="E389" t="str">
            <v>タワーオブザクイーン1本目</v>
          </cell>
          <cell r="F389">
            <v>1</v>
          </cell>
          <cell r="G389" t="str">
            <v>ja</v>
          </cell>
          <cell r="H389" t="str">
            <v>1階 コスト制限なし</v>
          </cell>
          <cell r="I389" t="str">
            <v>タワーオブザクイーン</v>
          </cell>
          <cell r="J389">
            <v>347</v>
          </cell>
          <cell r="K389">
            <v>10</v>
          </cell>
          <cell r="L389">
            <v>600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character</v>
          </cell>
          <cell r="T389" t="str">
            <v>347,837,347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965</v>
          </cell>
          <cell r="AD389">
            <v>6</v>
          </cell>
          <cell r="AE389" t="str">
            <v>singleonly</v>
          </cell>
        </row>
        <row r="390">
          <cell r="A390" t="str">
            <v>13302_2</v>
          </cell>
          <cell r="B390">
            <v>3</v>
          </cell>
          <cell r="C390">
            <v>13302</v>
          </cell>
          <cell r="D390" t="str">
            <v>タワーオブザクイーン -アヴァルシア-</v>
          </cell>
          <cell r="E390" t="str">
            <v>タワーオブザクイーン1本目</v>
          </cell>
          <cell r="F390">
            <v>2</v>
          </cell>
          <cell r="G390" t="str">
            <v>ja</v>
          </cell>
          <cell r="H390" t="str">
            <v>2階 コスト制限なし</v>
          </cell>
          <cell r="I390" t="str">
            <v>タワーオブザクイーン</v>
          </cell>
          <cell r="J390">
            <v>343</v>
          </cell>
          <cell r="K390">
            <v>11</v>
          </cell>
          <cell r="L390">
            <v>860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character</v>
          </cell>
          <cell r="T390" t="str">
            <v>343,343,125</v>
          </cell>
          <cell r="U390">
            <v>13302</v>
          </cell>
          <cell r="V390">
            <v>1</v>
          </cell>
          <cell r="W390" t="str">
            <v>1階 コスト制限なし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965</v>
          </cell>
          <cell r="AD390">
            <v>6</v>
          </cell>
          <cell r="AE390" t="str">
            <v>singleonly</v>
          </cell>
        </row>
        <row r="391">
          <cell r="A391" t="str">
            <v>13302_3</v>
          </cell>
          <cell r="B391">
            <v>3</v>
          </cell>
          <cell r="C391">
            <v>13302</v>
          </cell>
          <cell r="D391" t="str">
            <v>タワーオブザクイーン -アヴァルシア-</v>
          </cell>
          <cell r="E391" t="str">
            <v>タワーオブザクイーン1本目</v>
          </cell>
          <cell r="F391">
            <v>3</v>
          </cell>
          <cell r="G391" t="str">
            <v>ja</v>
          </cell>
          <cell r="H391" t="str">
            <v>3階 コスト制限なし</v>
          </cell>
          <cell r="I391" t="str">
            <v>タワーオブザクイーン</v>
          </cell>
          <cell r="J391">
            <v>335</v>
          </cell>
          <cell r="K391">
            <v>12</v>
          </cell>
          <cell r="L391">
            <v>1140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character</v>
          </cell>
          <cell r="T391" t="str">
            <v>335,335,125</v>
          </cell>
          <cell r="U391">
            <v>13302</v>
          </cell>
          <cell r="V391">
            <v>2</v>
          </cell>
          <cell r="W391" t="str">
            <v>2階 コスト制限なし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965</v>
          </cell>
          <cell r="AD391">
            <v>6</v>
          </cell>
          <cell r="AE391" t="str">
            <v>singleonly</v>
          </cell>
        </row>
        <row r="392">
          <cell r="A392" t="str">
            <v>13302_4</v>
          </cell>
          <cell r="B392">
            <v>3</v>
          </cell>
          <cell r="C392">
            <v>13302</v>
          </cell>
          <cell r="D392" t="str">
            <v>タワーオブザクイーン -アヴァルシア-</v>
          </cell>
          <cell r="E392" t="str">
            <v>タワーオブザクイーン1本目</v>
          </cell>
          <cell r="F392">
            <v>4</v>
          </cell>
          <cell r="G392" t="str">
            <v>ja</v>
          </cell>
          <cell r="H392" t="str">
            <v>4階 コスト制限なし</v>
          </cell>
          <cell r="I392" t="str">
            <v>タワーオブザクイーン</v>
          </cell>
          <cell r="J392">
            <v>339</v>
          </cell>
          <cell r="K392">
            <v>13</v>
          </cell>
          <cell r="L392">
            <v>1440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character</v>
          </cell>
          <cell r="T392" t="str">
            <v>339,339,125</v>
          </cell>
          <cell r="U392">
            <v>13302</v>
          </cell>
          <cell r="V392">
            <v>3</v>
          </cell>
          <cell r="W392" t="str">
            <v>3階 コスト制限なし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965</v>
          </cell>
          <cell r="AD392">
            <v>6</v>
          </cell>
          <cell r="AE392" t="str">
            <v>singleonly</v>
          </cell>
        </row>
        <row r="393">
          <cell r="A393" t="str">
            <v>13302_5</v>
          </cell>
          <cell r="B393">
            <v>3</v>
          </cell>
          <cell r="C393">
            <v>13302</v>
          </cell>
          <cell r="D393" t="str">
            <v>タワーオブザクイーン -アヴァルシア-</v>
          </cell>
          <cell r="E393" t="str">
            <v>タワーオブザクイーン1本目</v>
          </cell>
          <cell r="F393">
            <v>5</v>
          </cell>
          <cell r="G393" t="str">
            <v>ja</v>
          </cell>
          <cell r="H393" t="str">
            <v>5階 コスト30以下限定</v>
          </cell>
          <cell r="I393" t="str">
            <v>タワーオブザクイーン</v>
          </cell>
          <cell r="J393">
            <v>837</v>
          </cell>
          <cell r="K393">
            <v>14</v>
          </cell>
          <cell r="L393">
            <v>1760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character</v>
          </cell>
          <cell r="T393" t="str">
            <v>837,610,610</v>
          </cell>
          <cell r="U393">
            <v>13302</v>
          </cell>
          <cell r="V393">
            <v>4</v>
          </cell>
          <cell r="W393" t="str">
            <v>4階 コスト制限なし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965</v>
          </cell>
          <cell r="AD393">
            <v>6</v>
          </cell>
          <cell r="AE393" t="str">
            <v>singleonly</v>
          </cell>
        </row>
        <row r="394">
          <cell r="A394" t="str">
            <v>13302_6</v>
          </cell>
          <cell r="B394">
            <v>3</v>
          </cell>
          <cell r="C394">
            <v>13302</v>
          </cell>
          <cell r="D394" t="str">
            <v>タワーオブザクイーン -アヴァルシア-</v>
          </cell>
          <cell r="E394" t="str">
            <v>タワーオブザクイーン1本目</v>
          </cell>
          <cell r="F394">
            <v>6</v>
          </cell>
          <cell r="G394" t="str">
            <v>ja</v>
          </cell>
          <cell r="H394" t="str">
            <v>6階 コスト30以下ヒューマン限定</v>
          </cell>
          <cell r="I394" t="str">
            <v>タワーオブザクイーン</v>
          </cell>
          <cell r="J394">
            <v>612</v>
          </cell>
          <cell r="K394">
            <v>15</v>
          </cell>
          <cell r="L394">
            <v>2100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character</v>
          </cell>
          <cell r="T394" t="str">
            <v>612,612,355</v>
          </cell>
          <cell r="U394">
            <v>13302</v>
          </cell>
          <cell r="V394">
            <v>5</v>
          </cell>
          <cell r="W394" t="str">
            <v>5階 コスト30以下限定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965</v>
          </cell>
          <cell r="AD394">
            <v>6</v>
          </cell>
          <cell r="AE394" t="str">
            <v>singleonly</v>
          </cell>
        </row>
        <row r="395">
          <cell r="A395" t="str">
            <v>13302_7</v>
          </cell>
          <cell r="B395">
            <v>3</v>
          </cell>
          <cell r="C395">
            <v>13302</v>
          </cell>
          <cell r="D395" t="str">
            <v>タワーオブザクイーン -アヴァルシア-</v>
          </cell>
          <cell r="E395" t="str">
            <v>タワーオブザクイーン1本目</v>
          </cell>
          <cell r="F395">
            <v>7</v>
          </cell>
          <cell r="G395" t="str">
            <v>ja</v>
          </cell>
          <cell r="H395" t="str">
            <v>7階 コスト制限なし</v>
          </cell>
          <cell r="I395" t="str">
            <v>タワーオブザクイーン</v>
          </cell>
          <cell r="J395">
            <v>613</v>
          </cell>
          <cell r="K395">
            <v>16</v>
          </cell>
          <cell r="L395">
            <v>2460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character</v>
          </cell>
          <cell r="T395" t="str">
            <v>613,613,353</v>
          </cell>
          <cell r="U395">
            <v>13302</v>
          </cell>
          <cell r="V395">
            <v>6</v>
          </cell>
          <cell r="W395" t="str">
            <v>6階 コスト30以下ヒューマン限定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965</v>
          </cell>
          <cell r="AD395">
            <v>6</v>
          </cell>
          <cell r="AE395" t="str">
            <v>singleonly</v>
          </cell>
        </row>
        <row r="396">
          <cell r="A396" t="str">
            <v>13302_8</v>
          </cell>
          <cell r="B396">
            <v>3</v>
          </cell>
          <cell r="C396">
            <v>13302</v>
          </cell>
          <cell r="D396" t="str">
            <v>タワーオブザクイーン -アヴァルシア-</v>
          </cell>
          <cell r="E396" t="str">
            <v>タワーオブザクイーン1本目</v>
          </cell>
          <cell r="F396">
            <v>8</v>
          </cell>
          <cell r="G396" t="str">
            <v>ja</v>
          </cell>
          <cell r="H396" t="str">
            <v>8階 コスト28以下限定</v>
          </cell>
          <cell r="I396" t="str">
            <v>タワーオブザクイーン</v>
          </cell>
          <cell r="J396">
            <v>611</v>
          </cell>
          <cell r="K396">
            <v>17</v>
          </cell>
          <cell r="L396">
            <v>2840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character</v>
          </cell>
          <cell r="T396" t="str">
            <v>611,611,349</v>
          </cell>
          <cell r="U396">
            <v>13302</v>
          </cell>
          <cell r="V396">
            <v>7</v>
          </cell>
          <cell r="W396" t="str">
            <v>7階 コスト制限なし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965</v>
          </cell>
          <cell r="AD396">
            <v>6</v>
          </cell>
          <cell r="AE396" t="str">
            <v>singleonly</v>
          </cell>
        </row>
        <row r="397">
          <cell r="A397" t="str">
            <v>13302_9</v>
          </cell>
          <cell r="B397">
            <v>3</v>
          </cell>
          <cell r="C397">
            <v>13302</v>
          </cell>
          <cell r="D397" t="str">
            <v>タワーオブザクイーン -アヴァルシア-</v>
          </cell>
          <cell r="E397" t="str">
            <v>タワーオブザクイーン1本目</v>
          </cell>
          <cell r="F397">
            <v>9</v>
          </cell>
          <cell r="G397" t="str">
            <v>ja</v>
          </cell>
          <cell r="H397" t="str">
            <v>9階 コスト28以下ヒューマン限定</v>
          </cell>
          <cell r="I397" t="str">
            <v>タワーオブザクイーン</v>
          </cell>
          <cell r="J397">
            <v>837</v>
          </cell>
          <cell r="K397">
            <v>18</v>
          </cell>
          <cell r="L397">
            <v>3240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character</v>
          </cell>
          <cell r="T397" t="str">
            <v>837,614,351</v>
          </cell>
          <cell r="U397">
            <v>13302</v>
          </cell>
          <cell r="V397">
            <v>8</v>
          </cell>
          <cell r="W397" t="str">
            <v>8階 コスト28以下限定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965</v>
          </cell>
          <cell r="AD397">
            <v>6</v>
          </cell>
          <cell r="AE397" t="str">
            <v>singleonly</v>
          </cell>
        </row>
        <row r="398">
          <cell r="A398" t="str">
            <v>13302_10</v>
          </cell>
          <cell r="B398">
            <v>3</v>
          </cell>
          <cell r="C398">
            <v>13302</v>
          </cell>
          <cell r="D398" t="str">
            <v>タワーオブザクイーン -アヴァルシア-</v>
          </cell>
          <cell r="E398" t="str">
            <v>タワーオブザクイーン1本目</v>
          </cell>
          <cell r="F398">
            <v>10</v>
          </cell>
          <cell r="G398" t="str">
            <v>ja</v>
          </cell>
          <cell r="H398" t="str">
            <v>10階 ボナンザ 現る！</v>
          </cell>
          <cell r="I398" t="str">
            <v>タワーオブザクイーン</v>
          </cell>
          <cell r="J398">
            <v>0</v>
          </cell>
          <cell r="K398">
            <v>19</v>
          </cell>
          <cell r="L398">
            <v>3660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polygon</v>
          </cell>
          <cell r="T398" t="str">
            <v>7</v>
          </cell>
          <cell r="U398">
            <v>13302</v>
          </cell>
          <cell r="V398">
            <v>9</v>
          </cell>
          <cell r="W398" t="str">
            <v>9階 コスト28以下ヒューマン限定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965</v>
          </cell>
          <cell r="AD398">
            <v>6</v>
          </cell>
          <cell r="AE398" t="str">
            <v>singleonly</v>
          </cell>
        </row>
        <row r="399">
          <cell r="A399" t="str">
            <v>13302_11</v>
          </cell>
          <cell r="B399">
            <v>3</v>
          </cell>
          <cell r="C399">
            <v>13302</v>
          </cell>
          <cell r="D399" t="str">
            <v>タワーオブザクイーン -アヴァルシア-</v>
          </cell>
          <cell r="E399" t="str">
            <v>タワーオブザクイーン1本目</v>
          </cell>
          <cell r="F399">
            <v>11</v>
          </cell>
          <cell r="G399" t="str">
            <v>ja</v>
          </cell>
          <cell r="H399" t="str">
            <v>11階 コスト30以下限定</v>
          </cell>
          <cell r="I399" t="str">
            <v>タワーオブザクイーン</v>
          </cell>
          <cell r="J399">
            <v>612</v>
          </cell>
          <cell r="K399">
            <v>20</v>
          </cell>
          <cell r="L399">
            <v>4100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character</v>
          </cell>
          <cell r="T399" t="str">
            <v>612,612,612</v>
          </cell>
          <cell r="U399">
            <v>13302</v>
          </cell>
          <cell r="V399">
            <v>10</v>
          </cell>
          <cell r="W399" t="str">
            <v>10階 ボナンザ 現る！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965</v>
          </cell>
          <cell r="AD399">
            <v>6</v>
          </cell>
          <cell r="AE399" t="str">
            <v>singleonly</v>
          </cell>
        </row>
        <row r="400">
          <cell r="A400" t="str">
            <v>13302_12</v>
          </cell>
          <cell r="B400">
            <v>3</v>
          </cell>
          <cell r="C400">
            <v>13302</v>
          </cell>
          <cell r="D400" t="str">
            <v>タワーオブザクイーン -アヴァルシア-</v>
          </cell>
          <cell r="E400" t="str">
            <v>タワーオブザクイーン1本目</v>
          </cell>
          <cell r="F400">
            <v>12</v>
          </cell>
          <cell r="G400" t="str">
            <v>ja</v>
          </cell>
          <cell r="H400" t="str">
            <v>12階 コスト30以下ヒューマン限定</v>
          </cell>
          <cell r="I400" t="str">
            <v>タワーオブザクイーン</v>
          </cell>
          <cell r="J400">
            <v>613</v>
          </cell>
          <cell r="K400">
            <v>21</v>
          </cell>
          <cell r="L400">
            <v>4560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character</v>
          </cell>
          <cell r="T400" t="str">
            <v>613,613,613</v>
          </cell>
          <cell r="U400">
            <v>13302</v>
          </cell>
          <cell r="V400">
            <v>11</v>
          </cell>
          <cell r="W400" t="str">
            <v>11階 コスト30以下限定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965</v>
          </cell>
          <cell r="AD400">
            <v>6</v>
          </cell>
          <cell r="AE400" t="str">
            <v>singleonly</v>
          </cell>
        </row>
        <row r="401">
          <cell r="A401" t="str">
            <v>13302_13</v>
          </cell>
          <cell r="B401">
            <v>3</v>
          </cell>
          <cell r="C401">
            <v>13302</v>
          </cell>
          <cell r="D401" t="str">
            <v>タワーオブザクイーン -アヴァルシア-</v>
          </cell>
          <cell r="E401" t="str">
            <v>タワーオブザクイーン1本目</v>
          </cell>
          <cell r="F401">
            <v>13</v>
          </cell>
          <cell r="G401" t="str">
            <v>ja</v>
          </cell>
          <cell r="H401" t="str">
            <v>13階 コスト制限なし</v>
          </cell>
          <cell r="I401" t="str">
            <v>タワーオブザクイーン</v>
          </cell>
          <cell r="J401">
            <v>611</v>
          </cell>
          <cell r="K401">
            <v>22</v>
          </cell>
          <cell r="L401">
            <v>5040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character</v>
          </cell>
          <cell r="T401" t="str">
            <v>611,611,611</v>
          </cell>
          <cell r="U401">
            <v>13302</v>
          </cell>
          <cell r="V401">
            <v>12</v>
          </cell>
          <cell r="W401" t="str">
            <v>12階 コスト30以下ヒューマン限定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965</v>
          </cell>
          <cell r="AD401">
            <v>6</v>
          </cell>
          <cell r="AE401" t="str">
            <v>singleonly</v>
          </cell>
        </row>
        <row r="402">
          <cell r="A402" t="str">
            <v>13302_14</v>
          </cell>
          <cell r="B402">
            <v>3</v>
          </cell>
          <cell r="C402">
            <v>13302</v>
          </cell>
          <cell r="D402" t="str">
            <v>タワーオブザクイーン -アヴァルシア-</v>
          </cell>
          <cell r="E402" t="str">
            <v>タワーオブザクイーン1本目</v>
          </cell>
          <cell r="F402">
            <v>14</v>
          </cell>
          <cell r="G402" t="str">
            <v>ja</v>
          </cell>
          <cell r="H402" t="str">
            <v>14階 コスト制限なし</v>
          </cell>
          <cell r="I402" t="str">
            <v>タワーオブザクイーン</v>
          </cell>
          <cell r="J402">
            <v>614</v>
          </cell>
          <cell r="K402">
            <v>23</v>
          </cell>
          <cell r="L402">
            <v>5540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character</v>
          </cell>
          <cell r="T402" t="str">
            <v>614,614</v>
          </cell>
          <cell r="U402">
            <v>13302</v>
          </cell>
          <cell r="V402">
            <v>13</v>
          </cell>
          <cell r="W402" t="str">
            <v>13階 コスト制限なし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965</v>
          </cell>
          <cell r="AD402">
            <v>6</v>
          </cell>
          <cell r="AE402" t="str">
            <v>singleonly</v>
          </cell>
        </row>
        <row r="403">
          <cell r="A403" t="str">
            <v>13302_15</v>
          </cell>
          <cell r="B403">
            <v>3</v>
          </cell>
          <cell r="C403">
            <v>13302</v>
          </cell>
          <cell r="D403" t="str">
            <v>タワーオブザクイーン -アヴァルシア-</v>
          </cell>
          <cell r="E403" t="str">
            <v>タワーオブザクイーン1本目</v>
          </cell>
          <cell r="F403">
            <v>15</v>
          </cell>
          <cell r="G403" t="str">
            <v>ja</v>
          </cell>
          <cell r="H403" t="str">
            <v>15階 アヴァルシアの女王 ボナンザ</v>
          </cell>
          <cell r="I403" t="str">
            <v>タワーオブザクイーン</v>
          </cell>
          <cell r="J403">
            <v>1115</v>
          </cell>
          <cell r="K403">
            <v>50</v>
          </cell>
          <cell r="L403">
            <v>10000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character</v>
          </cell>
          <cell r="T403" t="str">
            <v>1114</v>
          </cell>
          <cell r="U403">
            <v>13302</v>
          </cell>
          <cell r="V403">
            <v>14</v>
          </cell>
          <cell r="W403" t="str">
            <v>14階 コスト制限なし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965</v>
          </cell>
          <cell r="AD403">
            <v>6</v>
          </cell>
          <cell r="AE403" t="str">
            <v>singleonly</v>
          </cell>
        </row>
        <row r="404">
          <cell r="A404" t="str">
            <v>13400_1</v>
          </cell>
          <cell r="B404">
            <v>1</v>
          </cell>
          <cell r="C404">
            <v>13400</v>
          </cell>
          <cell r="D404" t="str">
            <v>タワーオブザクイーン -セカンド（仮）-</v>
          </cell>
          <cell r="E404" t="str">
            <v>タワーオブザクイーン2本目</v>
          </cell>
          <cell r="F404">
            <v>1</v>
          </cell>
          <cell r="G404" t="str">
            <v>ja</v>
          </cell>
          <cell r="H404" t="str">
            <v>1階 コスト制限なし</v>
          </cell>
          <cell r="I404" t="str">
            <v>タワーオブザクイーン</v>
          </cell>
          <cell r="J404">
            <v>347</v>
          </cell>
          <cell r="K404">
            <v>10</v>
          </cell>
          <cell r="L404">
            <v>600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character</v>
          </cell>
          <cell r="T404" t="str">
            <v>347,837,347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976</v>
          </cell>
          <cell r="AD404">
            <v>6</v>
          </cell>
          <cell r="AE404" t="str">
            <v>singleonly</v>
          </cell>
        </row>
        <row r="405">
          <cell r="A405" t="str">
            <v>13400_2</v>
          </cell>
          <cell r="B405">
            <v>1</v>
          </cell>
          <cell r="C405">
            <v>13400</v>
          </cell>
          <cell r="D405" t="str">
            <v>タワーオブザクイーン -セカンド（仮）-</v>
          </cell>
          <cell r="E405" t="str">
            <v>タワーオブザクイーン2本目</v>
          </cell>
          <cell r="F405">
            <v>2</v>
          </cell>
          <cell r="G405" t="str">
            <v>ja</v>
          </cell>
          <cell r="H405" t="str">
            <v>2階 コスト制限なし</v>
          </cell>
          <cell r="I405" t="str">
            <v>タワーオブザクイーン</v>
          </cell>
          <cell r="J405">
            <v>343</v>
          </cell>
          <cell r="K405">
            <v>11</v>
          </cell>
          <cell r="L405">
            <v>860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character</v>
          </cell>
          <cell r="T405" t="str">
            <v>343,343,125</v>
          </cell>
          <cell r="U405">
            <v>13400</v>
          </cell>
          <cell r="V405">
            <v>1</v>
          </cell>
          <cell r="W405" t="str">
            <v>1階 コスト制限なし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976</v>
          </cell>
          <cell r="AD405">
            <v>6</v>
          </cell>
          <cell r="AE405" t="str">
            <v>singleonly</v>
          </cell>
        </row>
        <row r="406">
          <cell r="A406" t="str">
            <v>13400_3</v>
          </cell>
          <cell r="B406">
            <v>1</v>
          </cell>
          <cell r="C406">
            <v>13400</v>
          </cell>
          <cell r="D406" t="str">
            <v>タワーオブザクイーン -セカンド（仮）-</v>
          </cell>
          <cell r="E406" t="str">
            <v>タワーオブザクイーン2本目</v>
          </cell>
          <cell r="F406">
            <v>3</v>
          </cell>
          <cell r="G406" t="str">
            <v>ja</v>
          </cell>
          <cell r="H406" t="str">
            <v>3階 コスト制限なし</v>
          </cell>
          <cell r="I406" t="str">
            <v>タワーオブザクイーン</v>
          </cell>
          <cell r="J406">
            <v>335</v>
          </cell>
          <cell r="K406">
            <v>12</v>
          </cell>
          <cell r="L406">
            <v>1140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character</v>
          </cell>
          <cell r="T406" t="str">
            <v>335,335,125</v>
          </cell>
          <cell r="U406">
            <v>13400</v>
          </cell>
          <cell r="V406">
            <v>2</v>
          </cell>
          <cell r="W406" t="str">
            <v>2階 コスト制限なし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976</v>
          </cell>
          <cell r="AD406">
            <v>6</v>
          </cell>
          <cell r="AE406" t="str">
            <v>singleonly</v>
          </cell>
        </row>
        <row r="407">
          <cell r="A407" t="str">
            <v>13400_4</v>
          </cell>
          <cell r="B407">
            <v>1</v>
          </cell>
          <cell r="C407">
            <v>13400</v>
          </cell>
          <cell r="D407" t="str">
            <v>タワーオブザクイーン -セカンド（仮）-</v>
          </cell>
          <cell r="E407" t="str">
            <v>タワーオブザクイーン2本目</v>
          </cell>
          <cell r="F407">
            <v>4</v>
          </cell>
          <cell r="G407" t="str">
            <v>ja</v>
          </cell>
          <cell r="H407" t="str">
            <v>4階 コスト制限なし</v>
          </cell>
          <cell r="I407" t="str">
            <v>タワーオブザクイーン</v>
          </cell>
          <cell r="J407">
            <v>339</v>
          </cell>
          <cell r="K407">
            <v>13</v>
          </cell>
          <cell r="L407">
            <v>1440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character</v>
          </cell>
          <cell r="T407" t="str">
            <v>339,339,125</v>
          </cell>
          <cell r="U407">
            <v>13400</v>
          </cell>
          <cell r="V407">
            <v>3</v>
          </cell>
          <cell r="W407" t="str">
            <v>3階 コスト制限なし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976</v>
          </cell>
          <cell r="AD407">
            <v>6</v>
          </cell>
          <cell r="AE407" t="str">
            <v>singleonly</v>
          </cell>
        </row>
        <row r="408">
          <cell r="A408" t="str">
            <v>13400_5</v>
          </cell>
          <cell r="B408">
            <v>1</v>
          </cell>
          <cell r="C408">
            <v>13400</v>
          </cell>
          <cell r="D408" t="str">
            <v>タワーオブザクイーン -セカンド（仮）-</v>
          </cell>
          <cell r="E408" t="str">
            <v>タワーオブザクイーン2本目</v>
          </cell>
          <cell r="F408">
            <v>5</v>
          </cell>
          <cell r="G408" t="str">
            <v>ja</v>
          </cell>
          <cell r="H408" t="str">
            <v>5階 バランスタイプ限定</v>
          </cell>
          <cell r="I408" t="str">
            <v>タワーオブザクイーン</v>
          </cell>
          <cell r="J408">
            <v>837</v>
          </cell>
          <cell r="K408">
            <v>14</v>
          </cell>
          <cell r="L408">
            <v>1760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character</v>
          </cell>
          <cell r="T408" t="str">
            <v>837,610,610</v>
          </cell>
          <cell r="U408">
            <v>13400</v>
          </cell>
          <cell r="V408">
            <v>4</v>
          </cell>
          <cell r="W408" t="str">
            <v>4階 コスト制限なし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976</v>
          </cell>
          <cell r="AD408">
            <v>6</v>
          </cell>
          <cell r="AE408" t="str">
            <v>singleonly</v>
          </cell>
        </row>
        <row r="409">
          <cell r="A409" t="str">
            <v>13400_6</v>
          </cell>
          <cell r="B409">
            <v>1</v>
          </cell>
          <cell r="C409">
            <v>13400</v>
          </cell>
          <cell r="D409" t="str">
            <v>タワーオブザクイーン -セカンド（仮）-</v>
          </cell>
          <cell r="E409" t="str">
            <v>タワーオブザクイーン2本目</v>
          </cell>
          <cell r="F409">
            <v>6</v>
          </cell>
          <cell r="G409" t="str">
            <v>ja</v>
          </cell>
          <cell r="H409" t="str">
            <v>6階 コスト制限なし</v>
          </cell>
          <cell r="I409" t="str">
            <v>タワーオブザクイーン</v>
          </cell>
          <cell r="J409">
            <v>612</v>
          </cell>
          <cell r="K409">
            <v>15</v>
          </cell>
          <cell r="L409">
            <v>2100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character</v>
          </cell>
          <cell r="T409" t="str">
            <v>612,612,355</v>
          </cell>
          <cell r="U409">
            <v>13400</v>
          </cell>
          <cell r="V409">
            <v>5</v>
          </cell>
          <cell r="W409" t="str">
            <v>5階 バランスタイプ限定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976</v>
          </cell>
          <cell r="AD409">
            <v>6</v>
          </cell>
          <cell r="AE409" t="str">
            <v>singleonly</v>
          </cell>
        </row>
        <row r="410">
          <cell r="A410" t="str">
            <v>13400_7</v>
          </cell>
          <cell r="B410">
            <v>1</v>
          </cell>
          <cell r="C410">
            <v>13400</v>
          </cell>
          <cell r="D410" t="str">
            <v>タワーオブザクイーン -セカンド（仮）-</v>
          </cell>
          <cell r="E410" t="str">
            <v>タワーオブザクイーン2本目</v>
          </cell>
          <cell r="F410">
            <v>7</v>
          </cell>
          <cell r="G410" t="str">
            <v>ja</v>
          </cell>
          <cell r="H410" t="str">
            <v>7階 コスト30以下限定</v>
          </cell>
          <cell r="I410" t="str">
            <v>タワーオブザクイーン</v>
          </cell>
          <cell r="J410">
            <v>613</v>
          </cell>
          <cell r="K410">
            <v>16</v>
          </cell>
          <cell r="L410">
            <v>2460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character</v>
          </cell>
          <cell r="T410" t="str">
            <v>613,613,353</v>
          </cell>
          <cell r="U410">
            <v>13400</v>
          </cell>
          <cell r="V410">
            <v>6</v>
          </cell>
          <cell r="W410" t="str">
            <v>6階 コスト制限なし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976</v>
          </cell>
          <cell r="AD410">
            <v>6</v>
          </cell>
          <cell r="AE410" t="str">
            <v>singleonly</v>
          </cell>
        </row>
        <row r="411">
          <cell r="A411" t="str">
            <v>13400_8</v>
          </cell>
          <cell r="B411">
            <v>1</v>
          </cell>
          <cell r="C411">
            <v>13400</v>
          </cell>
          <cell r="D411" t="str">
            <v>タワーオブザクイーン -セカンド（仮）-</v>
          </cell>
          <cell r="E411" t="str">
            <v>タワーオブザクイーン2本目</v>
          </cell>
          <cell r="F411">
            <v>8</v>
          </cell>
          <cell r="G411" t="str">
            <v>ja</v>
          </cell>
          <cell r="H411" t="str">
            <v>8階 コスト制限なし</v>
          </cell>
          <cell r="I411" t="str">
            <v>タワーオブザクイーン</v>
          </cell>
          <cell r="J411">
            <v>611</v>
          </cell>
          <cell r="K411">
            <v>17</v>
          </cell>
          <cell r="L411">
            <v>2840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0</v>
          </cell>
          <cell r="R411">
            <v>3</v>
          </cell>
          <cell r="S411" t="str">
            <v>character</v>
          </cell>
          <cell r="T411" t="str">
            <v>611,611,349</v>
          </cell>
          <cell r="U411">
            <v>13400</v>
          </cell>
          <cell r="V411">
            <v>7</v>
          </cell>
          <cell r="W411" t="str">
            <v>7階 コスト30以下限定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976</v>
          </cell>
          <cell r="AD411">
            <v>6</v>
          </cell>
          <cell r="AE411" t="str">
            <v>singleonly</v>
          </cell>
        </row>
        <row r="412">
          <cell r="A412" t="str">
            <v>13400_9</v>
          </cell>
          <cell r="B412">
            <v>1</v>
          </cell>
          <cell r="C412">
            <v>13400</v>
          </cell>
          <cell r="D412" t="str">
            <v>タワーオブザクイーン -セカンド（仮）-</v>
          </cell>
          <cell r="E412" t="str">
            <v>タワーオブザクイーン2本目</v>
          </cell>
          <cell r="F412">
            <v>9</v>
          </cell>
          <cell r="G412" t="str">
            <v>ja</v>
          </cell>
          <cell r="H412" t="str">
            <v>9階 テクニカルタイプ限定</v>
          </cell>
          <cell r="I412" t="str">
            <v>タワーオブザクイーン</v>
          </cell>
          <cell r="J412">
            <v>837</v>
          </cell>
          <cell r="K412">
            <v>18</v>
          </cell>
          <cell r="L412">
            <v>3240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 t="str">
            <v>837,614,351</v>
          </cell>
          <cell r="U412">
            <v>13400</v>
          </cell>
          <cell r="V412">
            <v>8</v>
          </cell>
          <cell r="W412" t="str">
            <v>8階 コスト制限なし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976</v>
          </cell>
          <cell r="AD412">
            <v>6</v>
          </cell>
          <cell r="AE412" t="str">
            <v>singleonly</v>
          </cell>
        </row>
        <row r="413">
          <cell r="A413" t="str">
            <v>13400_10</v>
          </cell>
          <cell r="B413">
            <v>1</v>
          </cell>
          <cell r="C413">
            <v>13400</v>
          </cell>
          <cell r="D413" t="str">
            <v>タワーオブザクイーン -セカンド（仮）-</v>
          </cell>
          <cell r="E413" t="str">
            <v>タワーオブザクイーン2本目</v>
          </cell>
          <cell r="F413">
            <v>10</v>
          </cell>
          <cell r="G413" t="str">
            <v>ja</v>
          </cell>
          <cell r="H413" t="str">
            <v>10階 ローズ 現る！</v>
          </cell>
          <cell r="I413" t="str">
            <v>タワーオブザクイーン</v>
          </cell>
          <cell r="J413">
            <v>0</v>
          </cell>
          <cell r="K413">
            <v>19</v>
          </cell>
          <cell r="L413">
            <v>3660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polygon</v>
          </cell>
          <cell r="T413" t="str">
            <v>7</v>
          </cell>
          <cell r="U413">
            <v>13400</v>
          </cell>
          <cell r="V413">
            <v>9</v>
          </cell>
          <cell r="W413" t="str">
            <v>9階 テクニカルタイプ限定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976</v>
          </cell>
          <cell r="AD413">
            <v>6</v>
          </cell>
          <cell r="AE413" t="str">
            <v>singleonly</v>
          </cell>
        </row>
        <row r="414">
          <cell r="A414" t="str">
            <v>13400_11</v>
          </cell>
          <cell r="B414">
            <v>1</v>
          </cell>
          <cell r="C414">
            <v>13400</v>
          </cell>
          <cell r="D414" t="str">
            <v>タワーオブザクイーン -セカンド（仮）-</v>
          </cell>
          <cell r="E414" t="str">
            <v>タワーオブザクイーン2本目</v>
          </cell>
          <cell r="F414">
            <v>11</v>
          </cell>
          <cell r="G414" t="str">
            <v>ja</v>
          </cell>
          <cell r="H414" t="str">
            <v>11階 コスト制限なし</v>
          </cell>
          <cell r="I414" t="str">
            <v>タワーオブザクイーン</v>
          </cell>
          <cell r="J414">
            <v>612</v>
          </cell>
          <cell r="K414">
            <v>20</v>
          </cell>
          <cell r="L414">
            <v>4100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character</v>
          </cell>
          <cell r="T414" t="str">
            <v>612,612,612</v>
          </cell>
          <cell r="U414">
            <v>13400</v>
          </cell>
          <cell r="V414">
            <v>10</v>
          </cell>
          <cell r="W414" t="str">
            <v>10階 ローズ 現る！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976</v>
          </cell>
          <cell r="AD414">
            <v>6</v>
          </cell>
          <cell r="AE414" t="str">
            <v>singleonly</v>
          </cell>
        </row>
        <row r="415">
          <cell r="A415" t="str">
            <v>13400_12</v>
          </cell>
          <cell r="B415">
            <v>1</v>
          </cell>
          <cell r="C415">
            <v>13400</v>
          </cell>
          <cell r="D415" t="str">
            <v>タワーオブザクイーン -セカンド（仮）-</v>
          </cell>
          <cell r="E415" t="str">
            <v>タワーオブザクイーン2本目</v>
          </cell>
          <cell r="F415">
            <v>12</v>
          </cell>
          <cell r="G415" t="str">
            <v>ja</v>
          </cell>
          <cell r="H415" t="str">
            <v>12階 コスト制限なし</v>
          </cell>
          <cell r="I415" t="str">
            <v>タワーオブザクイーン</v>
          </cell>
          <cell r="J415">
            <v>613</v>
          </cell>
          <cell r="K415">
            <v>21</v>
          </cell>
          <cell r="L415">
            <v>4560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character</v>
          </cell>
          <cell r="T415" t="str">
            <v>613,613,613</v>
          </cell>
          <cell r="U415">
            <v>13400</v>
          </cell>
          <cell r="V415">
            <v>11</v>
          </cell>
          <cell r="W415" t="str">
            <v>11階 コスト制限なし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976</v>
          </cell>
          <cell r="AD415">
            <v>6</v>
          </cell>
          <cell r="AE415" t="str">
            <v>singleonly</v>
          </cell>
        </row>
        <row r="416">
          <cell r="A416" t="str">
            <v>13400_13</v>
          </cell>
          <cell r="B416">
            <v>1</v>
          </cell>
          <cell r="C416">
            <v>13400</v>
          </cell>
          <cell r="D416" t="str">
            <v>タワーオブザクイーン -セカンド（仮）-</v>
          </cell>
          <cell r="E416" t="str">
            <v>タワーオブザクイーン2本目</v>
          </cell>
          <cell r="F416">
            <v>13</v>
          </cell>
          <cell r="G416" t="str">
            <v>ja</v>
          </cell>
          <cell r="H416" t="str">
            <v>13階 コスト30以下限定</v>
          </cell>
          <cell r="I416" t="str">
            <v>タワーオブザクイーン</v>
          </cell>
          <cell r="J416">
            <v>611</v>
          </cell>
          <cell r="K416">
            <v>22</v>
          </cell>
          <cell r="L416">
            <v>5040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character</v>
          </cell>
          <cell r="T416" t="str">
            <v>611,611,611</v>
          </cell>
          <cell r="U416">
            <v>13400</v>
          </cell>
          <cell r="V416">
            <v>12</v>
          </cell>
          <cell r="W416" t="str">
            <v>12階 コスト制限なし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976</v>
          </cell>
          <cell r="AD416">
            <v>6</v>
          </cell>
          <cell r="AE416" t="str">
            <v>singleonly</v>
          </cell>
        </row>
        <row r="417">
          <cell r="A417" t="str">
            <v>13400_14</v>
          </cell>
          <cell r="B417">
            <v>1</v>
          </cell>
          <cell r="C417">
            <v>13400</v>
          </cell>
          <cell r="D417" t="str">
            <v>タワーオブザクイーン -セカンド（仮）-</v>
          </cell>
          <cell r="E417" t="str">
            <v>タワーオブザクイーン2本目</v>
          </cell>
          <cell r="F417">
            <v>14</v>
          </cell>
          <cell r="G417" t="str">
            <v>ja</v>
          </cell>
          <cell r="H417" t="str">
            <v>14階 コスト制限なし</v>
          </cell>
          <cell r="I417" t="str">
            <v>タワーオブザクイーン</v>
          </cell>
          <cell r="J417">
            <v>614</v>
          </cell>
          <cell r="K417">
            <v>23</v>
          </cell>
          <cell r="L417">
            <v>5540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character</v>
          </cell>
          <cell r="T417" t="str">
            <v>614,614</v>
          </cell>
          <cell r="U417">
            <v>13400</v>
          </cell>
          <cell r="V417">
            <v>13</v>
          </cell>
          <cell r="W417" t="str">
            <v>13階 コスト30以下限定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976</v>
          </cell>
          <cell r="AD417">
            <v>6</v>
          </cell>
          <cell r="AE417" t="str">
            <v>singleonly</v>
          </cell>
        </row>
        <row r="418">
          <cell r="A418" t="str">
            <v>13400_15</v>
          </cell>
          <cell r="B418">
            <v>1</v>
          </cell>
          <cell r="C418">
            <v>13400</v>
          </cell>
          <cell r="D418" t="str">
            <v>タワーオブザクイーン -セカンド（仮）-</v>
          </cell>
          <cell r="E418" t="str">
            <v>タワーオブザクイーン2本目</v>
          </cell>
          <cell r="F418">
            <v>15</v>
          </cell>
          <cell r="G418" t="str">
            <v>ja</v>
          </cell>
          <cell r="H418" t="str">
            <v>15階 ローズ</v>
          </cell>
          <cell r="I418" t="str">
            <v>タワーオブザクイーン</v>
          </cell>
          <cell r="J418">
            <v>1269</v>
          </cell>
          <cell r="K418">
            <v>50</v>
          </cell>
          <cell r="L418">
            <v>10000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character</v>
          </cell>
          <cell r="T418">
            <v>1268</v>
          </cell>
          <cell r="U418">
            <v>13400</v>
          </cell>
          <cell r="V418">
            <v>14</v>
          </cell>
          <cell r="W418" t="str">
            <v>14階 コスト制限なし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976</v>
          </cell>
          <cell r="AD418">
            <v>6</v>
          </cell>
          <cell r="AE418" t="str">
            <v>singleonly</v>
          </cell>
        </row>
        <row r="419">
          <cell r="A419" t="str">
            <v>14001_1</v>
          </cell>
          <cell r="B419">
            <v>3</v>
          </cell>
          <cell r="C419">
            <v>14001</v>
          </cell>
          <cell r="D419" t="str">
            <v>【ロック】経験値/ソロ</v>
          </cell>
          <cell r="E419" t="str">
            <v>【ロック】経験値/ソロ</v>
          </cell>
          <cell r="F419">
            <v>1</v>
          </cell>
          <cell r="G419" t="str">
            <v>ja</v>
          </cell>
          <cell r="H419" t="str">
            <v>【超級】雷ファミリー（ハートなし）</v>
          </cell>
          <cell r="I419" t="str">
            <v>【ロッククエスト】経験値</v>
          </cell>
          <cell r="J419">
            <v>347</v>
          </cell>
          <cell r="K419">
            <v>1</v>
          </cell>
          <cell r="L419">
            <v>500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0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12</v>
          </cell>
          <cell r="AD419">
            <v>6</v>
          </cell>
          <cell r="AE419" t="str">
            <v>singleonly</v>
          </cell>
        </row>
        <row r="420">
          <cell r="A420" t="str">
            <v>14001_2</v>
          </cell>
          <cell r="B420">
            <v>3</v>
          </cell>
          <cell r="C420">
            <v>14001</v>
          </cell>
          <cell r="D420" t="str">
            <v>【ロック】経験値/ソロ</v>
          </cell>
          <cell r="E420" t="str">
            <v>【ロック】経験値/ソロ</v>
          </cell>
          <cell r="F420">
            <v>2</v>
          </cell>
          <cell r="G420" t="str">
            <v>ja</v>
          </cell>
          <cell r="H420" t="str">
            <v>【超級】水ファミリー（ハートなし）</v>
          </cell>
          <cell r="I420" t="str">
            <v>【ロッククエスト】経験値</v>
          </cell>
          <cell r="J420">
            <v>343</v>
          </cell>
          <cell r="K420">
            <v>1</v>
          </cell>
          <cell r="L420">
            <v>500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0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5</v>
          </cell>
          <cell r="AD420">
            <v>6</v>
          </cell>
          <cell r="AE420" t="str">
            <v>singleonly</v>
          </cell>
        </row>
        <row r="421">
          <cell r="A421" t="str">
            <v>14001_3</v>
          </cell>
          <cell r="B421">
            <v>3</v>
          </cell>
          <cell r="C421">
            <v>14001</v>
          </cell>
          <cell r="D421" t="str">
            <v>【ロック】経験値/ソロ</v>
          </cell>
          <cell r="E421" t="str">
            <v>【ロック】経験値/ソロ</v>
          </cell>
          <cell r="F421">
            <v>3</v>
          </cell>
          <cell r="G421" t="str">
            <v>ja</v>
          </cell>
          <cell r="H421" t="str">
            <v>【超級】森ファミリー（ハートなし）</v>
          </cell>
          <cell r="I421" t="str">
            <v>【ロッククエスト】経験値</v>
          </cell>
          <cell r="J421">
            <v>339</v>
          </cell>
          <cell r="K421">
            <v>1</v>
          </cell>
          <cell r="L421">
            <v>500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0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7</v>
          </cell>
          <cell r="AD421">
            <v>6</v>
          </cell>
          <cell r="AE421" t="str">
            <v>singleonly</v>
          </cell>
        </row>
        <row r="422">
          <cell r="A422" t="str">
            <v>14001_4</v>
          </cell>
          <cell r="B422">
            <v>3</v>
          </cell>
          <cell r="C422">
            <v>14001</v>
          </cell>
          <cell r="D422" t="str">
            <v>【ロック】経験値/ソロ</v>
          </cell>
          <cell r="E422" t="str">
            <v>【ロック】経験値/ソロ</v>
          </cell>
          <cell r="F422">
            <v>4</v>
          </cell>
          <cell r="G422" t="str">
            <v>ja</v>
          </cell>
          <cell r="H422" t="str">
            <v>【超級】炎ファミリー（ハートなし）</v>
          </cell>
          <cell r="I422" t="str">
            <v>【ロッククエスト】経験値</v>
          </cell>
          <cell r="J422">
            <v>335</v>
          </cell>
          <cell r="K422">
            <v>1</v>
          </cell>
          <cell r="L422">
            <v>500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0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10</v>
          </cell>
          <cell r="AD422">
            <v>6</v>
          </cell>
          <cell r="AE422" t="str">
            <v>singleonly</v>
          </cell>
        </row>
        <row r="423">
          <cell r="A423" t="str">
            <v>14001_5</v>
          </cell>
          <cell r="B423">
            <v>0</v>
          </cell>
          <cell r="C423">
            <v>14001</v>
          </cell>
          <cell r="D423" t="str">
            <v>【ロック】経験値/ソロ</v>
          </cell>
          <cell r="E423" t="str">
            <v>【ロック】経験値/ソロ</v>
          </cell>
          <cell r="F423">
            <v>5</v>
          </cell>
          <cell r="G423" t="str">
            <v>ja</v>
          </cell>
          <cell r="H423" t="str">
            <v>【超絶級】雷のサミット（ハートなし）</v>
          </cell>
          <cell r="I423" t="str">
            <v>【ロッククエスト】経験値</v>
          </cell>
          <cell r="J423">
            <v>334</v>
          </cell>
          <cell r="K423">
            <v>1</v>
          </cell>
          <cell r="L423">
            <v>350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0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201</v>
          </cell>
          <cell r="AD423">
            <v>6</v>
          </cell>
          <cell r="AE423" t="str">
            <v>singleonly</v>
          </cell>
        </row>
        <row r="424">
          <cell r="A424" t="str">
            <v>14001_6</v>
          </cell>
          <cell r="B424">
            <v>0</v>
          </cell>
          <cell r="C424">
            <v>14001</v>
          </cell>
          <cell r="D424" t="str">
            <v>【ロック】経験値/ソロ</v>
          </cell>
          <cell r="E424" t="str">
            <v>【ロック】経験値/ソロ</v>
          </cell>
          <cell r="F424">
            <v>6</v>
          </cell>
          <cell r="G424" t="str">
            <v>ja</v>
          </cell>
          <cell r="H424" t="str">
            <v>【超絶級】水のサミット（ハートなし）</v>
          </cell>
          <cell r="I424" t="str">
            <v>【ロッククエスト】経験値</v>
          </cell>
          <cell r="J424">
            <v>334</v>
          </cell>
          <cell r="K424">
            <v>1</v>
          </cell>
          <cell r="L424">
            <v>350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0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201</v>
          </cell>
          <cell r="AD424">
            <v>6</v>
          </cell>
          <cell r="AE424" t="str">
            <v>singleonly</v>
          </cell>
        </row>
        <row r="425">
          <cell r="A425" t="str">
            <v>14001_7</v>
          </cell>
          <cell r="B425">
            <v>0</v>
          </cell>
          <cell r="C425">
            <v>14001</v>
          </cell>
          <cell r="D425" t="str">
            <v>【ロック】経験値/ソロ</v>
          </cell>
          <cell r="E425" t="str">
            <v>【ロック】経験値/ソロ</v>
          </cell>
          <cell r="F425">
            <v>7</v>
          </cell>
          <cell r="G425" t="str">
            <v>ja</v>
          </cell>
          <cell r="H425" t="str">
            <v>【超絶級】森のサミット（ハートなし）</v>
          </cell>
          <cell r="I425" t="str">
            <v>【ロッククエスト】経験値</v>
          </cell>
          <cell r="J425">
            <v>334</v>
          </cell>
          <cell r="K425">
            <v>1</v>
          </cell>
          <cell r="L425">
            <v>350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0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201</v>
          </cell>
          <cell r="AD425">
            <v>6</v>
          </cell>
          <cell r="AE425" t="str">
            <v>singleonly</v>
          </cell>
        </row>
        <row r="426">
          <cell r="A426" t="str">
            <v>14001_8</v>
          </cell>
          <cell r="B426">
            <v>0</v>
          </cell>
          <cell r="C426">
            <v>14001</v>
          </cell>
          <cell r="D426" t="str">
            <v>【ロック】経験値/ソロ</v>
          </cell>
          <cell r="E426" t="str">
            <v>【ロック】経験値/ソロ</v>
          </cell>
          <cell r="F426">
            <v>8</v>
          </cell>
          <cell r="G426" t="str">
            <v>ja</v>
          </cell>
          <cell r="H426" t="str">
            <v>【超絶級】炎のサミット（ハートなし）</v>
          </cell>
          <cell r="I426" t="str">
            <v>【ロッククエスト】経験値</v>
          </cell>
          <cell r="J426">
            <v>334</v>
          </cell>
          <cell r="K426">
            <v>1</v>
          </cell>
          <cell r="L426">
            <v>350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0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201</v>
          </cell>
          <cell r="AD426">
            <v>6</v>
          </cell>
          <cell r="AE426" t="str">
            <v>singleonly</v>
          </cell>
        </row>
        <row r="427">
          <cell r="A427" t="str">
            <v>14002_1</v>
          </cell>
          <cell r="B427">
            <v>3</v>
          </cell>
          <cell r="C427">
            <v>14002</v>
          </cell>
          <cell r="D427" t="str">
            <v>【ロック】ビット/ソロ</v>
          </cell>
          <cell r="E427" t="str">
            <v>【ロック】ビット/ソロ</v>
          </cell>
          <cell r="F427">
            <v>1</v>
          </cell>
          <cell r="G427" t="str">
            <v>ja</v>
          </cell>
          <cell r="H427" t="str">
            <v>【超級】ハイローラー（ハートなし）</v>
          </cell>
          <cell r="I427" t="str">
            <v>【ロッククエスト】ビット</v>
          </cell>
          <cell r="J427">
            <v>119</v>
          </cell>
          <cell r="K427">
            <v>1</v>
          </cell>
          <cell r="L427">
            <v>777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0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105</v>
          </cell>
          <cell r="AD427">
            <v>6</v>
          </cell>
          <cell r="AE427" t="str">
            <v>singleonly</v>
          </cell>
        </row>
        <row r="428">
          <cell r="A428" t="str">
            <v>14002_2</v>
          </cell>
          <cell r="B428">
            <v>0</v>
          </cell>
          <cell r="C428">
            <v>14002</v>
          </cell>
          <cell r="D428" t="str">
            <v>【ロック】ビット/ソロ</v>
          </cell>
          <cell r="E428" t="str">
            <v>【ロック】ビット/ソロ</v>
          </cell>
          <cell r="F428">
            <v>2</v>
          </cell>
          <cell r="G428" t="str">
            <v>ja</v>
          </cell>
          <cell r="H428" t="str">
            <v>【上級】ゴールドカジノ （ハートなし）</v>
          </cell>
          <cell r="I428" t="str">
            <v>【ロッククエスト】ビット</v>
          </cell>
          <cell r="J428">
            <v>119</v>
          </cell>
          <cell r="K428">
            <v>1</v>
          </cell>
          <cell r="L428">
            <v>350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0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105</v>
          </cell>
          <cell r="AD428">
            <v>6</v>
          </cell>
          <cell r="AE428" t="str">
            <v>singleonly</v>
          </cell>
        </row>
        <row r="429">
          <cell r="A429" t="str">
            <v>14003_1</v>
          </cell>
          <cell r="B429">
            <v>3</v>
          </cell>
          <cell r="C429">
            <v>14003</v>
          </cell>
          <cell r="D429" t="str">
            <v>【ロック】限界突破/ソロ</v>
          </cell>
          <cell r="E429" t="str">
            <v>【ロック】限界突破/ソロ</v>
          </cell>
          <cell r="F429">
            <v>1</v>
          </cell>
          <cell r="G429" t="str">
            <v>ja</v>
          </cell>
          <cell r="H429" t="str">
            <v>【超級】果実の楽園（ハートなし）</v>
          </cell>
          <cell r="I429" t="str">
            <v>【ロッククエスト】限界突破</v>
          </cell>
          <cell r="J429">
            <v>125</v>
          </cell>
          <cell r="K429">
            <v>1</v>
          </cell>
          <cell r="L429">
            <v>860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0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7</v>
          </cell>
          <cell r="AD429">
            <v>6</v>
          </cell>
          <cell r="AE429" t="str">
            <v>singleonly</v>
          </cell>
        </row>
        <row r="430">
          <cell r="A430" t="str">
            <v>14003_2</v>
          </cell>
          <cell r="B430">
            <v>3</v>
          </cell>
          <cell r="C430">
            <v>14003</v>
          </cell>
          <cell r="D430" t="str">
            <v>【ロック】限界突破/ソロ</v>
          </cell>
          <cell r="E430" t="str">
            <v>【ロック】限界突破/ソロ</v>
          </cell>
          <cell r="F430">
            <v>2</v>
          </cell>
          <cell r="G430" t="str">
            <v>ja</v>
          </cell>
          <cell r="H430" t="str">
            <v>【超級】攻めの極意（ハートなし）</v>
          </cell>
          <cell r="I430" t="str">
            <v>【ロッククエスト】限界突破</v>
          </cell>
          <cell r="J430">
            <v>611</v>
          </cell>
          <cell r="K430">
            <v>1</v>
          </cell>
          <cell r="L430">
            <v>999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0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10</v>
          </cell>
          <cell r="AD430">
            <v>6</v>
          </cell>
          <cell r="AE430" t="str">
            <v>singleonly</v>
          </cell>
        </row>
        <row r="431">
          <cell r="A431" t="str">
            <v>14003_3</v>
          </cell>
          <cell r="B431">
            <v>3</v>
          </cell>
          <cell r="C431">
            <v>14003</v>
          </cell>
          <cell r="D431" t="str">
            <v>【ロック】限界突破/ソロ</v>
          </cell>
          <cell r="E431" t="str">
            <v>【ロック】限界突破/ソロ</v>
          </cell>
          <cell r="F431">
            <v>3</v>
          </cell>
          <cell r="G431" t="str">
            <v>ja</v>
          </cell>
          <cell r="H431" t="str">
            <v>【超級】癒しの極意（ハートなし）</v>
          </cell>
          <cell r="I431" t="str">
            <v>【ロッククエスト】限界突破</v>
          </cell>
          <cell r="J431">
            <v>613</v>
          </cell>
          <cell r="K431">
            <v>1</v>
          </cell>
          <cell r="L431">
            <v>999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5</v>
          </cell>
          <cell r="AD431">
            <v>6</v>
          </cell>
          <cell r="AE431" t="str">
            <v>singleonly</v>
          </cell>
        </row>
        <row r="432">
          <cell r="A432" t="str">
            <v>14003_4</v>
          </cell>
          <cell r="B432">
            <v>3</v>
          </cell>
          <cell r="C432">
            <v>14003</v>
          </cell>
          <cell r="D432" t="str">
            <v>【ロック】限界突破/ソロ</v>
          </cell>
          <cell r="E432" t="str">
            <v>【ロック】限界突破/ソロ</v>
          </cell>
          <cell r="F432">
            <v>4</v>
          </cell>
          <cell r="G432" t="str">
            <v>ja</v>
          </cell>
          <cell r="H432" t="str">
            <v>【超級】生命の極意（ハートなし）</v>
          </cell>
          <cell r="I432" t="str">
            <v>【ロッククエスト】限界突破</v>
          </cell>
          <cell r="J432">
            <v>612</v>
          </cell>
          <cell r="K432">
            <v>1</v>
          </cell>
          <cell r="L432">
            <v>999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0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7</v>
          </cell>
          <cell r="AD432">
            <v>6</v>
          </cell>
          <cell r="AE432" t="str">
            <v>singleonly</v>
          </cell>
        </row>
        <row r="433">
          <cell r="A433" t="str">
            <v>14004_1</v>
          </cell>
          <cell r="B433">
            <v>1</v>
          </cell>
          <cell r="C433">
            <v>14004</v>
          </cell>
          <cell r="D433" t="str">
            <v>【ロック】経験値/LINEマルチ</v>
          </cell>
          <cell r="E433" t="str">
            <v>【ロック】経験値/LINEマルチ</v>
          </cell>
          <cell r="F433">
            <v>1</v>
          </cell>
          <cell r="G433" t="str">
            <v>ja</v>
          </cell>
          <cell r="H433" t="str">
            <v>【超級】雷ファミリー（ハートなし）</v>
          </cell>
          <cell r="I433" t="str">
            <v>【ロッククエスト】経験値</v>
          </cell>
          <cell r="J433">
            <v>347</v>
          </cell>
          <cell r="K433">
            <v>1</v>
          </cell>
          <cell r="L433">
            <v>500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0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12</v>
          </cell>
          <cell r="AD433">
            <v>6</v>
          </cell>
          <cell r="AE433" t="str">
            <v>lineonly</v>
          </cell>
        </row>
        <row r="434">
          <cell r="A434" t="str">
            <v>14004_2</v>
          </cell>
          <cell r="B434">
            <v>1</v>
          </cell>
          <cell r="C434">
            <v>14004</v>
          </cell>
          <cell r="D434" t="str">
            <v>【ロック】経験値/LINEマルチ</v>
          </cell>
          <cell r="E434" t="str">
            <v>【ロック】経験値/LINEマルチ</v>
          </cell>
          <cell r="F434">
            <v>2</v>
          </cell>
          <cell r="G434" t="str">
            <v>ja</v>
          </cell>
          <cell r="H434" t="str">
            <v>【超級】水ファミリー（ハートなし）</v>
          </cell>
          <cell r="I434" t="str">
            <v>【ロッククエスト】経験値</v>
          </cell>
          <cell r="J434">
            <v>343</v>
          </cell>
          <cell r="K434">
            <v>1</v>
          </cell>
          <cell r="L434">
            <v>500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0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5</v>
          </cell>
          <cell r="AD434">
            <v>6</v>
          </cell>
          <cell r="AE434" t="str">
            <v>lineonly</v>
          </cell>
        </row>
        <row r="435">
          <cell r="A435" t="str">
            <v>14004_3</v>
          </cell>
          <cell r="B435">
            <v>1</v>
          </cell>
          <cell r="C435">
            <v>14004</v>
          </cell>
          <cell r="D435" t="str">
            <v>【ロック】経験値/LINEマルチ</v>
          </cell>
          <cell r="E435" t="str">
            <v>【ロック】経験値/LINEマルチ</v>
          </cell>
          <cell r="F435">
            <v>3</v>
          </cell>
          <cell r="G435" t="str">
            <v>ja</v>
          </cell>
          <cell r="H435" t="str">
            <v>【超級】森ファミリー（ハートなし）</v>
          </cell>
          <cell r="I435" t="str">
            <v>【ロッククエスト】経験値</v>
          </cell>
          <cell r="J435">
            <v>339</v>
          </cell>
          <cell r="K435">
            <v>1</v>
          </cell>
          <cell r="L435">
            <v>500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0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7</v>
          </cell>
          <cell r="AD435">
            <v>6</v>
          </cell>
          <cell r="AE435" t="str">
            <v>lineonly</v>
          </cell>
        </row>
        <row r="436">
          <cell r="A436" t="str">
            <v>14004_4</v>
          </cell>
          <cell r="B436">
            <v>1</v>
          </cell>
          <cell r="C436">
            <v>14004</v>
          </cell>
          <cell r="D436" t="str">
            <v>【ロック】経験値/LINEマルチ</v>
          </cell>
          <cell r="E436" t="str">
            <v>【ロック】経験値/LINEマルチ</v>
          </cell>
          <cell r="F436">
            <v>4</v>
          </cell>
          <cell r="G436" t="str">
            <v>ja</v>
          </cell>
          <cell r="H436" t="str">
            <v>【超級】炎ファミリー（ハートなし）</v>
          </cell>
          <cell r="I436" t="str">
            <v>【ロッククエスト】経験値</v>
          </cell>
          <cell r="J436">
            <v>335</v>
          </cell>
          <cell r="K436">
            <v>1</v>
          </cell>
          <cell r="L436">
            <v>500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0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10</v>
          </cell>
          <cell r="AD436">
            <v>6</v>
          </cell>
          <cell r="AE436" t="str">
            <v>lineonly</v>
          </cell>
        </row>
        <row r="437">
          <cell r="A437" t="str">
            <v>14005_1</v>
          </cell>
          <cell r="B437">
            <v>1</v>
          </cell>
          <cell r="C437">
            <v>14005</v>
          </cell>
          <cell r="D437" t="str">
            <v>【ロック】ビット/LINEマルチ</v>
          </cell>
          <cell r="E437" t="str">
            <v>【ロック】ビット/LINEマルチ</v>
          </cell>
          <cell r="F437">
            <v>1</v>
          </cell>
          <cell r="G437" t="str">
            <v>ja</v>
          </cell>
          <cell r="H437" t="str">
            <v>【超級】ハイローラー（ハートなし）</v>
          </cell>
          <cell r="I437" t="str">
            <v>【ロッククエスト】ビット</v>
          </cell>
          <cell r="J437">
            <v>119</v>
          </cell>
          <cell r="K437">
            <v>1</v>
          </cell>
          <cell r="L437">
            <v>777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0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105</v>
          </cell>
          <cell r="AD437">
            <v>6</v>
          </cell>
          <cell r="AE437" t="str">
            <v>lineonly</v>
          </cell>
        </row>
        <row r="438">
          <cell r="A438" t="str">
            <v>14006_1</v>
          </cell>
          <cell r="B438">
            <v>1</v>
          </cell>
          <cell r="C438">
            <v>14006</v>
          </cell>
          <cell r="D438" t="str">
            <v>【ロック】限界突破/LINEマルチ</v>
          </cell>
          <cell r="E438" t="str">
            <v>【ロック】限界突破/LINEマルチ</v>
          </cell>
          <cell r="F438">
            <v>1</v>
          </cell>
          <cell r="G438" t="str">
            <v>ja</v>
          </cell>
          <cell r="H438" t="str">
            <v>【超級】果実の楽園（ハートなし）</v>
          </cell>
          <cell r="I438" t="str">
            <v>【ロッククエスト】限界突破</v>
          </cell>
          <cell r="J438">
            <v>125</v>
          </cell>
          <cell r="K438">
            <v>1</v>
          </cell>
          <cell r="L438">
            <v>860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0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7</v>
          </cell>
          <cell r="AD438">
            <v>6</v>
          </cell>
          <cell r="AE438" t="str">
            <v>lineonly</v>
          </cell>
        </row>
        <row r="439">
          <cell r="A439" t="str">
            <v>15027_1</v>
          </cell>
          <cell r="B439">
            <v>3</v>
          </cell>
          <cell r="C439">
            <v>15027</v>
          </cell>
          <cell r="D439" t="str">
            <v>27. 雷雨の登山道</v>
          </cell>
          <cell r="E439" t="str">
            <v>黄青DL6</v>
          </cell>
          <cell r="F439">
            <v>1</v>
          </cell>
          <cell r="G439" t="str">
            <v>ja</v>
          </cell>
          <cell r="H439" t="str">
            <v>27-1. 登山道入口</v>
          </cell>
          <cell r="J439" t="str">
            <v>NULL</v>
          </cell>
          <cell r="K439">
            <v>18</v>
          </cell>
          <cell r="L439">
            <v>3740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none</v>
          </cell>
          <cell r="T439">
            <v>0</v>
          </cell>
          <cell r="U439">
            <v>26</v>
          </cell>
          <cell r="V439">
            <v>6</v>
          </cell>
          <cell r="W439" t="str">
            <v>26-6．【1回のみ】ボーナスステージ</v>
          </cell>
          <cell r="X439">
            <v>0</v>
          </cell>
          <cell r="Y439">
            <v>1</v>
          </cell>
          <cell r="Z439">
            <v>0</v>
          </cell>
          <cell r="AA439">
            <v>1</v>
          </cell>
          <cell r="AB439" t="str">
            <v>anytime</v>
          </cell>
          <cell r="AC439">
            <v>27</v>
          </cell>
          <cell r="AD439">
            <v>6</v>
          </cell>
          <cell r="AE439" t="str">
            <v>everyone</v>
          </cell>
        </row>
        <row r="440">
          <cell r="A440" t="str">
            <v>15027_2</v>
          </cell>
          <cell r="B440">
            <v>3</v>
          </cell>
          <cell r="C440">
            <v>15027</v>
          </cell>
          <cell r="D440" t="str">
            <v>27. 雷雨の登山道</v>
          </cell>
          <cell r="E440" t="str">
            <v>黄青DL6</v>
          </cell>
          <cell r="F440">
            <v>2</v>
          </cell>
          <cell r="G440" t="str">
            <v>ja</v>
          </cell>
          <cell r="H440" t="str">
            <v>27-2. 霊峰の守護者</v>
          </cell>
          <cell r="J440" t="str">
            <v>NULL</v>
          </cell>
          <cell r="K440">
            <v>19</v>
          </cell>
          <cell r="L440">
            <v>4140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>
            <v>15027</v>
          </cell>
          <cell r="V440">
            <v>1</v>
          </cell>
          <cell r="W440" t="str">
            <v>27-1. 登山道入口</v>
          </cell>
          <cell r="X440">
            <v>0</v>
          </cell>
          <cell r="Y440">
            <v>1</v>
          </cell>
          <cell r="Z440">
            <v>0</v>
          </cell>
          <cell r="AA440">
            <v>1</v>
          </cell>
          <cell r="AB440" t="str">
            <v>anytime</v>
          </cell>
          <cell r="AC440">
            <v>27</v>
          </cell>
          <cell r="AD440">
            <v>6</v>
          </cell>
          <cell r="AE440" t="str">
            <v>everyone</v>
          </cell>
        </row>
        <row r="441">
          <cell r="A441" t="str">
            <v>15027_3</v>
          </cell>
          <cell r="B441">
            <v>3</v>
          </cell>
          <cell r="C441">
            <v>15027</v>
          </cell>
          <cell r="D441" t="str">
            <v>27. 雷雨の登山道</v>
          </cell>
          <cell r="E441" t="str">
            <v>黄青DL6</v>
          </cell>
          <cell r="F441">
            <v>3</v>
          </cell>
          <cell r="G441" t="str">
            <v>ja</v>
          </cell>
          <cell r="H441" t="str">
            <v>27-3. 山岳の王者</v>
          </cell>
          <cell r="J441" t="str">
            <v>NULL</v>
          </cell>
          <cell r="K441">
            <v>22</v>
          </cell>
          <cell r="L441">
            <v>5250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>
            <v>15027</v>
          </cell>
          <cell r="V441">
            <v>2</v>
          </cell>
          <cell r="W441" t="str">
            <v>27-2. 霊峰の守護者</v>
          </cell>
          <cell r="X441">
            <v>0</v>
          </cell>
          <cell r="Y441">
            <v>1</v>
          </cell>
          <cell r="Z441">
            <v>0</v>
          </cell>
          <cell r="AA441">
            <v>1</v>
          </cell>
          <cell r="AB441" t="str">
            <v>anytime</v>
          </cell>
          <cell r="AC441">
            <v>27</v>
          </cell>
          <cell r="AD441">
            <v>6</v>
          </cell>
          <cell r="AE441" t="str">
            <v>everyone</v>
          </cell>
        </row>
        <row r="442">
          <cell r="A442" t="str">
            <v>15027_4</v>
          </cell>
          <cell r="B442">
            <v>3</v>
          </cell>
          <cell r="C442">
            <v>15027</v>
          </cell>
          <cell r="D442" t="str">
            <v>27. 雷雨の登山道</v>
          </cell>
          <cell r="E442" t="str">
            <v>黄青DL6</v>
          </cell>
          <cell r="F442">
            <v>4</v>
          </cell>
          <cell r="G442" t="str">
            <v>ja</v>
          </cell>
          <cell r="H442" t="str">
            <v>27-4. 【1回のみ】ボーナスステージ</v>
          </cell>
          <cell r="I442" t="str">
            <v>ボーナス</v>
          </cell>
          <cell r="J442">
            <v>343</v>
          </cell>
          <cell r="K442">
            <v>1</v>
          </cell>
          <cell r="L442">
            <v>1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>
            <v>15027</v>
          </cell>
          <cell r="V442">
            <v>3</v>
          </cell>
          <cell r="W442" t="str">
            <v>27-3. 山岳の王者</v>
          </cell>
          <cell r="X442">
            <v>0</v>
          </cell>
          <cell r="Y442">
            <v>1</v>
          </cell>
          <cell r="Z442">
            <v>0</v>
          </cell>
          <cell r="AA442">
            <v>1</v>
          </cell>
          <cell r="AB442" t="str">
            <v>once</v>
          </cell>
          <cell r="AC442">
            <v>27</v>
          </cell>
          <cell r="AD442">
            <v>6</v>
          </cell>
          <cell r="AE442" t="str">
            <v>singleonly</v>
          </cell>
        </row>
        <row r="443">
          <cell r="A443" t="str">
            <v>15028_1</v>
          </cell>
          <cell r="B443">
            <v>3</v>
          </cell>
          <cell r="C443">
            <v>15028</v>
          </cell>
          <cell r="D443" t="str">
            <v>28. 暴風と灼熱の罪浄</v>
          </cell>
          <cell r="E443" t="str">
            <v>赤緑DL6</v>
          </cell>
          <cell r="F443">
            <v>1</v>
          </cell>
          <cell r="G443" t="str">
            <v>ja</v>
          </cell>
          <cell r="H443" t="str">
            <v>28-1. 轟翼のかまど</v>
          </cell>
          <cell r="J443" t="str">
            <v>NULL</v>
          </cell>
          <cell r="K443">
            <v>18</v>
          </cell>
          <cell r="L443">
            <v>3870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>
            <v>15027</v>
          </cell>
          <cell r="V443">
            <v>4</v>
          </cell>
          <cell r="W443" t="str">
            <v>27-4. 【1回のみ】ボーナスステージ</v>
          </cell>
          <cell r="X443">
            <v>1</v>
          </cell>
          <cell r="Y443">
            <v>0</v>
          </cell>
          <cell r="Z443">
            <v>1</v>
          </cell>
          <cell r="AA443">
            <v>0</v>
          </cell>
          <cell r="AB443" t="str">
            <v>anytime</v>
          </cell>
          <cell r="AC443">
            <v>28</v>
          </cell>
          <cell r="AD443">
            <v>6</v>
          </cell>
          <cell r="AE443" t="str">
            <v>everyone</v>
          </cell>
        </row>
        <row r="444">
          <cell r="A444" t="str">
            <v>15028_2</v>
          </cell>
          <cell r="B444">
            <v>3</v>
          </cell>
          <cell r="C444">
            <v>15028</v>
          </cell>
          <cell r="D444" t="str">
            <v>28. 暴風と灼熱の罪浄</v>
          </cell>
          <cell r="E444" t="str">
            <v>赤緑DL6</v>
          </cell>
          <cell r="F444">
            <v>2</v>
          </cell>
          <cell r="G444" t="str">
            <v>ja</v>
          </cell>
          <cell r="H444" t="str">
            <v>28-2. 空の寝殿</v>
          </cell>
          <cell r="J444" t="str">
            <v>NULL</v>
          </cell>
          <cell r="K444">
            <v>19</v>
          </cell>
          <cell r="L444">
            <v>4500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>
            <v>15028</v>
          </cell>
          <cell r="V444">
            <v>1</v>
          </cell>
          <cell r="W444" t="str">
            <v>28-1. 轟翼のかまど</v>
          </cell>
          <cell r="X444">
            <v>1</v>
          </cell>
          <cell r="Y444">
            <v>0</v>
          </cell>
          <cell r="Z444">
            <v>1</v>
          </cell>
          <cell r="AA444">
            <v>0</v>
          </cell>
          <cell r="AB444" t="str">
            <v>anytime</v>
          </cell>
          <cell r="AC444">
            <v>28</v>
          </cell>
          <cell r="AD444">
            <v>6</v>
          </cell>
          <cell r="AE444" t="str">
            <v>everyone</v>
          </cell>
        </row>
        <row r="445">
          <cell r="A445" t="str">
            <v>15028_3</v>
          </cell>
          <cell r="B445">
            <v>3</v>
          </cell>
          <cell r="C445">
            <v>15028</v>
          </cell>
          <cell r="D445" t="str">
            <v>28. 暴風と灼熱の罪浄</v>
          </cell>
          <cell r="E445" t="str">
            <v>赤緑DL6</v>
          </cell>
          <cell r="F445">
            <v>3</v>
          </cell>
          <cell r="G445" t="str">
            <v>ja</v>
          </cell>
          <cell r="H445" t="str">
            <v>28-3. 縛風の洞窟</v>
          </cell>
          <cell r="J445" t="str">
            <v>NULL</v>
          </cell>
          <cell r="K445">
            <v>22</v>
          </cell>
          <cell r="L445">
            <v>5580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none</v>
          </cell>
          <cell r="T445">
            <v>0</v>
          </cell>
          <cell r="U445">
            <v>15028</v>
          </cell>
          <cell r="V445">
            <v>2</v>
          </cell>
          <cell r="W445" t="str">
            <v>28-2. 空の寝殿</v>
          </cell>
          <cell r="X445">
            <v>1</v>
          </cell>
          <cell r="Y445">
            <v>0</v>
          </cell>
          <cell r="Z445">
            <v>1</v>
          </cell>
          <cell r="AA445">
            <v>0</v>
          </cell>
          <cell r="AB445" t="str">
            <v>anytime</v>
          </cell>
          <cell r="AC445">
            <v>28</v>
          </cell>
          <cell r="AD445">
            <v>6</v>
          </cell>
          <cell r="AE445" t="str">
            <v>everyone</v>
          </cell>
        </row>
        <row r="446">
          <cell r="A446" t="str">
            <v>15028_4</v>
          </cell>
          <cell r="B446">
            <v>3</v>
          </cell>
          <cell r="C446">
            <v>15028</v>
          </cell>
          <cell r="D446" t="str">
            <v>28. 暴風と灼熱の罪浄</v>
          </cell>
          <cell r="E446" t="str">
            <v>赤緑DL6</v>
          </cell>
          <cell r="F446">
            <v>4</v>
          </cell>
          <cell r="G446" t="str">
            <v>ja</v>
          </cell>
          <cell r="H446" t="str">
            <v>28-4. 【1回のみ】ボーナスステージ</v>
          </cell>
          <cell r="I446" t="str">
            <v>ボーナス</v>
          </cell>
          <cell r="J446">
            <v>339</v>
          </cell>
          <cell r="K446">
            <v>1</v>
          </cell>
          <cell r="L446">
            <v>1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>
            <v>15028</v>
          </cell>
          <cell r="V446">
            <v>3</v>
          </cell>
          <cell r="W446" t="str">
            <v>28-3. 縛風の洞窟</v>
          </cell>
          <cell r="X446">
            <v>1</v>
          </cell>
          <cell r="Y446">
            <v>0</v>
          </cell>
          <cell r="Z446">
            <v>1</v>
          </cell>
          <cell r="AA446">
            <v>0</v>
          </cell>
          <cell r="AB446" t="str">
            <v>once</v>
          </cell>
          <cell r="AC446">
            <v>28</v>
          </cell>
          <cell r="AD446">
            <v>6</v>
          </cell>
          <cell r="AE446" t="str">
            <v>singleonly</v>
          </cell>
        </row>
        <row r="447">
          <cell r="A447" t="str">
            <v>15029_1</v>
          </cell>
          <cell r="B447">
            <v>3</v>
          </cell>
          <cell r="C447">
            <v>15029</v>
          </cell>
          <cell r="D447" t="str">
            <v>29. 雪の望郷</v>
          </cell>
          <cell r="E447" t="str">
            <v>緑黄DL6</v>
          </cell>
          <cell r="F447">
            <v>1</v>
          </cell>
          <cell r="G447" t="str">
            <v>ja</v>
          </cell>
          <cell r="H447" t="str">
            <v>29-1. 雪の中のケモノたち</v>
          </cell>
          <cell r="J447" t="str">
            <v>NULL</v>
          </cell>
          <cell r="K447">
            <v>18</v>
          </cell>
          <cell r="L447">
            <v>4210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>
            <v>15028</v>
          </cell>
          <cell r="V447">
            <v>4</v>
          </cell>
          <cell r="W447" t="str">
            <v>28-4. 【1回のみ】ボーナスステージ</v>
          </cell>
          <cell r="X447">
            <v>0</v>
          </cell>
          <cell r="Y447">
            <v>0</v>
          </cell>
          <cell r="Z447">
            <v>1</v>
          </cell>
          <cell r="AA447">
            <v>1</v>
          </cell>
          <cell r="AB447" t="str">
            <v>anytime</v>
          </cell>
          <cell r="AC447">
            <v>29</v>
          </cell>
          <cell r="AD447">
            <v>6</v>
          </cell>
          <cell r="AE447" t="str">
            <v>everyone</v>
          </cell>
        </row>
        <row r="448">
          <cell r="A448" t="str">
            <v>15029_2</v>
          </cell>
          <cell r="B448">
            <v>3</v>
          </cell>
          <cell r="C448">
            <v>15029</v>
          </cell>
          <cell r="D448" t="str">
            <v>29. 雪の望郷</v>
          </cell>
          <cell r="E448" t="str">
            <v>緑黄DL6</v>
          </cell>
          <cell r="F448">
            <v>2</v>
          </cell>
          <cell r="G448" t="str">
            <v>ja</v>
          </cell>
          <cell r="H448" t="str">
            <v>29-2. ねこみみマフラー</v>
          </cell>
          <cell r="J448" t="str">
            <v>NULL</v>
          </cell>
          <cell r="K448">
            <v>19</v>
          </cell>
          <cell r="L448">
            <v>4800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>
            <v>15029</v>
          </cell>
          <cell r="V448">
            <v>1</v>
          </cell>
          <cell r="W448" t="str">
            <v>29-1. 雪の中のケモノたち</v>
          </cell>
          <cell r="X448">
            <v>0</v>
          </cell>
          <cell r="Y448">
            <v>0</v>
          </cell>
          <cell r="Z448">
            <v>1</v>
          </cell>
          <cell r="AA448">
            <v>1</v>
          </cell>
          <cell r="AB448" t="str">
            <v>anytime</v>
          </cell>
          <cell r="AC448">
            <v>29</v>
          </cell>
          <cell r="AD448">
            <v>6</v>
          </cell>
          <cell r="AE448" t="str">
            <v>everyone</v>
          </cell>
        </row>
        <row r="449">
          <cell r="A449" t="str">
            <v>15029_3</v>
          </cell>
          <cell r="B449">
            <v>3</v>
          </cell>
          <cell r="C449">
            <v>15029</v>
          </cell>
          <cell r="D449" t="str">
            <v>29. 雪の望郷</v>
          </cell>
          <cell r="E449" t="str">
            <v>緑黄DL6</v>
          </cell>
          <cell r="F449">
            <v>3</v>
          </cell>
          <cell r="G449" t="str">
            <v>ja</v>
          </cell>
          <cell r="H449" t="str">
            <v>29-3. 仕立屋と兄妹</v>
          </cell>
          <cell r="J449" t="str">
            <v>NULL</v>
          </cell>
          <cell r="K449">
            <v>22</v>
          </cell>
          <cell r="L449">
            <v>5970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>
            <v>15029</v>
          </cell>
          <cell r="V449">
            <v>2</v>
          </cell>
          <cell r="W449" t="str">
            <v>29-2. ねこみみマフラー</v>
          </cell>
          <cell r="X449">
            <v>0</v>
          </cell>
          <cell r="Y449">
            <v>0</v>
          </cell>
          <cell r="Z449">
            <v>1</v>
          </cell>
          <cell r="AA449">
            <v>1</v>
          </cell>
          <cell r="AB449" t="str">
            <v>anytime</v>
          </cell>
          <cell r="AC449">
            <v>29</v>
          </cell>
          <cell r="AD449">
            <v>6</v>
          </cell>
          <cell r="AE449" t="str">
            <v>everyone</v>
          </cell>
        </row>
        <row r="450">
          <cell r="A450" t="str">
            <v>15029_4</v>
          </cell>
          <cell r="B450">
            <v>3</v>
          </cell>
          <cell r="C450">
            <v>15029</v>
          </cell>
          <cell r="D450" t="str">
            <v>29. 雪の望郷</v>
          </cell>
          <cell r="E450" t="str">
            <v>緑黄DL6</v>
          </cell>
          <cell r="F450">
            <v>4</v>
          </cell>
          <cell r="G450" t="str">
            <v>ja</v>
          </cell>
          <cell r="H450" t="str">
            <v>29-4. 【1回のみ】ボーナスステージ</v>
          </cell>
          <cell r="I450" t="str">
            <v>ボーナス</v>
          </cell>
          <cell r="J450">
            <v>347</v>
          </cell>
          <cell r="K450">
            <v>1</v>
          </cell>
          <cell r="L450">
            <v>1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>
            <v>15029</v>
          </cell>
          <cell r="V450">
            <v>3</v>
          </cell>
          <cell r="W450" t="str">
            <v>29-3. 仕立屋と兄妹</v>
          </cell>
          <cell r="X450">
            <v>0</v>
          </cell>
          <cell r="Y450">
            <v>0</v>
          </cell>
          <cell r="Z450">
            <v>1</v>
          </cell>
          <cell r="AA450">
            <v>1</v>
          </cell>
          <cell r="AB450" t="str">
            <v>once</v>
          </cell>
          <cell r="AC450">
            <v>29</v>
          </cell>
          <cell r="AD450">
            <v>6</v>
          </cell>
          <cell r="AE450" t="str">
            <v>singleonly</v>
          </cell>
        </row>
        <row r="451">
          <cell r="A451" t="str">
            <v>15030_1</v>
          </cell>
          <cell r="B451">
            <v>3</v>
          </cell>
          <cell r="C451">
            <v>15030</v>
          </cell>
          <cell r="D451" t="str">
            <v>30. 月夜のオールドシティ</v>
          </cell>
          <cell r="E451" t="str">
            <v>赤青DL6</v>
          </cell>
          <cell r="F451">
            <v>1</v>
          </cell>
          <cell r="G451" t="str">
            <v>ja</v>
          </cell>
          <cell r="H451" t="str">
            <v>30-1. 月夜に煌めく刃</v>
          </cell>
          <cell r="J451" t="str">
            <v>NULL</v>
          </cell>
          <cell r="K451">
            <v>18</v>
          </cell>
          <cell r="L451">
            <v>4460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>
            <v>15029</v>
          </cell>
          <cell r="V451">
            <v>4</v>
          </cell>
          <cell r="W451" t="str">
            <v>29-4. 【1回のみ】ボーナスステージ</v>
          </cell>
          <cell r="X451">
            <v>1</v>
          </cell>
          <cell r="Y451">
            <v>1</v>
          </cell>
          <cell r="Z451">
            <v>0</v>
          </cell>
          <cell r="AA451">
            <v>0</v>
          </cell>
          <cell r="AB451" t="str">
            <v>anytime</v>
          </cell>
          <cell r="AC451">
            <v>30</v>
          </cell>
          <cell r="AD451">
            <v>6</v>
          </cell>
          <cell r="AE451" t="str">
            <v>everyone</v>
          </cell>
        </row>
        <row r="452">
          <cell r="A452" t="str">
            <v>15030_2</v>
          </cell>
          <cell r="B452">
            <v>3</v>
          </cell>
          <cell r="C452">
            <v>15030</v>
          </cell>
          <cell r="D452" t="str">
            <v>30. 月夜のオールドシティ</v>
          </cell>
          <cell r="E452" t="str">
            <v>赤青DL6</v>
          </cell>
          <cell r="F452">
            <v>2</v>
          </cell>
          <cell r="G452" t="str">
            <v>ja</v>
          </cell>
          <cell r="H452" t="str">
            <v>30-2. 深夜のお茶会</v>
          </cell>
          <cell r="J452" t="str">
            <v>NULL</v>
          </cell>
          <cell r="K452">
            <v>19</v>
          </cell>
          <cell r="L452">
            <v>5040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>
            <v>15030</v>
          </cell>
          <cell r="V452">
            <v>1</v>
          </cell>
          <cell r="W452" t="str">
            <v>30-1. 月夜に煌めく刃</v>
          </cell>
          <cell r="X452">
            <v>1</v>
          </cell>
          <cell r="Y452">
            <v>1</v>
          </cell>
          <cell r="Z452">
            <v>0</v>
          </cell>
          <cell r="AA452">
            <v>0</v>
          </cell>
          <cell r="AB452" t="str">
            <v>anytime</v>
          </cell>
          <cell r="AC452">
            <v>30</v>
          </cell>
          <cell r="AD452">
            <v>6</v>
          </cell>
          <cell r="AE452" t="str">
            <v>everyone</v>
          </cell>
        </row>
        <row r="453">
          <cell r="A453" t="str">
            <v>15030_3</v>
          </cell>
          <cell r="B453">
            <v>3</v>
          </cell>
          <cell r="C453">
            <v>15030</v>
          </cell>
          <cell r="D453" t="str">
            <v>30. 月夜のオールドシティ</v>
          </cell>
          <cell r="E453" t="str">
            <v>赤青DL6</v>
          </cell>
          <cell r="F453">
            <v>3</v>
          </cell>
          <cell r="G453" t="str">
            <v>ja</v>
          </cell>
          <cell r="H453" t="str">
            <v>30-3. 月影の襲撃者</v>
          </cell>
          <cell r="J453" t="str">
            <v>NULL</v>
          </cell>
          <cell r="K453">
            <v>22</v>
          </cell>
          <cell r="L453">
            <v>6370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>
            <v>15030</v>
          </cell>
          <cell r="V453">
            <v>2</v>
          </cell>
          <cell r="W453" t="str">
            <v>30-2. 深夜のお茶会</v>
          </cell>
          <cell r="X453">
            <v>1</v>
          </cell>
          <cell r="Y453">
            <v>1</v>
          </cell>
          <cell r="Z453">
            <v>0</v>
          </cell>
          <cell r="AA453">
            <v>0</v>
          </cell>
          <cell r="AB453" t="str">
            <v>anytime</v>
          </cell>
          <cell r="AC453">
            <v>30</v>
          </cell>
          <cell r="AD453">
            <v>6</v>
          </cell>
          <cell r="AE453" t="str">
            <v>everyone</v>
          </cell>
        </row>
        <row r="454">
          <cell r="A454" t="str">
            <v>15030_4</v>
          </cell>
          <cell r="B454">
            <v>3</v>
          </cell>
          <cell r="C454">
            <v>15030</v>
          </cell>
          <cell r="D454" t="str">
            <v>30. 月夜のオールドシティ</v>
          </cell>
          <cell r="E454" t="str">
            <v>赤青DL6</v>
          </cell>
          <cell r="F454">
            <v>4</v>
          </cell>
          <cell r="G454" t="str">
            <v>ja</v>
          </cell>
          <cell r="H454" t="str">
            <v>30-4. 【1回のみ】ボーナスステージ</v>
          </cell>
          <cell r="I454" t="str">
            <v>ボーナス</v>
          </cell>
          <cell r="J454">
            <v>335</v>
          </cell>
          <cell r="K454">
            <v>1</v>
          </cell>
          <cell r="L454">
            <v>1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>
            <v>15030</v>
          </cell>
          <cell r="V454">
            <v>3</v>
          </cell>
          <cell r="W454" t="str">
            <v>30-3. 月影の襲撃者</v>
          </cell>
          <cell r="X454">
            <v>1</v>
          </cell>
          <cell r="Y454">
            <v>1</v>
          </cell>
          <cell r="Z454">
            <v>0</v>
          </cell>
          <cell r="AA454">
            <v>0</v>
          </cell>
          <cell r="AB454" t="str">
            <v>once</v>
          </cell>
          <cell r="AC454">
            <v>30</v>
          </cell>
          <cell r="AD454">
            <v>6</v>
          </cell>
          <cell r="AE454" t="str">
            <v>singleonly</v>
          </cell>
        </row>
        <row r="455">
          <cell r="A455" t="str">
            <v>15031_1</v>
          </cell>
          <cell r="B455">
            <v>3</v>
          </cell>
          <cell r="C455">
            <v>15031</v>
          </cell>
          <cell r="D455" t="str">
            <v>31. 桜花乱城</v>
          </cell>
          <cell r="E455" t="str">
            <v>混色DL6</v>
          </cell>
          <cell r="F455">
            <v>1</v>
          </cell>
          <cell r="G455" t="str">
            <v>ja</v>
          </cell>
          <cell r="H455" t="str">
            <v>31-1. 忍び寄る影</v>
          </cell>
          <cell r="J455" t="str">
            <v>NULL</v>
          </cell>
          <cell r="K455">
            <v>19</v>
          </cell>
          <cell r="L455">
            <v>5040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>
            <v>15030</v>
          </cell>
          <cell r="V455">
            <v>4</v>
          </cell>
          <cell r="W455" t="str">
            <v>30-4. 【1回のみ】ボーナスステージ</v>
          </cell>
          <cell r="X455">
            <v>1</v>
          </cell>
          <cell r="Y455">
            <v>1</v>
          </cell>
          <cell r="Z455">
            <v>1</v>
          </cell>
          <cell r="AA455">
            <v>1</v>
          </cell>
          <cell r="AB455" t="str">
            <v>anytime</v>
          </cell>
          <cell r="AC455">
            <v>31</v>
          </cell>
          <cell r="AD455">
            <v>6</v>
          </cell>
          <cell r="AE455" t="str">
            <v>everyone</v>
          </cell>
        </row>
        <row r="456">
          <cell r="A456" t="str">
            <v>15031_2</v>
          </cell>
          <cell r="B456">
            <v>3</v>
          </cell>
          <cell r="C456">
            <v>15031</v>
          </cell>
          <cell r="D456" t="str">
            <v>31. 桜花乱城</v>
          </cell>
          <cell r="E456" t="str">
            <v>混色DL6</v>
          </cell>
          <cell r="F456">
            <v>2</v>
          </cell>
          <cell r="G456" t="str">
            <v>ja</v>
          </cell>
          <cell r="H456" t="str">
            <v>31-2. 赤鉄の将</v>
          </cell>
          <cell r="J456" t="str">
            <v>NULL</v>
          </cell>
          <cell r="K456">
            <v>21</v>
          </cell>
          <cell r="L456">
            <v>5760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>
            <v>15031</v>
          </cell>
          <cell r="V456">
            <v>1</v>
          </cell>
          <cell r="W456" t="str">
            <v>31-1. 忍び寄る影</v>
          </cell>
          <cell r="X456">
            <v>1</v>
          </cell>
          <cell r="Y456">
            <v>1</v>
          </cell>
          <cell r="Z456">
            <v>1</v>
          </cell>
          <cell r="AA456">
            <v>1</v>
          </cell>
          <cell r="AB456" t="str">
            <v>anytime</v>
          </cell>
          <cell r="AC456">
            <v>31</v>
          </cell>
          <cell r="AD456">
            <v>6</v>
          </cell>
          <cell r="AE456" t="str">
            <v>everyone</v>
          </cell>
        </row>
        <row r="457">
          <cell r="A457" t="str">
            <v>15031_3</v>
          </cell>
          <cell r="B457">
            <v>3</v>
          </cell>
          <cell r="C457">
            <v>15031</v>
          </cell>
          <cell r="D457" t="str">
            <v>31. 桜花乱城</v>
          </cell>
          <cell r="E457" t="str">
            <v>混色DL6</v>
          </cell>
          <cell r="F457">
            <v>3</v>
          </cell>
          <cell r="G457" t="str">
            <v>ja</v>
          </cell>
          <cell r="H457" t="str">
            <v>31-3. 神域の試練</v>
          </cell>
          <cell r="J457" t="str">
            <v>NULL</v>
          </cell>
          <cell r="K457">
            <v>24</v>
          </cell>
          <cell r="L457">
            <v>7200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>
            <v>15031</v>
          </cell>
          <cell r="V457">
            <v>2</v>
          </cell>
          <cell r="W457" t="str">
            <v>31-2. 赤鉄の将</v>
          </cell>
          <cell r="X457">
            <v>1</v>
          </cell>
          <cell r="Y457">
            <v>1</v>
          </cell>
          <cell r="Z457">
            <v>1</v>
          </cell>
          <cell r="AA457">
            <v>1</v>
          </cell>
          <cell r="AB457" t="str">
            <v>anytime</v>
          </cell>
          <cell r="AC457">
            <v>31</v>
          </cell>
          <cell r="AD457">
            <v>6</v>
          </cell>
          <cell r="AE457" t="str">
            <v>everyone</v>
          </cell>
        </row>
        <row r="458">
          <cell r="A458" t="str">
            <v>15031_4</v>
          </cell>
          <cell r="B458">
            <v>3</v>
          </cell>
          <cell r="C458">
            <v>15031</v>
          </cell>
          <cell r="D458" t="str">
            <v>31. 桜花乱城</v>
          </cell>
          <cell r="E458" t="str">
            <v>混色DL6</v>
          </cell>
          <cell r="F458">
            <v>4</v>
          </cell>
          <cell r="G458" t="str">
            <v>ja</v>
          </cell>
          <cell r="H458" t="str">
            <v>31-4. 【1回のみ】ボーナスステージ</v>
          </cell>
          <cell r="I458" t="str">
            <v>ボーナス</v>
          </cell>
          <cell r="J458">
            <v>610</v>
          </cell>
          <cell r="K458">
            <v>1</v>
          </cell>
          <cell r="L458">
            <v>1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>
            <v>15031</v>
          </cell>
          <cell r="V458">
            <v>3</v>
          </cell>
          <cell r="W458" t="str">
            <v>31-3. 神域の試練</v>
          </cell>
          <cell r="X458">
            <v>1</v>
          </cell>
          <cell r="Y458">
            <v>1</v>
          </cell>
          <cell r="Z458">
            <v>1</v>
          </cell>
          <cell r="AA458">
            <v>1</v>
          </cell>
          <cell r="AB458" t="str">
            <v>once</v>
          </cell>
          <cell r="AC458">
            <v>31</v>
          </cell>
          <cell r="AD458">
            <v>6</v>
          </cell>
          <cell r="AE458" t="str">
            <v>singleonly</v>
          </cell>
        </row>
        <row r="459">
          <cell r="A459" t="str">
            <v>20001_1</v>
          </cell>
          <cell r="B459">
            <v>3</v>
          </cell>
          <cell r="C459">
            <v>20001</v>
          </cell>
          <cell r="D459" t="str">
            <v>紅き執行者</v>
          </cell>
          <cell r="E459" t="str">
            <v>ドロップイベント1-1</v>
          </cell>
          <cell r="F459">
            <v>1</v>
          </cell>
          <cell r="G459" t="str">
            <v>ja</v>
          </cell>
          <cell r="H459" t="str">
            <v xml:space="preserve">【初級】紅き執行者 </v>
          </cell>
          <cell r="I459" t="str">
            <v>初級</v>
          </cell>
          <cell r="J459">
            <v>262</v>
          </cell>
          <cell r="K459">
            <v>8</v>
          </cell>
          <cell r="L459">
            <v>384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14</v>
          </cell>
          <cell r="AD459">
            <v>6</v>
          </cell>
          <cell r="AE459" t="str">
            <v>everyone</v>
          </cell>
        </row>
        <row r="460">
          <cell r="A460" t="str">
            <v>20001_2</v>
          </cell>
          <cell r="B460">
            <v>3</v>
          </cell>
          <cell r="C460">
            <v>20001</v>
          </cell>
          <cell r="D460" t="str">
            <v>紅き執行者</v>
          </cell>
          <cell r="E460" t="str">
            <v>ドロップイベント1-1</v>
          </cell>
          <cell r="F460">
            <v>2</v>
          </cell>
          <cell r="G460" t="str">
            <v>ja</v>
          </cell>
          <cell r="H460" t="str">
            <v>【中級】紅き執行者</v>
          </cell>
          <cell r="I460" t="str">
            <v>中級</v>
          </cell>
          <cell r="J460">
            <v>262</v>
          </cell>
          <cell r="K460">
            <v>15</v>
          </cell>
          <cell r="L460">
            <v>1200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14</v>
          </cell>
          <cell r="AD460">
            <v>6</v>
          </cell>
          <cell r="AE460" t="str">
            <v>everyone</v>
          </cell>
        </row>
        <row r="461">
          <cell r="A461" t="str">
            <v>20001_3</v>
          </cell>
          <cell r="B461">
            <v>3</v>
          </cell>
          <cell r="C461">
            <v>20001</v>
          </cell>
          <cell r="D461" t="str">
            <v>紅き執行者</v>
          </cell>
          <cell r="E461" t="str">
            <v>ドロップイベント1-1</v>
          </cell>
          <cell r="F461">
            <v>3</v>
          </cell>
          <cell r="G461" t="str">
            <v>ja</v>
          </cell>
          <cell r="H461" t="str">
            <v xml:space="preserve">【上級】紅き執行者 </v>
          </cell>
          <cell r="I461" t="str">
            <v>上級</v>
          </cell>
          <cell r="J461">
            <v>263</v>
          </cell>
          <cell r="K461">
            <v>20</v>
          </cell>
          <cell r="L461">
            <v>2000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polygon</v>
          </cell>
          <cell r="T461">
            <v>1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14</v>
          </cell>
          <cell r="AD461">
            <v>6</v>
          </cell>
          <cell r="AE461" t="str">
            <v>everyone</v>
          </cell>
        </row>
        <row r="462">
          <cell r="A462" t="str">
            <v>20002_1</v>
          </cell>
          <cell r="B462">
            <v>3</v>
          </cell>
          <cell r="C462">
            <v>20002</v>
          </cell>
          <cell r="D462" t="str">
            <v>孤高の一角獣</v>
          </cell>
          <cell r="E462" t="str">
            <v>ドロップイベント1-2</v>
          </cell>
          <cell r="F462">
            <v>1</v>
          </cell>
          <cell r="G462" t="str">
            <v>ja</v>
          </cell>
          <cell r="H462" t="str">
            <v>【初級】孤高の一角獣</v>
          </cell>
          <cell r="I462" t="str">
            <v>初級</v>
          </cell>
          <cell r="J462">
            <v>264</v>
          </cell>
          <cell r="K462">
            <v>8</v>
          </cell>
          <cell r="L462">
            <v>384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0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19</v>
          </cell>
          <cell r="AD462">
            <v>6</v>
          </cell>
          <cell r="AE462" t="str">
            <v>everyone</v>
          </cell>
        </row>
        <row r="463">
          <cell r="A463" t="str">
            <v>20002_2</v>
          </cell>
          <cell r="B463">
            <v>3</v>
          </cell>
          <cell r="C463">
            <v>20002</v>
          </cell>
          <cell r="D463" t="str">
            <v>孤高の一角獣</v>
          </cell>
          <cell r="E463" t="str">
            <v>ドロップイベント1-2</v>
          </cell>
          <cell r="F463">
            <v>2</v>
          </cell>
          <cell r="G463" t="str">
            <v>ja</v>
          </cell>
          <cell r="H463" t="str">
            <v>【中級】孤高の一角獣</v>
          </cell>
          <cell r="I463" t="str">
            <v>中級</v>
          </cell>
          <cell r="J463">
            <v>264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0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19</v>
          </cell>
          <cell r="AD463">
            <v>6</v>
          </cell>
          <cell r="AE463" t="str">
            <v>everyone</v>
          </cell>
        </row>
        <row r="464">
          <cell r="A464" t="str">
            <v>20002_3</v>
          </cell>
          <cell r="B464">
            <v>3</v>
          </cell>
          <cell r="C464">
            <v>20002</v>
          </cell>
          <cell r="D464" t="str">
            <v>孤高の一角獣</v>
          </cell>
          <cell r="E464" t="str">
            <v>ドロップイベント1-2</v>
          </cell>
          <cell r="F464">
            <v>3</v>
          </cell>
          <cell r="G464" t="str">
            <v>ja</v>
          </cell>
          <cell r="H464" t="str">
            <v>【上級】孤高の一角獣</v>
          </cell>
          <cell r="I464" t="str">
            <v>上級</v>
          </cell>
          <cell r="J464">
            <v>265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0</v>
          </cell>
          <cell r="R464">
            <v>3</v>
          </cell>
          <cell r="S464" t="str">
            <v>polygon</v>
          </cell>
          <cell r="T464">
            <v>1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19</v>
          </cell>
          <cell r="AD464">
            <v>6</v>
          </cell>
          <cell r="AE464" t="str">
            <v>everyone</v>
          </cell>
        </row>
        <row r="465">
          <cell r="A465" t="str">
            <v>20003_1</v>
          </cell>
          <cell r="B465">
            <v>3</v>
          </cell>
          <cell r="C465">
            <v>20003</v>
          </cell>
          <cell r="D465" t="str">
            <v>忍び寄る短剣</v>
          </cell>
          <cell r="E465" t="str">
            <v>ドロップイベント1-3</v>
          </cell>
          <cell r="F465">
            <v>1</v>
          </cell>
          <cell r="G465" t="str">
            <v>ja</v>
          </cell>
          <cell r="H465" t="str">
            <v xml:space="preserve">【初級】忍び寄る短剣 </v>
          </cell>
          <cell r="I465" t="str">
            <v>初級</v>
          </cell>
          <cell r="J465">
            <v>266</v>
          </cell>
          <cell r="K465">
            <v>8</v>
          </cell>
          <cell r="L465">
            <v>384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11</v>
          </cell>
          <cell r="AD465">
            <v>6</v>
          </cell>
          <cell r="AE465" t="str">
            <v>everyone</v>
          </cell>
        </row>
        <row r="466">
          <cell r="A466" t="str">
            <v>20003_2</v>
          </cell>
          <cell r="B466">
            <v>3</v>
          </cell>
          <cell r="C466">
            <v>20003</v>
          </cell>
          <cell r="D466" t="str">
            <v>忍び寄る短剣</v>
          </cell>
          <cell r="E466" t="str">
            <v>ドロップイベント1-3</v>
          </cell>
          <cell r="F466">
            <v>2</v>
          </cell>
          <cell r="G466" t="str">
            <v>ja</v>
          </cell>
          <cell r="H466" t="str">
            <v xml:space="preserve">【中級】忍び寄る短剣 </v>
          </cell>
          <cell r="I466" t="str">
            <v>中級</v>
          </cell>
          <cell r="J466">
            <v>266</v>
          </cell>
          <cell r="K466">
            <v>15</v>
          </cell>
          <cell r="L466">
            <v>1200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11</v>
          </cell>
          <cell r="AD466">
            <v>6</v>
          </cell>
          <cell r="AE466" t="str">
            <v>everyone</v>
          </cell>
        </row>
        <row r="467">
          <cell r="A467" t="str">
            <v>20003_3</v>
          </cell>
          <cell r="B467">
            <v>3</v>
          </cell>
          <cell r="C467">
            <v>20003</v>
          </cell>
          <cell r="D467" t="str">
            <v>忍び寄る短剣</v>
          </cell>
          <cell r="E467" t="str">
            <v>ドロップイベント1-3</v>
          </cell>
          <cell r="F467">
            <v>3</v>
          </cell>
          <cell r="G467" t="str">
            <v>ja</v>
          </cell>
          <cell r="H467" t="str">
            <v xml:space="preserve">【上級】忍び寄る短剣 </v>
          </cell>
          <cell r="I467" t="str">
            <v>上級</v>
          </cell>
          <cell r="J467">
            <v>267</v>
          </cell>
          <cell r="K467">
            <v>20</v>
          </cell>
          <cell r="L467">
            <v>2000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polygon</v>
          </cell>
          <cell r="T467">
            <v>1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11</v>
          </cell>
          <cell r="AD467">
            <v>6</v>
          </cell>
          <cell r="AE467" t="str">
            <v>everyone</v>
          </cell>
        </row>
        <row r="468">
          <cell r="A468" t="str">
            <v>20004_1</v>
          </cell>
          <cell r="B468">
            <v>3</v>
          </cell>
          <cell r="C468">
            <v>20004</v>
          </cell>
          <cell r="D468" t="str">
            <v>雷雲からの刺客</v>
          </cell>
          <cell r="E468" t="str">
            <v>ドロップイベント1-4</v>
          </cell>
          <cell r="F468">
            <v>1</v>
          </cell>
          <cell r="G468" t="str">
            <v>ja</v>
          </cell>
          <cell r="H468" t="str">
            <v>【初級】雷雲からの刺客</v>
          </cell>
          <cell r="I468" t="str">
            <v>初級</v>
          </cell>
          <cell r="J468">
            <v>268</v>
          </cell>
          <cell r="K468">
            <v>8</v>
          </cell>
          <cell r="L468">
            <v>384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4</v>
          </cell>
          <cell r="AD468">
            <v>6</v>
          </cell>
          <cell r="AE468" t="str">
            <v>everyone</v>
          </cell>
        </row>
        <row r="469">
          <cell r="A469" t="str">
            <v>20004_2</v>
          </cell>
          <cell r="B469">
            <v>3</v>
          </cell>
          <cell r="C469">
            <v>20004</v>
          </cell>
          <cell r="D469" t="str">
            <v>雷雲からの刺客</v>
          </cell>
          <cell r="E469" t="str">
            <v>ドロップイベント1-4</v>
          </cell>
          <cell r="F469">
            <v>2</v>
          </cell>
          <cell r="G469" t="str">
            <v>ja</v>
          </cell>
          <cell r="H469" t="str">
            <v>【中級】雷雲からの刺客</v>
          </cell>
          <cell r="I469" t="str">
            <v>中級</v>
          </cell>
          <cell r="J469">
            <v>268</v>
          </cell>
          <cell r="K469">
            <v>15</v>
          </cell>
          <cell r="L469">
            <v>1200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4</v>
          </cell>
          <cell r="AD469">
            <v>6</v>
          </cell>
          <cell r="AE469" t="str">
            <v>everyone</v>
          </cell>
        </row>
        <row r="470">
          <cell r="A470" t="str">
            <v>20004_3</v>
          </cell>
          <cell r="B470">
            <v>3</v>
          </cell>
          <cell r="C470">
            <v>20004</v>
          </cell>
          <cell r="D470" t="str">
            <v>雷雲からの刺客</v>
          </cell>
          <cell r="E470" t="str">
            <v>ドロップイベント1-4</v>
          </cell>
          <cell r="F470">
            <v>3</v>
          </cell>
          <cell r="G470" t="str">
            <v>ja</v>
          </cell>
          <cell r="H470" t="str">
            <v>【上級】雷雲からの刺客</v>
          </cell>
          <cell r="I470" t="str">
            <v>上級</v>
          </cell>
          <cell r="J470">
            <v>269</v>
          </cell>
          <cell r="K470">
            <v>20</v>
          </cell>
          <cell r="L470">
            <v>2000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3</v>
          </cell>
          <cell r="S470" t="str">
            <v>polygon</v>
          </cell>
          <cell r="T470">
            <v>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4</v>
          </cell>
          <cell r="AD470">
            <v>6</v>
          </cell>
          <cell r="AE470" t="str">
            <v>everyone</v>
          </cell>
        </row>
        <row r="471">
          <cell r="A471" t="str">
            <v>20005_1</v>
          </cell>
          <cell r="B471">
            <v>3</v>
          </cell>
          <cell r="C471">
            <v>20005</v>
          </cell>
          <cell r="D471" t="str">
            <v>ザ・キャノン</v>
          </cell>
          <cell r="E471" t="str">
            <v>ドロップイベント2-2</v>
          </cell>
          <cell r="F471">
            <v>1</v>
          </cell>
          <cell r="G471" t="str">
            <v>ja</v>
          </cell>
          <cell r="H471" t="str">
            <v>【初級】ザ・キャノン(4タップ）</v>
          </cell>
          <cell r="I471" t="str">
            <v>初級</v>
          </cell>
          <cell r="J471">
            <v>286</v>
          </cell>
          <cell r="K471">
            <v>8</v>
          </cell>
          <cell r="L471">
            <v>384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4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14</v>
          </cell>
          <cell r="AD471">
            <v>6</v>
          </cell>
          <cell r="AE471" t="str">
            <v>everyone</v>
          </cell>
        </row>
        <row r="472">
          <cell r="A472" t="str">
            <v>20005_2</v>
          </cell>
          <cell r="B472">
            <v>3</v>
          </cell>
          <cell r="C472">
            <v>20005</v>
          </cell>
          <cell r="D472" t="str">
            <v>ザ・キャノン</v>
          </cell>
          <cell r="E472" t="str">
            <v>ドロップイベント2-2</v>
          </cell>
          <cell r="F472">
            <v>2</v>
          </cell>
          <cell r="G472" t="str">
            <v>ja</v>
          </cell>
          <cell r="H472" t="str">
            <v>【中級】ザ・キャノン(4タップ)</v>
          </cell>
          <cell r="I472" t="str">
            <v>中級</v>
          </cell>
          <cell r="J472">
            <v>286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4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14</v>
          </cell>
          <cell r="AD472">
            <v>6</v>
          </cell>
          <cell r="AE472" t="str">
            <v>everyone</v>
          </cell>
        </row>
        <row r="473">
          <cell r="A473" t="str">
            <v>20005_3</v>
          </cell>
          <cell r="B473">
            <v>3</v>
          </cell>
          <cell r="C473">
            <v>20005</v>
          </cell>
          <cell r="D473" t="str">
            <v>ザ・キャノン</v>
          </cell>
          <cell r="E473" t="str">
            <v>ドロップイベント2-2</v>
          </cell>
          <cell r="F473">
            <v>3</v>
          </cell>
          <cell r="G473" t="str">
            <v>ja</v>
          </cell>
          <cell r="H473" t="str">
            <v>【上級】ザ・キャノン(4タップ)</v>
          </cell>
          <cell r="I473" t="str">
            <v>上級</v>
          </cell>
          <cell r="J473">
            <v>287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4</v>
          </cell>
          <cell r="S473" t="str">
            <v>polygon</v>
          </cell>
          <cell r="T473">
            <v>1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14</v>
          </cell>
          <cell r="AD473">
            <v>6</v>
          </cell>
          <cell r="AE473" t="str">
            <v>everyone</v>
          </cell>
        </row>
        <row r="474">
          <cell r="A474" t="str">
            <v>20006_1</v>
          </cell>
          <cell r="B474">
            <v>3</v>
          </cell>
          <cell r="C474">
            <v>20006</v>
          </cell>
          <cell r="D474" t="str">
            <v>スチール・プレデター</v>
          </cell>
          <cell r="E474" t="str">
            <v>ドロップイベント2-3</v>
          </cell>
          <cell r="F474">
            <v>1</v>
          </cell>
          <cell r="G474" t="str">
            <v>ja</v>
          </cell>
          <cell r="H474" t="str">
            <v>【初級】スチール・プレデター</v>
          </cell>
          <cell r="I474" t="str">
            <v>初級</v>
          </cell>
          <cell r="J474">
            <v>280</v>
          </cell>
          <cell r="K474">
            <v>8</v>
          </cell>
          <cell r="L474">
            <v>384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2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19</v>
          </cell>
          <cell r="AD474">
            <v>6</v>
          </cell>
          <cell r="AE474" t="str">
            <v>everyone</v>
          </cell>
        </row>
        <row r="475">
          <cell r="A475" t="str">
            <v>20006_2</v>
          </cell>
          <cell r="B475">
            <v>3</v>
          </cell>
          <cell r="C475">
            <v>20006</v>
          </cell>
          <cell r="D475" t="str">
            <v>スチール・プレデター</v>
          </cell>
          <cell r="E475" t="str">
            <v>ドロップイベント2-3</v>
          </cell>
          <cell r="F475">
            <v>2</v>
          </cell>
          <cell r="G475" t="str">
            <v>ja</v>
          </cell>
          <cell r="H475" t="str">
            <v>【中級】スチール・プレデター</v>
          </cell>
          <cell r="I475" t="str">
            <v>中級</v>
          </cell>
          <cell r="J475">
            <v>280</v>
          </cell>
          <cell r="K475">
            <v>15</v>
          </cell>
          <cell r="L475">
            <v>1200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2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19</v>
          </cell>
          <cell r="AD475">
            <v>6</v>
          </cell>
          <cell r="AE475" t="str">
            <v>everyone</v>
          </cell>
        </row>
        <row r="476">
          <cell r="A476" t="str">
            <v>20006_3</v>
          </cell>
          <cell r="B476">
            <v>3</v>
          </cell>
          <cell r="C476">
            <v>20006</v>
          </cell>
          <cell r="D476" t="str">
            <v>スチール・プレデター</v>
          </cell>
          <cell r="E476" t="str">
            <v>ドロップイベント2-3</v>
          </cell>
          <cell r="F476">
            <v>3</v>
          </cell>
          <cell r="G476" t="str">
            <v>ja</v>
          </cell>
          <cell r="H476" t="str">
            <v>【上級】スチール・プレデター</v>
          </cell>
          <cell r="I476" t="str">
            <v>上級</v>
          </cell>
          <cell r="J476">
            <v>281</v>
          </cell>
          <cell r="K476">
            <v>20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2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19</v>
          </cell>
          <cell r="AD476">
            <v>6</v>
          </cell>
          <cell r="AE476" t="str">
            <v>everyone</v>
          </cell>
        </row>
        <row r="477">
          <cell r="A477" t="str">
            <v>20007_1</v>
          </cell>
          <cell r="B477">
            <v>3</v>
          </cell>
          <cell r="C477">
            <v>20007</v>
          </cell>
          <cell r="D477" t="str">
            <v>女王陛下の処刑龍</v>
          </cell>
          <cell r="E477" t="str">
            <v>ドロップイベント2-1</v>
          </cell>
          <cell r="F477">
            <v>1</v>
          </cell>
          <cell r="G477" t="str">
            <v>ja</v>
          </cell>
          <cell r="H477" t="str">
            <v>【初級】女王陛下の処刑龍</v>
          </cell>
          <cell r="I477" t="str">
            <v>初級</v>
          </cell>
          <cell r="J477">
            <v>282</v>
          </cell>
          <cell r="K477">
            <v>8</v>
          </cell>
          <cell r="L477">
            <v>384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4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17</v>
          </cell>
          <cell r="AD477">
            <v>6</v>
          </cell>
          <cell r="AE477" t="str">
            <v>everyone</v>
          </cell>
        </row>
        <row r="478">
          <cell r="A478" t="str">
            <v>20007_2</v>
          </cell>
          <cell r="B478">
            <v>3</v>
          </cell>
          <cell r="C478">
            <v>20007</v>
          </cell>
          <cell r="D478" t="str">
            <v>女王陛下の処刑龍</v>
          </cell>
          <cell r="E478" t="str">
            <v>ドロップイベント2-1</v>
          </cell>
          <cell r="F478">
            <v>2</v>
          </cell>
          <cell r="G478" t="str">
            <v>ja</v>
          </cell>
          <cell r="H478" t="str">
            <v>【中級】女王陛下の処刑龍</v>
          </cell>
          <cell r="I478" t="str">
            <v>中級</v>
          </cell>
          <cell r="J478">
            <v>282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4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17</v>
          </cell>
          <cell r="AD478">
            <v>6</v>
          </cell>
          <cell r="AE478" t="str">
            <v>everyone</v>
          </cell>
        </row>
        <row r="479">
          <cell r="A479" t="str">
            <v>20007_3</v>
          </cell>
          <cell r="B479">
            <v>3</v>
          </cell>
          <cell r="C479">
            <v>20007</v>
          </cell>
          <cell r="D479" t="str">
            <v>女王陛下の処刑龍</v>
          </cell>
          <cell r="E479" t="str">
            <v>ドロップイベント2-1</v>
          </cell>
          <cell r="F479">
            <v>3</v>
          </cell>
          <cell r="G479" t="str">
            <v>ja</v>
          </cell>
          <cell r="H479" t="str">
            <v>【上級】女王陛下の処刑龍</v>
          </cell>
          <cell r="I479" t="str">
            <v>上級</v>
          </cell>
          <cell r="J479">
            <v>283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4</v>
          </cell>
          <cell r="S479" t="str">
            <v>polygon</v>
          </cell>
          <cell r="T479">
            <v>1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17</v>
          </cell>
          <cell r="AD479">
            <v>6</v>
          </cell>
          <cell r="AE479" t="str">
            <v>everyone</v>
          </cell>
        </row>
        <row r="480">
          <cell r="A480" t="str">
            <v>20008_1</v>
          </cell>
          <cell r="B480">
            <v>3</v>
          </cell>
          <cell r="C480">
            <v>20008</v>
          </cell>
          <cell r="D480" t="str">
            <v>天翔ける金轟機龍</v>
          </cell>
          <cell r="E480" t="str">
            <v>ドロップイベント2-4</v>
          </cell>
          <cell r="F480">
            <v>1</v>
          </cell>
          <cell r="G480" t="str">
            <v>ja</v>
          </cell>
          <cell r="H480" t="str">
            <v>【初級】天翔ける金轟機龍</v>
          </cell>
          <cell r="I480" t="str">
            <v>初級</v>
          </cell>
          <cell r="J480">
            <v>284</v>
          </cell>
          <cell r="K480">
            <v>8</v>
          </cell>
          <cell r="L480">
            <v>384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8</v>
          </cell>
          <cell r="AD480">
            <v>6</v>
          </cell>
          <cell r="AE480" t="str">
            <v>everyone</v>
          </cell>
        </row>
        <row r="481">
          <cell r="A481" t="str">
            <v>20008_2</v>
          </cell>
          <cell r="B481">
            <v>3</v>
          </cell>
          <cell r="C481">
            <v>20008</v>
          </cell>
          <cell r="D481" t="str">
            <v>天翔ける金轟機龍</v>
          </cell>
          <cell r="E481" t="str">
            <v>ドロップイベント2-4</v>
          </cell>
          <cell r="F481">
            <v>2</v>
          </cell>
          <cell r="G481" t="str">
            <v>ja</v>
          </cell>
          <cell r="H481" t="str">
            <v>【中級】天翔ける金轟機龍</v>
          </cell>
          <cell r="I481" t="str">
            <v>中級</v>
          </cell>
          <cell r="J481">
            <v>284</v>
          </cell>
          <cell r="K481">
            <v>15</v>
          </cell>
          <cell r="L481">
            <v>1200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8</v>
          </cell>
          <cell r="AD481">
            <v>6</v>
          </cell>
          <cell r="AE481" t="str">
            <v>everyone</v>
          </cell>
        </row>
        <row r="482">
          <cell r="A482" t="str">
            <v>20008_3</v>
          </cell>
          <cell r="B482">
            <v>3</v>
          </cell>
          <cell r="C482">
            <v>20008</v>
          </cell>
          <cell r="D482" t="str">
            <v>天翔ける金轟機龍</v>
          </cell>
          <cell r="E482" t="str">
            <v>ドロップイベント2-4</v>
          </cell>
          <cell r="F482">
            <v>3</v>
          </cell>
          <cell r="G482" t="str">
            <v>ja</v>
          </cell>
          <cell r="H482" t="str">
            <v>【上級】天翔ける金轟機龍</v>
          </cell>
          <cell r="I482" t="str">
            <v>上級</v>
          </cell>
          <cell r="J482">
            <v>285</v>
          </cell>
          <cell r="K482">
            <v>20</v>
          </cell>
          <cell r="L482">
            <v>2000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polygon</v>
          </cell>
          <cell r="T482">
            <v>1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8</v>
          </cell>
          <cell r="AD482">
            <v>6</v>
          </cell>
          <cell r="AE482" t="str">
            <v>everyone</v>
          </cell>
        </row>
        <row r="483">
          <cell r="A483" t="str">
            <v>20009_1</v>
          </cell>
          <cell r="B483">
            <v>0</v>
          </cell>
          <cell r="C483">
            <v>20009</v>
          </cell>
          <cell r="D483" t="str">
            <v>迫り来る窒息</v>
          </cell>
          <cell r="E483" t="str">
            <v>ドロップイベント3</v>
          </cell>
          <cell r="F483">
            <v>1</v>
          </cell>
          <cell r="G483" t="str">
            <v>ja</v>
          </cell>
          <cell r="H483" t="str">
            <v>【初級】迫り来る窒息</v>
          </cell>
          <cell r="I483" t="str">
            <v>初級</v>
          </cell>
          <cell r="J483" t="str">
            <v>NULL</v>
          </cell>
          <cell r="K483">
            <v>8</v>
          </cell>
          <cell r="L483">
            <v>384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25</v>
          </cell>
          <cell r="AD483">
            <v>5</v>
          </cell>
          <cell r="AE483" t="str">
            <v>everyone</v>
          </cell>
        </row>
        <row r="484">
          <cell r="A484" t="str">
            <v>20009_2</v>
          </cell>
          <cell r="B484">
            <v>3</v>
          </cell>
          <cell r="C484">
            <v>20009</v>
          </cell>
          <cell r="D484" t="str">
            <v>迫り来る窒息</v>
          </cell>
          <cell r="E484" t="str">
            <v>ドロップイベント3</v>
          </cell>
          <cell r="F484">
            <v>2</v>
          </cell>
          <cell r="G484" t="str">
            <v>ja</v>
          </cell>
          <cell r="H484" t="str">
            <v>【中級】迫り来る窒息</v>
          </cell>
          <cell r="I484" t="str">
            <v>中級</v>
          </cell>
          <cell r="J484">
            <v>302</v>
          </cell>
          <cell r="K484">
            <v>15</v>
          </cell>
          <cell r="L484">
            <v>1200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25</v>
          </cell>
          <cell r="AD484">
            <v>5</v>
          </cell>
          <cell r="AE484" t="str">
            <v>everyone</v>
          </cell>
        </row>
        <row r="485">
          <cell r="A485" t="str">
            <v>20009_3</v>
          </cell>
          <cell r="B485">
            <v>3</v>
          </cell>
          <cell r="C485">
            <v>20009</v>
          </cell>
          <cell r="D485" t="str">
            <v>迫り来る窒息</v>
          </cell>
          <cell r="E485" t="str">
            <v>ドロップイベント3</v>
          </cell>
          <cell r="F485">
            <v>3</v>
          </cell>
          <cell r="G485" t="str">
            <v>ja</v>
          </cell>
          <cell r="H485" t="str">
            <v>【上級】迫り来る窒息</v>
          </cell>
          <cell r="I485" t="str">
            <v>上級</v>
          </cell>
          <cell r="J485">
            <v>303</v>
          </cell>
          <cell r="K485">
            <v>20</v>
          </cell>
          <cell r="L485">
            <v>2000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polygon</v>
          </cell>
          <cell r="T485">
            <v>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25</v>
          </cell>
          <cell r="AD485">
            <v>5</v>
          </cell>
          <cell r="AE485" t="str">
            <v>everyone</v>
          </cell>
        </row>
        <row r="486">
          <cell r="A486" t="str">
            <v>20010_1</v>
          </cell>
          <cell r="B486">
            <v>3</v>
          </cell>
          <cell r="C486">
            <v>20010</v>
          </cell>
          <cell r="D486" t="str">
            <v>悪夢の一目惚れ</v>
          </cell>
          <cell r="E486" t="str">
            <v>ドロップイベント3</v>
          </cell>
          <cell r="F486">
            <v>1</v>
          </cell>
          <cell r="G486" t="str">
            <v>ja</v>
          </cell>
          <cell r="H486" t="str">
            <v>【初級】悪夢の一目惚れ</v>
          </cell>
          <cell r="I486" t="str">
            <v>初級</v>
          </cell>
          <cell r="J486">
            <v>304</v>
          </cell>
          <cell r="K486">
            <v>8</v>
          </cell>
          <cell r="L486">
            <v>384</v>
          </cell>
          <cell r="M486">
            <v>1</v>
          </cell>
          <cell r="N486">
            <v>1</v>
          </cell>
          <cell r="O486">
            <v>0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2601</v>
          </cell>
          <cell r="AD486">
            <v>6</v>
          </cell>
          <cell r="AE486" t="str">
            <v>everyone</v>
          </cell>
        </row>
        <row r="487">
          <cell r="A487" t="str">
            <v>20010_2</v>
          </cell>
          <cell r="B487">
            <v>3</v>
          </cell>
          <cell r="C487">
            <v>20010</v>
          </cell>
          <cell r="D487" t="str">
            <v>悪夢の一目惚れ</v>
          </cell>
          <cell r="E487" t="str">
            <v>ドロップイベント3</v>
          </cell>
          <cell r="F487">
            <v>2</v>
          </cell>
          <cell r="G487" t="str">
            <v>ja</v>
          </cell>
          <cell r="H487" t="str">
            <v>【中級】悪夢の一目惚れ</v>
          </cell>
          <cell r="I487" t="str">
            <v>中級</v>
          </cell>
          <cell r="J487">
            <v>304</v>
          </cell>
          <cell r="K487">
            <v>15</v>
          </cell>
          <cell r="L487">
            <v>1200</v>
          </cell>
          <cell r="M487">
            <v>1</v>
          </cell>
          <cell r="N487">
            <v>1</v>
          </cell>
          <cell r="O487">
            <v>0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2601</v>
          </cell>
          <cell r="AD487">
            <v>6</v>
          </cell>
          <cell r="AE487" t="str">
            <v>everyone</v>
          </cell>
        </row>
        <row r="488">
          <cell r="A488" t="str">
            <v>20010_3</v>
          </cell>
          <cell r="B488">
            <v>3</v>
          </cell>
          <cell r="C488">
            <v>20010</v>
          </cell>
          <cell r="D488" t="str">
            <v>悪夢の一目惚れ</v>
          </cell>
          <cell r="E488" t="str">
            <v>ドロップイベント3</v>
          </cell>
          <cell r="F488">
            <v>3</v>
          </cell>
          <cell r="G488" t="str">
            <v>ja</v>
          </cell>
          <cell r="H488" t="str">
            <v>【上級】悪夢の一目惚れ</v>
          </cell>
          <cell r="I488" t="str">
            <v>上級</v>
          </cell>
          <cell r="J488">
            <v>305</v>
          </cell>
          <cell r="K488">
            <v>20</v>
          </cell>
          <cell r="L488">
            <v>2000</v>
          </cell>
          <cell r="M488">
            <v>1</v>
          </cell>
          <cell r="N488">
            <v>1</v>
          </cell>
          <cell r="O488">
            <v>0</v>
          </cell>
          <cell r="P488">
            <v>1</v>
          </cell>
          <cell r="Q488">
            <v>1</v>
          </cell>
          <cell r="R488">
            <v>3</v>
          </cell>
          <cell r="S488" t="str">
            <v>polygon</v>
          </cell>
          <cell r="T488">
            <v>1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2601</v>
          </cell>
          <cell r="AD488">
            <v>6</v>
          </cell>
          <cell r="AE488" t="str">
            <v>everyone</v>
          </cell>
        </row>
        <row r="489">
          <cell r="A489" t="str">
            <v>20011_1</v>
          </cell>
          <cell r="B489">
            <v>3</v>
          </cell>
          <cell r="C489">
            <v>20011</v>
          </cell>
          <cell r="D489" t="str">
            <v>すべてが灰になる</v>
          </cell>
          <cell r="E489" t="str">
            <v>ドロップイベント3</v>
          </cell>
          <cell r="F489">
            <v>1</v>
          </cell>
          <cell r="G489" t="str">
            <v>ja</v>
          </cell>
          <cell r="H489" t="str">
            <v>【初級】すべてが灰になる</v>
          </cell>
          <cell r="I489" t="str">
            <v>初級</v>
          </cell>
          <cell r="J489">
            <v>298</v>
          </cell>
          <cell r="K489">
            <v>8</v>
          </cell>
          <cell r="L489">
            <v>384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10</v>
          </cell>
          <cell r="AD489">
            <v>5</v>
          </cell>
          <cell r="AE489" t="str">
            <v>everyone</v>
          </cell>
        </row>
        <row r="490">
          <cell r="A490" t="str">
            <v>20011_2</v>
          </cell>
          <cell r="B490">
            <v>3</v>
          </cell>
          <cell r="C490">
            <v>20011</v>
          </cell>
          <cell r="D490" t="str">
            <v>すべてが灰になる</v>
          </cell>
          <cell r="E490" t="str">
            <v>ドロップイベント3</v>
          </cell>
          <cell r="F490">
            <v>2</v>
          </cell>
          <cell r="G490" t="str">
            <v>ja</v>
          </cell>
          <cell r="H490" t="str">
            <v>【中級】すべてが灰になる</v>
          </cell>
          <cell r="I490" t="str">
            <v>中級</v>
          </cell>
          <cell r="J490">
            <v>298</v>
          </cell>
          <cell r="K490">
            <v>15</v>
          </cell>
          <cell r="L490">
            <v>1200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10</v>
          </cell>
          <cell r="AD490">
            <v>5</v>
          </cell>
          <cell r="AE490" t="str">
            <v>everyone</v>
          </cell>
        </row>
        <row r="491">
          <cell r="A491" t="str">
            <v>20011_3</v>
          </cell>
          <cell r="B491">
            <v>3</v>
          </cell>
          <cell r="C491">
            <v>20011</v>
          </cell>
          <cell r="D491" t="str">
            <v>すべてが灰になる</v>
          </cell>
          <cell r="E491" t="str">
            <v>ドロップイベント3</v>
          </cell>
          <cell r="F491">
            <v>3</v>
          </cell>
          <cell r="G491" t="str">
            <v>ja</v>
          </cell>
          <cell r="H491" t="str">
            <v>【上級】すべてが灰になる</v>
          </cell>
          <cell r="I491" t="str">
            <v>上級</v>
          </cell>
          <cell r="J491">
            <v>299</v>
          </cell>
          <cell r="K491">
            <v>20</v>
          </cell>
          <cell r="L491">
            <v>2000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polygon</v>
          </cell>
          <cell r="T491">
            <v>1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10</v>
          </cell>
          <cell r="AD491">
            <v>5</v>
          </cell>
          <cell r="AE491" t="str">
            <v>everyone</v>
          </cell>
        </row>
        <row r="492">
          <cell r="A492" t="str">
            <v>20012_1</v>
          </cell>
          <cell r="B492">
            <v>3</v>
          </cell>
          <cell r="C492">
            <v>20012</v>
          </cell>
          <cell r="D492" t="str">
            <v>罪と劇薬</v>
          </cell>
          <cell r="E492" t="str">
            <v>ドロップイベント3</v>
          </cell>
          <cell r="F492">
            <v>1</v>
          </cell>
          <cell r="G492" t="str">
            <v>ja</v>
          </cell>
          <cell r="H492" t="str">
            <v>【初級】罪と劇薬</v>
          </cell>
          <cell r="I492" t="str">
            <v>初級</v>
          </cell>
          <cell r="J492">
            <v>300</v>
          </cell>
          <cell r="K492">
            <v>8</v>
          </cell>
          <cell r="L492">
            <v>384</v>
          </cell>
          <cell r="M492">
            <v>0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19</v>
          </cell>
          <cell r="AD492">
            <v>6</v>
          </cell>
          <cell r="AE492" t="str">
            <v>everyone</v>
          </cell>
        </row>
        <row r="493">
          <cell r="A493" t="str">
            <v>20012_2</v>
          </cell>
          <cell r="B493">
            <v>3</v>
          </cell>
          <cell r="C493">
            <v>20012</v>
          </cell>
          <cell r="D493" t="str">
            <v>罪と劇薬</v>
          </cell>
          <cell r="E493" t="str">
            <v>ドロップイベント3</v>
          </cell>
          <cell r="F493">
            <v>2</v>
          </cell>
          <cell r="G493" t="str">
            <v>ja</v>
          </cell>
          <cell r="H493" t="str">
            <v>【中級】罪と劇薬</v>
          </cell>
          <cell r="I493" t="str">
            <v>中級</v>
          </cell>
          <cell r="J493">
            <v>300</v>
          </cell>
          <cell r="K493">
            <v>15</v>
          </cell>
          <cell r="L493">
            <v>1200</v>
          </cell>
          <cell r="M493">
            <v>0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19</v>
          </cell>
          <cell r="AD493">
            <v>6</v>
          </cell>
          <cell r="AE493" t="str">
            <v>everyone</v>
          </cell>
        </row>
        <row r="494">
          <cell r="A494" t="str">
            <v>20012_3</v>
          </cell>
          <cell r="B494">
            <v>3</v>
          </cell>
          <cell r="C494">
            <v>20012</v>
          </cell>
          <cell r="D494" t="str">
            <v>罪と劇薬</v>
          </cell>
          <cell r="E494" t="str">
            <v>ドロップイベント3</v>
          </cell>
          <cell r="F494">
            <v>3</v>
          </cell>
          <cell r="G494" t="str">
            <v>ja</v>
          </cell>
          <cell r="H494" t="str">
            <v>【上級】罪と劇薬</v>
          </cell>
          <cell r="I494" t="str">
            <v>上級</v>
          </cell>
          <cell r="J494">
            <v>301</v>
          </cell>
          <cell r="K494">
            <v>20</v>
          </cell>
          <cell r="L494">
            <v>2000</v>
          </cell>
          <cell r="M494">
            <v>0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polygon</v>
          </cell>
          <cell r="T494">
            <v>1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19</v>
          </cell>
          <cell r="AD494">
            <v>6</v>
          </cell>
          <cell r="AE494" t="str">
            <v>everyone</v>
          </cell>
        </row>
        <row r="495">
          <cell r="A495" t="str">
            <v>20013_1</v>
          </cell>
          <cell r="B495">
            <v>3</v>
          </cell>
          <cell r="C495">
            <v>20013</v>
          </cell>
          <cell r="D495" t="str">
            <v>天の時、地の利、人の和</v>
          </cell>
          <cell r="E495" t="str">
            <v>ドロップイベント4</v>
          </cell>
          <cell r="F495">
            <v>1</v>
          </cell>
          <cell r="G495" t="str">
            <v>ja</v>
          </cell>
          <cell r="H495" t="str">
            <v>【初級】天の時、地の利、人の和</v>
          </cell>
          <cell r="I495" t="str">
            <v>初級</v>
          </cell>
          <cell r="J495">
            <v>720</v>
          </cell>
          <cell r="K495">
            <v>8</v>
          </cell>
          <cell r="L495">
            <v>384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10</v>
          </cell>
          <cell r="AD495">
            <v>6</v>
          </cell>
          <cell r="AE495" t="str">
            <v>everyone</v>
          </cell>
        </row>
        <row r="496">
          <cell r="A496" t="str">
            <v>20013_2</v>
          </cell>
          <cell r="B496">
            <v>3</v>
          </cell>
          <cell r="C496">
            <v>20013</v>
          </cell>
          <cell r="D496" t="str">
            <v>天の時、地の利、人の和</v>
          </cell>
          <cell r="E496" t="str">
            <v>ドロップイベント4</v>
          </cell>
          <cell r="F496">
            <v>2</v>
          </cell>
          <cell r="G496" t="str">
            <v>ja</v>
          </cell>
          <cell r="H496" t="str">
            <v>【中級】天の時、地の利、人の和</v>
          </cell>
          <cell r="I496" t="str">
            <v>中級</v>
          </cell>
          <cell r="J496">
            <v>720</v>
          </cell>
          <cell r="K496">
            <v>15</v>
          </cell>
          <cell r="L496">
            <v>1200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10</v>
          </cell>
          <cell r="AD496">
            <v>6</v>
          </cell>
          <cell r="AE496" t="str">
            <v>everyone</v>
          </cell>
        </row>
        <row r="497">
          <cell r="A497" t="str">
            <v>20013_3</v>
          </cell>
          <cell r="B497">
            <v>3</v>
          </cell>
          <cell r="C497">
            <v>20013</v>
          </cell>
          <cell r="D497" t="str">
            <v>天の時、地の利、人の和</v>
          </cell>
          <cell r="E497" t="str">
            <v>ドロップイベント4</v>
          </cell>
          <cell r="F497">
            <v>3</v>
          </cell>
          <cell r="G497" t="str">
            <v>ja</v>
          </cell>
          <cell r="H497" t="str">
            <v>【上級】天の時、地の利、人の和</v>
          </cell>
          <cell r="I497" t="str">
            <v>上級</v>
          </cell>
          <cell r="J497">
            <v>721</v>
          </cell>
          <cell r="K497">
            <v>20</v>
          </cell>
          <cell r="L497">
            <v>2000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polygon</v>
          </cell>
          <cell r="T497">
            <v>1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10</v>
          </cell>
          <cell r="AD497">
            <v>6</v>
          </cell>
          <cell r="AE497" t="str">
            <v>everyone</v>
          </cell>
        </row>
        <row r="498">
          <cell r="A498" t="str">
            <v>20014_1</v>
          </cell>
          <cell r="B498">
            <v>3</v>
          </cell>
          <cell r="C498">
            <v>20014</v>
          </cell>
          <cell r="D498" t="str">
            <v>魅了する歌声</v>
          </cell>
          <cell r="E498" t="str">
            <v>天使と悪魔編1</v>
          </cell>
          <cell r="F498">
            <v>1</v>
          </cell>
          <cell r="G498" t="str">
            <v>ja</v>
          </cell>
          <cell r="H498" t="str">
            <v>【初級】魅了する歌声</v>
          </cell>
          <cell r="I498" t="str">
            <v>初級</v>
          </cell>
          <cell r="J498">
            <v>842</v>
          </cell>
          <cell r="K498">
            <v>8</v>
          </cell>
          <cell r="L498">
            <v>384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17</v>
          </cell>
          <cell r="AD498">
            <v>4</v>
          </cell>
          <cell r="AE498" t="str">
            <v>everyone</v>
          </cell>
        </row>
        <row r="499">
          <cell r="A499" t="str">
            <v>20014_2</v>
          </cell>
          <cell r="B499">
            <v>3</v>
          </cell>
          <cell r="C499">
            <v>20014</v>
          </cell>
          <cell r="D499" t="str">
            <v>魅了する歌声</v>
          </cell>
          <cell r="E499" t="str">
            <v>天使と悪魔編1</v>
          </cell>
          <cell r="F499">
            <v>2</v>
          </cell>
          <cell r="G499" t="str">
            <v>ja</v>
          </cell>
          <cell r="H499" t="str">
            <v>【中級】魅了する歌声</v>
          </cell>
          <cell r="I499" t="str">
            <v>中級</v>
          </cell>
          <cell r="J499">
            <v>842</v>
          </cell>
          <cell r="K499">
            <v>15</v>
          </cell>
          <cell r="L499">
            <v>1200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17</v>
          </cell>
          <cell r="AD499">
            <v>4</v>
          </cell>
          <cell r="AE499" t="str">
            <v>everyone</v>
          </cell>
        </row>
        <row r="500">
          <cell r="A500" t="str">
            <v>20014_3</v>
          </cell>
          <cell r="B500">
            <v>3</v>
          </cell>
          <cell r="C500">
            <v>20014</v>
          </cell>
          <cell r="D500" t="str">
            <v>魅了する歌声</v>
          </cell>
          <cell r="E500" t="str">
            <v>天使と悪魔編1</v>
          </cell>
          <cell r="F500">
            <v>3</v>
          </cell>
          <cell r="G500" t="str">
            <v>ja</v>
          </cell>
          <cell r="H500" t="str">
            <v>【上級】魅了する歌声</v>
          </cell>
          <cell r="I500" t="str">
            <v>上級</v>
          </cell>
          <cell r="J500">
            <v>842</v>
          </cell>
          <cell r="K500">
            <v>20</v>
          </cell>
          <cell r="L500">
            <v>2000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polygon</v>
          </cell>
          <cell r="T500">
            <v>1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17</v>
          </cell>
          <cell r="AD500">
            <v>4</v>
          </cell>
          <cell r="AE500" t="str">
            <v>everyone</v>
          </cell>
        </row>
        <row r="501">
          <cell r="A501" t="str">
            <v>20015_1</v>
          </cell>
          <cell r="B501">
            <v>3</v>
          </cell>
          <cell r="C501">
            <v>20015</v>
          </cell>
          <cell r="D501" t="str">
            <v>妄執とり憑く美貌の妃</v>
          </cell>
          <cell r="E501" t="str">
            <v>おとぎ話シリーズ3</v>
          </cell>
          <cell r="F501">
            <v>1</v>
          </cell>
          <cell r="G501" t="str">
            <v>ja</v>
          </cell>
          <cell r="H501" t="str">
            <v>【初級】妄執とり憑く美貌の妃</v>
          </cell>
          <cell r="I501" t="str">
            <v>初級</v>
          </cell>
          <cell r="J501">
            <v>856</v>
          </cell>
          <cell r="K501">
            <v>8</v>
          </cell>
          <cell r="L501">
            <v>384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6</v>
          </cell>
          <cell r="AD501">
            <v>6</v>
          </cell>
          <cell r="AE501" t="str">
            <v>everyone</v>
          </cell>
        </row>
        <row r="502">
          <cell r="A502" t="str">
            <v>20015_2</v>
          </cell>
          <cell r="B502">
            <v>3</v>
          </cell>
          <cell r="C502">
            <v>20015</v>
          </cell>
          <cell r="D502" t="str">
            <v>妄執とり憑く美貌の妃</v>
          </cell>
          <cell r="E502" t="str">
            <v>おとぎ話シリーズ3</v>
          </cell>
          <cell r="F502">
            <v>2</v>
          </cell>
          <cell r="G502" t="str">
            <v>ja</v>
          </cell>
          <cell r="H502" t="str">
            <v>【中級】妄執とり憑く美貌の妃</v>
          </cell>
          <cell r="I502" t="str">
            <v>中級</v>
          </cell>
          <cell r="J502">
            <v>856</v>
          </cell>
          <cell r="K502">
            <v>15</v>
          </cell>
          <cell r="L502">
            <v>1200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6</v>
          </cell>
          <cell r="AD502">
            <v>6</v>
          </cell>
          <cell r="AE502" t="str">
            <v>everyone</v>
          </cell>
        </row>
        <row r="503">
          <cell r="A503" t="str">
            <v>20015_3</v>
          </cell>
          <cell r="B503">
            <v>3</v>
          </cell>
          <cell r="C503">
            <v>20015</v>
          </cell>
          <cell r="D503" t="str">
            <v>妄執とり憑く美貌の妃</v>
          </cell>
          <cell r="E503" t="str">
            <v>おとぎ話シリーズ3</v>
          </cell>
          <cell r="F503">
            <v>3</v>
          </cell>
          <cell r="G503" t="str">
            <v>ja</v>
          </cell>
          <cell r="H503" t="str">
            <v>【上級】妄執とり憑く美貌の妃</v>
          </cell>
          <cell r="I503" t="str">
            <v>上級</v>
          </cell>
          <cell r="J503">
            <v>857</v>
          </cell>
          <cell r="K503">
            <v>20</v>
          </cell>
          <cell r="L503">
            <v>2000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polygon</v>
          </cell>
          <cell r="T503">
            <v>1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6</v>
          </cell>
          <cell r="AD503">
            <v>6</v>
          </cell>
          <cell r="AE503" t="str">
            <v>everyone</v>
          </cell>
        </row>
        <row r="504">
          <cell r="A504" t="str">
            <v>20016_1</v>
          </cell>
          <cell r="B504">
            <v>3</v>
          </cell>
          <cell r="C504">
            <v>20016</v>
          </cell>
          <cell r="D504" t="str">
            <v>寡黙な翼竜の侵攻</v>
          </cell>
          <cell r="E504" t="str">
            <v>ギリシャ神話01</v>
          </cell>
          <cell r="F504">
            <v>1</v>
          </cell>
          <cell r="G504" t="str">
            <v>ja</v>
          </cell>
          <cell r="H504" t="str">
            <v>【初級】寡黙な翼竜の侵攻</v>
          </cell>
          <cell r="I504" t="str">
            <v>初級</v>
          </cell>
          <cell r="J504">
            <v>739</v>
          </cell>
          <cell r="K504">
            <v>8</v>
          </cell>
          <cell r="L504">
            <v>384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13</v>
          </cell>
          <cell r="AD504">
            <v>6</v>
          </cell>
          <cell r="AE504" t="str">
            <v>everyone</v>
          </cell>
        </row>
        <row r="505">
          <cell r="A505" t="str">
            <v>20016_2</v>
          </cell>
          <cell r="B505">
            <v>3</v>
          </cell>
          <cell r="C505">
            <v>20016</v>
          </cell>
          <cell r="D505" t="str">
            <v>寡黙な翼竜の侵攻</v>
          </cell>
          <cell r="E505" t="str">
            <v>ギリシャ神話01</v>
          </cell>
          <cell r="F505">
            <v>2</v>
          </cell>
          <cell r="G505" t="str">
            <v>ja</v>
          </cell>
          <cell r="H505" t="str">
            <v>【中級】寡黙な翼竜の侵攻</v>
          </cell>
          <cell r="I505" t="str">
            <v>中級</v>
          </cell>
          <cell r="J505">
            <v>739</v>
          </cell>
          <cell r="K505">
            <v>15</v>
          </cell>
          <cell r="L505">
            <v>1200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13</v>
          </cell>
          <cell r="AD505">
            <v>6</v>
          </cell>
          <cell r="AE505" t="str">
            <v>everyone</v>
          </cell>
        </row>
        <row r="506">
          <cell r="A506" t="str">
            <v>20016_3</v>
          </cell>
          <cell r="B506">
            <v>3</v>
          </cell>
          <cell r="C506">
            <v>20016</v>
          </cell>
          <cell r="D506" t="str">
            <v>寡黙な翼竜の侵攻</v>
          </cell>
          <cell r="E506" t="str">
            <v>ギリシャ神話01</v>
          </cell>
          <cell r="F506">
            <v>3</v>
          </cell>
          <cell r="G506" t="str">
            <v>ja</v>
          </cell>
          <cell r="H506" t="str">
            <v>【上級】寡黙な翼竜の侵攻</v>
          </cell>
          <cell r="I506" t="str">
            <v>上級</v>
          </cell>
          <cell r="J506">
            <v>739</v>
          </cell>
          <cell r="K506">
            <v>20</v>
          </cell>
          <cell r="L506">
            <v>2000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polygon</v>
          </cell>
          <cell r="T506">
            <v>1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13</v>
          </cell>
          <cell r="AD506">
            <v>6</v>
          </cell>
          <cell r="AE506" t="str">
            <v>everyone</v>
          </cell>
        </row>
        <row r="507">
          <cell r="A507" t="str">
            <v>20017_1</v>
          </cell>
          <cell r="B507">
            <v>3</v>
          </cell>
          <cell r="C507">
            <v>20017</v>
          </cell>
          <cell r="D507" t="str">
            <v>隻腕の提督</v>
          </cell>
          <cell r="E507" t="str">
            <v>フランス革命01</v>
          </cell>
          <cell r="F507">
            <v>1</v>
          </cell>
          <cell r="G507" t="str">
            <v>ja</v>
          </cell>
          <cell r="H507" t="str">
            <v>【初級】隻腕の提督</v>
          </cell>
          <cell r="I507" t="str">
            <v>初級</v>
          </cell>
          <cell r="J507">
            <v>932</v>
          </cell>
          <cell r="K507">
            <v>8</v>
          </cell>
          <cell r="L507">
            <v>384</v>
          </cell>
          <cell r="M507">
            <v>1</v>
          </cell>
          <cell r="N507">
            <v>1</v>
          </cell>
          <cell r="O507">
            <v>1</v>
          </cell>
          <cell r="P507">
            <v>0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24</v>
          </cell>
          <cell r="AD507">
            <v>6</v>
          </cell>
          <cell r="AE507" t="str">
            <v>everyone</v>
          </cell>
        </row>
        <row r="508">
          <cell r="A508" t="str">
            <v>20017_2</v>
          </cell>
          <cell r="B508">
            <v>3</v>
          </cell>
          <cell r="C508">
            <v>20017</v>
          </cell>
          <cell r="D508" t="str">
            <v>隻腕の提督</v>
          </cell>
          <cell r="E508" t="str">
            <v>フランス革命01</v>
          </cell>
          <cell r="F508">
            <v>2</v>
          </cell>
          <cell r="G508" t="str">
            <v>ja</v>
          </cell>
          <cell r="H508" t="str">
            <v>【中級】隻腕の提督</v>
          </cell>
          <cell r="I508" t="str">
            <v>中級</v>
          </cell>
          <cell r="J508">
            <v>932</v>
          </cell>
          <cell r="K508">
            <v>15</v>
          </cell>
          <cell r="L508">
            <v>1200</v>
          </cell>
          <cell r="M508">
            <v>1</v>
          </cell>
          <cell r="N508">
            <v>1</v>
          </cell>
          <cell r="O508">
            <v>1</v>
          </cell>
          <cell r="P508">
            <v>0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24</v>
          </cell>
          <cell r="AD508">
            <v>6</v>
          </cell>
          <cell r="AE508" t="str">
            <v>everyone</v>
          </cell>
        </row>
        <row r="509">
          <cell r="A509" t="str">
            <v>20017_3</v>
          </cell>
          <cell r="B509">
            <v>3</v>
          </cell>
          <cell r="C509">
            <v>20017</v>
          </cell>
          <cell r="D509" t="str">
            <v>隻腕の提督</v>
          </cell>
          <cell r="E509" t="str">
            <v>フランス革命01</v>
          </cell>
          <cell r="F509">
            <v>3</v>
          </cell>
          <cell r="G509" t="str">
            <v>ja</v>
          </cell>
          <cell r="H509" t="str">
            <v>【上級】隻腕の提督</v>
          </cell>
          <cell r="I509" t="str">
            <v>上級</v>
          </cell>
          <cell r="J509">
            <v>932</v>
          </cell>
          <cell r="K509">
            <v>20</v>
          </cell>
          <cell r="L509">
            <v>2000</v>
          </cell>
          <cell r="M509">
            <v>1</v>
          </cell>
          <cell r="N509">
            <v>1</v>
          </cell>
          <cell r="O509">
            <v>1</v>
          </cell>
          <cell r="P509">
            <v>0</v>
          </cell>
          <cell r="Q509">
            <v>1</v>
          </cell>
          <cell r="R509">
            <v>3</v>
          </cell>
          <cell r="S509" t="str">
            <v>polygon</v>
          </cell>
          <cell r="T509">
            <v>1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24</v>
          </cell>
          <cell r="AD509">
            <v>6</v>
          </cell>
          <cell r="AE509" t="str">
            <v>everyone</v>
          </cell>
        </row>
        <row r="510">
          <cell r="A510" t="str">
            <v>20018_1</v>
          </cell>
          <cell r="B510">
            <v>3</v>
          </cell>
          <cell r="C510">
            <v>20018</v>
          </cell>
          <cell r="D510" t="str">
            <v>魂を屠る黒影</v>
          </cell>
          <cell r="E510" t="str">
            <v>エジプト01</v>
          </cell>
          <cell r="F510">
            <v>1</v>
          </cell>
          <cell r="G510" t="str">
            <v>ja</v>
          </cell>
          <cell r="H510" t="str">
            <v>【初級】魂を屠る黒影</v>
          </cell>
          <cell r="I510" t="str">
            <v>初級</v>
          </cell>
          <cell r="J510">
            <v>1005</v>
          </cell>
          <cell r="K510">
            <v>8</v>
          </cell>
          <cell r="L510">
            <v>384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7</v>
          </cell>
          <cell r="AD510">
            <v>6</v>
          </cell>
          <cell r="AE510" t="str">
            <v>everyone</v>
          </cell>
        </row>
        <row r="511">
          <cell r="A511" t="str">
            <v>20018_2</v>
          </cell>
          <cell r="B511">
            <v>3</v>
          </cell>
          <cell r="C511">
            <v>20018</v>
          </cell>
          <cell r="D511" t="str">
            <v>魂を屠る黒影</v>
          </cell>
          <cell r="E511" t="str">
            <v>エジプト01</v>
          </cell>
          <cell r="F511">
            <v>2</v>
          </cell>
          <cell r="G511" t="str">
            <v>ja</v>
          </cell>
          <cell r="H511" t="str">
            <v>【中級】魂を屠る黒影</v>
          </cell>
          <cell r="I511" t="str">
            <v>中級</v>
          </cell>
          <cell r="J511">
            <v>1005</v>
          </cell>
          <cell r="K511">
            <v>15</v>
          </cell>
          <cell r="L511">
            <v>1200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7</v>
          </cell>
          <cell r="AD511">
            <v>6</v>
          </cell>
          <cell r="AE511" t="str">
            <v>everyone</v>
          </cell>
        </row>
        <row r="512">
          <cell r="A512" t="str">
            <v>20018_3</v>
          </cell>
          <cell r="B512">
            <v>3</v>
          </cell>
          <cell r="C512">
            <v>20018</v>
          </cell>
          <cell r="D512" t="str">
            <v>魂を屠る黒影</v>
          </cell>
          <cell r="E512" t="str">
            <v>エジプト01</v>
          </cell>
          <cell r="F512">
            <v>3</v>
          </cell>
          <cell r="G512" t="str">
            <v>ja</v>
          </cell>
          <cell r="H512" t="str">
            <v>【上級】魂を屠る黒影</v>
          </cell>
          <cell r="I512" t="str">
            <v>上級</v>
          </cell>
          <cell r="J512">
            <v>1005</v>
          </cell>
          <cell r="K512">
            <v>20</v>
          </cell>
          <cell r="L512">
            <v>2000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polygon</v>
          </cell>
          <cell r="T512">
            <v>1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7</v>
          </cell>
          <cell r="AD512">
            <v>6</v>
          </cell>
          <cell r="AE512" t="str">
            <v>everyone</v>
          </cell>
        </row>
        <row r="513">
          <cell r="A513" t="str">
            <v>20019_1</v>
          </cell>
          <cell r="B513">
            <v>3</v>
          </cell>
          <cell r="C513">
            <v>20019</v>
          </cell>
          <cell r="D513" t="str">
            <v>灼熱の舞姫</v>
          </cell>
          <cell r="E513" t="str">
            <v>平安01</v>
          </cell>
          <cell r="F513">
            <v>1</v>
          </cell>
          <cell r="G513" t="str">
            <v>ja</v>
          </cell>
          <cell r="H513" t="str">
            <v>【初級】灼熱の舞姫</v>
          </cell>
          <cell r="I513" t="str">
            <v>初級</v>
          </cell>
          <cell r="J513">
            <v>1020</v>
          </cell>
          <cell r="K513">
            <v>8</v>
          </cell>
          <cell r="L513">
            <v>384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2</v>
          </cell>
          <cell r="AD513">
            <v>6</v>
          </cell>
          <cell r="AE513" t="str">
            <v>everyone</v>
          </cell>
        </row>
        <row r="514">
          <cell r="A514" t="str">
            <v>20019_2</v>
          </cell>
          <cell r="B514">
            <v>3</v>
          </cell>
          <cell r="C514">
            <v>20019</v>
          </cell>
          <cell r="D514" t="str">
            <v>灼熱の舞姫</v>
          </cell>
          <cell r="E514" t="str">
            <v>平安01</v>
          </cell>
          <cell r="F514">
            <v>2</v>
          </cell>
          <cell r="G514" t="str">
            <v>ja</v>
          </cell>
          <cell r="H514" t="str">
            <v>【中級】灼熱の舞姫</v>
          </cell>
          <cell r="I514" t="str">
            <v>中級</v>
          </cell>
          <cell r="J514">
            <v>1020</v>
          </cell>
          <cell r="K514">
            <v>15</v>
          </cell>
          <cell r="L514">
            <v>1200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2</v>
          </cell>
          <cell r="AD514">
            <v>6</v>
          </cell>
          <cell r="AE514" t="str">
            <v>everyone</v>
          </cell>
        </row>
        <row r="515">
          <cell r="A515" t="str">
            <v>20019_3</v>
          </cell>
          <cell r="B515">
            <v>3</v>
          </cell>
          <cell r="C515">
            <v>20019</v>
          </cell>
          <cell r="D515" t="str">
            <v>灼熱の舞姫</v>
          </cell>
          <cell r="E515" t="str">
            <v>平安01</v>
          </cell>
          <cell r="F515">
            <v>3</v>
          </cell>
          <cell r="G515" t="str">
            <v>ja</v>
          </cell>
          <cell r="H515" t="str">
            <v>【上級】灼熱の舞姫</v>
          </cell>
          <cell r="I515" t="str">
            <v>上級</v>
          </cell>
          <cell r="J515">
            <v>1020</v>
          </cell>
          <cell r="K515">
            <v>20</v>
          </cell>
          <cell r="L515">
            <v>2000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polygon</v>
          </cell>
          <cell r="T515">
            <v>1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2</v>
          </cell>
          <cell r="AD515">
            <v>6</v>
          </cell>
          <cell r="AE515" t="str">
            <v>everyone</v>
          </cell>
        </row>
        <row r="516">
          <cell r="A516" t="str">
            <v>20020_1</v>
          </cell>
          <cell r="B516">
            <v>3</v>
          </cell>
          <cell r="C516">
            <v>20020</v>
          </cell>
          <cell r="D516" t="str">
            <v>変幻自在の風</v>
          </cell>
          <cell r="E516" t="str">
            <v>メソポタミア01</v>
          </cell>
          <cell r="F516">
            <v>1</v>
          </cell>
          <cell r="G516" t="str">
            <v>ja</v>
          </cell>
          <cell r="H516" t="str">
            <v>【初級】変幻自在の風</v>
          </cell>
          <cell r="I516" t="str">
            <v>初級</v>
          </cell>
          <cell r="J516">
            <v>1060</v>
          </cell>
          <cell r="K516">
            <v>8</v>
          </cell>
          <cell r="L516">
            <v>384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23</v>
          </cell>
          <cell r="AD516">
            <v>6</v>
          </cell>
          <cell r="AE516" t="str">
            <v>everyone</v>
          </cell>
        </row>
        <row r="517">
          <cell r="A517" t="str">
            <v>20020_2</v>
          </cell>
          <cell r="B517">
            <v>3</v>
          </cell>
          <cell r="C517">
            <v>20020</v>
          </cell>
          <cell r="D517" t="str">
            <v>変幻自在の風</v>
          </cell>
          <cell r="E517" t="str">
            <v>メソポタミア01</v>
          </cell>
          <cell r="F517">
            <v>2</v>
          </cell>
          <cell r="G517" t="str">
            <v>ja</v>
          </cell>
          <cell r="H517" t="str">
            <v>【中級】変幻自在の風</v>
          </cell>
          <cell r="I517" t="str">
            <v>中級</v>
          </cell>
          <cell r="J517">
            <v>1060</v>
          </cell>
          <cell r="K517">
            <v>15</v>
          </cell>
          <cell r="L517">
            <v>1200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none</v>
          </cell>
          <cell r="T517">
            <v>0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23</v>
          </cell>
          <cell r="AD517">
            <v>6</v>
          </cell>
          <cell r="AE517" t="str">
            <v>everyone</v>
          </cell>
        </row>
        <row r="518">
          <cell r="A518" t="str">
            <v>20020_3</v>
          </cell>
          <cell r="B518">
            <v>3</v>
          </cell>
          <cell r="C518">
            <v>20020</v>
          </cell>
          <cell r="D518" t="str">
            <v>変幻自在の風</v>
          </cell>
          <cell r="E518" t="str">
            <v>メソポタミア01</v>
          </cell>
          <cell r="F518">
            <v>3</v>
          </cell>
          <cell r="G518" t="str">
            <v>ja</v>
          </cell>
          <cell r="H518" t="str">
            <v>【上級】変幻自在の風</v>
          </cell>
          <cell r="I518" t="str">
            <v>上級</v>
          </cell>
          <cell r="J518">
            <v>1060</v>
          </cell>
          <cell r="K518">
            <v>20</v>
          </cell>
          <cell r="L518">
            <v>2000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polygon</v>
          </cell>
          <cell r="T518">
            <v>1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23</v>
          </cell>
          <cell r="AD518">
            <v>6</v>
          </cell>
          <cell r="AE518" t="str">
            <v>everyone</v>
          </cell>
        </row>
        <row r="519">
          <cell r="A519" t="str">
            <v>20021_1</v>
          </cell>
          <cell r="B519">
            <v>3</v>
          </cell>
          <cell r="C519">
            <v>20021</v>
          </cell>
          <cell r="D519" t="str">
            <v>ペインター・オブ・ラブ</v>
          </cell>
          <cell r="E519" t="str">
            <v>画家シリーズ01</v>
          </cell>
          <cell r="F519">
            <v>1</v>
          </cell>
          <cell r="G519" t="str">
            <v>ja</v>
          </cell>
          <cell r="H519" t="str">
            <v>【初級】ペインター・オブ・ラブ</v>
          </cell>
          <cell r="I519" t="str">
            <v>初級</v>
          </cell>
          <cell r="J519">
            <v>1095</v>
          </cell>
          <cell r="K519">
            <v>8</v>
          </cell>
          <cell r="L519">
            <v>384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4</v>
          </cell>
          <cell r="AD519">
            <v>6</v>
          </cell>
          <cell r="AE519" t="str">
            <v>everyone</v>
          </cell>
        </row>
        <row r="520">
          <cell r="A520" t="str">
            <v>20021_2</v>
          </cell>
          <cell r="B520">
            <v>3</v>
          </cell>
          <cell r="C520">
            <v>20021</v>
          </cell>
          <cell r="D520" t="str">
            <v>ペインター・オブ・ラブ</v>
          </cell>
          <cell r="E520" t="str">
            <v>画家シリーズ01</v>
          </cell>
          <cell r="F520">
            <v>2</v>
          </cell>
          <cell r="G520" t="str">
            <v>ja</v>
          </cell>
          <cell r="H520" t="str">
            <v>【中級】ペインター・オブ・ラブ</v>
          </cell>
          <cell r="I520" t="str">
            <v>中級</v>
          </cell>
          <cell r="J520">
            <v>1095</v>
          </cell>
          <cell r="K520">
            <v>15</v>
          </cell>
          <cell r="L520">
            <v>1200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none</v>
          </cell>
          <cell r="T520">
            <v>0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4</v>
          </cell>
          <cell r="AD520">
            <v>6</v>
          </cell>
          <cell r="AE520" t="str">
            <v>everyone</v>
          </cell>
        </row>
        <row r="521">
          <cell r="A521" t="str">
            <v>20021_3</v>
          </cell>
          <cell r="B521">
            <v>3</v>
          </cell>
          <cell r="C521">
            <v>20021</v>
          </cell>
          <cell r="D521" t="str">
            <v>ペインター・オブ・ラブ</v>
          </cell>
          <cell r="E521" t="str">
            <v>画家シリーズ01</v>
          </cell>
          <cell r="F521">
            <v>3</v>
          </cell>
          <cell r="G521" t="str">
            <v>ja</v>
          </cell>
          <cell r="H521" t="str">
            <v>【上級】ペインター・オブ・ラブ</v>
          </cell>
          <cell r="I521" t="str">
            <v>上級</v>
          </cell>
          <cell r="J521">
            <v>1095</v>
          </cell>
          <cell r="K521">
            <v>20</v>
          </cell>
          <cell r="L521">
            <v>2000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polygon</v>
          </cell>
          <cell r="T521">
            <v>1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4</v>
          </cell>
          <cell r="AD521">
            <v>6</v>
          </cell>
          <cell r="AE521" t="str">
            <v>everyone</v>
          </cell>
        </row>
        <row r="522">
          <cell r="A522" t="str">
            <v>20022_1</v>
          </cell>
          <cell r="B522">
            <v>3</v>
          </cell>
          <cell r="C522">
            <v>20022</v>
          </cell>
          <cell r="D522" t="str">
            <v>年を越える宴</v>
          </cell>
          <cell r="E522" t="str">
            <v>季節イベント</v>
          </cell>
          <cell r="F522">
            <v>1</v>
          </cell>
          <cell r="G522" t="str">
            <v>ja</v>
          </cell>
          <cell r="H522" t="str">
            <v>【上級】年を越える宴（ハートなし）</v>
          </cell>
          <cell r="I522" t="str">
            <v>2016年年忘れクエスト</v>
          </cell>
          <cell r="J522">
            <v>377</v>
          </cell>
          <cell r="K522">
            <v>10</v>
          </cell>
          <cell r="L522">
            <v>350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0</v>
          </cell>
          <cell r="R522">
            <v>3</v>
          </cell>
          <cell r="S522" t="str">
            <v>polygon</v>
          </cell>
          <cell r="T522">
            <v>1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901</v>
          </cell>
          <cell r="AD522">
            <v>6</v>
          </cell>
          <cell r="AE522" t="str">
            <v>multionly</v>
          </cell>
        </row>
        <row r="523">
          <cell r="A523" t="str">
            <v>30001_1</v>
          </cell>
          <cell r="B523">
            <v>3</v>
          </cell>
          <cell r="C523">
            <v>30001</v>
          </cell>
          <cell r="D523" t="str">
            <v>ハンター・オブ・ハンター</v>
          </cell>
          <cell r="E523" t="str">
            <v>ドロップイベント1-1（マルチ専用）</v>
          </cell>
          <cell r="F523">
            <v>1</v>
          </cell>
          <cell r="G523" t="str">
            <v>ja</v>
          </cell>
          <cell r="H523" t="str">
            <v xml:space="preserve">【中級】ハンター・オブ・ハンター </v>
          </cell>
          <cell r="I523" t="str">
            <v>中級</v>
          </cell>
          <cell r="J523">
            <v>270</v>
          </cell>
          <cell r="K523">
            <v>15</v>
          </cell>
          <cell r="L523">
            <v>1200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none</v>
          </cell>
          <cell r="T523">
            <v>0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7</v>
          </cell>
          <cell r="AD523">
            <v>6</v>
          </cell>
          <cell r="AE523" t="str">
            <v>everyone</v>
          </cell>
        </row>
        <row r="524">
          <cell r="A524" t="str">
            <v>30001_2</v>
          </cell>
          <cell r="B524">
            <v>3</v>
          </cell>
          <cell r="C524">
            <v>30001</v>
          </cell>
          <cell r="D524" t="str">
            <v>ハンター・オブ・ハンター</v>
          </cell>
          <cell r="E524" t="str">
            <v>ドロップイベント1-1（マルチ専用）</v>
          </cell>
          <cell r="F524">
            <v>2</v>
          </cell>
          <cell r="G524" t="str">
            <v>ja</v>
          </cell>
          <cell r="H524" t="str">
            <v xml:space="preserve">【上級】ハンター・オブ・ハンター </v>
          </cell>
          <cell r="I524" t="str">
            <v>上級</v>
          </cell>
          <cell r="J524">
            <v>270</v>
          </cell>
          <cell r="K524">
            <v>20</v>
          </cell>
          <cell r="L524">
            <v>2000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none</v>
          </cell>
          <cell r="T524">
            <v>0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7</v>
          </cell>
          <cell r="AD524">
            <v>6</v>
          </cell>
          <cell r="AE524" t="str">
            <v>everyone</v>
          </cell>
        </row>
        <row r="525">
          <cell r="A525" t="str">
            <v>30001_3</v>
          </cell>
          <cell r="B525">
            <v>3</v>
          </cell>
          <cell r="C525">
            <v>30001</v>
          </cell>
          <cell r="D525" t="str">
            <v>ハンター・オブ・ハンター</v>
          </cell>
          <cell r="E525" t="str">
            <v>ドロップイベント1-1（マルチ専用）</v>
          </cell>
          <cell r="F525">
            <v>3</v>
          </cell>
          <cell r="G525" t="str">
            <v>ja</v>
          </cell>
          <cell r="H525" t="str">
            <v xml:space="preserve">【超級】ハンター・オブ・ハンター </v>
          </cell>
          <cell r="I525" t="str">
            <v>超級</v>
          </cell>
          <cell r="J525">
            <v>271</v>
          </cell>
          <cell r="K525">
            <v>30</v>
          </cell>
          <cell r="L525">
            <v>3300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7</v>
          </cell>
          <cell r="AD525">
            <v>6</v>
          </cell>
          <cell r="AE525" t="str">
            <v>everyone</v>
          </cell>
        </row>
        <row r="526">
          <cell r="A526" t="str">
            <v>30002_1</v>
          </cell>
          <cell r="B526">
            <v>3</v>
          </cell>
          <cell r="C526">
            <v>30002</v>
          </cell>
          <cell r="D526" t="str">
            <v>トリックスター</v>
          </cell>
          <cell r="E526" t="str">
            <v>ドロップイベント1-2（マルチ専用）</v>
          </cell>
          <cell r="F526">
            <v>1</v>
          </cell>
          <cell r="G526" t="str">
            <v>ja</v>
          </cell>
          <cell r="H526" t="str">
            <v xml:space="preserve">【中級】トリックスター </v>
          </cell>
          <cell r="I526" t="str">
            <v>中級</v>
          </cell>
          <cell r="J526">
            <v>272</v>
          </cell>
          <cell r="K526">
            <v>15</v>
          </cell>
          <cell r="L526">
            <v>1200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17</v>
          </cell>
          <cell r="AD526">
            <v>6</v>
          </cell>
          <cell r="AE526" t="str">
            <v>everyone</v>
          </cell>
        </row>
        <row r="527">
          <cell r="A527" t="str">
            <v>30002_2</v>
          </cell>
          <cell r="B527">
            <v>3</v>
          </cell>
          <cell r="C527">
            <v>30002</v>
          </cell>
          <cell r="D527" t="str">
            <v>トリックスター</v>
          </cell>
          <cell r="E527" t="str">
            <v>ドロップイベント1-2（マルチ専用）</v>
          </cell>
          <cell r="F527">
            <v>2</v>
          </cell>
          <cell r="G527" t="str">
            <v>ja</v>
          </cell>
          <cell r="H527" t="str">
            <v xml:space="preserve">【上級】トリックスター </v>
          </cell>
          <cell r="I527" t="str">
            <v>上級</v>
          </cell>
          <cell r="J527">
            <v>272</v>
          </cell>
          <cell r="K527">
            <v>20</v>
          </cell>
          <cell r="L527">
            <v>2000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none</v>
          </cell>
          <cell r="T527">
            <v>0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17</v>
          </cell>
          <cell r="AD527">
            <v>6</v>
          </cell>
          <cell r="AE527" t="str">
            <v>everyone</v>
          </cell>
        </row>
        <row r="528">
          <cell r="A528" t="str">
            <v>30002_3</v>
          </cell>
          <cell r="B528">
            <v>3</v>
          </cell>
          <cell r="C528">
            <v>30002</v>
          </cell>
          <cell r="D528" t="str">
            <v>トリックスター</v>
          </cell>
          <cell r="E528" t="str">
            <v>ドロップイベント1-2（マルチ専用）</v>
          </cell>
          <cell r="F528">
            <v>3</v>
          </cell>
          <cell r="G528" t="str">
            <v>ja</v>
          </cell>
          <cell r="H528" t="str">
            <v xml:space="preserve">【超級】トリックスター </v>
          </cell>
          <cell r="I528" t="str">
            <v>超級</v>
          </cell>
          <cell r="J528">
            <v>273</v>
          </cell>
          <cell r="K528">
            <v>30</v>
          </cell>
          <cell r="L528">
            <v>3300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polygon</v>
          </cell>
          <cell r="T528">
            <v>1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17</v>
          </cell>
          <cell r="AD528">
            <v>6</v>
          </cell>
          <cell r="AE528" t="str">
            <v>everyone</v>
          </cell>
        </row>
        <row r="529">
          <cell r="A529" t="str">
            <v>30003_1</v>
          </cell>
          <cell r="B529">
            <v>3</v>
          </cell>
          <cell r="C529">
            <v>30003</v>
          </cell>
          <cell r="D529" t="str">
            <v>打ち下ろされる砕棒</v>
          </cell>
          <cell r="E529" t="str">
            <v>ドロップイベント1-3（マルチ専用）</v>
          </cell>
          <cell r="F529">
            <v>1</v>
          </cell>
          <cell r="G529" t="str">
            <v>ja</v>
          </cell>
          <cell r="H529" t="str">
            <v xml:space="preserve">【中級】打ち下ろされる砕棒 </v>
          </cell>
          <cell r="I529" t="str">
            <v>中級</v>
          </cell>
          <cell r="J529">
            <v>274</v>
          </cell>
          <cell r="K529">
            <v>15</v>
          </cell>
          <cell r="L529">
            <v>1200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20</v>
          </cell>
          <cell r="AD529">
            <v>6</v>
          </cell>
          <cell r="AE529" t="str">
            <v>everyone</v>
          </cell>
        </row>
        <row r="530">
          <cell r="A530" t="str">
            <v>30003_2</v>
          </cell>
          <cell r="B530">
            <v>3</v>
          </cell>
          <cell r="C530">
            <v>30003</v>
          </cell>
          <cell r="D530" t="str">
            <v>打ち下ろされる砕棒</v>
          </cell>
          <cell r="E530" t="str">
            <v>ドロップイベント1-3（マルチ専用）</v>
          </cell>
          <cell r="F530">
            <v>2</v>
          </cell>
          <cell r="G530" t="str">
            <v>ja</v>
          </cell>
          <cell r="H530" t="str">
            <v>【上級】打ち下ろされる砕棒</v>
          </cell>
          <cell r="I530" t="str">
            <v>上級</v>
          </cell>
          <cell r="J530">
            <v>274</v>
          </cell>
          <cell r="K530">
            <v>20</v>
          </cell>
          <cell r="L530">
            <v>2000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none</v>
          </cell>
          <cell r="T530">
            <v>0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20</v>
          </cell>
          <cell r="AD530">
            <v>6</v>
          </cell>
          <cell r="AE530" t="str">
            <v>everyone</v>
          </cell>
        </row>
        <row r="531">
          <cell r="A531" t="str">
            <v>30003_3</v>
          </cell>
          <cell r="B531">
            <v>3</v>
          </cell>
          <cell r="C531">
            <v>30003</v>
          </cell>
          <cell r="D531" t="str">
            <v>打ち下ろされる砕棒</v>
          </cell>
          <cell r="E531" t="str">
            <v>ドロップイベント1-3（マルチ専用）</v>
          </cell>
          <cell r="F531">
            <v>3</v>
          </cell>
          <cell r="G531" t="str">
            <v>ja</v>
          </cell>
          <cell r="H531" t="str">
            <v xml:space="preserve">【超級】打ち下ろされる砕棒 </v>
          </cell>
          <cell r="I531" t="str">
            <v>超級</v>
          </cell>
          <cell r="J531">
            <v>275</v>
          </cell>
          <cell r="K531">
            <v>30</v>
          </cell>
          <cell r="L531">
            <v>3300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polygon</v>
          </cell>
          <cell r="T531">
            <v>1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20</v>
          </cell>
          <cell r="AD531">
            <v>6</v>
          </cell>
          <cell r="AE531" t="str">
            <v>everyone</v>
          </cell>
        </row>
        <row r="532">
          <cell r="A532" t="str">
            <v>30004_1</v>
          </cell>
          <cell r="B532">
            <v>3</v>
          </cell>
          <cell r="C532">
            <v>30004</v>
          </cell>
          <cell r="D532" t="str">
            <v>危険な仲裁者</v>
          </cell>
          <cell r="E532" t="str">
            <v>ドロップイベント1-4（マルチ専用）</v>
          </cell>
          <cell r="F532">
            <v>1</v>
          </cell>
          <cell r="G532" t="str">
            <v>ja</v>
          </cell>
          <cell r="H532" t="str">
            <v xml:space="preserve">【中級】危険な仲裁者 </v>
          </cell>
          <cell r="I532" t="str">
            <v>中級</v>
          </cell>
          <cell r="J532">
            <v>276</v>
          </cell>
          <cell r="K532">
            <v>15</v>
          </cell>
          <cell r="L532">
            <v>1200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14</v>
          </cell>
          <cell r="AD532">
            <v>6</v>
          </cell>
          <cell r="AE532" t="str">
            <v>everyone</v>
          </cell>
        </row>
        <row r="533">
          <cell r="A533" t="str">
            <v>30004_2</v>
          </cell>
          <cell r="B533">
            <v>3</v>
          </cell>
          <cell r="C533">
            <v>30004</v>
          </cell>
          <cell r="D533" t="str">
            <v>危険な仲裁者</v>
          </cell>
          <cell r="E533" t="str">
            <v>ドロップイベント1-4（マルチ専用）</v>
          </cell>
          <cell r="F533">
            <v>2</v>
          </cell>
          <cell r="G533" t="str">
            <v>ja</v>
          </cell>
          <cell r="H533" t="str">
            <v xml:space="preserve">【上級】危険な仲裁者 </v>
          </cell>
          <cell r="I533" t="str">
            <v>上級</v>
          </cell>
          <cell r="J533">
            <v>276</v>
          </cell>
          <cell r="K533">
            <v>20</v>
          </cell>
          <cell r="L533">
            <v>2000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none</v>
          </cell>
          <cell r="T533">
            <v>0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14</v>
          </cell>
          <cell r="AD533">
            <v>6</v>
          </cell>
          <cell r="AE533" t="str">
            <v>everyone</v>
          </cell>
        </row>
        <row r="534">
          <cell r="A534" t="str">
            <v>30004_3</v>
          </cell>
          <cell r="B534">
            <v>3</v>
          </cell>
          <cell r="C534">
            <v>30004</v>
          </cell>
          <cell r="D534" t="str">
            <v>危険な仲裁者</v>
          </cell>
          <cell r="E534" t="str">
            <v>ドロップイベント1-4（マルチ専用）</v>
          </cell>
          <cell r="F534">
            <v>3</v>
          </cell>
          <cell r="G534" t="str">
            <v>ja</v>
          </cell>
          <cell r="H534" t="str">
            <v xml:space="preserve">【超級】危険な仲裁者 </v>
          </cell>
          <cell r="I534" t="str">
            <v>超級</v>
          </cell>
          <cell r="J534">
            <v>277</v>
          </cell>
          <cell r="K534">
            <v>30</v>
          </cell>
          <cell r="L534">
            <v>3300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14</v>
          </cell>
          <cell r="AD534">
            <v>6</v>
          </cell>
          <cell r="AE534" t="str">
            <v>everyone</v>
          </cell>
        </row>
        <row r="535">
          <cell r="A535" t="str">
            <v>30005_1</v>
          </cell>
          <cell r="B535">
            <v>3</v>
          </cell>
          <cell r="C535">
            <v>30005</v>
          </cell>
          <cell r="D535" t="str">
            <v>ニンゲンにしてあげる☆</v>
          </cell>
          <cell r="E535" t="str">
            <v>ドロップイベント2-1（マルチ専用）</v>
          </cell>
          <cell r="F535">
            <v>1</v>
          </cell>
          <cell r="G535" t="str">
            <v>ja</v>
          </cell>
          <cell r="H535" t="str">
            <v xml:space="preserve">【中級】ニンゲンにしてあげる </v>
          </cell>
          <cell r="I535" t="str">
            <v>中級</v>
          </cell>
          <cell r="J535">
            <v>290</v>
          </cell>
          <cell r="K535">
            <v>15</v>
          </cell>
          <cell r="L535">
            <v>1200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none</v>
          </cell>
          <cell r="T535">
            <v>0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11</v>
          </cell>
          <cell r="AD535">
            <v>6</v>
          </cell>
          <cell r="AE535" t="str">
            <v>everyone</v>
          </cell>
        </row>
        <row r="536">
          <cell r="A536" t="str">
            <v>30005_2</v>
          </cell>
          <cell r="B536">
            <v>3</v>
          </cell>
          <cell r="C536">
            <v>30005</v>
          </cell>
          <cell r="D536" t="str">
            <v>ニンゲンにしてあげる☆</v>
          </cell>
          <cell r="E536" t="str">
            <v>ドロップイベント2-1（マルチ専用）</v>
          </cell>
          <cell r="F536">
            <v>2</v>
          </cell>
          <cell r="G536" t="str">
            <v>ja</v>
          </cell>
          <cell r="H536" t="str">
            <v xml:space="preserve">【上級】ニンゲンにしてあげる </v>
          </cell>
          <cell r="I536" t="str">
            <v>上級</v>
          </cell>
          <cell r="J536">
            <v>290</v>
          </cell>
          <cell r="K536">
            <v>20</v>
          </cell>
          <cell r="L536">
            <v>2000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none</v>
          </cell>
          <cell r="T536">
            <v>0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11</v>
          </cell>
          <cell r="AD536">
            <v>6</v>
          </cell>
          <cell r="AE536" t="str">
            <v>everyone</v>
          </cell>
        </row>
        <row r="537">
          <cell r="A537" t="str">
            <v>30005_3</v>
          </cell>
          <cell r="B537">
            <v>3</v>
          </cell>
          <cell r="C537">
            <v>30005</v>
          </cell>
          <cell r="D537" t="str">
            <v>ニンゲンにしてあげる☆</v>
          </cell>
          <cell r="E537" t="str">
            <v>ドロップイベント2-1（マルチ専用）</v>
          </cell>
          <cell r="F537">
            <v>3</v>
          </cell>
          <cell r="G537" t="str">
            <v>ja</v>
          </cell>
          <cell r="H537" t="str">
            <v>【超級】ニンゲンにしてあげる</v>
          </cell>
          <cell r="I537" t="str">
            <v>超級</v>
          </cell>
          <cell r="J537">
            <v>291</v>
          </cell>
          <cell r="K537">
            <v>30</v>
          </cell>
          <cell r="L537">
            <v>3300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polygon</v>
          </cell>
          <cell r="T537">
            <v>1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11</v>
          </cell>
          <cell r="AD537">
            <v>6</v>
          </cell>
          <cell r="AE537" t="str">
            <v>everyone</v>
          </cell>
        </row>
        <row r="538">
          <cell r="A538" t="str">
            <v>30006_1</v>
          </cell>
          <cell r="B538">
            <v>3</v>
          </cell>
          <cell r="C538">
            <v>30006</v>
          </cell>
          <cell r="D538" t="str">
            <v>それはお前を食べるためさ</v>
          </cell>
          <cell r="E538" t="str">
            <v>ドロップイベント2-3（マルチ専用）</v>
          </cell>
          <cell r="F538">
            <v>1</v>
          </cell>
          <cell r="G538" t="str">
            <v>ja</v>
          </cell>
          <cell r="H538" t="str">
            <v>【中級】それはお前を食べるためさ</v>
          </cell>
          <cell r="I538" t="str">
            <v>中級</v>
          </cell>
          <cell r="J538">
            <v>294</v>
          </cell>
          <cell r="K538">
            <v>15</v>
          </cell>
          <cell r="L538">
            <v>1200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none</v>
          </cell>
          <cell r="T538">
            <v>0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7</v>
          </cell>
          <cell r="AD538">
            <v>6</v>
          </cell>
          <cell r="AE538" t="str">
            <v>everyone</v>
          </cell>
        </row>
        <row r="539">
          <cell r="A539" t="str">
            <v>30006_2</v>
          </cell>
          <cell r="B539">
            <v>3</v>
          </cell>
          <cell r="C539">
            <v>30006</v>
          </cell>
          <cell r="D539" t="str">
            <v>それはお前を食べるためさ</v>
          </cell>
          <cell r="E539" t="str">
            <v>ドロップイベント2-3（マルチ専用）</v>
          </cell>
          <cell r="F539">
            <v>2</v>
          </cell>
          <cell r="G539" t="str">
            <v>ja</v>
          </cell>
          <cell r="H539" t="str">
            <v>【上級】それはお前を食べるためさ</v>
          </cell>
          <cell r="I539" t="str">
            <v>上級</v>
          </cell>
          <cell r="J539">
            <v>294</v>
          </cell>
          <cell r="K539">
            <v>20</v>
          </cell>
          <cell r="L539">
            <v>2000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none</v>
          </cell>
          <cell r="T539">
            <v>0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7</v>
          </cell>
          <cell r="AD539">
            <v>6</v>
          </cell>
          <cell r="AE539" t="str">
            <v>everyone</v>
          </cell>
        </row>
        <row r="540">
          <cell r="A540" t="str">
            <v>30006_3</v>
          </cell>
          <cell r="B540">
            <v>3</v>
          </cell>
          <cell r="C540">
            <v>30006</v>
          </cell>
          <cell r="D540" t="str">
            <v>それはお前を食べるためさ</v>
          </cell>
          <cell r="E540" t="str">
            <v>ドロップイベント2-3（マルチ専用）</v>
          </cell>
          <cell r="F540">
            <v>3</v>
          </cell>
          <cell r="G540" t="str">
            <v>ja</v>
          </cell>
          <cell r="H540" t="str">
            <v>【超級】それはお前を食べるためさ</v>
          </cell>
          <cell r="I540" t="str">
            <v>超級</v>
          </cell>
          <cell r="J540">
            <v>295</v>
          </cell>
          <cell r="K540">
            <v>30</v>
          </cell>
          <cell r="L540">
            <v>3300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polygon</v>
          </cell>
          <cell r="T540">
            <v>1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7</v>
          </cell>
          <cell r="AD540">
            <v>6</v>
          </cell>
          <cell r="AE540" t="str">
            <v>everyone</v>
          </cell>
        </row>
        <row r="541">
          <cell r="A541" t="str">
            <v>30007_1</v>
          </cell>
          <cell r="B541">
            <v>3</v>
          </cell>
          <cell r="C541">
            <v>30007</v>
          </cell>
          <cell r="D541" t="str">
            <v>ガラスの靴は私のもの</v>
          </cell>
          <cell r="E541" t="str">
            <v>ドロップイベント2-2（マルチ専用）</v>
          </cell>
          <cell r="F541">
            <v>1</v>
          </cell>
          <cell r="G541" t="str">
            <v>ja</v>
          </cell>
          <cell r="H541" t="str">
            <v xml:space="preserve">【中級】ガラスの靴は私のもの </v>
          </cell>
          <cell r="I541" t="str">
            <v>中級</v>
          </cell>
          <cell r="J541">
            <v>292</v>
          </cell>
          <cell r="K541">
            <v>15</v>
          </cell>
          <cell r="L541">
            <v>1200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</v>
          </cell>
          <cell r="AD541">
            <v>6</v>
          </cell>
          <cell r="AE541" t="str">
            <v>everyone</v>
          </cell>
        </row>
        <row r="542">
          <cell r="A542" t="str">
            <v>30007_2</v>
          </cell>
          <cell r="B542">
            <v>3</v>
          </cell>
          <cell r="C542">
            <v>30007</v>
          </cell>
          <cell r="D542" t="str">
            <v>ガラスの靴は私のもの</v>
          </cell>
          <cell r="E542" t="str">
            <v>ドロップイベント2-2（マルチ専用）</v>
          </cell>
          <cell r="F542">
            <v>2</v>
          </cell>
          <cell r="G542" t="str">
            <v>ja</v>
          </cell>
          <cell r="H542" t="str">
            <v>【上級】ガラスの靴は私のもの</v>
          </cell>
          <cell r="I542" t="str">
            <v>上級</v>
          </cell>
          <cell r="J542">
            <v>292</v>
          </cell>
          <cell r="K542">
            <v>20</v>
          </cell>
          <cell r="L542">
            <v>2000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none</v>
          </cell>
          <cell r="T542">
            <v>0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</v>
          </cell>
          <cell r="AD542">
            <v>6</v>
          </cell>
          <cell r="AE542" t="str">
            <v>everyone</v>
          </cell>
        </row>
        <row r="543">
          <cell r="A543" t="str">
            <v>30007_3</v>
          </cell>
          <cell r="B543">
            <v>3</v>
          </cell>
          <cell r="C543">
            <v>30007</v>
          </cell>
          <cell r="D543" t="str">
            <v>ガラスの靴は私のもの</v>
          </cell>
          <cell r="E543" t="str">
            <v>ドロップイベント2-2（マルチ専用）</v>
          </cell>
          <cell r="F543">
            <v>3</v>
          </cell>
          <cell r="G543" t="str">
            <v>ja</v>
          </cell>
          <cell r="H543" t="str">
            <v xml:space="preserve">【超級】ガラスの靴は私のもの </v>
          </cell>
          <cell r="I543" t="str">
            <v>超級</v>
          </cell>
          <cell r="J543">
            <v>293</v>
          </cell>
          <cell r="K543">
            <v>30</v>
          </cell>
          <cell r="L543">
            <v>3300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polygon</v>
          </cell>
          <cell r="T543">
            <v>1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</v>
          </cell>
          <cell r="AD543">
            <v>6</v>
          </cell>
          <cell r="AE543" t="str">
            <v>everyone</v>
          </cell>
        </row>
        <row r="544">
          <cell r="A544" t="str">
            <v>30008_1</v>
          </cell>
          <cell r="B544">
            <v>3</v>
          </cell>
          <cell r="C544">
            <v>30008</v>
          </cell>
          <cell r="D544" t="str">
            <v>わたしの嫁を返してもらおう</v>
          </cell>
          <cell r="E544" t="str">
            <v>ドロップイベント2-4（マルチ専用）</v>
          </cell>
          <cell r="F544">
            <v>1</v>
          </cell>
          <cell r="G544" t="str">
            <v>ja</v>
          </cell>
          <cell r="H544" t="str">
            <v>【中級】わたしの嫁を返してもらおう</v>
          </cell>
          <cell r="I544" t="str">
            <v>中級</v>
          </cell>
          <cell r="J544">
            <v>288</v>
          </cell>
          <cell r="K544">
            <v>15</v>
          </cell>
          <cell r="L544">
            <v>1200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22</v>
          </cell>
          <cell r="AD544">
            <v>6</v>
          </cell>
          <cell r="AE544" t="str">
            <v>everyone</v>
          </cell>
        </row>
        <row r="545">
          <cell r="A545" t="str">
            <v>30008_2</v>
          </cell>
          <cell r="B545">
            <v>3</v>
          </cell>
          <cell r="C545">
            <v>30008</v>
          </cell>
          <cell r="D545" t="str">
            <v>わたしの嫁を返してもらおう</v>
          </cell>
          <cell r="E545" t="str">
            <v>ドロップイベント2-4（マルチ専用）</v>
          </cell>
          <cell r="F545">
            <v>2</v>
          </cell>
          <cell r="G545" t="str">
            <v>ja</v>
          </cell>
          <cell r="H545" t="str">
            <v>【上級】わたしの嫁を返してもらおう</v>
          </cell>
          <cell r="I545" t="str">
            <v>上級</v>
          </cell>
          <cell r="J545">
            <v>288</v>
          </cell>
          <cell r="K545">
            <v>20</v>
          </cell>
          <cell r="L545">
            <v>2000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22</v>
          </cell>
          <cell r="AD545">
            <v>6</v>
          </cell>
          <cell r="AE545" t="str">
            <v>everyone</v>
          </cell>
        </row>
        <row r="546">
          <cell r="A546" t="str">
            <v>30008_3</v>
          </cell>
          <cell r="B546">
            <v>3</v>
          </cell>
          <cell r="C546">
            <v>30008</v>
          </cell>
          <cell r="D546" t="str">
            <v>わたしの嫁を返してもらおう</v>
          </cell>
          <cell r="E546" t="str">
            <v>ドロップイベント2-4（マルチ専用）</v>
          </cell>
          <cell r="F546">
            <v>3</v>
          </cell>
          <cell r="G546" t="str">
            <v>ja</v>
          </cell>
          <cell r="H546" t="str">
            <v>【超級】わたしの嫁を返してもらおう</v>
          </cell>
          <cell r="I546" t="str">
            <v>超級</v>
          </cell>
          <cell r="J546">
            <v>289</v>
          </cell>
          <cell r="K546">
            <v>30</v>
          </cell>
          <cell r="L546">
            <v>3300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polygon</v>
          </cell>
          <cell r="T546">
            <v>1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22</v>
          </cell>
          <cell r="AD546">
            <v>6</v>
          </cell>
          <cell r="AE546" t="str">
            <v>everyone</v>
          </cell>
        </row>
        <row r="547">
          <cell r="A547" t="str">
            <v>30009_3</v>
          </cell>
          <cell r="B547">
            <v>0</v>
          </cell>
          <cell r="C547">
            <v>30009</v>
          </cell>
          <cell r="D547" t="str">
            <v>復活の捕食者</v>
          </cell>
          <cell r="E547" t="str">
            <v>ドロップイベント3（マルチ専用）</v>
          </cell>
          <cell r="F547">
            <v>3</v>
          </cell>
          <cell r="G547" t="str">
            <v>ja</v>
          </cell>
          <cell r="H547" t="str">
            <v>【上級】復活の捕食者</v>
          </cell>
          <cell r="I547" t="str">
            <v>上級</v>
          </cell>
          <cell r="J547">
            <v>312</v>
          </cell>
          <cell r="K547">
            <v>20</v>
          </cell>
          <cell r="L547">
            <v>2000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2</v>
          </cell>
          <cell r="S547" t="str">
            <v>none</v>
          </cell>
          <cell r="T547">
            <v>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8</v>
          </cell>
          <cell r="AD547">
            <v>6</v>
          </cell>
          <cell r="AE547" t="str">
            <v>everyone</v>
          </cell>
        </row>
        <row r="548">
          <cell r="A548" t="str">
            <v>30009_1</v>
          </cell>
          <cell r="B548">
            <v>3</v>
          </cell>
          <cell r="C548">
            <v>30009</v>
          </cell>
          <cell r="D548" t="str">
            <v>復活の捕食者</v>
          </cell>
          <cell r="E548" t="str">
            <v>ドロップイベント3（マルチ専用）</v>
          </cell>
          <cell r="F548">
            <v>1</v>
          </cell>
          <cell r="G548" t="str">
            <v>ja</v>
          </cell>
          <cell r="H548" t="str">
            <v>【超級】復活の捕食者</v>
          </cell>
          <cell r="I548" t="str">
            <v>超級</v>
          </cell>
          <cell r="J548">
            <v>312</v>
          </cell>
          <cell r="K548">
            <v>30</v>
          </cell>
          <cell r="L548">
            <v>3300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2</v>
          </cell>
          <cell r="S548" t="str">
            <v>none</v>
          </cell>
          <cell r="T548">
            <v>0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8</v>
          </cell>
          <cell r="AD548">
            <v>6</v>
          </cell>
          <cell r="AE548" t="str">
            <v>everyone</v>
          </cell>
        </row>
        <row r="549">
          <cell r="A549" t="str">
            <v>30009_2</v>
          </cell>
          <cell r="B549">
            <v>3</v>
          </cell>
          <cell r="C549">
            <v>30009</v>
          </cell>
          <cell r="D549" t="str">
            <v>復活の捕食者</v>
          </cell>
          <cell r="E549" t="str">
            <v>ドロップイベント3（マルチ専用）</v>
          </cell>
          <cell r="F549">
            <v>2</v>
          </cell>
          <cell r="G549" t="str">
            <v>ja</v>
          </cell>
          <cell r="H549" t="str">
            <v>【超絶級】復活の捕食者</v>
          </cell>
          <cell r="I549" t="str">
            <v>超絶級</v>
          </cell>
          <cell r="J549">
            <v>312</v>
          </cell>
          <cell r="K549">
            <v>35</v>
          </cell>
          <cell r="L549">
            <v>4200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2</v>
          </cell>
          <cell r="S549" t="str">
            <v>polygon</v>
          </cell>
          <cell r="T549">
            <v>1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8</v>
          </cell>
          <cell r="AD549">
            <v>6</v>
          </cell>
          <cell r="AE549" t="str">
            <v>everyone</v>
          </cell>
        </row>
        <row r="550">
          <cell r="A550" t="str">
            <v>30010_1</v>
          </cell>
          <cell r="B550">
            <v>3</v>
          </cell>
          <cell r="C550">
            <v>30010</v>
          </cell>
          <cell r="D550" t="str">
            <v>最大最凶</v>
          </cell>
          <cell r="E550" t="str">
            <v>ドロップイベント3（マルチ専用）</v>
          </cell>
          <cell r="F550">
            <v>1</v>
          </cell>
          <cell r="G550" t="str">
            <v>ja</v>
          </cell>
          <cell r="H550" t="str">
            <v>【上級】最大最凶</v>
          </cell>
          <cell r="I550" t="str">
            <v>上級</v>
          </cell>
          <cell r="J550">
            <v>306</v>
          </cell>
          <cell r="K550">
            <v>20</v>
          </cell>
          <cell r="L550">
            <v>2000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2</v>
          </cell>
          <cell r="AD550">
            <v>7</v>
          </cell>
          <cell r="AE550" t="str">
            <v>everyone</v>
          </cell>
        </row>
        <row r="551">
          <cell r="A551" t="str">
            <v>30010_2</v>
          </cell>
          <cell r="B551">
            <v>3</v>
          </cell>
          <cell r="C551">
            <v>30010</v>
          </cell>
          <cell r="D551" t="str">
            <v>最大最凶</v>
          </cell>
          <cell r="E551" t="str">
            <v>ドロップイベント3（マルチ専用）</v>
          </cell>
          <cell r="F551">
            <v>2</v>
          </cell>
          <cell r="G551" t="str">
            <v>ja</v>
          </cell>
          <cell r="H551" t="str">
            <v>【超級】最大最凶</v>
          </cell>
          <cell r="I551" t="str">
            <v>超級</v>
          </cell>
          <cell r="J551">
            <v>306</v>
          </cell>
          <cell r="K551">
            <v>30</v>
          </cell>
          <cell r="L551">
            <v>3300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none</v>
          </cell>
          <cell r="T551">
            <v>0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2</v>
          </cell>
          <cell r="AD551">
            <v>7</v>
          </cell>
          <cell r="AE551" t="str">
            <v>everyone</v>
          </cell>
        </row>
        <row r="552">
          <cell r="A552" t="str">
            <v>30010_3</v>
          </cell>
          <cell r="B552">
            <v>3</v>
          </cell>
          <cell r="C552">
            <v>30010</v>
          </cell>
          <cell r="D552" t="str">
            <v>最大最凶</v>
          </cell>
          <cell r="E552" t="str">
            <v>ドロップイベント3（マルチ専用）</v>
          </cell>
          <cell r="F552">
            <v>3</v>
          </cell>
          <cell r="G552" t="str">
            <v>ja</v>
          </cell>
          <cell r="H552" t="str">
            <v>【超絶級】最大最凶</v>
          </cell>
          <cell r="I552" t="str">
            <v>超絶級</v>
          </cell>
          <cell r="J552">
            <v>306</v>
          </cell>
          <cell r="K552">
            <v>35</v>
          </cell>
          <cell r="L552">
            <v>4200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polygon</v>
          </cell>
          <cell r="T552">
            <v>1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2</v>
          </cell>
          <cell r="AD552">
            <v>7</v>
          </cell>
          <cell r="AE552" t="str">
            <v>everyone</v>
          </cell>
        </row>
        <row r="553">
          <cell r="A553" t="str">
            <v>30011_1</v>
          </cell>
          <cell r="B553">
            <v>3</v>
          </cell>
          <cell r="C553">
            <v>30011</v>
          </cell>
          <cell r="D553" t="str">
            <v>気怠い巨読者</v>
          </cell>
          <cell r="E553" t="str">
            <v>ドロップイベント3（マルチ専用）</v>
          </cell>
          <cell r="F553">
            <v>1</v>
          </cell>
          <cell r="G553" t="str">
            <v>ja</v>
          </cell>
          <cell r="H553" t="str">
            <v>【上級】気怠い巨読者</v>
          </cell>
          <cell r="I553" t="str">
            <v>上級</v>
          </cell>
          <cell r="J553">
            <v>308</v>
          </cell>
          <cell r="K553">
            <v>20</v>
          </cell>
          <cell r="L553">
            <v>2000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2</v>
          </cell>
          <cell r="S553" t="str">
            <v>none</v>
          </cell>
          <cell r="T553">
            <v>0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19</v>
          </cell>
          <cell r="AD553">
            <v>6</v>
          </cell>
          <cell r="AE553" t="str">
            <v>everyone</v>
          </cell>
        </row>
        <row r="554">
          <cell r="A554" t="str">
            <v>30011_2</v>
          </cell>
          <cell r="B554">
            <v>3</v>
          </cell>
          <cell r="C554">
            <v>30011</v>
          </cell>
          <cell r="D554" t="str">
            <v>気怠い巨読者</v>
          </cell>
          <cell r="E554" t="str">
            <v>ドロップイベント3（マルチ専用）</v>
          </cell>
          <cell r="F554">
            <v>2</v>
          </cell>
          <cell r="G554" t="str">
            <v>ja</v>
          </cell>
          <cell r="H554" t="str">
            <v>【超級】気怠い巨読者</v>
          </cell>
          <cell r="I554" t="str">
            <v>超級</v>
          </cell>
          <cell r="J554">
            <v>308</v>
          </cell>
          <cell r="K554">
            <v>30</v>
          </cell>
          <cell r="L554">
            <v>3300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2</v>
          </cell>
          <cell r="S554" t="str">
            <v>none</v>
          </cell>
          <cell r="T554">
            <v>0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19</v>
          </cell>
          <cell r="AD554">
            <v>6</v>
          </cell>
          <cell r="AE554" t="str">
            <v>everyone</v>
          </cell>
        </row>
        <row r="555">
          <cell r="A555" t="str">
            <v>30011_3</v>
          </cell>
          <cell r="B555">
            <v>3</v>
          </cell>
          <cell r="C555">
            <v>30011</v>
          </cell>
          <cell r="D555" t="str">
            <v>気怠い巨読者</v>
          </cell>
          <cell r="E555" t="str">
            <v>ドロップイベント3（マルチ専用）</v>
          </cell>
          <cell r="F555">
            <v>3</v>
          </cell>
          <cell r="G555" t="str">
            <v>ja</v>
          </cell>
          <cell r="H555" t="str">
            <v>【超絶級】気怠い巨読者</v>
          </cell>
          <cell r="I555" t="str">
            <v>超絶級</v>
          </cell>
          <cell r="J555">
            <v>309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2</v>
          </cell>
          <cell r="S555" t="str">
            <v>polygon</v>
          </cell>
          <cell r="T555">
            <v>1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19</v>
          </cell>
          <cell r="AD555">
            <v>6</v>
          </cell>
          <cell r="AE555" t="str">
            <v>everyone</v>
          </cell>
        </row>
        <row r="556">
          <cell r="A556" t="str">
            <v>30012_1</v>
          </cell>
          <cell r="B556">
            <v>3</v>
          </cell>
          <cell r="C556">
            <v>30012</v>
          </cell>
          <cell r="D556" t="str">
            <v>底なしの胃袋</v>
          </cell>
          <cell r="E556" t="str">
            <v>ドロップイベント3（マルチ専用）</v>
          </cell>
          <cell r="F556">
            <v>1</v>
          </cell>
          <cell r="G556" t="str">
            <v>ja</v>
          </cell>
          <cell r="H556" t="str">
            <v>【上級】底なしの胃袋</v>
          </cell>
          <cell r="I556" t="str">
            <v>上級</v>
          </cell>
          <cell r="J556">
            <v>310</v>
          </cell>
          <cell r="K556">
            <v>20</v>
          </cell>
          <cell r="L556">
            <v>2000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0</v>
          </cell>
          <cell r="R556">
            <v>3</v>
          </cell>
          <cell r="S556" t="str">
            <v>none</v>
          </cell>
          <cell r="T556">
            <v>0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5</v>
          </cell>
          <cell r="AD556">
            <v>6</v>
          </cell>
          <cell r="AE556" t="str">
            <v>everyone</v>
          </cell>
        </row>
        <row r="557">
          <cell r="A557" t="str">
            <v>30012_2</v>
          </cell>
          <cell r="B557">
            <v>3</v>
          </cell>
          <cell r="C557">
            <v>30012</v>
          </cell>
          <cell r="D557" t="str">
            <v>底なしの胃袋</v>
          </cell>
          <cell r="E557" t="str">
            <v>ドロップイベント3（マルチ専用）</v>
          </cell>
          <cell r="F557">
            <v>2</v>
          </cell>
          <cell r="G557" t="str">
            <v>ja</v>
          </cell>
          <cell r="H557" t="str">
            <v>【超級】底なしの胃袋</v>
          </cell>
          <cell r="I557" t="str">
            <v>超級</v>
          </cell>
          <cell r="J557">
            <v>310</v>
          </cell>
          <cell r="K557">
            <v>30</v>
          </cell>
          <cell r="L557">
            <v>3300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0</v>
          </cell>
          <cell r="R557">
            <v>3</v>
          </cell>
          <cell r="S557" t="str">
            <v>none</v>
          </cell>
          <cell r="T557">
            <v>0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5</v>
          </cell>
          <cell r="AD557">
            <v>6</v>
          </cell>
          <cell r="AE557" t="str">
            <v>everyone</v>
          </cell>
        </row>
        <row r="558">
          <cell r="A558" t="str">
            <v>30012_3</v>
          </cell>
          <cell r="B558">
            <v>3</v>
          </cell>
          <cell r="C558">
            <v>30012</v>
          </cell>
          <cell r="D558" t="str">
            <v>底なしの胃袋</v>
          </cell>
          <cell r="E558" t="str">
            <v>ドロップイベント3（マルチ専用）</v>
          </cell>
          <cell r="F558">
            <v>3</v>
          </cell>
          <cell r="G558" t="str">
            <v>ja</v>
          </cell>
          <cell r="H558" t="str">
            <v>【超絶級】底なしの胃袋</v>
          </cell>
          <cell r="I558" t="str">
            <v>超絶級</v>
          </cell>
          <cell r="J558">
            <v>310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0</v>
          </cell>
          <cell r="R558">
            <v>3</v>
          </cell>
          <cell r="S558" t="str">
            <v>polygon</v>
          </cell>
          <cell r="T558">
            <v>1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5</v>
          </cell>
          <cell r="AD558">
            <v>6</v>
          </cell>
          <cell r="AE558" t="str">
            <v>everyone</v>
          </cell>
        </row>
        <row r="559">
          <cell r="A559" t="str">
            <v>30013_1</v>
          </cell>
          <cell r="B559">
            <v>3</v>
          </cell>
          <cell r="C559">
            <v>30013</v>
          </cell>
          <cell r="D559" t="str">
            <v>決戦・竜宮城</v>
          </cell>
          <cell r="E559" t="str">
            <v>ドロップイベント4（マルチ専用）</v>
          </cell>
          <cell r="F559">
            <v>1</v>
          </cell>
          <cell r="G559" t="str">
            <v>ja</v>
          </cell>
          <cell r="H559" t="str">
            <v>【超級】決戦・竜宮城</v>
          </cell>
          <cell r="I559" t="str">
            <v>超級</v>
          </cell>
          <cell r="J559">
            <v>418</v>
          </cell>
          <cell r="K559">
            <v>30</v>
          </cell>
          <cell r="L559">
            <v>3300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none</v>
          </cell>
          <cell r="T559">
            <v>0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17</v>
          </cell>
          <cell r="AD559">
            <v>6</v>
          </cell>
          <cell r="AE559" t="str">
            <v>everyone</v>
          </cell>
        </row>
        <row r="560">
          <cell r="A560" t="str">
            <v>30013_2</v>
          </cell>
          <cell r="B560">
            <v>3</v>
          </cell>
          <cell r="C560">
            <v>30013</v>
          </cell>
          <cell r="D560" t="str">
            <v>決戦・竜宮城</v>
          </cell>
          <cell r="E560" t="str">
            <v>ドロップイベント4（マルチ専用）</v>
          </cell>
          <cell r="F560">
            <v>2</v>
          </cell>
          <cell r="G560" t="str">
            <v>ja</v>
          </cell>
          <cell r="H560" t="str">
            <v>【超絶級】決戦・竜宮城</v>
          </cell>
          <cell r="I560" t="str">
            <v>超絶級</v>
          </cell>
          <cell r="J560">
            <v>419</v>
          </cell>
          <cell r="K560">
            <v>35</v>
          </cell>
          <cell r="L560">
            <v>4200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polygon</v>
          </cell>
          <cell r="T560">
            <v>1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17</v>
          </cell>
          <cell r="AD560">
            <v>6</v>
          </cell>
          <cell r="AE560" t="str">
            <v>everyone</v>
          </cell>
        </row>
        <row r="561">
          <cell r="A561" t="str">
            <v>30014_1</v>
          </cell>
          <cell r="B561">
            <v>3</v>
          </cell>
          <cell r="C561">
            <v>30014</v>
          </cell>
          <cell r="D561" t="str">
            <v>親指を突き立てろ！</v>
          </cell>
          <cell r="E561" t="str">
            <v>ドロップイベント4（マルチ専用）</v>
          </cell>
          <cell r="F561">
            <v>1</v>
          </cell>
          <cell r="G561" t="str">
            <v>ja</v>
          </cell>
          <cell r="H561" t="str">
            <v>【超級】親指を突き立てろ！</v>
          </cell>
          <cell r="I561" t="str">
            <v>超級</v>
          </cell>
          <cell r="J561">
            <v>420</v>
          </cell>
          <cell r="K561">
            <v>30</v>
          </cell>
          <cell r="L561">
            <v>3300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none</v>
          </cell>
          <cell r="T561">
            <v>0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23</v>
          </cell>
          <cell r="AD561">
            <v>5</v>
          </cell>
          <cell r="AE561" t="str">
            <v>everyone</v>
          </cell>
        </row>
        <row r="562">
          <cell r="A562" t="str">
            <v>30014_2</v>
          </cell>
          <cell r="B562">
            <v>3</v>
          </cell>
          <cell r="C562">
            <v>30014</v>
          </cell>
          <cell r="D562" t="str">
            <v>親指を突き立てろ！</v>
          </cell>
          <cell r="E562" t="str">
            <v>ドロップイベント4（マルチ専用）</v>
          </cell>
          <cell r="F562">
            <v>2</v>
          </cell>
          <cell r="G562" t="str">
            <v>ja</v>
          </cell>
          <cell r="H562" t="str">
            <v>【超絶級】親指を突き立てろ！</v>
          </cell>
          <cell r="I562" t="str">
            <v>超絶級</v>
          </cell>
          <cell r="J562">
            <v>421</v>
          </cell>
          <cell r="K562">
            <v>35</v>
          </cell>
          <cell r="L562">
            <v>4200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polygon</v>
          </cell>
          <cell r="T562">
            <v>1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23</v>
          </cell>
          <cell r="AD562">
            <v>5</v>
          </cell>
          <cell r="AE562" t="str">
            <v>everyone</v>
          </cell>
        </row>
        <row r="563">
          <cell r="A563" t="str">
            <v>30015_1</v>
          </cell>
          <cell r="B563">
            <v>3</v>
          </cell>
          <cell r="C563">
            <v>30015</v>
          </cell>
          <cell r="D563" t="str">
            <v>兄妹の大冒険</v>
          </cell>
          <cell r="E563" t="str">
            <v>ドロップイベント4（マルチ専用）</v>
          </cell>
          <cell r="F563">
            <v>1</v>
          </cell>
          <cell r="G563" t="str">
            <v>ja</v>
          </cell>
          <cell r="H563" t="str">
            <v>【超級】兄妹の大冒険</v>
          </cell>
          <cell r="I563" t="str">
            <v>超級</v>
          </cell>
          <cell r="J563">
            <v>422</v>
          </cell>
          <cell r="K563">
            <v>30</v>
          </cell>
          <cell r="L563">
            <v>3300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none</v>
          </cell>
          <cell r="T563">
            <v>0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16</v>
          </cell>
          <cell r="AD563">
            <v>6</v>
          </cell>
          <cell r="AE563" t="str">
            <v>everyone</v>
          </cell>
        </row>
        <row r="564">
          <cell r="A564" t="str">
            <v>30015_2</v>
          </cell>
          <cell r="B564">
            <v>3</v>
          </cell>
          <cell r="C564">
            <v>30015</v>
          </cell>
          <cell r="D564" t="str">
            <v>兄妹の大冒険</v>
          </cell>
          <cell r="E564" t="str">
            <v>ドロップイベント4（マルチ専用）</v>
          </cell>
          <cell r="F564">
            <v>2</v>
          </cell>
          <cell r="G564" t="str">
            <v>ja</v>
          </cell>
          <cell r="H564" t="str">
            <v>【超絶級】兄妹の大冒険</v>
          </cell>
          <cell r="I564" t="str">
            <v>超絶級</v>
          </cell>
          <cell r="J564">
            <v>423</v>
          </cell>
          <cell r="K564">
            <v>35</v>
          </cell>
          <cell r="L564">
            <v>4200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polygon</v>
          </cell>
          <cell r="T564">
            <v>1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16</v>
          </cell>
          <cell r="AD564">
            <v>6</v>
          </cell>
          <cell r="AE564" t="str">
            <v>everyone</v>
          </cell>
        </row>
        <row r="565">
          <cell r="A565" t="str">
            <v>30016_1</v>
          </cell>
          <cell r="B565">
            <v>3</v>
          </cell>
          <cell r="C565">
            <v>30016</v>
          </cell>
          <cell r="D565" t="str">
            <v>私がワニの天敵よ？</v>
          </cell>
          <cell r="E565" t="str">
            <v>ドロップイベント4（マルチ専用）</v>
          </cell>
          <cell r="F565">
            <v>1</v>
          </cell>
          <cell r="G565" t="str">
            <v>ja</v>
          </cell>
          <cell r="H565" t="str">
            <v>【超級】私がワニの天敵よ？</v>
          </cell>
          <cell r="I565" t="str">
            <v>超級</v>
          </cell>
          <cell r="J565">
            <v>424</v>
          </cell>
          <cell r="K565">
            <v>30</v>
          </cell>
          <cell r="L565">
            <v>3300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none</v>
          </cell>
          <cell r="T565">
            <v>0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4</v>
          </cell>
          <cell r="AD565">
            <v>6</v>
          </cell>
          <cell r="AE565" t="str">
            <v>everyone</v>
          </cell>
        </row>
        <row r="566">
          <cell r="A566" t="str">
            <v>30016_2</v>
          </cell>
          <cell r="B566">
            <v>3</v>
          </cell>
          <cell r="C566">
            <v>30016</v>
          </cell>
          <cell r="D566" t="str">
            <v>私がワニの天敵よ？</v>
          </cell>
          <cell r="E566" t="str">
            <v>ドロップイベント4（マルチ専用）</v>
          </cell>
          <cell r="F566">
            <v>2</v>
          </cell>
          <cell r="G566" t="str">
            <v>ja</v>
          </cell>
          <cell r="H566" t="str">
            <v>【超絶級】私がワニの天敵よ？</v>
          </cell>
          <cell r="I566" t="str">
            <v>超絶級</v>
          </cell>
          <cell r="J566">
            <v>425</v>
          </cell>
          <cell r="K566">
            <v>35</v>
          </cell>
          <cell r="L566">
            <v>4200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polygon</v>
          </cell>
          <cell r="T566">
            <v>1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4</v>
          </cell>
          <cell r="AD566">
            <v>6</v>
          </cell>
          <cell r="AE566" t="str">
            <v>everyone</v>
          </cell>
        </row>
        <row r="567">
          <cell r="A567" t="str">
            <v>30017_1</v>
          </cell>
          <cell r="B567">
            <v>3</v>
          </cell>
          <cell r="C567">
            <v>30017</v>
          </cell>
          <cell r="D567" t="str">
            <v>狩人の挽歌</v>
          </cell>
          <cell r="E567" t="str">
            <v>ドロップイベント5（マルチ専用）</v>
          </cell>
          <cell r="F567">
            <v>1</v>
          </cell>
          <cell r="G567" t="str">
            <v>ja</v>
          </cell>
          <cell r="H567" t="str">
            <v>【超級】狩人の挽歌</v>
          </cell>
          <cell r="I567" t="str">
            <v>超級</v>
          </cell>
          <cell r="J567">
            <v>452</v>
          </cell>
          <cell r="K567">
            <v>30</v>
          </cell>
          <cell r="L567">
            <v>3300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none</v>
          </cell>
          <cell r="T567">
            <v>0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20</v>
          </cell>
          <cell r="AD567">
            <v>6</v>
          </cell>
          <cell r="AE567" t="str">
            <v>multionly</v>
          </cell>
        </row>
        <row r="568">
          <cell r="A568" t="str">
            <v>30017_2</v>
          </cell>
          <cell r="B568">
            <v>3</v>
          </cell>
          <cell r="C568">
            <v>30017</v>
          </cell>
          <cell r="D568" t="str">
            <v>狩人の挽歌</v>
          </cell>
          <cell r="E568" t="str">
            <v>ドロップイベント5（マルチ専用）</v>
          </cell>
          <cell r="F568">
            <v>2</v>
          </cell>
          <cell r="G568" t="str">
            <v>ja</v>
          </cell>
          <cell r="H568" t="str">
            <v>【超絶級】狩人の挽歌</v>
          </cell>
          <cell r="I568" t="str">
            <v>超絶級</v>
          </cell>
          <cell r="J568">
            <v>453</v>
          </cell>
          <cell r="K568">
            <v>35</v>
          </cell>
          <cell r="L568">
            <v>4200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polygon</v>
          </cell>
          <cell r="T568">
            <v>1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20</v>
          </cell>
          <cell r="AD568">
            <v>6</v>
          </cell>
          <cell r="AE568" t="str">
            <v>multionly</v>
          </cell>
        </row>
        <row r="569">
          <cell r="A569" t="str">
            <v>30018_1</v>
          </cell>
          <cell r="B569">
            <v>3</v>
          </cell>
          <cell r="C569">
            <v>30018</v>
          </cell>
          <cell r="D569" t="str">
            <v>バックストリートファイト</v>
          </cell>
          <cell r="E569" t="str">
            <v>ドロップイベント5（マルチ専用）</v>
          </cell>
          <cell r="F569">
            <v>1</v>
          </cell>
          <cell r="G569" t="str">
            <v>ja</v>
          </cell>
          <cell r="H569" t="str">
            <v>【超級】バックストリートファイト</v>
          </cell>
          <cell r="I569" t="str">
            <v>超級</v>
          </cell>
          <cell r="J569">
            <v>454</v>
          </cell>
          <cell r="K569">
            <v>30</v>
          </cell>
          <cell r="L569">
            <v>3300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0</v>
          </cell>
          <cell r="R569">
            <v>3</v>
          </cell>
          <cell r="S569" t="str">
            <v>none</v>
          </cell>
          <cell r="T569">
            <v>0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14</v>
          </cell>
          <cell r="AD569">
            <v>6</v>
          </cell>
          <cell r="AE569" t="str">
            <v>everyone</v>
          </cell>
        </row>
        <row r="570">
          <cell r="A570" t="str">
            <v>30018_2</v>
          </cell>
          <cell r="B570">
            <v>3</v>
          </cell>
          <cell r="C570">
            <v>30018</v>
          </cell>
          <cell r="D570" t="str">
            <v>バックストリートファイト</v>
          </cell>
          <cell r="E570" t="str">
            <v>ドロップイベント5（マルチ専用）</v>
          </cell>
          <cell r="F570">
            <v>2</v>
          </cell>
          <cell r="G570" t="str">
            <v>ja</v>
          </cell>
          <cell r="H570" t="str">
            <v>【超絶級】バックストリートファイト</v>
          </cell>
          <cell r="I570" t="str">
            <v>超絶級</v>
          </cell>
          <cell r="J570">
            <v>455</v>
          </cell>
          <cell r="K570">
            <v>35</v>
          </cell>
          <cell r="L570">
            <v>4200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0</v>
          </cell>
          <cell r="R570">
            <v>3</v>
          </cell>
          <cell r="S570" t="str">
            <v>polygon</v>
          </cell>
          <cell r="T570">
            <v>1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14</v>
          </cell>
          <cell r="AD570">
            <v>6</v>
          </cell>
          <cell r="AE570" t="str">
            <v>everyone</v>
          </cell>
        </row>
        <row r="571">
          <cell r="A571" t="str">
            <v>30019_1</v>
          </cell>
          <cell r="B571">
            <v>3</v>
          </cell>
          <cell r="C571">
            <v>30019</v>
          </cell>
          <cell r="D571" t="str">
            <v>狙撃は終わらない</v>
          </cell>
          <cell r="E571" t="str">
            <v>ドロップイベント5（マルチ専用）</v>
          </cell>
          <cell r="F571">
            <v>1</v>
          </cell>
          <cell r="G571" t="str">
            <v>ja</v>
          </cell>
          <cell r="H571" t="str">
            <v>【超級】狙撃は終わらない</v>
          </cell>
          <cell r="I571" t="str">
            <v>超級</v>
          </cell>
          <cell r="J571">
            <v>456</v>
          </cell>
          <cell r="K571">
            <v>30</v>
          </cell>
          <cell r="L571">
            <v>3300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none</v>
          </cell>
          <cell r="T571">
            <v>0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24</v>
          </cell>
          <cell r="AD571">
            <v>6</v>
          </cell>
          <cell r="AE571" t="str">
            <v>multionly</v>
          </cell>
        </row>
        <row r="572">
          <cell r="A572" t="str">
            <v>30019_2</v>
          </cell>
          <cell r="B572">
            <v>3</v>
          </cell>
          <cell r="C572">
            <v>30019</v>
          </cell>
          <cell r="D572" t="str">
            <v>狙撃は終わらない</v>
          </cell>
          <cell r="E572" t="str">
            <v>ドロップイベント5（マルチ専用）</v>
          </cell>
          <cell r="F572">
            <v>2</v>
          </cell>
          <cell r="G572" t="str">
            <v>ja</v>
          </cell>
          <cell r="H572" t="str">
            <v>【超絶級】狙撃は終わらない</v>
          </cell>
          <cell r="I572" t="str">
            <v>超絶級</v>
          </cell>
          <cell r="J572">
            <v>457</v>
          </cell>
          <cell r="K572">
            <v>35</v>
          </cell>
          <cell r="L572">
            <v>4200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1</v>
          </cell>
          <cell r="R572">
            <v>3</v>
          </cell>
          <cell r="S572" t="str">
            <v>polygon</v>
          </cell>
          <cell r="T572">
            <v>1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24</v>
          </cell>
          <cell r="AD572">
            <v>6</v>
          </cell>
          <cell r="AE572" t="str">
            <v>multionly</v>
          </cell>
        </row>
        <row r="573">
          <cell r="A573" t="str">
            <v>30020_1</v>
          </cell>
          <cell r="B573">
            <v>3</v>
          </cell>
          <cell r="C573">
            <v>30020</v>
          </cell>
          <cell r="D573" t="str">
            <v>若造よ、身の程を知れ</v>
          </cell>
          <cell r="E573" t="str">
            <v>ドロップイベント5（マルチ専用）</v>
          </cell>
          <cell r="F573">
            <v>1</v>
          </cell>
          <cell r="G573" t="str">
            <v>ja</v>
          </cell>
          <cell r="H573" t="str">
            <v>【超級】若造よ、身の程を知れ</v>
          </cell>
          <cell r="I573" t="str">
            <v>超級</v>
          </cell>
          <cell r="J573">
            <v>458</v>
          </cell>
          <cell r="K573">
            <v>30</v>
          </cell>
          <cell r="L573">
            <v>3300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1</v>
          </cell>
          <cell r="R573">
            <v>3</v>
          </cell>
          <cell r="S573" t="str">
            <v>none</v>
          </cell>
          <cell r="T573">
            <v>0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13</v>
          </cell>
          <cell r="AD573">
            <v>6</v>
          </cell>
          <cell r="AE573" t="str">
            <v>everyone</v>
          </cell>
        </row>
        <row r="574">
          <cell r="A574" t="str">
            <v>30020_2</v>
          </cell>
          <cell r="B574">
            <v>3</v>
          </cell>
          <cell r="C574">
            <v>30020</v>
          </cell>
          <cell r="D574" t="str">
            <v>若造よ、身の程を知れ</v>
          </cell>
          <cell r="E574" t="str">
            <v>ドロップイベント5（マルチ専用）</v>
          </cell>
          <cell r="F574">
            <v>2</v>
          </cell>
          <cell r="G574" t="str">
            <v>ja</v>
          </cell>
          <cell r="H574" t="str">
            <v>【超絶級】若造よ、身の程を知れ</v>
          </cell>
          <cell r="I574" t="str">
            <v>超絶級</v>
          </cell>
          <cell r="J574">
            <v>459</v>
          </cell>
          <cell r="K574">
            <v>35</v>
          </cell>
          <cell r="L574">
            <v>4200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13</v>
          </cell>
          <cell r="AD574">
            <v>6</v>
          </cell>
          <cell r="AE574" t="str">
            <v>everyone</v>
          </cell>
        </row>
        <row r="575">
          <cell r="A575" t="str">
            <v>30021_1</v>
          </cell>
          <cell r="B575">
            <v>3</v>
          </cell>
          <cell r="C575">
            <v>30021</v>
          </cell>
          <cell r="D575" t="str">
            <v>野獣死すべしっ！</v>
          </cell>
          <cell r="E575" t="str">
            <v>ドロップイベント6（マルチ専用）</v>
          </cell>
          <cell r="F575">
            <v>1</v>
          </cell>
          <cell r="G575" t="str">
            <v>ja</v>
          </cell>
          <cell r="H575" t="str">
            <v>【中級】野獣死すべしっ！</v>
          </cell>
          <cell r="I575" t="str">
            <v>中級</v>
          </cell>
          <cell r="J575">
            <v>502</v>
          </cell>
          <cell r="K575">
            <v>15</v>
          </cell>
          <cell r="L575">
            <v>1200</v>
          </cell>
          <cell r="M575">
            <v>1</v>
          </cell>
          <cell r="N575">
            <v>1</v>
          </cell>
          <cell r="O575">
            <v>0</v>
          </cell>
          <cell r="P575">
            <v>1</v>
          </cell>
          <cell r="Q575">
            <v>1</v>
          </cell>
          <cell r="R575">
            <v>3</v>
          </cell>
          <cell r="S575" t="str">
            <v>none</v>
          </cell>
          <cell r="T575">
            <v>0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14</v>
          </cell>
          <cell r="AD575">
            <v>6</v>
          </cell>
          <cell r="AE575" t="str">
            <v>everyone</v>
          </cell>
        </row>
        <row r="576">
          <cell r="A576" t="str">
            <v>30021_2</v>
          </cell>
          <cell r="B576">
            <v>3</v>
          </cell>
          <cell r="C576">
            <v>30021</v>
          </cell>
          <cell r="D576" t="str">
            <v>野獣死すべしっ！</v>
          </cell>
          <cell r="E576" t="str">
            <v>ドロップイベント6（マルチ専用）</v>
          </cell>
          <cell r="F576">
            <v>2</v>
          </cell>
          <cell r="G576" t="str">
            <v>ja</v>
          </cell>
          <cell r="H576" t="str">
            <v>【上級】野獣死すべしっ！</v>
          </cell>
          <cell r="I576" t="str">
            <v>上級</v>
          </cell>
          <cell r="J576">
            <v>502</v>
          </cell>
          <cell r="K576">
            <v>20</v>
          </cell>
          <cell r="L576">
            <v>2000</v>
          </cell>
          <cell r="M576">
            <v>1</v>
          </cell>
          <cell r="N576">
            <v>1</v>
          </cell>
          <cell r="O576">
            <v>0</v>
          </cell>
          <cell r="P576">
            <v>1</v>
          </cell>
          <cell r="Q576">
            <v>1</v>
          </cell>
          <cell r="R576">
            <v>3</v>
          </cell>
          <cell r="S576" t="str">
            <v>none</v>
          </cell>
          <cell r="T576">
            <v>0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14</v>
          </cell>
          <cell r="AD576">
            <v>6</v>
          </cell>
          <cell r="AE576" t="str">
            <v>everyone</v>
          </cell>
        </row>
        <row r="577">
          <cell r="A577" t="str">
            <v>30021_3</v>
          </cell>
          <cell r="B577">
            <v>3</v>
          </cell>
          <cell r="C577">
            <v>30021</v>
          </cell>
          <cell r="D577" t="str">
            <v>野獣死すべしっ！</v>
          </cell>
          <cell r="E577" t="str">
            <v>ドロップイベント6（マルチ専用）</v>
          </cell>
          <cell r="F577">
            <v>3</v>
          </cell>
          <cell r="G577" t="str">
            <v>ja</v>
          </cell>
          <cell r="H577" t="str">
            <v>【超級】野獣死すべしっ！</v>
          </cell>
          <cell r="I577" t="str">
            <v>超級</v>
          </cell>
          <cell r="J577">
            <v>503</v>
          </cell>
          <cell r="K577">
            <v>30</v>
          </cell>
          <cell r="L577">
            <v>3300</v>
          </cell>
          <cell r="M577">
            <v>1</v>
          </cell>
          <cell r="N577">
            <v>1</v>
          </cell>
          <cell r="O577">
            <v>0</v>
          </cell>
          <cell r="P577">
            <v>1</v>
          </cell>
          <cell r="Q577">
            <v>1</v>
          </cell>
          <cell r="R577">
            <v>3</v>
          </cell>
          <cell r="S577" t="str">
            <v>polygon</v>
          </cell>
          <cell r="T577">
            <v>1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14</v>
          </cell>
          <cell r="AD577">
            <v>6</v>
          </cell>
          <cell r="AE577" t="str">
            <v>everyone</v>
          </cell>
        </row>
        <row r="578">
          <cell r="A578" t="str">
            <v>30022_1</v>
          </cell>
          <cell r="B578">
            <v>3</v>
          </cell>
          <cell r="C578">
            <v>30022</v>
          </cell>
          <cell r="D578" t="str">
            <v>凶鼠ネコを咬む</v>
          </cell>
          <cell r="E578" t="str">
            <v>ドロップイベント6（マルチ専用）</v>
          </cell>
          <cell r="F578">
            <v>1</v>
          </cell>
          <cell r="G578" t="str">
            <v>ja</v>
          </cell>
          <cell r="H578" t="str">
            <v>【超級】凶鼠ネコを咬む</v>
          </cell>
          <cell r="I578" t="str">
            <v>超級</v>
          </cell>
          <cell r="J578">
            <v>504</v>
          </cell>
          <cell r="K578">
            <v>30</v>
          </cell>
          <cell r="L578">
            <v>3300</v>
          </cell>
          <cell r="M578">
            <v>1</v>
          </cell>
          <cell r="N578">
            <v>1</v>
          </cell>
          <cell r="O578">
            <v>1</v>
          </cell>
          <cell r="P578">
            <v>1</v>
          </cell>
          <cell r="Q578">
            <v>1</v>
          </cell>
          <cell r="R578">
            <v>3</v>
          </cell>
          <cell r="S578" t="str">
            <v>none</v>
          </cell>
          <cell r="T578">
            <v>0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6</v>
          </cell>
          <cell r="AD578">
            <v>6</v>
          </cell>
          <cell r="AE578" t="str">
            <v>everyone</v>
          </cell>
        </row>
        <row r="579">
          <cell r="A579" t="str">
            <v>30022_2</v>
          </cell>
          <cell r="B579">
            <v>3</v>
          </cell>
          <cell r="C579">
            <v>30022</v>
          </cell>
          <cell r="D579" t="str">
            <v>凶鼠ネコを咬む</v>
          </cell>
          <cell r="E579" t="str">
            <v>ドロップイベント6（マルチ専用）</v>
          </cell>
          <cell r="F579">
            <v>2</v>
          </cell>
          <cell r="G579" t="str">
            <v>ja</v>
          </cell>
          <cell r="H579" t="str">
            <v>【超絶級】凶鼠ネコを咬む</v>
          </cell>
          <cell r="I579" t="str">
            <v>超絶級</v>
          </cell>
          <cell r="J579">
            <v>505</v>
          </cell>
          <cell r="K579">
            <v>35</v>
          </cell>
          <cell r="L579">
            <v>4200</v>
          </cell>
          <cell r="M579">
            <v>1</v>
          </cell>
          <cell r="N579">
            <v>1</v>
          </cell>
          <cell r="O579">
            <v>1</v>
          </cell>
          <cell r="P579">
            <v>1</v>
          </cell>
          <cell r="Q579">
            <v>1</v>
          </cell>
          <cell r="R579">
            <v>3</v>
          </cell>
          <cell r="S579" t="str">
            <v>polygon</v>
          </cell>
          <cell r="T579">
            <v>1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6</v>
          </cell>
          <cell r="AD579">
            <v>6</v>
          </cell>
          <cell r="AE579" t="str">
            <v>everyone</v>
          </cell>
        </row>
        <row r="580">
          <cell r="A580" t="str">
            <v>30023_1</v>
          </cell>
          <cell r="B580">
            <v>3</v>
          </cell>
          <cell r="C580">
            <v>30023</v>
          </cell>
          <cell r="D580" t="str">
            <v>隔離からのエスケイプ</v>
          </cell>
          <cell r="E580" t="str">
            <v>ドロップイベント6（マルチ専用）</v>
          </cell>
          <cell r="F580">
            <v>1</v>
          </cell>
          <cell r="G580" t="str">
            <v>ja</v>
          </cell>
          <cell r="H580" t="str">
            <v>【中級】隔離からのエスケイプ</v>
          </cell>
          <cell r="I580" t="str">
            <v>中級</v>
          </cell>
          <cell r="J580">
            <v>506</v>
          </cell>
          <cell r="K580">
            <v>15</v>
          </cell>
          <cell r="L580">
            <v>1200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none</v>
          </cell>
          <cell r="T580">
            <v>0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25</v>
          </cell>
          <cell r="AD580">
            <v>6</v>
          </cell>
          <cell r="AE580" t="str">
            <v>everyone</v>
          </cell>
        </row>
        <row r="581">
          <cell r="A581" t="str">
            <v>30023_2</v>
          </cell>
          <cell r="B581">
            <v>3</v>
          </cell>
          <cell r="C581">
            <v>30023</v>
          </cell>
          <cell r="D581" t="str">
            <v>隔離からのエスケイプ</v>
          </cell>
          <cell r="E581" t="str">
            <v>ドロップイベント6（マルチ専用）</v>
          </cell>
          <cell r="F581">
            <v>2</v>
          </cell>
          <cell r="G581" t="str">
            <v>ja</v>
          </cell>
          <cell r="H581" t="str">
            <v>【上級】隔離からのエスケイプ</v>
          </cell>
          <cell r="I581" t="str">
            <v>上級</v>
          </cell>
          <cell r="J581">
            <v>506</v>
          </cell>
          <cell r="K581">
            <v>20</v>
          </cell>
          <cell r="L581">
            <v>2000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none</v>
          </cell>
          <cell r="T581">
            <v>0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25</v>
          </cell>
          <cell r="AD581">
            <v>6</v>
          </cell>
          <cell r="AE581" t="str">
            <v>everyone</v>
          </cell>
        </row>
        <row r="582">
          <cell r="A582" t="str">
            <v>30023_3</v>
          </cell>
          <cell r="B582">
            <v>3</v>
          </cell>
          <cell r="C582">
            <v>30023</v>
          </cell>
          <cell r="D582" t="str">
            <v>隔離からのエスケイプ</v>
          </cell>
          <cell r="E582" t="str">
            <v>ドロップイベント6（マルチ専用）</v>
          </cell>
          <cell r="F582">
            <v>3</v>
          </cell>
          <cell r="G582" t="str">
            <v>ja</v>
          </cell>
          <cell r="H582" t="str">
            <v>【超級】隔離からのエスケイプ</v>
          </cell>
          <cell r="I582" t="str">
            <v>超級</v>
          </cell>
          <cell r="J582">
            <v>507</v>
          </cell>
          <cell r="K582">
            <v>30</v>
          </cell>
          <cell r="L582">
            <v>3300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25</v>
          </cell>
          <cell r="AD582">
            <v>6</v>
          </cell>
          <cell r="AE582" t="str">
            <v>everyone</v>
          </cell>
        </row>
        <row r="583">
          <cell r="A583" t="str">
            <v>30024_1</v>
          </cell>
          <cell r="B583">
            <v>3</v>
          </cell>
          <cell r="C583">
            <v>30024</v>
          </cell>
          <cell r="D583" t="str">
            <v>雷鎚の選定</v>
          </cell>
          <cell r="E583" t="str">
            <v>ドロップイベント7（マルチ専用）</v>
          </cell>
          <cell r="F583">
            <v>1</v>
          </cell>
          <cell r="G583" t="str">
            <v>ja</v>
          </cell>
          <cell r="H583" t="str">
            <v>【中級】雷鎚の選定</v>
          </cell>
          <cell r="I583" t="str">
            <v>中級</v>
          </cell>
          <cell r="J583">
            <v>583</v>
          </cell>
          <cell r="K583">
            <v>15</v>
          </cell>
          <cell r="L583">
            <v>1200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none</v>
          </cell>
          <cell r="T583">
            <v>0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20</v>
          </cell>
          <cell r="AD583">
            <v>6</v>
          </cell>
          <cell r="AE583" t="str">
            <v>multionly</v>
          </cell>
        </row>
        <row r="584">
          <cell r="A584" t="str">
            <v>30024_2</v>
          </cell>
          <cell r="B584">
            <v>3</v>
          </cell>
          <cell r="C584">
            <v>30024</v>
          </cell>
          <cell r="D584" t="str">
            <v>雷鎚の選定</v>
          </cell>
          <cell r="E584" t="str">
            <v>ドロップイベント7（マルチ専用）</v>
          </cell>
          <cell r="F584">
            <v>2</v>
          </cell>
          <cell r="G584" t="str">
            <v>ja</v>
          </cell>
          <cell r="H584" t="str">
            <v>【上級】雷鎚の選定</v>
          </cell>
          <cell r="I584" t="str">
            <v>上級</v>
          </cell>
          <cell r="J584">
            <v>583</v>
          </cell>
          <cell r="K584">
            <v>20</v>
          </cell>
          <cell r="L584">
            <v>2000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none</v>
          </cell>
          <cell r="T584">
            <v>0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20</v>
          </cell>
          <cell r="AD584">
            <v>6</v>
          </cell>
          <cell r="AE584" t="str">
            <v>multionly</v>
          </cell>
        </row>
        <row r="585">
          <cell r="A585" t="str">
            <v>30024_3</v>
          </cell>
          <cell r="B585">
            <v>3</v>
          </cell>
          <cell r="C585">
            <v>30024</v>
          </cell>
          <cell r="D585" t="str">
            <v>雷鎚の選定</v>
          </cell>
          <cell r="E585" t="str">
            <v>ドロップイベント7（マルチ専用）</v>
          </cell>
          <cell r="F585">
            <v>3</v>
          </cell>
          <cell r="G585" t="str">
            <v>ja</v>
          </cell>
          <cell r="H585" t="str">
            <v>【超級】雷鎚の選定</v>
          </cell>
          <cell r="I585" t="str">
            <v>超級</v>
          </cell>
          <cell r="J585">
            <v>584</v>
          </cell>
          <cell r="K585">
            <v>30</v>
          </cell>
          <cell r="L585">
            <v>3300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polygon</v>
          </cell>
          <cell r="T585">
            <v>1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20</v>
          </cell>
          <cell r="AD585">
            <v>6</v>
          </cell>
          <cell r="AE585" t="str">
            <v>multionly</v>
          </cell>
        </row>
        <row r="586">
          <cell r="A586" t="str">
            <v>30025_1</v>
          </cell>
          <cell r="B586">
            <v>3</v>
          </cell>
          <cell r="C586">
            <v>30025</v>
          </cell>
          <cell r="D586" t="str">
            <v>真実の探求者</v>
          </cell>
          <cell r="E586" t="str">
            <v>ドロップイベント7（マルチ専用）</v>
          </cell>
          <cell r="F586">
            <v>1</v>
          </cell>
          <cell r="G586" t="str">
            <v>ja</v>
          </cell>
          <cell r="H586" t="str">
            <v>【中級】真実の探求者</v>
          </cell>
          <cell r="I586" t="str">
            <v>中級</v>
          </cell>
          <cell r="J586">
            <v>579</v>
          </cell>
          <cell r="K586">
            <v>15</v>
          </cell>
          <cell r="L586">
            <v>1200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none</v>
          </cell>
          <cell r="T586">
            <v>0</v>
          </cell>
          <cell r="U586" t="str">
            <v>NULL</v>
          </cell>
          <cell r="V586" t="str">
            <v>NULL</v>
          </cell>
          <cell r="W586" t="str">
            <v/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7</v>
          </cell>
          <cell r="AD586">
            <v>6</v>
          </cell>
          <cell r="AE586" t="str">
            <v>everyone</v>
          </cell>
        </row>
        <row r="587">
          <cell r="A587" t="str">
            <v>30025_2</v>
          </cell>
          <cell r="B587">
            <v>3</v>
          </cell>
          <cell r="C587">
            <v>30025</v>
          </cell>
          <cell r="D587" t="str">
            <v>真実の探求者</v>
          </cell>
          <cell r="E587" t="str">
            <v>ドロップイベント7（マルチ専用）</v>
          </cell>
          <cell r="F587">
            <v>2</v>
          </cell>
          <cell r="G587" t="str">
            <v>ja</v>
          </cell>
          <cell r="H587" t="str">
            <v>【上級】真実の探求者</v>
          </cell>
          <cell r="I587" t="str">
            <v>上級</v>
          </cell>
          <cell r="J587">
            <v>579</v>
          </cell>
          <cell r="K587">
            <v>20</v>
          </cell>
          <cell r="L587">
            <v>2000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none</v>
          </cell>
          <cell r="T587">
            <v>0</v>
          </cell>
          <cell r="U587" t="str">
            <v>NULL</v>
          </cell>
          <cell r="V587" t="str">
            <v>NULL</v>
          </cell>
          <cell r="W587" t="str">
            <v/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7</v>
          </cell>
          <cell r="AD587">
            <v>6</v>
          </cell>
          <cell r="AE587" t="str">
            <v>everyone</v>
          </cell>
        </row>
        <row r="588">
          <cell r="A588" t="str">
            <v>30025_3</v>
          </cell>
          <cell r="B588">
            <v>3</v>
          </cell>
          <cell r="C588">
            <v>30025</v>
          </cell>
          <cell r="D588" t="str">
            <v>真実の探求者</v>
          </cell>
          <cell r="E588" t="str">
            <v>ドロップイベント7（マルチ専用）</v>
          </cell>
          <cell r="F588">
            <v>3</v>
          </cell>
          <cell r="G588" t="str">
            <v>ja</v>
          </cell>
          <cell r="H588" t="str">
            <v>【超級】真実の探求者</v>
          </cell>
          <cell r="I588" t="str">
            <v>超級</v>
          </cell>
          <cell r="J588">
            <v>580</v>
          </cell>
          <cell r="K588">
            <v>30</v>
          </cell>
          <cell r="L588">
            <v>3300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polygon</v>
          </cell>
          <cell r="T588">
            <v>1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7</v>
          </cell>
          <cell r="AD588">
            <v>6</v>
          </cell>
          <cell r="AE588" t="str">
            <v>everyone</v>
          </cell>
        </row>
        <row r="589">
          <cell r="A589" t="str">
            <v>30026_1</v>
          </cell>
          <cell r="B589">
            <v>3</v>
          </cell>
          <cell r="C589">
            <v>30026</v>
          </cell>
          <cell r="D589" t="str">
            <v>道を阻む妖精夫婦</v>
          </cell>
          <cell r="E589" t="str">
            <v>ドロップイベント7（マルチ専用）</v>
          </cell>
          <cell r="F589">
            <v>1</v>
          </cell>
          <cell r="G589" t="str">
            <v>ja</v>
          </cell>
          <cell r="H589" t="str">
            <v>【中級】道を阻む妖精夫婦</v>
          </cell>
          <cell r="I589" t="str">
            <v>中級</v>
          </cell>
          <cell r="J589">
            <v>577</v>
          </cell>
          <cell r="K589">
            <v>15</v>
          </cell>
          <cell r="L589">
            <v>1200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none</v>
          </cell>
          <cell r="T589">
            <v>0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21</v>
          </cell>
          <cell r="AD589">
            <v>6</v>
          </cell>
          <cell r="AE589" t="str">
            <v>everyone</v>
          </cell>
        </row>
        <row r="590">
          <cell r="A590" t="str">
            <v>30026_2</v>
          </cell>
          <cell r="B590">
            <v>3</v>
          </cell>
          <cell r="C590">
            <v>30026</v>
          </cell>
          <cell r="D590" t="str">
            <v>道を阻む妖精夫婦</v>
          </cell>
          <cell r="E590" t="str">
            <v>ドロップイベント7（マルチ専用）</v>
          </cell>
          <cell r="F590">
            <v>2</v>
          </cell>
          <cell r="G590" t="str">
            <v>ja</v>
          </cell>
          <cell r="H590" t="str">
            <v>【上級】道を阻む妖精夫婦</v>
          </cell>
          <cell r="I590" t="str">
            <v>上級</v>
          </cell>
          <cell r="J590">
            <v>577</v>
          </cell>
          <cell r="K590">
            <v>20</v>
          </cell>
          <cell r="L590">
            <v>2000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none</v>
          </cell>
          <cell r="T590">
            <v>0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21</v>
          </cell>
          <cell r="AD590">
            <v>6</v>
          </cell>
          <cell r="AE590" t="str">
            <v>everyone</v>
          </cell>
        </row>
        <row r="591">
          <cell r="A591" t="str">
            <v>30026_3</v>
          </cell>
          <cell r="B591">
            <v>3</v>
          </cell>
          <cell r="C591">
            <v>30026</v>
          </cell>
          <cell r="D591" t="str">
            <v>道を阻む妖精夫婦</v>
          </cell>
          <cell r="E591" t="str">
            <v>ドロップイベント7（マルチ専用）</v>
          </cell>
          <cell r="F591">
            <v>3</v>
          </cell>
          <cell r="G591" t="str">
            <v>ja</v>
          </cell>
          <cell r="H591" t="str">
            <v>【超級】道を阻む妖精夫婦</v>
          </cell>
          <cell r="I591" t="str">
            <v>超級</v>
          </cell>
          <cell r="J591">
            <v>578</v>
          </cell>
          <cell r="K591">
            <v>30</v>
          </cell>
          <cell r="L591">
            <v>3300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polygon</v>
          </cell>
          <cell r="T591">
            <v>1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21</v>
          </cell>
          <cell r="AD591">
            <v>6</v>
          </cell>
          <cell r="AE591" t="str">
            <v>everyone</v>
          </cell>
        </row>
        <row r="592">
          <cell r="A592" t="str">
            <v>30027_1</v>
          </cell>
          <cell r="B592">
            <v>3</v>
          </cell>
          <cell r="C592">
            <v>30027</v>
          </cell>
          <cell r="D592" t="str">
            <v>凍りつくまで愛してあげる</v>
          </cell>
          <cell r="E592" t="str">
            <v>ドロップイベント7（マルチ専用）</v>
          </cell>
          <cell r="F592">
            <v>1</v>
          </cell>
          <cell r="G592" t="str">
            <v>ja</v>
          </cell>
          <cell r="H592" t="str">
            <v>【中級】凍りつくまで愛してあげる</v>
          </cell>
          <cell r="I592" t="str">
            <v>中級</v>
          </cell>
          <cell r="J592">
            <v>646</v>
          </cell>
          <cell r="K592">
            <v>15</v>
          </cell>
          <cell r="L592">
            <v>1200</v>
          </cell>
          <cell r="M592">
            <v>0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none</v>
          </cell>
          <cell r="T592">
            <v>0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9</v>
          </cell>
          <cell r="AD592">
            <v>6</v>
          </cell>
          <cell r="AE592" t="str">
            <v>everyone</v>
          </cell>
        </row>
        <row r="593">
          <cell r="A593" t="str">
            <v>30027_2</v>
          </cell>
          <cell r="B593">
            <v>3</v>
          </cell>
          <cell r="C593">
            <v>30027</v>
          </cell>
          <cell r="D593" t="str">
            <v>凍りつくまで愛してあげる</v>
          </cell>
          <cell r="E593" t="str">
            <v>ドロップイベント7（マルチ専用）</v>
          </cell>
          <cell r="F593">
            <v>2</v>
          </cell>
          <cell r="G593" t="str">
            <v>ja</v>
          </cell>
          <cell r="H593" t="str">
            <v>【上級】凍りつくまで愛してあげる</v>
          </cell>
          <cell r="I593" t="str">
            <v>上級</v>
          </cell>
          <cell r="J593">
            <v>646</v>
          </cell>
          <cell r="K593">
            <v>20</v>
          </cell>
          <cell r="L593">
            <v>2000</v>
          </cell>
          <cell r="M593">
            <v>0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none</v>
          </cell>
          <cell r="T593">
            <v>0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9</v>
          </cell>
          <cell r="AD593">
            <v>6</v>
          </cell>
          <cell r="AE593" t="str">
            <v>everyone</v>
          </cell>
        </row>
        <row r="594">
          <cell r="A594" t="str">
            <v>30027_3</v>
          </cell>
          <cell r="B594">
            <v>3</v>
          </cell>
          <cell r="C594">
            <v>30027</v>
          </cell>
          <cell r="D594" t="str">
            <v>凍りつくまで愛してあげる</v>
          </cell>
          <cell r="E594" t="str">
            <v>ドロップイベント7（マルチ専用）</v>
          </cell>
          <cell r="F594">
            <v>3</v>
          </cell>
          <cell r="G594" t="str">
            <v>ja</v>
          </cell>
          <cell r="H594" t="str">
            <v>【超級】凍りつくまで愛してあげる</v>
          </cell>
          <cell r="I594" t="str">
            <v>超級</v>
          </cell>
          <cell r="J594">
            <v>647</v>
          </cell>
          <cell r="K594">
            <v>30</v>
          </cell>
          <cell r="L594">
            <v>3300</v>
          </cell>
          <cell r="M594">
            <v>0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polygon</v>
          </cell>
          <cell r="T594">
            <v>1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9</v>
          </cell>
          <cell r="AD594">
            <v>6</v>
          </cell>
          <cell r="AE594" t="str">
            <v>everyone</v>
          </cell>
        </row>
        <row r="595">
          <cell r="A595" t="str">
            <v>30028_1</v>
          </cell>
          <cell r="B595">
            <v>3</v>
          </cell>
          <cell r="C595">
            <v>30028</v>
          </cell>
          <cell r="D595" t="str">
            <v>最悪の刺客</v>
          </cell>
          <cell r="E595" t="str">
            <v>ドロップイベント8（マルチ専用）</v>
          </cell>
          <cell r="F595">
            <v>1</v>
          </cell>
          <cell r="G595" t="str">
            <v>ja</v>
          </cell>
          <cell r="H595" t="str">
            <v>【中級】最悪の刺客</v>
          </cell>
          <cell r="I595" t="str">
            <v>中級</v>
          </cell>
          <cell r="J595">
            <v>650</v>
          </cell>
          <cell r="K595">
            <v>15</v>
          </cell>
          <cell r="L595">
            <v>1200</v>
          </cell>
          <cell r="M595">
            <v>1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none</v>
          </cell>
          <cell r="T595">
            <v>0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2601</v>
          </cell>
          <cell r="AD595">
            <v>6</v>
          </cell>
          <cell r="AE595" t="str">
            <v>everyone</v>
          </cell>
        </row>
        <row r="596">
          <cell r="A596" t="str">
            <v>30028_2</v>
          </cell>
          <cell r="B596">
            <v>3</v>
          </cell>
          <cell r="C596">
            <v>30028</v>
          </cell>
          <cell r="D596" t="str">
            <v>最悪の刺客</v>
          </cell>
          <cell r="E596" t="str">
            <v>ドロップイベント8（マルチ専用）</v>
          </cell>
          <cell r="F596">
            <v>2</v>
          </cell>
          <cell r="G596" t="str">
            <v>ja</v>
          </cell>
          <cell r="H596" t="str">
            <v>【上級】最悪の刺客</v>
          </cell>
          <cell r="I596" t="str">
            <v>上級</v>
          </cell>
          <cell r="J596">
            <v>650</v>
          </cell>
          <cell r="K596">
            <v>20</v>
          </cell>
          <cell r="L596">
            <v>2000</v>
          </cell>
          <cell r="M596">
            <v>1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none</v>
          </cell>
          <cell r="T596">
            <v>0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2601</v>
          </cell>
          <cell r="AD596">
            <v>6</v>
          </cell>
          <cell r="AE596" t="str">
            <v>everyone</v>
          </cell>
        </row>
        <row r="597">
          <cell r="A597" t="str">
            <v>30028_3</v>
          </cell>
          <cell r="B597">
            <v>3</v>
          </cell>
          <cell r="C597">
            <v>30028</v>
          </cell>
          <cell r="D597" t="str">
            <v>最悪の刺客</v>
          </cell>
          <cell r="E597" t="str">
            <v>ドロップイベント8（マルチ専用）</v>
          </cell>
          <cell r="F597">
            <v>3</v>
          </cell>
          <cell r="G597" t="str">
            <v>ja</v>
          </cell>
          <cell r="H597" t="str">
            <v>【超級】最悪の刺客</v>
          </cell>
          <cell r="I597" t="str">
            <v>超級</v>
          </cell>
          <cell r="J597">
            <v>651</v>
          </cell>
          <cell r="K597">
            <v>30</v>
          </cell>
          <cell r="L597">
            <v>3300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polygon</v>
          </cell>
          <cell r="T597">
            <v>1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2601</v>
          </cell>
          <cell r="AD597">
            <v>6</v>
          </cell>
          <cell r="AE597" t="str">
            <v>everyone</v>
          </cell>
        </row>
        <row r="598">
          <cell r="A598" t="str">
            <v>30029_1</v>
          </cell>
          <cell r="B598">
            <v>3</v>
          </cell>
          <cell r="C598">
            <v>30029</v>
          </cell>
          <cell r="D598" t="str">
            <v>全ては主のために</v>
          </cell>
          <cell r="E598" t="str">
            <v>ドロップイベント8（マルチ専用）</v>
          </cell>
          <cell r="F598">
            <v>1</v>
          </cell>
          <cell r="G598" t="str">
            <v>ja</v>
          </cell>
          <cell r="H598" t="str">
            <v>【中級】全ては主のために</v>
          </cell>
          <cell r="I598" t="str">
            <v>中級</v>
          </cell>
          <cell r="J598">
            <v>648</v>
          </cell>
          <cell r="K598">
            <v>15</v>
          </cell>
          <cell r="L598">
            <v>1200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none</v>
          </cell>
          <cell r="T598">
            <v>0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5</v>
          </cell>
          <cell r="AD598">
            <v>6</v>
          </cell>
          <cell r="AE598" t="str">
            <v>everyone</v>
          </cell>
        </row>
        <row r="599">
          <cell r="A599" t="str">
            <v>30029_2</v>
          </cell>
          <cell r="B599">
            <v>3</v>
          </cell>
          <cell r="C599">
            <v>30029</v>
          </cell>
          <cell r="D599" t="str">
            <v>全ては主のために</v>
          </cell>
          <cell r="E599" t="str">
            <v>ドロップイベント8（マルチ専用）</v>
          </cell>
          <cell r="F599">
            <v>2</v>
          </cell>
          <cell r="G599" t="str">
            <v>ja</v>
          </cell>
          <cell r="H599" t="str">
            <v>【上級】全ては主のために</v>
          </cell>
          <cell r="I599" t="str">
            <v>上級</v>
          </cell>
          <cell r="J599">
            <v>648</v>
          </cell>
          <cell r="K599">
            <v>20</v>
          </cell>
          <cell r="L599">
            <v>2000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none</v>
          </cell>
          <cell r="T599">
            <v>0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5</v>
          </cell>
          <cell r="AD599">
            <v>6</v>
          </cell>
          <cell r="AE599" t="str">
            <v>everyone</v>
          </cell>
        </row>
        <row r="600">
          <cell r="A600" t="str">
            <v>30029_3</v>
          </cell>
          <cell r="B600">
            <v>3</v>
          </cell>
          <cell r="C600">
            <v>30029</v>
          </cell>
          <cell r="D600" t="str">
            <v>全ては主のために</v>
          </cell>
          <cell r="E600" t="str">
            <v>ドロップイベント8（マルチ専用）</v>
          </cell>
          <cell r="F600">
            <v>3</v>
          </cell>
          <cell r="G600" t="str">
            <v>ja</v>
          </cell>
          <cell r="H600" t="str">
            <v>【超級】全ては主のために</v>
          </cell>
          <cell r="I600" t="str">
            <v>超級</v>
          </cell>
          <cell r="J600">
            <v>648</v>
          </cell>
          <cell r="K600">
            <v>30</v>
          </cell>
          <cell r="L600">
            <v>3300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polygon</v>
          </cell>
          <cell r="T600">
            <v>1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5</v>
          </cell>
          <cell r="AD600">
            <v>6</v>
          </cell>
          <cell r="AE600" t="str">
            <v>everyone</v>
          </cell>
        </row>
        <row r="601">
          <cell r="A601" t="str">
            <v>30030_1</v>
          </cell>
          <cell r="B601">
            <v>3</v>
          </cell>
          <cell r="C601">
            <v>30030</v>
          </cell>
          <cell r="D601" t="str">
            <v>ここは誰の箱庭じゃ？</v>
          </cell>
          <cell r="E601" t="str">
            <v>ドロップイベント9（マルチ専用）</v>
          </cell>
          <cell r="F601">
            <v>1</v>
          </cell>
          <cell r="G601" t="str">
            <v>ja</v>
          </cell>
          <cell r="H601" t="str">
            <v>【中級】ここは誰の箱庭じゃ？</v>
          </cell>
          <cell r="I601" t="str">
            <v>中級</v>
          </cell>
          <cell r="J601">
            <v>652</v>
          </cell>
          <cell r="K601">
            <v>15</v>
          </cell>
          <cell r="L601">
            <v>1200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none</v>
          </cell>
          <cell r="T601">
            <v>0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8</v>
          </cell>
          <cell r="AD601">
            <v>6</v>
          </cell>
          <cell r="AE601" t="str">
            <v>everyone</v>
          </cell>
        </row>
        <row r="602">
          <cell r="A602" t="str">
            <v>30030_2</v>
          </cell>
          <cell r="B602">
            <v>3</v>
          </cell>
          <cell r="C602">
            <v>30030</v>
          </cell>
          <cell r="D602" t="str">
            <v>ここは誰の箱庭じゃ？</v>
          </cell>
          <cell r="E602" t="str">
            <v>ドロップイベント9（マルチ専用）</v>
          </cell>
          <cell r="F602">
            <v>2</v>
          </cell>
          <cell r="G602" t="str">
            <v>ja</v>
          </cell>
          <cell r="H602" t="str">
            <v>【上級】ここは誰の箱庭じゃ？</v>
          </cell>
          <cell r="I602" t="str">
            <v>上級</v>
          </cell>
          <cell r="J602">
            <v>653</v>
          </cell>
          <cell r="K602">
            <v>20</v>
          </cell>
          <cell r="L602">
            <v>2000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none</v>
          </cell>
          <cell r="T602">
            <v>0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8</v>
          </cell>
          <cell r="AD602">
            <v>6</v>
          </cell>
          <cell r="AE602" t="str">
            <v>everyone</v>
          </cell>
        </row>
        <row r="603">
          <cell r="A603" t="str">
            <v>30030_3</v>
          </cell>
          <cell r="B603">
            <v>3</v>
          </cell>
          <cell r="C603">
            <v>30030</v>
          </cell>
          <cell r="D603" t="str">
            <v>ここは誰の箱庭じゃ？</v>
          </cell>
          <cell r="E603" t="str">
            <v>ドロップイベント9（マルチ専用）</v>
          </cell>
          <cell r="F603">
            <v>3</v>
          </cell>
          <cell r="G603" t="str">
            <v>ja</v>
          </cell>
          <cell r="H603" t="str">
            <v>【超級】ここは誰の箱庭じゃ？</v>
          </cell>
          <cell r="I603" t="str">
            <v>超級</v>
          </cell>
          <cell r="J603">
            <v>653</v>
          </cell>
          <cell r="K603">
            <v>30</v>
          </cell>
          <cell r="L603">
            <v>3300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polygon</v>
          </cell>
          <cell r="T603">
            <v>1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8</v>
          </cell>
          <cell r="AD603">
            <v>6</v>
          </cell>
          <cell r="AE603" t="str">
            <v>everyone</v>
          </cell>
        </row>
        <row r="604">
          <cell r="A604" t="str">
            <v>30031_1</v>
          </cell>
          <cell r="B604">
            <v>3</v>
          </cell>
          <cell r="C604">
            <v>30031</v>
          </cell>
          <cell r="D604" t="str">
            <v>力への羨望</v>
          </cell>
          <cell r="E604" t="str">
            <v>ドロップイベント10（マルチ専用）</v>
          </cell>
          <cell r="F604">
            <v>1</v>
          </cell>
          <cell r="G604" t="str">
            <v>ja</v>
          </cell>
          <cell r="H604" t="str">
            <v>【中級】力への羨望</v>
          </cell>
          <cell r="I604" t="str">
            <v>中級</v>
          </cell>
          <cell r="J604">
            <v>764</v>
          </cell>
          <cell r="K604">
            <v>15</v>
          </cell>
          <cell r="L604">
            <v>1200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none</v>
          </cell>
          <cell r="T604">
            <v>0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20</v>
          </cell>
          <cell r="AD604">
            <v>6</v>
          </cell>
          <cell r="AE604" t="str">
            <v>everyone</v>
          </cell>
        </row>
        <row r="605">
          <cell r="A605" t="str">
            <v>30031_2</v>
          </cell>
          <cell r="B605">
            <v>3</v>
          </cell>
          <cell r="C605">
            <v>30031</v>
          </cell>
          <cell r="D605" t="str">
            <v>力への羨望</v>
          </cell>
          <cell r="E605" t="str">
            <v>ドロップイベント10（マルチ専用）</v>
          </cell>
          <cell r="F605">
            <v>2</v>
          </cell>
          <cell r="G605" t="str">
            <v>ja</v>
          </cell>
          <cell r="H605" t="str">
            <v>【上級】力への羨望</v>
          </cell>
          <cell r="I605" t="str">
            <v>上級</v>
          </cell>
          <cell r="J605">
            <v>764</v>
          </cell>
          <cell r="K605">
            <v>20</v>
          </cell>
          <cell r="L605">
            <v>2000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none</v>
          </cell>
          <cell r="T605">
            <v>0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20</v>
          </cell>
          <cell r="AD605">
            <v>6</v>
          </cell>
          <cell r="AE605" t="str">
            <v>everyone</v>
          </cell>
        </row>
        <row r="606">
          <cell r="A606" t="str">
            <v>30031_3</v>
          </cell>
          <cell r="B606">
            <v>3</v>
          </cell>
          <cell r="C606">
            <v>30031</v>
          </cell>
          <cell r="D606" t="str">
            <v>力への羨望</v>
          </cell>
          <cell r="E606" t="str">
            <v>ドロップイベント10（マルチ専用）</v>
          </cell>
          <cell r="F606">
            <v>3</v>
          </cell>
          <cell r="G606" t="str">
            <v>ja</v>
          </cell>
          <cell r="H606" t="str">
            <v>【超級】力への羨望</v>
          </cell>
          <cell r="I606" t="str">
            <v>超級</v>
          </cell>
          <cell r="J606">
            <v>765</v>
          </cell>
          <cell r="K606">
            <v>30</v>
          </cell>
          <cell r="L606">
            <v>3300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polygon</v>
          </cell>
          <cell r="T606">
            <v>1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20</v>
          </cell>
          <cell r="AD606">
            <v>6</v>
          </cell>
          <cell r="AE606" t="str">
            <v>everyone</v>
          </cell>
        </row>
        <row r="607">
          <cell r="A607" t="str">
            <v>30032_1</v>
          </cell>
          <cell r="B607">
            <v>3</v>
          </cell>
          <cell r="C607">
            <v>30032</v>
          </cell>
          <cell r="D607" t="str">
            <v>赤き竜の制裁</v>
          </cell>
          <cell r="E607" t="str">
            <v>円卓2（マルチ専用）</v>
          </cell>
          <cell r="F607">
            <v>1</v>
          </cell>
          <cell r="G607" t="str">
            <v>ja</v>
          </cell>
          <cell r="H607" t="str">
            <v>【中級】赤き竜の制裁</v>
          </cell>
          <cell r="I607" t="str">
            <v>中級</v>
          </cell>
          <cell r="J607">
            <v>767</v>
          </cell>
          <cell r="K607">
            <v>15</v>
          </cell>
          <cell r="L607">
            <v>1200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none</v>
          </cell>
          <cell r="T607">
            <v>0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14</v>
          </cell>
          <cell r="AD607">
            <v>6</v>
          </cell>
          <cell r="AE607" t="str">
            <v>everyone</v>
          </cell>
        </row>
        <row r="608">
          <cell r="A608" t="str">
            <v>30032_2</v>
          </cell>
          <cell r="B608">
            <v>3</v>
          </cell>
          <cell r="C608">
            <v>30032</v>
          </cell>
          <cell r="D608" t="str">
            <v>赤き竜の制裁</v>
          </cell>
          <cell r="E608" t="str">
            <v>円卓2（マルチ専用）</v>
          </cell>
          <cell r="F608">
            <v>2</v>
          </cell>
          <cell r="G608" t="str">
            <v>ja</v>
          </cell>
          <cell r="H608" t="str">
            <v>【上級】赤き竜の制裁</v>
          </cell>
          <cell r="I608" t="str">
            <v>上級</v>
          </cell>
          <cell r="J608">
            <v>767</v>
          </cell>
          <cell r="K608">
            <v>20</v>
          </cell>
          <cell r="L608">
            <v>2000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none</v>
          </cell>
          <cell r="T608">
            <v>0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14</v>
          </cell>
          <cell r="AD608">
            <v>6</v>
          </cell>
          <cell r="AE608" t="str">
            <v>everyone</v>
          </cell>
        </row>
        <row r="609">
          <cell r="A609" t="str">
            <v>30032_3</v>
          </cell>
          <cell r="B609">
            <v>3</v>
          </cell>
          <cell r="C609">
            <v>30032</v>
          </cell>
          <cell r="D609" t="str">
            <v>赤き竜の制裁</v>
          </cell>
          <cell r="E609" t="str">
            <v>円卓2（マルチ専用）</v>
          </cell>
          <cell r="F609">
            <v>3</v>
          </cell>
          <cell r="G609" t="str">
            <v>ja</v>
          </cell>
          <cell r="H609" t="str">
            <v>【超級】赤き竜の制裁</v>
          </cell>
          <cell r="I609" t="str">
            <v>超級</v>
          </cell>
          <cell r="J609">
            <v>767</v>
          </cell>
          <cell r="K609">
            <v>30</v>
          </cell>
          <cell r="L609">
            <v>3300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polygon</v>
          </cell>
          <cell r="T609">
            <v>1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14</v>
          </cell>
          <cell r="AD609">
            <v>6</v>
          </cell>
          <cell r="AE609" t="str">
            <v>everyone</v>
          </cell>
        </row>
        <row r="610">
          <cell r="A610" t="str">
            <v>30033_1</v>
          </cell>
          <cell r="B610">
            <v>3</v>
          </cell>
          <cell r="C610">
            <v>30033</v>
          </cell>
          <cell r="D610" t="str">
            <v>御館様の懐刀</v>
          </cell>
          <cell r="E610" t="str">
            <v>戦国１</v>
          </cell>
          <cell r="F610">
            <v>1</v>
          </cell>
          <cell r="G610" t="str">
            <v>ja</v>
          </cell>
          <cell r="H610" t="str">
            <v>【中級】御館様の懐刀</v>
          </cell>
          <cell r="I610" t="str">
            <v>中級</v>
          </cell>
          <cell r="J610">
            <v>722</v>
          </cell>
          <cell r="K610">
            <v>15</v>
          </cell>
          <cell r="L610">
            <v>1200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none</v>
          </cell>
          <cell r="T610">
            <v>0</v>
          </cell>
          <cell r="U610" t="str">
            <v>NULL</v>
          </cell>
          <cell r="V610" t="str">
            <v>NULL</v>
          </cell>
          <cell r="W610" t="str">
            <v/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2</v>
          </cell>
          <cell r="AD610">
            <v>6</v>
          </cell>
          <cell r="AE610" t="str">
            <v>everyone</v>
          </cell>
        </row>
        <row r="611">
          <cell r="A611" t="str">
            <v>30033_2</v>
          </cell>
          <cell r="B611">
            <v>3</v>
          </cell>
          <cell r="C611">
            <v>30033</v>
          </cell>
          <cell r="D611" t="str">
            <v>御館様の懐刀</v>
          </cell>
          <cell r="E611" t="str">
            <v>戦国１</v>
          </cell>
          <cell r="F611">
            <v>2</v>
          </cell>
          <cell r="G611" t="str">
            <v>ja</v>
          </cell>
          <cell r="H611" t="str">
            <v>【上級】御館様の懐刀</v>
          </cell>
          <cell r="I611" t="str">
            <v>上級</v>
          </cell>
          <cell r="J611">
            <v>722</v>
          </cell>
          <cell r="K611">
            <v>20</v>
          </cell>
          <cell r="L611">
            <v>2000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none</v>
          </cell>
          <cell r="T611">
            <v>0</v>
          </cell>
          <cell r="U611" t="str">
            <v>NULL</v>
          </cell>
          <cell r="V611" t="str">
            <v>NULL</v>
          </cell>
          <cell r="W611" t="str">
            <v/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2</v>
          </cell>
          <cell r="AD611">
            <v>6</v>
          </cell>
          <cell r="AE611" t="str">
            <v>everyone</v>
          </cell>
        </row>
        <row r="612">
          <cell r="A612" t="str">
            <v>30033_3</v>
          </cell>
          <cell r="B612">
            <v>3</v>
          </cell>
          <cell r="C612">
            <v>30033</v>
          </cell>
          <cell r="D612" t="str">
            <v>御館様の懐刀</v>
          </cell>
          <cell r="E612" t="str">
            <v>戦国１</v>
          </cell>
          <cell r="F612">
            <v>3</v>
          </cell>
          <cell r="G612" t="str">
            <v>ja</v>
          </cell>
          <cell r="H612" t="str">
            <v>【超級】御館様の懐刀</v>
          </cell>
          <cell r="I612" t="str">
            <v>超級</v>
          </cell>
          <cell r="J612">
            <v>723</v>
          </cell>
          <cell r="K612">
            <v>30</v>
          </cell>
          <cell r="L612">
            <v>3300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polygon</v>
          </cell>
          <cell r="T612">
            <v>1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2</v>
          </cell>
          <cell r="AD612">
            <v>6</v>
          </cell>
          <cell r="AE612" t="str">
            <v>everyone</v>
          </cell>
        </row>
        <row r="613">
          <cell r="A613" t="str">
            <v>30034_1</v>
          </cell>
          <cell r="B613">
            <v>3</v>
          </cell>
          <cell r="C613">
            <v>30034</v>
          </cell>
          <cell r="D613" t="str">
            <v>孤高の焔翼</v>
          </cell>
          <cell r="E613" t="str">
            <v>天使と悪魔</v>
          </cell>
          <cell r="F613">
            <v>1</v>
          </cell>
          <cell r="G613" t="str">
            <v>ja</v>
          </cell>
          <cell r="H613" t="str">
            <v>【中級】孤高の焔翼</v>
          </cell>
          <cell r="I613" t="str">
            <v>中級</v>
          </cell>
          <cell r="J613">
            <v>840</v>
          </cell>
          <cell r="K613">
            <v>15</v>
          </cell>
          <cell r="L613">
            <v>1200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none</v>
          </cell>
          <cell r="T613">
            <v>0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10</v>
          </cell>
          <cell r="AD613">
            <v>6</v>
          </cell>
          <cell r="AE613" t="str">
            <v>everyone</v>
          </cell>
        </row>
        <row r="614">
          <cell r="A614" t="str">
            <v>30034_2</v>
          </cell>
          <cell r="B614">
            <v>3</v>
          </cell>
          <cell r="C614">
            <v>30034</v>
          </cell>
          <cell r="D614" t="str">
            <v>孤高の焔翼</v>
          </cell>
          <cell r="E614" t="str">
            <v>天使と悪魔</v>
          </cell>
          <cell r="F614">
            <v>2</v>
          </cell>
          <cell r="G614" t="str">
            <v>ja</v>
          </cell>
          <cell r="H614" t="str">
            <v>【上級】孤高の焔翼</v>
          </cell>
          <cell r="I614" t="str">
            <v>上級</v>
          </cell>
          <cell r="J614">
            <v>840</v>
          </cell>
          <cell r="K614">
            <v>20</v>
          </cell>
          <cell r="L614">
            <v>2000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none</v>
          </cell>
          <cell r="T614">
            <v>0</v>
          </cell>
          <cell r="U614" t="str">
            <v>NULL</v>
          </cell>
          <cell r="V614" t="str">
            <v>NULL</v>
          </cell>
          <cell r="W614" t="str">
            <v/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10</v>
          </cell>
          <cell r="AD614">
            <v>6</v>
          </cell>
          <cell r="AE614" t="str">
            <v>everyone</v>
          </cell>
        </row>
        <row r="615">
          <cell r="A615" t="str">
            <v>30034_3</v>
          </cell>
          <cell r="B615">
            <v>3</v>
          </cell>
          <cell r="C615">
            <v>30034</v>
          </cell>
          <cell r="D615" t="str">
            <v>孤高の焔翼</v>
          </cell>
          <cell r="E615" t="str">
            <v>天使と悪魔</v>
          </cell>
          <cell r="F615">
            <v>3</v>
          </cell>
          <cell r="G615" t="str">
            <v>ja</v>
          </cell>
          <cell r="H615" t="str">
            <v>【超級】孤高の焔翼</v>
          </cell>
          <cell r="I615" t="str">
            <v>超級</v>
          </cell>
          <cell r="J615">
            <v>841</v>
          </cell>
          <cell r="K615">
            <v>30</v>
          </cell>
          <cell r="L615">
            <v>3300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polygon</v>
          </cell>
          <cell r="T615">
            <v>1</v>
          </cell>
          <cell r="U615" t="str">
            <v>NULL</v>
          </cell>
          <cell r="V615" t="str">
            <v>NULL</v>
          </cell>
          <cell r="W615" t="str">
            <v/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10</v>
          </cell>
          <cell r="AD615">
            <v>6</v>
          </cell>
          <cell r="AE615" t="str">
            <v>everyone</v>
          </cell>
        </row>
        <row r="616">
          <cell r="A616" t="str">
            <v>30035_1</v>
          </cell>
          <cell r="B616">
            <v>3</v>
          </cell>
          <cell r="C616">
            <v>30035</v>
          </cell>
          <cell r="D616" t="str">
            <v>大鯨の呼び声</v>
          </cell>
          <cell r="E616" t="str">
            <v>童話シリーズ3本目</v>
          </cell>
          <cell r="F616">
            <v>1</v>
          </cell>
          <cell r="G616" t="str">
            <v>ja</v>
          </cell>
          <cell r="H616" t="str">
            <v>【中級】大鯨の呼び声</v>
          </cell>
          <cell r="I616" t="str">
            <v>中級</v>
          </cell>
          <cell r="J616">
            <v>858</v>
          </cell>
          <cell r="K616">
            <v>15</v>
          </cell>
          <cell r="L616">
            <v>1200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none</v>
          </cell>
          <cell r="T616">
            <v>0</v>
          </cell>
          <cell r="U616" t="str">
            <v>NULL</v>
          </cell>
          <cell r="V616" t="str">
            <v>NULL</v>
          </cell>
          <cell r="W616" t="str">
            <v/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5</v>
          </cell>
          <cell r="AD616">
            <v>6</v>
          </cell>
          <cell r="AE616" t="str">
            <v>everyone</v>
          </cell>
        </row>
        <row r="617">
          <cell r="A617" t="str">
            <v>30035_2</v>
          </cell>
          <cell r="B617">
            <v>3</v>
          </cell>
          <cell r="C617">
            <v>30035</v>
          </cell>
          <cell r="D617" t="str">
            <v>大鯨の呼び声</v>
          </cell>
          <cell r="E617" t="str">
            <v>童話シリーズ3本目</v>
          </cell>
          <cell r="F617">
            <v>2</v>
          </cell>
          <cell r="G617" t="str">
            <v>ja</v>
          </cell>
          <cell r="H617" t="str">
            <v>【上級】大鯨の呼び声</v>
          </cell>
          <cell r="I617" t="str">
            <v>上級</v>
          </cell>
          <cell r="J617">
            <v>858</v>
          </cell>
          <cell r="K617">
            <v>20</v>
          </cell>
          <cell r="L617">
            <v>2000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none</v>
          </cell>
          <cell r="T617">
            <v>0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5</v>
          </cell>
          <cell r="AD617">
            <v>6</v>
          </cell>
          <cell r="AE617" t="str">
            <v>everyone</v>
          </cell>
        </row>
        <row r="618">
          <cell r="A618" t="str">
            <v>30035_3</v>
          </cell>
          <cell r="B618">
            <v>3</v>
          </cell>
          <cell r="C618">
            <v>30035</v>
          </cell>
          <cell r="D618" t="str">
            <v>大鯨の呼び声</v>
          </cell>
          <cell r="E618" t="str">
            <v>童話シリーズ3本目</v>
          </cell>
          <cell r="F618">
            <v>3</v>
          </cell>
          <cell r="G618" t="str">
            <v>ja</v>
          </cell>
          <cell r="H618" t="str">
            <v>【超級】大鯨の呼び声</v>
          </cell>
          <cell r="I618" t="str">
            <v>超級</v>
          </cell>
          <cell r="J618">
            <v>859</v>
          </cell>
          <cell r="K618">
            <v>30</v>
          </cell>
          <cell r="L618">
            <v>3300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polygon</v>
          </cell>
          <cell r="T618">
            <v>1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5</v>
          </cell>
          <cell r="AD618">
            <v>6</v>
          </cell>
          <cell r="AE618" t="str">
            <v>everyone</v>
          </cell>
        </row>
        <row r="619">
          <cell r="A619" t="str">
            <v>30036_1</v>
          </cell>
          <cell r="B619">
            <v>3</v>
          </cell>
          <cell r="C619">
            <v>30036</v>
          </cell>
          <cell r="D619" t="str">
            <v>猛然たる炎獣使い</v>
          </cell>
          <cell r="E619" t="str">
            <v>ギリシャ神話シリーズ超級</v>
          </cell>
          <cell r="F619">
            <v>1</v>
          </cell>
          <cell r="G619" t="str">
            <v>ja</v>
          </cell>
          <cell r="H619" t="str">
            <v>【中級】猛然たる炎獣使い</v>
          </cell>
          <cell r="I619" t="str">
            <v>中級</v>
          </cell>
          <cell r="J619">
            <v>736</v>
          </cell>
          <cell r="K619">
            <v>15</v>
          </cell>
          <cell r="L619">
            <v>1200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none</v>
          </cell>
          <cell r="T619">
            <v>0</v>
          </cell>
          <cell r="U619" t="str">
            <v>NULL</v>
          </cell>
          <cell r="V619" t="str">
            <v>NULL</v>
          </cell>
          <cell r="W619" t="str">
            <v/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14</v>
          </cell>
          <cell r="AD619">
            <v>6</v>
          </cell>
          <cell r="AE619" t="str">
            <v>everyone</v>
          </cell>
        </row>
        <row r="620">
          <cell r="A620" t="str">
            <v>30036_2</v>
          </cell>
          <cell r="B620">
            <v>3</v>
          </cell>
          <cell r="C620">
            <v>30036</v>
          </cell>
          <cell r="D620" t="str">
            <v>猛然たる炎獣使い</v>
          </cell>
          <cell r="E620" t="str">
            <v>ギリシャ神話シリーズ超級</v>
          </cell>
          <cell r="F620">
            <v>2</v>
          </cell>
          <cell r="G620" t="str">
            <v>ja</v>
          </cell>
          <cell r="H620" t="str">
            <v>【上級】猛然たる炎獣使い</v>
          </cell>
          <cell r="I620" t="str">
            <v>上級</v>
          </cell>
          <cell r="J620">
            <v>737</v>
          </cell>
          <cell r="K620">
            <v>20</v>
          </cell>
          <cell r="L620">
            <v>2000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none</v>
          </cell>
          <cell r="T620">
            <v>0</v>
          </cell>
          <cell r="U620" t="str">
            <v>NULL</v>
          </cell>
          <cell r="V620" t="str">
            <v>NULL</v>
          </cell>
          <cell r="W620" t="str">
            <v/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14</v>
          </cell>
          <cell r="AD620">
            <v>6</v>
          </cell>
          <cell r="AE620" t="str">
            <v>everyone</v>
          </cell>
        </row>
        <row r="621">
          <cell r="A621" t="str">
            <v>30036_3</v>
          </cell>
          <cell r="B621">
            <v>3</v>
          </cell>
          <cell r="C621">
            <v>30036</v>
          </cell>
          <cell r="D621" t="str">
            <v>猛然たる炎獣使い</v>
          </cell>
          <cell r="E621" t="str">
            <v>ギリシャ神話シリーズ超級</v>
          </cell>
          <cell r="F621">
            <v>3</v>
          </cell>
          <cell r="G621" t="str">
            <v>ja</v>
          </cell>
          <cell r="H621" t="str">
            <v>【超級】猛然たる炎獣使い</v>
          </cell>
          <cell r="I621" t="str">
            <v>超級</v>
          </cell>
          <cell r="J621">
            <v>737</v>
          </cell>
          <cell r="K621">
            <v>30</v>
          </cell>
          <cell r="L621">
            <v>3300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polygon</v>
          </cell>
          <cell r="T621">
            <v>1</v>
          </cell>
          <cell r="U621" t="str">
            <v>NULL</v>
          </cell>
          <cell r="V621" t="str">
            <v>NULL</v>
          </cell>
          <cell r="W621" t="str">
            <v/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14</v>
          </cell>
          <cell r="AD621">
            <v>6</v>
          </cell>
          <cell r="AE621" t="str">
            <v>everyone</v>
          </cell>
        </row>
        <row r="622">
          <cell r="A622" t="str">
            <v>30037_1</v>
          </cell>
          <cell r="B622">
            <v>3</v>
          </cell>
          <cell r="C622">
            <v>30037</v>
          </cell>
          <cell r="D622" t="str">
            <v>灯り火の麗人</v>
          </cell>
          <cell r="E622" t="str">
            <v>フランス革命シリーズ超級</v>
          </cell>
          <cell r="F622">
            <v>1</v>
          </cell>
          <cell r="G622" t="str">
            <v>ja</v>
          </cell>
          <cell r="H622" t="str">
            <v>【中級】灯り火の麗人</v>
          </cell>
          <cell r="I622" t="str">
            <v>中級</v>
          </cell>
          <cell r="J622">
            <v>934</v>
          </cell>
          <cell r="K622">
            <v>15</v>
          </cell>
          <cell r="L622">
            <v>1200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1</v>
          </cell>
          <cell r="R622">
            <v>3</v>
          </cell>
          <cell r="S622" t="str">
            <v>none</v>
          </cell>
          <cell r="T622">
            <v>0</v>
          </cell>
          <cell r="U622" t="str">
            <v>NULL</v>
          </cell>
          <cell r="V622" t="str">
            <v>NULL</v>
          </cell>
          <cell r="W622" t="str">
            <v/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6</v>
          </cell>
          <cell r="AD622">
            <v>6</v>
          </cell>
          <cell r="AE622" t="str">
            <v>everyone</v>
          </cell>
        </row>
        <row r="623">
          <cell r="A623" t="str">
            <v>30037_2</v>
          </cell>
          <cell r="B623">
            <v>3</v>
          </cell>
          <cell r="C623">
            <v>30037</v>
          </cell>
          <cell r="D623" t="str">
            <v>灯り火の麗人</v>
          </cell>
          <cell r="E623" t="str">
            <v>フランス革命シリーズ超級</v>
          </cell>
          <cell r="F623">
            <v>2</v>
          </cell>
          <cell r="G623" t="str">
            <v>ja</v>
          </cell>
          <cell r="H623" t="str">
            <v>【上級】灯り火の麗人</v>
          </cell>
          <cell r="I623" t="str">
            <v>上級</v>
          </cell>
          <cell r="J623">
            <v>934</v>
          </cell>
          <cell r="K623">
            <v>20</v>
          </cell>
          <cell r="L623">
            <v>2000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none</v>
          </cell>
          <cell r="T623">
            <v>0</v>
          </cell>
          <cell r="U623" t="str">
            <v>NULL</v>
          </cell>
          <cell r="V623" t="str">
            <v>NULL</v>
          </cell>
          <cell r="W623" t="str">
            <v/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6</v>
          </cell>
          <cell r="AD623">
            <v>6</v>
          </cell>
          <cell r="AE623" t="str">
            <v>everyone</v>
          </cell>
        </row>
        <row r="624">
          <cell r="A624" t="str">
            <v>30037_3</v>
          </cell>
          <cell r="B624">
            <v>3</v>
          </cell>
          <cell r="C624">
            <v>30037</v>
          </cell>
          <cell r="D624" t="str">
            <v>灯り火の麗人</v>
          </cell>
          <cell r="E624" t="str">
            <v>フランス革命シリーズ超級</v>
          </cell>
          <cell r="F624">
            <v>3</v>
          </cell>
          <cell r="G624" t="str">
            <v>ja</v>
          </cell>
          <cell r="H624" t="str">
            <v>【超級】灯り火の麗人</v>
          </cell>
          <cell r="I624" t="str">
            <v>超級</v>
          </cell>
          <cell r="J624">
            <v>934</v>
          </cell>
          <cell r="K624">
            <v>30</v>
          </cell>
          <cell r="L624">
            <v>3300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polygon</v>
          </cell>
          <cell r="T624">
            <v>1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6</v>
          </cell>
          <cell r="AD624">
            <v>6</v>
          </cell>
          <cell r="AE624" t="str">
            <v>everyone</v>
          </cell>
        </row>
        <row r="625">
          <cell r="A625" t="str">
            <v>30038_1</v>
          </cell>
          <cell r="B625">
            <v>3</v>
          </cell>
          <cell r="C625">
            <v>30038</v>
          </cell>
          <cell r="D625" t="str">
            <v>毒絶神の願い</v>
          </cell>
          <cell r="E625" t="str">
            <v>エジプト神話シリーズ超級</v>
          </cell>
          <cell r="F625">
            <v>1</v>
          </cell>
          <cell r="G625" t="str">
            <v>ja</v>
          </cell>
          <cell r="H625" t="str">
            <v>【中級】毒絶神の願い</v>
          </cell>
          <cell r="I625" t="str">
            <v>中級</v>
          </cell>
          <cell r="J625">
            <v>1007</v>
          </cell>
          <cell r="K625">
            <v>15</v>
          </cell>
          <cell r="L625">
            <v>1200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none</v>
          </cell>
          <cell r="T625">
            <v>0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8</v>
          </cell>
          <cell r="AD625">
            <v>6</v>
          </cell>
          <cell r="AE625" t="str">
            <v>everyone</v>
          </cell>
        </row>
        <row r="626">
          <cell r="A626" t="str">
            <v>30038_2</v>
          </cell>
          <cell r="B626">
            <v>3</v>
          </cell>
          <cell r="C626">
            <v>30038</v>
          </cell>
          <cell r="D626" t="str">
            <v>毒絶神の願い</v>
          </cell>
          <cell r="E626" t="str">
            <v>エジプト神話シリーズ超級</v>
          </cell>
          <cell r="F626">
            <v>2</v>
          </cell>
          <cell r="G626" t="str">
            <v>ja</v>
          </cell>
          <cell r="H626" t="str">
            <v>【上級】毒絶神の願い</v>
          </cell>
          <cell r="I626" t="str">
            <v>上級</v>
          </cell>
          <cell r="J626">
            <v>1007</v>
          </cell>
          <cell r="K626">
            <v>20</v>
          </cell>
          <cell r="L626">
            <v>2000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none</v>
          </cell>
          <cell r="T626">
            <v>0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8</v>
          </cell>
          <cell r="AD626">
            <v>6</v>
          </cell>
          <cell r="AE626" t="str">
            <v>everyone</v>
          </cell>
        </row>
        <row r="627">
          <cell r="A627" t="str">
            <v>30038_3</v>
          </cell>
          <cell r="B627">
            <v>3</v>
          </cell>
          <cell r="C627">
            <v>30038</v>
          </cell>
          <cell r="D627" t="str">
            <v>毒絶神の願い</v>
          </cell>
          <cell r="E627" t="str">
            <v>エジプト神話シリーズ超級</v>
          </cell>
          <cell r="F627">
            <v>3</v>
          </cell>
          <cell r="G627" t="str">
            <v>ja</v>
          </cell>
          <cell r="H627" t="str">
            <v>【超級】毒絶神の願い</v>
          </cell>
          <cell r="I627" t="str">
            <v>超級</v>
          </cell>
          <cell r="J627">
            <v>1007</v>
          </cell>
          <cell r="K627">
            <v>30</v>
          </cell>
          <cell r="L627">
            <v>3300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polygon</v>
          </cell>
          <cell r="T627">
            <v>1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8</v>
          </cell>
          <cell r="AD627">
            <v>6</v>
          </cell>
          <cell r="AE627" t="str">
            <v>everyone</v>
          </cell>
        </row>
        <row r="628">
          <cell r="A628" t="str">
            <v>30039_1</v>
          </cell>
          <cell r="B628">
            <v>3</v>
          </cell>
          <cell r="C628">
            <v>30039</v>
          </cell>
          <cell r="D628" t="str">
            <v>ゼロワン・ゲーム</v>
          </cell>
          <cell r="E628" t="str">
            <v>平安シリーズ超級</v>
          </cell>
          <cell r="F628">
            <v>1</v>
          </cell>
          <cell r="G628" t="str">
            <v>ja</v>
          </cell>
          <cell r="H628" t="str">
            <v>【中級】ゼロワン・ゲーム</v>
          </cell>
          <cell r="I628" t="str">
            <v>中級</v>
          </cell>
          <cell r="J628">
            <v>1022</v>
          </cell>
          <cell r="K628">
            <v>15</v>
          </cell>
          <cell r="L628">
            <v>1200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none</v>
          </cell>
          <cell r="T628">
            <v>0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18</v>
          </cell>
          <cell r="AD628">
            <v>6</v>
          </cell>
          <cell r="AE628" t="str">
            <v>everyone</v>
          </cell>
        </row>
        <row r="629">
          <cell r="A629" t="str">
            <v>30039_2</v>
          </cell>
          <cell r="B629">
            <v>3</v>
          </cell>
          <cell r="C629">
            <v>30039</v>
          </cell>
          <cell r="D629" t="str">
            <v>ゼロワン・ゲーム</v>
          </cell>
          <cell r="E629" t="str">
            <v>平安シリーズ超級</v>
          </cell>
          <cell r="F629">
            <v>2</v>
          </cell>
          <cell r="G629" t="str">
            <v>ja</v>
          </cell>
          <cell r="H629" t="str">
            <v>【上級】ゼロワン・ゲーム</v>
          </cell>
          <cell r="I629" t="str">
            <v>上級</v>
          </cell>
          <cell r="J629">
            <v>1022</v>
          </cell>
          <cell r="K629">
            <v>20</v>
          </cell>
          <cell r="L629">
            <v>2000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none</v>
          </cell>
          <cell r="T629">
            <v>0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18</v>
          </cell>
          <cell r="AD629">
            <v>6</v>
          </cell>
          <cell r="AE629" t="str">
            <v>everyone</v>
          </cell>
        </row>
        <row r="630">
          <cell r="A630" t="str">
            <v>30039_3</v>
          </cell>
          <cell r="B630">
            <v>3</v>
          </cell>
          <cell r="C630">
            <v>30039</v>
          </cell>
          <cell r="D630" t="str">
            <v>ゼロワン・ゲーム</v>
          </cell>
          <cell r="E630" t="str">
            <v>平安シリーズ超級</v>
          </cell>
          <cell r="F630">
            <v>3</v>
          </cell>
          <cell r="G630" t="str">
            <v>ja</v>
          </cell>
          <cell r="H630" t="str">
            <v>【超級】ゼロワン・ゲーム</v>
          </cell>
          <cell r="I630" t="str">
            <v>超級</v>
          </cell>
          <cell r="J630">
            <v>1023</v>
          </cell>
          <cell r="K630">
            <v>30</v>
          </cell>
          <cell r="L630">
            <v>3300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polygon</v>
          </cell>
          <cell r="T630">
            <v>1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18</v>
          </cell>
          <cell r="AD630">
            <v>6</v>
          </cell>
          <cell r="AE630" t="str">
            <v>everyone</v>
          </cell>
        </row>
        <row r="631">
          <cell r="A631" t="str">
            <v>30040_1</v>
          </cell>
          <cell r="B631">
            <v>3</v>
          </cell>
          <cell r="C631">
            <v>30040</v>
          </cell>
          <cell r="D631" t="str">
            <v>闇ヨリ出ル魔獣</v>
          </cell>
          <cell r="E631" t="str">
            <v>メソポタミア文明シリーズ超級</v>
          </cell>
          <cell r="F631">
            <v>1</v>
          </cell>
          <cell r="G631" t="str">
            <v>ja</v>
          </cell>
          <cell r="H631" t="str">
            <v>【中級】闇ヨリ出ル魔獣</v>
          </cell>
          <cell r="I631" t="str">
            <v>中級</v>
          </cell>
          <cell r="J631">
            <v>1061</v>
          </cell>
          <cell r="K631">
            <v>15</v>
          </cell>
          <cell r="L631">
            <v>1200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none</v>
          </cell>
          <cell r="T631">
            <v>0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7</v>
          </cell>
          <cell r="AD631">
            <v>6</v>
          </cell>
          <cell r="AE631" t="str">
            <v>everyone</v>
          </cell>
        </row>
        <row r="632">
          <cell r="A632" t="str">
            <v>30040_2</v>
          </cell>
          <cell r="B632">
            <v>3</v>
          </cell>
          <cell r="C632">
            <v>30040</v>
          </cell>
          <cell r="D632" t="str">
            <v>闇ヨリ出ル魔獣</v>
          </cell>
          <cell r="E632" t="str">
            <v>メソポタミア文明シリーズ超級</v>
          </cell>
          <cell r="F632">
            <v>2</v>
          </cell>
          <cell r="G632" t="str">
            <v>ja</v>
          </cell>
          <cell r="H632" t="str">
            <v>【上級】闇ヨリ出ル魔獣</v>
          </cell>
          <cell r="I632" t="str">
            <v>上級</v>
          </cell>
          <cell r="J632">
            <v>1062</v>
          </cell>
          <cell r="K632">
            <v>20</v>
          </cell>
          <cell r="L632">
            <v>2000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none</v>
          </cell>
          <cell r="T632">
            <v>0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7</v>
          </cell>
          <cell r="AD632">
            <v>6</v>
          </cell>
          <cell r="AE632" t="str">
            <v>everyone</v>
          </cell>
        </row>
        <row r="633">
          <cell r="A633" t="str">
            <v>30040_3</v>
          </cell>
          <cell r="B633">
            <v>3</v>
          </cell>
          <cell r="C633">
            <v>30040</v>
          </cell>
          <cell r="D633" t="str">
            <v>闇ヨリ出ル魔獣</v>
          </cell>
          <cell r="E633" t="str">
            <v>メソポタミア文明シリーズ超級</v>
          </cell>
          <cell r="F633">
            <v>3</v>
          </cell>
          <cell r="G633" t="str">
            <v>ja</v>
          </cell>
          <cell r="H633" t="str">
            <v>【超級】闇ヨリ出ル魔獣</v>
          </cell>
          <cell r="I633" t="str">
            <v>超級</v>
          </cell>
          <cell r="J633">
            <v>1062</v>
          </cell>
          <cell r="K633">
            <v>30</v>
          </cell>
          <cell r="L633">
            <v>3300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polygon</v>
          </cell>
          <cell r="T633">
            <v>1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7</v>
          </cell>
          <cell r="AD633">
            <v>6</v>
          </cell>
          <cell r="AE633" t="str">
            <v>everyone</v>
          </cell>
        </row>
        <row r="634">
          <cell r="A634" t="str">
            <v>30041_1</v>
          </cell>
          <cell r="B634">
            <v>3</v>
          </cell>
          <cell r="C634">
            <v>30041</v>
          </cell>
          <cell r="D634" t="str">
            <v>パラノイア・アート</v>
          </cell>
          <cell r="E634" t="str">
            <v>画家シリーズ超級</v>
          </cell>
          <cell r="F634">
            <v>1</v>
          </cell>
          <cell r="G634" t="str">
            <v>ja</v>
          </cell>
          <cell r="H634" t="str">
            <v>【中級】パラノイア・アート</v>
          </cell>
          <cell r="I634" t="str">
            <v>中級</v>
          </cell>
          <cell r="J634">
            <v>1096</v>
          </cell>
          <cell r="K634">
            <v>15</v>
          </cell>
          <cell r="L634">
            <v>1200</v>
          </cell>
          <cell r="M634">
            <v>1</v>
          </cell>
          <cell r="N634">
            <v>0</v>
          </cell>
          <cell r="O634">
            <v>1</v>
          </cell>
          <cell r="P634">
            <v>1</v>
          </cell>
          <cell r="Q634">
            <v>1</v>
          </cell>
          <cell r="R634">
            <v>3</v>
          </cell>
          <cell r="S634" t="str">
            <v>none</v>
          </cell>
          <cell r="T634">
            <v>0</v>
          </cell>
          <cell r="U634" t="str">
            <v>NULL</v>
          </cell>
          <cell r="V634" t="str">
            <v>NULL</v>
          </cell>
          <cell r="W634" t="str">
            <v/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25</v>
          </cell>
          <cell r="AD634">
            <v>6</v>
          </cell>
          <cell r="AE634" t="str">
            <v>everyone</v>
          </cell>
        </row>
        <row r="635">
          <cell r="A635" t="str">
            <v>30041_2</v>
          </cell>
          <cell r="B635">
            <v>3</v>
          </cell>
          <cell r="C635">
            <v>30041</v>
          </cell>
          <cell r="D635" t="str">
            <v>パラノイア・アート</v>
          </cell>
          <cell r="E635" t="str">
            <v>画家シリーズ超級</v>
          </cell>
          <cell r="F635">
            <v>2</v>
          </cell>
          <cell r="G635" t="str">
            <v>ja</v>
          </cell>
          <cell r="H635" t="str">
            <v>【上級】パラノイア・アート</v>
          </cell>
          <cell r="I635" t="str">
            <v>上級</v>
          </cell>
          <cell r="J635">
            <v>1097</v>
          </cell>
          <cell r="K635">
            <v>20</v>
          </cell>
          <cell r="L635">
            <v>2000</v>
          </cell>
          <cell r="M635">
            <v>1</v>
          </cell>
          <cell r="N635">
            <v>0</v>
          </cell>
          <cell r="O635">
            <v>1</v>
          </cell>
          <cell r="P635">
            <v>1</v>
          </cell>
          <cell r="Q635">
            <v>1</v>
          </cell>
          <cell r="R635">
            <v>3</v>
          </cell>
          <cell r="S635" t="str">
            <v>none</v>
          </cell>
          <cell r="T635">
            <v>0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25</v>
          </cell>
          <cell r="AD635">
            <v>6</v>
          </cell>
          <cell r="AE635" t="str">
            <v>everyone</v>
          </cell>
        </row>
        <row r="636">
          <cell r="A636" t="str">
            <v>30041_3</v>
          </cell>
          <cell r="B636">
            <v>3</v>
          </cell>
          <cell r="C636">
            <v>30041</v>
          </cell>
          <cell r="D636" t="str">
            <v>パラノイア・アート</v>
          </cell>
          <cell r="E636" t="str">
            <v>画家シリーズ超級</v>
          </cell>
          <cell r="F636">
            <v>3</v>
          </cell>
          <cell r="G636" t="str">
            <v>ja</v>
          </cell>
          <cell r="H636" t="str">
            <v>【超級】パラノイア・アート</v>
          </cell>
          <cell r="I636" t="str">
            <v>超級</v>
          </cell>
          <cell r="J636">
            <v>1097</v>
          </cell>
          <cell r="K636">
            <v>30</v>
          </cell>
          <cell r="L636">
            <v>3300</v>
          </cell>
          <cell r="M636">
            <v>1</v>
          </cell>
          <cell r="N636">
            <v>0</v>
          </cell>
          <cell r="O636">
            <v>1</v>
          </cell>
          <cell r="P636">
            <v>1</v>
          </cell>
          <cell r="Q636">
            <v>1</v>
          </cell>
          <cell r="R636">
            <v>3</v>
          </cell>
          <cell r="S636" t="str">
            <v>polygon</v>
          </cell>
          <cell r="T636">
            <v>1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25</v>
          </cell>
          <cell r="AD636">
            <v>6</v>
          </cell>
          <cell r="AE636" t="str">
            <v>everyone</v>
          </cell>
        </row>
        <row r="637">
          <cell r="A637" t="str">
            <v>30042_1</v>
          </cell>
          <cell r="B637">
            <v>3</v>
          </cell>
          <cell r="C637">
            <v>30042</v>
          </cell>
          <cell r="D637" t="str">
            <v>馬中に赤兎あり！</v>
          </cell>
          <cell r="E637" t="str">
            <v>三国志シリーズ超級</v>
          </cell>
          <cell r="F637">
            <v>1</v>
          </cell>
          <cell r="G637" t="str">
            <v>ja</v>
          </cell>
          <cell r="H637" t="str">
            <v>【中級】馬中に赤兎あり！</v>
          </cell>
          <cell r="I637" t="str">
            <v>中級</v>
          </cell>
          <cell r="J637">
            <v>1130</v>
          </cell>
          <cell r="K637">
            <v>15</v>
          </cell>
          <cell r="L637">
            <v>1200</v>
          </cell>
          <cell r="M637">
            <v>1</v>
          </cell>
          <cell r="N637">
            <v>1</v>
          </cell>
          <cell r="O637">
            <v>1</v>
          </cell>
          <cell r="P637">
            <v>1</v>
          </cell>
          <cell r="Q637">
            <v>0</v>
          </cell>
          <cell r="R637">
            <v>3</v>
          </cell>
          <cell r="S637" t="str">
            <v>none</v>
          </cell>
          <cell r="T637">
            <v>0</v>
          </cell>
          <cell r="U637" t="str">
            <v>NULL</v>
          </cell>
          <cell r="V637" t="str">
            <v>NULL</v>
          </cell>
          <cell r="W637" t="str">
            <v/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14</v>
          </cell>
          <cell r="AD637">
            <v>6</v>
          </cell>
          <cell r="AE637" t="str">
            <v>singleonly</v>
          </cell>
        </row>
        <row r="638">
          <cell r="A638" t="str">
            <v>30042_2</v>
          </cell>
          <cell r="B638">
            <v>3</v>
          </cell>
          <cell r="C638">
            <v>30042</v>
          </cell>
          <cell r="D638" t="str">
            <v>馬中に赤兎あり！</v>
          </cell>
          <cell r="E638" t="str">
            <v>三国志シリーズ超級</v>
          </cell>
          <cell r="F638">
            <v>2</v>
          </cell>
          <cell r="G638" t="str">
            <v>ja</v>
          </cell>
          <cell r="H638" t="str">
            <v>【上級】馬中に赤兎あり！</v>
          </cell>
          <cell r="I638" t="str">
            <v>上級</v>
          </cell>
          <cell r="J638">
            <v>1130</v>
          </cell>
          <cell r="K638">
            <v>20</v>
          </cell>
          <cell r="L638">
            <v>2000</v>
          </cell>
          <cell r="M638">
            <v>1</v>
          </cell>
          <cell r="N638">
            <v>1</v>
          </cell>
          <cell r="O638">
            <v>1</v>
          </cell>
          <cell r="P638">
            <v>1</v>
          </cell>
          <cell r="Q638">
            <v>0</v>
          </cell>
          <cell r="R638">
            <v>3</v>
          </cell>
          <cell r="S638" t="str">
            <v>none</v>
          </cell>
          <cell r="T638">
            <v>0</v>
          </cell>
          <cell r="U638" t="str">
            <v>NULL</v>
          </cell>
          <cell r="V638" t="str">
            <v>NULL</v>
          </cell>
          <cell r="W638" t="str">
            <v/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14</v>
          </cell>
          <cell r="AD638">
            <v>6</v>
          </cell>
          <cell r="AE638" t="str">
            <v>singleonly</v>
          </cell>
        </row>
        <row r="639">
          <cell r="A639" t="str">
            <v>30042_3</v>
          </cell>
          <cell r="B639">
            <v>3</v>
          </cell>
          <cell r="C639">
            <v>30042</v>
          </cell>
          <cell r="D639" t="str">
            <v>馬中に赤兎あり！</v>
          </cell>
          <cell r="E639" t="str">
            <v>三国志シリーズ超級</v>
          </cell>
          <cell r="F639">
            <v>3</v>
          </cell>
          <cell r="G639" t="str">
            <v>ja</v>
          </cell>
          <cell r="H639" t="str">
            <v>【超級】馬中に赤兎あり！</v>
          </cell>
          <cell r="I639" t="str">
            <v>超級</v>
          </cell>
          <cell r="J639">
            <v>1130</v>
          </cell>
          <cell r="K639">
            <v>30</v>
          </cell>
          <cell r="L639">
            <v>3300</v>
          </cell>
          <cell r="M639">
            <v>1</v>
          </cell>
          <cell r="N639">
            <v>1</v>
          </cell>
          <cell r="O639">
            <v>1</v>
          </cell>
          <cell r="P639">
            <v>1</v>
          </cell>
          <cell r="Q639">
            <v>0</v>
          </cell>
          <cell r="R639">
            <v>3</v>
          </cell>
          <cell r="S639" t="str">
            <v>polygon</v>
          </cell>
          <cell r="T639">
            <v>1</v>
          </cell>
          <cell r="U639" t="str">
            <v>NULL</v>
          </cell>
          <cell r="V639" t="str">
            <v>NULL</v>
          </cell>
          <cell r="W639" t="str">
            <v/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 t="str">
            <v>anytime</v>
          </cell>
          <cell r="AC639">
            <v>14</v>
          </cell>
          <cell r="AD639">
            <v>6</v>
          </cell>
          <cell r="AE639" t="str">
            <v>singleonly</v>
          </cell>
        </row>
        <row r="640">
          <cell r="A640" t="str">
            <v>30043_1</v>
          </cell>
          <cell r="B640">
            <v>3</v>
          </cell>
          <cell r="C640">
            <v>30043</v>
          </cell>
          <cell r="D640" t="str">
            <v>小さな破壊竜</v>
          </cell>
          <cell r="E640" t="str">
            <v>ヒンドゥー神話第二弾超級</v>
          </cell>
          <cell r="F640">
            <v>1</v>
          </cell>
          <cell r="G640" t="str">
            <v>ja</v>
          </cell>
          <cell r="H640" t="str">
            <v>【中級】小さな破壊竜</v>
          </cell>
          <cell r="I640" t="str">
            <v>中級</v>
          </cell>
          <cell r="J640">
            <v>1146</v>
          </cell>
          <cell r="K640">
            <v>15</v>
          </cell>
          <cell r="L640">
            <v>1200</v>
          </cell>
          <cell r="M640">
            <v>1</v>
          </cell>
          <cell r="N640">
            <v>0</v>
          </cell>
          <cell r="O640">
            <v>1</v>
          </cell>
          <cell r="P640">
            <v>1</v>
          </cell>
          <cell r="Q640">
            <v>1</v>
          </cell>
          <cell r="R640">
            <v>3</v>
          </cell>
          <cell r="S640" t="str">
            <v>none</v>
          </cell>
          <cell r="T640">
            <v>0</v>
          </cell>
          <cell r="U640" t="str">
            <v>NULL</v>
          </cell>
          <cell r="V640" t="str">
            <v>NULL</v>
          </cell>
          <cell r="W640" t="str">
            <v/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anytime</v>
          </cell>
          <cell r="AC640">
            <v>24</v>
          </cell>
          <cell r="AD640">
            <v>6</v>
          </cell>
          <cell r="AE640" t="str">
            <v>everyone</v>
          </cell>
        </row>
        <row r="641">
          <cell r="A641" t="str">
            <v>30043_2</v>
          </cell>
          <cell r="B641">
            <v>3</v>
          </cell>
          <cell r="C641">
            <v>30043</v>
          </cell>
          <cell r="D641" t="str">
            <v>小さな破壊竜</v>
          </cell>
          <cell r="E641" t="str">
            <v>ヒンドゥー神話第二弾超級</v>
          </cell>
          <cell r="F641">
            <v>2</v>
          </cell>
          <cell r="G641" t="str">
            <v>ja</v>
          </cell>
          <cell r="H641" t="str">
            <v>【上級】小さな破壊竜</v>
          </cell>
          <cell r="I641" t="str">
            <v>上級</v>
          </cell>
          <cell r="J641">
            <v>1146</v>
          </cell>
          <cell r="K641">
            <v>20</v>
          </cell>
          <cell r="L641">
            <v>2000</v>
          </cell>
          <cell r="M641">
            <v>1</v>
          </cell>
          <cell r="N641">
            <v>0</v>
          </cell>
          <cell r="O641">
            <v>1</v>
          </cell>
          <cell r="P641">
            <v>1</v>
          </cell>
          <cell r="Q641">
            <v>1</v>
          </cell>
          <cell r="R641">
            <v>3</v>
          </cell>
          <cell r="S641" t="str">
            <v>none</v>
          </cell>
          <cell r="T641">
            <v>0</v>
          </cell>
          <cell r="U641" t="str">
            <v>NULL</v>
          </cell>
          <cell r="V641" t="str">
            <v>NULL</v>
          </cell>
          <cell r="W641" t="str">
            <v/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 t="str">
            <v>anytime</v>
          </cell>
          <cell r="AC641">
            <v>24</v>
          </cell>
          <cell r="AD641">
            <v>6</v>
          </cell>
          <cell r="AE641" t="str">
            <v>everyone</v>
          </cell>
        </row>
        <row r="642">
          <cell r="A642" t="str">
            <v>30043_3</v>
          </cell>
          <cell r="B642">
            <v>3</v>
          </cell>
          <cell r="C642">
            <v>30043</v>
          </cell>
          <cell r="D642" t="str">
            <v>小さな破壊竜</v>
          </cell>
          <cell r="E642" t="str">
            <v>ヒンドゥー神話第二弾超級</v>
          </cell>
          <cell r="F642">
            <v>3</v>
          </cell>
          <cell r="G642" t="str">
            <v>ja</v>
          </cell>
          <cell r="H642" t="str">
            <v>【超級】小さな破壊竜</v>
          </cell>
          <cell r="I642" t="str">
            <v>超級</v>
          </cell>
          <cell r="J642">
            <v>1146</v>
          </cell>
          <cell r="K642">
            <v>30</v>
          </cell>
          <cell r="L642">
            <v>3300</v>
          </cell>
          <cell r="M642">
            <v>1</v>
          </cell>
          <cell r="N642">
            <v>0</v>
          </cell>
          <cell r="O642">
            <v>1</v>
          </cell>
          <cell r="P642">
            <v>1</v>
          </cell>
          <cell r="Q642">
            <v>1</v>
          </cell>
          <cell r="R642">
            <v>3</v>
          </cell>
          <cell r="S642" t="str">
            <v>polygon</v>
          </cell>
          <cell r="T642">
            <v>1</v>
          </cell>
          <cell r="U642" t="str">
            <v>NULL</v>
          </cell>
          <cell r="V642" t="str">
            <v>NULL</v>
          </cell>
          <cell r="W642" t="str">
            <v/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 t="str">
            <v>anytime</v>
          </cell>
          <cell r="AC642">
            <v>24</v>
          </cell>
          <cell r="AD642">
            <v>6</v>
          </cell>
          <cell r="AE642" t="str">
            <v>everyone</v>
          </cell>
        </row>
        <row r="643">
          <cell r="A643" t="str">
            <v>30044_1</v>
          </cell>
          <cell r="B643">
            <v>3</v>
          </cell>
          <cell r="C643">
            <v>30044</v>
          </cell>
          <cell r="D643" t="str">
            <v>冷酷なる遂行者</v>
          </cell>
          <cell r="E643" t="str">
            <v>ギリシャ神話第二弾超級</v>
          </cell>
          <cell r="F643">
            <v>1</v>
          </cell>
          <cell r="G643" t="str">
            <v>ja</v>
          </cell>
          <cell r="H643" t="str">
            <v>【中級】冷酷なる遂行者</v>
          </cell>
          <cell r="I643" t="str">
            <v>中級</v>
          </cell>
          <cell r="J643">
            <v>1201</v>
          </cell>
          <cell r="K643">
            <v>15</v>
          </cell>
          <cell r="L643">
            <v>1200</v>
          </cell>
          <cell r="M643">
            <v>1</v>
          </cell>
          <cell r="N643">
            <v>1</v>
          </cell>
          <cell r="O643">
            <v>1</v>
          </cell>
          <cell r="P643">
            <v>1</v>
          </cell>
          <cell r="Q643">
            <v>1</v>
          </cell>
          <cell r="R643">
            <v>3</v>
          </cell>
          <cell r="S643" t="str">
            <v>none</v>
          </cell>
          <cell r="T643">
            <v>0</v>
          </cell>
          <cell r="U643" t="str">
            <v>NULL</v>
          </cell>
          <cell r="V643" t="str">
            <v>NULL</v>
          </cell>
          <cell r="W643" t="str">
            <v/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 t="str">
            <v>anytime</v>
          </cell>
          <cell r="AC643">
            <v>26</v>
          </cell>
          <cell r="AD643">
            <v>6</v>
          </cell>
          <cell r="AE643" t="str">
            <v>everyone</v>
          </cell>
        </row>
        <row r="644">
          <cell r="A644" t="str">
            <v>30044_2</v>
          </cell>
          <cell r="B644">
            <v>3</v>
          </cell>
          <cell r="C644">
            <v>30044</v>
          </cell>
          <cell r="D644" t="str">
            <v>冷酷なる遂行者</v>
          </cell>
          <cell r="E644" t="str">
            <v>ギリシャ神話第二弾超級</v>
          </cell>
          <cell r="F644">
            <v>2</v>
          </cell>
          <cell r="G644" t="str">
            <v>ja</v>
          </cell>
          <cell r="H644" t="str">
            <v>【上級】冷酷なる遂行者</v>
          </cell>
          <cell r="I644" t="str">
            <v>上級</v>
          </cell>
          <cell r="J644">
            <v>1201</v>
          </cell>
          <cell r="K644">
            <v>20</v>
          </cell>
          <cell r="L644">
            <v>2000</v>
          </cell>
          <cell r="M644">
            <v>1</v>
          </cell>
          <cell r="N644">
            <v>1</v>
          </cell>
          <cell r="O644">
            <v>1</v>
          </cell>
          <cell r="P644">
            <v>1</v>
          </cell>
          <cell r="Q644">
            <v>1</v>
          </cell>
          <cell r="R644">
            <v>3</v>
          </cell>
          <cell r="S644" t="str">
            <v>none</v>
          </cell>
          <cell r="T644">
            <v>0</v>
          </cell>
          <cell r="U644" t="str">
            <v>NULL</v>
          </cell>
          <cell r="V644" t="str">
            <v>NULL</v>
          </cell>
          <cell r="W644" t="str">
            <v/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 t="str">
            <v>anytime</v>
          </cell>
          <cell r="AC644">
            <v>26</v>
          </cell>
          <cell r="AD644">
            <v>6</v>
          </cell>
          <cell r="AE644" t="str">
            <v>everyone</v>
          </cell>
        </row>
        <row r="645">
          <cell r="A645" t="str">
            <v>30044_3</v>
          </cell>
          <cell r="B645">
            <v>3</v>
          </cell>
          <cell r="C645">
            <v>30044</v>
          </cell>
          <cell r="D645" t="str">
            <v>冷酷なる遂行者</v>
          </cell>
          <cell r="E645" t="str">
            <v>ギリシャ神話第二弾超級</v>
          </cell>
          <cell r="F645">
            <v>3</v>
          </cell>
          <cell r="G645" t="str">
            <v>ja</v>
          </cell>
          <cell r="H645" t="str">
            <v>【超級】冷酷なる遂行者</v>
          </cell>
          <cell r="I645" t="str">
            <v>超級</v>
          </cell>
          <cell r="J645">
            <v>1201</v>
          </cell>
          <cell r="K645">
            <v>30</v>
          </cell>
          <cell r="L645">
            <v>3300</v>
          </cell>
          <cell r="M645">
            <v>1</v>
          </cell>
          <cell r="N645">
            <v>1</v>
          </cell>
          <cell r="O645">
            <v>1</v>
          </cell>
          <cell r="P645">
            <v>1</v>
          </cell>
          <cell r="Q645">
            <v>1</v>
          </cell>
          <cell r="R645">
            <v>3</v>
          </cell>
          <cell r="S645" t="str">
            <v>polygon</v>
          </cell>
          <cell r="T645">
            <v>1</v>
          </cell>
          <cell r="U645" t="str">
            <v>NULL</v>
          </cell>
          <cell r="V645" t="str">
            <v>NULL</v>
          </cell>
          <cell r="W645" t="str">
            <v/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 t="str">
            <v>anytime</v>
          </cell>
          <cell r="AC645">
            <v>26</v>
          </cell>
          <cell r="AD645">
            <v>6</v>
          </cell>
          <cell r="AE645" t="str">
            <v>everyone</v>
          </cell>
        </row>
        <row r="646">
          <cell r="A646" t="str">
            <v>30045_1</v>
          </cell>
          <cell r="B646">
            <v>3</v>
          </cell>
          <cell r="C646">
            <v>30045</v>
          </cell>
          <cell r="D646" t="str">
            <v>れもん色の衝動</v>
          </cell>
          <cell r="E646" t="str">
            <v>文豪シリーズ　超級</v>
          </cell>
          <cell r="F646">
            <v>1</v>
          </cell>
          <cell r="G646" t="str">
            <v>ja</v>
          </cell>
          <cell r="H646" t="str">
            <v>【中級】れもん色の衝動</v>
          </cell>
          <cell r="I646" t="str">
            <v>中級</v>
          </cell>
          <cell r="J646">
            <v>1217</v>
          </cell>
          <cell r="K646">
            <v>15</v>
          </cell>
          <cell r="L646">
            <v>1200</v>
          </cell>
          <cell r="M646">
            <v>1</v>
          </cell>
          <cell r="N646">
            <v>1</v>
          </cell>
          <cell r="O646">
            <v>1</v>
          </cell>
          <cell r="P646">
            <v>1</v>
          </cell>
          <cell r="Q646">
            <v>1</v>
          </cell>
          <cell r="R646">
            <v>3</v>
          </cell>
          <cell r="S646" t="str">
            <v>none</v>
          </cell>
          <cell r="T646">
            <v>0</v>
          </cell>
          <cell r="U646" t="str">
            <v>NULL</v>
          </cell>
          <cell r="V646" t="str">
            <v>NULL</v>
          </cell>
          <cell r="W646" t="str">
            <v/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 t="str">
            <v>anytime</v>
          </cell>
          <cell r="AC646">
            <v>25</v>
          </cell>
          <cell r="AD646">
            <v>6</v>
          </cell>
          <cell r="AE646" t="str">
            <v>everyone</v>
          </cell>
        </row>
        <row r="647">
          <cell r="A647" t="str">
            <v>30045_2</v>
          </cell>
          <cell r="B647">
            <v>3</v>
          </cell>
          <cell r="C647">
            <v>30045</v>
          </cell>
          <cell r="D647" t="str">
            <v>れもん色の衝動</v>
          </cell>
          <cell r="E647" t="str">
            <v>文豪シリーズ　超級</v>
          </cell>
          <cell r="F647">
            <v>2</v>
          </cell>
          <cell r="G647" t="str">
            <v>ja</v>
          </cell>
          <cell r="H647" t="str">
            <v>【上級】れもん色の衝動</v>
          </cell>
          <cell r="I647" t="str">
            <v>上級</v>
          </cell>
          <cell r="J647">
            <v>1217</v>
          </cell>
          <cell r="K647">
            <v>20</v>
          </cell>
          <cell r="L647">
            <v>2000</v>
          </cell>
          <cell r="M647">
            <v>1</v>
          </cell>
          <cell r="N647">
            <v>1</v>
          </cell>
          <cell r="O647">
            <v>1</v>
          </cell>
          <cell r="P647">
            <v>1</v>
          </cell>
          <cell r="Q647">
            <v>1</v>
          </cell>
          <cell r="R647">
            <v>3</v>
          </cell>
          <cell r="S647" t="str">
            <v>none</v>
          </cell>
          <cell r="T647">
            <v>0</v>
          </cell>
          <cell r="U647" t="str">
            <v>NULL</v>
          </cell>
          <cell r="V647" t="str">
            <v>NULL</v>
          </cell>
          <cell r="W647" t="str">
            <v/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 t="str">
            <v>anytime</v>
          </cell>
          <cell r="AC647">
            <v>25</v>
          </cell>
          <cell r="AD647">
            <v>6</v>
          </cell>
          <cell r="AE647" t="str">
            <v>everyone</v>
          </cell>
        </row>
        <row r="648">
          <cell r="A648" t="str">
            <v>30045_3</v>
          </cell>
          <cell r="B648">
            <v>3</v>
          </cell>
          <cell r="C648">
            <v>30045</v>
          </cell>
          <cell r="D648" t="str">
            <v>れもん色の衝動</v>
          </cell>
          <cell r="E648" t="str">
            <v>文豪シリーズ　超級</v>
          </cell>
          <cell r="F648">
            <v>3</v>
          </cell>
          <cell r="G648" t="str">
            <v>ja</v>
          </cell>
          <cell r="H648" t="str">
            <v>【超級】れもん色の衝動</v>
          </cell>
          <cell r="I648" t="str">
            <v>超級</v>
          </cell>
          <cell r="J648">
            <v>1217</v>
          </cell>
          <cell r="K648">
            <v>30</v>
          </cell>
          <cell r="L648">
            <v>3300</v>
          </cell>
          <cell r="M648">
            <v>1</v>
          </cell>
          <cell r="N648">
            <v>1</v>
          </cell>
          <cell r="O648">
            <v>1</v>
          </cell>
          <cell r="P648">
            <v>1</v>
          </cell>
          <cell r="Q648">
            <v>1</v>
          </cell>
          <cell r="R648">
            <v>3</v>
          </cell>
          <cell r="S648" t="str">
            <v>polygon</v>
          </cell>
          <cell r="T648">
            <v>1</v>
          </cell>
          <cell r="U648" t="str">
            <v>NULL</v>
          </cell>
          <cell r="V648" t="str">
            <v>NULL</v>
          </cell>
          <cell r="W648" t="str">
            <v/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 t="str">
            <v>anytime</v>
          </cell>
          <cell r="AC648">
            <v>25</v>
          </cell>
          <cell r="AD648">
            <v>6</v>
          </cell>
          <cell r="AE648" t="str">
            <v>everyone</v>
          </cell>
        </row>
        <row r="649">
          <cell r="A649" t="str">
            <v>30046_1</v>
          </cell>
          <cell r="B649">
            <v>3</v>
          </cell>
          <cell r="C649">
            <v>30046</v>
          </cell>
          <cell r="D649" t="str">
            <v>千利の道も一歩から！</v>
          </cell>
          <cell r="E649" t="str">
            <v>戦国シリーズ第二弾　超級</v>
          </cell>
          <cell r="F649">
            <v>1</v>
          </cell>
          <cell r="G649" t="str">
            <v>ja</v>
          </cell>
          <cell r="H649" t="str">
            <v>【中級】千利の道も一歩から！</v>
          </cell>
          <cell r="I649" t="str">
            <v>中級</v>
          </cell>
          <cell r="J649">
            <v>1237</v>
          </cell>
          <cell r="K649">
            <v>15</v>
          </cell>
          <cell r="L649">
            <v>1200</v>
          </cell>
          <cell r="M649">
            <v>1</v>
          </cell>
          <cell r="N649">
            <v>1</v>
          </cell>
          <cell r="O649">
            <v>1</v>
          </cell>
          <cell r="P649">
            <v>1</v>
          </cell>
          <cell r="Q649">
            <v>1</v>
          </cell>
          <cell r="R649">
            <v>3</v>
          </cell>
          <cell r="S649" t="str">
            <v>none</v>
          </cell>
          <cell r="T649">
            <v>0</v>
          </cell>
          <cell r="U649" t="str">
            <v>NULL</v>
          </cell>
          <cell r="V649" t="str">
            <v>NULL</v>
          </cell>
          <cell r="W649" t="str">
            <v/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 t="str">
            <v>anytime</v>
          </cell>
          <cell r="AC649">
            <v>30</v>
          </cell>
          <cell r="AD649">
            <v>6</v>
          </cell>
          <cell r="AE649" t="str">
            <v>everyone</v>
          </cell>
        </row>
        <row r="650">
          <cell r="A650" t="str">
            <v>30046_2</v>
          </cell>
          <cell r="B650">
            <v>3</v>
          </cell>
          <cell r="C650">
            <v>30046</v>
          </cell>
          <cell r="D650" t="str">
            <v>千利の道も一歩から！</v>
          </cell>
          <cell r="E650" t="str">
            <v>戦国シリーズ第二弾　超級</v>
          </cell>
          <cell r="F650">
            <v>2</v>
          </cell>
          <cell r="G650" t="str">
            <v>ja</v>
          </cell>
          <cell r="H650" t="str">
            <v>【上級】千利の道も一歩から！</v>
          </cell>
          <cell r="I650" t="str">
            <v>上級</v>
          </cell>
          <cell r="J650">
            <v>1237</v>
          </cell>
          <cell r="K650">
            <v>20</v>
          </cell>
          <cell r="L650">
            <v>2000</v>
          </cell>
          <cell r="M650">
            <v>1</v>
          </cell>
          <cell r="N650">
            <v>1</v>
          </cell>
          <cell r="O650">
            <v>1</v>
          </cell>
          <cell r="P650">
            <v>1</v>
          </cell>
          <cell r="Q650">
            <v>1</v>
          </cell>
          <cell r="R650">
            <v>3</v>
          </cell>
          <cell r="S650" t="str">
            <v>none</v>
          </cell>
          <cell r="T650">
            <v>0</v>
          </cell>
          <cell r="U650" t="str">
            <v>NULL</v>
          </cell>
          <cell r="V650" t="str">
            <v>NULL</v>
          </cell>
          <cell r="W650" t="str">
            <v/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anytime</v>
          </cell>
          <cell r="AC650">
            <v>30</v>
          </cell>
          <cell r="AD650">
            <v>6</v>
          </cell>
          <cell r="AE650" t="str">
            <v>everyone</v>
          </cell>
        </row>
        <row r="651">
          <cell r="A651" t="str">
            <v>30046_3</v>
          </cell>
          <cell r="B651">
            <v>3</v>
          </cell>
          <cell r="C651">
            <v>30046</v>
          </cell>
          <cell r="D651" t="str">
            <v>千利の道も一歩から！</v>
          </cell>
          <cell r="E651" t="str">
            <v>戦国シリーズ第二弾　超級</v>
          </cell>
          <cell r="F651">
            <v>3</v>
          </cell>
          <cell r="G651" t="str">
            <v>ja</v>
          </cell>
          <cell r="H651" t="str">
            <v>【超級】千利の道も一歩から！</v>
          </cell>
          <cell r="I651" t="str">
            <v>超級</v>
          </cell>
          <cell r="J651">
            <v>1237</v>
          </cell>
          <cell r="K651">
            <v>30</v>
          </cell>
          <cell r="L651">
            <v>3300</v>
          </cell>
          <cell r="M651">
            <v>1</v>
          </cell>
          <cell r="N651">
            <v>1</v>
          </cell>
          <cell r="O651">
            <v>1</v>
          </cell>
          <cell r="P651">
            <v>1</v>
          </cell>
          <cell r="Q651">
            <v>1</v>
          </cell>
          <cell r="R651">
            <v>3</v>
          </cell>
          <cell r="S651" t="str">
            <v>polygon</v>
          </cell>
          <cell r="T651">
            <v>1</v>
          </cell>
          <cell r="U651" t="str">
            <v>NULL</v>
          </cell>
          <cell r="V651" t="str">
            <v>NULL</v>
          </cell>
          <cell r="W651" t="str">
            <v/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 t="str">
            <v>anytime</v>
          </cell>
          <cell r="AC651">
            <v>30</v>
          </cell>
          <cell r="AD651">
            <v>6</v>
          </cell>
          <cell r="AE651" t="str">
            <v>everyone</v>
          </cell>
        </row>
        <row r="652">
          <cell r="A652" t="str">
            <v>30047_1</v>
          </cell>
          <cell r="B652">
            <v>3</v>
          </cell>
          <cell r="C652">
            <v>30047</v>
          </cell>
          <cell r="D652" t="str">
            <v>終末の旋律</v>
          </cell>
          <cell r="E652" t="str">
            <v>北欧シリーズ第三弾　超級</v>
          </cell>
          <cell r="F652">
            <v>1</v>
          </cell>
          <cell r="G652" t="str">
            <v>ja</v>
          </cell>
          <cell r="H652" t="str">
            <v>【中級】終末の旋律</v>
          </cell>
          <cell r="I652" t="str">
            <v>中級</v>
          </cell>
          <cell r="J652">
            <v>1253</v>
          </cell>
          <cell r="K652">
            <v>15</v>
          </cell>
          <cell r="L652">
            <v>1200</v>
          </cell>
          <cell r="M652">
            <v>1</v>
          </cell>
          <cell r="N652">
            <v>1</v>
          </cell>
          <cell r="O652">
            <v>1</v>
          </cell>
          <cell r="P652">
            <v>1</v>
          </cell>
          <cell r="Q652">
            <v>1</v>
          </cell>
          <cell r="R652">
            <v>3</v>
          </cell>
          <cell r="S652" t="str">
            <v>none</v>
          </cell>
          <cell r="T652">
            <v>0</v>
          </cell>
          <cell r="U652" t="str">
            <v>NULL</v>
          </cell>
          <cell r="V652" t="str">
            <v>NULL</v>
          </cell>
          <cell r="W652" t="str">
            <v/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anytime</v>
          </cell>
          <cell r="AC652">
            <v>25</v>
          </cell>
          <cell r="AD652">
            <v>6</v>
          </cell>
          <cell r="AE652" t="str">
            <v>everyone</v>
          </cell>
        </row>
        <row r="653">
          <cell r="A653" t="str">
            <v>30047_2</v>
          </cell>
          <cell r="B653">
            <v>3</v>
          </cell>
          <cell r="C653">
            <v>30047</v>
          </cell>
          <cell r="D653" t="str">
            <v>終末の旋律</v>
          </cell>
          <cell r="E653" t="str">
            <v>北欧シリーズ第三弾　超級</v>
          </cell>
          <cell r="F653">
            <v>2</v>
          </cell>
          <cell r="G653" t="str">
            <v>ja</v>
          </cell>
          <cell r="H653" t="str">
            <v>【上級】終末の旋律</v>
          </cell>
          <cell r="I653" t="str">
            <v>上級</v>
          </cell>
          <cell r="J653">
            <v>1253</v>
          </cell>
          <cell r="K653">
            <v>20</v>
          </cell>
          <cell r="L653">
            <v>2000</v>
          </cell>
          <cell r="M653">
            <v>1</v>
          </cell>
          <cell r="N653">
            <v>1</v>
          </cell>
          <cell r="O653">
            <v>1</v>
          </cell>
          <cell r="P653">
            <v>1</v>
          </cell>
          <cell r="Q653">
            <v>1</v>
          </cell>
          <cell r="R653">
            <v>3</v>
          </cell>
          <cell r="S653" t="str">
            <v>none</v>
          </cell>
          <cell r="T653">
            <v>0</v>
          </cell>
          <cell r="U653" t="str">
            <v>NULL</v>
          </cell>
          <cell r="V653" t="str">
            <v>NULL</v>
          </cell>
          <cell r="W653" t="str">
            <v/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 t="str">
            <v>anytime</v>
          </cell>
          <cell r="AC653">
            <v>25</v>
          </cell>
          <cell r="AD653">
            <v>6</v>
          </cell>
          <cell r="AE653" t="str">
            <v>everyone</v>
          </cell>
        </row>
        <row r="654">
          <cell r="A654" t="str">
            <v>30047_3</v>
          </cell>
          <cell r="B654">
            <v>3</v>
          </cell>
          <cell r="C654">
            <v>30047</v>
          </cell>
          <cell r="D654" t="str">
            <v>終末の旋律</v>
          </cell>
          <cell r="E654" t="str">
            <v>北欧シリーズ第三弾　超級</v>
          </cell>
          <cell r="F654">
            <v>3</v>
          </cell>
          <cell r="G654" t="str">
            <v>ja</v>
          </cell>
          <cell r="H654" t="str">
            <v>【超級】終末の旋律</v>
          </cell>
          <cell r="I654" t="str">
            <v>超級</v>
          </cell>
          <cell r="J654">
            <v>1253</v>
          </cell>
          <cell r="K654">
            <v>30</v>
          </cell>
          <cell r="L654">
            <v>3300</v>
          </cell>
          <cell r="M654">
            <v>1</v>
          </cell>
          <cell r="N654">
            <v>1</v>
          </cell>
          <cell r="O654">
            <v>1</v>
          </cell>
          <cell r="P654">
            <v>1</v>
          </cell>
          <cell r="Q654">
            <v>1</v>
          </cell>
          <cell r="R654">
            <v>3</v>
          </cell>
          <cell r="S654" t="str">
            <v>polygon</v>
          </cell>
          <cell r="T654">
            <v>1</v>
          </cell>
          <cell r="U654" t="str">
            <v>NULL</v>
          </cell>
          <cell r="V654" t="str">
            <v>NULL</v>
          </cell>
          <cell r="W654" t="str">
            <v/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 t="str">
            <v>anytime</v>
          </cell>
          <cell r="AC654">
            <v>25</v>
          </cell>
          <cell r="AD654">
            <v>6</v>
          </cell>
          <cell r="AE654" t="str">
            <v>everyone</v>
          </cell>
        </row>
        <row r="655">
          <cell r="A655" t="str">
            <v>30048_1</v>
          </cell>
          <cell r="B655">
            <v>3</v>
          </cell>
          <cell r="C655">
            <v>30048</v>
          </cell>
          <cell r="D655" t="str">
            <v>惑乱の双神使！？</v>
          </cell>
          <cell r="E655" t="str">
            <v>日本神話シリーズ　超級</v>
          </cell>
          <cell r="F655">
            <v>1</v>
          </cell>
          <cell r="G655" t="str">
            <v>ja</v>
          </cell>
          <cell r="H655" t="str">
            <v>【中級】惑乱の双神使！？</v>
          </cell>
          <cell r="I655" t="str">
            <v>中級</v>
          </cell>
          <cell r="J655">
            <v>1325</v>
          </cell>
          <cell r="K655">
            <v>15</v>
          </cell>
          <cell r="L655">
            <v>1200</v>
          </cell>
          <cell r="M655">
            <v>1</v>
          </cell>
          <cell r="N655">
            <v>1</v>
          </cell>
          <cell r="O655">
            <v>1</v>
          </cell>
          <cell r="P655">
            <v>1</v>
          </cell>
          <cell r="Q655">
            <v>1</v>
          </cell>
          <cell r="R655">
            <v>3</v>
          </cell>
          <cell r="S655" t="str">
            <v>none</v>
          </cell>
          <cell r="T655">
            <v>0</v>
          </cell>
          <cell r="U655" t="str">
            <v>NULL</v>
          </cell>
          <cell r="V655" t="str">
            <v>NULL</v>
          </cell>
          <cell r="W655" t="str">
            <v/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anytime</v>
          </cell>
          <cell r="AC655">
            <v>2</v>
          </cell>
          <cell r="AD655">
            <v>6</v>
          </cell>
          <cell r="AE655" t="str">
            <v>everyone</v>
          </cell>
        </row>
        <row r="656">
          <cell r="A656" t="str">
            <v>30048_2</v>
          </cell>
          <cell r="B656">
            <v>3</v>
          </cell>
          <cell r="C656">
            <v>30048</v>
          </cell>
          <cell r="D656" t="str">
            <v>惑乱の双神使！？</v>
          </cell>
          <cell r="E656" t="str">
            <v>日本神話シリーズ　超級</v>
          </cell>
          <cell r="F656">
            <v>2</v>
          </cell>
          <cell r="G656" t="str">
            <v>ja</v>
          </cell>
          <cell r="H656" t="str">
            <v>【上級】惑乱の双神使！？</v>
          </cell>
          <cell r="I656" t="str">
            <v>上級</v>
          </cell>
          <cell r="J656">
            <v>1325</v>
          </cell>
          <cell r="K656">
            <v>20</v>
          </cell>
          <cell r="L656">
            <v>2000</v>
          </cell>
          <cell r="M656">
            <v>1</v>
          </cell>
          <cell r="N656">
            <v>1</v>
          </cell>
          <cell r="O656">
            <v>1</v>
          </cell>
          <cell r="P656">
            <v>1</v>
          </cell>
          <cell r="Q656">
            <v>1</v>
          </cell>
          <cell r="R656">
            <v>3</v>
          </cell>
          <cell r="S656" t="str">
            <v>none</v>
          </cell>
          <cell r="T656">
            <v>0</v>
          </cell>
          <cell r="U656" t="str">
            <v>NULL</v>
          </cell>
          <cell r="V656" t="str">
            <v>NULL</v>
          </cell>
          <cell r="W656" t="str">
            <v/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anytime</v>
          </cell>
          <cell r="AC656">
            <v>2</v>
          </cell>
          <cell r="AD656">
            <v>6</v>
          </cell>
          <cell r="AE656" t="str">
            <v>everyone</v>
          </cell>
        </row>
        <row r="657">
          <cell r="A657" t="str">
            <v>30048_3</v>
          </cell>
          <cell r="B657">
            <v>3</v>
          </cell>
          <cell r="C657">
            <v>30048</v>
          </cell>
          <cell r="D657" t="str">
            <v>惑乱の双神使！？</v>
          </cell>
          <cell r="E657" t="str">
            <v>日本神話シリーズ　超級</v>
          </cell>
          <cell r="F657">
            <v>3</v>
          </cell>
          <cell r="G657" t="str">
            <v>ja</v>
          </cell>
          <cell r="H657" t="str">
            <v>【超級】惑乱の双神使！？</v>
          </cell>
          <cell r="I657" t="str">
            <v>超級</v>
          </cell>
          <cell r="J657">
            <v>1325</v>
          </cell>
          <cell r="K657">
            <v>30</v>
          </cell>
          <cell r="L657">
            <v>3300</v>
          </cell>
          <cell r="M657">
            <v>1</v>
          </cell>
          <cell r="N657">
            <v>1</v>
          </cell>
          <cell r="O657">
            <v>1</v>
          </cell>
          <cell r="P657">
            <v>1</v>
          </cell>
          <cell r="Q657">
            <v>1</v>
          </cell>
          <cell r="R657">
            <v>3</v>
          </cell>
          <cell r="S657" t="str">
            <v>polygon</v>
          </cell>
          <cell r="T657">
            <v>1</v>
          </cell>
          <cell r="U657" t="str">
            <v>NULL</v>
          </cell>
          <cell r="V657" t="str">
            <v>NULL</v>
          </cell>
          <cell r="W657" t="str">
            <v/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 t="str">
            <v>anytime</v>
          </cell>
          <cell r="AC657">
            <v>2</v>
          </cell>
          <cell r="AD657">
            <v>6</v>
          </cell>
          <cell r="AE657" t="str">
            <v>everyone</v>
          </cell>
        </row>
        <row r="658">
          <cell r="A658" t="str">
            <v>39001_1</v>
          </cell>
          <cell r="B658">
            <v>3</v>
          </cell>
          <cell r="C658">
            <v>39001</v>
          </cell>
          <cell r="D658" t="str">
            <v>雪の歌姫</v>
          </cell>
          <cell r="E658" t="str">
            <v>コラボクエスト</v>
          </cell>
          <cell r="F658">
            <v>1</v>
          </cell>
          <cell r="G658" t="str">
            <v>ja</v>
          </cell>
          <cell r="H658" t="str">
            <v>【初級】雪の歌姫</v>
          </cell>
          <cell r="I658" t="str">
            <v>初級</v>
          </cell>
          <cell r="J658">
            <v>525</v>
          </cell>
          <cell r="K658">
            <v>8</v>
          </cell>
          <cell r="L658">
            <v>384</v>
          </cell>
          <cell r="M658">
            <v>1</v>
          </cell>
          <cell r="N658">
            <v>1</v>
          </cell>
          <cell r="O658">
            <v>1</v>
          </cell>
          <cell r="P658">
            <v>1</v>
          </cell>
          <cell r="Q658">
            <v>1</v>
          </cell>
          <cell r="R658">
            <v>3</v>
          </cell>
          <cell r="S658" t="str">
            <v>none</v>
          </cell>
          <cell r="T658">
            <v>0</v>
          </cell>
          <cell r="U658" t="str">
            <v>NULL</v>
          </cell>
          <cell r="V658" t="str">
            <v>NULL</v>
          </cell>
          <cell r="W658" t="str">
            <v/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 t="str">
            <v>anytime</v>
          </cell>
          <cell r="AC658">
            <v>909</v>
          </cell>
          <cell r="AD658">
            <v>6</v>
          </cell>
          <cell r="AE658" t="str">
            <v>everyone</v>
          </cell>
        </row>
        <row r="659">
          <cell r="A659" t="str">
            <v>39001_2</v>
          </cell>
          <cell r="B659">
            <v>3</v>
          </cell>
          <cell r="C659">
            <v>39001</v>
          </cell>
          <cell r="D659" t="str">
            <v>雪の歌姫</v>
          </cell>
          <cell r="E659" t="str">
            <v>コラボクエスト</v>
          </cell>
          <cell r="F659">
            <v>2</v>
          </cell>
          <cell r="G659" t="str">
            <v>ja</v>
          </cell>
          <cell r="H659" t="str">
            <v>【中級】雪の歌姫</v>
          </cell>
          <cell r="I659" t="str">
            <v>中級</v>
          </cell>
          <cell r="J659">
            <v>525</v>
          </cell>
          <cell r="K659">
            <v>15</v>
          </cell>
          <cell r="L659">
            <v>1200</v>
          </cell>
          <cell r="M659">
            <v>1</v>
          </cell>
          <cell r="N659">
            <v>1</v>
          </cell>
          <cell r="O659">
            <v>1</v>
          </cell>
          <cell r="P659">
            <v>1</v>
          </cell>
          <cell r="Q659">
            <v>1</v>
          </cell>
          <cell r="R659">
            <v>3</v>
          </cell>
          <cell r="S659" t="str">
            <v>none</v>
          </cell>
          <cell r="T659">
            <v>0</v>
          </cell>
          <cell r="U659" t="str">
            <v>NULL</v>
          </cell>
          <cell r="V659" t="str">
            <v>NULL</v>
          </cell>
          <cell r="W659" t="str">
            <v/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 t="str">
            <v>anytime</v>
          </cell>
          <cell r="AC659">
            <v>909</v>
          </cell>
          <cell r="AD659">
            <v>6</v>
          </cell>
          <cell r="AE659" t="str">
            <v>everyone</v>
          </cell>
        </row>
        <row r="660">
          <cell r="A660" t="str">
            <v>39001_3</v>
          </cell>
          <cell r="B660">
            <v>3</v>
          </cell>
          <cell r="C660">
            <v>39001</v>
          </cell>
          <cell r="D660" t="str">
            <v>雪の歌姫</v>
          </cell>
          <cell r="E660" t="str">
            <v>コラボクエスト</v>
          </cell>
          <cell r="F660">
            <v>3</v>
          </cell>
          <cell r="G660" t="str">
            <v>ja</v>
          </cell>
          <cell r="H660" t="str">
            <v>【上級】雪の歌姫</v>
          </cell>
          <cell r="I660" t="str">
            <v>上級</v>
          </cell>
          <cell r="J660">
            <v>525</v>
          </cell>
          <cell r="K660">
            <v>20</v>
          </cell>
          <cell r="L660">
            <v>2000</v>
          </cell>
          <cell r="M660">
            <v>1</v>
          </cell>
          <cell r="N660">
            <v>1</v>
          </cell>
          <cell r="O660">
            <v>1</v>
          </cell>
          <cell r="P660">
            <v>1</v>
          </cell>
          <cell r="Q660">
            <v>1</v>
          </cell>
          <cell r="R660">
            <v>3</v>
          </cell>
          <cell r="S660" t="str">
            <v>none</v>
          </cell>
          <cell r="T660">
            <v>0</v>
          </cell>
          <cell r="U660" t="str">
            <v>NULL</v>
          </cell>
          <cell r="V660" t="str">
            <v>NULL</v>
          </cell>
          <cell r="W660" t="str">
            <v/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 t="str">
            <v>anytime</v>
          </cell>
          <cell r="AC660">
            <v>909</v>
          </cell>
          <cell r="AD660">
            <v>6</v>
          </cell>
          <cell r="AE660" t="str">
            <v>everyone</v>
          </cell>
        </row>
        <row r="661">
          <cell r="A661" t="str">
            <v>39001_4</v>
          </cell>
          <cell r="B661">
            <v>3</v>
          </cell>
          <cell r="C661">
            <v>39001</v>
          </cell>
          <cell r="D661" t="str">
            <v>雪の歌姫</v>
          </cell>
          <cell r="E661" t="str">
            <v>コラボクエスト</v>
          </cell>
          <cell r="F661">
            <v>4</v>
          </cell>
          <cell r="G661" t="str">
            <v>ja</v>
          </cell>
          <cell r="H661" t="str">
            <v>【超級】雪の歌姫</v>
          </cell>
          <cell r="I661" t="str">
            <v>超級</v>
          </cell>
          <cell r="J661">
            <v>526</v>
          </cell>
          <cell r="K661">
            <v>30</v>
          </cell>
          <cell r="L661">
            <v>3300</v>
          </cell>
          <cell r="M661">
            <v>1</v>
          </cell>
          <cell r="N661">
            <v>1</v>
          </cell>
          <cell r="O661">
            <v>1</v>
          </cell>
          <cell r="P661">
            <v>1</v>
          </cell>
          <cell r="Q661">
            <v>1</v>
          </cell>
          <cell r="R661">
            <v>3</v>
          </cell>
          <cell r="S661" t="str">
            <v>none</v>
          </cell>
          <cell r="T661">
            <v>0</v>
          </cell>
          <cell r="U661" t="str">
            <v>NULL</v>
          </cell>
          <cell r="V661" t="str">
            <v>NULL</v>
          </cell>
          <cell r="W661" t="str">
            <v/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 t="str">
            <v>anytime</v>
          </cell>
          <cell r="AC661">
            <v>909</v>
          </cell>
          <cell r="AD661">
            <v>6</v>
          </cell>
          <cell r="AE661" t="str">
            <v>everyone</v>
          </cell>
        </row>
        <row r="662">
          <cell r="A662" t="str">
            <v>39001_5</v>
          </cell>
          <cell r="B662">
            <v>3</v>
          </cell>
          <cell r="C662">
            <v>39001</v>
          </cell>
          <cell r="D662" t="str">
            <v>雪の歌姫</v>
          </cell>
          <cell r="E662" t="str">
            <v>コラボクエスト</v>
          </cell>
          <cell r="F662">
            <v>5</v>
          </cell>
          <cell r="G662" t="str">
            <v>ja</v>
          </cell>
          <cell r="H662" t="str">
            <v>【超絶級】雪の歌姫</v>
          </cell>
          <cell r="I662" t="str">
            <v>超絶級</v>
          </cell>
          <cell r="J662">
            <v>526</v>
          </cell>
          <cell r="K662">
            <v>35</v>
          </cell>
          <cell r="L662">
            <v>4200</v>
          </cell>
          <cell r="M662">
            <v>1</v>
          </cell>
          <cell r="N662">
            <v>1</v>
          </cell>
          <cell r="O662">
            <v>1</v>
          </cell>
          <cell r="P662">
            <v>1</v>
          </cell>
          <cell r="Q662">
            <v>1</v>
          </cell>
          <cell r="R662">
            <v>3</v>
          </cell>
          <cell r="S662" t="str">
            <v>polygon</v>
          </cell>
          <cell r="T662">
            <v>1</v>
          </cell>
          <cell r="U662" t="str">
            <v>NULL</v>
          </cell>
          <cell r="V662" t="str">
            <v>NULL</v>
          </cell>
          <cell r="W662" t="str">
            <v/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 t="str">
            <v>anytime</v>
          </cell>
          <cell r="AC662">
            <v>909</v>
          </cell>
          <cell r="AD662">
            <v>6</v>
          </cell>
          <cell r="AE662" t="str">
            <v>everyone</v>
          </cell>
        </row>
        <row r="663">
          <cell r="A663" t="str">
            <v>39002_1</v>
          </cell>
          <cell r="B663">
            <v>3</v>
          </cell>
          <cell r="C663">
            <v>39002</v>
          </cell>
          <cell r="D663" t="str">
            <v>黄巾賊の暴走を止めろ！</v>
          </cell>
          <cell r="E663" t="str">
            <v>コラボクエスト</v>
          </cell>
          <cell r="F663">
            <v>1</v>
          </cell>
          <cell r="G663" t="str">
            <v>ja</v>
          </cell>
          <cell r="H663" t="str">
            <v>【初級】黄巾賊の暴走を止めろ</v>
          </cell>
          <cell r="I663" t="str">
            <v>初級</v>
          </cell>
          <cell r="J663">
            <v>694</v>
          </cell>
          <cell r="K663">
            <v>8</v>
          </cell>
          <cell r="L663">
            <v>384</v>
          </cell>
          <cell r="M663">
            <v>1</v>
          </cell>
          <cell r="N663">
            <v>1</v>
          </cell>
          <cell r="O663">
            <v>1</v>
          </cell>
          <cell r="P663">
            <v>1</v>
          </cell>
          <cell r="Q663">
            <v>1</v>
          </cell>
          <cell r="R663">
            <v>3</v>
          </cell>
          <cell r="S663" t="str">
            <v>none</v>
          </cell>
          <cell r="T663">
            <v>0</v>
          </cell>
          <cell r="U663" t="str">
            <v>NULL</v>
          </cell>
          <cell r="V663" t="str">
            <v>NULL</v>
          </cell>
          <cell r="W663" t="str">
            <v/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 t="str">
            <v>anytime</v>
          </cell>
          <cell r="AC663">
            <v>12</v>
          </cell>
          <cell r="AD663">
            <v>6</v>
          </cell>
          <cell r="AE663" t="str">
            <v>everyone</v>
          </cell>
        </row>
        <row r="664">
          <cell r="A664" t="str">
            <v>39002_2</v>
          </cell>
          <cell r="B664">
            <v>3</v>
          </cell>
          <cell r="C664">
            <v>39002</v>
          </cell>
          <cell r="D664" t="str">
            <v>黄巾賊の暴走を止めろ！</v>
          </cell>
          <cell r="E664" t="str">
            <v>コラボクエスト</v>
          </cell>
          <cell r="F664">
            <v>2</v>
          </cell>
          <cell r="G664" t="str">
            <v>ja</v>
          </cell>
          <cell r="H664" t="str">
            <v>【中級】黄巾賊の暴走を止めろ</v>
          </cell>
          <cell r="I664" t="str">
            <v>中級</v>
          </cell>
          <cell r="J664">
            <v>694</v>
          </cell>
          <cell r="K664">
            <v>15</v>
          </cell>
          <cell r="L664">
            <v>1200</v>
          </cell>
          <cell r="M664">
            <v>1</v>
          </cell>
          <cell r="N664">
            <v>1</v>
          </cell>
          <cell r="O664">
            <v>1</v>
          </cell>
          <cell r="P664">
            <v>1</v>
          </cell>
          <cell r="Q664">
            <v>1</v>
          </cell>
          <cell r="R664">
            <v>3</v>
          </cell>
          <cell r="S664" t="str">
            <v>none</v>
          </cell>
          <cell r="T664">
            <v>0</v>
          </cell>
          <cell r="U664" t="str">
            <v>NULL</v>
          </cell>
          <cell r="V664" t="str">
            <v>NULL</v>
          </cell>
          <cell r="W664" t="str">
            <v/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 t="str">
            <v>anytime</v>
          </cell>
          <cell r="AC664">
            <v>12</v>
          </cell>
          <cell r="AD664">
            <v>6</v>
          </cell>
          <cell r="AE664" t="str">
            <v>everyone</v>
          </cell>
        </row>
        <row r="665">
          <cell r="A665" t="str">
            <v>39002_3</v>
          </cell>
          <cell r="B665">
            <v>3</v>
          </cell>
          <cell r="C665">
            <v>39002</v>
          </cell>
          <cell r="D665" t="str">
            <v>黄巾賊の暴走を止めろ！</v>
          </cell>
          <cell r="E665" t="str">
            <v>コラボクエスト</v>
          </cell>
          <cell r="F665">
            <v>3</v>
          </cell>
          <cell r="G665" t="str">
            <v>ja</v>
          </cell>
          <cell r="H665" t="str">
            <v>【上級】黄巾賊の暴走を止めろ</v>
          </cell>
          <cell r="I665" t="str">
            <v>上級</v>
          </cell>
          <cell r="J665">
            <v>694</v>
          </cell>
          <cell r="K665">
            <v>20</v>
          </cell>
          <cell r="L665">
            <v>2000</v>
          </cell>
          <cell r="M665">
            <v>1</v>
          </cell>
          <cell r="N665">
            <v>1</v>
          </cell>
          <cell r="O665">
            <v>1</v>
          </cell>
          <cell r="P665">
            <v>1</v>
          </cell>
          <cell r="Q665">
            <v>1</v>
          </cell>
          <cell r="R665">
            <v>3</v>
          </cell>
          <cell r="S665" t="str">
            <v>none</v>
          </cell>
          <cell r="T665">
            <v>0</v>
          </cell>
          <cell r="U665" t="str">
            <v>NULL</v>
          </cell>
          <cell r="V665" t="str">
            <v>NULL</v>
          </cell>
          <cell r="W665" t="str">
            <v/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 t="str">
            <v>anytime</v>
          </cell>
          <cell r="AC665">
            <v>12</v>
          </cell>
          <cell r="AD665">
            <v>6</v>
          </cell>
          <cell r="AE665" t="str">
            <v>everyone</v>
          </cell>
        </row>
        <row r="666">
          <cell r="A666" t="str">
            <v>39002_4</v>
          </cell>
          <cell r="B666">
            <v>3</v>
          </cell>
          <cell r="C666">
            <v>39002</v>
          </cell>
          <cell r="D666" t="str">
            <v>黄巾賊の暴走を止めろ！</v>
          </cell>
          <cell r="E666" t="str">
            <v>コラボクエスト</v>
          </cell>
          <cell r="F666">
            <v>4</v>
          </cell>
          <cell r="G666" t="str">
            <v>ja</v>
          </cell>
          <cell r="H666" t="str">
            <v>【超級】黄巾賊の暴走を止めろ</v>
          </cell>
          <cell r="I666" t="str">
            <v>超級</v>
          </cell>
          <cell r="J666">
            <v>694</v>
          </cell>
          <cell r="K666">
            <v>30</v>
          </cell>
          <cell r="L666">
            <v>3300</v>
          </cell>
          <cell r="M666">
            <v>1</v>
          </cell>
          <cell r="N666">
            <v>1</v>
          </cell>
          <cell r="O666">
            <v>1</v>
          </cell>
          <cell r="P666">
            <v>1</v>
          </cell>
          <cell r="Q666">
            <v>1</v>
          </cell>
          <cell r="R666">
            <v>3</v>
          </cell>
          <cell r="S666" t="str">
            <v>polygon</v>
          </cell>
          <cell r="T666">
            <v>1</v>
          </cell>
          <cell r="U666" t="str">
            <v>NULL</v>
          </cell>
          <cell r="V666" t="str">
            <v>NULL</v>
          </cell>
          <cell r="W666" t="str">
            <v/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 t="str">
            <v>anytime</v>
          </cell>
          <cell r="AC666">
            <v>12</v>
          </cell>
          <cell r="AD666">
            <v>6</v>
          </cell>
          <cell r="AE666" t="str">
            <v>everyone</v>
          </cell>
        </row>
        <row r="667">
          <cell r="A667" t="str">
            <v>39003_1</v>
          </cell>
          <cell r="B667">
            <v>3</v>
          </cell>
          <cell r="C667">
            <v>39003</v>
          </cell>
          <cell r="D667" t="str">
            <v>ブルースクウェアを追え！</v>
          </cell>
          <cell r="E667" t="str">
            <v>コラボクエスト</v>
          </cell>
          <cell r="F667">
            <v>1</v>
          </cell>
          <cell r="G667" t="str">
            <v>ja</v>
          </cell>
          <cell r="H667" t="str">
            <v>【初級】ブルースクウェアを追え！</v>
          </cell>
          <cell r="I667" t="str">
            <v>初級</v>
          </cell>
          <cell r="J667">
            <v>691</v>
          </cell>
          <cell r="K667">
            <v>8</v>
          </cell>
          <cell r="L667">
            <v>384</v>
          </cell>
          <cell r="M667">
            <v>1</v>
          </cell>
          <cell r="N667">
            <v>1</v>
          </cell>
          <cell r="O667">
            <v>1</v>
          </cell>
          <cell r="P667">
            <v>1</v>
          </cell>
          <cell r="Q667">
            <v>1</v>
          </cell>
          <cell r="R667">
            <v>3</v>
          </cell>
          <cell r="S667" t="str">
            <v>none</v>
          </cell>
          <cell r="T667">
            <v>0</v>
          </cell>
          <cell r="U667" t="str">
            <v>NULL</v>
          </cell>
          <cell r="V667" t="str">
            <v>NULL</v>
          </cell>
          <cell r="W667" t="str">
            <v/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 t="str">
            <v>anytime</v>
          </cell>
          <cell r="AC667">
            <v>14</v>
          </cell>
          <cell r="AD667">
            <v>6</v>
          </cell>
          <cell r="AE667" t="str">
            <v>everyone</v>
          </cell>
        </row>
        <row r="668">
          <cell r="A668" t="str">
            <v>39003_2</v>
          </cell>
          <cell r="B668">
            <v>3</v>
          </cell>
          <cell r="C668">
            <v>39003</v>
          </cell>
          <cell r="D668" t="str">
            <v>ブルースクウェアを追え！</v>
          </cell>
          <cell r="E668" t="str">
            <v>コラボクエスト</v>
          </cell>
          <cell r="F668">
            <v>2</v>
          </cell>
          <cell r="G668" t="str">
            <v>ja</v>
          </cell>
          <cell r="H668" t="str">
            <v>【中級】ブルースクウェアを追え！</v>
          </cell>
          <cell r="I668" t="str">
            <v>中級</v>
          </cell>
          <cell r="J668">
            <v>691</v>
          </cell>
          <cell r="K668">
            <v>15</v>
          </cell>
          <cell r="L668">
            <v>1200</v>
          </cell>
          <cell r="M668">
            <v>1</v>
          </cell>
          <cell r="N668">
            <v>1</v>
          </cell>
          <cell r="O668">
            <v>1</v>
          </cell>
          <cell r="P668">
            <v>1</v>
          </cell>
          <cell r="Q668">
            <v>1</v>
          </cell>
          <cell r="R668">
            <v>3</v>
          </cell>
          <cell r="S668" t="str">
            <v>none</v>
          </cell>
          <cell r="T668">
            <v>0</v>
          </cell>
          <cell r="U668" t="str">
            <v>NULL</v>
          </cell>
          <cell r="V668" t="str">
            <v>NULL</v>
          </cell>
          <cell r="W668" t="str">
            <v/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 t="str">
            <v>anytime</v>
          </cell>
          <cell r="AC668">
            <v>14</v>
          </cell>
          <cell r="AD668">
            <v>6</v>
          </cell>
          <cell r="AE668" t="str">
            <v>everyone</v>
          </cell>
        </row>
        <row r="669">
          <cell r="A669" t="str">
            <v>39003_3</v>
          </cell>
          <cell r="B669">
            <v>3</v>
          </cell>
          <cell r="C669">
            <v>39003</v>
          </cell>
          <cell r="D669" t="str">
            <v>ブルースクウェアを追え！</v>
          </cell>
          <cell r="E669" t="str">
            <v>コラボクエスト</v>
          </cell>
          <cell r="F669">
            <v>3</v>
          </cell>
          <cell r="G669" t="str">
            <v>ja</v>
          </cell>
          <cell r="H669" t="str">
            <v>【上級】ブルースクウェアを追え！</v>
          </cell>
          <cell r="I669" t="str">
            <v>上級</v>
          </cell>
          <cell r="J669">
            <v>691</v>
          </cell>
          <cell r="K669">
            <v>20</v>
          </cell>
          <cell r="L669">
            <v>2000</v>
          </cell>
          <cell r="M669">
            <v>1</v>
          </cell>
          <cell r="N669">
            <v>1</v>
          </cell>
          <cell r="O669">
            <v>1</v>
          </cell>
          <cell r="P669">
            <v>1</v>
          </cell>
          <cell r="Q669">
            <v>1</v>
          </cell>
          <cell r="R669">
            <v>3</v>
          </cell>
          <cell r="S669" t="str">
            <v>none</v>
          </cell>
          <cell r="T669">
            <v>0</v>
          </cell>
          <cell r="U669" t="str">
            <v>NULL</v>
          </cell>
          <cell r="V669" t="str">
            <v>NULL</v>
          </cell>
          <cell r="W669" t="str">
            <v/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 t="str">
            <v>anytime</v>
          </cell>
          <cell r="AC669">
            <v>14</v>
          </cell>
          <cell r="AD669">
            <v>6</v>
          </cell>
          <cell r="AE669" t="str">
            <v>everyone</v>
          </cell>
        </row>
        <row r="670">
          <cell r="A670" t="str">
            <v>39003_4</v>
          </cell>
          <cell r="B670">
            <v>3</v>
          </cell>
          <cell r="C670">
            <v>39003</v>
          </cell>
          <cell r="D670" t="str">
            <v>ブルースクウェアを追え！</v>
          </cell>
          <cell r="E670" t="str">
            <v>コラボクエスト</v>
          </cell>
          <cell r="F670">
            <v>4</v>
          </cell>
          <cell r="G670" t="str">
            <v>ja</v>
          </cell>
          <cell r="H670" t="str">
            <v>【超級】ブルースクウェアを追え！</v>
          </cell>
          <cell r="I670" t="str">
            <v>超級</v>
          </cell>
          <cell r="J670">
            <v>691</v>
          </cell>
          <cell r="K670">
            <v>30</v>
          </cell>
          <cell r="L670">
            <v>3300</v>
          </cell>
          <cell r="M670">
            <v>1</v>
          </cell>
          <cell r="N670">
            <v>1</v>
          </cell>
          <cell r="O670">
            <v>1</v>
          </cell>
          <cell r="P670">
            <v>1</v>
          </cell>
          <cell r="Q670">
            <v>1</v>
          </cell>
          <cell r="R670">
            <v>3</v>
          </cell>
          <cell r="S670" t="str">
            <v>polygon</v>
          </cell>
          <cell r="T670">
            <v>1</v>
          </cell>
          <cell r="U670" t="str">
            <v>NULL</v>
          </cell>
          <cell r="V670" t="str">
            <v>NULL</v>
          </cell>
          <cell r="W670" t="str">
            <v/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 t="str">
            <v>anytime</v>
          </cell>
          <cell r="AC670">
            <v>14</v>
          </cell>
          <cell r="AD670">
            <v>6</v>
          </cell>
          <cell r="AE670" t="str">
            <v>everyone</v>
          </cell>
        </row>
        <row r="671">
          <cell r="A671" t="str">
            <v>39004_1</v>
          </cell>
          <cell r="B671">
            <v>3</v>
          </cell>
          <cell r="C671">
            <v>39004</v>
          </cell>
          <cell r="D671" t="str">
            <v xml:space="preserve">ニムダのおきにいり♪ </v>
          </cell>
          <cell r="E671" t="str">
            <v>コラボクエスト</v>
          </cell>
          <cell r="F671">
            <v>1</v>
          </cell>
          <cell r="G671" t="str">
            <v>ja</v>
          </cell>
          <cell r="H671" t="str">
            <v xml:space="preserve">【初級】ニムダのおきにいり♪ </v>
          </cell>
          <cell r="I671" t="str">
            <v>初級</v>
          </cell>
          <cell r="J671">
            <v>902</v>
          </cell>
          <cell r="K671">
            <v>8</v>
          </cell>
          <cell r="L671">
            <v>384</v>
          </cell>
          <cell r="M671">
            <v>1</v>
          </cell>
          <cell r="N671">
            <v>1</v>
          </cell>
          <cell r="O671">
            <v>1</v>
          </cell>
          <cell r="P671">
            <v>1</v>
          </cell>
          <cell r="Q671">
            <v>1</v>
          </cell>
          <cell r="R671">
            <v>3</v>
          </cell>
          <cell r="S671" t="str">
            <v>none</v>
          </cell>
          <cell r="T671">
            <v>0</v>
          </cell>
          <cell r="U671" t="str">
            <v>NULL</v>
          </cell>
          <cell r="V671" t="str">
            <v>NULL</v>
          </cell>
          <cell r="W671" t="str">
            <v/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 t="str">
            <v>anytime</v>
          </cell>
          <cell r="AC671">
            <v>933</v>
          </cell>
          <cell r="AD671">
            <v>6</v>
          </cell>
          <cell r="AE671" t="str">
            <v>everyone</v>
          </cell>
        </row>
        <row r="672">
          <cell r="A672" t="str">
            <v>39004_2</v>
          </cell>
          <cell r="B672">
            <v>3</v>
          </cell>
          <cell r="C672">
            <v>39004</v>
          </cell>
          <cell r="D672" t="str">
            <v xml:space="preserve">ニムダのおきにいり♪ </v>
          </cell>
          <cell r="E672" t="str">
            <v>コラボクエスト</v>
          </cell>
          <cell r="F672">
            <v>2</v>
          </cell>
          <cell r="G672" t="str">
            <v>ja</v>
          </cell>
          <cell r="H672" t="str">
            <v xml:space="preserve">【中級】ニムダのおきにいり♪ </v>
          </cell>
          <cell r="I672" t="str">
            <v>中級</v>
          </cell>
          <cell r="J672">
            <v>902</v>
          </cell>
          <cell r="K672">
            <v>15</v>
          </cell>
          <cell r="L672">
            <v>1200</v>
          </cell>
          <cell r="M672">
            <v>1</v>
          </cell>
          <cell r="N672">
            <v>1</v>
          </cell>
          <cell r="O672">
            <v>1</v>
          </cell>
          <cell r="P672">
            <v>1</v>
          </cell>
          <cell r="Q672">
            <v>1</v>
          </cell>
          <cell r="R672">
            <v>3</v>
          </cell>
          <cell r="S672" t="str">
            <v>none</v>
          </cell>
          <cell r="T672">
            <v>0</v>
          </cell>
          <cell r="U672" t="str">
            <v>NULL</v>
          </cell>
          <cell r="V672" t="str">
            <v>NULL</v>
          </cell>
          <cell r="W672" t="str">
            <v/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 t="str">
            <v>anytime</v>
          </cell>
          <cell r="AC672">
            <v>933</v>
          </cell>
          <cell r="AD672">
            <v>6</v>
          </cell>
          <cell r="AE672" t="str">
            <v>everyone</v>
          </cell>
        </row>
        <row r="673">
          <cell r="A673" t="str">
            <v>39004_3</v>
          </cell>
          <cell r="B673">
            <v>3</v>
          </cell>
          <cell r="C673">
            <v>39004</v>
          </cell>
          <cell r="D673" t="str">
            <v xml:space="preserve">ニムダのおきにいり♪ </v>
          </cell>
          <cell r="E673" t="str">
            <v>コラボクエスト</v>
          </cell>
          <cell r="F673">
            <v>3</v>
          </cell>
          <cell r="G673" t="str">
            <v>ja</v>
          </cell>
          <cell r="H673" t="str">
            <v xml:space="preserve">【上級】ニムダのおきにいり♪ </v>
          </cell>
          <cell r="I673" t="str">
            <v>上級</v>
          </cell>
          <cell r="J673">
            <v>902</v>
          </cell>
          <cell r="K673">
            <v>20</v>
          </cell>
          <cell r="L673">
            <v>2000</v>
          </cell>
          <cell r="M673">
            <v>1</v>
          </cell>
          <cell r="N673">
            <v>1</v>
          </cell>
          <cell r="O673">
            <v>1</v>
          </cell>
          <cell r="P673">
            <v>1</v>
          </cell>
          <cell r="Q673">
            <v>1</v>
          </cell>
          <cell r="R673">
            <v>3</v>
          </cell>
          <cell r="S673" t="str">
            <v>none</v>
          </cell>
          <cell r="T673">
            <v>0</v>
          </cell>
          <cell r="U673" t="str">
            <v>NULL</v>
          </cell>
          <cell r="V673" t="str">
            <v>NULL</v>
          </cell>
          <cell r="W673" t="str">
            <v/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 t="str">
            <v>anytime</v>
          </cell>
          <cell r="AC673">
            <v>933</v>
          </cell>
          <cell r="AD673">
            <v>6</v>
          </cell>
          <cell r="AE673" t="str">
            <v>everyone</v>
          </cell>
        </row>
        <row r="674">
          <cell r="A674" t="str">
            <v>39004_4</v>
          </cell>
          <cell r="B674">
            <v>3</v>
          </cell>
          <cell r="C674">
            <v>39004</v>
          </cell>
          <cell r="D674" t="str">
            <v xml:space="preserve">ニムダのおきにいり♪ </v>
          </cell>
          <cell r="E674" t="str">
            <v>コラボクエスト</v>
          </cell>
          <cell r="F674">
            <v>4</v>
          </cell>
          <cell r="G674" t="str">
            <v>ja</v>
          </cell>
          <cell r="H674" t="str">
            <v xml:space="preserve">【超級】ニムダのおきにいり♪ </v>
          </cell>
          <cell r="I674" t="str">
            <v>超級</v>
          </cell>
          <cell r="J674">
            <v>902</v>
          </cell>
          <cell r="K674">
            <v>30</v>
          </cell>
          <cell r="L674">
            <v>3300</v>
          </cell>
          <cell r="M674">
            <v>1</v>
          </cell>
          <cell r="N674">
            <v>1</v>
          </cell>
          <cell r="O674">
            <v>1</v>
          </cell>
          <cell r="P674">
            <v>1</v>
          </cell>
          <cell r="Q674">
            <v>1</v>
          </cell>
          <cell r="R674">
            <v>3</v>
          </cell>
          <cell r="S674" t="str">
            <v>polygon</v>
          </cell>
          <cell r="T674">
            <v>1</v>
          </cell>
          <cell r="U674" t="str">
            <v>NULL</v>
          </cell>
          <cell r="V674" t="str">
            <v>NULL</v>
          </cell>
          <cell r="W674" t="str">
            <v/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 t="str">
            <v>anytime</v>
          </cell>
          <cell r="AC674">
            <v>933</v>
          </cell>
          <cell r="AD674">
            <v>6</v>
          </cell>
          <cell r="AE674" t="str">
            <v>everyone</v>
          </cell>
        </row>
        <row r="675">
          <cell r="A675" t="str">
            <v>39005_1</v>
          </cell>
          <cell r="B675">
            <v>1</v>
          </cell>
          <cell r="C675">
            <v>39005</v>
          </cell>
          <cell r="D675" t="str">
            <v xml:space="preserve">ポ </v>
          </cell>
          <cell r="E675" t="str">
            <v>コラボクエスト</v>
          </cell>
          <cell r="F675">
            <v>1</v>
          </cell>
          <cell r="G675" t="str">
            <v>ja</v>
          </cell>
          <cell r="H675" t="str">
            <v>【初級】ポ</v>
          </cell>
          <cell r="I675" t="str">
            <v>初級</v>
          </cell>
          <cell r="J675">
            <v>8029</v>
          </cell>
          <cell r="K675">
            <v>8</v>
          </cell>
          <cell r="L675">
            <v>384</v>
          </cell>
          <cell r="M675">
            <v>1</v>
          </cell>
          <cell r="N675">
            <v>1</v>
          </cell>
          <cell r="O675">
            <v>1</v>
          </cell>
          <cell r="P675">
            <v>1</v>
          </cell>
          <cell r="Q675">
            <v>1</v>
          </cell>
          <cell r="R675">
            <v>3</v>
          </cell>
          <cell r="S675" t="str">
            <v>none</v>
          </cell>
          <cell r="T675">
            <v>0</v>
          </cell>
          <cell r="U675" t="str">
            <v>NULL</v>
          </cell>
          <cell r="V675" t="str">
            <v>NULL</v>
          </cell>
          <cell r="W675" t="str">
            <v/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 t="str">
            <v>anytime</v>
          </cell>
          <cell r="AC675">
            <v>909</v>
          </cell>
          <cell r="AD675">
            <v>6</v>
          </cell>
          <cell r="AE675" t="str">
            <v>everyone</v>
          </cell>
        </row>
        <row r="676">
          <cell r="A676" t="str">
            <v>39005_2</v>
          </cell>
          <cell r="B676">
            <v>1</v>
          </cell>
          <cell r="C676">
            <v>39005</v>
          </cell>
          <cell r="D676" t="str">
            <v xml:space="preserve">ポ </v>
          </cell>
          <cell r="E676" t="str">
            <v>コラボクエスト</v>
          </cell>
          <cell r="F676">
            <v>2</v>
          </cell>
          <cell r="G676" t="str">
            <v>ja</v>
          </cell>
          <cell r="H676" t="str">
            <v>【中級】ポ</v>
          </cell>
          <cell r="I676" t="str">
            <v>中級</v>
          </cell>
          <cell r="J676">
            <v>8029</v>
          </cell>
          <cell r="K676">
            <v>15</v>
          </cell>
          <cell r="L676">
            <v>1200</v>
          </cell>
          <cell r="M676">
            <v>1</v>
          </cell>
          <cell r="N676">
            <v>1</v>
          </cell>
          <cell r="O676">
            <v>1</v>
          </cell>
          <cell r="P676">
            <v>1</v>
          </cell>
          <cell r="Q676">
            <v>1</v>
          </cell>
          <cell r="R676">
            <v>3</v>
          </cell>
          <cell r="S676" t="str">
            <v>none</v>
          </cell>
          <cell r="T676">
            <v>0</v>
          </cell>
          <cell r="U676" t="str">
            <v>NULL</v>
          </cell>
          <cell r="V676" t="str">
            <v>NULL</v>
          </cell>
          <cell r="W676" t="str">
            <v/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 t="str">
            <v>anytime</v>
          </cell>
          <cell r="AC676">
            <v>909</v>
          </cell>
          <cell r="AD676">
            <v>6</v>
          </cell>
          <cell r="AE676" t="str">
            <v>everyone</v>
          </cell>
        </row>
        <row r="677">
          <cell r="A677" t="str">
            <v>39005_3</v>
          </cell>
          <cell r="B677">
            <v>1</v>
          </cell>
          <cell r="C677">
            <v>39005</v>
          </cell>
          <cell r="D677" t="str">
            <v xml:space="preserve">ポ </v>
          </cell>
          <cell r="E677" t="str">
            <v>コラボクエスト</v>
          </cell>
          <cell r="F677">
            <v>3</v>
          </cell>
          <cell r="G677" t="str">
            <v>ja</v>
          </cell>
          <cell r="H677" t="str">
            <v>【上級】ポ</v>
          </cell>
          <cell r="I677" t="str">
            <v>上級</v>
          </cell>
          <cell r="J677">
            <v>8029</v>
          </cell>
          <cell r="K677">
            <v>20</v>
          </cell>
          <cell r="L677">
            <v>2000</v>
          </cell>
          <cell r="M677">
            <v>1</v>
          </cell>
          <cell r="N677">
            <v>1</v>
          </cell>
          <cell r="O677">
            <v>1</v>
          </cell>
          <cell r="P677">
            <v>1</v>
          </cell>
          <cell r="Q677">
            <v>1</v>
          </cell>
          <cell r="R677">
            <v>3</v>
          </cell>
          <cell r="S677" t="str">
            <v>none</v>
          </cell>
          <cell r="T677">
            <v>0</v>
          </cell>
          <cell r="U677" t="str">
            <v>NULL</v>
          </cell>
          <cell r="V677" t="str">
            <v>NULL</v>
          </cell>
          <cell r="W677" t="str">
            <v/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 t="str">
            <v>anytime</v>
          </cell>
          <cell r="AC677">
            <v>909</v>
          </cell>
          <cell r="AD677">
            <v>6</v>
          </cell>
          <cell r="AE677" t="str">
            <v>everyone</v>
          </cell>
        </row>
        <row r="678">
          <cell r="A678" t="str">
            <v>39005_4</v>
          </cell>
          <cell r="B678">
            <v>1</v>
          </cell>
          <cell r="C678">
            <v>39005</v>
          </cell>
          <cell r="D678" t="str">
            <v xml:space="preserve">ポ </v>
          </cell>
          <cell r="E678" t="str">
            <v>コラボクエスト</v>
          </cell>
          <cell r="F678">
            <v>4</v>
          </cell>
          <cell r="G678" t="str">
            <v>ja</v>
          </cell>
          <cell r="H678" t="str">
            <v>【超級】ポ</v>
          </cell>
          <cell r="I678" t="str">
            <v>超級</v>
          </cell>
          <cell r="J678">
            <v>8029</v>
          </cell>
          <cell r="K678">
            <v>30</v>
          </cell>
          <cell r="L678">
            <v>3300</v>
          </cell>
          <cell r="M678">
            <v>1</v>
          </cell>
          <cell r="N678">
            <v>1</v>
          </cell>
          <cell r="O678">
            <v>1</v>
          </cell>
          <cell r="P678">
            <v>1</v>
          </cell>
          <cell r="Q678">
            <v>1</v>
          </cell>
          <cell r="R678">
            <v>3</v>
          </cell>
          <cell r="S678" t="str">
            <v>none</v>
          </cell>
          <cell r="T678">
            <v>0</v>
          </cell>
          <cell r="U678" t="str">
            <v>NULL</v>
          </cell>
          <cell r="V678" t="str">
            <v>NULL</v>
          </cell>
          <cell r="W678" t="str">
            <v/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 t="str">
            <v>anytime</v>
          </cell>
          <cell r="AC678">
            <v>909</v>
          </cell>
          <cell r="AD678">
            <v>6</v>
          </cell>
          <cell r="AE678" t="str">
            <v>everyone</v>
          </cell>
        </row>
        <row r="679">
          <cell r="A679" t="str">
            <v>39005_5</v>
          </cell>
          <cell r="B679">
            <v>1</v>
          </cell>
          <cell r="C679">
            <v>39005</v>
          </cell>
          <cell r="D679" t="str">
            <v xml:space="preserve">ポ </v>
          </cell>
          <cell r="E679" t="str">
            <v>コラボクエスト</v>
          </cell>
          <cell r="F679">
            <v>5</v>
          </cell>
          <cell r="G679" t="str">
            <v>ja</v>
          </cell>
          <cell r="H679" t="str">
            <v>【超絶級】ポ</v>
          </cell>
          <cell r="I679" t="str">
            <v>超絶級</v>
          </cell>
          <cell r="J679">
            <v>8030</v>
          </cell>
          <cell r="K679">
            <v>35</v>
          </cell>
          <cell r="L679">
            <v>4200</v>
          </cell>
          <cell r="M679">
            <v>1</v>
          </cell>
          <cell r="N679">
            <v>1</v>
          </cell>
          <cell r="O679">
            <v>1</v>
          </cell>
          <cell r="P679">
            <v>1</v>
          </cell>
          <cell r="Q679">
            <v>1</v>
          </cell>
          <cell r="R679">
            <v>3</v>
          </cell>
          <cell r="S679" t="str">
            <v>polygon</v>
          </cell>
          <cell r="T679">
            <v>1</v>
          </cell>
          <cell r="U679" t="str">
            <v>NULL</v>
          </cell>
          <cell r="V679" t="str">
            <v>NULL</v>
          </cell>
          <cell r="W679" t="str">
            <v/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 t="str">
            <v>anytime</v>
          </cell>
          <cell r="AC679">
            <v>909</v>
          </cell>
          <cell r="AD679">
            <v>6</v>
          </cell>
          <cell r="AE679" t="str">
            <v>everyone</v>
          </cell>
        </row>
        <row r="680">
          <cell r="A680" t="str">
            <v>39006_1</v>
          </cell>
          <cell r="B680">
            <v>3</v>
          </cell>
          <cell r="C680">
            <v>39006</v>
          </cell>
          <cell r="D680" t="str">
            <v>シガンシナ区攻防戦</v>
          </cell>
          <cell r="E680" t="str">
            <v>コラボクエスト</v>
          </cell>
          <cell r="F680">
            <v>1</v>
          </cell>
          <cell r="G680" t="str">
            <v>ja</v>
          </cell>
          <cell r="H680" t="str">
            <v>【初級】シガンシナ区攻防戦</v>
          </cell>
          <cell r="I680" t="str">
            <v>初級</v>
          </cell>
          <cell r="J680">
            <v>0</v>
          </cell>
          <cell r="K680">
            <v>8</v>
          </cell>
          <cell r="L680">
            <v>384</v>
          </cell>
          <cell r="M680">
            <v>1</v>
          </cell>
          <cell r="N680">
            <v>1</v>
          </cell>
          <cell r="O680">
            <v>1</v>
          </cell>
          <cell r="P680">
            <v>1</v>
          </cell>
          <cell r="Q680">
            <v>1</v>
          </cell>
          <cell r="R680">
            <v>3</v>
          </cell>
          <cell r="S680" t="str">
            <v>none</v>
          </cell>
          <cell r="T680">
            <v>0</v>
          </cell>
          <cell r="U680" t="str">
            <v>NULL</v>
          </cell>
          <cell r="V680" t="str">
            <v>NULL</v>
          </cell>
          <cell r="W680" t="str">
            <v/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 t="str">
            <v>anytime</v>
          </cell>
          <cell r="AC680">
            <v>938</v>
          </cell>
          <cell r="AD680">
            <v>6</v>
          </cell>
          <cell r="AE680" t="str">
            <v>everyone</v>
          </cell>
        </row>
        <row r="681">
          <cell r="A681" t="str">
            <v>39006_2</v>
          </cell>
          <cell r="B681">
            <v>3</v>
          </cell>
          <cell r="C681">
            <v>39006</v>
          </cell>
          <cell r="D681" t="str">
            <v>シガンシナ区攻防戦</v>
          </cell>
          <cell r="E681" t="str">
            <v>コラボクエスト</v>
          </cell>
          <cell r="F681">
            <v>2</v>
          </cell>
          <cell r="G681" t="str">
            <v>ja</v>
          </cell>
          <cell r="H681" t="str">
            <v>【中級】シガンシナ区攻防戦</v>
          </cell>
          <cell r="I681" t="str">
            <v>中級</v>
          </cell>
          <cell r="J681">
            <v>0</v>
          </cell>
          <cell r="K681">
            <v>15</v>
          </cell>
          <cell r="L681">
            <v>1200</v>
          </cell>
          <cell r="M681">
            <v>1</v>
          </cell>
          <cell r="N681">
            <v>1</v>
          </cell>
          <cell r="O681">
            <v>1</v>
          </cell>
          <cell r="P681">
            <v>1</v>
          </cell>
          <cell r="Q681">
            <v>1</v>
          </cell>
          <cell r="R681">
            <v>3</v>
          </cell>
          <cell r="S681" t="str">
            <v>none</v>
          </cell>
          <cell r="T681">
            <v>0</v>
          </cell>
          <cell r="U681" t="str">
            <v>NULL</v>
          </cell>
          <cell r="V681" t="str">
            <v>NULL</v>
          </cell>
          <cell r="W681" t="str">
            <v/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 t="str">
            <v>anytime</v>
          </cell>
          <cell r="AC681">
            <v>938</v>
          </cell>
          <cell r="AD681">
            <v>6</v>
          </cell>
          <cell r="AE681" t="str">
            <v>everyone</v>
          </cell>
        </row>
        <row r="682">
          <cell r="A682" t="str">
            <v>39006_3</v>
          </cell>
          <cell r="B682">
            <v>3</v>
          </cell>
          <cell r="C682">
            <v>39006</v>
          </cell>
          <cell r="D682" t="str">
            <v>シガンシナ区攻防戦</v>
          </cell>
          <cell r="E682" t="str">
            <v>コラボクエスト</v>
          </cell>
          <cell r="F682">
            <v>3</v>
          </cell>
          <cell r="G682" t="str">
            <v>ja</v>
          </cell>
          <cell r="H682" t="str">
            <v>【上級】シガンシナ区攻防戦</v>
          </cell>
          <cell r="I682" t="str">
            <v>上級</v>
          </cell>
          <cell r="J682">
            <v>0</v>
          </cell>
          <cell r="K682">
            <v>20</v>
          </cell>
          <cell r="L682">
            <v>2000</v>
          </cell>
          <cell r="M682">
            <v>1</v>
          </cell>
          <cell r="N682">
            <v>1</v>
          </cell>
          <cell r="O682">
            <v>1</v>
          </cell>
          <cell r="P682">
            <v>1</v>
          </cell>
          <cell r="Q682">
            <v>1</v>
          </cell>
          <cell r="R682">
            <v>3</v>
          </cell>
          <cell r="S682" t="str">
            <v>none</v>
          </cell>
          <cell r="T682">
            <v>0</v>
          </cell>
          <cell r="U682" t="str">
            <v>NULL</v>
          </cell>
          <cell r="V682" t="str">
            <v>NULL</v>
          </cell>
          <cell r="W682" t="str">
            <v/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 t="str">
            <v>anytime</v>
          </cell>
          <cell r="AC682">
            <v>938</v>
          </cell>
          <cell r="AD682">
            <v>6</v>
          </cell>
          <cell r="AE682" t="str">
            <v>everyone</v>
          </cell>
        </row>
        <row r="683">
          <cell r="A683" t="str">
            <v>39006_4</v>
          </cell>
          <cell r="B683">
            <v>3</v>
          </cell>
          <cell r="C683">
            <v>39006</v>
          </cell>
          <cell r="D683" t="str">
            <v>シガンシナ区攻防戦</v>
          </cell>
          <cell r="E683" t="str">
            <v>コラボクエスト</v>
          </cell>
          <cell r="F683">
            <v>4</v>
          </cell>
          <cell r="G683" t="str">
            <v>ja</v>
          </cell>
          <cell r="H683" t="str">
            <v>【超級】シガンシナ区攻防戦</v>
          </cell>
          <cell r="I683" t="str">
            <v>超級</v>
          </cell>
          <cell r="J683">
            <v>0</v>
          </cell>
          <cell r="K683">
            <v>30</v>
          </cell>
          <cell r="L683">
            <v>3300</v>
          </cell>
          <cell r="M683">
            <v>1</v>
          </cell>
          <cell r="N683">
            <v>1</v>
          </cell>
          <cell r="O683">
            <v>1</v>
          </cell>
          <cell r="P683">
            <v>1</v>
          </cell>
          <cell r="Q683">
            <v>1</v>
          </cell>
          <cell r="R683">
            <v>3</v>
          </cell>
          <cell r="S683" t="str">
            <v>polygon</v>
          </cell>
          <cell r="T683">
            <v>1</v>
          </cell>
          <cell r="U683" t="str">
            <v>NULL</v>
          </cell>
          <cell r="V683" t="str">
            <v>NULL</v>
          </cell>
          <cell r="W683" t="str">
            <v/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 t="str">
            <v>anytime</v>
          </cell>
          <cell r="AC683">
            <v>938</v>
          </cell>
          <cell r="AD683">
            <v>6</v>
          </cell>
          <cell r="AE683" t="str">
            <v>everyone</v>
          </cell>
        </row>
        <row r="684">
          <cell r="A684" t="str">
            <v>39007_1</v>
          </cell>
          <cell r="B684">
            <v>1</v>
          </cell>
          <cell r="C684">
            <v>39007</v>
          </cell>
          <cell r="D684" t="str">
            <v>ニムダ（台）</v>
          </cell>
          <cell r="E684" t="str">
            <v>コラボクエスト</v>
          </cell>
          <cell r="F684">
            <v>1</v>
          </cell>
          <cell r="G684" t="str">
            <v>ja</v>
          </cell>
          <cell r="H684" t="str">
            <v>【初級】ニムダ（台）</v>
          </cell>
          <cell r="I684" t="str">
            <v>初級</v>
          </cell>
          <cell r="J684">
            <v>902</v>
          </cell>
          <cell r="K684">
            <v>8</v>
          </cell>
          <cell r="L684">
            <v>384</v>
          </cell>
          <cell r="M684">
            <v>1</v>
          </cell>
          <cell r="N684">
            <v>1</v>
          </cell>
          <cell r="O684">
            <v>1</v>
          </cell>
          <cell r="P684">
            <v>1</v>
          </cell>
          <cell r="Q684">
            <v>1</v>
          </cell>
          <cell r="R684">
            <v>3</v>
          </cell>
          <cell r="S684" t="str">
            <v>none</v>
          </cell>
          <cell r="T684">
            <v>0</v>
          </cell>
          <cell r="U684" t="str">
            <v>NULL</v>
          </cell>
          <cell r="V684" t="str">
            <v>NULL</v>
          </cell>
          <cell r="W684" t="str">
            <v/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 t="str">
            <v>anytime</v>
          </cell>
          <cell r="AC684">
            <v>933</v>
          </cell>
          <cell r="AD684">
            <v>6</v>
          </cell>
          <cell r="AE684" t="str">
            <v>everyone</v>
          </cell>
        </row>
        <row r="685">
          <cell r="A685" t="str">
            <v>39007_2</v>
          </cell>
          <cell r="B685">
            <v>1</v>
          </cell>
          <cell r="C685">
            <v>39007</v>
          </cell>
          <cell r="D685" t="str">
            <v>ニムダ（台）</v>
          </cell>
          <cell r="E685" t="str">
            <v>コラボクエスト</v>
          </cell>
          <cell r="F685">
            <v>2</v>
          </cell>
          <cell r="G685" t="str">
            <v>ja</v>
          </cell>
          <cell r="H685" t="str">
            <v>【中級】ニムダ（台）</v>
          </cell>
          <cell r="I685" t="str">
            <v>中級</v>
          </cell>
          <cell r="J685">
            <v>902</v>
          </cell>
          <cell r="K685">
            <v>15</v>
          </cell>
          <cell r="L685">
            <v>1200</v>
          </cell>
          <cell r="M685">
            <v>1</v>
          </cell>
          <cell r="N685">
            <v>1</v>
          </cell>
          <cell r="O685">
            <v>1</v>
          </cell>
          <cell r="P685">
            <v>1</v>
          </cell>
          <cell r="Q685">
            <v>1</v>
          </cell>
          <cell r="R685">
            <v>3</v>
          </cell>
          <cell r="S685" t="str">
            <v>none</v>
          </cell>
          <cell r="T685">
            <v>0</v>
          </cell>
          <cell r="U685" t="str">
            <v>NULL</v>
          </cell>
          <cell r="V685" t="str">
            <v>NULL</v>
          </cell>
          <cell r="W685" t="str">
            <v/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 t="str">
            <v>anytime</v>
          </cell>
          <cell r="AC685">
            <v>933</v>
          </cell>
          <cell r="AD685">
            <v>6</v>
          </cell>
          <cell r="AE685" t="str">
            <v>everyone</v>
          </cell>
        </row>
        <row r="686">
          <cell r="A686" t="str">
            <v>39007_3</v>
          </cell>
          <cell r="B686">
            <v>1</v>
          </cell>
          <cell r="C686">
            <v>39007</v>
          </cell>
          <cell r="D686" t="str">
            <v>ニムダ（台）</v>
          </cell>
          <cell r="E686" t="str">
            <v>コラボクエスト</v>
          </cell>
          <cell r="F686">
            <v>3</v>
          </cell>
          <cell r="G686" t="str">
            <v>ja</v>
          </cell>
          <cell r="H686" t="str">
            <v>【上級】ニムダ（台）</v>
          </cell>
          <cell r="I686" t="str">
            <v>上級</v>
          </cell>
          <cell r="J686">
            <v>902</v>
          </cell>
          <cell r="K686">
            <v>20</v>
          </cell>
          <cell r="L686">
            <v>2000</v>
          </cell>
          <cell r="M686">
            <v>1</v>
          </cell>
          <cell r="N686">
            <v>1</v>
          </cell>
          <cell r="O686">
            <v>1</v>
          </cell>
          <cell r="P686">
            <v>1</v>
          </cell>
          <cell r="Q686">
            <v>1</v>
          </cell>
          <cell r="R686">
            <v>3</v>
          </cell>
          <cell r="S686" t="str">
            <v>none</v>
          </cell>
          <cell r="T686">
            <v>0</v>
          </cell>
          <cell r="U686" t="str">
            <v>NULL</v>
          </cell>
          <cell r="V686" t="str">
            <v>NULL</v>
          </cell>
          <cell r="W686" t="str">
            <v/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 t="str">
            <v>anytime</v>
          </cell>
          <cell r="AC686">
            <v>933</v>
          </cell>
          <cell r="AD686">
            <v>6</v>
          </cell>
          <cell r="AE686" t="str">
            <v>everyone</v>
          </cell>
        </row>
        <row r="687">
          <cell r="A687" t="str">
            <v>39007_4</v>
          </cell>
          <cell r="B687">
            <v>1</v>
          </cell>
          <cell r="C687">
            <v>39007</v>
          </cell>
          <cell r="D687" t="str">
            <v>ニムダ（台）</v>
          </cell>
          <cell r="E687" t="str">
            <v>コラボクエスト</v>
          </cell>
          <cell r="F687">
            <v>4</v>
          </cell>
          <cell r="G687" t="str">
            <v>ja</v>
          </cell>
          <cell r="H687" t="str">
            <v>【超級】ニムダ（台）</v>
          </cell>
          <cell r="I687" t="str">
            <v>超級</v>
          </cell>
          <cell r="J687">
            <v>902</v>
          </cell>
          <cell r="K687">
            <v>30</v>
          </cell>
          <cell r="L687">
            <v>3300</v>
          </cell>
          <cell r="M687">
            <v>1</v>
          </cell>
          <cell r="N687">
            <v>1</v>
          </cell>
          <cell r="O687">
            <v>1</v>
          </cell>
          <cell r="P687">
            <v>1</v>
          </cell>
          <cell r="Q687">
            <v>1</v>
          </cell>
          <cell r="R687">
            <v>3</v>
          </cell>
          <cell r="S687" t="str">
            <v>polygon</v>
          </cell>
          <cell r="T687">
            <v>1</v>
          </cell>
          <cell r="U687" t="str">
            <v>NULL</v>
          </cell>
          <cell r="V687" t="str">
            <v>NULL</v>
          </cell>
          <cell r="W687" t="str">
            <v/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 t="str">
            <v>anytime</v>
          </cell>
          <cell r="AC687">
            <v>933</v>
          </cell>
          <cell r="AD687">
            <v>6</v>
          </cell>
          <cell r="AE687" t="str">
            <v>everyone</v>
          </cell>
        </row>
        <row r="688">
          <cell r="A688" t="str">
            <v>39008_1</v>
          </cell>
          <cell r="B688">
            <v>3</v>
          </cell>
          <cell r="C688">
            <v>39008</v>
          </cell>
          <cell r="D688" t="str">
            <v>雪の歌姫</v>
          </cell>
          <cell r="E688" t="str">
            <v>復刻コラボクエスト</v>
          </cell>
          <cell r="F688">
            <v>1</v>
          </cell>
          <cell r="G688" t="str">
            <v>ja</v>
          </cell>
          <cell r="H688" t="str">
            <v>【初級】雪の歌姫</v>
          </cell>
          <cell r="I688" t="str">
            <v>初級</v>
          </cell>
          <cell r="J688">
            <v>525</v>
          </cell>
          <cell r="K688">
            <v>5</v>
          </cell>
          <cell r="L688">
            <v>384</v>
          </cell>
          <cell r="M688">
            <v>1</v>
          </cell>
          <cell r="N688">
            <v>1</v>
          </cell>
          <cell r="O688">
            <v>1</v>
          </cell>
          <cell r="P688">
            <v>1</v>
          </cell>
          <cell r="Q688">
            <v>1</v>
          </cell>
          <cell r="R688">
            <v>3</v>
          </cell>
          <cell r="S688" t="str">
            <v>none</v>
          </cell>
          <cell r="T688">
            <v>0</v>
          </cell>
          <cell r="U688" t="str">
            <v>NULL</v>
          </cell>
          <cell r="V688" t="str">
            <v>NULL</v>
          </cell>
          <cell r="W688" t="str">
            <v/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 t="str">
            <v>anytime</v>
          </cell>
          <cell r="AC688">
            <v>910</v>
          </cell>
          <cell r="AD688">
            <v>6</v>
          </cell>
          <cell r="AE688" t="str">
            <v>everyone</v>
          </cell>
        </row>
        <row r="689">
          <cell r="A689" t="str">
            <v>39008_2</v>
          </cell>
          <cell r="B689">
            <v>3</v>
          </cell>
          <cell r="C689">
            <v>39008</v>
          </cell>
          <cell r="D689" t="str">
            <v>雪の歌姫</v>
          </cell>
          <cell r="E689" t="str">
            <v>復刻コラボクエスト</v>
          </cell>
          <cell r="F689">
            <v>2</v>
          </cell>
          <cell r="G689" t="str">
            <v>ja</v>
          </cell>
          <cell r="H689" t="str">
            <v>【中級】雪の歌姫</v>
          </cell>
          <cell r="I689" t="str">
            <v>中級</v>
          </cell>
          <cell r="J689">
            <v>525</v>
          </cell>
          <cell r="K689">
            <v>9</v>
          </cell>
          <cell r="L689">
            <v>1200</v>
          </cell>
          <cell r="M689">
            <v>1</v>
          </cell>
          <cell r="N689">
            <v>1</v>
          </cell>
          <cell r="O689">
            <v>1</v>
          </cell>
          <cell r="P689">
            <v>1</v>
          </cell>
          <cell r="Q689">
            <v>1</v>
          </cell>
          <cell r="R689">
            <v>3</v>
          </cell>
          <cell r="S689" t="str">
            <v>none</v>
          </cell>
          <cell r="T689">
            <v>0</v>
          </cell>
          <cell r="U689" t="str">
            <v>NULL</v>
          </cell>
          <cell r="V689" t="str">
            <v>NULL</v>
          </cell>
          <cell r="W689" t="str">
            <v/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 t="str">
            <v>anytime</v>
          </cell>
          <cell r="AC689">
            <v>910</v>
          </cell>
          <cell r="AD689">
            <v>6</v>
          </cell>
          <cell r="AE689" t="str">
            <v>everyone</v>
          </cell>
        </row>
        <row r="690">
          <cell r="A690" t="str">
            <v>39008_3</v>
          </cell>
          <cell r="B690">
            <v>3</v>
          </cell>
          <cell r="C690">
            <v>39008</v>
          </cell>
          <cell r="D690" t="str">
            <v>雪の歌姫</v>
          </cell>
          <cell r="E690" t="str">
            <v>復刻コラボクエスト</v>
          </cell>
          <cell r="F690">
            <v>3</v>
          </cell>
          <cell r="G690" t="str">
            <v>ja</v>
          </cell>
          <cell r="H690" t="str">
            <v>【上級】雪の歌姫</v>
          </cell>
          <cell r="I690" t="str">
            <v>上級</v>
          </cell>
          <cell r="J690">
            <v>525</v>
          </cell>
          <cell r="K690">
            <v>14</v>
          </cell>
          <cell r="L690">
            <v>2000</v>
          </cell>
          <cell r="M690">
            <v>1</v>
          </cell>
          <cell r="N690">
            <v>1</v>
          </cell>
          <cell r="O690">
            <v>1</v>
          </cell>
          <cell r="P690">
            <v>1</v>
          </cell>
          <cell r="Q690">
            <v>1</v>
          </cell>
          <cell r="R690">
            <v>3</v>
          </cell>
          <cell r="S690" t="str">
            <v>none</v>
          </cell>
          <cell r="T690">
            <v>0</v>
          </cell>
          <cell r="U690" t="str">
            <v>NULL</v>
          </cell>
          <cell r="V690" t="str">
            <v>NULL</v>
          </cell>
          <cell r="W690" t="str">
            <v/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 t="str">
            <v>anytime</v>
          </cell>
          <cell r="AC690">
            <v>910</v>
          </cell>
          <cell r="AD690">
            <v>6</v>
          </cell>
          <cell r="AE690" t="str">
            <v>everyone</v>
          </cell>
        </row>
        <row r="691">
          <cell r="A691" t="str">
            <v>39008_4</v>
          </cell>
          <cell r="B691">
            <v>3</v>
          </cell>
          <cell r="C691">
            <v>39008</v>
          </cell>
          <cell r="D691" t="str">
            <v>雪の歌姫</v>
          </cell>
          <cell r="E691" t="str">
            <v>復刻コラボクエスト</v>
          </cell>
          <cell r="F691">
            <v>4</v>
          </cell>
          <cell r="G691" t="str">
            <v>ja</v>
          </cell>
          <cell r="H691" t="str">
            <v>【超級】雪の歌姫</v>
          </cell>
          <cell r="I691" t="str">
            <v>超級</v>
          </cell>
          <cell r="J691">
            <v>526</v>
          </cell>
          <cell r="K691">
            <v>20</v>
          </cell>
          <cell r="L691">
            <v>3300</v>
          </cell>
          <cell r="M691">
            <v>1</v>
          </cell>
          <cell r="N691">
            <v>1</v>
          </cell>
          <cell r="O691">
            <v>1</v>
          </cell>
          <cell r="P691">
            <v>1</v>
          </cell>
          <cell r="Q691">
            <v>1</v>
          </cell>
          <cell r="R691">
            <v>3</v>
          </cell>
          <cell r="S691" t="str">
            <v>none</v>
          </cell>
          <cell r="T691">
            <v>0</v>
          </cell>
          <cell r="U691" t="str">
            <v>NULL</v>
          </cell>
          <cell r="V691" t="str">
            <v>NULL</v>
          </cell>
          <cell r="W691" t="str">
            <v/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 t="str">
            <v>anytime</v>
          </cell>
          <cell r="AC691">
            <v>910</v>
          </cell>
          <cell r="AD691">
            <v>6</v>
          </cell>
          <cell r="AE691" t="str">
            <v>everyone</v>
          </cell>
        </row>
        <row r="692">
          <cell r="A692" t="str">
            <v>39008_5</v>
          </cell>
          <cell r="B692">
            <v>3</v>
          </cell>
          <cell r="C692">
            <v>39008</v>
          </cell>
          <cell r="D692" t="str">
            <v>雪の歌姫</v>
          </cell>
          <cell r="E692" t="str">
            <v>復刻コラボクエスト</v>
          </cell>
          <cell r="F692">
            <v>5</v>
          </cell>
          <cell r="G692" t="str">
            <v>ja</v>
          </cell>
          <cell r="H692" t="str">
            <v>【超絶級】雪の歌姫</v>
          </cell>
          <cell r="I692" t="str">
            <v>超絶級</v>
          </cell>
          <cell r="J692">
            <v>526</v>
          </cell>
          <cell r="K692">
            <v>25</v>
          </cell>
          <cell r="L692">
            <v>4200</v>
          </cell>
          <cell r="M692">
            <v>1</v>
          </cell>
          <cell r="N692">
            <v>1</v>
          </cell>
          <cell r="O692">
            <v>1</v>
          </cell>
          <cell r="P692">
            <v>1</v>
          </cell>
          <cell r="Q692">
            <v>1</v>
          </cell>
          <cell r="R692">
            <v>3</v>
          </cell>
          <cell r="S692" t="str">
            <v>polygon</v>
          </cell>
          <cell r="T692">
            <v>1</v>
          </cell>
          <cell r="U692" t="str">
            <v>NULL</v>
          </cell>
          <cell r="V692" t="str">
            <v>NULL</v>
          </cell>
          <cell r="W692" t="str">
            <v/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 t="str">
            <v>anytime</v>
          </cell>
          <cell r="AC692">
            <v>910</v>
          </cell>
          <cell r="AD692">
            <v>6</v>
          </cell>
          <cell r="AE692" t="str">
            <v>everyone</v>
          </cell>
        </row>
        <row r="693">
          <cell r="A693" t="str">
            <v>39009_1</v>
          </cell>
          <cell r="B693">
            <v>3</v>
          </cell>
          <cell r="C693">
            <v>39009</v>
          </cell>
          <cell r="D693" t="str">
            <v>星空の歌姫</v>
          </cell>
          <cell r="E693" t="str">
            <v>コラボクエスト</v>
          </cell>
          <cell r="F693">
            <v>1</v>
          </cell>
          <cell r="G693" t="str">
            <v>ja</v>
          </cell>
          <cell r="H693" t="str">
            <v>【初級】星空の歌姫</v>
          </cell>
          <cell r="I693" t="str">
            <v>初級</v>
          </cell>
          <cell r="J693">
            <v>1298</v>
          </cell>
          <cell r="K693">
            <v>5</v>
          </cell>
          <cell r="L693">
            <v>384</v>
          </cell>
          <cell r="M693">
            <v>1</v>
          </cell>
          <cell r="N693">
            <v>1</v>
          </cell>
          <cell r="O693">
            <v>1</v>
          </cell>
          <cell r="P693">
            <v>1</v>
          </cell>
          <cell r="Q693">
            <v>1</v>
          </cell>
          <cell r="R693">
            <v>3</v>
          </cell>
          <cell r="S693" t="str">
            <v>none</v>
          </cell>
          <cell r="T693">
            <v>0</v>
          </cell>
          <cell r="U693" t="str">
            <v>NULL</v>
          </cell>
          <cell r="V693" t="str">
            <v>NULL</v>
          </cell>
          <cell r="W693" t="str">
            <v/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 t="str">
            <v>anytime</v>
          </cell>
          <cell r="AC693">
            <v>910</v>
          </cell>
          <cell r="AD693">
            <v>6</v>
          </cell>
          <cell r="AE693" t="str">
            <v>everyone</v>
          </cell>
        </row>
        <row r="694">
          <cell r="A694" t="str">
            <v>39009_2</v>
          </cell>
          <cell r="B694">
            <v>3</v>
          </cell>
          <cell r="C694">
            <v>39009</v>
          </cell>
          <cell r="D694" t="str">
            <v>星空の歌姫</v>
          </cell>
          <cell r="E694" t="str">
            <v>コラボクエスト</v>
          </cell>
          <cell r="F694">
            <v>2</v>
          </cell>
          <cell r="G694" t="str">
            <v>ja</v>
          </cell>
          <cell r="H694" t="str">
            <v>【中級】星空の歌姫</v>
          </cell>
          <cell r="I694" t="str">
            <v>中級</v>
          </cell>
          <cell r="J694">
            <v>1298</v>
          </cell>
          <cell r="K694">
            <v>9</v>
          </cell>
          <cell r="L694">
            <v>1200</v>
          </cell>
          <cell r="M694">
            <v>1</v>
          </cell>
          <cell r="N694">
            <v>1</v>
          </cell>
          <cell r="O694">
            <v>1</v>
          </cell>
          <cell r="P694">
            <v>1</v>
          </cell>
          <cell r="Q694">
            <v>1</v>
          </cell>
          <cell r="R694">
            <v>3</v>
          </cell>
          <cell r="S694" t="str">
            <v>none</v>
          </cell>
          <cell r="T694">
            <v>0</v>
          </cell>
          <cell r="U694" t="str">
            <v>NULL</v>
          </cell>
          <cell r="V694" t="str">
            <v>NULL</v>
          </cell>
          <cell r="W694" t="str">
            <v/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 t="str">
            <v>anytime</v>
          </cell>
          <cell r="AC694">
            <v>910</v>
          </cell>
          <cell r="AD694">
            <v>6</v>
          </cell>
          <cell r="AE694" t="str">
            <v>everyone</v>
          </cell>
        </row>
        <row r="695">
          <cell r="A695" t="str">
            <v>39009_3</v>
          </cell>
          <cell r="B695">
            <v>3</v>
          </cell>
          <cell r="C695">
            <v>39009</v>
          </cell>
          <cell r="D695" t="str">
            <v>星空の歌姫</v>
          </cell>
          <cell r="E695" t="str">
            <v>コラボクエスト</v>
          </cell>
          <cell r="F695">
            <v>3</v>
          </cell>
          <cell r="G695" t="str">
            <v>ja</v>
          </cell>
          <cell r="H695" t="str">
            <v>【上級】星空の歌姫</v>
          </cell>
          <cell r="I695" t="str">
            <v>上級</v>
          </cell>
          <cell r="J695">
            <v>1298</v>
          </cell>
          <cell r="K695">
            <v>14</v>
          </cell>
          <cell r="L695">
            <v>2000</v>
          </cell>
          <cell r="M695">
            <v>1</v>
          </cell>
          <cell r="N695">
            <v>1</v>
          </cell>
          <cell r="O695">
            <v>1</v>
          </cell>
          <cell r="P695">
            <v>1</v>
          </cell>
          <cell r="Q695">
            <v>1</v>
          </cell>
          <cell r="R695">
            <v>3</v>
          </cell>
          <cell r="S695" t="str">
            <v>none</v>
          </cell>
          <cell r="T695">
            <v>0</v>
          </cell>
          <cell r="U695" t="str">
            <v>NULL</v>
          </cell>
          <cell r="V695" t="str">
            <v>NULL</v>
          </cell>
          <cell r="W695" t="str">
            <v/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  <cell r="AB695" t="str">
            <v>anytime</v>
          </cell>
          <cell r="AC695">
            <v>910</v>
          </cell>
          <cell r="AD695">
            <v>6</v>
          </cell>
          <cell r="AE695" t="str">
            <v>everyone</v>
          </cell>
        </row>
        <row r="696">
          <cell r="A696" t="str">
            <v>39009_4</v>
          </cell>
          <cell r="B696">
            <v>3</v>
          </cell>
          <cell r="C696">
            <v>39009</v>
          </cell>
          <cell r="D696" t="str">
            <v>星空の歌姫</v>
          </cell>
          <cell r="E696" t="str">
            <v>コラボクエスト</v>
          </cell>
          <cell r="F696">
            <v>4</v>
          </cell>
          <cell r="G696" t="str">
            <v>ja</v>
          </cell>
          <cell r="H696" t="str">
            <v>【超級】星空の歌姫</v>
          </cell>
          <cell r="I696" t="str">
            <v>超級</v>
          </cell>
          <cell r="J696">
            <v>1298</v>
          </cell>
          <cell r="K696">
            <v>20</v>
          </cell>
          <cell r="L696">
            <v>3300</v>
          </cell>
          <cell r="M696">
            <v>1</v>
          </cell>
          <cell r="N696">
            <v>1</v>
          </cell>
          <cell r="O696">
            <v>1</v>
          </cell>
          <cell r="P696">
            <v>1</v>
          </cell>
          <cell r="Q696">
            <v>1</v>
          </cell>
          <cell r="R696">
            <v>3</v>
          </cell>
          <cell r="S696" t="str">
            <v>none</v>
          </cell>
          <cell r="T696">
            <v>0</v>
          </cell>
          <cell r="U696" t="str">
            <v>NULL</v>
          </cell>
          <cell r="V696" t="str">
            <v>NULL</v>
          </cell>
          <cell r="W696" t="str">
            <v/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 t="str">
            <v>anytime</v>
          </cell>
          <cell r="AC696">
            <v>910</v>
          </cell>
          <cell r="AD696">
            <v>6</v>
          </cell>
          <cell r="AE696" t="str">
            <v>everyone</v>
          </cell>
        </row>
        <row r="697">
          <cell r="A697" t="str">
            <v>39009_5</v>
          </cell>
          <cell r="B697">
            <v>3</v>
          </cell>
          <cell r="C697">
            <v>39009</v>
          </cell>
          <cell r="D697" t="str">
            <v>星空の歌姫</v>
          </cell>
          <cell r="E697" t="str">
            <v>コラボクエスト</v>
          </cell>
          <cell r="F697">
            <v>5</v>
          </cell>
          <cell r="G697" t="str">
            <v>ja</v>
          </cell>
          <cell r="H697" t="str">
            <v>【超絶級】星空の歌姫</v>
          </cell>
          <cell r="I697" t="str">
            <v>超絶級</v>
          </cell>
          <cell r="J697">
            <v>1298</v>
          </cell>
          <cell r="K697">
            <v>25</v>
          </cell>
          <cell r="L697">
            <v>4200</v>
          </cell>
          <cell r="M697">
            <v>1</v>
          </cell>
          <cell r="N697">
            <v>1</v>
          </cell>
          <cell r="O697">
            <v>1</v>
          </cell>
          <cell r="P697">
            <v>1</v>
          </cell>
          <cell r="Q697">
            <v>1</v>
          </cell>
          <cell r="R697">
            <v>3</v>
          </cell>
          <cell r="S697" t="str">
            <v>polygon</v>
          </cell>
          <cell r="T697">
            <v>1</v>
          </cell>
          <cell r="U697" t="str">
            <v>NULL</v>
          </cell>
          <cell r="V697" t="str">
            <v>NULL</v>
          </cell>
          <cell r="W697" t="str">
            <v/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 t="str">
            <v>anytime</v>
          </cell>
          <cell r="AC697">
            <v>910</v>
          </cell>
          <cell r="AD697">
            <v>6</v>
          </cell>
          <cell r="AE697" t="str">
            <v>everyone</v>
          </cell>
        </row>
        <row r="698">
          <cell r="A698" t="str">
            <v>39010_1</v>
          </cell>
          <cell r="B698">
            <v>3</v>
          </cell>
          <cell r="C698">
            <v>39010</v>
          </cell>
          <cell r="D698" t="str">
            <v>黄巾賊の暴走を止めろ！</v>
          </cell>
          <cell r="E698" t="str">
            <v>コラボクエスト（復刻）</v>
          </cell>
          <cell r="F698">
            <v>1</v>
          </cell>
          <cell r="G698" t="str">
            <v>ja</v>
          </cell>
          <cell r="H698" t="str">
            <v>【初級】黄巾賊の暴走を止めろ！</v>
          </cell>
          <cell r="I698" t="str">
            <v>初級</v>
          </cell>
          <cell r="J698">
            <v>694</v>
          </cell>
          <cell r="K698">
            <v>8</v>
          </cell>
          <cell r="L698">
            <v>384</v>
          </cell>
          <cell r="M698">
            <v>1</v>
          </cell>
          <cell r="N698">
            <v>1</v>
          </cell>
          <cell r="O698">
            <v>1</v>
          </cell>
          <cell r="P698">
            <v>1</v>
          </cell>
          <cell r="Q698">
            <v>1</v>
          </cell>
          <cell r="R698">
            <v>3</v>
          </cell>
          <cell r="S698" t="str">
            <v>none</v>
          </cell>
          <cell r="T698">
            <v>0</v>
          </cell>
          <cell r="U698" t="str">
            <v>NULL</v>
          </cell>
          <cell r="V698" t="str">
            <v>NULL</v>
          </cell>
          <cell r="W698" t="str">
            <v/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 t="str">
            <v>anytime</v>
          </cell>
          <cell r="AC698">
            <v>12</v>
          </cell>
          <cell r="AD698">
            <v>6</v>
          </cell>
          <cell r="AE698" t="str">
            <v>everyone</v>
          </cell>
        </row>
        <row r="699">
          <cell r="A699" t="str">
            <v>39010_2</v>
          </cell>
          <cell r="B699">
            <v>3</v>
          </cell>
          <cell r="C699">
            <v>39010</v>
          </cell>
          <cell r="D699" t="str">
            <v>黄巾賊の暴走を止めろ！</v>
          </cell>
          <cell r="E699" t="str">
            <v>コラボクエスト（復刻）</v>
          </cell>
          <cell r="F699">
            <v>2</v>
          </cell>
          <cell r="G699" t="str">
            <v>ja</v>
          </cell>
          <cell r="H699" t="str">
            <v>【中級】黄巾賊の暴走を止めろ！</v>
          </cell>
          <cell r="I699" t="str">
            <v>中級</v>
          </cell>
          <cell r="J699">
            <v>694</v>
          </cell>
          <cell r="K699">
            <v>15</v>
          </cell>
          <cell r="L699">
            <v>1200</v>
          </cell>
          <cell r="M699">
            <v>1</v>
          </cell>
          <cell r="N699">
            <v>1</v>
          </cell>
          <cell r="O699">
            <v>1</v>
          </cell>
          <cell r="P699">
            <v>1</v>
          </cell>
          <cell r="Q699">
            <v>1</v>
          </cell>
          <cell r="R699">
            <v>3</v>
          </cell>
          <cell r="S699" t="str">
            <v>none</v>
          </cell>
          <cell r="T699">
            <v>0</v>
          </cell>
          <cell r="U699" t="str">
            <v>NULL</v>
          </cell>
          <cell r="V699" t="str">
            <v>NULL</v>
          </cell>
          <cell r="W699" t="str">
            <v/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 t="str">
            <v>anytime</v>
          </cell>
          <cell r="AC699">
            <v>12</v>
          </cell>
          <cell r="AD699">
            <v>6</v>
          </cell>
          <cell r="AE699" t="str">
            <v>everyone</v>
          </cell>
        </row>
        <row r="700">
          <cell r="A700" t="str">
            <v>39010_3</v>
          </cell>
          <cell r="B700">
            <v>3</v>
          </cell>
          <cell r="C700">
            <v>39010</v>
          </cell>
          <cell r="D700" t="str">
            <v>黄巾賊の暴走を止めろ！</v>
          </cell>
          <cell r="E700" t="str">
            <v>コラボクエスト（復刻）</v>
          </cell>
          <cell r="F700">
            <v>3</v>
          </cell>
          <cell r="G700" t="str">
            <v>ja</v>
          </cell>
          <cell r="H700" t="str">
            <v>【上級】黄巾賊の暴走を止めろ！</v>
          </cell>
          <cell r="I700" t="str">
            <v>上級</v>
          </cell>
          <cell r="J700">
            <v>694</v>
          </cell>
          <cell r="K700">
            <v>20</v>
          </cell>
          <cell r="L700">
            <v>2000</v>
          </cell>
          <cell r="M700">
            <v>1</v>
          </cell>
          <cell r="N700">
            <v>1</v>
          </cell>
          <cell r="O700">
            <v>1</v>
          </cell>
          <cell r="P700">
            <v>1</v>
          </cell>
          <cell r="Q700">
            <v>1</v>
          </cell>
          <cell r="R700">
            <v>3</v>
          </cell>
          <cell r="S700" t="str">
            <v>none</v>
          </cell>
          <cell r="T700">
            <v>0</v>
          </cell>
          <cell r="U700" t="str">
            <v>NULL</v>
          </cell>
          <cell r="V700" t="str">
            <v>NULL</v>
          </cell>
          <cell r="W700" t="str">
            <v/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 t="str">
            <v>anytime</v>
          </cell>
          <cell r="AC700">
            <v>12</v>
          </cell>
          <cell r="AD700">
            <v>6</v>
          </cell>
          <cell r="AE700" t="str">
            <v>everyone</v>
          </cell>
        </row>
        <row r="701">
          <cell r="A701" t="str">
            <v>39010_4</v>
          </cell>
          <cell r="B701">
            <v>3</v>
          </cell>
          <cell r="C701">
            <v>39010</v>
          </cell>
          <cell r="D701" t="str">
            <v>黄巾賊の暴走を止めろ！</v>
          </cell>
          <cell r="E701" t="str">
            <v>コラボクエスト（復刻）</v>
          </cell>
          <cell r="F701">
            <v>4</v>
          </cell>
          <cell r="G701" t="str">
            <v>ja</v>
          </cell>
          <cell r="H701" t="str">
            <v>【超級】黄巾賊の暴走を止めろ！</v>
          </cell>
          <cell r="I701" t="str">
            <v>超級</v>
          </cell>
          <cell r="J701">
            <v>694</v>
          </cell>
          <cell r="K701">
            <v>30</v>
          </cell>
          <cell r="L701">
            <v>3300</v>
          </cell>
          <cell r="M701">
            <v>1</v>
          </cell>
          <cell r="N701">
            <v>1</v>
          </cell>
          <cell r="O701">
            <v>1</v>
          </cell>
          <cell r="P701">
            <v>1</v>
          </cell>
          <cell r="Q701">
            <v>1</v>
          </cell>
          <cell r="R701">
            <v>3</v>
          </cell>
          <cell r="S701" t="str">
            <v>polygon</v>
          </cell>
          <cell r="T701">
            <v>1</v>
          </cell>
          <cell r="U701" t="str">
            <v>NULL</v>
          </cell>
          <cell r="V701" t="str">
            <v>NULL</v>
          </cell>
          <cell r="W701" t="str">
            <v/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 t="str">
            <v>anytime</v>
          </cell>
          <cell r="AC701">
            <v>12</v>
          </cell>
          <cell r="AD701">
            <v>6</v>
          </cell>
          <cell r="AE701" t="str">
            <v>everyone</v>
          </cell>
        </row>
        <row r="702">
          <cell r="A702" t="str">
            <v>39011_1</v>
          </cell>
          <cell r="B702">
            <v>3</v>
          </cell>
          <cell r="C702">
            <v>39011</v>
          </cell>
          <cell r="D702" t="str">
            <v>ブルースクウェアを追え！</v>
          </cell>
          <cell r="E702" t="str">
            <v>コラボクエスト（復刻）</v>
          </cell>
          <cell r="F702">
            <v>1</v>
          </cell>
          <cell r="G702" t="str">
            <v>ja</v>
          </cell>
          <cell r="H702" t="str">
            <v>【初級】ブルースクウェアを追え！</v>
          </cell>
          <cell r="I702" t="str">
            <v>初級</v>
          </cell>
          <cell r="J702">
            <v>691</v>
          </cell>
          <cell r="K702">
            <v>8</v>
          </cell>
          <cell r="L702">
            <v>384</v>
          </cell>
          <cell r="M702">
            <v>1</v>
          </cell>
          <cell r="N702">
            <v>1</v>
          </cell>
          <cell r="O702">
            <v>1</v>
          </cell>
          <cell r="P702">
            <v>1</v>
          </cell>
          <cell r="Q702">
            <v>1</v>
          </cell>
          <cell r="R702">
            <v>3</v>
          </cell>
          <cell r="S702" t="str">
            <v>none</v>
          </cell>
          <cell r="T702">
            <v>0</v>
          </cell>
          <cell r="U702" t="str">
            <v>NULL</v>
          </cell>
          <cell r="V702" t="str">
            <v>NULL</v>
          </cell>
          <cell r="W702" t="str">
            <v/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 t="str">
            <v>anytime</v>
          </cell>
          <cell r="AC702">
            <v>14</v>
          </cell>
          <cell r="AD702">
            <v>6</v>
          </cell>
          <cell r="AE702" t="str">
            <v>everyone</v>
          </cell>
        </row>
        <row r="703">
          <cell r="A703" t="str">
            <v>39011_2</v>
          </cell>
          <cell r="B703">
            <v>3</v>
          </cell>
          <cell r="C703">
            <v>39011</v>
          </cell>
          <cell r="D703" t="str">
            <v>ブルースクウェアを追え！</v>
          </cell>
          <cell r="E703" t="str">
            <v>コラボクエスト（復刻）</v>
          </cell>
          <cell r="F703">
            <v>2</v>
          </cell>
          <cell r="G703" t="str">
            <v>ja</v>
          </cell>
          <cell r="H703" t="str">
            <v>【中級】ブルースクウェアを追え！</v>
          </cell>
          <cell r="I703" t="str">
            <v>中級</v>
          </cell>
          <cell r="J703">
            <v>691</v>
          </cell>
          <cell r="K703">
            <v>15</v>
          </cell>
          <cell r="L703">
            <v>1200</v>
          </cell>
          <cell r="M703">
            <v>1</v>
          </cell>
          <cell r="N703">
            <v>1</v>
          </cell>
          <cell r="O703">
            <v>1</v>
          </cell>
          <cell r="P703">
            <v>1</v>
          </cell>
          <cell r="Q703">
            <v>1</v>
          </cell>
          <cell r="R703">
            <v>3</v>
          </cell>
          <cell r="S703" t="str">
            <v>none</v>
          </cell>
          <cell r="T703">
            <v>0</v>
          </cell>
          <cell r="U703" t="str">
            <v>NULL</v>
          </cell>
          <cell r="V703" t="str">
            <v>NULL</v>
          </cell>
          <cell r="W703" t="str">
            <v/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 t="str">
            <v>anytime</v>
          </cell>
          <cell r="AC703">
            <v>14</v>
          </cell>
          <cell r="AD703">
            <v>6</v>
          </cell>
          <cell r="AE703" t="str">
            <v>everyone</v>
          </cell>
        </row>
        <row r="704">
          <cell r="A704" t="str">
            <v>39011_3</v>
          </cell>
          <cell r="B704">
            <v>3</v>
          </cell>
          <cell r="C704">
            <v>39011</v>
          </cell>
          <cell r="D704" t="str">
            <v>ブルースクウェアを追え！</v>
          </cell>
          <cell r="E704" t="str">
            <v>コラボクエスト（復刻）</v>
          </cell>
          <cell r="F704">
            <v>3</v>
          </cell>
          <cell r="G704" t="str">
            <v>ja</v>
          </cell>
          <cell r="H704" t="str">
            <v>【上級】ブルースクウェアを追え！</v>
          </cell>
          <cell r="I704" t="str">
            <v>上級</v>
          </cell>
          <cell r="J704">
            <v>691</v>
          </cell>
          <cell r="K704">
            <v>20</v>
          </cell>
          <cell r="L704">
            <v>2000</v>
          </cell>
          <cell r="M704">
            <v>1</v>
          </cell>
          <cell r="N704">
            <v>1</v>
          </cell>
          <cell r="O704">
            <v>1</v>
          </cell>
          <cell r="P704">
            <v>1</v>
          </cell>
          <cell r="Q704">
            <v>1</v>
          </cell>
          <cell r="R704">
            <v>3</v>
          </cell>
          <cell r="S704" t="str">
            <v>none</v>
          </cell>
          <cell r="T704">
            <v>0</v>
          </cell>
          <cell r="U704" t="str">
            <v>NULL</v>
          </cell>
          <cell r="V704" t="str">
            <v>NULL</v>
          </cell>
          <cell r="W704" t="str">
            <v/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 t="str">
            <v>anytime</v>
          </cell>
          <cell r="AC704">
            <v>14</v>
          </cell>
          <cell r="AD704">
            <v>6</v>
          </cell>
          <cell r="AE704" t="str">
            <v>everyone</v>
          </cell>
        </row>
        <row r="705">
          <cell r="A705" t="str">
            <v>39011_4</v>
          </cell>
          <cell r="B705">
            <v>3</v>
          </cell>
          <cell r="C705">
            <v>39011</v>
          </cell>
          <cell r="D705" t="str">
            <v>ブルースクウェアを追え！</v>
          </cell>
          <cell r="E705" t="str">
            <v>コラボクエスト（復刻）</v>
          </cell>
          <cell r="F705">
            <v>4</v>
          </cell>
          <cell r="G705" t="str">
            <v>ja</v>
          </cell>
          <cell r="H705" t="str">
            <v>【超級】ブルースクウェアを追え！</v>
          </cell>
          <cell r="I705" t="str">
            <v>超級</v>
          </cell>
          <cell r="J705">
            <v>691</v>
          </cell>
          <cell r="K705">
            <v>30</v>
          </cell>
          <cell r="L705">
            <v>3300</v>
          </cell>
          <cell r="M705">
            <v>1</v>
          </cell>
          <cell r="N705">
            <v>1</v>
          </cell>
          <cell r="O705">
            <v>1</v>
          </cell>
          <cell r="P705">
            <v>1</v>
          </cell>
          <cell r="Q705">
            <v>1</v>
          </cell>
          <cell r="R705">
            <v>3</v>
          </cell>
          <cell r="S705" t="str">
            <v>polygon</v>
          </cell>
          <cell r="T705">
            <v>1</v>
          </cell>
          <cell r="U705" t="str">
            <v>NULL</v>
          </cell>
          <cell r="V705" t="str">
            <v>NULL</v>
          </cell>
          <cell r="W705" t="str">
            <v/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 t="str">
            <v>anytime</v>
          </cell>
          <cell r="AC705">
            <v>14</v>
          </cell>
          <cell r="AD705">
            <v>6</v>
          </cell>
          <cell r="AE705" t="str">
            <v>everyone</v>
          </cell>
        </row>
        <row r="706">
          <cell r="A706" t="str">
            <v>39012_1</v>
          </cell>
          <cell r="B706">
            <v>1</v>
          </cell>
          <cell r="C706">
            <v>39012</v>
          </cell>
          <cell r="D706" t="str">
            <v>C絶</v>
          </cell>
          <cell r="E706" t="str">
            <v>コラボクエスト</v>
          </cell>
          <cell r="F706">
            <v>1</v>
          </cell>
          <cell r="G706" t="str">
            <v>ja</v>
          </cell>
          <cell r="H706" t="str">
            <v>【初級】C</v>
          </cell>
          <cell r="I706" t="str">
            <v>初級</v>
          </cell>
          <cell r="J706">
            <v>1506</v>
          </cell>
          <cell r="K706">
            <v>8</v>
          </cell>
          <cell r="L706">
            <v>384</v>
          </cell>
          <cell r="M706">
            <v>1</v>
          </cell>
          <cell r="N706">
            <v>1</v>
          </cell>
          <cell r="O706">
            <v>1</v>
          </cell>
          <cell r="P706">
            <v>1</v>
          </cell>
          <cell r="Q706">
            <v>1</v>
          </cell>
          <cell r="R706">
            <v>3</v>
          </cell>
          <cell r="S706" t="str">
            <v>polygon</v>
          </cell>
          <cell r="T706">
            <v>1</v>
          </cell>
          <cell r="U706" t="str">
            <v>NULL</v>
          </cell>
          <cell r="V706" t="str">
            <v>NULL</v>
          </cell>
          <cell r="W706" t="str">
            <v/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 t="str">
            <v>anytime</v>
          </cell>
          <cell r="AC706">
            <v>14</v>
          </cell>
          <cell r="AD706">
            <v>6</v>
          </cell>
          <cell r="AE706" t="str">
            <v>everyone</v>
          </cell>
        </row>
        <row r="707">
          <cell r="A707" t="str">
            <v>39012_2</v>
          </cell>
          <cell r="B707">
            <v>1</v>
          </cell>
          <cell r="C707">
            <v>39012</v>
          </cell>
          <cell r="D707" t="str">
            <v>C絶</v>
          </cell>
          <cell r="E707" t="str">
            <v>コラボクエスト</v>
          </cell>
          <cell r="F707">
            <v>2</v>
          </cell>
          <cell r="G707" t="str">
            <v>ja</v>
          </cell>
          <cell r="H707" t="str">
            <v>【中級】C</v>
          </cell>
          <cell r="I707" t="str">
            <v>中級</v>
          </cell>
          <cell r="J707">
            <v>1507</v>
          </cell>
          <cell r="K707">
            <v>15</v>
          </cell>
          <cell r="L707">
            <v>1200</v>
          </cell>
          <cell r="M707">
            <v>1</v>
          </cell>
          <cell r="N707">
            <v>1</v>
          </cell>
          <cell r="O707">
            <v>1</v>
          </cell>
          <cell r="P707">
            <v>1</v>
          </cell>
          <cell r="Q707">
            <v>1</v>
          </cell>
          <cell r="R707">
            <v>3</v>
          </cell>
          <cell r="S707" t="str">
            <v>polygon</v>
          </cell>
          <cell r="T707">
            <v>1</v>
          </cell>
          <cell r="U707" t="str">
            <v>NULL</v>
          </cell>
          <cell r="V707" t="str">
            <v>NULL</v>
          </cell>
          <cell r="W707" t="str">
            <v/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 t="str">
            <v>anytime</v>
          </cell>
          <cell r="AC707">
            <v>14</v>
          </cell>
          <cell r="AD707">
            <v>6</v>
          </cell>
          <cell r="AE707" t="str">
            <v>everyone</v>
          </cell>
        </row>
        <row r="708">
          <cell r="A708" t="str">
            <v>39012_3</v>
          </cell>
          <cell r="B708">
            <v>1</v>
          </cell>
          <cell r="C708">
            <v>39012</v>
          </cell>
          <cell r="D708" t="str">
            <v>C絶</v>
          </cell>
          <cell r="E708" t="str">
            <v>コラボクエスト</v>
          </cell>
          <cell r="F708">
            <v>3</v>
          </cell>
          <cell r="G708" t="str">
            <v>ja</v>
          </cell>
          <cell r="H708" t="str">
            <v>【上級】C</v>
          </cell>
          <cell r="I708" t="str">
            <v>上級</v>
          </cell>
          <cell r="J708">
            <v>1508</v>
          </cell>
          <cell r="K708">
            <v>20</v>
          </cell>
          <cell r="L708">
            <v>2000</v>
          </cell>
          <cell r="M708">
            <v>1</v>
          </cell>
          <cell r="N708">
            <v>1</v>
          </cell>
          <cell r="O708">
            <v>1</v>
          </cell>
          <cell r="P708">
            <v>1</v>
          </cell>
          <cell r="Q708">
            <v>1</v>
          </cell>
          <cell r="R708">
            <v>3</v>
          </cell>
          <cell r="S708" t="str">
            <v>polygon</v>
          </cell>
          <cell r="T708">
            <v>1</v>
          </cell>
          <cell r="U708" t="str">
            <v>NULL</v>
          </cell>
          <cell r="V708" t="str">
            <v>NULL</v>
          </cell>
          <cell r="W708" t="str">
            <v/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 t="str">
            <v>anytime</v>
          </cell>
          <cell r="AC708">
            <v>14</v>
          </cell>
          <cell r="AD708">
            <v>6</v>
          </cell>
          <cell r="AE708" t="str">
            <v>everyone</v>
          </cell>
        </row>
        <row r="709">
          <cell r="A709" t="str">
            <v>39012_4</v>
          </cell>
          <cell r="B709">
            <v>1</v>
          </cell>
          <cell r="C709">
            <v>39012</v>
          </cell>
          <cell r="D709" t="str">
            <v>C絶</v>
          </cell>
          <cell r="E709" t="str">
            <v>コラボクエスト</v>
          </cell>
          <cell r="F709">
            <v>4</v>
          </cell>
          <cell r="G709" t="str">
            <v>ja</v>
          </cell>
          <cell r="H709" t="str">
            <v>【超級】C</v>
          </cell>
          <cell r="I709" t="str">
            <v>超級</v>
          </cell>
          <cell r="J709">
            <v>1509</v>
          </cell>
          <cell r="K709">
            <v>30</v>
          </cell>
          <cell r="L709">
            <v>3300</v>
          </cell>
          <cell r="M709">
            <v>1</v>
          </cell>
          <cell r="N709">
            <v>1</v>
          </cell>
          <cell r="O709">
            <v>1</v>
          </cell>
          <cell r="P709">
            <v>1</v>
          </cell>
          <cell r="Q709">
            <v>1</v>
          </cell>
          <cell r="R709">
            <v>3</v>
          </cell>
          <cell r="S709" t="str">
            <v>polygon</v>
          </cell>
          <cell r="T709">
            <v>1</v>
          </cell>
          <cell r="U709" t="str">
            <v>NULL</v>
          </cell>
          <cell r="V709" t="str">
            <v>NULL</v>
          </cell>
          <cell r="W709" t="str">
            <v/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 t="str">
            <v>anytime</v>
          </cell>
          <cell r="AC709">
            <v>14</v>
          </cell>
          <cell r="AD709">
            <v>6</v>
          </cell>
          <cell r="AE709" t="str">
            <v>everyone</v>
          </cell>
        </row>
        <row r="710">
          <cell r="A710" t="str">
            <v>39012_5</v>
          </cell>
          <cell r="B710">
            <v>1</v>
          </cell>
          <cell r="C710">
            <v>39012</v>
          </cell>
          <cell r="D710" t="str">
            <v>C絶</v>
          </cell>
          <cell r="E710" t="str">
            <v>コラボクエスト</v>
          </cell>
          <cell r="F710">
            <v>5</v>
          </cell>
          <cell r="G710" t="str">
            <v>ja</v>
          </cell>
          <cell r="H710" t="str">
            <v>【超絶級】C</v>
          </cell>
          <cell r="I710" t="str">
            <v>超絶級</v>
          </cell>
          <cell r="J710">
            <v>1510</v>
          </cell>
          <cell r="K710">
            <v>35</v>
          </cell>
          <cell r="L710">
            <v>4200</v>
          </cell>
          <cell r="M710">
            <v>1</v>
          </cell>
          <cell r="N710">
            <v>1</v>
          </cell>
          <cell r="O710">
            <v>1</v>
          </cell>
          <cell r="P710">
            <v>1</v>
          </cell>
          <cell r="Q710">
            <v>1</v>
          </cell>
          <cell r="R710">
            <v>3</v>
          </cell>
          <cell r="S710" t="str">
            <v>polygon</v>
          </cell>
          <cell r="T710">
            <v>1</v>
          </cell>
          <cell r="U710" t="str">
            <v>NULL</v>
          </cell>
          <cell r="V710" t="str">
            <v>NULL</v>
          </cell>
          <cell r="W710" t="str">
            <v/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 t="str">
            <v>anytime</v>
          </cell>
          <cell r="AC710">
            <v>14</v>
          </cell>
          <cell r="AD710">
            <v>6</v>
          </cell>
          <cell r="AE710" t="str">
            <v>everyone</v>
          </cell>
        </row>
        <row r="711">
          <cell r="A711" t="str">
            <v>40001_1</v>
          </cell>
          <cell r="B711">
            <v>1</v>
          </cell>
          <cell r="C711">
            <v>40001</v>
          </cell>
          <cell r="D711" t="str">
            <v>アマテラス襲来！</v>
          </cell>
          <cell r="E711" t="str">
            <v>降臨1</v>
          </cell>
          <cell r="F711">
            <v>1</v>
          </cell>
          <cell r="G711" t="str">
            <v>ja</v>
          </cell>
          <cell r="H711" t="str">
            <v xml:space="preserve">【ウィザード級】アマテラス襲来 </v>
          </cell>
          <cell r="I711" t="str">
            <v>地獄級</v>
          </cell>
          <cell r="J711">
            <v>278</v>
          </cell>
          <cell r="K711">
            <v>35</v>
          </cell>
          <cell r="L711">
            <v>4200</v>
          </cell>
          <cell r="M711">
            <v>1</v>
          </cell>
          <cell r="N711">
            <v>1</v>
          </cell>
          <cell r="O711">
            <v>1</v>
          </cell>
          <cell r="P711">
            <v>1</v>
          </cell>
          <cell r="Q711">
            <v>1</v>
          </cell>
          <cell r="R711">
            <v>3</v>
          </cell>
          <cell r="S711" t="str">
            <v>none</v>
          </cell>
          <cell r="T711">
            <v>0</v>
          </cell>
          <cell r="U711" t="str">
            <v>NULL</v>
          </cell>
          <cell r="V711" t="str">
            <v>NULL</v>
          </cell>
          <cell r="W711" t="str">
            <v/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 t="str">
            <v>anytime</v>
          </cell>
          <cell r="AC711">
            <v>901</v>
          </cell>
          <cell r="AD711">
            <v>6</v>
          </cell>
          <cell r="AE711" t="str">
            <v>everyone</v>
          </cell>
        </row>
        <row r="712">
          <cell r="A712" t="str">
            <v>40002_1</v>
          </cell>
          <cell r="B712">
            <v>1</v>
          </cell>
          <cell r="C712">
            <v>40002</v>
          </cell>
          <cell r="D712" t="str">
            <v>アザゼル襲来！</v>
          </cell>
          <cell r="E712" t="str">
            <v>降臨2</v>
          </cell>
          <cell r="F712">
            <v>1</v>
          </cell>
          <cell r="G712" t="str">
            <v>ja</v>
          </cell>
          <cell r="H712" t="str">
            <v xml:space="preserve">【超級】アザゼル襲来 </v>
          </cell>
          <cell r="I712" t="str">
            <v>超級</v>
          </cell>
          <cell r="J712">
            <v>296</v>
          </cell>
          <cell r="K712">
            <v>25</v>
          </cell>
          <cell r="L712">
            <v>2000</v>
          </cell>
          <cell r="M712">
            <v>1</v>
          </cell>
          <cell r="N712">
            <v>1</v>
          </cell>
          <cell r="O712">
            <v>1</v>
          </cell>
          <cell r="P712">
            <v>1</v>
          </cell>
          <cell r="Q712">
            <v>1</v>
          </cell>
          <cell r="R712">
            <v>3</v>
          </cell>
          <cell r="S712" t="str">
            <v>none</v>
          </cell>
          <cell r="T712">
            <v>0</v>
          </cell>
          <cell r="U712" t="str">
            <v>NULL</v>
          </cell>
          <cell r="V712" t="str">
            <v>NULL</v>
          </cell>
          <cell r="W712" t="str">
            <v/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 t="str">
            <v>anytime</v>
          </cell>
          <cell r="AC712">
            <v>902</v>
          </cell>
          <cell r="AD712">
            <v>6</v>
          </cell>
          <cell r="AE712" t="str">
            <v>everyone</v>
          </cell>
        </row>
        <row r="713">
          <cell r="A713" t="str">
            <v>40002_2</v>
          </cell>
          <cell r="B713">
            <v>1</v>
          </cell>
          <cell r="C713">
            <v>40002</v>
          </cell>
          <cell r="D713" t="str">
            <v>アザゼル襲来！</v>
          </cell>
          <cell r="E713" t="str">
            <v>降臨2</v>
          </cell>
          <cell r="F713">
            <v>2</v>
          </cell>
          <cell r="G713" t="str">
            <v>ja</v>
          </cell>
          <cell r="H713" t="str">
            <v>【超絶級】アザゼル襲来</v>
          </cell>
          <cell r="I713" t="str">
            <v>超絶級</v>
          </cell>
          <cell r="J713">
            <v>297</v>
          </cell>
          <cell r="K713">
            <v>30</v>
          </cell>
          <cell r="L713">
            <v>3300</v>
          </cell>
          <cell r="M713">
            <v>1</v>
          </cell>
          <cell r="N713">
            <v>1</v>
          </cell>
          <cell r="O713">
            <v>1</v>
          </cell>
          <cell r="P713">
            <v>1</v>
          </cell>
          <cell r="Q713">
            <v>1</v>
          </cell>
          <cell r="R713">
            <v>3</v>
          </cell>
          <cell r="S713" t="str">
            <v>none</v>
          </cell>
          <cell r="T713">
            <v>0</v>
          </cell>
          <cell r="U713" t="str">
            <v>NULL</v>
          </cell>
          <cell r="V713" t="str">
            <v>NULL</v>
          </cell>
          <cell r="W713" t="str">
            <v/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 t="str">
            <v>anytime</v>
          </cell>
          <cell r="AC713">
            <v>902</v>
          </cell>
          <cell r="AD713">
            <v>6</v>
          </cell>
          <cell r="AE713" t="str">
            <v>everyone</v>
          </cell>
        </row>
        <row r="714">
          <cell r="A714" t="str">
            <v>40002_3</v>
          </cell>
          <cell r="B714">
            <v>1</v>
          </cell>
          <cell r="C714">
            <v>40002</v>
          </cell>
          <cell r="D714" t="str">
            <v>アザゼル襲来！</v>
          </cell>
          <cell r="E714" t="str">
            <v>降臨2</v>
          </cell>
          <cell r="F714">
            <v>3</v>
          </cell>
          <cell r="G714" t="str">
            <v>ja</v>
          </cell>
          <cell r="H714" t="str">
            <v xml:space="preserve">【ウィザード級】アザゼル襲来 </v>
          </cell>
          <cell r="I714" t="str">
            <v>地獄級</v>
          </cell>
          <cell r="J714">
            <v>297</v>
          </cell>
          <cell r="K714">
            <v>35</v>
          </cell>
          <cell r="L714">
            <v>4200</v>
          </cell>
          <cell r="M714">
            <v>1</v>
          </cell>
          <cell r="N714">
            <v>1</v>
          </cell>
          <cell r="O714">
            <v>1</v>
          </cell>
          <cell r="P714">
            <v>1</v>
          </cell>
          <cell r="Q714">
            <v>1</v>
          </cell>
          <cell r="R714">
            <v>3</v>
          </cell>
          <cell r="S714" t="str">
            <v>character</v>
          </cell>
          <cell r="T714">
            <v>296</v>
          </cell>
          <cell r="U714" t="str">
            <v>NULL</v>
          </cell>
          <cell r="V714" t="str">
            <v>NULL</v>
          </cell>
          <cell r="W714" t="str">
            <v/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 t="str">
            <v>anytime</v>
          </cell>
          <cell r="AC714">
            <v>902</v>
          </cell>
          <cell r="AD714">
            <v>6</v>
          </cell>
          <cell r="AE714" t="str">
            <v>everyone</v>
          </cell>
        </row>
        <row r="715">
          <cell r="A715" t="str">
            <v>40003_1</v>
          </cell>
          <cell r="B715">
            <v>1</v>
          </cell>
          <cell r="C715">
            <v>40003</v>
          </cell>
          <cell r="D715" t="str">
            <v>ジャンヌ襲来！</v>
          </cell>
          <cell r="E715" t="str">
            <v>降臨3</v>
          </cell>
          <cell r="F715">
            <v>1</v>
          </cell>
          <cell r="G715" t="str">
            <v>ja</v>
          </cell>
          <cell r="H715" t="str">
            <v xml:space="preserve">【ウィザード級】ジャンヌ襲来 </v>
          </cell>
          <cell r="I715" t="str">
            <v>地獄級</v>
          </cell>
          <cell r="J715">
            <v>315</v>
          </cell>
          <cell r="K715">
            <v>35</v>
          </cell>
          <cell r="L715">
            <v>4200</v>
          </cell>
          <cell r="M715">
            <v>1</v>
          </cell>
          <cell r="N715">
            <v>1</v>
          </cell>
          <cell r="O715">
            <v>1</v>
          </cell>
          <cell r="P715">
            <v>1</v>
          </cell>
          <cell r="Q715">
            <v>1</v>
          </cell>
          <cell r="R715">
            <v>3</v>
          </cell>
          <cell r="S715" t="str">
            <v>character</v>
          </cell>
          <cell r="T715">
            <v>314</v>
          </cell>
          <cell r="U715" t="str">
            <v>NULL</v>
          </cell>
          <cell r="V715" t="str">
            <v>NULL</v>
          </cell>
          <cell r="W715" t="str">
            <v/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 t="str">
            <v>anytime</v>
          </cell>
          <cell r="AC715">
            <v>903</v>
          </cell>
          <cell r="AD715">
            <v>6</v>
          </cell>
          <cell r="AE715" t="str">
            <v>everyone</v>
          </cell>
        </row>
        <row r="716">
          <cell r="A716" t="str">
            <v>40004_1</v>
          </cell>
          <cell r="B716">
            <v>1</v>
          </cell>
          <cell r="C716">
            <v>40004</v>
          </cell>
          <cell r="D716" t="str">
            <v>宮本武蔵襲来！</v>
          </cell>
          <cell r="E716" t="str">
            <v>降臨4</v>
          </cell>
          <cell r="F716">
            <v>1</v>
          </cell>
          <cell r="G716" t="str">
            <v>ja</v>
          </cell>
          <cell r="H716" t="str">
            <v xml:space="preserve">【ウィザード級】宮本武蔵襲来 </v>
          </cell>
          <cell r="I716" t="str">
            <v>地獄級</v>
          </cell>
          <cell r="J716">
            <v>427</v>
          </cell>
          <cell r="K716">
            <v>35</v>
          </cell>
          <cell r="L716">
            <v>4200</v>
          </cell>
          <cell r="M716">
            <v>1</v>
          </cell>
          <cell r="N716">
            <v>1</v>
          </cell>
          <cell r="O716">
            <v>1</v>
          </cell>
          <cell r="P716">
            <v>1</v>
          </cell>
          <cell r="Q716">
            <v>1</v>
          </cell>
          <cell r="R716">
            <v>3</v>
          </cell>
          <cell r="S716" t="str">
            <v>character</v>
          </cell>
          <cell r="T716">
            <v>426</v>
          </cell>
          <cell r="U716" t="str">
            <v>NULL</v>
          </cell>
          <cell r="V716" t="str">
            <v>NULL</v>
          </cell>
          <cell r="W716" t="str">
            <v/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 t="str">
            <v>anytime</v>
          </cell>
          <cell r="AC716">
            <v>904</v>
          </cell>
          <cell r="AD716">
            <v>6</v>
          </cell>
          <cell r="AE716" t="str">
            <v>everyone</v>
          </cell>
        </row>
        <row r="717">
          <cell r="A717" t="str">
            <v>40005_1</v>
          </cell>
          <cell r="B717">
            <v>1</v>
          </cell>
          <cell r="C717">
            <v>40005</v>
          </cell>
          <cell r="D717" t="str">
            <v>オズ襲来！</v>
          </cell>
          <cell r="E717" t="str">
            <v>降臨5</v>
          </cell>
          <cell r="F717">
            <v>1</v>
          </cell>
          <cell r="G717" t="str">
            <v>ja</v>
          </cell>
          <cell r="H717" t="str">
            <v xml:space="preserve">【ウィザード級】オズ襲来 </v>
          </cell>
          <cell r="I717" t="str">
            <v>地獄級</v>
          </cell>
          <cell r="J717">
            <v>461</v>
          </cell>
          <cell r="K717">
            <v>35</v>
          </cell>
          <cell r="L717">
            <v>4200</v>
          </cell>
          <cell r="M717">
            <v>1</v>
          </cell>
          <cell r="N717">
            <v>1</v>
          </cell>
          <cell r="O717">
            <v>1</v>
          </cell>
          <cell r="P717">
            <v>1</v>
          </cell>
          <cell r="Q717">
            <v>1</v>
          </cell>
          <cell r="R717">
            <v>3</v>
          </cell>
          <cell r="S717" t="str">
            <v>character</v>
          </cell>
          <cell r="T717">
            <v>460</v>
          </cell>
          <cell r="U717" t="str">
            <v>NULL</v>
          </cell>
          <cell r="V717" t="str">
            <v>NULL</v>
          </cell>
          <cell r="W717" t="str">
            <v/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 t="str">
            <v>anytime</v>
          </cell>
          <cell r="AC717">
            <v>906</v>
          </cell>
          <cell r="AD717">
            <v>6</v>
          </cell>
          <cell r="AE717" t="str">
            <v>everyone</v>
          </cell>
        </row>
        <row r="718">
          <cell r="A718" t="str">
            <v>40006_1</v>
          </cell>
          <cell r="B718">
            <v>1</v>
          </cell>
          <cell r="C718">
            <v>40006</v>
          </cell>
          <cell r="D718" t="str">
            <v>アーサー襲来！</v>
          </cell>
          <cell r="E718" t="str">
            <v>降臨6</v>
          </cell>
          <cell r="F718">
            <v>1</v>
          </cell>
          <cell r="G718" t="str">
            <v>ja</v>
          </cell>
          <cell r="H718" t="str">
            <v xml:space="preserve">【ウィザード級】アーサー襲来 </v>
          </cell>
          <cell r="I718" t="str">
            <v>地獄級</v>
          </cell>
          <cell r="J718">
            <v>473</v>
          </cell>
          <cell r="K718">
            <v>35</v>
          </cell>
          <cell r="L718">
            <v>4200</v>
          </cell>
          <cell r="M718">
            <v>1</v>
          </cell>
          <cell r="N718">
            <v>1</v>
          </cell>
          <cell r="O718">
            <v>1</v>
          </cell>
          <cell r="P718">
            <v>1</v>
          </cell>
          <cell r="Q718">
            <v>1</v>
          </cell>
          <cell r="R718">
            <v>3</v>
          </cell>
          <cell r="S718" t="str">
            <v>character</v>
          </cell>
          <cell r="T718">
            <v>472</v>
          </cell>
          <cell r="U718" t="str">
            <v>NULL</v>
          </cell>
          <cell r="V718" t="str">
            <v>NULL</v>
          </cell>
          <cell r="W718" t="str">
            <v/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 t="str">
            <v>anytime</v>
          </cell>
          <cell r="AC718">
            <v>907</v>
          </cell>
          <cell r="AD718">
            <v>6</v>
          </cell>
          <cell r="AE718" t="str">
            <v>everyone</v>
          </cell>
        </row>
        <row r="719">
          <cell r="A719" t="str">
            <v>40007_1</v>
          </cell>
          <cell r="B719">
            <v>1</v>
          </cell>
          <cell r="C719">
            <v>40007</v>
          </cell>
          <cell r="D719" t="str">
            <v>グリム襲来！</v>
          </cell>
          <cell r="E719" t="str">
            <v>降臨7</v>
          </cell>
          <cell r="F719">
            <v>1</v>
          </cell>
          <cell r="G719" t="str">
            <v>ja</v>
          </cell>
          <cell r="H719" t="str">
            <v xml:space="preserve">【ウィザード級】グリム襲来 </v>
          </cell>
          <cell r="I719" t="str">
            <v>地獄級</v>
          </cell>
          <cell r="J719">
            <v>491</v>
          </cell>
          <cell r="K719">
            <v>35</v>
          </cell>
          <cell r="L719">
            <v>4200</v>
          </cell>
          <cell r="M719">
            <v>1</v>
          </cell>
          <cell r="N719">
            <v>1</v>
          </cell>
          <cell r="O719">
            <v>1</v>
          </cell>
          <cell r="P719">
            <v>1</v>
          </cell>
          <cell r="Q719">
            <v>1</v>
          </cell>
          <cell r="R719">
            <v>3</v>
          </cell>
          <cell r="S719" t="str">
            <v>character</v>
          </cell>
          <cell r="T719">
            <v>490</v>
          </cell>
          <cell r="U719" t="str">
            <v>NULL</v>
          </cell>
          <cell r="V719" t="str">
            <v>NULL</v>
          </cell>
          <cell r="W719" t="str">
            <v/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 t="str">
            <v>anytime</v>
          </cell>
          <cell r="AC719">
            <v>908</v>
          </cell>
          <cell r="AD719">
            <v>6</v>
          </cell>
          <cell r="AE719" t="str">
            <v>everyone</v>
          </cell>
        </row>
        <row r="720">
          <cell r="A720" t="str">
            <v>40008_1</v>
          </cell>
          <cell r="B720">
            <v>1</v>
          </cell>
          <cell r="C720">
            <v>40008</v>
          </cell>
          <cell r="D720" t="str">
            <v>Gスター襲来！</v>
          </cell>
          <cell r="E720" t="str">
            <v>降臨8</v>
          </cell>
          <cell r="F720">
            <v>1</v>
          </cell>
          <cell r="G720" t="str">
            <v>ja</v>
          </cell>
          <cell r="H720" t="str">
            <v xml:space="preserve">【ウィザード級】Gスター襲来 </v>
          </cell>
          <cell r="I720" t="str">
            <v>地獄級</v>
          </cell>
          <cell r="J720">
            <v>509</v>
          </cell>
          <cell r="K720">
            <v>35</v>
          </cell>
          <cell r="L720">
            <v>4200</v>
          </cell>
          <cell r="M720">
            <v>1</v>
          </cell>
          <cell r="N720">
            <v>1</v>
          </cell>
          <cell r="O720">
            <v>1</v>
          </cell>
          <cell r="P720">
            <v>1</v>
          </cell>
          <cell r="Q720">
            <v>1</v>
          </cell>
          <cell r="R720">
            <v>3</v>
          </cell>
          <cell r="S720" t="str">
            <v>character</v>
          </cell>
          <cell r="T720">
            <v>508</v>
          </cell>
          <cell r="U720" t="str">
            <v>NULL</v>
          </cell>
          <cell r="V720" t="str">
            <v>NULL</v>
          </cell>
          <cell r="W720" t="str">
            <v/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 t="str">
            <v>anytime</v>
          </cell>
          <cell r="AC720">
            <v>2601</v>
          </cell>
          <cell r="AD720">
            <v>6</v>
          </cell>
          <cell r="AE720" t="str">
            <v>everyone</v>
          </cell>
        </row>
        <row r="721">
          <cell r="A721" t="str">
            <v>40009_1</v>
          </cell>
          <cell r="B721">
            <v>1</v>
          </cell>
          <cell r="C721">
            <v>40009</v>
          </cell>
          <cell r="D721" t="str">
            <v>フギンとムニン襲来！</v>
          </cell>
          <cell r="E721" t="str">
            <v>降臨9</v>
          </cell>
          <cell r="F721">
            <v>1</v>
          </cell>
          <cell r="G721" t="str">
            <v>ja</v>
          </cell>
          <cell r="H721" t="str">
            <v xml:space="preserve">【ウィザード級】フギンとムニン襲来 </v>
          </cell>
          <cell r="I721" t="str">
            <v>地獄級</v>
          </cell>
          <cell r="J721">
            <v>582</v>
          </cell>
          <cell r="K721">
            <v>35</v>
          </cell>
          <cell r="L721">
            <v>4200</v>
          </cell>
          <cell r="M721">
            <v>1</v>
          </cell>
          <cell r="N721">
            <v>1</v>
          </cell>
          <cell r="O721">
            <v>1</v>
          </cell>
          <cell r="P721">
            <v>1</v>
          </cell>
          <cell r="Q721">
            <v>1</v>
          </cell>
          <cell r="R721">
            <v>3</v>
          </cell>
          <cell r="S721" t="str">
            <v>character</v>
          </cell>
          <cell r="T721">
            <v>581</v>
          </cell>
          <cell r="U721" t="str">
            <v>NULL</v>
          </cell>
          <cell r="V721" t="str">
            <v>NULL</v>
          </cell>
          <cell r="W721" t="str">
            <v/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 t="str">
            <v>anytime</v>
          </cell>
          <cell r="AC721">
            <v>25</v>
          </cell>
          <cell r="AD721">
            <v>6</v>
          </cell>
          <cell r="AE721" t="str">
            <v>everyone</v>
          </cell>
        </row>
        <row r="722">
          <cell r="A722" t="str">
            <v>40010_1</v>
          </cell>
          <cell r="B722">
            <v>1</v>
          </cell>
          <cell r="C722">
            <v>40010</v>
          </cell>
          <cell r="D722" t="str">
            <v>フレイ襲来！</v>
          </cell>
          <cell r="E722" t="str">
            <v>降臨10</v>
          </cell>
          <cell r="F722">
            <v>1</v>
          </cell>
          <cell r="G722" t="str">
            <v>ja</v>
          </cell>
          <cell r="H722" t="str">
            <v xml:space="preserve">【ウィザード級】フレイ襲来 </v>
          </cell>
          <cell r="I722" t="str">
            <v>地獄級</v>
          </cell>
          <cell r="J722">
            <v>575</v>
          </cell>
          <cell r="K722">
            <v>35</v>
          </cell>
          <cell r="L722">
            <v>4200</v>
          </cell>
          <cell r="M722">
            <v>1</v>
          </cell>
          <cell r="N722">
            <v>1</v>
          </cell>
          <cell r="O722">
            <v>1</v>
          </cell>
          <cell r="P722">
            <v>0</v>
          </cell>
          <cell r="Q722">
            <v>1</v>
          </cell>
          <cell r="R722">
            <v>3</v>
          </cell>
          <cell r="S722" t="str">
            <v>character</v>
          </cell>
          <cell r="T722">
            <v>575</v>
          </cell>
          <cell r="U722" t="str">
            <v>NULL</v>
          </cell>
          <cell r="V722" t="str">
            <v>NULL</v>
          </cell>
          <cell r="W722" t="str">
            <v/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 t="str">
            <v>anytime</v>
          </cell>
          <cell r="AC722">
            <v>912</v>
          </cell>
          <cell r="AD722">
            <v>6</v>
          </cell>
          <cell r="AE722" t="str">
            <v>everyone</v>
          </cell>
        </row>
        <row r="723">
          <cell r="A723" t="str">
            <v>40011_1</v>
          </cell>
          <cell r="B723">
            <v>1</v>
          </cell>
          <cell r="C723">
            <v>40011</v>
          </cell>
          <cell r="D723" t="str">
            <v>ヨミ襲来！</v>
          </cell>
          <cell r="E723" t="str">
            <v>降臨11</v>
          </cell>
          <cell r="F723">
            <v>1</v>
          </cell>
          <cell r="G723" t="str">
            <v>ja</v>
          </cell>
          <cell r="H723" t="str">
            <v xml:space="preserve">【ウィザード級】ヨミ襲来 </v>
          </cell>
          <cell r="I723" t="str">
            <v>地獄級</v>
          </cell>
          <cell r="J723">
            <v>655</v>
          </cell>
          <cell r="K723">
            <v>35</v>
          </cell>
          <cell r="L723">
            <v>4200</v>
          </cell>
          <cell r="M723">
            <v>1</v>
          </cell>
          <cell r="N723">
            <v>1</v>
          </cell>
          <cell r="O723">
            <v>1</v>
          </cell>
          <cell r="P723">
            <v>1</v>
          </cell>
          <cell r="Q723">
            <v>1</v>
          </cell>
          <cell r="R723">
            <v>3</v>
          </cell>
          <cell r="S723" t="str">
            <v>character</v>
          </cell>
          <cell r="T723">
            <v>654</v>
          </cell>
          <cell r="U723" t="str">
            <v>NULL</v>
          </cell>
          <cell r="V723" t="str">
            <v>NULL</v>
          </cell>
          <cell r="W723" t="str">
            <v/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 t="str">
            <v>anytime</v>
          </cell>
          <cell r="AC723">
            <v>913</v>
          </cell>
          <cell r="AD723">
            <v>6</v>
          </cell>
          <cell r="AE723" t="str">
            <v>everyone</v>
          </cell>
        </row>
        <row r="724">
          <cell r="A724" t="str">
            <v>40012_1</v>
          </cell>
          <cell r="B724">
            <v>1</v>
          </cell>
          <cell r="C724">
            <v>40012</v>
          </cell>
          <cell r="D724" t="str">
            <v>ショウキ襲来！</v>
          </cell>
          <cell r="E724" t="str">
            <v>降臨12</v>
          </cell>
          <cell r="F724">
            <v>1</v>
          </cell>
          <cell r="G724" t="str">
            <v>ja</v>
          </cell>
          <cell r="H724" t="str">
            <v xml:space="preserve">【ウィザード級】ショウキ襲来 </v>
          </cell>
          <cell r="I724" t="str">
            <v>地獄級</v>
          </cell>
          <cell r="J724">
            <v>645</v>
          </cell>
          <cell r="K724">
            <v>35</v>
          </cell>
          <cell r="L724">
            <v>4200</v>
          </cell>
          <cell r="M724">
            <v>1</v>
          </cell>
          <cell r="N724">
            <v>1</v>
          </cell>
          <cell r="O724">
            <v>1</v>
          </cell>
          <cell r="P724">
            <v>1</v>
          </cell>
          <cell r="Q724">
            <v>1</v>
          </cell>
          <cell r="R724">
            <v>3</v>
          </cell>
          <cell r="S724" t="str">
            <v>character</v>
          </cell>
          <cell r="T724">
            <v>644</v>
          </cell>
          <cell r="U724" t="str">
            <v>NULL</v>
          </cell>
          <cell r="V724" t="str">
            <v>NULL</v>
          </cell>
          <cell r="W724" t="str">
            <v/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 t="str">
            <v>anytime</v>
          </cell>
          <cell r="AC724">
            <v>915</v>
          </cell>
          <cell r="AD724">
            <v>6</v>
          </cell>
          <cell r="AE724" t="str">
            <v>everyone</v>
          </cell>
        </row>
        <row r="725">
          <cell r="A725" t="str">
            <v>40013_1</v>
          </cell>
          <cell r="B725">
            <v>1</v>
          </cell>
          <cell r="C725">
            <v>40013</v>
          </cell>
          <cell r="D725" t="str">
            <v>カーマ襲来！</v>
          </cell>
          <cell r="E725" t="str">
            <v>降臨13</v>
          </cell>
          <cell r="F725">
            <v>1</v>
          </cell>
          <cell r="G725" t="str">
            <v>ja</v>
          </cell>
          <cell r="H725" t="str">
            <v xml:space="preserve">【ウィザード級】カーマ襲来 </v>
          </cell>
          <cell r="I725" t="str">
            <v>地獄級</v>
          </cell>
          <cell r="J725">
            <v>643</v>
          </cell>
          <cell r="K725">
            <v>35</v>
          </cell>
          <cell r="L725">
            <v>4200</v>
          </cell>
          <cell r="M725">
            <v>1</v>
          </cell>
          <cell r="N725">
            <v>1</v>
          </cell>
          <cell r="O725">
            <v>1</v>
          </cell>
          <cell r="P725">
            <v>1</v>
          </cell>
          <cell r="Q725">
            <v>0</v>
          </cell>
          <cell r="R725">
            <v>3</v>
          </cell>
          <cell r="S725" t="str">
            <v>character</v>
          </cell>
          <cell r="T725">
            <v>642</v>
          </cell>
          <cell r="U725" t="str">
            <v>NULL</v>
          </cell>
          <cell r="V725" t="str">
            <v>NULL</v>
          </cell>
          <cell r="W725" t="str">
            <v/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 t="str">
            <v>anytime</v>
          </cell>
          <cell r="AC725">
            <v>916</v>
          </cell>
          <cell r="AD725">
            <v>6</v>
          </cell>
          <cell r="AE725" t="str">
            <v>everyone</v>
          </cell>
        </row>
        <row r="726">
          <cell r="A726" t="str">
            <v>40014_1</v>
          </cell>
          <cell r="B726">
            <v>1</v>
          </cell>
          <cell r="C726">
            <v>40014</v>
          </cell>
          <cell r="D726" t="str">
            <v>シヴァ襲来！</v>
          </cell>
          <cell r="E726" t="str">
            <v>降臨14</v>
          </cell>
          <cell r="F726">
            <v>1</v>
          </cell>
          <cell r="G726" t="str">
            <v>ja</v>
          </cell>
          <cell r="H726" t="str">
            <v xml:space="preserve">【ウィザード級】シヴァ襲来 </v>
          </cell>
          <cell r="I726" t="str">
            <v>地獄級</v>
          </cell>
          <cell r="J726">
            <v>657</v>
          </cell>
          <cell r="K726">
            <v>35</v>
          </cell>
          <cell r="L726">
            <v>4200</v>
          </cell>
          <cell r="M726">
            <v>1</v>
          </cell>
          <cell r="N726">
            <v>1</v>
          </cell>
          <cell r="O726">
            <v>1</v>
          </cell>
          <cell r="P726">
            <v>1</v>
          </cell>
          <cell r="Q726">
            <v>1</v>
          </cell>
          <cell r="R726">
            <v>3</v>
          </cell>
          <cell r="S726" t="str">
            <v>character</v>
          </cell>
          <cell r="T726">
            <v>656</v>
          </cell>
          <cell r="U726" t="str">
            <v>NULL</v>
          </cell>
          <cell r="V726" t="str">
            <v>NULL</v>
          </cell>
          <cell r="W726" t="str">
            <v/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 t="str">
            <v>anytime</v>
          </cell>
          <cell r="AC726">
            <v>916</v>
          </cell>
          <cell r="AD726">
            <v>6</v>
          </cell>
          <cell r="AE726" t="str">
            <v>everyone</v>
          </cell>
        </row>
        <row r="727">
          <cell r="A727" t="str">
            <v>40015_1</v>
          </cell>
          <cell r="B727">
            <v>1</v>
          </cell>
          <cell r="C727">
            <v>40015</v>
          </cell>
          <cell r="D727" t="str">
            <v>ガレス襲来！</v>
          </cell>
          <cell r="E727" t="str">
            <v>降臨15</v>
          </cell>
          <cell r="F727">
            <v>1</v>
          </cell>
          <cell r="G727" t="str">
            <v>ja</v>
          </cell>
          <cell r="H727" t="str">
            <v xml:space="preserve">【ウィザード級】ガレス襲来 </v>
          </cell>
          <cell r="I727" t="str">
            <v>地獄級</v>
          </cell>
          <cell r="J727">
            <v>769</v>
          </cell>
          <cell r="K727">
            <v>35</v>
          </cell>
          <cell r="L727">
            <v>4200</v>
          </cell>
          <cell r="M727">
            <v>1</v>
          </cell>
          <cell r="N727">
            <v>1</v>
          </cell>
          <cell r="O727">
            <v>1</v>
          </cell>
          <cell r="P727">
            <v>1</v>
          </cell>
          <cell r="Q727">
            <v>1</v>
          </cell>
          <cell r="R727">
            <v>3</v>
          </cell>
          <cell r="S727" t="str">
            <v>character</v>
          </cell>
          <cell r="T727">
            <v>768</v>
          </cell>
          <cell r="U727" t="str">
            <v>NULL</v>
          </cell>
          <cell r="V727" t="str">
            <v>NULL</v>
          </cell>
          <cell r="W727" t="str">
            <v/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 t="str">
            <v>anytime</v>
          </cell>
          <cell r="AC727">
            <v>907</v>
          </cell>
          <cell r="AD727">
            <v>6</v>
          </cell>
          <cell r="AE727" t="str">
            <v>everyone</v>
          </cell>
        </row>
        <row r="728">
          <cell r="A728" t="str">
            <v>40016_1</v>
          </cell>
          <cell r="B728">
            <v>3</v>
          </cell>
          <cell r="C728">
            <v>40016</v>
          </cell>
          <cell r="D728" t="str">
            <v>武田信玄襲来！</v>
          </cell>
          <cell r="E728" t="str">
            <v>降臨16</v>
          </cell>
          <cell r="F728">
            <v>1</v>
          </cell>
          <cell r="G728" t="str">
            <v>ja</v>
          </cell>
          <cell r="H728" t="str">
            <v xml:space="preserve">【ウィザード級】武田信玄襲来 </v>
          </cell>
          <cell r="I728" t="str">
            <v>地獄級</v>
          </cell>
          <cell r="J728">
            <v>725</v>
          </cell>
          <cell r="K728">
            <v>40</v>
          </cell>
          <cell r="L728">
            <v>4500</v>
          </cell>
          <cell r="M728">
            <v>1</v>
          </cell>
          <cell r="N728">
            <v>1</v>
          </cell>
          <cell r="O728">
            <v>1</v>
          </cell>
          <cell r="P728">
            <v>1</v>
          </cell>
          <cell r="Q728">
            <v>1</v>
          </cell>
          <cell r="R728">
            <v>3</v>
          </cell>
          <cell r="S728" t="str">
            <v>polygon</v>
          </cell>
          <cell r="T728">
            <v>1</v>
          </cell>
          <cell r="U728" t="str">
            <v>NULL</v>
          </cell>
          <cell r="V728" t="str">
            <v>NULL</v>
          </cell>
          <cell r="W728" t="str">
            <v/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 t="str">
            <v>anytime</v>
          </cell>
          <cell r="AC728">
            <v>919</v>
          </cell>
          <cell r="AD728">
            <v>6</v>
          </cell>
          <cell r="AE728" t="str">
            <v>everyone</v>
          </cell>
        </row>
        <row r="729">
          <cell r="A729" t="str">
            <v>40016_2</v>
          </cell>
          <cell r="B729">
            <v>1</v>
          </cell>
          <cell r="C729">
            <v>40016</v>
          </cell>
          <cell r="D729" t="str">
            <v>武田信玄襲来！</v>
          </cell>
          <cell r="E729" t="str">
            <v>降臨16</v>
          </cell>
          <cell r="F729">
            <v>2</v>
          </cell>
          <cell r="G729" t="str">
            <v>ja</v>
          </cell>
          <cell r="H729" t="str">
            <v xml:space="preserve">【ノーコンテニュー】武田信玄襲来 </v>
          </cell>
          <cell r="I729" t="str">
            <v>地獄級</v>
          </cell>
          <cell r="J729">
            <v>725</v>
          </cell>
          <cell r="K729">
            <v>40</v>
          </cell>
          <cell r="L729">
            <v>4500</v>
          </cell>
          <cell r="M729">
            <v>1</v>
          </cell>
          <cell r="N729">
            <v>1</v>
          </cell>
          <cell r="O729">
            <v>1</v>
          </cell>
          <cell r="P729">
            <v>1</v>
          </cell>
          <cell r="Q729">
            <v>1</v>
          </cell>
          <cell r="R729">
            <v>3</v>
          </cell>
          <cell r="S729" t="str">
            <v>polygon</v>
          </cell>
          <cell r="T729">
            <v>1</v>
          </cell>
          <cell r="U729" t="str">
            <v>NULL</v>
          </cell>
          <cell r="V729" t="str">
            <v>NULL</v>
          </cell>
          <cell r="W729" t="str">
            <v/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 t="str">
            <v>anytime</v>
          </cell>
          <cell r="AC729">
            <v>919</v>
          </cell>
          <cell r="AD729">
            <v>6</v>
          </cell>
          <cell r="AE729" t="str">
            <v>everyone</v>
          </cell>
        </row>
        <row r="730">
          <cell r="A730" t="str">
            <v>40017_1</v>
          </cell>
          <cell r="B730">
            <v>3</v>
          </cell>
          <cell r="C730">
            <v>40017</v>
          </cell>
          <cell r="D730" t="str">
            <v>ベルゼブブ襲来！</v>
          </cell>
          <cell r="E730" t="str">
            <v>降臨17</v>
          </cell>
          <cell r="F730">
            <v>1</v>
          </cell>
          <cell r="G730" t="str">
            <v>ja</v>
          </cell>
          <cell r="H730" t="str">
            <v xml:space="preserve">【超絶級】ベルゼブブ襲来 </v>
          </cell>
          <cell r="I730" t="str">
            <v>地獄級</v>
          </cell>
          <cell r="J730">
            <v>845</v>
          </cell>
          <cell r="K730">
            <v>35</v>
          </cell>
          <cell r="L730">
            <v>4200</v>
          </cell>
          <cell r="M730">
            <v>1</v>
          </cell>
          <cell r="N730">
            <v>1</v>
          </cell>
          <cell r="O730">
            <v>1</v>
          </cell>
          <cell r="P730">
            <v>1</v>
          </cell>
          <cell r="Q730">
            <v>1</v>
          </cell>
          <cell r="R730">
            <v>3</v>
          </cell>
          <cell r="S730" t="str">
            <v>polygon</v>
          </cell>
          <cell r="T730">
            <v>1</v>
          </cell>
          <cell r="U730" t="str">
            <v>NULL</v>
          </cell>
          <cell r="V730" t="str">
            <v>NULL</v>
          </cell>
          <cell r="W730" t="str">
            <v/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 t="str">
            <v>anytime</v>
          </cell>
          <cell r="AC730">
            <v>927</v>
          </cell>
          <cell r="AD730">
            <v>6</v>
          </cell>
          <cell r="AE730" t="str">
            <v>everyone</v>
          </cell>
        </row>
        <row r="731">
          <cell r="A731" t="str">
            <v>40017_2</v>
          </cell>
          <cell r="B731">
            <v>3</v>
          </cell>
          <cell r="C731">
            <v>40017</v>
          </cell>
          <cell r="D731" t="str">
            <v>ベルゼブブ襲来！</v>
          </cell>
          <cell r="E731" t="str">
            <v>降臨17</v>
          </cell>
          <cell r="F731">
            <v>2</v>
          </cell>
          <cell r="G731" t="str">
            <v>ja</v>
          </cell>
          <cell r="H731" t="str">
            <v>【ウィザード級】ベルゼブブ襲来</v>
          </cell>
          <cell r="I731" t="str">
            <v>地獄級</v>
          </cell>
          <cell r="J731">
            <v>845</v>
          </cell>
          <cell r="K731">
            <v>40</v>
          </cell>
          <cell r="L731">
            <v>4500</v>
          </cell>
          <cell r="M731">
            <v>1</v>
          </cell>
          <cell r="N731">
            <v>1</v>
          </cell>
          <cell r="O731">
            <v>1</v>
          </cell>
          <cell r="P731">
            <v>1</v>
          </cell>
          <cell r="Q731">
            <v>1</v>
          </cell>
          <cell r="R731">
            <v>3</v>
          </cell>
          <cell r="S731" t="str">
            <v>polygon</v>
          </cell>
          <cell r="T731">
            <v>1</v>
          </cell>
          <cell r="U731" t="str">
            <v>NULL</v>
          </cell>
          <cell r="V731" t="str">
            <v>NULL</v>
          </cell>
          <cell r="W731" t="str">
            <v/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 t="str">
            <v>anytime</v>
          </cell>
          <cell r="AC731">
            <v>927</v>
          </cell>
          <cell r="AD731">
            <v>6</v>
          </cell>
          <cell r="AE731" t="str">
            <v>everyone</v>
          </cell>
        </row>
        <row r="732">
          <cell r="A732" t="str">
            <v>40017_3</v>
          </cell>
          <cell r="B732">
            <v>1</v>
          </cell>
          <cell r="C732">
            <v>40017</v>
          </cell>
          <cell r="D732" t="str">
            <v>ベルゼブブ襲来！</v>
          </cell>
          <cell r="E732" t="str">
            <v>降臨17</v>
          </cell>
          <cell r="F732">
            <v>3</v>
          </cell>
          <cell r="G732" t="str">
            <v>ja</v>
          </cell>
          <cell r="H732" t="str">
            <v>【ノーコンテニュー】ベルゼブブ襲来</v>
          </cell>
          <cell r="I732" t="str">
            <v>地獄級</v>
          </cell>
          <cell r="J732">
            <v>845</v>
          </cell>
          <cell r="K732">
            <v>40</v>
          </cell>
          <cell r="L732">
            <v>4500</v>
          </cell>
          <cell r="M732">
            <v>1</v>
          </cell>
          <cell r="N732">
            <v>1</v>
          </cell>
          <cell r="O732">
            <v>1</v>
          </cell>
          <cell r="P732">
            <v>1</v>
          </cell>
          <cell r="Q732">
            <v>1</v>
          </cell>
          <cell r="R732">
            <v>3</v>
          </cell>
          <cell r="S732" t="str">
            <v>polygon</v>
          </cell>
          <cell r="T732">
            <v>1</v>
          </cell>
          <cell r="U732" t="str">
            <v>NULL</v>
          </cell>
          <cell r="V732" t="str">
            <v>NULL</v>
          </cell>
          <cell r="W732" t="str">
            <v/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 t="str">
            <v>anytime</v>
          </cell>
          <cell r="AC732">
            <v>927</v>
          </cell>
          <cell r="AD732">
            <v>6</v>
          </cell>
          <cell r="AE732" t="str">
            <v>everyone</v>
          </cell>
        </row>
        <row r="733">
          <cell r="A733" t="str">
            <v>40018_1</v>
          </cell>
          <cell r="B733">
            <v>3</v>
          </cell>
          <cell r="C733">
            <v>40018</v>
          </cell>
          <cell r="D733" t="str">
            <v>ジーナ襲来！</v>
          </cell>
          <cell r="E733" t="str">
            <v>降臨18</v>
          </cell>
          <cell r="F733">
            <v>1</v>
          </cell>
          <cell r="G733" t="str">
            <v>ja</v>
          </cell>
          <cell r="H733" t="str">
            <v xml:space="preserve">【超絶級】ジーナ襲来 </v>
          </cell>
          <cell r="I733" t="str">
            <v>地獄級</v>
          </cell>
          <cell r="J733">
            <v>861</v>
          </cell>
          <cell r="K733">
            <v>35</v>
          </cell>
          <cell r="L733">
            <v>4200</v>
          </cell>
          <cell r="M733">
            <v>1</v>
          </cell>
          <cell r="N733">
            <v>1</v>
          </cell>
          <cell r="O733">
            <v>1</v>
          </cell>
          <cell r="P733">
            <v>1</v>
          </cell>
          <cell r="Q733">
            <v>1</v>
          </cell>
          <cell r="R733">
            <v>3</v>
          </cell>
          <cell r="S733" t="str">
            <v>polygon</v>
          </cell>
          <cell r="T733">
            <v>1</v>
          </cell>
          <cell r="U733" t="str">
            <v>NULL</v>
          </cell>
          <cell r="V733" t="str">
            <v>NULL</v>
          </cell>
          <cell r="W733" t="str">
            <v/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 t="str">
            <v>anytime</v>
          </cell>
          <cell r="AC733">
            <v>929</v>
          </cell>
          <cell r="AD733">
            <v>6</v>
          </cell>
          <cell r="AE733" t="str">
            <v>everyone</v>
          </cell>
        </row>
        <row r="734">
          <cell r="A734" t="str">
            <v>40018_2</v>
          </cell>
          <cell r="B734">
            <v>3</v>
          </cell>
          <cell r="C734">
            <v>40018</v>
          </cell>
          <cell r="D734" t="str">
            <v>ジーナ襲来！</v>
          </cell>
          <cell r="E734" t="str">
            <v>降臨18</v>
          </cell>
          <cell r="F734">
            <v>2</v>
          </cell>
          <cell r="G734" t="str">
            <v>ja</v>
          </cell>
          <cell r="H734" t="str">
            <v>【ウィザード級】ジーナ襲来</v>
          </cell>
          <cell r="I734" t="str">
            <v>地獄級</v>
          </cell>
          <cell r="J734">
            <v>861</v>
          </cell>
          <cell r="K734">
            <v>40</v>
          </cell>
          <cell r="L734">
            <v>4500</v>
          </cell>
          <cell r="M734">
            <v>1</v>
          </cell>
          <cell r="N734">
            <v>1</v>
          </cell>
          <cell r="O734">
            <v>1</v>
          </cell>
          <cell r="P734">
            <v>1</v>
          </cell>
          <cell r="Q734">
            <v>1</v>
          </cell>
          <cell r="R734">
            <v>3</v>
          </cell>
          <cell r="S734" t="str">
            <v>polygon</v>
          </cell>
          <cell r="T734">
            <v>1</v>
          </cell>
          <cell r="U734" t="str">
            <v>NULL</v>
          </cell>
          <cell r="V734" t="str">
            <v>NULL</v>
          </cell>
          <cell r="W734" t="str">
            <v/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 t="str">
            <v>anytime</v>
          </cell>
          <cell r="AC734">
            <v>929</v>
          </cell>
          <cell r="AD734">
            <v>6</v>
          </cell>
          <cell r="AE734" t="str">
            <v>everyone</v>
          </cell>
        </row>
        <row r="735">
          <cell r="A735" t="str">
            <v>40018_3</v>
          </cell>
          <cell r="B735">
            <v>1</v>
          </cell>
          <cell r="C735">
            <v>40018</v>
          </cell>
          <cell r="D735" t="str">
            <v>ジーナ襲来！</v>
          </cell>
          <cell r="E735" t="str">
            <v>降臨18</v>
          </cell>
          <cell r="F735">
            <v>3</v>
          </cell>
          <cell r="G735" t="str">
            <v>ja</v>
          </cell>
          <cell r="H735" t="str">
            <v>【ノーコンテニュー】ジーナ襲来</v>
          </cell>
          <cell r="I735" t="str">
            <v>地獄級</v>
          </cell>
          <cell r="J735">
            <v>861</v>
          </cell>
          <cell r="K735">
            <v>40</v>
          </cell>
          <cell r="L735">
            <v>4500</v>
          </cell>
          <cell r="M735">
            <v>1</v>
          </cell>
          <cell r="N735">
            <v>1</v>
          </cell>
          <cell r="O735">
            <v>1</v>
          </cell>
          <cell r="P735">
            <v>1</v>
          </cell>
          <cell r="Q735">
            <v>1</v>
          </cell>
          <cell r="R735">
            <v>3</v>
          </cell>
          <cell r="S735" t="str">
            <v>polygon</v>
          </cell>
          <cell r="T735">
            <v>1</v>
          </cell>
          <cell r="U735" t="str">
            <v>NULL</v>
          </cell>
          <cell r="V735" t="str">
            <v>NULL</v>
          </cell>
          <cell r="W735" t="str">
            <v/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 t="str">
            <v>anytime</v>
          </cell>
          <cell r="AC735">
            <v>929</v>
          </cell>
          <cell r="AD735">
            <v>6</v>
          </cell>
          <cell r="AE735" t="str">
            <v>everyone</v>
          </cell>
        </row>
        <row r="736">
          <cell r="A736" t="str">
            <v>40019_1</v>
          </cell>
          <cell r="B736">
            <v>3</v>
          </cell>
          <cell r="C736">
            <v>40019</v>
          </cell>
          <cell r="D736" t="str">
            <v>テュポーン襲来！</v>
          </cell>
          <cell r="E736" t="str">
            <v>降臨19</v>
          </cell>
          <cell r="F736">
            <v>1</v>
          </cell>
          <cell r="G736" t="str">
            <v>ja</v>
          </cell>
          <cell r="H736" t="str">
            <v xml:space="preserve">【超絶級】テュポーン襲来 </v>
          </cell>
          <cell r="I736" t="str">
            <v>超絶級</v>
          </cell>
          <cell r="J736">
            <v>741</v>
          </cell>
          <cell r="K736">
            <v>35</v>
          </cell>
          <cell r="L736">
            <v>4200</v>
          </cell>
          <cell r="M736">
            <v>1</v>
          </cell>
          <cell r="N736">
            <v>1</v>
          </cell>
          <cell r="O736">
            <v>1</v>
          </cell>
          <cell r="P736">
            <v>1</v>
          </cell>
          <cell r="Q736">
            <v>1</v>
          </cell>
          <cell r="R736">
            <v>3</v>
          </cell>
          <cell r="S736" t="str">
            <v>polygon</v>
          </cell>
          <cell r="T736">
            <v>1</v>
          </cell>
          <cell r="U736" t="str">
            <v>NULL</v>
          </cell>
          <cell r="V736" t="str">
            <v>NULL</v>
          </cell>
          <cell r="W736" t="str">
            <v/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 t="str">
            <v>anytime</v>
          </cell>
          <cell r="AC736">
            <v>921</v>
          </cell>
          <cell r="AD736">
            <v>6</v>
          </cell>
          <cell r="AE736" t="str">
            <v>everyone</v>
          </cell>
        </row>
        <row r="737">
          <cell r="A737" t="str">
            <v>40019_2</v>
          </cell>
          <cell r="B737">
            <v>3</v>
          </cell>
          <cell r="C737">
            <v>40019</v>
          </cell>
          <cell r="D737" t="str">
            <v>テュポーン襲来！</v>
          </cell>
          <cell r="E737" t="str">
            <v>降臨19</v>
          </cell>
          <cell r="F737">
            <v>2</v>
          </cell>
          <cell r="G737" t="str">
            <v>ja</v>
          </cell>
          <cell r="H737" t="str">
            <v>【ウィザード級】テュポーン襲来</v>
          </cell>
          <cell r="I737" t="str">
            <v>地獄級</v>
          </cell>
          <cell r="J737">
            <v>741</v>
          </cell>
          <cell r="K737">
            <v>40</v>
          </cell>
          <cell r="L737">
            <v>4500</v>
          </cell>
          <cell r="M737">
            <v>1</v>
          </cell>
          <cell r="N737">
            <v>1</v>
          </cell>
          <cell r="O737">
            <v>1</v>
          </cell>
          <cell r="P737">
            <v>1</v>
          </cell>
          <cell r="Q737">
            <v>1</v>
          </cell>
          <cell r="R737">
            <v>3</v>
          </cell>
          <cell r="S737" t="str">
            <v>polygon</v>
          </cell>
          <cell r="T737">
            <v>1</v>
          </cell>
          <cell r="U737" t="str">
            <v>NULL</v>
          </cell>
          <cell r="V737" t="str">
            <v>NULL</v>
          </cell>
          <cell r="W737" t="str">
            <v/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 t="str">
            <v>anytime</v>
          </cell>
          <cell r="AC737">
            <v>921</v>
          </cell>
          <cell r="AD737">
            <v>6</v>
          </cell>
          <cell r="AE737" t="str">
            <v>everyone</v>
          </cell>
        </row>
        <row r="738">
          <cell r="A738" t="str">
            <v>40019_3</v>
          </cell>
          <cell r="B738">
            <v>1</v>
          </cell>
          <cell r="C738">
            <v>40019</v>
          </cell>
          <cell r="D738" t="str">
            <v>テュポーン襲来！</v>
          </cell>
          <cell r="E738" t="str">
            <v>降臨19</v>
          </cell>
          <cell r="F738">
            <v>3</v>
          </cell>
          <cell r="G738" t="str">
            <v>ja</v>
          </cell>
          <cell r="H738" t="str">
            <v>【ノーコンテニュー】テュポーン襲来</v>
          </cell>
          <cell r="I738" t="str">
            <v>地獄級</v>
          </cell>
          <cell r="J738">
            <v>741</v>
          </cell>
          <cell r="K738">
            <v>40</v>
          </cell>
          <cell r="L738">
            <v>4500</v>
          </cell>
          <cell r="M738">
            <v>1</v>
          </cell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3</v>
          </cell>
          <cell r="S738" t="str">
            <v>polygon</v>
          </cell>
          <cell r="T738">
            <v>1</v>
          </cell>
          <cell r="U738" t="str">
            <v>NULL</v>
          </cell>
          <cell r="V738" t="str">
            <v>NULL</v>
          </cell>
          <cell r="W738" t="str">
            <v/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 t="str">
            <v>anytime</v>
          </cell>
          <cell r="AC738">
            <v>921</v>
          </cell>
          <cell r="AD738">
            <v>6</v>
          </cell>
          <cell r="AE738" t="str">
            <v>everyone</v>
          </cell>
        </row>
        <row r="739">
          <cell r="A739" t="str">
            <v>40021_1</v>
          </cell>
          <cell r="B739">
            <v>3</v>
          </cell>
          <cell r="C739">
            <v>40021</v>
          </cell>
          <cell r="D739" t="str">
            <v>ルイ16世襲来！</v>
          </cell>
          <cell r="E739" t="str">
            <v>降臨21</v>
          </cell>
          <cell r="F739">
            <v>1</v>
          </cell>
          <cell r="G739" t="str">
            <v>ja</v>
          </cell>
          <cell r="H739" t="str">
            <v xml:space="preserve">【超絶級】ルイ16世襲来 </v>
          </cell>
          <cell r="I739" t="str">
            <v>超絶級</v>
          </cell>
          <cell r="J739">
            <v>936</v>
          </cell>
          <cell r="K739">
            <v>35</v>
          </cell>
          <cell r="L739">
            <v>4200</v>
          </cell>
          <cell r="M739">
            <v>1</v>
          </cell>
          <cell r="N739">
            <v>1</v>
          </cell>
          <cell r="O739">
            <v>1</v>
          </cell>
          <cell r="P739">
            <v>1</v>
          </cell>
          <cell r="Q739">
            <v>1</v>
          </cell>
          <cell r="R739">
            <v>3</v>
          </cell>
          <cell r="S739" t="str">
            <v>polygon</v>
          </cell>
          <cell r="T739">
            <v>1</v>
          </cell>
          <cell r="U739" t="str">
            <v>NULL</v>
          </cell>
          <cell r="V739" t="str">
            <v>NULL</v>
          </cell>
          <cell r="W739" t="str">
            <v/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 t="str">
            <v>anytime</v>
          </cell>
          <cell r="AC739">
            <v>936</v>
          </cell>
          <cell r="AD739">
            <v>6</v>
          </cell>
          <cell r="AE739" t="str">
            <v>everyone</v>
          </cell>
        </row>
        <row r="740">
          <cell r="A740" t="str">
            <v>40021_2</v>
          </cell>
          <cell r="B740">
            <v>3</v>
          </cell>
          <cell r="C740">
            <v>40021</v>
          </cell>
          <cell r="D740" t="str">
            <v>ルイ16世襲来！</v>
          </cell>
          <cell r="E740" t="str">
            <v>降臨21</v>
          </cell>
          <cell r="F740">
            <v>2</v>
          </cell>
          <cell r="G740" t="str">
            <v>ja</v>
          </cell>
          <cell r="H740" t="str">
            <v>【ウィザード級】ルイ16世襲来</v>
          </cell>
          <cell r="I740" t="str">
            <v>地獄級</v>
          </cell>
          <cell r="J740">
            <v>936</v>
          </cell>
          <cell r="K740">
            <v>40</v>
          </cell>
          <cell r="L740">
            <v>4500</v>
          </cell>
          <cell r="M740">
            <v>1</v>
          </cell>
          <cell r="N740">
            <v>1</v>
          </cell>
          <cell r="O740">
            <v>1</v>
          </cell>
          <cell r="P740">
            <v>1</v>
          </cell>
          <cell r="Q740">
            <v>1</v>
          </cell>
          <cell r="R740">
            <v>3</v>
          </cell>
          <cell r="S740" t="str">
            <v>polygon</v>
          </cell>
          <cell r="T740">
            <v>1</v>
          </cell>
          <cell r="U740" t="str">
            <v>NULL</v>
          </cell>
          <cell r="V740" t="str">
            <v>NULL</v>
          </cell>
          <cell r="W740" t="str">
            <v/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 t="str">
            <v>anytime</v>
          </cell>
          <cell r="AC740">
            <v>936</v>
          </cell>
          <cell r="AD740">
            <v>6</v>
          </cell>
          <cell r="AE740" t="str">
            <v>everyone</v>
          </cell>
        </row>
        <row r="741">
          <cell r="A741" t="str">
            <v>40022_1</v>
          </cell>
          <cell r="B741">
            <v>3</v>
          </cell>
          <cell r="C741">
            <v>40022</v>
          </cell>
          <cell r="D741" t="str">
            <v>オシリス襲来！</v>
          </cell>
          <cell r="E741" t="str">
            <v>降臨22</v>
          </cell>
          <cell r="F741">
            <v>1</v>
          </cell>
          <cell r="G741" t="str">
            <v>ja</v>
          </cell>
          <cell r="H741" t="str">
            <v xml:space="preserve">【超絶級】オシリス襲来 </v>
          </cell>
          <cell r="I741" t="str">
            <v>超絶級</v>
          </cell>
          <cell r="J741">
            <v>1009</v>
          </cell>
          <cell r="K741">
            <v>35</v>
          </cell>
          <cell r="L741">
            <v>4200</v>
          </cell>
          <cell r="M741">
            <v>1</v>
          </cell>
          <cell r="N741">
            <v>1</v>
          </cell>
          <cell r="O741">
            <v>1</v>
          </cell>
          <cell r="P741">
            <v>0</v>
          </cell>
          <cell r="Q741">
            <v>1</v>
          </cell>
          <cell r="R741">
            <v>3</v>
          </cell>
          <cell r="S741" t="str">
            <v>polygon</v>
          </cell>
          <cell r="T741">
            <v>1</v>
          </cell>
          <cell r="U741" t="str">
            <v>NULL</v>
          </cell>
          <cell r="V741" t="str">
            <v>NULL</v>
          </cell>
          <cell r="W741" t="str">
            <v/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 t="str">
            <v>anytime</v>
          </cell>
          <cell r="AC741">
            <v>940</v>
          </cell>
          <cell r="AD741">
            <v>6</v>
          </cell>
          <cell r="AE741" t="str">
            <v>everyone</v>
          </cell>
        </row>
        <row r="742">
          <cell r="A742" t="str">
            <v>40022_2</v>
          </cell>
          <cell r="B742">
            <v>3</v>
          </cell>
          <cell r="C742">
            <v>40022</v>
          </cell>
          <cell r="D742" t="str">
            <v>オシリス襲来！</v>
          </cell>
          <cell r="E742" t="str">
            <v>降臨22</v>
          </cell>
          <cell r="F742">
            <v>2</v>
          </cell>
          <cell r="G742" t="str">
            <v>ja</v>
          </cell>
          <cell r="H742" t="str">
            <v>【ウィザード級】オシリス襲来</v>
          </cell>
          <cell r="I742" t="str">
            <v>地獄級</v>
          </cell>
          <cell r="J742">
            <v>1009</v>
          </cell>
          <cell r="K742">
            <v>40</v>
          </cell>
          <cell r="L742">
            <v>4500</v>
          </cell>
          <cell r="M742">
            <v>1</v>
          </cell>
          <cell r="N742">
            <v>1</v>
          </cell>
          <cell r="O742">
            <v>1</v>
          </cell>
          <cell r="P742">
            <v>0</v>
          </cell>
          <cell r="Q742">
            <v>1</v>
          </cell>
          <cell r="R742">
            <v>3</v>
          </cell>
          <cell r="S742" t="str">
            <v>polygon</v>
          </cell>
          <cell r="T742">
            <v>1</v>
          </cell>
          <cell r="U742" t="str">
            <v>NULL</v>
          </cell>
          <cell r="V742" t="str">
            <v>NULL</v>
          </cell>
          <cell r="W742" t="str">
            <v/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 t="str">
            <v>anytime</v>
          </cell>
          <cell r="AC742">
            <v>940</v>
          </cell>
          <cell r="AD742">
            <v>6</v>
          </cell>
          <cell r="AE742" t="str">
            <v>everyone</v>
          </cell>
        </row>
        <row r="743">
          <cell r="A743" t="str">
            <v>40023_1</v>
          </cell>
          <cell r="B743">
            <v>3</v>
          </cell>
          <cell r="C743">
            <v>40023</v>
          </cell>
          <cell r="D743" t="str">
            <v>武蔵坊弁慶襲来！</v>
          </cell>
          <cell r="E743" t="str">
            <v>降臨23</v>
          </cell>
          <cell r="F743">
            <v>1</v>
          </cell>
          <cell r="G743" t="str">
            <v>ja</v>
          </cell>
          <cell r="H743" t="str">
            <v xml:space="preserve">【超絶級】武蔵坊弁慶襲来 </v>
          </cell>
          <cell r="I743" t="str">
            <v>超絶級</v>
          </cell>
          <cell r="J743">
            <v>1025</v>
          </cell>
          <cell r="K743">
            <v>35</v>
          </cell>
          <cell r="L743">
            <v>4200</v>
          </cell>
          <cell r="M743">
            <v>1</v>
          </cell>
          <cell r="N743">
            <v>1</v>
          </cell>
          <cell r="O743">
            <v>1</v>
          </cell>
          <cell r="P743">
            <v>1</v>
          </cell>
          <cell r="Q743">
            <v>1</v>
          </cell>
          <cell r="R743">
            <v>3</v>
          </cell>
          <cell r="S743" t="str">
            <v>polygon</v>
          </cell>
          <cell r="T743">
            <v>1</v>
          </cell>
          <cell r="U743" t="str">
            <v>NULL</v>
          </cell>
          <cell r="V743" t="str">
            <v>NULL</v>
          </cell>
          <cell r="W743" t="str">
            <v/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 t="str">
            <v>anytime</v>
          </cell>
          <cell r="AC743">
            <v>941</v>
          </cell>
          <cell r="AD743">
            <v>6</v>
          </cell>
          <cell r="AE743" t="str">
            <v>everyone</v>
          </cell>
        </row>
        <row r="744">
          <cell r="A744" t="str">
            <v>40023_2</v>
          </cell>
          <cell r="B744">
            <v>3</v>
          </cell>
          <cell r="C744">
            <v>40023</v>
          </cell>
          <cell r="D744" t="str">
            <v>武蔵坊弁慶襲来！</v>
          </cell>
          <cell r="E744" t="str">
            <v>降臨23</v>
          </cell>
          <cell r="F744">
            <v>2</v>
          </cell>
          <cell r="G744" t="str">
            <v>ja</v>
          </cell>
          <cell r="H744" t="str">
            <v>【ウィザード級】武蔵坊弁慶襲来</v>
          </cell>
          <cell r="I744" t="str">
            <v>地獄級</v>
          </cell>
          <cell r="J744">
            <v>1025</v>
          </cell>
          <cell r="K744">
            <v>40</v>
          </cell>
          <cell r="L744">
            <v>4500</v>
          </cell>
          <cell r="M744">
            <v>1</v>
          </cell>
          <cell r="N744">
            <v>1</v>
          </cell>
          <cell r="O744">
            <v>1</v>
          </cell>
          <cell r="P744">
            <v>1</v>
          </cell>
          <cell r="Q744">
            <v>1</v>
          </cell>
          <cell r="R744">
            <v>3</v>
          </cell>
          <cell r="S744" t="str">
            <v>polygon</v>
          </cell>
          <cell r="T744">
            <v>1</v>
          </cell>
          <cell r="U744" t="str">
            <v>NULL</v>
          </cell>
          <cell r="V744" t="str">
            <v>NULL</v>
          </cell>
          <cell r="W744" t="str">
            <v/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 t="str">
            <v>anytime</v>
          </cell>
          <cell r="AC744">
            <v>941</v>
          </cell>
          <cell r="AD744">
            <v>6</v>
          </cell>
          <cell r="AE744" t="str">
            <v>everyone</v>
          </cell>
        </row>
        <row r="745">
          <cell r="A745" t="str">
            <v>40024_1</v>
          </cell>
          <cell r="B745">
            <v>3</v>
          </cell>
          <cell r="C745">
            <v>40024</v>
          </cell>
          <cell r="D745" t="str">
            <v>アトラス襲来！</v>
          </cell>
          <cell r="E745" t="str">
            <v>降臨24</v>
          </cell>
          <cell r="F745">
            <v>1</v>
          </cell>
          <cell r="G745" t="str">
            <v>ja</v>
          </cell>
          <cell r="H745" t="str">
            <v>【超絶級】アトラス襲来</v>
          </cell>
          <cell r="I745" t="str">
            <v>超絶級</v>
          </cell>
          <cell r="J745">
            <v>789</v>
          </cell>
          <cell r="K745">
            <v>35</v>
          </cell>
          <cell r="L745">
            <v>4200</v>
          </cell>
          <cell r="M745">
            <v>1</v>
          </cell>
          <cell r="N745">
            <v>1</v>
          </cell>
          <cell r="O745">
            <v>1</v>
          </cell>
          <cell r="P745">
            <v>1</v>
          </cell>
          <cell r="Q745">
            <v>1</v>
          </cell>
          <cell r="R745">
            <v>3</v>
          </cell>
          <cell r="S745" t="str">
            <v>polygon</v>
          </cell>
          <cell r="T745">
            <v>1</v>
          </cell>
          <cell r="U745" t="str">
            <v>NULL</v>
          </cell>
          <cell r="V745" t="str">
            <v>NULL</v>
          </cell>
          <cell r="W745" t="str">
            <v/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 t="str">
            <v>anytime</v>
          </cell>
          <cell r="AC745">
            <v>20</v>
          </cell>
          <cell r="AD745">
            <v>6</v>
          </cell>
          <cell r="AE745" t="str">
            <v>everyone</v>
          </cell>
        </row>
        <row r="746">
          <cell r="A746" t="str">
            <v>40024_2</v>
          </cell>
          <cell r="B746">
            <v>3</v>
          </cell>
          <cell r="C746">
            <v>40024</v>
          </cell>
          <cell r="D746" t="str">
            <v>アトラス襲来！</v>
          </cell>
          <cell r="E746" t="str">
            <v>降臨24</v>
          </cell>
          <cell r="F746">
            <v>2</v>
          </cell>
          <cell r="G746" t="str">
            <v>ja</v>
          </cell>
          <cell r="H746" t="str">
            <v>【ウィザード級】アトラス襲来</v>
          </cell>
          <cell r="I746" t="str">
            <v>地獄級</v>
          </cell>
          <cell r="J746">
            <v>789</v>
          </cell>
          <cell r="K746">
            <v>40</v>
          </cell>
          <cell r="L746">
            <v>4500</v>
          </cell>
          <cell r="M746">
            <v>1</v>
          </cell>
          <cell r="N746">
            <v>1</v>
          </cell>
          <cell r="O746">
            <v>1</v>
          </cell>
          <cell r="P746">
            <v>1</v>
          </cell>
          <cell r="Q746">
            <v>1</v>
          </cell>
          <cell r="R746">
            <v>3</v>
          </cell>
          <cell r="S746" t="str">
            <v>polygon</v>
          </cell>
          <cell r="T746">
            <v>1</v>
          </cell>
          <cell r="U746" t="str">
            <v>NULL</v>
          </cell>
          <cell r="V746" t="str">
            <v>NULL</v>
          </cell>
          <cell r="W746" t="str">
            <v/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 t="str">
            <v>anytime</v>
          </cell>
          <cell r="AC746">
            <v>20</v>
          </cell>
          <cell r="AD746">
            <v>6</v>
          </cell>
          <cell r="AE746" t="str">
            <v>everyone</v>
          </cell>
        </row>
        <row r="747">
          <cell r="A747" t="str">
            <v>40025_1</v>
          </cell>
          <cell r="B747">
            <v>3</v>
          </cell>
          <cell r="C747">
            <v>40025</v>
          </cell>
          <cell r="D747" t="str">
            <v>ティアマト襲来！</v>
          </cell>
          <cell r="E747" t="str">
            <v>降臨25</v>
          </cell>
          <cell r="F747">
            <v>1</v>
          </cell>
          <cell r="G747" t="str">
            <v>ja</v>
          </cell>
          <cell r="H747" t="str">
            <v>【超絶級】ティアマト襲来</v>
          </cell>
          <cell r="I747" t="str">
            <v>超絶級</v>
          </cell>
          <cell r="J747">
            <v>1064</v>
          </cell>
          <cell r="K747">
            <v>35</v>
          </cell>
          <cell r="L747">
            <v>4200</v>
          </cell>
          <cell r="M747">
            <v>1</v>
          </cell>
          <cell r="N747">
            <v>1</v>
          </cell>
          <cell r="O747">
            <v>1</v>
          </cell>
          <cell r="P747">
            <v>1</v>
          </cell>
          <cell r="Q747">
            <v>1</v>
          </cell>
          <cell r="R747">
            <v>3</v>
          </cell>
          <cell r="S747" t="str">
            <v>polygon</v>
          </cell>
          <cell r="T747">
            <v>1</v>
          </cell>
          <cell r="U747" t="str">
            <v>NULL</v>
          </cell>
          <cell r="V747" t="str">
            <v>NULL</v>
          </cell>
          <cell r="W747" t="str">
            <v/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 t="str">
            <v>anytime</v>
          </cell>
          <cell r="AC747">
            <v>944</v>
          </cell>
          <cell r="AD747">
            <v>6</v>
          </cell>
          <cell r="AE747" t="str">
            <v>everyone</v>
          </cell>
        </row>
        <row r="748">
          <cell r="A748" t="str">
            <v>40025_2</v>
          </cell>
          <cell r="B748">
            <v>3</v>
          </cell>
          <cell r="C748">
            <v>40025</v>
          </cell>
          <cell r="D748" t="str">
            <v>ティアマト襲来！</v>
          </cell>
          <cell r="E748" t="str">
            <v>降臨25</v>
          </cell>
          <cell r="F748">
            <v>2</v>
          </cell>
          <cell r="G748" t="str">
            <v>ja</v>
          </cell>
          <cell r="H748" t="str">
            <v>【ウィザード級】ティアマト襲来</v>
          </cell>
          <cell r="I748" t="str">
            <v>地獄級</v>
          </cell>
          <cell r="J748">
            <v>1064</v>
          </cell>
          <cell r="K748">
            <v>40</v>
          </cell>
          <cell r="L748">
            <v>4500</v>
          </cell>
          <cell r="M748">
            <v>1</v>
          </cell>
          <cell r="N748">
            <v>1</v>
          </cell>
          <cell r="O748">
            <v>1</v>
          </cell>
          <cell r="P748">
            <v>1</v>
          </cell>
          <cell r="Q748">
            <v>1</v>
          </cell>
          <cell r="R748">
            <v>3</v>
          </cell>
          <cell r="S748" t="str">
            <v>polygon</v>
          </cell>
          <cell r="T748">
            <v>1</v>
          </cell>
          <cell r="U748" t="str">
            <v>NULL</v>
          </cell>
          <cell r="V748" t="str">
            <v>NULL</v>
          </cell>
          <cell r="W748" t="str">
            <v/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 t="str">
            <v>anytime</v>
          </cell>
          <cell r="AC748">
            <v>944</v>
          </cell>
          <cell r="AD748">
            <v>6</v>
          </cell>
          <cell r="AE748" t="str">
            <v>everyone</v>
          </cell>
        </row>
        <row r="749">
          <cell r="A749" t="str">
            <v>40026_1</v>
          </cell>
          <cell r="B749">
            <v>3</v>
          </cell>
          <cell r="C749">
            <v>40026</v>
          </cell>
          <cell r="D749" t="str">
            <v>ミケランジェロ襲来！</v>
          </cell>
          <cell r="E749" t="str">
            <v>降臨26</v>
          </cell>
          <cell r="F749">
            <v>1</v>
          </cell>
          <cell r="G749" t="str">
            <v>ja</v>
          </cell>
          <cell r="H749" t="str">
            <v>【超絶級】ミケランジェロ襲来</v>
          </cell>
          <cell r="I749" t="str">
            <v>超絶級</v>
          </cell>
          <cell r="J749">
            <v>1089</v>
          </cell>
          <cell r="K749">
            <v>35</v>
          </cell>
          <cell r="L749">
            <v>4200</v>
          </cell>
          <cell r="M749">
            <v>1</v>
          </cell>
          <cell r="N749">
            <v>1</v>
          </cell>
          <cell r="O749">
            <v>1</v>
          </cell>
          <cell r="P749">
            <v>1</v>
          </cell>
          <cell r="Q749">
            <v>1</v>
          </cell>
          <cell r="R749">
            <v>3</v>
          </cell>
          <cell r="S749" t="str">
            <v>polygon</v>
          </cell>
          <cell r="T749">
            <v>1</v>
          </cell>
          <cell r="U749" t="str">
            <v>NULL</v>
          </cell>
          <cell r="V749" t="str">
            <v>NULL</v>
          </cell>
          <cell r="W749" t="str">
            <v/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 t="str">
            <v>anytime</v>
          </cell>
          <cell r="AC749">
            <v>26</v>
          </cell>
          <cell r="AD749">
            <v>6</v>
          </cell>
          <cell r="AE749" t="str">
            <v>everyone</v>
          </cell>
        </row>
        <row r="750">
          <cell r="A750" t="str">
            <v>40026_2</v>
          </cell>
          <cell r="B750">
            <v>3</v>
          </cell>
          <cell r="C750">
            <v>40026</v>
          </cell>
          <cell r="D750" t="str">
            <v>ミケランジェロ襲来！</v>
          </cell>
          <cell r="E750" t="str">
            <v>降臨26</v>
          </cell>
          <cell r="F750">
            <v>2</v>
          </cell>
          <cell r="G750" t="str">
            <v>ja</v>
          </cell>
          <cell r="H750" t="str">
            <v>【ウィザード級】ミケランジェロ襲来</v>
          </cell>
          <cell r="I750" t="str">
            <v>地獄級</v>
          </cell>
          <cell r="J750">
            <v>1089</v>
          </cell>
          <cell r="K750">
            <v>40</v>
          </cell>
          <cell r="L750">
            <v>4500</v>
          </cell>
          <cell r="M750">
            <v>1</v>
          </cell>
          <cell r="N750">
            <v>1</v>
          </cell>
          <cell r="O750">
            <v>1</v>
          </cell>
          <cell r="P750">
            <v>1</v>
          </cell>
          <cell r="Q750">
            <v>1</v>
          </cell>
          <cell r="R750">
            <v>3</v>
          </cell>
          <cell r="S750" t="str">
            <v>polygon</v>
          </cell>
          <cell r="T750">
            <v>1</v>
          </cell>
          <cell r="U750" t="str">
            <v>NULL</v>
          </cell>
          <cell r="V750" t="str">
            <v>NULL</v>
          </cell>
          <cell r="W750" t="str">
            <v/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 t="str">
            <v>anytime</v>
          </cell>
          <cell r="AC750">
            <v>26</v>
          </cell>
          <cell r="AD750">
            <v>6</v>
          </cell>
          <cell r="AE750" t="str">
            <v>everyone</v>
          </cell>
        </row>
        <row r="751">
          <cell r="A751" t="str">
            <v>40027_1</v>
          </cell>
          <cell r="B751">
            <v>3</v>
          </cell>
          <cell r="C751">
            <v>40027</v>
          </cell>
          <cell r="D751" t="str">
            <v>コルキス襲来！</v>
          </cell>
          <cell r="E751" t="str">
            <v>降臨27</v>
          </cell>
          <cell r="F751">
            <v>1</v>
          </cell>
          <cell r="G751" t="str">
            <v>ja</v>
          </cell>
          <cell r="H751" t="str">
            <v>【超絶級】コルキス襲来</v>
          </cell>
          <cell r="I751" t="str">
            <v>超絶級</v>
          </cell>
          <cell r="J751">
            <v>892</v>
          </cell>
          <cell r="K751">
            <v>35</v>
          </cell>
          <cell r="L751">
            <v>4200</v>
          </cell>
          <cell r="M751">
            <v>1</v>
          </cell>
          <cell r="N751">
            <v>1</v>
          </cell>
          <cell r="O751">
            <v>0</v>
          </cell>
          <cell r="P751">
            <v>1</v>
          </cell>
          <cell r="Q751">
            <v>1</v>
          </cell>
          <cell r="R751">
            <v>3</v>
          </cell>
          <cell r="S751" t="str">
            <v>polygon</v>
          </cell>
          <cell r="T751">
            <v>1</v>
          </cell>
          <cell r="U751" t="str">
            <v>NULL</v>
          </cell>
          <cell r="V751" t="str">
            <v>NULL</v>
          </cell>
          <cell r="W751" t="str">
            <v/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 t="str">
            <v>anytime</v>
          </cell>
          <cell r="AC751">
            <v>11</v>
          </cell>
          <cell r="AD751">
            <v>6</v>
          </cell>
          <cell r="AE751" t="str">
            <v>everyone</v>
          </cell>
        </row>
        <row r="752">
          <cell r="A752" t="str">
            <v>40027_2</v>
          </cell>
          <cell r="B752">
            <v>3</v>
          </cell>
          <cell r="C752">
            <v>40027</v>
          </cell>
          <cell r="D752" t="str">
            <v>コルキス襲来！</v>
          </cell>
          <cell r="E752" t="str">
            <v>降臨27</v>
          </cell>
          <cell r="F752">
            <v>2</v>
          </cell>
          <cell r="G752" t="str">
            <v>ja</v>
          </cell>
          <cell r="H752" t="str">
            <v>【ウィザード級】コルキス襲来</v>
          </cell>
          <cell r="I752" t="str">
            <v>地獄級</v>
          </cell>
          <cell r="J752">
            <v>892</v>
          </cell>
          <cell r="K752">
            <v>40</v>
          </cell>
          <cell r="L752">
            <v>4500</v>
          </cell>
          <cell r="M752">
            <v>1</v>
          </cell>
          <cell r="N752">
            <v>1</v>
          </cell>
          <cell r="O752">
            <v>0</v>
          </cell>
          <cell r="P752">
            <v>1</v>
          </cell>
          <cell r="Q752">
            <v>1</v>
          </cell>
          <cell r="R752">
            <v>3</v>
          </cell>
          <cell r="S752" t="str">
            <v>polygon</v>
          </cell>
          <cell r="T752">
            <v>1</v>
          </cell>
          <cell r="U752" t="str">
            <v>NULL</v>
          </cell>
          <cell r="V752" t="str">
            <v>NULL</v>
          </cell>
          <cell r="W752" t="str">
            <v/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 t="str">
            <v>anytime</v>
          </cell>
          <cell r="AC752">
            <v>11</v>
          </cell>
          <cell r="AD752">
            <v>6</v>
          </cell>
          <cell r="AE752" t="str">
            <v>everyone</v>
          </cell>
        </row>
        <row r="753">
          <cell r="A753" t="str">
            <v>40028_1</v>
          </cell>
          <cell r="B753">
            <v>3</v>
          </cell>
          <cell r="C753">
            <v>40028</v>
          </cell>
          <cell r="D753" t="str">
            <v>ルピカ襲来！</v>
          </cell>
          <cell r="E753" t="str">
            <v>降臨28</v>
          </cell>
          <cell r="F753">
            <v>1</v>
          </cell>
          <cell r="G753" t="str">
            <v>ja</v>
          </cell>
          <cell r="H753" t="str">
            <v>【超絶級】ルピカ襲来</v>
          </cell>
          <cell r="I753" t="str">
            <v>超絶級</v>
          </cell>
          <cell r="J753">
            <v>1098</v>
          </cell>
          <cell r="K753">
            <v>35</v>
          </cell>
          <cell r="L753">
            <v>4200</v>
          </cell>
          <cell r="M753">
            <v>1</v>
          </cell>
          <cell r="N753">
            <v>1</v>
          </cell>
          <cell r="O753">
            <v>1</v>
          </cell>
          <cell r="P753">
            <v>1</v>
          </cell>
          <cell r="Q753">
            <v>1</v>
          </cell>
          <cell r="R753">
            <v>3</v>
          </cell>
          <cell r="S753" t="str">
            <v>polygon</v>
          </cell>
          <cell r="T753">
            <v>1</v>
          </cell>
          <cell r="U753" t="str">
            <v>NULL</v>
          </cell>
          <cell r="V753" t="str">
            <v>NULL</v>
          </cell>
          <cell r="W753" t="str">
            <v/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 t="str">
            <v>anytime</v>
          </cell>
          <cell r="AC753">
            <v>947</v>
          </cell>
          <cell r="AD753">
            <v>6</v>
          </cell>
          <cell r="AE753" t="str">
            <v>everyone</v>
          </cell>
        </row>
        <row r="754">
          <cell r="A754" t="str">
            <v>40028_2</v>
          </cell>
          <cell r="B754">
            <v>3</v>
          </cell>
          <cell r="C754">
            <v>40028</v>
          </cell>
          <cell r="D754" t="str">
            <v>ルピカ襲来！</v>
          </cell>
          <cell r="E754" t="str">
            <v>降臨28</v>
          </cell>
          <cell r="F754">
            <v>2</v>
          </cell>
          <cell r="G754" t="str">
            <v>ja</v>
          </cell>
          <cell r="H754" t="str">
            <v>【ウィザード級】ルピカ襲来</v>
          </cell>
          <cell r="I754" t="str">
            <v>地獄級</v>
          </cell>
          <cell r="J754">
            <v>1099</v>
          </cell>
          <cell r="K754">
            <v>40</v>
          </cell>
          <cell r="L754">
            <v>4500</v>
          </cell>
          <cell r="M754">
            <v>1</v>
          </cell>
          <cell r="N754">
            <v>1</v>
          </cell>
          <cell r="O754">
            <v>1</v>
          </cell>
          <cell r="P754">
            <v>1</v>
          </cell>
          <cell r="Q754">
            <v>1</v>
          </cell>
          <cell r="R754">
            <v>3</v>
          </cell>
          <cell r="S754" t="str">
            <v>polygon</v>
          </cell>
          <cell r="T754">
            <v>1</v>
          </cell>
          <cell r="U754" t="str">
            <v>NULL</v>
          </cell>
          <cell r="V754" t="str">
            <v>NULL</v>
          </cell>
          <cell r="W754" t="str">
            <v/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 t="str">
            <v>anytime</v>
          </cell>
          <cell r="AC754">
            <v>947</v>
          </cell>
          <cell r="AD754">
            <v>6</v>
          </cell>
          <cell r="AE754" t="str">
            <v>everyone</v>
          </cell>
        </row>
        <row r="755">
          <cell r="A755" t="str">
            <v>40029_1</v>
          </cell>
          <cell r="B755">
            <v>3</v>
          </cell>
          <cell r="C755">
            <v>40029</v>
          </cell>
          <cell r="D755" t="str">
            <v>カスケード襲来！</v>
          </cell>
          <cell r="E755" t="str">
            <v>降臨29</v>
          </cell>
          <cell r="F755">
            <v>1</v>
          </cell>
          <cell r="G755" t="str">
            <v>ja</v>
          </cell>
          <cell r="H755" t="str">
            <v>【超絶級】カスケード襲来</v>
          </cell>
          <cell r="I755" t="str">
            <v>超絶級</v>
          </cell>
          <cell r="J755">
            <v>781</v>
          </cell>
          <cell r="K755">
            <v>35</v>
          </cell>
          <cell r="L755">
            <v>4200</v>
          </cell>
          <cell r="M755">
            <v>1</v>
          </cell>
          <cell r="N755">
            <v>1</v>
          </cell>
          <cell r="O755">
            <v>1</v>
          </cell>
          <cell r="P755">
            <v>1</v>
          </cell>
          <cell r="Q755">
            <v>1</v>
          </cell>
          <cell r="R755">
            <v>3</v>
          </cell>
          <cell r="S755" t="str">
            <v>polygon</v>
          </cell>
          <cell r="T755">
            <v>1</v>
          </cell>
          <cell r="U755" t="str">
            <v>NULL</v>
          </cell>
          <cell r="V755" t="str">
            <v>NULL</v>
          </cell>
          <cell r="W755" t="str">
            <v/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 t="str">
            <v>anytime</v>
          </cell>
          <cell r="AC755">
            <v>12</v>
          </cell>
          <cell r="AD755">
            <v>6</v>
          </cell>
          <cell r="AE755" t="str">
            <v>everyone</v>
          </cell>
        </row>
        <row r="756">
          <cell r="A756" t="str">
            <v>40029_2</v>
          </cell>
          <cell r="B756">
            <v>3</v>
          </cell>
          <cell r="C756">
            <v>40029</v>
          </cell>
          <cell r="D756" t="str">
            <v>カスケード襲来！</v>
          </cell>
          <cell r="E756" t="str">
            <v>降臨29</v>
          </cell>
          <cell r="F756">
            <v>2</v>
          </cell>
          <cell r="G756" t="str">
            <v>ja</v>
          </cell>
          <cell r="H756" t="str">
            <v>【ウィザード級】カスケード襲来</v>
          </cell>
          <cell r="I756" t="str">
            <v>地獄級</v>
          </cell>
          <cell r="J756">
            <v>781</v>
          </cell>
          <cell r="K756">
            <v>40</v>
          </cell>
          <cell r="L756">
            <v>4500</v>
          </cell>
          <cell r="M756">
            <v>1</v>
          </cell>
          <cell r="N756">
            <v>1</v>
          </cell>
          <cell r="O756">
            <v>1</v>
          </cell>
          <cell r="P756">
            <v>1</v>
          </cell>
          <cell r="Q756">
            <v>1</v>
          </cell>
          <cell r="R756">
            <v>3</v>
          </cell>
          <cell r="S756" t="str">
            <v>polygon</v>
          </cell>
          <cell r="T756">
            <v>1</v>
          </cell>
          <cell r="U756" t="str">
            <v>NULL</v>
          </cell>
          <cell r="V756" t="str">
            <v>NULL</v>
          </cell>
          <cell r="W756" t="str">
            <v/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 t="str">
            <v>anytime</v>
          </cell>
          <cell r="AC756">
            <v>12</v>
          </cell>
          <cell r="AD756">
            <v>6</v>
          </cell>
          <cell r="AE756" t="str">
            <v>everyone</v>
          </cell>
        </row>
        <row r="757">
          <cell r="A757" t="str">
            <v>40030_1</v>
          </cell>
          <cell r="B757">
            <v>3</v>
          </cell>
          <cell r="C757">
            <v>40030</v>
          </cell>
          <cell r="D757" t="str">
            <v>エリス襲来！</v>
          </cell>
          <cell r="E757" t="str">
            <v>降臨30</v>
          </cell>
          <cell r="F757">
            <v>1</v>
          </cell>
          <cell r="G757" t="str">
            <v>ja</v>
          </cell>
          <cell r="H757" t="str">
            <v>【超絶級】エリス襲来</v>
          </cell>
          <cell r="I757" t="str">
            <v>超絶級</v>
          </cell>
          <cell r="J757">
            <v>888</v>
          </cell>
          <cell r="K757">
            <v>35</v>
          </cell>
          <cell r="L757">
            <v>4200</v>
          </cell>
          <cell r="M757">
            <v>1</v>
          </cell>
          <cell r="N757">
            <v>1</v>
          </cell>
          <cell r="O757">
            <v>1</v>
          </cell>
          <cell r="P757">
            <v>1</v>
          </cell>
          <cell r="Q757">
            <v>1</v>
          </cell>
          <cell r="R757">
            <v>3</v>
          </cell>
          <cell r="S757" t="str">
            <v>polygon</v>
          </cell>
          <cell r="T757">
            <v>1</v>
          </cell>
          <cell r="U757" t="str">
            <v>NULL</v>
          </cell>
          <cell r="V757" t="str">
            <v>NULL</v>
          </cell>
          <cell r="W757" t="str">
            <v/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 t="str">
            <v>anytime</v>
          </cell>
          <cell r="AC757">
            <v>17</v>
          </cell>
          <cell r="AD757">
            <v>6</v>
          </cell>
          <cell r="AE757" t="str">
            <v>everyone</v>
          </cell>
        </row>
        <row r="758">
          <cell r="A758" t="str">
            <v>40030_2</v>
          </cell>
          <cell r="B758">
            <v>3</v>
          </cell>
          <cell r="C758">
            <v>40030</v>
          </cell>
          <cell r="D758" t="str">
            <v>エリス襲来！</v>
          </cell>
          <cell r="E758" t="str">
            <v>降臨30</v>
          </cell>
          <cell r="F758">
            <v>2</v>
          </cell>
          <cell r="G758" t="str">
            <v>ja</v>
          </cell>
          <cell r="H758" t="str">
            <v>【ウィザード級】エリス襲来</v>
          </cell>
          <cell r="I758" t="str">
            <v>地獄級</v>
          </cell>
          <cell r="J758">
            <v>888</v>
          </cell>
          <cell r="K758">
            <v>40</v>
          </cell>
          <cell r="L758">
            <v>4500</v>
          </cell>
          <cell r="M758">
            <v>1</v>
          </cell>
          <cell r="N758">
            <v>1</v>
          </cell>
          <cell r="O758">
            <v>1</v>
          </cell>
          <cell r="P758">
            <v>1</v>
          </cell>
          <cell r="Q758">
            <v>1</v>
          </cell>
          <cell r="R758">
            <v>3</v>
          </cell>
          <cell r="S758" t="str">
            <v>polygon</v>
          </cell>
          <cell r="T758">
            <v>1</v>
          </cell>
          <cell r="U758" t="str">
            <v>NULL</v>
          </cell>
          <cell r="V758" t="str">
            <v>NULL</v>
          </cell>
          <cell r="W758" t="str">
            <v/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 t="str">
            <v>anytime</v>
          </cell>
          <cell r="AC758">
            <v>17</v>
          </cell>
          <cell r="AD758">
            <v>6</v>
          </cell>
          <cell r="AE758" t="str">
            <v>everyone</v>
          </cell>
        </row>
        <row r="759">
          <cell r="A759" t="str">
            <v>40031_1</v>
          </cell>
          <cell r="B759">
            <v>3</v>
          </cell>
          <cell r="C759">
            <v>40031</v>
          </cell>
          <cell r="D759" t="str">
            <v>董卓襲来！</v>
          </cell>
          <cell r="E759" t="str">
            <v>降臨31</v>
          </cell>
          <cell r="F759">
            <v>1</v>
          </cell>
          <cell r="G759" t="str">
            <v>ja</v>
          </cell>
          <cell r="H759" t="str">
            <v>【超絶級】董卓襲来</v>
          </cell>
          <cell r="I759" t="str">
            <v>超絶級</v>
          </cell>
          <cell r="J759">
            <v>1131</v>
          </cell>
          <cell r="K759">
            <v>35</v>
          </cell>
          <cell r="L759">
            <v>4200</v>
          </cell>
          <cell r="M759">
            <v>1</v>
          </cell>
          <cell r="N759">
            <v>1</v>
          </cell>
          <cell r="O759">
            <v>1</v>
          </cell>
          <cell r="P759">
            <v>1</v>
          </cell>
          <cell r="Q759">
            <v>1</v>
          </cell>
          <cell r="R759">
            <v>3</v>
          </cell>
          <cell r="S759" t="str">
            <v>polygon</v>
          </cell>
          <cell r="T759">
            <v>1</v>
          </cell>
          <cell r="U759" t="str">
            <v>NULL</v>
          </cell>
          <cell r="V759" t="str">
            <v>NULL</v>
          </cell>
          <cell r="W759" t="str">
            <v/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 t="str">
            <v>anytime</v>
          </cell>
          <cell r="AC759">
            <v>949</v>
          </cell>
          <cell r="AD759">
            <v>6</v>
          </cell>
          <cell r="AE759" t="str">
            <v>everyone</v>
          </cell>
        </row>
        <row r="760">
          <cell r="A760" t="str">
            <v>40031_2</v>
          </cell>
          <cell r="B760">
            <v>3</v>
          </cell>
          <cell r="C760">
            <v>40031</v>
          </cell>
          <cell r="D760" t="str">
            <v>董卓襲来！</v>
          </cell>
          <cell r="E760" t="str">
            <v>降臨31</v>
          </cell>
          <cell r="F760">
            <v>2</v>
          </cell>
          <cell r="G760" t="str">
            <v>ja</v>
          </cell>
          <cell r="H760" t="str">
            <v>【ウィザード級】董卓襲来</v>
          </cell>
          <cell r="I760" t="str">
            <v>地獄級</v>
          </cell>
          <cell r="J760">
            <v>1132</v>
          </cell>
          <cell r="K760">
            <v>40</v>
          </cell>
          <cell r="L760">
            <v>4500</v>
          </cell>
          <cell r="M760">
            <v>1</v>
          </cell>
          <cell r="N760">
            <v>1</v>
          </cell>
          <cell r="O760">
            <v>1</v>
          </cell>
          <cell r="P760">
            <v>1</v>
          </cell>
          <cell r="Q760">
            <v>1</v>
          </cell>
          <cell r="R760">
            <v>3</v>
          </cell>
          <cell r="S760" t="str">
            <v>polygon</v>
          </cell>
          <cell r="T760">
            <v>1</v>
          </cell>
          <cell r="U760" t="str">
            <v>NULL</v>
          </cell>
          <cell r="V760" t="str">
            <v>NULL</v>
          </cell>
          <cell r="W760" t="str">
            <v/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 t="str">
            <v>anytime</v>
          </cell>
          <cell r="AC760">
            <v>949</v>
          </cell>
          <cell r="AD760">
            <v>6</v>
          </cell>
          <cell r="AE760" t="str">
            <v>everyone</v>
          </cell>
        </row>
        <row r="761">
          <cell r="A761" t="str">
            <v>40032_1</v>
          </cell>
          <cell r="B761">
            <v>3</v>
          </cell>
          <cell r="C761">
            <v>40032</v>
          </cell>
          <cell r="D761" t="str">
            <v>貂蝉襲来！</v>
          </cell>
          <cell r="E761" t="str">
            <v>降臨32</v>
          </cell>
          <cell r="F761">
            <v>1</v>
          </cell>
          <cell r="G761" t="str">
            <v>ja</v>
          </cell>
          <cell r="H761" t="str">
            <v>【超絶級】貂蝉襲来</v>
          </cell>
          <cell r="I761" t="str">
            <v>超絶級</v>
          </cell>
          <cell r="J761">
            <v>1133</v>
          </cell>
          <cell r="K761">
            <v>35</v>
          </cell>
          <cell r="L761">
            <v>4200</v>
          </cell>
          <cell r="M761">
            <v>1</v>
          </cell>
          <cell r="N761">
            <v>1</v>
          </cell>
          <cell r="O761">
            <v>1</v>
          </cell>
          <cell r="P761">
            <v>1</v>
          </cell>
          <cell r="Q761">
            <v>1</v>
          </cell>
          <cell r="R761">
            <v>3</v>
          </cell>
          <cell r="S761" t="str">
            <v>polygon</v>
          </cell>
          <cell r="T761">
            <v>1</v>
          </cell>
          <cell r="U761" t="str">
            <v>NULL</v>
          </cell>
          <cell r="V761" t="str">
            <v>NULL</v>
          </cell>
          <cell r="W761" t="str">
            <v/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 t="str">
            <v>anytime</v>
          </cell>
          <cell r="AC761">
            <v>949</v>
          </cell>
          <cell r="AD761">
            <v>6</v>
          </cell>
          <cell r="AE761" t="str">
            <v>everyone</v>
          </cell>
        </row>
        <row r="762">
          <cell r="A762" t="str">
            <v>40032_2</v>
          </cell>
          <cell r="B762">
            <v>3</v>
          </cell>
          <cell r="C762">
            <v>40032</v>
          </cell>
          <cell r="D762" t="str">
            <v>貂蝉襲来！</v>
          </cell>
          <cell r="E762" t="str">
            <v>降臨32</v>
          </cell>
          <cell r="F762">
            <v>2</v>
          </cell>
          <cell r="G762" t="str">
            <v>ja</v>
          </cell>
          <cell r="H762" t="str">
            <v>【ウィザード級】貂蝉襲来</v>
          </cell>
          <cell r="I762" t="str">
            <v>地獄級</v>
          </cell>
          <cell r="J762">
            <v>1134</v>
          </cell>
          <cell r="K762">
            <v>40</v>
          </cell>
          <cell r="L762">
            <v>4500</v>
          </cell>
          <cell r="M762">
            <v>1</v>
          </cell>
          <cell r="N762">
            <v>1</v>
          </cell>
          <cell r="O762">
            <v>1</v>
          </cell>
          <cell r="P762">
            <v>1</v>
          </cell>
          <cell r="Q762">
            <v>1</v>
          </cell>
          <cell r="R762">
            <v>3</v>
          </cell>
          <cell r="S762" t="str">
            <v>polygon</v>
          </cell>
          <cell r="T762">
            <v>1</v>
          </cell>
          <cell r="U762" t="str">
            <v>NULL</v>
          </cell>
          <cell r="V762" t="str">
            <v>NULL</v>
          </cell>
          <cell r="W762" t="str">
            <v/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 t="str">
            <v>anytime</v>
          </cell>
          <cell r="AC762">
            <v>949</v>
          </cell>
          <cell r="AD762">
            <v>6</v>
          </cell>
          <cell r="AE762" t="str">
            <v>everyone</v>
          </cell>
        </row>
        <row r="763">
          <cell r="A763" t="str">
            <v>40033_1</v>
          </cell>
          <cell r="B763">
            <v>3</v>
          </cell>
          <cell r="C763">
            <v>40033</v>
          </cell>
          <cell r="D763" t="str">
            <v>アテナ襲来！</v>
          </cell>
          <cell r="E763" t="str">
            <v>降臨33</v>
          </cell>
          <cell r="F763">
            <v>1</v>
          </cell>
          <cell r="G763" t="str">
            <v>ja</v>
          </cell>
          <cell r="H763" t="str">
            <v>【超絶級】アテナ襲来</v>
          </cell>
          <cell r="I763" t="str">
            <v>超絶級</v>
          </cell>
          <cell r="J763">
            <v>893</v>
          </cell>
          <cell r="K763">
            <v>35</v>
          </cell>
          <cell r="L763">
            <v>4200</v>
          </cell>
          <cell r="M763">
            <v>1</v>
          </cell>
          <cell r="N763">
            <v>1</v>
          </cell>
          <cell r="O763">
            <v>1</v>
          </cell>
          <cell r="P763">
            <v>1</v>
          </cell>
          <cell r="Q763">
            <v>1</v>
          </cell>
          <cell r="R763">
            <v>3</v>
          </cell>
          <cell r="S763" t="str">
            <v>polygon</v>
          </cell>
          <cell r="T763">
            <v>1</v>
          </cell>
          <cell r="U763" t="str">
            <v>NULL</v>
          </cell>
          <cell r="V763" t="str">
            <v>NULL</v>
          </cell>
          <cell r="W763" t="str">
            <v/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 t="str">
            <v>anytime</v>
          </cell>
          <cell r="AC763">
            <v>13</v>
          </cell>
          <cell r="AD763">
            <v>6</v>
          </cell>
          <cell r="AE763" t="str">
            <v>everyone</v>
          </cell>
        </row>
        <row r="764">
          <cell r="A764" t="str">
            <v>40033_2</v>
          </cell>
          <cell r="B764">
            <v>3</v>
          </cell>
          <cell r="C764">
            <v>40033</v>
          </cell>
          <cell r="D764" t="str">
            <v>アテナ襲来！</v>
          </cell>
          <cell r="E764" t="str">
            <v>降臨33</v>
          </cell>
          <cell r="F764">
            <v>2</v>
          </cell>
          <cell r="G764" t="str">
            <v>ja</v>
          </cell>
          <cell r="H764" t="str">
            <v>【ウィザード級】アテナ襲来</v>
          </cell>
          <cell r="I764" t="str">
            <v>地獄級</v>
          </cell>
          <cell r="J764">
            <v>894</v>
          </cell>
          <cell r="K764">
            <v>40</v>
          </cell>
          <cell r="L764">
            <v>4500</v>
          </cell>
          <cell r="M764">
            <v>1</v>
          </cell>
          <cell r="N764">
            <v>1</v>
          </cell>
          <cell r="O764">
            <v>1</v>
          </cell>
          <cell r="P764">
            <v>1</v>
          </cell>
          <cell r="Q764">
            <v>1</v>
          </cell>
          <cell r="R764">
            <v>3</v>
          </cell>
          <cell r="S764" t="str">
            <v>polygon</v>
          </cell>
          <cell r="T764">
            <v>1</v>
          </cell>
          <cell r="U764" t="str">
            <v>NULL</v>
          </cell>
          <cell r="V764" t="str">
            <v>NULL</v>
          </cell>
          <cell r="W764" t="str">
            <v/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 t="str">
            <v>anytime</v>
          </cell>
          <cell r="AC764">
            <v>13</v>
          </cell>
          <cell r="AD764">
            <v>6</v>
          </cell>
          <cell r="AE764" t="str">
            <v>everyone</v>
          </cell>
        </row>
        <row r="765">
          <cell r="A765" t="str">
            <v>40034_1</v>
          </cell>
          <cell r="B765">
            <v>3</v>
          </cell>
          <cell r="C765">
            <v>40034</v>
          </cell>
          <cell r="D765" t="str">
            <v>カーリー襲来！</v>
          </cell>
          <cell r="E765" t="str">
            <v>降臨34</v>
          </cell>
          <cell r="F765">
            <v>1</v>
          </cell>
          <cell r="G765" t="str">
            <v>ja</v>
          </cell>
          <cell r="H765" t="str">
            <v>【超絶級】カーリー襲来</v>
          </cell>
          <cell r="I765" t="str">
            <v>超絶級</v>
          </cell>
          <cell r="J765">
            <v>1148</v>
          </cell>
          <cell r="K765">
            <v>35</v>
          </cell>
          <cell r="L765">
            <v>4200</v>
          </cell>
          <cell r="M765">
            <v>1</v>
          </cell>
          <cell r="N765">
            <v>1</v>
          </cell>
          <cell r="O765">
            <v>1</v>
          </cell>
          <cell r="P765">
            <v>1</v>
          </cell>
          <cell r="Q765">
            <v>1</v>
          </cell>
          <cell r="R765">
            <v>3</v>
          </cell>
          <cell r="S765" t="str">
            <v>polygon</v>
          </cell>
          <cell r="T765">
            <v>1</v>
          </cell>
          <cell r="U765" t="str">
            <v>NULL</v>
          </cell>
          <cell r="V765" t="str">
            <v>NULL</v>
          </cell>
          <cell r="W765" t="str">
            <v/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 t="str">
            <v>anytime</v>
          </cell>
          <cell r="AC765">
            <v>951</v>
          </cell>
          <cell r="AD765">
            <v>6</v>
          </cell>
          <cell r="AE765" t="str">
            <v>everyone</v>
          </cell>
        </row>
        <row r="766">
          <cell r="A766" t="str">
            <v>40034_2</v>
          </cell>
          <cell r="B766">
            <v>3</v>
          </cell>
          <cell r="C766">
            <v>40034</v>
          </cell>
          <cell r="D766" t="str">
            <v>カーリー襲来！</v>
          </cell>
          <cell r="E766" t="str">
            <v>降臨34</v>
          </cell>
          <cell r="F766">
            <v>2</v>
          </cell>
          <cell r="G766" t="str">
            <v>ja</v>
          </cell>
          <cell r="H766" t="str">
            <v>【ウィザード級】カーリー襲来</v>
          </cell>
          <cell r="I766" t="str">
            <v>地獄級</v>
          </cell>
          <cell r="J766">
            <v>1148</v>
          </cell>
          <cell r="K766">
            <v>40</v>
          </cell>
          <cell r="L766">
            <v>4500</v>
          </cell>
          <cell r="M766">
            <v>1</v>
          </cell>
          <cell r="N766">
            <v>1</v>
          </cell>
          <cell r="O766">
            <v>1</v>
          </cell>
          <cell r="P766">
            <v>1</v>
          </cell>
          <cell r="Q766">
            <v>1</v>
          </cell>
          <cell r="R766">
            <v>3</v>
          </cell>
          <cell r="S766" t="str">
            <v>polygon</v>
          </cell>
          <cell r="T766">
            <v>1</v>
          </cell>
          <cell r="U766" t="str">
            <v>NULL</v>
          </cell>
          <cell r="V766" t="str">
            <v>NULL</v>
          </cell>
          <cell r="W766" t="str">
            <v/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 t="str">
            <v>anytime</v>
          </cell>
          <cell r="AC766">
            <v>951</v>
          </cell>
          <cell r="AD766">
            <v>6</v>
          </cell>
          <cell r="AE766" t="str">
            <v>everyone</v>
          </cell>
        </row>
        <row r="767">
          <cell r="A767" t="str">
            <v>40035_1</v>
          </cell>
          <cell r="B767">
            <v>3</v>
          </cell>
          <cell r="C767">
            <v>40035</v>
          </cell>
          <cell r="D767" t="str">
            <v>ブラフマー襲来！</v>
          </cell>
          <cell r="E767" t="str">
            <v>降臨35</v>
          </cell>
          <cell r="F767">
            <v>1</v>
          </cell>
          <cell r="G767" t="str">
            <v>ja</v>
          </cell>
          <cell r="H767" t="str">
            <v>【超絶級】ブラフマー襲来</v>
          </cell>
          <cell r="I767" t="str">
            <v>超絶級</v>
          </cell>
          <cell r="J767">
            <v>1150</v>
          </cell>
          <cell r="K767">
            <v>35</v>
          </cell>
          <cell r="L767">
            <v>4200</v>
          </cell>
          <cell r="M767">
            <v>1</v>
          </cell>
          <cell r="N767">
            <v>1</v>
          </cell>
          <cell r="O767">
            <v>1</v>
          </cell>
          <cell r="P767">
            <v>1</v>
          </cell>
          <cell r="Q767">
            <v>1</v>
          </cell>
          <cell r="R767">
            <v>3</v>
          </cell>
          <cell r="S767" t="str">
            <v>polygon</v>
          </cell>
          <cell r="T767">
            <v>1</v>
          </cell>
          <cell r="U767" t="str">
            <v>NULL</v>
          </cell>
          <cell r="V767" t="str">
            <v>NULL</v>
          </cell>
          <cell r="W767" t="str">
            <v/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 t="str">
            <v>anytime</v>
          </cell>
          <cell r="AC767">
            <v>951</v>
          </cell>
          <cell r="AD767">
            <v>6</v>
          </cell>
          <cell r="AE767" t="str">
            <v>everyone</v>
          </cell>
        </row>
        <row r="768">
          <cell r="A768" t="str">
            <v>40035_2</v>
          </cell>
          <cell r="B768">
            <v>3</v>
          </cell>
          <cell r="C768">
            <v>40035</v>
          </cell>
          <cell r="D768" t="str">
            <v>ブラフマー襲来！</v>
          </cell>
          <cell r="E768" t="str">
            <v>降臨35</v>
          </cell>
          <cell r="F768">
            <v>2</v>
          </cell>
          <cell r="G768" t="str">
            <v>ja</v>
          </cell>
          <cell r="H768" t="str">
            <v>【ウィザード級】ブラフマー襲来</v>
          </cell>
          <cell r="I768" t="str">
            <v>地獄級</v>
          </cell>
          <cell r="J768">
            <v>1150</v>
          </cell>
          <cell r="K768">
            <v>40</v>
          </cell>
          <cell r="L768">
            <v>4500</v>
          </cell>
          <cell r="M768">
            <v>1</v>
          </cell>
          <cell r="N768">
            <v>1</v>
          </cell>
          <cell r="O768">
            <v>1</v>
          </cell>
          <cell r="P768">
            <v>1</v>
          </cell>
          <cell r="Q768">
            <v>1</v>
          </cell>
          <cell r="R768">
            <v>3</v>
          </cell>
          <cell r="S768" t="str">
            <v>polygon</v>
          </cell>
          <cell r="T768">
            <v>1</v>
          </cell>
          <cell r="U768" t="str">
            <v>NULL</v>
          </cell>
          <cell r="V768" t="str">
            <v>NULL</v>
          </cell>
          <cell r="W768" t="str">
            <v/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 t="str">
            <v>anytime</v>
          </cell>
          <cell r="AC768">
            <v>951</v>
          </cell>
          <cell r="AD768">
            <v>6</v>
          </cell>
          <cell r="AE768" t="str">
            <v>everyone</v>
          </cell>
        </row>
        <row r="769">
          <cell r="A769" t="str">
            <v>40036_1</v>
          </cell>
          <cell r="B769">
            <v>3</v>
          </cell>
          <cell r="C769">
            <v>40036</v>
          </cell>
          <cell r="D769" t="str">
            <v>ウラヌス襲来！</v>
          </cell>
          <cell r="E769" t="str">
            <v>降臨36</v>
          </cell>
          <cell r="F769">
            <v>1</v>
          </cell>
          <cell r="G769" t="str">
            <v>ja</v>
          </cell>
          <cell r="H769" t="str">
            <v>【超絶級】ウラヌス襲来</v>
          </cell>
          <cell r="I769" t="str">
            <v>超絶級</v>
          </cell>
          <cell r="J769">
            <v>1203</v>
          </cell>
          <cell r="K769">
            <v>35</v>
          </cell>
          <cell r="L769">
            <v>4200</v>
          </cell>
          <cell r="M769">
            <v>1</v>
          </cell>
          <cell r="N769">
            <v>1</v>
          </cell>
          <cell r="O769">
            <v>1</v>
          </cell>
          <cell r="P769">
            <v>1</v>
          </cell>
          <cell r="Q769">
            <v>1</v>
          </cell>
          <cell r="R769">
            <v>3</v>
          </cell>
          <cell r="S769" t="str">
            <v>polygon</v>
          </cell>
          <cell r="T769">
            <v>1</v>
          </cell>
          <cell r="U769" t="str">
            <v>NULL</v>
          </cell>
          <cell r="V769" t="str">
            <v>NULL</v>
          </cell>
          <cell r="W769" t="str">
            <v/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 t="str">
            <v>anytime</v>
          </cell>
          <cell r="AC769">
            <v>954</v>
          </cell>
          <cell r="AD769">
            <v>6</v>
          </cell>
          <cell r="AE769" t="str">
            <v>everyone</v>
          </cell>
        </row>
        <row r="770">
          <cell r="A770" t="str">
            <v>40036_2</v>
          </cell>
          <cell r="B770">
            <v>3</v>
          </cell>
          <cell r="C770">
            <v>40036</v>
          </cell>
          <cell r="D770" t="str">
            <v>ウラヌス襲来！</v>
          </cell>
          <cell r="E770" t="str">
            <v>降臨36</v>
          </cell>
          <cell r="F770">
            <v>2</v>
          </cell>
          <cell r="G770" t="str">
            <v>ja</v>
          </cell>
          <cell r="H770" t="str">
            <v>【ウィザード級】ウラヌス襲来</v>
          </cell>
          <cell r="I770" t="str">
            <v>地獄級</v>
          </cell>
          <cell r="J770">
            <v>1203</v>
          </cell>
          <cell r="K770">
            <v>40</v>
          </cell>
          <cell r="L770">
            <v>4500</v>
          </cell>
          <cell r="M770">
            <v>1</v>
          </cell>
          <cell r="N770">
            <v>1</v>
          </cell>
          <cell r="O770">
            <v>1</v>
          </cell>
          <cell r="P770">
            <v>1</v>
          </cell>
          <cell r="Q770">
            <v>1</v>
          </cell>
          <cell r="R770">
            <v>3</v>
          </cell>
          <cell r="S770" t="str">
            <v>polygon</v>
          </cell>
          <cell r="T770">
            <v>1</v>
          </cell>
          <cell r="U770" t="str">
            <v>NULL</v>
          </cell>
          <cell r="V770" t="str">
            <v>NULL</v>
          </cell>
          <cell r="W770" t="str">
            <v/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 t="str">
            <v>anytime</v>
          </cell>
          <cell r="AC770">
            <v>954</v>
          </cell>
          <cell r="AD770">
            <v>6</v>
          </cell>
          <cell r="AE770" t="str">
            <v>everyone</v>
          </cell>
        </row>
        <row r="771">
          <cell r="A771" t="str">
            <v>40037_1</v>
          </cell>
          <cell r="B771">
            <v>3</v>
          </cell>
          <cell r="C771">
            <v>40037</v>
          </cell>
          <cell r="D771" t="str">
            <v>デルピュネー襲来！</v>
          </cell>
          <cell r="E771" t="str">
            <v>降臨37</v>
          </cell>
          <cell r="F771">
            <v>1</v>
          </cell>
          <cell r="G771" t="str">
            <v>ja</v>
          </cell>
          <cell r="H771" t="str">
            <v>【超絶級】デルピュネー襲来</v>
          </cell>
          <cell r="I771" t="str">
            <v>超絶級</v>
          </cell>
          <cell r="J771">
            <v>1205</v>
          </cell>
          <cell r="K771">
            <v>35</v>
          </cell>
          <cell r="L771">
            <v>4200</v>
          </cell>
          <cell r="M771">
            <v>1</v>
          </cell>
          <cell r="N771">
            <v>1</v>
          </cell>
          <cell r="O771">
            <v>1</v>
          </cell>
          <cell r="P771">
            <v>1</v>
          </cell>
          <cell r="Q771">
            <v>1</v>
          </cell>
          <cell r="R771">
            <v>3</v>
          </cell>
          <cell r="S771" t="str">
            <v>polygon</v>
          </cell>
          <cell r="T771">
            <v>1</v>
          </cell>
          <cell r="U771" t="str">
            <v>NULL</v>
          </cell>
          <cell r="V771" t="str">
            <v>NULL</v>
          </cell>
          <cell r="W771" t="str">
            <v/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 t="str">
            <v>anytime</v>
          </cell>
          <cell r="AC771">
            <v>954</v>
          </cell>
          <cell r="AD771">
            <v>6</v>
          </cell>
          <cell r="AE771" t="str">
            <v>everyone</v>
          </cell>
        </row>
        <row r="772">
          <cell r="A772" t="str">
            <v>40037_2</v>
          </cell>
          <cell r="B772">
            <v>3</v>
          </cell>
          <cell r="C772">
            <v>40037</v>
          </cell>
          <cell r="D772" t="str">
            <v>デルピュネー襲来！</v>
          </cell>
          <cell r="E772" t="str">
            <v>降臨37</v>
          </cell>
          <cell r="F772">
            <v>2</v>
          </cell>
          <cell r="G772" t="str">
            <v>ja</v>
          </cell>
          <cell r="H772" t="str">
            <v>【ウィザード級】デルピュネー襲来</v>
          </cell>
          <cell r="I772" t="str">
            <v>地獄級</v>
          </cell>
          <cell r="J772">
            <v>1205</v>
          </cell>
          <cell r="K772">
            <v>40</v>
          </cell>
          <cell r="L772">
            <v>4500</v>
          </cell>
          <cell r="M772">
            <v>1</v>
          </cell>
          <cell r="N772">
            <v>1</v>
          </cell>
          <cell r="O772">
            <v>1</v>
          </cell>
          <cell r="P772">
            <v>1</v>
          </cell>
          <cell r="Q772">
            <v>1</v>
          </cell>
          <cell r="R772">
            <v>3</v>
          </cell>
          <cell r="S772" t="str">
            <v>polygon</v>
          </cell>
          <cell r="T772">
            <v>1</v>
          </cell>
          <cell r="U772" t="str">
            <v>NULL</v>
          </cell>
          <cell r="V772" t="str">
            <v>NULL</v>
          </cell>
          <cell r="W772" t="str">
            <v/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 t="str">
            <v>anytime</v>
          </cell>
          <cell r="AC772">
            <v>954</v>
          </cell>
          <cell r="AD772">
            <v>6</v>
          </cell>
          <cell r="AE772" t="str">
            <v>everyone</v>
          </cell>
        </row>
        <row r="773">
          <cell r="A773" t="str">
            <v>40038_1</v>
          </cell>
          <cell r="B773">
            <v>3</v>
          </cell>
          <cell r="C773">
            <v>40038</v>
          </cell>
          <cell r="D773" t="str">
            <v>太宰治襲来！</v>
          </cell>
          <cell r="E773" t="str">
            <v>降臨38</v>
          </cell>
          <cell r="F773">
            <v>1</v>
          </cell>
          <cell r="G773" t="str">
            <v>ja</v>
          </cell>
          <cell r="H773" t="str">
            <v>【超絶級】太宰治襲来</v>
          </cell>
          <cell r="I773" t="str">
            <v>超絶級</v>
          </cell>
          <cell r="J773">
            <v>1218</v>
          </cell>
          <cell r="K773">
            <v>35</v>
          </cell>
          <cell r="L773">
            <v>4200</v>
          </cell>
          <cell r="M773">
            <v>1</v>
          </cell>
          <cell r="N773">
            <v>1</v>
          </cell>
          <cell r="O773">
            <v>1</v>
          </cell>
          <cell r="P773">
            <v>1</v>
          </cell>
          <cell r="Q773">
            <v>0</v>
          </cell>
          <cell r="R773">
            <v>3</v>
          </cell>
          <cell r="S773" t="str">
            <v>polygon</v>
          </cell>
          <cell r="T773">
            <v>1</v>
          </cell>
          <cell r="U773" t="str">
            <v>NULL</v>
          </cell>
          <cell r="V773" t="str">
            <v>NULL</v>
          </cell>
          <cell r="W773" t="str">
            <v/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 t="str">
            <v>anytime</v>
          </cell>
          <cell r="AC773">
            <v>956</v>
          </cell>
          <cell r="AD773">
            <v>6</v>
          </cell>
          <cell r="AE773" t="str">
            <v>everyone</v>
          </cell>
        </row>
        <row r="774">
          <cell r="A774" t="str">
            <v>40038_2</v>
          </cell>
          <cell r="B774">
            <v>3</v>
          </cell>
          <cell r="C774">
            <v>40038</v>
          </cell>
          <cell r="D774" t="str">
            <v>太宰治襲来！</v>
          </cell>
          <cell r="E774" t="str">
            <v>降臨38</v>
          </cell>
          <cell r="F774">
            <v>2</v>
          </cell>
          <cell r="G774" t="str">
            <v>ja</v>
          </cell>
          <cell r="H774" t="str">
            <v>【ウィザード級】太宰治襲来</v>
          </cell>
          <cell r="I774" t="str">
            <v>地獄級</v>
          </cell>
          <cell r="J774">
            <v>1219</v>
          </cell>
          <cell r="K774">
            <v>40</v>
          </cell>
          <cell r="L774">
            <v>4500</v>
          </cell>
          <cell r="M774">
            <v>1</v>
          </cell>
          <cell r="N774">
            <v>1</v>
          </cell>
          <cell r="O774">
            <v>1</v>
          </cell>
          <cell r="P774">
            <v>1</v>
          </cell>
          <cell r="Q774">
            <v>0</v>
          </cell>
          <cell r="R774">
            <v>3</v>
          </cell>
          <cell r="S774" t="str">
            <v>polygon</v>
          </cell>
          <cell r="T774">
            <v>1</v>
          </cell>
          <cell r="U774" t="str">
            <v>NULL</v>
          </cell>
          <cell r="V774" t="str">
            <v>NULL</v>
          </cell>
          <cell r="W774" t="str">
            <v/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 t="str">
            <v>anytime</v>
          </cell>
          <cell r="AC774">
            <v>956</v>
          </cell>
          <cell r="AD774">
            <v>6</v>
          </cell>
          <cell r="AE774" t="str">
            <v>everyone</v>
          </cell>
        </row>
        <row r="775">
          <cell r="A775" t="str">
            <v>40039_1</v>
          </cell>
          <cell r="B775">
            <v>3</v>
          </cell>
          <cell r="C775">
            <v>40039</v>
          </cell>
          <cell r="D775" t="str">
            <v>シェイクスピア襲来！</v>
          </cell>
          <cell r="E775" t="str">
            <v>降臨39</v>
          </cell>
          <cell r="F775">
            <v>1</v>
          </cell>
          <cell r="G775" t="str">
            <v>ja</v>
          </cell>
          <cell r="H775" t="str">
            <v>【超絶級】シェイクスピア襲来</v>
          </cell>
          <cell r="I775" t="str">
            <v>超絶級</v>
          </cell>
          <cell r="J775">
            <v>1220</v>
          </cell>
          <cell r="K775">
            <v>35</v>
          </cell>
          <cell r="L775">
            <v>4200</v>
          </cell>
          <cell r="M775">
            <v>1</v>
          </cell>
          <cell r="N775">
            <v>1</v>
          </cell>
          <cell r="O775">
            <v>1</v>
          </cell>
          <cell r="P775">
            <v>1</v>
          </cell>
          <cell r="Q775">
            <v>1</v>
          </cell>
          <cell r="R775">
            <v>3</v>
          </cell>
          <cell r="S775" t="str">
            <v>polygon</v>
          </cell>
          <cell r="T775">
            <v>1</v>
          </cell>
          <cell r="U775" t="str">
            <v>NULL</v>
          </cell>
          <cell r="V775" t="str">
            <v>NULL</v>
          </cell>
          <cell r="W775" t="str">
            <v/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 t="str">
            <v>anytime</v>
          </cell>
          <cell r="AC775">
            <v>956</v>
          </cell>
          <cell r="AD775">
            <v>6</v>
          </cell>
          <cell r="AE775" t="str">
            <v>everyone</v>
          </cell>
        </row>
        <row r="776">
          <cell r="A776" t="str">
            <v>40039_2</v>
          </cell>
          <cell r="B776">
            <v>3</v>
          </cell>
          <cell r="C776">
            <v>40039</v>
          </cell>
          <cell r="D776" t="str">
            <v>シェイクスピア襲来！</v>
          </cell>
          <cell r="E776" t="str">
            <v>降臨39</v>
          </cell>
          <cell r="F776">
            <v>2</v>
          </cell>
          <cell r="G776" t="str">
            <v>ja</v>
          </cell>
          <cell r="H776" t="str">
            <v>【ウィザード級】シェイクスピア襲来</v>
          </cell>
          <cell r="I776" t="str">
            <v>地獄級</v>
          </cell>
          <cell r="J776">
            <v>1221</v>
          </cell>
          <cell r="K776">
            <v>40</v>
          </cell>
          <cell r="L776">
            <v>4500</v>
          </cell>
          <cell r="M776">
            <v>1</v>
          </cell>
          <cell r="N776">
            <v>1</v>
          </cell>
          <cell r="O776">
            <v>1</v>
          </cell>
          <cell r="P776">
            <v>1</v>
          </cell>
          <cell r="Q776">
            <v>1</v>
          </cell>
          <cell r="R776">
            <v>3</v>
          </cell>
          <cell r="S776" t="str">
            <v>polygon</v>
          </cell>
          <cell r="T776">
            <v>1</v>
          </cell>
          <cell r="U776" t="str">
            <v>NULL</v>
          </cell>
          <cell r="V776" t="str">
            <v>NULL</v>
          </cell>
          <cell r="W776" t="str">
            <v/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 t="str">
            <v>anytime</v>
          </cell>
          <cell r="AC776">
            <v>956</v>
          </cell>
          <cell r="AD776">
            <v>6</v>
          </cell>
          <cell r="AE776" t="str">
            <v>everyone</v>
          </cell>
        </row>
        <row r="777">
          <cell r="A777" t="str">
            <v>40040_1</v>
          </cell>
          <cell r="B777">
            <v>3</v>
          </cell>
          <cell r="C777">
            <v>40040</v>
          </cell>
          <cell r="D777" t="str">
            <v>竹中半兵衛襲来！</v>
          </cell>
          <cell r="E777" t="str">
            <v>降臨40</v>
          </cell>
          <cell r="F777">
            <v>1</v>
          </cell>
          <cell r="G777" t="str">
            <v>ja</v>
          </cell>
          <cell r="H777" t="str">
            <v>【超絶級】竹中半兵衛襲来</v>
          </cell>
          <cell r="I777" t="str">
            <v>超絶級</v>
          </cell>
          <cell r="J777">
            <v>1241</v>
          </cell>
          <cell r="K777">
            <v>35</v>
          </cell>
          <cell r="L777">
            <v>4200</v>
          </cell>
          <cell r="M777">
            <v>1</v>
          </cell>
          <cell r="N777">
            <v>1</v>
          </cell>
          <cell r="O777">
            <v>1</v>
          </cell>
          <cell r="P777">
            <v>1</v>
          </cell>
          <cell r="Q777">
            <v>1</v>
          </cell>
          <cell r="R777">
            <v>3</v>
          </cell>
          <cell r="S777" t="str">
            <v>polygon</v>
          </cell>
          <cell r="T777">
            <v>1</v>
          </cell>
          <cell r="U777" t="str">
            <v>NULL</v>
          </cell>
          <cell r="V777" t="str">
            <v>NULL</v>
          </cell>
          <cell r="W777" t="str">
            <v/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 t="str">
            <v>anytime</v>
          </cell>
          <cell r="AC777">
            <v>958</v>
          </cell>
          <cell r="AD777">
            <v>6</v>
          </cell>
          <cell r="AE777" t="str">
            <v>everyone</v>
          </cell>
        </row>
        <row r="778">
          <cell r="A778" t="str">
            <v>40040_2</v>
          </cell>
          <cell r="B778">
            <v>3</v>
          </cell>
          <cell r="C778">
            <v>40040</v>
          </cell>
          <cell r="D778" t="str">
            <v>竹中半兵衛襲来！</v>
          </cell>
          <cell r="E778" t="str">
            <v>降臨40</v>
          </cell>
          <cell r="F778">
            <v>2</v>
          </cell>
          <cell r="G778" t="str">
            <v>ja</v>
          </cell>
          <cell r="H778" t="str">
            <v>【ウィザード級】竹中半兵衛襲来</v>
          </cell>
          <cell r="I778" t="str">
            <v>地獄級</v>
          </cell>
          <cell r="J778">
            <v>1241</v>
          </cell>
          <cell r="K778">
            <v>40</v>
          </cell>
          <cell r="L778">
            <v>4500</v>
          </cell>
          <cell r="M778">
            <v>1</v>
          </cell>
          <cell r="N778">
            <v>1</v>
          </cell>
          <cell r="O778">
            <v>1</v>
          </cell>
          <cell r="P778">
            <v>1</v>
          </cell>
          <cell r="Q778">
            <v>1</v>
          </cell>
          <cell r="R778">
            <v>3</v>
          </cell>
          <cell r="S778" t="str">
            <v>polygon</v>
          </cell>
          <cell r="T778">
            <v>1</v>
          </cell>
          <cell r="U778" t="str">
            <v>NULL</v>
          </cell>
          <cell r="V778" t="str">
            <v>NULL</v>
          </cell>
          <cell r="W778" t="str">
            <v/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 t="str">
            <v>anytime</v>
          </cell>
          <cell r="AC778">
            <v>958</v>
          </cell>
          <cell r="AD778">
            <v>6</v>
          </cell>
          <cell r="AE778" t="str">
            <v>everyone</v>
          </cell>
        </row>
        <row r="779">
          <cell r="A779" t="str">
            <v>40041_1</v>
          </cell>
          <cell r="B779">
            <v>3</v>
          </cell>
          <cell r="C779">
            <v>40041</v>
          </cell>
          <cell r="D779" t="str">
            <v>ポーラとダニー襲来！</v>
          </cell>
          <cell r="E779" t="str">
            <v>降臨41</v>
          </cell>
          <cell r="F779">
            <v>1</v>
          </cell>
          <cell r="G779" t="str">
            <v>ja</v>
          </cell>
          <cell r="H779" t="str">
            <v>【超絶級】ポーラとダニー襲来！</v>
          </cell>
          <cell r="I779" t="str">
            <v>地獄級</v>
          </cell>
          <cell r="J779">
            <v>1283</v>
          </cell>
          <cell r="K779">
            <v>35</v>
          </cell>
          <cell r="L779">
            <v>4200</v>
          </cell>
          <cell r="M779">
            <v>1</v>
          </cell>
          <cell r="N779">
            <v>1</v>
          </cell>
          <cell r="O779">
            <v>1</v>
          </cell>
          <cell r="P779">
            <v>1</v>
          </cell>
          <cell r="Q779">
            <v>1</v>
          </cell>
          <cell r="R779">
            <v>3</v>
          </cell>
          <cell r="S779" t="str">
            <v>polygon</v>
          </cell>
          <cell r="T779">
            <v>1</v>
          </cell>
          <cell r="U779" t="str">
            <v>NULL</v>
          </cell>
          <cell r="V779" t="str">
            <v>NULL</v>
          </cell>
          <cell r="W779" t="str">
            <v/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 t="str">
            <v>anytime</v>
          </cell>
          <cell r="AC779">
            <v>962</v>
          </cell>
          <cell r="AD779">
            <v>6</v>
          </cell>
          <cell r="AE779" t="str">
            <v>everyone</v>
          </cell>
        </row>
        <row r="780">
          <cell r="A780" t="str">
            <v>40041_2</v>
          </cell>
          <cell r="B780">
            <v>3</v>
          </cell>
          <cell r="C780">
            <v>40041</v>
          </cell>
          <cell r="D780" t="str">
            <v>ポーラとダニー襲来！</v>
          </cell>
          <cell r="E780" t="str">
            <v>降臨41</v>
          </cell>
          <cell r="F780">
            <v>2</v>
          </cell>
          <cell r="G780" t="str">
            <v>ja</v>
          </cell>
          <cell r="H780" t="str">
            <v>【ｳｨｻﾞ】ポーラとダニー襲来！</v>
          </cell>
          <cell r="I780" t="str">
            <v>地獄級</v>
          </cell>
          <cell r="J780">
            <v>1283</v>
          </cell>
          <cell r="K780">
            <v>40</v>
          </cell>
          <cell r="L780">
            <v>4500</v>
          </cell>
          <cell r="M780">
            <v>1</v>
          </cell>
          <cell r="N780">
            <v>1</v>
          </cell>
          <cell r="O780">
            <v>1</v>
          </cell>
          <cell r="P780">
            <v>1</v>
          </cell>
          <cell r="Q780">
            <v>1</v>
          </cell>
          <cell r="R780">
            <v>3</v>
          </cell>
          <cell r="S780" t="str">
            <v>polygon</v>
          </cell>
          <cell r="T780">
            <v>1</v>
          </cell>
          <cell r="U780" t="str">
            <v>NULL</v>
          </cell>
          <cell r="V780" t="str">
            <v>NULL</v>
          </cell>
          <cell r="W780" t="str">
            <v/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 t="str">
            <v>anytime</v>
          </cell>
          <cell r="AC780">
            <v>962</v>
          </cell>
          <cell r="AD780">
            <v>6</v>
          </cell>
          <cell r="AE780" t="str">
            <v>everyone</v>
          </cell>
        </row>
        <row r="781">
          <cell r="A781" t="str">
            <v>40042_1</v>
          </cell>
          <cell r="B781">
            <v>3</v>
          </cell>
          <cell r="C781">
            <v>40042</v>
          </cell>
          <cell r="D781" t="str">
            <v>ヘル襲来！</v>
          </cell>
          <cell r="E781" t="str">
            <v>降臨42</v>
          </cell>
          <cell r="F781">
            <v>1</v>
          </cell>
          <cell r="G781" t="str">
            <v>ja</v>
          </cell>
          <cell r="H781" t="str">
            <v>【超絶級】ヘル襲来</v>
          </cell>
          <cell r="I781" t="str">
            <v>超絶級</v>
          </cell>
          <cell r="J781">
            <v>1257</v>
          </cell>
          <cell r="K781">
            <v>35</v>
          </cell>
          <cell r="L781">
            <v>4200</v>
          </cell>
          <cell r="M781">
            <v>1</v>
          </cell>
          <cell r="N781">
            <v>1</v>
          </cell>
          <cell r="O781">
            <v>1</v>
          </cell>
          <cell r="P781">
            <v>1</v>
          </cell>
          <cell r="Q781">
            <v>1</v>
          </cell>
          <cell r="R781">
            <v>3</v>
          </cell>
          <cell r="S781" t="str">
            <v>polygon</v>
          </cell>
          <cell r="T781">
            <v>1</v>
          </cell>
          <cell r="U781" t="str">
            <v>NULL</v>
          </cell>
          <cell r="V781" t="str">
            <v>NULL</v>
          </cell>
          <cell r="W781" t="str">
            <v/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 t="str">
            <v>anytime</v>
          </cell>
          <cell r="AC781">
            <v>960</v>
          </cell>
          <cell r="AD781">
            <v>6</v>
          </cell>
          <cell r="AE781" t="str">
            <v>everyone</v>
          </cell>
        </row>
        <row r="782">
          <cell r="A782" t="str">
            <v>40042_2</v>
          </cell>
          <cell r="B782">
            <v>3</v>
          </cell>
          <cell r="C782">
            <v>40042</v>
          </cell>
          <cell r="D782" t="str">
            <v>ヘル襲来！</v>
          </cell>
          <cell r="E782" t="str">
            <v>降臨42</v>
          </cell>
          <cell r="F782">
            <v>2</v>
          </cell>
          <cell r="G782" t="str">
            <v>ja</v>
          </cell>
          <cell r="H782" t="str">
            <v>【ウィザード級】ヘル襲来</v>
          </cell>
          <cell r="I782" t="str">
            <v>地獄級</v>
          </cell>
          <cell r="J782">
            <v>1257</v>
          </cell>
          <cell r="K782">
            <v>40</v>
          </cell>
          <cell r="L782">
            <v>4500</v>
          </cell>
          <cell r="M782">
            <v>1</v>
          </cell>
          <cell r="N782">
            <v>1</v>
          </cell>
          <cell r="O782">
            <v>1</v>
          </cell>
          <cell r="P782">
            <v>1</v>
          </cell>
          <cell r="Q782">
            <v>1</v>
          </cell>
          <cell r="R782">
            <v>3</v>
          </cell>
          <cell r="S782" t="str">
            <v>polygon</v>
          </cell>
          <cell r="T782">
            <v>1</v>
          </cell>
          <cell r="U782" t="str">
            <v>NULL</v>
          </cell>
          <cell r="V782" t="str">
            <v>NULL</v>
          </cell>
          <cell r="W782" t="str">
            <v/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 t="str">
            <v>anytime</v>
          </cell>
          <cell r="AC782">
            <v>960</v>
          </cell>
          <cell r="AD782">
            <v>6</v>
          </cell>
          <cell r="AE782" t="str">
            <v>everyone</v>
          </cell>
        </row>
        <row r="783">
          <cell r="A783" t="str">
            <v>40043_1</v>
          </cell>
          <cell r="B783">
            <v>3</v>
          </cell>
          <cell r="C783">
            <v>40043</v>
          </cell>
          <cell r="D783" t="str">
            <v>ワカヒルメ襲来！</v>
          </cell>
          <cell r="E783" t="str">
            <v>降臨43</v>
          </cell>
          <cell r="F783">
            <v>1</v>
          </cell>
          <cell r="G783" t="str">
            <v>ja</v>
          </cell>
          <cell r="H783" t="str">
            <v>【超絶級】ワカヒルメ襲来</v>
          </cell>
          <cell r="I783" t="str">
            <v>超絶級</v>
          </cell>
          <cell r="J783">
            <v>1327</v>
          </cell>
          <cell r="K783">
            <v>35</v>
          </cell>
          <cell r="L783">
            <v>4200</v>
          </cell>
          <cell r="M783">
            <v>1</v>
          </cell>
          <cell r="N783">
            <v>1</v>
          </cell>
          <cell r="O783">
            <v>1</v>
          </cell>
          <cell r="P783">
            <v>1</v>
          </cell>
          <cell r="Q783">
            <v>1</v>
          </cell>
          <cell r="R783">
            <v>3</v>
          </cell>
          <cell r="S783" t="str">
            <v>polygon</v>
          </cell>
          <cell r="T783">
            <v>1</v>
          </cell>
          <cell r="U783" t="str">
            <v>NULL</v>
          </cell>
          <cell r="V783" t="str">
            <v>NULL</v>
          </cell>
          <cell r="W783" t="str">
            <v/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 t="str">
            <v>anytime</v>
          </cell>
          <cell r="AC783">
            <v>966</v>
          </cell>
          <cell r="AD783">
            <v>6</v>
          </cell>
          <cell r="AE783" t="str">
            <v>everyone</v>
          </cell>
        </row>
        <row r="784">
          <cell r="A784" t="str">
            <v>40043_2</v>
          </cell>
          <cell r="B784">
            <v>3</v>
          </cell>
          <cell r="C784">
            <v>40043</v>
          </cell>
          <cell r="D784" t="str">
            <v>ワカヒルメ襲来！</v>
          </cell>
          <cell r="E784" t="str">
            <v>降臨43</v>
          </cell>
          <cell r="F784">
            <v>2</v>
          </cell>
          <cell r="G784" t="str">
            <v>ja</v>
          </cell>
          <cell r="H784" t="str">
            <v>【ウィザード級】ワカヒルメ襲来</v>
          </cell>
          <cell r="I784" t="str">
            <v>地獄級</v>
          </cell>
          <cell r="J784">
            <v>1327</v>
          </cell>
          <cell r="K784">
            <v>40</v>
          </cell>
          <cell r="L784">
            <v>4500</v>
          </cell>
          <cell r="M784">
            <v>1</v>
          </cell>
          <cell r="N784">
            <v>1</v>
          </cell>
          <cell r="O784">
            <v>1</v>
          </cell>
          <cell r="P784">
            <v>1</v>
          </cell>
          <cell r="Q784">
            <v>1</v>
          </cell>
          <cell r="R784">
            <v>3</v>
          </cell>
          <cell r="S784" t="str">
            <v>polygon</v>
          </cell>
          <cell r="T784">
            <v>1</v>
          </cell>
          <cell r="U784" t="str">
            <v>NULL</v>
          </cell>
          <cell r="V784" t="str">
            <v>NULL</v>
          </cell>
          <cell r="W784" t="str">
            <v/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 t="str">
            <v>anytime</v>
          </cell>
          <cell r="AC784">
            <v>966</v>
          </cell>
          <cell r="AD784">
            <v>6</v>
          </cell>
          <cell r="AE784" t="str">
            <v>everyone</v>
          </cell>
        </row>
        <row r="785">
          <cell r="A785" t="str">
            <v>41001_1</v>
          </cell>
          <cell r="B785">
            <v>3</v>
          </cell>
          <cell r="C785">
            <v>41001</v>
          </cell>
          <cell r="D785" t="str">
            <v>アマテラス襲来！</v>
          </cell>
          <cell r="E785" t="str">
            <v>降臨1</v>
          </cell>
          <cell r="F785">
            <v>1</v>
          </cell>
          <cell r="G785" t="str">
            <v>ja</v>
          </cell>
          <cell r="H785" t="str">
            <v>【超絶級】アマテラス襲来</v>
          </cell>
          <cell r="I785" t="str">
            <v>超絶級</v>
          </cell>
          <cell r="J785">
            <v>279</v>
          </cell>
          <cell r="K785">
            <v>35</v>
          </cell>
          <cell r="L785">
            <v>4200</v>
          </cell>
          <cell r="M785">
            <v>1</v>
          </cell>
          <cell r="N785">
            <v>1</v>
          </cell>
          <cell r="O785">
            <v>1</v>
          </cell>
          <cell r="P785">
            <v>1</v>
          </cell>
          <cell r="Q785">
            <v>1</v>
          </cell>
          <cell r="R785">
            <v>3</v>
          </cell>
          <cell r="S785" t="str">
            <v>polygon</v>
          </cell>
          <cell r="T785">
            <v>1</v>
          </cell>
          <cell r="U785" t="str">
            <v>NULL</v>
          </cell>
          <cell r="V785" t="str">
            <v>NULL</v>
          </cell>
          <cell r="W785" t="str">
            <v/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 t="str">
            <v>anytime</v>
          </cell>
          <cell r="AC785">
            <v>901</v>
          </cell>
          <cell r="AD785">
            <v>6</v>
          </cell>
          <cell r="AE785" t="str">
            <v>everyone</v>
          </cell>
        </row>
        <row r="786">
          <cell r="A786" t="str">
            <v>41001_2</v>
          </cell>
          <cell r="B786">
            <v>3</v>
          </cell>
          <cell r="C786">
            <v>41001</v>
          </cell>
          <cell r="D786" t="str">
            <v>アマテラス襲来！</v>
          </cell>
          <cell r="E786" t="str">
            <v>降臨1</v>
          </cell>
          <cell r="F786">
            <v>2</v>
          </cell>
          <cell r="G786" t="str">
            <v>ja</v>
          </cell>
          <cell r="H786" t="str">
            <v>【ウィザード級】アマテラス襲来</v>
          </cell>
          <cell r="I786" t="str">
            <v>地獄級</v>
          </cell>
          <cell r="J786">
            <v>810</v>
          </cell>
          <cell r="K786">
            <v>40</v>
          </cell>
          <cell r="L786">
            <v>4500</v>
          </cell>
          <cell r="M786">
            <v>1</v>
          </cell>
          <cell r="N786">
            <v>1</v>
          </cell>
          <cell r="O786">
            <v>1</v>
          </cell>
          <cell r="P786">
            <v>1</v>
          </cell>
          <cell r="Q786">
            <v>1</v>
          </cell>
          <cell r="R786">
            <v>3</v>
          </cell>
          <cell r="S786" t="str">
            <v>polygon</v>
          </cell>
          <cell r="T786">
            <v>1</v>
          </cell>
          <cell r="U786" t="str">
            <v>NULL</v>
          </cell>
          <cell r="V786" t="str">
            <v>NULL</v>
          </cell>
          <cell r="W786" t="str">
            <v/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 t="str">
            <v>anytime</v>
          </cell>
          <cell r="AC786">
            <v>901</v>
          </cell>
          <cell r="AD786">
            <v>6</v>
          </cell>
          <cell r="AE786" t="str">
            <v>everyone</v>
          </cell>
        </row>
        <row r="787">
          <cell r="A787" t="str">
            <v>41001_3</v>
          </cell>
          <cell r="B787">
            <v>1</v>
          </cell>
          <cell r="C787">
            <v>41001</v>
          </cell>
          <cell r="D787" t="str">
            <v>アマテラス襲来！</v>
          </cell>
          <cell r="E787" t="str">
            <v>降臨1</v>
          </cell>
          <cell r="F787">
            <v>3</v>
          </cell>
          <cell r="G787" t="str">
            <v>ja</v>
          </cell>
          <cell r="H787" t="str">
            <v>【ノーコンテニュー】アマテラス襲来</v>
          </cell>
          <cell r="I787" t="str">
            <v>地獄級</v>
          </cell>
          <cell r="J787">
            <v>810</v>
          </cell>
          <cell r="K787">
            <v>40</v>
          </cell>
          <cell r="L787">
            <v>4500</v>
          </cell>
          <cell r="M787">
            <v>1</v>
          </cell>
          <cell r="N787">
            <v>1</v>
          </cell>
          <cell r="O787">
            <v>1</v>
          </cell>
          <cell r="P787">
            <v>1</v>
          </cell>
          <cell r="Q787">
            <v>1</v>
          </cell>
          <cell r="R787">
            <v>3</v>
          </cell>
          <cell r="S787" t="str">
            <v>polygon</v>
          </cell>
          <cell r="T787">
            <v>1</v>
          </cell>
          <cell r="U787" t="str">
            <v>NULL</v>
          </cell>
          <cell r="V787" t="str">
            <v>NULL</v>
          </cell>
          <cell r="W787" t="str">
            <v/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 t="str">
            <v>anytime</v>
          </cell>
          <cell r="AC787">
            <v>901</v>
          </cell>
          <cell r="AD787">
            <v>6</v>
          </cell>
          <cell r="AE787" t="str">
            <v>everyone</v>
          </cell>
        </row>
        <row r="788">
          <cell r="A788" t="str">
            <v>41002_1</v>
          </cell>
          <cell r="B788">
            <v>3</v>
          </cell>
          <cell r="C788">
            <v>41002</v>
          </cell>
          <cell r="D788" t="str">
            <v>アザゼル襲来！</v>
          </cell>
          <cell r="E788" t="str">
            <v>降臨1</v>
          </cell>
          <cell r="F788">
            <v>1</v>
          </cell>
          <cell r="G788" t="str">
            <v>ja</v>
          </cell>
          <cell r="H788" t="str">
            <v>【超絶級】アザゼル襲来</v>
          </cell>
          <cell r="I788" t="str">
            <v>超絶級</v>
          </cell>
          <cell r="J788">
            <v>297</v>
          </cell>
          <cell r="K788">
            <v>35</v>
          </cell>
          <cell r="L788">
            <v>4200</v>
          </cell>
          <cell r="M788">
            <v>1</v>
          </cell>
          <cell r="N788">
            <v>1</v>
          </cell>
          <cell r="O788">
            <v>1</v>
          </cell>
          <cell r="P788">
            <v>1</v>
          </cell>
          <cell r="Q788">
            <v>1</v>
          </cell>
          <cell r="R788">
            <v>3</v>
          </cell>
          <cell r="S788" t="str">
            <v>polygon</v>
          </cell>
          <cell r="T788">
            <v>1</v>
          </cell>
          <cell r="U788" t="str">
            <v>NULL</v>
          </cell>
          <cell r="V788" t="str">
            <v>NULL</v>
          </cell>
          <cell r="W788" t="str">
            <v/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 t="str">
            <v>anytime</v>
          </cell>
          <cell r="AC788">
            <v>902</v>
          </cell>
          <cell r="AD788">
            <v>6</v>
          </cell>
          <cell r="AE788" t="str">
            <v>everyone</v>
          </cell>
        </row>
        <row r="789">
          <cell r="A789" t="str">
            <v>41002_2</v>
          </cell>
          <cell r="B789">
            <v>3</v>
          </cell>
          <cell r="C789">
            <v>41002</v>
          </cell>
          <cell r="D789" t="str">
            <v>アザゼル襲来！</v>
          </cell>
          <cell r="E789" t="str">
            <v>降臨1</v>
          </cell>
          <cell r="F789">
            <v>2</v>
          </cell>
          <cell r="G789" t="str">
            <v>ja</v>
          </cell>
          <cell r="H789" t="str">
            <v>【ウィザード級】アザゼル襲来</v>
          </cell>
          <cell r="I789" t="str">
            <v>地獄級</v>
          </cell>
          <cell r="J789">
            <v>812</v>
          </cell>
          <cell r="K789">
            <v>40</v>
          </cell>
          <cell r="L789">
            <v>4500</v>
          </cell>
          <cell r="M789">
            <v>1</v>
          </cell>
          <cell r="N789">
            <v>1</v>
          </cell>
          <cell r="O789">
            <v>1</v>
          </cell>
          <cell r="P789">
            <v>1</v>
          </cell>
          <cell r="Q789">
            <v>1</v>
          </cell>
          <cell r="R789">
            <v>3</v>
          </cell>
          <cell r="S789" t="str">
            <v>polygon</v>
          </cell>
          <cell r="T789">
            <v>1</v>
          </cell>
          <cell r="U789" t="str">
            <v>NULL</v>
          </cell>
          <cell r="V789" t="str">
            <v>NULL</v>
          </cell>
          <cell r="W789" t="str">
            <v/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 t="str">
            <v>anytime</v>
          </cell>
          <cell r="AC789">
            <v>902</v>
          </cell>
          <cell r="AD789">
            <v>6</v>
          </cell>
          <cell r="AE789" t="str">
            <v>everyone</v>
          </cell>
        </row>
        <row r="790">
          <cell r="A790" t="str">
            <v>41002_3</v>
          </cell>
          <cell r="B790">
            <v>1</v>
          </cell>
          <cell r="C790">
            <v>41002</v>
          </cell>
          <cell r="D790" t="str">
            <v>アザゼル襲来！</v>
          </cell>
          <cell r="E790" t="str">
            <v>降臨1</v>
          </cell>
          <cell r="F790">
            <v>3</v>
          </cell>
          <cell r="G790" t="str">
            <v>ja</v>
          </cell>
          <cell r="H790" t="str">
            <v>【ノーコンテニュー】アザゼル襲来</v>
          </cell>
          <cell r="I790" t="str">
            <v>地獄級</v>
          </cell>
          <cell r="J790">
            <v>812</v>
          </cell>
          <cell r="K790">
            <v>40</v>
          </cell>
          <cell r="L790">
            <v>4500</v>
          </cell>
          <cell r="M790">
            <v>1</v>
          </cell>
          <cell r="N790">
            <v>1</v>
          </cell>
          <cell r="O790">
            <v>1</v>
          </cell>
          <cell r="P790">
            <v>1</v>
          </cell>
          <cell r="Q790">
            <v>1</v>
          </cell>
          <cell r="R790">
            <v>3</v>
          </cell>
          <cell r="S790" t="str">
            <v>polygon</v>
          </cell>
          <cell r="T790">
            <v>1</v>
          </cell>
          <cell r="U790" t="str">
            <v>NULL</v>
          </cell>
          <cell r="V790" t="str">
            <v>NULL</v>
          </cell>
          <cell r="W790" t="str">
            <v/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 t="str">
            <v>anytime</v>
          </cell>
          <cell r="AC790">
            <v>902</v>
          </cell>
          <cell r="AD790">
            <v>6</v>
          </cell>
          <cell r="AE790" t="str">
            <v>everyone</v>
          </cell>
        </row>
        <row r="791">
          <cell r="A791" t="str">
            <v>41003_1</v>
          </cell>
          <cell r="B791">
            <v>3</v>
          </cell>
          <cell r="C791">
            <v>41003</v>
          </cell>
          <cell r="D791" t="str">
            <v>ジャンヌ襲来！</v>
          </cell>
          <cell r="E791" t="str">
            <v>降臨1</v>
          </cell>
          <cell r="F791">
            <v>1</v>
          </cell>
          <cell r="G791" t="str">
            <v>ja</v>
          </cell>
          <cell r="H791" t="str">
            <v>【超絶級】ジャンヌ襲来</v>
          </cell>
          <cell r="I791" t="str">
            <v>超絶級</v>
          </cell>
          <cell r="J791">
            <v>315</v>
          </cell>
          <cell r="K791">
            <v>35</v>
          </cell>
          <cell r="L791">
            <v>4200</v>
          </cell>
          <cell r="M791">
            <v>1</v>
          </cell>
          <cell r="N791">
            <v>1</v>
          </cell>
          <cell r="O791">
            <v>1</v>
          </cell>
          <cell r="P791">
            <v>1</v>
          </cell>
          <cell r="Q791">
            <v>1</v>
          </cell>
          <cell r="R791">
            <v>3</v>
          </cell>
          <cell r="S791" t="str">
            <v>polygon</v>
          </cell>
          <cell r="T791">
            <v>1</v>
          </cell>
          <cell r="U791" t="str">
            <v>NULL</v>
          </cell>
          <cell r="V791" t="str">
            <v>NULL</v>
          </cell>
          <cell r="W791" t="str">
            <v/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 t="str">
            <v>anytime</v>
          </cell>
          <cell r="AC791">
            <v>903</v>
          </cell>
          <cell r="AD791">
            <v>6</v>
          </cell>
          <cell r="AE791" t="str">
            <v>everyone</v>
          </cell>
        </row>
        <row r="792">
          <cell r="A792" t="str">
            <v>41003_2</v>
          </cell>
          <cell r="B792">
            <v>3</v>
          </cell>
          <cell r="C792">
            <v>41003</v>
          </cell>
          <cell r="D792" t="str">
            <v>ジャンヌ襲来！</v>
          </cell>
          <cell r="E792" t="str">
            <v>降臨1</v>
          </cell>
          <cell r="F792">
            <v>2</v>
          </cell>
          <cell r="G792" t="str">
            <v>ja</v>
          </cell>
          <cell r="H792" t="str">
            <v>【ウィザード級】ジャンヌ襲来</v>
          </cell>
          <cell r="I792" t="str">
            <v>地獄級</v>
          </cell>
          <cell r="J792">
            <v>814</v>
          </cell>
          <cell r="K792">
            <v>40</v>
          </cell>
          <cell r="L792">
            <v>4500</v>
          </cell>
          <cell r="M792">
            <v>1</v>
          </cell>
          <cell r="N792">
            <v>1</v>
          </cell>
          <cell r="O792">
            <v>1</v>
          </cell>
          <cell r="P792">
            <v>1</v>
          </cell>
          <cell r="Q792">
            <v>1</v>
          </cell>
          <cell r="R792">
            <v>3</v>
          </cell>
          <cell r="S792" t="str">
            <v>polygon</v>
          </cell>
          <cell r="T792">
            <v>1</v>
          </cell>
          <cell r="U792" t="str">
            <v>NULL</v>
          </cell>
          <cell r="V792" t="str">
            <v>NULL</v>
          </cell>
          <cell r="W792" t="str">
            <v/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 t="str">
            <v>anytime</v>
          </cell>
          <cell r="AC792">
            <v>903</v>
          </cell>
          <cell r="AD792">
            <v>6</v>
          </cell>
          <cell r="AE792" t="str">
            <v>everyone</v>
          </cell>
        </row>
        <row r="793">
          <cell r="A793" t="str">
            <v>41003_3</v>
          </cell>
          <cell r="B793">
            <v>1</v>
          </cell>
          <cell r="C793">
            <v>41003</v>
          </cell>
          <cell r="D793" t="str">
            <v>ジャンヌ襲来！</v>
          </cell>
          <cell r="E793" t="str">
            <v>降臨1</v>
          </cell>
          <cell r="F793">
            <v>3</v>
          </cell>
          <cell r="G793" t="str">
            <v>ja</v>
          </cell>
          <cell r="H793" t="str">
            <v>【ノーコンテニュー】ジャンヌ襲来</v>
          </cell>
          <cell r="I793" t="str">
            <v>地獄級</v>
          </cell>
          <cell r="J793">
            <v>814</v>
          </cell>
          <cell r="K793">
            <v>40</v>
          </cell>
          <cell r="L793">
            <v>4500</v>
          </cell>
          <cell r="M793">
            <v>1</v>
          </cell>
          <cell r="N793">
            <v>1</v>
          </cell>
          <cell r="O793">
            <v>1</v>
          </cell>
          <cell r="P793">
            <v>1</v>
          </cell>
          <cell r="Q793">
            <v>1</v>
          </cell>
          <cell r="R793">
            <v>3</v>
          </cell>
          <cell r="S793" t="str">
            <v>polygon</v>
          </cell>
          <cell r="T793">
            <v>1</v>
          </cell>
          <cell r="U793" t="str">
            <v>NULL</v>
          </cell>
          <cell r="V793" t="str">
            <v>NULL</v>
          </cell>
          <cell r="W793" t="str">
            <v/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 t="str">
            <v>anytime</v>
          </cell>
          <cell r="AC793">
            <v>903</v>
          </cell>
          <cell r="AD793">
            <v>6</v>
          </cell>
          <cell r="AE793" t="str">
            <v>everyone</v>
          </cell>
        </row>
        <row r="794">
          <cell r="A794" t="str">
            <v>41004_1</v>
          </cell>
          <cell r="B794">
            <v>3</v>
          </cell>
          <cell r="C794">
            <v>41004</v>
          </cell>
          <cell r="D794" t="str">
            <v>宮本武蔵襲来！</v>
          </cell>
          <cell r="E794" t="str">
            <v>降臨1</v>
          </cell>
          <cell r="F794">
            <v>1</v>
          </cell>
          <cell r="G794" t="str">
            <v>ja</v>
          </cell>
          <cell r="H794" t="str">
            <v>【超絶級】宮本武蔵襲来</v>
          </cell>
          <cell r="I794" t="str">
            <v>超絶級</v>
          </cell>
          <cell r="J794">
            <v>427</v>
          </cell>
          <cell r="K794">
            <v>35</v>
          </cell>
          <cell r="L794">
            <v>4200</v>
          </cell>
          <cell r="M794">
            <v>1</v>
          </cell>
          <cell r="N794">
            <v>1</v>
          </cell>
          <cell r="O794">
            <v>1</v>
          </cell>
          <cell r="P794">
            <v>1</v>
          </cell>
          <cell r="Q794">
            <v>1</v>
          </cell>
          <cell r="R794">
            <v>3</v>
          </cell>
          <cell r="S794" t="str">
            <v>polygon</v>
          </cell>
          <cell r="T794">
            <v>1</v>
          </cell>
          <cell r="U794" t="str">
            <v>NULL</v>
          </cell>
          <cell r="V794" t="str">
            <v>NULL</v>
          </cell>
          <cell r="W794" t="str">
            <v/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 t="str">
            <v>anytime</v>
          </cell>
          <cell r="AC794">
            <v>904</v>
          </cell>
          <cell r="AD794">
            <v>6</v>
          </cell>
          <cell r="AE794" t="str">
            <v>everyone</v>
          </cell>
        </row>
        <row r="795">
          <cell r="A795" t="str">
            <v>41004_2</v>
          </cell>
          <cell r="B795">
            <v>3</v>
          </cell>
          <cell r="C795">
            <v>41004</v>
          </cell>
          <cell r="D795" t="str">
            <v>宮本武蔵襲来！</v>
          </cell>
          <cell r="E795" t="str">
            <v>降臨1</v>
          </cell>
          <cell r="F795">
            <v>2</v>
          </cell>
          <cell r="G795" t="str">
            <v>ja</v>
          </cell>
          <cell r="H795" t="str">
            <v>【ウィザード級】宮本武蔵襲来</v>
          </cell>
          <cell r="I795" t="str">
            <v>地獄級</v>
          </cell>
          <cell r="J795">
            <v>816</v>
          </cell>
          <cell r="K795">
            <v>40</v>
          </cell>
          <cell r="L795">
            <v>4500</v>
          </cell>
          <cell r="M795">
            <v>1</v>
          </cell>
          <cell r="N795">
            <v>1</v>
          </cell>
          <cell r="O795">
            <v>1</v>
          </cell>
          <cell r="P795">
            <v>1</v>
          </cell>
          <cell r="Q795">
            <v>1</v>
          </cell>
          <cell r="R795">
            <v>3</v>
          </cell>
          <cell r="S795" t="str">
            <v>polygon</v>
          </cell>
          <cell r="T795">
            <v>1</v>
          </cell>
          <cell r="U795" t="str">
            <v>NULL</v>
          </cell>
          <cell r="V795" t="str">
            <v>NULL</v>
          </cell>
          <cell r="W795" t="str">
            <v/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 t="str">
            <v>anytime</v>
          </cell>
          <cell r="AC795">
            <v>904</v>
          </cell>
          <cell r="AD795">
            <v>6</v>
          </cell>
          <cell r="AE795" t="str">
            <v>everyone</v>
          </cell>
        </row>
        <row r="796">
          <cell r="A796" t="str">
            <v>41004_3</v>
          </cell>
          <cell r="B796">
            <v>1</v>
          </cell>
          <cell r="C796">
            <v>41004</v>
          </cell>
          <cell r="D796" t="str">
            <v>宮本武蔵襲来！</v>
          </cell>
          <cell r="E796" t="str">
            <v>降臨1</v>
          </cell>
          <cell r="F796">
            <v>3</v>
          </cell>
          <cell r="G796" t="str">
            <v>ja</v>
          </cell>
          <cell r="H796" t="str">
            <v>【ノーコンテニュー】宮本武蔵襲来</v>
          </cell>
          <cell r="I796" t="str">
            <v>地獄級</v>
          </cell>
          <cell r="J796">
            <v>816</v>
          </cell>
          <cell r="K796">
            <v>40</v>
          </cell>
          <cell r="L796">
            <v>4500</v>
          </cell>
          <cell r="M796">
            <v>1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3</v>
          </cell>
          <cell r="S796" t="str">
            <v>polygon</v>
          </cell>
          <cell r="T796">
            <v>1</v>
          </cell>
          <cell r="U796" t="str">
            <v>NULL</v>
          </cell>
          <cell r="V796" t="str">
            <v>NULL</v>
          </cell>
          <cell r="W796" t="str">
            <v/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 t="str">
            <v>anytime</v>
          </cell>
          <cell r="AC796">
            <v>904</v>
          </cell>
          <cell r="AD796">
            <v>6</v>
          </cell>
          <cell r="AE796" t="str">
            <v>everyone</v>
          </cell>
        </row>
        <row r="797">
          <cell r="A797" t="str">
            <v>41005_1</v>
          </cell>
          <cell r="B797">
            <v>3</v>
          </cell>
          <cell r="C797">
            <v>41005</v>
          </cell>
          <cell r="D797" t="str">
            <v>オズ襲来！</v>
          </cell>
          <cell r="E797" t="str">
            <v>降臨1</v>
          </cell>
          <cell r="F797">
            <v>1</v>
          </cell>
          <cell r="G797" t="str">
            <v>ja</v>
          </cell>
          <cell r="H797" t="str">
            <v>【超絶級】オズ襲来</v>
          </cell>
          <cell r="I797" t="str">
            <v>超絶級</v>
          </cell>
          <cell r="J797">
            <v>461</v>
          </cell>
          <cell r="K797">
            <v>35</v>
          </cell>
          <cell r="L797">
            <v>4200</v>
          </cell>
          <cell r="M797">
            <v>1</v>
          </cell>
          <cell r="N797">
            <v>1</v>
          </cell>
          <cell r="O797">
            <v>1</v>
          </cell>
          <cell r="P797">
            <v>1</v>
          </cell>
          <cell r="Q797">
            <v>1</v>
          </cell>
          <cell r="R797">
            <v>3</v>
          </cell>
          <cell r="S797" t="str">
            <v>polygon</v>
          </cell>
          <cell r="T797">
            <v>1</v>
          </cell>
          <cell r="U797" t="str">
            <v>NULL</v>
          </cell>
          <cell r="V797" t="str">
            <v>NULL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 t="str">
            <v>anytime</v>
          </cell>
          <cell r="AC797">
            <v>906</v>
          </cell>
          <cell r="AD797">
            <v>6</v>
          </cell>
          <cell r="AE797" t="str">
            <v>everyone</v>
          </cell>
        </row>
        <row r="798">
          <cell r="A798" t="str">
            <v>41005_2</v>
          </cell>
          <cell r="B798">
            <v>3</v>
          </cell>
          <cell r="C798">
            <v>41005</v>
          </cell>
          <cell r="D798" t="str">
            <v>オズ襲来！</v>
          </cell>
          <cell r="E798" t="str">
            <v>降臨1</v>
          </cell>
          <cell r="F798">
            <v>2</v>
          </cell>
          <cell r="G798" t="str">
            <v>ja</v>
          </cell>
          <cell r="H798" t="str">
            <v>【ウィザード級】オズ襲来</v>
          </cell>
          <cell r="I798" t="str">
            <v>地獄級</v>
          </cell>
          <cell r="J798">
            <v>818</v>
          </cell>
          <cell r="K798">
            <v>40</v>
          </cell>
          <cell r="L798">
            <v>4500</v>
          </cell>
          <cell r="M798">
            <v>1</v>
          </cell>
          <cell r="N798">
            <v>1</v>
          </cell>
          <cell r="O798">
            <v>1</v>
          </cell>
          <cell r="P798">
            <v>1</v>
          </cell>
          <cell r="Q798">
            <v>1</v>
          </cell>
          <cell r="R798">
            <v>3</v>
          </cell>
          <cell r="S798" t="str">
            <v>polygon</v>
          </cell>
          <cell r="T798">
            <v>1</v>
          </cell>
          <cell r="U798" t="str">
            <v>NULL</v>
          </cell>
          <cell r="V798" t="str">
            <v>NULL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 t="str">
            <v>anytime</v>
          </cell>
          <cell r="AC798">
            <v>906</v>
          </cell>
          <cell r="AD798">
            <v>6</v>
          </cell>
          <cell r="AE798" t="str">
            <v>everyone</v>
          </cell>
        </row>
        <row r="799">
          <cell r="A799" t="str">
            <v>41005_3</v>
          </cell>
          <cell r="B799">
            <v>1</v>
          </cell>
          <cell r="C799">
            <v>41005</v>
          </cell>
          <cell r="D799" t="str">
            <v>オズ襲来！</v>
          </cell>
          <cell r="E799" t="str">
            <v>降臨1</v>
          </cell>
          <cell r="F799">
            <v>3</v>
          </cell>
          <cell r="G799" t="str">
            <v>ja</v>
          </cell>
          <cell r="H799" t="str">
            <v>【ノーコンテニュー】オズ襲来</v>
          </cell>
          <cell r="I799" t="str">
            <v>地獄級</v>
          </cell>
          <cell r="J799">
            <v>818</v>
          </cell>
          <cell r="K799">
            <v>40</v>
          </cell>
          <cell r="L799">
            <v>4500</v>
          </cell>
          <cell r="M799">
            <v>1</v>
          </cell>
          <cell r="N799">
            <v>1</v>
          </cell>
          <cell r="O799">
            <v>1</v>
          </cell>
          <cell r="P799">
            <v>1</v>
          </cell>
          <cell r="Q799">
            <v>1</v>
          </cell>
          <cell r="R799">
            <v>3</v>
          </cell>
          <cell r="S799" t="str">
            <v>polygon</v>
          </cell>
          <cell r="T799">
            <v>1</v>
          </cell>
          <cell r="U799" t="str">
            <v>NULL</v>
          </cell>
          <cell r="V799" t="str">
            <v>NULL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 t="str">
            <v>anytime</v>
          </cell>
          <cell r="AC799">
            <v>906</v>
          </cell>
          <cell r="AD799">
            <v>6</v>
          </cell>
          <cell r="AE799" t="str">
            <v>everyone</v>
          </cell>
        </row>
        <row r="800">
          <cell r="A800" t="str">
            <v>41006_1</v>
          </cell>
          <cell r="B800">
            <v>3</v>
          </cell>
          <cell r="C800">
            <v>41006</v>
          </cell>
          <cell r="D800" t="str">
            <v>アーサー襲来！</v>
          </cell>
          <cell r="E800" t="str">
            <v>降臨1</v>
          </cell>
          <cell r="F800">
            <v>1</v>
          </cell>
          <cell r="G800" t="str">
            <v>ja</v>
          </cell>
          <cell r="H800" t="str">
            <v>【超絶級】アーサー襲来</v>
          </cell>
          <cell r="I800" t="str">
            <v>超絶級</v>
          </cell>
          <cell r="J800">
            <v>473</v>
          </cell>
          <cell r="K800">
            <v>35</v>
          </cell>
          <cell r="L800">
            <v>4200</v>
          </cell>
          <cell r="M800">
            <v>1</v>
          </cell>
          <cell r="N800">
            <v>1</v>
          </cell>
          <cell r="O800">
            <v>1</v>
          </cell>
          <cell r="P800">
            <v>1</v>
          </cell>
          <cell r="Q800">
            <v>1</v>
          </cell>
          <cell r="R800">
            <v>3</v>
          </cell>
          <cell r="S800" t="str">
            <v>polygon</v>
          </cell>
          <cell r="T800">
            <v>1</v>
          </cell>
          <cell r="U800" t="str">
            <v>NULL</v>
          </cell>
          <cell r="V800" t="str">
            <v>NULL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 t="str">
            <v>anytime</v>
          </cell>
          <cell r="AC800">
            <v>907</v>
          </cell>
          <cell r="AD800">
            <v>6</v>
          </cell>
          <cell r="AE800" t="str">
            <v>everyone</v>
          </cell>
        </row>
        <row r="801">
          <cell r="A801" t="str">
            <v>41006_2</v>
          </cell>
          <cell r="B801">
            <v>3</v>
          </cell>
          <cell r="C801">
            <v>41006</v>
          </cell>
          <cell r="D801" t="str">
            <v>アーサー襲来！</v>
          </cell>
          <cell r="E801" t="str">
            <v>降臨1</v>
          </cell>
          <cell r="F801">
            <v>2</v>
          </cell>
          <cell r="G801" t="str">
            <v>ja</v>
          </cell>
          <cell r="H801" t="str">
            <v>【ウィザード級】アーサー襲来</v>
          </cell>
          <cell r="I801" t="str">
            <v>地獄級</v>
          </cell>
          <cell r="J801">
            <v>820</v>
          </cell>
          <cell r="K801">
            <v>40</v>
          </cell>
          <cell r="L801">
            <v>4500</v>
          </cell>
          <cell r="M801">
            <v>1</v>
          </cell>
          <cell r="N801">
            <v>1</v>
          </cell>
          <cell r="O801">
            <v>1</v>
          </cell>
          <cell r="P801">
            <v>1</v>
          </cell>
          <cell r="Q801">
            <v>1</v>
          </cell>
          <cell r="R801">
            <v>3</v>
          </cell>
          <cell r="S801" t="str">
            <v>polygon</v>
          </cell>
          <cell r="T801">
            <v>1</v>
          </cell>
          <cell r="U801" t="str">
            <v>NULL</v>
          </cell>
          <cell r="V801" t="str">
            <v>NULL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 t="str">
            <v>anytime</v>
          </cell>
          <cell r="AC801">
            <v>907</v>
          </cell>
          <cell r="AD801">
            <v>6</v>
          </cell>
          <cell r="AE801" t="str">
            <v>everyone</v>
          </cell>
        </row>
        <row r="802">
          <cell r="A802" t="str">
            <v>41006_3</v>
          </cell>
          <cell r="B802">
            <v>1</v>
          </cell>
          <cell r="C802">
            <v>41006</v>
          </cell>
          <cell r="D802" t="str">
            <v>アーサー襲来！</v>
          </cell>
          <cell r="E802" t="str">
            <v>降臨1</v>
          </cell>
          <cell r="F802">
            <v>3</v>
          </cell>
          <cell r="G802" t="str">
            <v>ja</v>
          </cell>
          <cell r="H802" t="str">
            <v>【ノーコンテニュー】アーサー襲来</v>
          </cell>
          <cell r="I802" t="str">
            <v>地獄級</v>
          </cell>
          <cell r="J802">
            <v>820</v>
          </cell>
          <cell r="K802">
            <v>40</v>
          </cell>
          <cell r="L802">
            <v>4500</v>
          </cell>
          <cell r="M802">
            <v>1</v>
          </cell>
          <cell r="N802">
            <v>1</v>
          </cell>
          <cell r="O802">
            <v>1</v>
          </cell>
          <cell r="P802">
            <v>1</v>
          </cell>
          <cell r="Q802">
            <v>1</v>
          </cell>
          <cell r="R802">
            <v>3</v>
          </cell>
          <cell r="S802" t="str">
            <v>polygon</v>
          </cell>
          <cell r="T802">
            <v>1</v>
          </cell>
          <cell r="U802" t="str">
            <v>NULL</v>
          </cell>
          <cell r="V802" t="str">
            <v>NULL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 t="str">
            <v>anytime</v>
          </cell>
          <cell r="AC802">
            <v>907</v>
          </cell>
          <cell r="AD802">
            <v>6</v>
          </cell>
          <cell r="AE802" t="str">
            <v>everyone</v>
          </cell>
        </row>
        <row r="803">
          <cell r="A803" t="str">
            <v>41007_1</v>
          </cell>
          <cell r="B803">
            <v>3</v>
          </cell>
          <cell r="C803">
            <v>41007</v>
          </cell>
          <cell r="D803" t="str">
            <v>グリム襲来！</v>
          </cell>
          <cell r="E803" t="str">
            <v>降臨1</v>
          </cell>
          <cell r="F803">
            <v>1</v>
          </cell>
          <cell r="G803" t="str">
            <v>ja</v>
          </cell>
          <cell r="H803" t="str">
            <v>【超絶級】グリム襲来</v>
          </cell>
          <cell r="I803" t="str">
            <v>超絶級</v>
          </cell>
          <cell r="J803">
            <v>491</v>
          </cell>
          <cell r="K803">
            <v>35</v>
          </cell>
          <cell r="L803">
            <v>4200</v>
          </cell>
          <cell r="M803">
            <v>1</v>
          </cell>
          <cell r="N803">
            <v>1</v>
          </cell>
          <cell r="O803">
            <v>1</v>
          </cell>
          <cell r="P803">
            <v>1</v>
          </cell>
          <cell r="Q803">
            <v>1</v>
          </cell>
          <cell r="R803">
            <v>3</v>
          </cell>
          <cell r="S803" t="str">
            <v>polygon</v>
          </cell>
          <cell r="T803">
            <v>1</v>
          </cell>
          <cell r="U803" t="str">
            <v>NULL</v>
          </cell>
          <cell r="V803" t="str">
            <v>NULL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 t="str">
            <v>anytime</v>
          </cell>
          <cell r="AC803">
            <v>908</v>
          </cell>
          <cell r="AD803">
            <v>6</v>
          </cell>
          <cell r="AE803" t="str">
            <v>everyone</v>
          </cell>
        </row>
        <row r="804">
          <cell r="A804" t="str">
            <v>41007_2</v>
          </cell>
          <cell r="B804">
            <v>3</v>
          </cell>
          <cell r="C804">
            <v>41007</v>
          </cell>
          <cell r="D804" t="str">
            <v>グリム襲来！</v>
          </cell>
          <cell r="E804" t="str">
            <v>降臨1</v>
          </cell>
          <cell r="F804">
            <v>2</v>
          </cell>
          <cell r="G804" t="str">
            <v>ja</v>
          </cell>
          <cell r="H804" t="str">
            <v>【ウィザード級】グリム襲来</v>
          </cell>
          <cell r="I804" t="str">
            <v>地獄級</v>
          </cell>
          <cell r="J804">
            <v>822</v>
          </cell>
          <cell r="K804">
            <v>40</v>
          </cell>
          <cell r="L804">
            <v>4500</v>
          </cell>
          <cell r="M804">
            <v>1</v>
          </cell>
          <cell r="N804">
            <v>1</v>
          </cell>
          <cell r="O804">
            <v>1</v>
          </cell>
          <cell r="P804">
            <v>1</v>
          </cell>
          <cell r="Q804">
            <v>1</v>
          </cell>
          <cell r="R804">
            <v>3</v>
          </cell>
          <cell r="S804" t="str">
            <v>polygon</v>
          </cell>
          <cell r="T804">
            <v>1</v>
          </cell>
          <cell r="U804" t="str">
            <v>NULL</v>
          </cell>
          <cell r="V804" t="str">
            <v>NULL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 t="str">
            <v>anytime</v>
          </cell>
          <cell r="AC804">
            <v>908</v>
          </cell>
          <cell r="AD804">
            <v>6</v>
          </cell>
          <cell r="AE804" t="str">
            <v>everyone</v>
          </cell>
        </row>
        <row r="805">
          <cell r="A805" t="str">
            <v>41007_3</v>
          </cell>
          <cell r="B805">
            <v>1</v>
          </cell>
          <cell r="C805">
            <v>41007</v>
          </cell>
          <cell r="D805" t="str">
            <v>グリム襲来！</v>
          </cell>
          <cell r="E805" t="str">
            <v>降臨1</v>
          </cell>
          <cell r="F805">
            <v>3</v>
          </cell>
          <cell r="G805" t="str">
            <v>ja</v>
          </cell>
          <cell r="H805" t="str">
            <v>【ノーコンテニュー】グリム襲来</v>
          </cell>
          <cell r="I805" t="str">
            <v>地獄級</v>
          </cell>
          <cell r="J805">
            <v>822</v>
          </cell>
          <cell r="K805">
            <v>40</v>
          </cell>
          <cell r="L805">
            <v>4500</v>
          </cell>
          <cell r="M805">
            <v>1</v>
          </cell>
          <cell r="N805">
            <v>1</v>
          </cell>
          <cell r="O805">
            <v>1</v>
          </cell>
          <cell r="P805">
            <v>1</v>
          </cell>
          <cell r="Q805">
            <v>1</v>
          </cell>
          <cell r="R805">
            <v>3</v>
          </cell>
          <cell r="S805" t="str">
            <v>polygon</v>
          </cell>
          <cell r="T805">
            <v>1</v>
          </cell>
          <cell r="U805" t="str">
            <v>NULL</v>
          </cell>
          <cell r="V805" t="str">
            <v>NULL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 t="str">
            <v>anytime</v>
          </cell>
          <cell r="AC805">
            <v>908</v>
          </cell>
          <cell r="AD805">
            <v>6</v>
          </cell>
          <cell r="AE805" t="str">
            <v>everyone</v>
          </cell>
        </row>
        <row r="806">
          <cell r="A806" t="str">
            <v>41008_1</v>
          </cell>
          <cell r="B806">
            <v>3</v>
          </cell>
          <cell r="C806">
            <v>41008</v>
          </cell>
          <cell r="D806" t="str">
            <v>Gスター襲来！</v>
          </cell>
          <cell r="E806" t="str">
            <v>降臨1</v>
          </cell>
          <cell r="F806">
            <v>1</v>
          </cell>
          <cell r="G806" t="str">
            <v>ja</v>
          </cell>
          <cell r="H806" t="str">
            <v>【超絶級】Gスター襲来</v>
          </cell>
          <cell r="I806" t="str">
            <v>超絶級</v>
          </cell>
          <cell r="J806">
            <v>509</v>
          </cell>
          <cell r="K806">
            <v>35</v>
          </cell>
          <cell r="L806">
            <v>4200</v>
          </cell>
          <cell r="M806">
            <v>1</v>
          </cell>
          <cell r="N806">
            <v>1</v>
          </cell>
          <cell r="O806">
            <v>1</v>
          </cell>
          <cell r="P806">
            <v>1</v>
          </cell>
          <cell r="Q806">
            <v>1</v>
          </cell>
          <cell r="R806">
            <v>3</v>
          </cell>
          <cell r="S806" t="str">
            <v>polygon</v>
          </cell>
          <cell r="T806">
            <v>1</v>
          </cell>
          <cell r="U806" t="str">
            <v>NULL</v>
          </cell>
          <cell r="V806" t="str">
            <v>NULL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 t="str">
            <v>anytime</v>
          </cell>
          <cell r="AC806">
            <v>2601</v>
          </cell>
          <cell r="AD806">
            <v>6</v>
          </cell>
          <cell r="AE806" t="str">
            <v>everyone</v>
          </cell>
        </row>
        <row r="807">
          <cell r="A807" t="str">
            <v>41008_2</v>
          </cell>
          <cell r="B807">
            <v>3</v>
          </cell>
          <cell r="C807">
            <v>41008</v>
          </cell>
          <cell r="D807" t="str">
            <v>Gスター襲来！</v>
          </cell>
          <cell r="E807" t="str">
            <v>降臨1</v>
          </cell>
          <cell r="F807">
            <v>2</v>
          </cell>
          <cell r="G807" t="str">
            <v>ja</v>
          </cell>
          <cell r="H807" t="str">
            <v>【ウィザード級】Gスター襲来</v>
          </cell>
          <cell r="I807" t="str">
            <v>地獄級</v>
          </cell>
          <cell r="J807">
            <v>824</v>
          </cell>
          <cell r="K807">
            <v>40</v>
          </cell>
          <cell r="L807">
            <v>4500</v>
          </cell>
          <cell r="M807">
            <v>1</v>
          </cell>
          <cell r="N807">
            <v>1</v>
          </cell>
          <cell r="O807">
            <v>1</v>
          </cell>
          <cell r="P807">
            <v>1</v>
          </cell>
          <cell r="Q807">
            <v>1</v>
          </cell>
          <cell r="R807">
            <v>3</v>
          </cell>
          <cell r="S807" t="str">
            <v>polygon</v>
          </cell>
          <cell r="T807">
            <v>1</v>
          </cell>
          <cell r="U807" t="str">
            <v>NULL</v>
          </cell>
          <cell r="V807" t="str">
            <v>NULL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 t="str">
            <v>anytime</v>
          </cell>
          <cell r="AC807">
            <v>2601</v>
          </cell>
          <cell r="AD807">
            <v>6</v>
          </cell>
          <cell r="AE807" t="str">
            <v>everyone</v>
          </cell>
        </row>
        <row r="808">
          <cell r="A808" t="str">
            <v>41008_3</v>
          </cell>
          <cell r="B808">
            <v>1</v>
          </cell>
          <cell r="C808">
            <v>41008</v>
          </cell>
          <cell r="D808" t="str">
            <v>Gスター襲来！</v>
          </cell>
          <cell r="E808" t="str">
            <v>降臨1</v>
          </cell>
          <cell r="F808">
            <v>3</v>
          </cell>
          <cell r="G808" t="str">
            <v>ja</v>
          </cell>
          <cell r="H808" t="str">
            <v>【ノーコンテニュー】Gスター襲来</v>
          </cell>
          <cell r="I808" t="str">
            <v>地獄級</v>
          </cell>
          <cell r="J808">
            <v>824</v>
          </cell>
          <cell r="K808">
            <v>40</v>
          </cell>
          <cell r="L808">
            <v>4500</v>
          </cell>
          <cell r="M808">
            <v>1</v>
          </cell>
          <cell r="N808">
            <v>1</v>
          </cell>
          <cell r="O808">
            <v>1</v>
          </cell>
          <cell r="P808">
            <v>1</v>
          </cell>
          <cell r="Q808">
            <v>1</v>
          </cell>
          <cell r="R808">
            <v>3</v>
          </cell>
          <cell r="S808" t="str">
            <v>polygon</v>
          </cell>
          <cell r="T808">
            <v>1</v>
          </cell>
          <cell r="U808" t="str">
            <v>NULL</v>
          </cell>
          <cell r="V808" t="str">
            <v>NULL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 t="str">
            <v>anytime</v>
          </cell>
          <cell r="AC808">
            <v>2601</v>
          </cell>
          <cell r="AD808">
            <v>6</v>
          </cell>
          <cell r="AE808" t="str">
            <v>everyone</v>
          </cell>
        </row>
        <row r="809">
          <cell r="A809" t="str">
            <v>41009_1</v>
          </cell>
          <cell r="B809">
            <v>3</v>
          </cell>
          <cell r="C809">
            <v>41009</v>
          </cell>
          <cell r="D809" t="str">
            <v>フギンとムニン襲来！</v>
          </cell>
          <cell r="E809" t="str">
            <v>降臨1</v>
          </cell>
          <cell r="F809">
            <v>1</v>
          </cell>
          <cell r="G809" t="str">
            <v>ja</v>
          </cell>
          <cell r="H809" t="str">
            <v>【超絶級】フギンとムニン襲来</v>
          </cell>
          <cell r="I809" t="str">
            <v>超絶級</v>
          </cell>
          <cell r="J809">
            <v>582</v>
          </cell>
          <cell r="K809">
            <v>35</v>
          </cell>
          <cell r="L809">
            <v>4200</v>
          </cell>
          <cell r="M809">
            <v>1</v>
          </cell>
          <cell r="N809">
            <v>1</v>
          </cell>
          <cell r="O809">
            <v>1</v>
          </cell>
          <cell r="P809">
            <v>1</v>
          </cell>
          <cell r="Q809">
            <v>1</v>
          </cell>
          <cell r="R809">
            <v>3</v>
          </cell>
          <cell r="S809" t="str">
            <v>polygon</v>
          </cell>
          <cell r="T809">
            <v>1</v>
          </cell>
          <cell r="U809" t="str">
            <v>NULL</v>
          </cell>
          <cell r="V809" t="str">
            <v>NULL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 t="str">
            <v>anytime</v>
          </cell>
          <cell r="AC809">
            <v>25</v>
          </cell>
          <cell r="AD809">
            <v>6</v>
          </cell>
          <cell r="AE809" t="str">
            <v>everyone</v>
          </cell>
        </row>
        <row r="810">
          <cell r="A810" t="str">
            <v>41009_2</v>
          </cell>
          <cell r="B810">
            <v>3</v>
          </cell>
          <cell r="C810">
            <v>41009</v>
          </cell>
          <cell r="D810" t="str">
            <v>フギンとムニン襲来！</v>
          </cell>
          <cell r="E810" t="str">
            <v>降臨1</v>
          </cell>
          <cell r="F810">
            <v>2</v>
          </cell>
          <cell r="G810" t="str">
            <v>ja</v>
          </cell>
          <cell r="H810" t="str">
            <v>【ウィザード級】フギンとムニン襲来</v>
          </cell>
          <cell r="I810" t="str">
            <v>地獄級</v>
          </cell>
          <cell r="J810">
            <v>828</v>
          </cell>
          <cell r="K810">
            <v>40</v>
          </cell>
          <cell r="L810">
            <v>4500</v>
          </cell>
          <cell r="M810">
            <v>1</v>
          </cell>
          <cell r="N810">
            <v>1</v>
          </cell>
          <cell r="O810">
            <v>1</v>
          </cell>
          <cell r="P810">
            <v>1</v>
          </cell>
          <cell r="Q810">
            <v>1</v>
          </cell>
          <cell r="R810">
            <v>3</v>
          </cell>
          <cell r="S810" t="str">
            <v>polygon</v>
          </cell>
          <cell r="T810">
            <v>1</v>
          </cell>
          <cell r="U810" t="str">
            <v>NULL</v>
          </cell>
          <cell r="V810" t="str">
            <v>NULL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 t="str">
            <v>anytime</v>
          </cell>
          <cell r="AC810">
            <v>25</v>
          </cell>
          <cell r="AD810">
            <v>6</v>
          </cell>
          <cell r="AE810" t="str">
            <v>everyone</v>
          </cell>
        </row>
        <row r="811">
          <cell r="A811" t="str">
            <v>41009_3</v>
          </cell>
          <cell r="B811">
            <v>1</v>
          </cell>
          <cell r="C811">
            <v>41009</v>
          </cell>
          <cell r="D811" t="str">
            <v>フギンとムニン襲来！</v>
          </cell>
          <cell r="E811" t="str">
            <v>降臨1</v>
          </cell>
          <cell r="F811">
            <v>3</v>
          </cell>
          <cell r="G811" t="str">
            <v>ja</v>
          </cell>
          <cell r="H811" t="str">
            <v>【ノーコンテニュー】フギンとムニン襲来</v>
          </cell>
          <cell r="I811" t="str">
            <v>地獄級</v>
          </cell>
          <cell r="J811">
            <v>1</v>
          </cell>
          <cell r="K811">
            <v>40</v>
          </cell>
          <cell r="L811">
            <v>4500</v>
          </cell>
          <cell r="M811">
            <v>1</v>
          </cell>
          <cell r="N811">
            <v>1</v>
          </cell>
          <cell r="O811">
            <v>1</v>
          </cell>
          <cell r="P811">
            <v>1</v>
          </cell>
          <cell r="Q811">
            <v>1</v>
          </cell>
          <cell r="R811">
            <v>3</v>
          </cell>
          <cell r="S811" t="str">
            <v>polygon</v>
          </cell>
          <cell r="T811">
            <v>1</v>
          </cell>
          <cell r="U811" t="str">
            <v>NULL</v>
          </cell>
          <cell r="V811" t="str">
            <v>NULL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 t="str">
            <v>anytime</v>
          </cell>
          <cell r="AC811">
            <v>25</v>
          </cell>
          <cell r="AD811">
            <v>6</v>
          </cell>
          <cell r="AE811" t="str">
            <v>everyone</v>
          </cell>
        </row>
        <row r="812">
          <cell r="A812" t="str">
            <v>41010_1</v>
          </cell>
          <cell r="B812">
            <v>3</v>
          </cell>
          <cell r="C812">
            <v>41010</v>
          </cell>
          <cell r="D812" t="str">
            <v>フレイ襲来！</v>
          </cell>
          <cell r="E812" t="str">
            <v>降臨1</v>
          </cell>
          <cell r="F812">
            <v>1</v>
          </cell>
          <cell r="G812" t="str">
            <v>ja</v>
          </cell>
          <cell r="H812" t="str">
            <v>【超絶級】フレイ襲来</v>
          </cell>
          <cell r="I812" t="str">
            <v>超絶級</v>
          </cell>
          <cell r="J812">
            <v>576</v>
          </cell>
          <cell r="K812">
            <v>35</v>
          </cell>
          <cell r="L812">
            <v>4200</v>
          </cell>
          <cell r="M812">
            <v>1</v>
          </cell>
          <cell r="N812">
            <v>1</v>
          </cell>
          <cell r="O812">
            <v>1</v>
          </cell>
          <cell r="P812">
            <v>0</v>
          </cell>
          <cell r="Q812">
            <v>1</v>
          </cell>
          <cell r="R812">
            <v>3</v>
          </cell>
          <cell r="S812" t="str">
            <v>polygon</v>
          </cell>
          <cell r="T812">
            <v>1</v>
          </cell>
          <cell r="U812" t="str">
            <v>NULL</v>
          </cell>
          <cell r="V812" t="str">
            <v>NULL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 t="str">
            <v>anytime</v>
          </cell>
          <cell r="AC812">
            <v>912</v>
          </cell>
          <cell r="AD812">
            <v>6</v>
          </cell>
          <cell r="AE812" t="str">
            <v>everyone</v>
          </cell>
        </row>
        <row r="813">
          <cell r="A813" t="str">
            <v>41010_2</v>
          </cell>
          <cell r="B813">
            <v>3</v>
          </cell>
          <cell r="C813">
            <v>41010</v>
          </cell>
          <cell r="D813" t="str">
            <v>フレイ襲来！</v>
          </cell>
          <cell r="E813" t="str">
            <v>降臨1</v>
          </cell>
          <cell r="F813">
            <v>2</v>
          </cell>
          <cell r="G813" t="str">
            <v>ja</v>
          </cell>
          <cell r="H813" t="str">
            <v>【ウィザード級】フレイ襲来</v>
          </cell>
          <cell r="I813" t="str">
            <v>地獄級</v>
          </cell>
          <cell r="J813">
            <v>826</v>
          </cell>
          <cell r="K813">
            <v>40</v>
          </cell>
          <cell r="L813">
            <v>4500</v>
          </cell>
          <cell r="M813">
            <v>1</v>
          </cell>
          <cell r="N813">
            <v>1</v>
          </cell>
          <cell r="O813">
            <v>1</v>
          </cell>
          <cell r="P813">
            <v>0</v>
          </cell>
          <cell r="Q813">
            <v>1</v>
          </cell>
          <cell r="R813">
            <v>3</v>
          </cell>
          <cell r="S813" t="str">
            <v>polygon</v>
          </cell>
          <cell r="T813">
            <v>1</v>
          </cell>
          <cell r="U813" t="str">
            <v>NULL</v>
          </cell>
          <cell r="V813" t="str">
            <v>NULL</v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 t="str">
            <v>anytime</v>
          </cell>
          <cell r="AC813">
            <v>912</v>
          </cell>
          <cell r="AD813">
            <v>6</v>
          </cell>
          <cell r="AE813" t="str">
            <v>everyone</v>
          </cell>
        </row>
        <row r="814">
          <cell r="A814" t="str">
            <v>41010_3</v>
          </cell>
          <cell r="B814">
            <v>1</v>
          </cell>
          <cell r="C814">
            <v>41010</v>
          </cell>
          <cell r="D814" t="str">
            <v>フレイ襲来！</v>
          </cell>
          <cell r="E814" t="str">
            <v>降臨1</v>
          </cell>
          <cell r="F814">
            <v>3</v>
          </cell>
          <cell r="G814" t="str">
            <v>ja</v>
          </cell>
          <cell r="H814" t="str">
            <v>【ノーコンテニュー】フレイ襲来</v>
          </cell>
          <cell r="I814" t="str">
            <v>地獄級</v>
          </cell>
          <cell r="J814">
            <v>1</v>
          </cell>
          <cell r="K814">
            <v>40</v>
          </cell>
          <cell r="L814">
            <v>4500</v>
          </cell>
          <cell r="M814">
            <v>1</v>
          </cell>
          <cell r="N814">
            <v>1</v>
          </cell>
          <cell r="O814">
            <v>1</v>
          </cell>
          <cell r="P814">
            <v>0</v>
          </cell>
          <cell r="Q814">
            <v>1</v>
          </cell>
          <cell r="R814">
            <v>3</v>
          </cell>
          <cell r="S814" t="str">
            <v>polygon</v>
          </cell>
          <cell r="T814">
            <v>1</v>
          </cell>
          <cell r="U814" t="str">
            <v>NULL</v>
          </cell>
          <cell r="V814" t="str">
            <v>NULL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 t="str">
            <v>anytime</v>
          </cell>
          <cell r="AC814">
            <v>912</v>
          </cell>
          <cell r="AD814">
            <v>6</v>
          </cell>
          <cell r="AE814" t="str">
            <v>everyone</v>
          </cell>
        </row>
        <row r="815">
          <cell r="A815" t="str">
            <v>41011_1</v>
          </cell>
          <cell r="B815">
            <v>3</v>
          </cell>
          <cell r="C815">
            <v>41011</v>
          </cell>
          <cell r="D815" t="str">
            <v>ヨミ襲来！</v>
          </cell>
          <cell r="E815" t="str">
            <v>降臨1</v>
          </cell>
          <cell r="F815">
            <v>1</v>
          </cell>
          <cell r="G815" t="str">
            <v>ja</v>
          </cell>
          <cell r="H815" t="str">
            <v>【超絶級】ヨミ襲来</v>
          </cell>
          <cell r="I815" t="str">
            <v>超絶級</v>
          </cell>
          <cell r="J815">
            <v>655</v>
          </cell>
          <cell r="K815">
            <v>35</v>
          </cell>
          <cell r="L815">
            <v>4200</v>
          </cell>
          <cell r="M815">
            <v>1</v>
          </cell>
          <cell r="N815">
            <v>1</v>
          </cell>
          <cell r="O815">
            <v>1</v>
          </cell>
          <cell r="P815">
            <v>1</v>
          </cell>
          <cell r="Q815">
            <v>1</v>
          </cell>
          <cell r="R815">
            <v>3</v>
          </cell>
          <cell r="S815" t="str">
            <v>polygon</v>
          </cell>
          <cell r="T815">
            <v>1</v>
          </cell>
          <cell r="U815" t="str">
            <v>NULL</v>
          </cell>
          <cell r="V815" t="str">
            <v>NULL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 t="str">
            <v>anytime</v>
          </cell>
          <cell r="AC815">
            <v>913</v>
          </cell>
          <cell r="AD815">
            <v>6</v>
          </cell>
          <cell r="AE815" t="str">
            <v>everyone</v>
          </cell>
        </row>
        <row r="816">
          <cell r="A816" t="str">
            <v>41011_2</v>
          </cell>
          <cell r="B816">
            <v>3</v>
          </cell>
          <cell r="C816">
            <v>41011</v>
          </cell>
          <cell r="D816" t="str">
            <v>ヨミ襲来！</v>
          </cell>
          <cell r="E816" t="str">
            <v>降臨1</v>
          </cell>
          <cell r="F816">
            <v>2</v>
          </cell>
          <cell r="G816" t="str">
            <v>ja</v>
          </cell>
          <cell r="H816" t="str">
            <v>【ウィザード級】ヨミ襲来</v>
          </cell>
          <cell r="I816" t="str">
            <v>ウィザード級</v>
          </cell>
          <cell r="J816">
            <v>832</v>
          </cell>
          <cell r="K816">
            <v>40</v>
          </cell>
          <cell r="L816">
            <v>4500</v>
          </cell>
          <cell r="M816">
            <v>1</v>
          </cell>
          <cell r="N816">
            <v>1</v>
          </cell>
          <cell r="O816">
            <v>1</v>
          </cell>
          <cell r="P816">
            <v>1</v>
          </cell>
          <cell r="Q816">
            <v>1</v>
          </cell>
          <cell r="R816">
            <v>3</v>
          </cell>
          <cell r="S816" t="str">
            <v>polygon</v>
          </cell>
          <cell r="T816">
            <v>1</v>
          </cell>
          <cell r="U816" t="str">
            <v>NULL</v>
          </cell>
          <cell r="V816" t="str">
            <v>NULL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 t="str">
            <v>anytime</v>
          </cell>
          <cell r="AC816">
            <v>913</v>
          </cell>
          <cell r="AD816">
            <v>6</v>
          </cell>
          <cell r="AE816" t="str">
            <v>everyone</v>
          </cell>
        </row>
        <row r="817">
          <cell r="A817" t="str">
            <v>41012_1</v>
          </cell>
          <cell r="B817">
            <v>3</v>
          </cell>
          <cell r="C817">
            <v>41012</v>
          </cell>
          <cell r="D817" t="str">
            <v>ショウキ襲来！</v>
          </cell>
          <cell r="E817" t="str">
            <v>降臨1</v>
          </cell>
          <cell r="F817">
            <v>1</v>
          </cell>
          <cell r="G817" t="str">
            <v>ja</v>
          </cell>
          <cell r="H817" t="str">
            <v>【超絶級】ショウキ襲来</v>
          </cell>
          <cell r="I817" t="str">
            <v>超絶級</v>
          </cell>
          <cell r="J817">
            <v>645</v>
          </cell>
          <cell r="K817">
            <v>35</v>
          </cell>
          <cell r="L817">
            <v>4200</v>
          </cell>
          <cell r="M817">
            <v>1</v>
          </cell>
          <cell r="N817">
            <v>1</v>
          </cell>
          <cell r="O817">
            <v>1</v>
          </cell>
          <cell r="P817">
            <v>1</v>
          </cell>
          <cell r="Q817">
            <v>1</v>
          </cell>
          <cell r="R817">
            <v>3</v>
          </cell>
          <cell r="S817" t="str">
            <v>polygon</v>
          </cell>
          <cell r="T817">
            <v>1</v>
          </cell>
          <cell r="U817" t="str">
            <v>NULL</v>
          </cell>
          <cell r="V817" t="str">
            <v>NULL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 t="str">
            <v>anytime</v>
          </cell>
          <cell r="AC817">
            <v>915</v>
          </cell>
          <cell r="AD817">
            <v>6</v>
          </cell>
          <cell r="AE817" t="str">
            <v>everyone</v>
          </cell>
        </row>
        <row r="818">
          <cell r="A818" t="str">
            <v>41012_2</v>
          </cell>
          <cell r="B818">
            <v>3</v>
          </cell>
          <cell r="C818">
            <v>41012</v>
          </cell>
          <cell r="D818" t="str">
            <v>ショウキ襲来！</v>
          </cell>
          <cell r="E818" t="str">
            <v>降臨1</v>
          </cell>
          <cell r="F818">
            <v>2</v>
          </cell>
          <cell r="G818" t="str">
            <v>ja</v>
          </cell>
          <cell r="H818" t="str">
            <v>【ウィザード級】ショウキ襲来</v>
          </cell>
          <cell r="I818" t="str">
            <v>地獄級</v>
          </cell>
          <cell r="J818">
            <v>831</v>
          </cell>
          <cell r="K818">
            <v>40</v>
          </cell>
          <cell r="L818">
            <v>4500</v>
          </cell>
          <cell r="M818">
            <v>1</v>
          </cell>
          <cell r="N818">
            <v>1</v>
          </cell>
          <cell r="O818">
            <v>1</v>
          </cell>
          <cell r="P818">
            <v>1</v>
          </cell>
          <cell r="Q818">
            <v>1</v>
          </cell>
          <cell r="R818">
            <v>3</v>
          </cell>
          <cell r="S818" t="str">
            <v>polygon</v>
          </cell>
          <cell r="T818">
            <v>1</v>
          </cell>
          <cell r="U818" t="str">
            <v>NULL</v>
          </cell>
          <cell r="V818" t="str">
            <v>NULL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 t="str">
            <v>anytime</v>
          </cell>
          <cell r="AC818">
            <v>915</v>
          </cell>
          <cell r="AD818">
            <v>6</v>
          </cell>
          <cell r="AE818" t="str">
            <v>everyone</v>
          </cell>
        </row>
        <row r="819">
          <cell r="A819" t="str">
            <v>41013_1</v>
          </cell>
          <cell r="B819">
            <v>3</v>
          </cell>
          <cell r="C819">
            <v>41013</v>
          </cell>
          <cell r="D819" t="str">
            <v>カーマ襲来！</v>
          </cell>
          <cell r="E819" t="str">
            <v>降臨1</v>
          </cell>
          <cell r="F819">
            <v>1</v>
          </cell>
          <cell r="G819" t="str">
            <v>ja</v>
          </cell>
          <cell r="H819" t="str">
            <v>【超絶級】カーマ襲来</v>
          </cell>
          <cell r="I819" t="str">
            <v>超絶級</v>
          </cell>
          <cell r="J819">
            <v>643</v>
          </cell>
          <cell r="K819">
            <v>35</v>
          </cell>
          <cell r="L819">
            <v>4200</v>
          </cell>
          <cell r="M819">
            <v>1</v>
          </cell>
          <cell r="N819">
            <v>1</v>
          </cell>
          <cell r="O819">
            <v>1</v>
          </cell>
          <cell r="P819">
            <v>1</v>
          </cell>
          <cell r="Q819">
            <v>0</v>
          </cell>
          <cell r="R819">
            <v>3</v>
          </cell>
          <cell r="S819" t="str">
            <v>polygon</v>
          </cell>
          <cell r="T819">
            <v>1</v>
          </cell>
          <cell r="U819" t="str">
            <v>NULL</v>
          </cell>
          <cell r="V819" t="str">
            <v>NULL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 t="str">
            <v>anytime</v>
          </cell>
          <cell r="AC819">
            <v>916</v>
          </cell>
          <cell r="AD819">
            <v>6</v>
          </cell>
          <cell r="AE819" t="str">
            <v>everyone</v>
          </cell>
        </row>
        <row r="820">
          <cell r="A820" t="str">
            <v>41013_2</v>
          </cell>
          <cell r="B820">
            <v>3</v>
          </cell>
          <cell r="C820">
            <v>41013</v>
          </cell>
          <cell r="D820" t="str">
            <v>カーマ襲来！</v>
          </cell>
          <cell r="E820" t="str">
            <v>降臨1</v>
          </cell>
          <cell r="F820">
            <v>2</v>
          </cell>
          <cell r="G820" t="str">
            <v>ja</v>
          </cell>
          <cell r="H820" t="str">
            <v>【ウィザード級】カーマ襲来</v>
          </cell>
          <cell r="I820" t="str">
            <v>地獄級</v>
          </cell>
          <cell r="J820">
            <v>836</v>
          </cell>
          <cell r="K820">
            <v>40</v>
          </cell>
          <cell r="L820">
            <v>4500</v>
          </cell>
          <cell r="M820">
            <v>1</v>
          </cell>
          <cell r="N820">
            <v>1</v>
          </cell>
          <cell r="O820">
            <v>1</v>
          </cell>
          <cell r="P820">
            <v>1</v>
          </cell>
          <cell r="Q820">
            <v>0</v>
          </cell>
          <cell r="R820">
            <v>3</v>
          </cell>
          <cell r="S820" t="str">
            <v>polygon</v>
          </cell>
          <cell r="T820">
            <v>1</v>
          </cell>
          <cell r="U820" t="str">
            <v>NULL</v>
          </cell>
          <cell r="V820" t="str">
            <v>NULL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 t="str">
            <v>anytime</v>
          </cell>
          <cell r="AC820">
            <v>916</v>
          </cell>
          <cell r="AD820">
            <v>6</v>
          </cell>
          <cell r="AE820" t="str">
            <v>everyone</v>
          </cell>
        </row>
        <row r="821">
          <cell r="A821" t="str">
            <v>41014_1</v>
          </cell>
          <cell r="B821">
            <v>3</v>
          </cell>
          <cell r="C821">
            <v>41014</v>
          </cell>
          <cell r="D821" t="str">
            <v>シヴァ襲来！</v>
          </cell>
          <cell r="E821" t="str">
            <v>降臨1</v>
          </cell>
          <cell r="F821">
            <v>1</v>
          </cell>
          <cell r="G821" t="str">
            <v>ja</v>
          </cell>
          <cell r="H821" t="str">
            <v>【超絶級】シヴァ襲来</v>
          </cell>
          <cell r="I821" t="str">
            <v>超絶級</v>
          </cell>
          <cell r="J821">
            <v>657</v>
          </cell>
          <cell r="K821">
            <v>35</v>
          </cell>
          <cell r="L821">
            <v>4200</v>
          </cell>
          <cell r="M821">
            <v>1</v>
          </cell>
          <cell r="N821">
            <v>1</v>
          </cell>
          <cell r="O821">
            <v>1</v>
          </cell>
          <cell r="P821">
            <v>1</v>
          </cell>
          <cell r="Q821">
            <v>1</v>
          </cell>
          <cell r="R821">
            <v>3</v>
          </cell>
          <cell r="S821" t="str">
            <v>polygon</v>
          </cell>
          <cell r="T821">
            <v>1</v>
          </cell>
          <cell r="U821" t="str">
            <v>NULL</v>
          </cell>
          <cell r="V821" t="str">
            <v>NULL</v>
          </cell>
          <cell r="W821" t="str">
            <v/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 t="str">
            <v>anytime</v>
          </cell>
          <cell r="AC821">
            <v>914</v>
          </cell>
          <cell r="AD821">
            <v>6</v>
          </cell>
          <cell r="AE821" t="str">
            <v>everyone</v>
          </cell>
        </row>
        <row r="822">
          <cell r="A822" t="str">
            <v>41014_2</v>
          </cell>
          <cell r="B822">
            <v>3</v>
          </cell>
          <cell r="C822">
            <v>41014</v>
          </cell>
          <cell r="D822" t="str">
            <v>シヴァ襲来！</v>
          </cell>
          <cell r="E822" t="str">
            <v>降臨1</v>
          </cell>
          <cell r="F822">
            <v>2</v>
          </cell>
          <cell r="G822" t="str">
            <v>ja</v>
          </cell>
          <cell r="H822" t="str">
            <v>【ウィザード級】シヴァ襲来</v>
          </cell>
          <cell r="I822" t="str">
            <v>地獄級</v>
          </cell>
          <cell r="J822">
            <v>834</v>
          </cell>
          <cell r="K822">
            <v>40</v>
          </cell>
          <cell r="L822">
            <v>4500</v>
          </cell>
          <cell r="M822">
            <v>1</v>
          </cell>
          <cell r="N822">
            <v>1</v>
          </cell>
          <cell r="O822">
            <v>1</v>
          </cell>
          <cell r="P822">
            <v>1</v>
          </cell>
          <cell r="Q822">
            <v>1</v>
          </cell>
          <cell r="R822">
            <v>3</v>
          </cell>
          <cell r="S822" t="str">
            <v>polygon</v>
          </cell>
          <cell r="T822">
            <v>1</v>
          </cell>
          <cell r="U822" t="str">
            <v>NULL</v>
          </cell>
          <cell r="V822" t="str">
            <v>NULL</v>
          </cell>
          <cell r="W822" t="str">
            <v/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 t="str">
            <v>anytime</v>
          </cell>
          <cell r="AC822">
            <v>914</v>
          </cell>
          <cell r="AD822">
            <v>6</v>
          </cell>
          <cell r="AE822" t="str">
            <v>everyone</v>
          </cell>
        </row>
        <row r="823">
          <cell r="A823" t="str">
            <v>41015_1</v>
          </cell>
          <cell r="B823">
            <v>3</v>
          </cell>
          <cell r="C823">
            <v>41015</v>
          </cell>
          <cell r="D823" t="str">
            <v>ガレス襲来！</v>
          </cell>
          <cell r="E823" t="str">
            <v>降臨1</v>
          </cell>
          <cell r="F823">
            <v>1</v>
          </cell>
          <cell r="G823" t="str">
            <v>ja</v>
          </cell>
          <cell r="H823" t="str">
            <v>【超絶級】ガレス襲来</v>
          </cell>
          <cell r="I823" t="str">
            <v>超絶級</v>
          </cell>
          <cell r="J823">
            <v>769</v>
          </cell>
          <cell r="K823">
            <v>35</v>
          </cell>
          <cell r="L823">
            <v>4200</v>
          </cell>
          <cell r="M823">
            <v>1</v>
          </cell>
          <cell r="N823">
            <v>1</v>
          </cell>
          <cell r="O823">
            <v>1</v>
          </cell>
          <cell r="P823">
            <v>1</v>
          </cell>
          <cell r="Q823">
            <v>1</v>
          </cell>
          <cell r="R823">
            <v>3</v>
          </cell>
          <cell r="S823" t="str">
            <v>polygon</v>
          </cell>
          <cell r="T823">
            <v>1</v>
          </cell>
          <cell r="U823" t="str">
            <v>NULL</v>
          </cell>
          <cell r="V823" t="str">
            <v>NULL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 t="str">
            <v>anytime</v>
          </cell>
          <cell r="AC823">
            <v>907</v>
          </cell>
          <cell r="AD823">
            <v>6</v>
          </cell>
          <cell r="AE823" t="str">
            <v>everyone</v>
          </cell>
        </row>
        <row r="824">
          <cell r="A824" t="str">
            <v>41015_2</v>
          </cell>
          <cell r="B824">
            <v>3</v>
          </cell>
          <cell r="C824">
            <v>41015</v>
          </cell>
          <cell r="D824" t="str">
            <v>ガレス襲来！</v>
          </cell>
          <cell r="E824" t="str">
            <v>降臨1</v>
          </cell>
          <cell r="F824">
            <v>2</v>
          </cell>
          <cell r="G824" t="str">
            <v>ja</v>
          </cell>
          <cell r="H824" t="str">
            <v>【ウィザード級】ガレス襲来</v>
          </cell>
          <cell r="I824" t="str">
            <v>地獄級</v>
          </cell>
          <cell r="J824">
            <v>961</v>
          </cell>
          <cell r="K824">
            <v>40</v>
          </cell>
          <cell r="L824">
            <v>4500</v>
          </cell>
          <cell r="M824">
            <v>1</v>
          </cell>
          <cell r="N824">
            <v>1</v>
          </cell>
          <cell r="O824">
            <v>1</v>
          </cell>
          <cell r="P824">
            <v>1</v>
          </cell>
          <cell r="Q824">
            <v>1</v>
          </cell>
          <cell r="R824">
            <v>3</v>
          </cell>
          <cell r="S824" t="str">
            <v>polygon</v>
          </cell>
          <cell r="T824">
            <v>1</v>
          </cell>
          <cell r="U824" t="str">
            <v>NULL</v>
          </cell>
          <cell r="V824" t="str">
            <v>NULL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 t="str">
            <v>anytime</v>
          </cell>
          <cell r="AC824">
            <v>907</v>
          </cell>
          <cell r="AD824">
            <v>6</v>
          </cell>
          <cell r="AE824" t="str">
            <v>everyone</v>
          </cell>
        </row>
        <row r="825">
          <cell r="A825" t="str">
            <v>47001_1</v>
          </cell>
          <cell r="B825">
            <v>3</v>
          </cell>
          <cell r="C825">
            <v>47001</v>
          </cell>
          <cell r="D825" t="str">
            <v>彦星襲来！</v>
          </cell>
          <cell r="E825" t="str">
            <v>季節イベント</v>
          </cell>
          <cell r="F825">
            <v>1</v>
          </cell>
          <cell r="G825" t="str">
            <v>ja</v>
          </cell>
          <cell r="H825" t="str">
            <v>【超絶級】彦星襲来</v>
          </cell>
          <cell r="I825" t="str">
            <v>地獄級</v>
          </cell>
          <cell r="J825">
            <v>1043</v>
          </cell>
          <cell r="K825">
            <v>35</v>
          </cell>
          <cell r="L825">
            <v>4200</v>
          </cell>
          <cell r="M825">
            <v>1</v>
          </cell>
          <cell r="N825">
            <v>1</v>
          </cell>
          <cell r="O825">
            <v>1</v>
          </cell>
          <cell r="P825">
            <v>1</v>
          </cell>
          <cell r="Q825">
            <v>1</v>
          </cell>
          <cell r="R825">
            <v>3</v>
          </cell>
          <cell r="S825" t="str">
            <v>polygon</v>
          </cell>
          <cell r="T825">
            <v>1</v>
          </cell>
          <cell r="U825" t="str">
            <v>NULL</v>
          </cell>
          <cell r="V825" t="str">
            <v>NULL</v>
          </cell>
          <cell r="W825" t="str">
            <v/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 t="str">
            <v>anytime</v>
          </cell>
          <cell r="AC825">
            <v>943</v>
          </cell>
          <cell r="AD825">
            <v>6</v>
          </cell>
          <cell r="AE825" t="str">
            <v>everyone</v>
          </cell>
        </row>
        <row r="826">
          <cell r="A826" t="str">
            <v>47001_2</v>
          </cell>
          <cell r="B826">
            <v>3</v>
          </cell>
          <cell r="C826">
            <v>47001</v>
          </cell>
          <cell r="D826" t="str">
            <v>彦星襲来！</v>
          </cell>
          <cell r="E826" t="str">
            <v>季節イベント</v>
          </cell>
          <cell r="F826">
            <v>2</v>
          </cell>
          <cell r="G826" t="str">
            <v>ja</v>
          </cell>
          <cell r="H826" t="str">
            <v>【ウィザード級】彦星襲来</v>
          </cell>
          <cell r="I826" t="str">
            <v>地獄級</v>
          </cell>
          <cell r="J826">
            <v>1044</v>
          </cell>
          <cell r="K826">
            <v>40</v>
          </cell>
          <cell r="L826">
            <v>4500</v>
          </cell>
          <cell r="M826">
            <v>1</v>
          </cell>
          <cell r="N826">
            <v>1</v>
          </cell>
          <cell r="O826">
            <v>1</v>
          </cell>
          <cell r="P826">
            <v>1</v>
          </cell>
          <cell r="Q826">
            <v>1</v>
          </cell>
          <cell r="R826">
            <v>3</v>
          </cell>
          <cell r="S826" t="str">
            <v>polygon</v>
          </cell>
          <cell r="T826">
            <v>1</v>
          </cell>
          <cell r="U826" t="str">
            <v>NULL</v>
          </cell>
          <cell r="V826" t="str">
            <v>NULL</v>
          </cell>
          <cell r="W826" t="str">
            <v/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 t="str">
            <v>anytime</v>
          </cell>
          <cell r="AC826">
            <v>943</v>
          </cell>
          <cell r="AD826">
            <v>6</v>
          </cell>
          <cell r="AE826" t="str">
            <v>everyone</v>
          </cell>
        </row>
        <row r="827">
          <cell r="A827" t="str">
            <v>47002_1</v>
          </cell>
          <cell r="B827">
            <v>3</v>
          </cell>
          <cell r="C827">
            <v>47002</v>
          </cell>
          <cell r="D827" t="str">
            <v>夏☆襲来！</v>
          </cell>
          <cell r="E827" t="str">
            <v>季節イベント</v>
          </cell>
          <cell r="F827">
            <v>1</v>
          </cell>
          <cell r="G827" t="str">
            <v>ja</v>
          </cell>
          <cell r="H827" t="str">
            <v>【超絶級】夏☆襲来</v>
          </cell>
          <cell r="I827" t="str">
            <v>地獄級</v>
          </cell>
          <cell r="J827">
            <v>1053</v>
          </cell>
          <cell r="K827">
            <v>35</v>
          </cell>
          <cell r="L827">
            <v>4200</v>
          </cell>
          <cell r="M827">
            <v>1</v>
          </cell>
          <cell r="N827">
            <v>1</v>
          </cell>
          <cell r="O827">
            <v>1</v>
          </cell>
          <cell r="P827">
            <v>1</v>
          </cell>
          <cell r="Q827">
            <v>1</v>
          </cell>
          <cell r="R827">
            <v>3</v>
          </cell>
          <cell r="S827" t="str">
            <v>polygon</v>
          </cell>
          <cell r="T827">
            <v>1</v>
          </cell>
          <cell r="U827" t="str">
            <v>NULL</v>
          </cell>
          <cell r="V827" t="str">
            <v>NULL</v>
          </cell>
          <cell r="W827" t="str">
            <v/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 t="str">
            <v>anytime</v>
          </cell>
          <cell r="AC827">
            <v>5</v>
          </cell>
          <cell r="AD827">
            <v>6</v>
          </cell>
          <cell r="AE827" t="str">
            <v>everyone</v>
          </cell>
        </row>
        <row r="828">
          <cell r="A828" t="str">
            <v>47002_2</v>
          </cell>
          <cell r="B828">
            <v>3</v>
          </cell>
          <cell r="C828">
            <v>47002</v>
          </cell>
          <cell r="D828" t="str">
            <v>夏☆襲来！</v>
          </cell>
          <cell r="E828" t="str">
            <v>季節イベント</v>
          </cell>
          <cell r="F828">
            <v>2</v>
          </cell>
          <cell r="G828" t="str">
            <v>ja</v>
          </cell>
          <cell r="H828" t="str">
            <v>【ウィザード級】夏☆襲来</v>
          </cell>
          <cell r="I828" t="str">
            <v>地獄級</v>
          </cell>
          <cell r="J828">
            <v>1054</v>
          </cell>
          <cell r="K828">
            <v>40</v>
          </cell>
          <cell r="L828">
            <v>4500</v>
          </cell>
          <cell r="M828">
            <v>1</v>
          </cell>
          <cell r="N828">
            <v>1</v>
          </cell>
          <cell r="O828">
            <v>1</v>
          </cell>
          <cell r="P828">
            <v>1</v>
          </cell>
          <cell r="Q828">
            <v>1</v>
          </cell>
          <cell r="R828">
            <v>3</v>
          </cell>
          <cell r="S828" t="str">
            <v>polygon</v>
          </cell>
          <cell r="T828">
            <v>1</v>
          </cell>
          <cell r="U828" t="str">
            <v>NULL</v>
          </cell>
          <cell r="V828" t="str">
            <v>NULL</v>
          </cell>
          <cell r="W828" t="str">
            <v/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 t="str">
            <v>anytime</v>
          </cell>
          <cell r="AC828">
            <v>5</v>
          </cell>
          <cell r="AD828">
            <v>6</v>
          </cell>
          <cell r="AE828" t="str">
            <v>everyone</v>
          </cell>
        </row>
        <row r="829">
          <cell r="A829" t="str">
            <v>47003_1</v>
          </cell>
          <cell r="B829">
            <v>3</v>
          </cell>
          <cell r="C829">
            <v>47003</v>
          </cell>
          <cell r="D829" t="str">
            <v>ハロウィンナイトパニック！</v>
          </cell>
          <cell r="E829" t="str">
            <v>季節イベント</v>
          </cell>
          <cell r="F829">
            <v>1</v>
          </cell>
          <cell r="G829" t="str">
            <v>ja</v>
          </cell>
          <cell r="H829" t="str">
            <v>【上級】ハロウィンナイトパニック！</v>
          </cell>
          <cell r="I829" t="str">
            <v>地獄級</v>
          </cell>
          <cell r="J829">
            <v>1192</v>
          </cell>
          <cell r="K829">
            <v>20</v>
          </cell>
          <cell r="L829">
            <v>2000</v>
          </cell>
          <cell r="M829">
            <v>1</v>
          </cell>
          <cell r="N829">
            <v>1</v>
          </cell>
          <cell r="O829">
            <v>1</v>
          </cell>
          <cell r="P829">
            <v>1</v>
          </cell>
          <cell r="Q829">
            <v>1</v>
          </cell>
          <cell r="R829">
            <v>3</v>
          </cell>
          <cell r="S829" t="str">
            <v>none</v>
          </cell>
          <cell r="T829">
            <v>0</v>
          </cell>
          <cell r="U829" t="str">
            <v>NULL</v>
          </cell>
          <cell r="V829" t="str">
            <v>NULL</v>
          </cell>
          <cell r="W829" t="str">
            <v/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 t="str">
            <v>anytime</v>
          </cell>
          <cell r="AC829">
            <v>952</v>
          </cell>
          <cell r="AD829">
            <v>6</v>
          </cell>
          <cell r="AE829" t="str">
            <v>everyone</v>
          </cell>
        </row>
        <row r="830">
          <cell r="A830" t="str">
            <v>47003_2</v>
          </cell>
          <cell r="B830">
            <v>3</v>
          </cell>
          <cell r="C830">
            <v>47003</v>
          </cell>
          <cell r="D830" t="str">
            <v>ハロウィンナイトパニック！</v>
          </cell>
          <cell r="E830" t="str">
            <v>季節イベント</v>
          </cell>
          <cell r="F830">
            <v>2</v>
          </cell>
          <cell r="G830" t="str">
            <v>ja</v>
          </cell>
          <cell r="H830" t="str">
            <v>【超級】ハロウィンナイトパニック！</v>
          </cell>
          <cell r="I830" t="str">
            <v>地獄級</v>
          </cell>
          <cell r="J830">
            <v>1192</v>
          </cell>
          <cell r="K830">
            <v>30</v>
          </cell>
          <cell r="L830">
            <v>3300</v>
          </cell>
          <cell r="M830">
            <v>1</v>
          </cell>
          <cell r="N830">
            <v>1</v>
          </cell>
          <cell r="O830">
            <v>1</v>
          </cell>
          <cell r="P830">
            <v>1</v>
          </cell>
          <cell r="Q830">
            <v>1</v>
          </cell>
          <cell r="R830">
            <v>3</v>
          </cell>
          <cell r="S830" t="str">
            <v>none</v>
          </cell>
          <cell r="T830">
            <v>0</v>
          </cell>
          <cell r="U830" t="str">
            <v>NULL</v>
          </cell>
          <cell r="V830" t="str">
            <v>NULL</v>
          </cell>
          <cell r="W830" t="str">
            <v/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 t="str">
            <v>anytime</v>
          </cell>
          <cell r="AC830">
            <v>952</v>
          </cell>
          <cell r="AD830">
            <v>6</v>
          </cell>
          <cell r="AE830" t="str">
            <v>everyone</v>
          </cell>
        </row>
        <row r="831">
          <cell r="A831" t="str">
            <v>47003_3</v>
          </cell>
          <cell r="B831">
            <v>3</v>
          </cell>
          <cell r="C831">
            <v>47003</v>
          </cell>
          <cell r="D831" t="str">
            <v>ハロウィンナイトパニック！</v>
          </cell>
          <cell r="E831" t="str">
            <v>季節イベント</v>
          </cell>
          <cell r="F831">
            <v>3</v>
          </cell>
          <cell r="G831" t="str">
            <v>ja</v>
          </cell>
          <cell r="H831" t="str">
            <v>【超絶】ハロウィンナイトパニック！</v>
          </cell>
          <cell r="I831" t="str">
            <v>地獄級</v>
          </cell>
          <cell r="J831">
            <v>1192</v>
          </cell>
          <cell r="K831">
            <v>35</v>
          </cell>
          <cell r="L831">
            <v>4200</v>
          </cell>
          <cell r="M831">
            <v>1</v>
          </cell>
          <cell r="N831">
            <v>1</v>
          </cell>
          <cell r="O831">
            <v>1</v>
          </cell>
          <cell r="P831">
            <v>1</v>
          </cell>
          <cell r="Q831">
            <v>1</v>
          </cell>
          <cell r="R831">
            <v>3</v>
          </cell>
          <cell r="S831" t="str">
            <v>polygon</v>
          </cell>
          <cell r="T831">
            <v>1</v>
          </cell>
          <cell r="U831" t="str">
            <v>NULL</v>
          </cell>
          <cell r="V831" t="str">
            <v>NULL</v>
          </cell>
          <cell r="W831" t="str">
            <v/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 t="str">
            <v>anytime</v>
          </cell>
          <cell r="AC831">
            <v>952</v>
          </cell>
          <cell r="AD831">
            <v>6</v>
          </cell>
          <cell r="AE831" t="str">
            <v>everyone</v>
          </cell>
        </row>
        <row r="832">
          <cell r="A832" t="str">
            <v>47003_4</v>
          </cell>
          <cell r="B832">
            <v>3</v>
          </cell>
          <cell r="C832">
            <v>47003</v>
          </cell>
          <cell r="D832" t="str">
            <v>ハロウィンナイトパニック！</v>
          </cell>
          <cell r="E832" t="str">
            <v>季節イベント</v>
          </cell>
          <cell r="F832">
            <v>4</v>
          </cell>
          <cell r="G832" t="str">
            <v>ja</v>
          </cell>
          <cell r="H832" t="str">
            <v>【ｳｨｻﾞ】ハロウィンナイトパニック！</v>
          </cell>
          <cell r="I832" t="str">
            <v>地獄級</v>
          </cell>
          <cell r="J832">
            <v>1192</v>
          </cell>
          <cell r="K832">
            <v>40</v>
          </cell>
          <cell r="L832">
            <v>4500</v>
          </cell>
          <cell r="M832">
            <v>1</v>
          </cell>
          <cell r="N832">
            <v>1</v>
          </cell>
          <cell r="O832">
            <v>1</v>
          </cell>
          <cell r="P832">
            <v>1</v>
          </cell>
          <cell r="Q832">
            <v>1</v>
          </cell>
          <cell r="R832">
            <v>3</v>
          </cell>
          <cell r="S832" t="str">
            <v>polygon</v>
          </cell>
          <cell r="T832">
            <v>1</v>
          </cell>
          <cell r="U832" t="str">
            <v>NULL</v>
          </cell>
          <cell r="V832" t="str">
            <v>NULL</v>
          </cell>
          <cell r="W832" t="str">
            <v/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 t="str">
            <v>anytime</v>
          </cell>
          <cell r="AC832">
            <v>952</v>
          </cell>
          <cell r="AD832">
            <v>6</v>
          </cell>
          <cell r="AE832" t="str">
            <v>everyone</v>
          </cell>
        </row>
        <row r="833">
          <cell r="A833" t="str">
            <v>47004_1</v>
          </cell>
          <cell r="B833">
            <v>3</v>
          </cell>
          <cell r="C833">
            <v>47004</v>
          </cell>
          <cell r="D833" t="str">
            <v>聖なる夜に祝福を</v>
          </cell>
          <cell r="E833" t="str">
            <v>季節イベント</v>
          </cell>
          <cell r="F833">
            <v>1</v>
          </cell>
          <cell r="G833" t="str">
            <v>ja</v>
          </cell>
          <cell r="H833" t="str">
            <v>【上級】聖なる夜に祝福を</v>
          </cell>
          <cell r="I833" t="str">
            <v>上級</v>
          </cell>
          <cell r="J833">
            <v>1284</v>
          </cell>
          <cell r="K833">
            <v>20</v>
          </cell>
          <cell r="L833">
            <v>2000</v>
          </cell>
          <cell r="M833">
            <v>1</v>
          </cell>
          <cell r="N833">
            <v>1</v>
          </cell>
          <cell r="O833">
            <v>1</v>
          </cell>
          <cell r="P833">
            <v>1</v>
          </cell>
          <cell r="Q833">
            <v>1</v>
          </cell>
          <cell r="R833">
            <v>3</v>
          </cell>
          <cell r="S833" t="str">
            <v>none</v>
          </cell>
          <cell r="T833">
            <v>0</v>
          </cell>
          <cell r="U833" t="str">
            <v>NULL</v>
          </cell>
          <cell r="V833" t="str">
            <v>NULL</v>
          </cell>
          <cell r="W833" t="str">
            <v/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 t="str">
            <v>anytime</v>
          </cell>
          <cell r="AC833">
            <v>962</v>
          </cell>
          <cell r="AD833">
            <v>6</v>
          </cell>
          <cell r="AE833" t="str">
            <v>everyone</v>
          </cell>
        </row>
        <row r="834">
          <cell r="A834" t="str">
            <v>47004_2</v>
          </cell>
          <cell r="B834">
            <v>3</v>
          </cell>
          <cell r="C834">
            <v>47004</v>
          </cell>
          <cell r="D834" t="str">
            <v>聖なる夜に祝福を</v>
          </cell>
          <cell r="E834" t="str">
            <v>季節イベント</v>
          </cell>
          <cell r="F834">
            <v>2</v>
          </cell>
          <cell r="G834" t="str">
            <v>ja</v>
          </cell>
          <cell r="H834" t="str">
            <v>【超級】聖なる夜に祝福を</v>
          </cell>
          <cell r="I834" t="str">
            <v>超級</v>
          </cell>
          <cell r="J834">
            <v>1284</v>
          </cell>
          <cell r="K834">
            <v>30</v>
          </cell>
          <cell r="L834">
            <v>3300</v>
          </cell>
          <cell r="M834">
            <v>1</v>
          </cell>
          <cell r="N834">
            <v>1</v>
          </cell>
          <cell r="O834">
            <v>1</v>
          </cell>
          <cell r="P834">
            <v>1</v>
          </cell>
          <cell r="Q834">
            <v>1</v>
          </cell>
          <cell r="R834">
            <v>3</v>
          </cell>
          <cell r="S834" t="str">
            <v>none</v>
          </cell>
          <cell r="T834">
            <v>0</v>
          </cell>
          <cell r="U834" t="str">
            <v>NULL</v>
          </cell>
          <cell r="V834" t="str">
            <v>NULL</v>
          </cell>
          <cell r="W834" t="str">
            <v/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 t="str">
            <v>anytime</v>
          </cell>
          <cell r="AC834">
            <v>962</v>
          </cell>
          <cell r="AD834">
            <v>6</v>
          </cell>
          <cell r="AE834" t="str">
            <v>everyone</v>
          </cell>
        </row>
        <row r="835">
          <cell r="A835" t="str">
            <v>47004_3</v>
          </cell>
          <cell r="B835">
            <v>3</v>
          </cell>
          <cell r="C835">
            <v>47004</v>
          </cell>
          <cell r="D835" t="str">
            <v>聖なる夜に祝福を</v>
          </cell>
          <cell r="E835" t="str">
            <v>季節イベント</v>
          </cell>
          <cell r="F835">
            <v>3</v>
          </cell>
          <cell r="G835" t="str">
            <v>ja</v>
          </cell>
          <cell r="H835" t="str">
            <v>【超絶級】聖なる夜に祝福を</v>
          </cell>
          <cell r="I835" t="str">
            <v>超絶級</v>
          </cell>
          <cell r="J835">
            <v>1284</v>
          </cell>
          <cell r="K835">
            <v>35</v>
          </cell>
          <cell r="L835">
            <v>4200</v>
          </cell>
          <cell r="M835">
            <v>1</v>
          </cell>
          <cell r="N835">
            <v>1</v>
          </cell>
          <cell r="O835">
            <v>1</v>
          </cell>
          <cell r="P835">
            <v>1</v>
          </cell>
          <cell r="Q835">
            <v>1</v>
          </cell>
          <cell r="R835">
            <v>3</v>
          </cell>
          <cell r="S835" t="str">
            <v>polygon</v>
          </cell>
          <cell r="T835">
            <v>1</v>
          </cell>
          <cell r="U835" t="str">
            <v>NULL</v>
          </cell>
          <cell r="V835" t="str">
            <v>NULL</v>
          </cell>
          <cell r="W835" t="str">
            <v/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 t="str">
            <v>anytime</v>
          </cell>
          <cell r="AC835">
            <v>962</v>
          </cell>
          <cell r="AD835">
            <v>6</v>
          </cell>
          <cell r="AE835" t="str">
            <v>everyone</v>
          </cell>
        </row>
        <row r="836">
          <cell r="A836" t="str">
            <v>47004_4</v>
          </cell>
          <cell r="B836">
            <v>3</v>
          </cell>
          <cell r="C836">
            <v>47004</v>
          </cell>
          <cell r="D836" t="str">
            <v>聖なる夜に祝福を</v>
          </cell>
          <cell r="E836" t="str">
            <v>季節イベント</v>
          </cell>
          <cell r="F836">
            <v>4</v>
          </cell>
          <cell r="G836" t="str">
            <v>ja</v>
          </cell>
          <cell r="H836" t="str">
            <v>【ウィザード級】聖なる夜に祝福を</v>
          </cell>
          <cell r="I836" t="str">
            <v>地獄級</v>
          </cell>
          <cell r="J836">
            <v>1284</v>
          </cell>
          <cell r="K836">
            <v>40</v>
          </cell>
          <cell r="L836">
            <v>4500</v>
          </cell>
          <cell r="M836">
            <v>1</v>
          </cell>
          <cell r="N836">
            <v>1</v>
          </cell>
          <cell r="O836">
            <v>1</v>
          </cell>
          <cell r="P836">
            <v>1</v>
          </cell>
          <cell r="Q836">
            <v>1</v>
          </cell>
          <cell r="R836">
            <v>3</v>
          </cell>
          <cell r="S836" t="str">
            <v>polygon</v>
          </cell>
          <cell r="T836">
            <v>1</v>
          </cell>
          <cell r="U836" t="str">
            <v>NULL</v>
          </cell>
          <cell r="V836" t="str">
            <v>NULL</v>
          </cell>
          <cell r="W836" t="str">
            <v/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 t="str">
            <v>anytime</v>
          </cell>
          <cell r="AC836">
            <v>962</v>
          </cell>
          <cell r="AD836">
            <v>6</v>
          </cell>
          <cell r="AE836" t="str">
            <v>everyone</v>
          </cell>
        </row>
        <row r="837">
          <cell r="A837" t="str">
            <v>47005_1</v>
          </cell>
          <cell r="B837">
            <v>3</v>
          </cell>
          <cell r="C837">
            <v>47005</v>
          </cell>
          <cell r="D837" t="str">
            <v>年を越える儀式</v>
          </cell>
          <cell r="E837" t="str">
            <v>季節イベント</v>
          </cell>
          <cell r="F837">
            <v>1</v>
          </cell>
          <cell r="G837" t="str">
            <v>ja</v>
          </cell>
          <cell r="H837" t="str">
            <v>【ウィザード級】年を越える儀式</v>
          </cell>
          <cell r="I837" t="str">
            <v>地獄級</v>
          </cell>
          <cell r="J837">
            <v>1292</v>
          </cell>
          <cell r="K837">
            <v>30</v>
          </cell>
          <cell r="L837">
            <v>4000</v>
          </cell>
          <cell r="M837">
            <v>1</v>
          </cell>
          <cell r="N837">
            <v>1</v>
          </cell>
          <cell r="O837">
            <v>1</v>
          </cell>
          <cell r="P837">
            <v>1</v>
          </cell>
          <cell r="Q837">
            <v>1</v>
          </cell>
          <cell r="R837">
            <v>3</v>
          </cell>
          <cell r="S837" t="str">
            <v>polygon</v>
          </cell>
          <cell r="T837">
            <v>1</v>
          </cell>
          <cell r="U837" t="str">
            <v>NULL</v>
          </cell>
          <cell r="V837" t="str">
            <v>NULL</v>
          </cell>
          <cell r="W837" t="str">
            <v/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 t="str">
            <v>anytime</v>
          </cell>
          <cell r="AC837">
            <v>901</v>
          </cell>
          <cell r="AD837">
            <v>6</v>
          </cell>
          <cell r="AE837" t="str">
            <v>everyone</v>
          </cell>
        </row>
        <row r="838">
          <cell r="A838" t="str">
            <v>47006_1</v>
          </cell>
          <cell r="B838">
            <v>3</v>
          </cell>
          <cell r="C838">
            <v>47006</v>
          </cell>
          <cell r="D838" t="str">
            <v>酉の初めはたまごから</v>
          </cell>
          <cell r="E838" t="str">
            <v>季節イベント</v>
          </cell>
          <cell r="F838">
            <v>1</v>
          </cell>
          <cell r="G838" t="str">
            <v>ja</v>
          </cell>
          <cell r="H838" t="str">
            <v>【超絶】酉の初めはたまごから</v>
          </cell>
          <cell r="I838" t="str">
            <v>超絶級</v>
          </cell>
          <cell r="J838">
            <v>1294</v>
          </cell>
          <cell r="K838">
            <v>30</v>
          </cell>
          <cell r="L838">
            <v>4200</v>
          </cell>
          <cell r="M838">
            <v>1</v>
          </cell>
          <cell r="N838">
            <v>1</v>
          </cell>
          <cell r="O838">
            <v>1</v>
          </cell>
          <cell r="P838">
            <v>0</v>
          </cell>
          <cell r="Q838">
            <v>1</v>
          </cell>
          <cell r="R838">
            <v>3</v>
          </cell>
          <cell r="S838" t="str">
            <v>polygon</v>
          </cell>
          <cell r="T838">
            <v>1</v>
          </cell>
          <cell r="U838" t="str">
            <v>NULL</v>
          </cell>
          <cell r="V838" t="str">
            <v>NULL</v>
          </cell>
          <cell r="W838" t="str">
            <v/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 t="str">
            <v>anytime</v>
          </cell>
          <cell r="AC838">
            <v>2</v>
          </cell>
          <cell r="AD838">
            <v>6</v>
          </cell>
          <cell r="AE838" t="str">
            <v>everyone</v>
          </cell>
        </row>
        <row r="839">
          <cell r="A839" t="str">
            <v>47006_2</v>
          </cell>
          <cell r="B839">
            <v>3</v>
          </cell>
          <cell r="C839">
            <v>47006</v>
          </cell>
          <cell r="D839" t="str">
            <v>酉の初めはたまごから</v>
          </cell>
          <cell r="E839" t="str">
            <v>季節イベント</v>
          </cell>
          <cell r="F839">
            <v>2</v>
          </cell>
          <cell r="G839" t="str">
            <v>ja</v>
          </cell>
          <cell r="H839" t="str">
            <v>【ｳｨｻﾞ】酉の初めはたまごから</v>
          </cell>
          <cell r="I839" t="str">
            <v>地獄級</v>
          </cell>
          <cell r="J839">
            <v>1294</v>
          </cell>
          <cell r="K839">
            <v>35</v>
          </cell>
          <cell r="L839">
            <v>4500</v>
          </cell>
          <cell r="M839">
            <v>1</v>
          </cell>
          <cell r="N839">
            <v>1</v>
          </cell>
          <cell r="O839">
            <v>1</v>
          </cell>
          <cell r="P839">
            <v>0</v>
          </cell>
          <cell r="Q839">
            <v>1</v>
          </cell>
          <cell r="R839">
            <v>3</v>
          </cell>
          <cell r="S839" t="str">
            <v>polygon</v>
          </cell>
          <cell r="T839">
            <v>1</v>
          </cell>
          <cell r="U839" t="str">
            <v>NULL</v>
          </cell>
          <cell r="V839" t="str">
            <v>NULL</v>
          </cell>
          <cell r="W839" t="str">
            <v/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 t="str">
            <v>anytime</v>
          </cell>
          <cell r="AC839">
            <v>2</v>
          </cell>
          <cell r="AD839">
            <v>6</v>
          </cell>
          <cell r="AE839" t="str">
            <v>everyone</v>
          </cell>
        </row>
        <row r="840">
          <cell r="A840" t="str">
            <v>47007_1</v>
          </cell>
          <cell r="B840">
            <v>3</v>
          </cell>
          <cell r="C840">
            <v>47007</v>
          </cell>
          <cell r="D840" t="str">
            <v>ツンデレ少女の恋心</v>
          </cell>
          <cell r="E840" t="str">
            <v>季節イベント</v>
          </cell>
          <cell r="F840">
            <v>1</v>
          </cell>
          <cell r="G840" t="str">
            <v>ja</v>
          </cell>
          <cell r="H840" t="str">
            <v>【上級】ツンデレ少女の恋心</v>
          </cell>
          <cell r="I840" t="str">
            <v>超絶級</v>
          </cell>
          <cell r="J840">
            <v>1351</v>
          </cell>
          <cell r="K840">
            <v>15</v>
          </cell>
          <cell r="L840">
            <v>2000</v>
          </cell>
          <cell r="M840">
            <v>1</v>
          </cell>
          <cell r="N840">
            <v>1</v>
          </cell>
          <cell r="O840">
            <v>0</v>
          </cell>
          <cell r="P840">
            <v>1</v>
          </cell>
          <cell r="Q840">
            <v>1</v>
          </cell>
          <cell r="R840">
            <v>3</v>
          </cell>
          <cell r="S840" t="str">
            <v>none</v>
          </cell>
          <cell r="T840">
            <v>0</v>
          </cell>
          <cell r="U840" t="str">
            <v>NULL</v>
          </cell>
          <cell r="V840" t="str">
            <v>NULL</v>
          </cell>
          <cell r="W840" t="str">
            <v/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 t="str">
            <v>anytime</v>
          </cell>
          <cell r="AC840">
            <v>969</v>
          </cell>
          <cell r="AD840">
            <v>6</v>
          </cell>
          <cell r="AE840" t="str">
            <v>everyone</v>
          </cell>
        </row>
        <row r="841">
          <cell r="A841" t="str">
            <v>47007_2</v>
          </cell>
          <cell r="B841">
            <v>3</v>
          </cell>
          <cell r="C841">
            <v>47007</v>
          </cell>
          <cell r="D841" t="str">
            <v>ツンデレ少女の恋心</v>
          </cell>
          <cell r="E841" t="str">
            <v>季節イベント</v>
          </cell>
          <cell r="F841">
            <v>2</v>
          </cell>
          <cell r="G841" t="str">
            <v>ja</v>
          </cell>
          <cell r="H841" t="str">
            <v>【ウィザード級】ツンデレ少女の恋心</v>
          </cell>
          <cell r="I841" t="str">
            <v>地獄級</v>
          </cell>
          <cell r="J841">
            <v>1351</v>
          </cell>
          <cell r="K841">
            <v>30</v>
          </cell>
          <cell r="L841">
            <v>4500</v>
          </cell>
          <cell r="M841">
            <v>1</v>
          </cell>
          <cell r="N841">
            <v>1</v>
          </cell>
          <cell r="O841">
            <v>0</v>
          </cell>
          <cell r="P841">
            <v>1</v>
          </cell>
          <cell r="Q841">
            <v>1</v>
          </cell>
          <cell r="R841">
            <v>3</v>
          </cell>
          <cell r="S841" t="str">
            <v>polygon</v>
          </cell>
          <cell r="T841">
            <v>1</v>
          </cell>
          <cell r="U841" t="str">
            <v>NULL</v>
          </cell>
          <cell r="V841" t="str">
            <v>NULL</v>
          </cell>
          <cell r="W841" t="str">
            <v/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 t="str">
            <v>anytime</v>
          </cell>
          <cell r="AC841">
            <v>969</v>
          </cell>
          <cell r="AD841">
            <v>6</v>
          </cell>
          <cell r="AE841" t="str">
            <v>everyone</v>
          </cell>
        </row>
        <row r="842">
          <cell r="A842" t="str">
            <v>47008_1</v>
          </cell>
          <cell r="B842">
            <v>3</v>
          </cell>
          <cell r="C842">
            <v>47008</v>
          </cell>
          <cell r="D842" t="str">
            <v>ふんわり少女の恋心</v>
          </cell>
          <cell r="E842" t="str">
            <v>季節イベント</v>
          </cell>
          <cell r="F842">
            <v>1</v>
          </cell>
          <cell r="G842" t="str">
            <v>ja</v>
          </cell>
          <cell r="H842" t="str">
            <v>【上級】ふんわり少女の恋心</v>
          </cell>
          <cell r="I842" t="str">
            <v>超絶級</v>
          </cell>
          <cell r="J842">
            <v>1364</v>
          </cell>
          <cell r="K842">
            <v>15</v>
          </cell>
          <cell r="L842">
            <v>2000</v>
          </cell>
          <cell r="M842">
            <v>1</v>
          </cell>
          <cell r="N842">
            <v>1</v>
          </cell>
          <cell r="O842">
            <v>1</v>
          </cell>
          <cell r="P842">
            <v>0</v>
          </cell>
          <cell r="Q842">
            <v>1</v>
          </cell>
          <cell r="R842">
            <v>3</v>
          </cell>
          <cell r="S842" t="str">
            <v>none</v>
          </cell>
          <cell r="T842">
            <v>0</v>
          </cell>
          <cell r="U842" t="str">
            <v>NULL</v>
          </cell>
          <cell r="V842" t="str">
            <v>NULL</v>
          </cell>
          <cell r="W842" t="str">
            <v/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 t="str">
            <v>anytime</v>
          </cell>
          <cell r="AC842">
            <v>969</v>
          </cell>
          <cell r="AD842">
            <v>6</v>
          </cell>
          <cell r="AE842" t="str">
            <v>everyone</v>
          </cell>
        </row>
        <row r="843">
          <cell r="A843" t="str">
            <v>47008_2</v>
          </cell>
          <cell r="B843">
            <v>3</v>
          </cell>
          <cell r="C843">
            <v>47008</v>
          </cell>
          <cell r="D843" t="str">
            <v>ふんわり少女の恋心</v>
          </cell>
          <cell r="E843" t="str">
            <v>季節イベント</v>
          </cell>
          <cell r="F843">
            <v>2</v>
          </cell>
          <cell r="G843" t="str">
            <v>ja</v>
          </cell>
          <cell r="H843" t="str">
            <v>【ウィザード級】ふんわり少女の恋心</v>
          </cell>
          <cell r="I843" t="str">
            <v>地獄級</v>
          </cell>
          <cell r="J843">
            <v>1364</v>
          </cell>
          <cell r="K843">
            <v>30</v>
          </cell>
          <cell r="L843">
            <v>4500</v>
          </cell>
          <cell r="M843">
            <v>1</v>
          </cell>
          <cell r="N843">
            <v>1</v>
          </cell>
          <cell r="O843">
            <v>1</v>
          </cell>
          <cell r="P843">
            <v>0</v>
          </cell>
          <cell r="Q843">
            <v>1</v>
          </cell>
          <cell r="R843">
            <v>3</v>
          </cell>
          <cell r="S843" t="str">
            <v>polygon</v>
          </cell>
          <cell r="T843">
            <v>1</v>
          </cell>
          <cell r="U843" t="str">
            <v>NULL</v>
          </cell>
          <cell r="V843" t="str">
            <v>NULL</v>
          </cell>
          <cell r="W843" t="str">
            <v/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 t="str">
            <v>anytime</v>
          </cell>
          <cell r="AC843">
            <v>969</v>
          </cell>
          <cell r="AD843">
            <v>6</v>
          </cell>
          <cell r="AE843" t="str">
            <v>everyone</v>
          </cell>
        </row>
        <row r="844">
          <cell r="A844" t="str">
            <v>47009_1</v>
          </cell>
          <cell r="B844">
            <v>3</v>
          </cell>
          <cell r="C844">
            <v>47009</v>
          </cell>
          <cell r="D844" t="str">
            <v>夏☆襲来！</v>
          </cell>
          <cell r="E844" t="str">
            <v>（復刻）季節イベント</v>
          </cell>
          <cell r="F844">
            <v>1</v>
          </cell>
          <cell r="G844" t="str">
            <v>ja</v>
          </cell>
          <cell r="H844" t="str">
            <v>【超絶級】夏☆襲来</v>
          </cell>
          <cell r="I844" t="str">
            <v>地獄級</v>
          </cell>
          <cell r="J844">
            <v>1053</v>
          </cell>
          <cell r="K844">
            <v>35</v>
          </cell>
          <cell r="L844">
            <v>4200</v>
          </cell>
          <cell r="M844">
            <v>1</v>
          </cell>
          <cell r="N844">
            <v>1</v>
          </cell>
          <cell r="O844">
            <v>1</v>
          </cell>
          <cell r="P844">
            <v>1</v>
          </cell>
          <cell r="Q844">
            <v>1</v>
          </cell>
          <cell r="R844">
            <v>3</v>
          </cell>
          <cell r="S844" t="str">
            <v>polygon</v>
          </cell>
          <cell r="T844">
            <v>1</v>
          </cell>
          <cell r="U844" t="str">
            <v>NULL</v>
          </cell>
          <cell r="V844" t="str">
            <v>NULL</v>
          </cell>
          <cell r="W844" t="str">
            <v/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 t="str">
            <v>anytime</v>
          </cell>
          <cell r="AC844">
            <v>5</v>
          </cell>
          <cell r="AD844">
            <v>6</v>
          </cell>
          <cell r="AE844" t="str">
            <v>everyone</v>
          </cell>
        </row>
        <row r="845">
          <cell r="A845" t="str">
            <v>47009_2</v>
          </cell>
          <cell r="B845">
            <v>3</v>
          </cell>
          <cell r="C845">
            <v>47009</v>
          </cell>
          <cell r="D845" t="str">
            <v>夏☆襲来！</v>
          </cell>
          <cell r="E845" t="str">
            <v>（復刻）季節イベント</v>
          </cell>
          <cell r="F845">
            <v>2</v>
          </cell>
          <cell r="G845" t="str">
            <v>ja</v>
          </cell>
          <cell r="H845" t="str">
            <v>【ウィザード級】夏☆襲来</v>
          </cell>
          <cell r="I845" t="str">
            <v>地獄級</v>
          </cell>
          <cell r="J845">
            <v>1054</v>
          </cell>
          <cell r="K845">
            <v>40</v>
          </cell>
          <cell r="L845">
            <v>4500</v>
          </cell>
          <cell r="M845">
            <v>1</v>
          </cell>
          <cell r="N845">
            <v>1</v>
          </cell>
          <cell r="O845">
            <v>1</v>
          </cell>
          <cell r="P845">
            <v>1</v>
          </cell>
          <cell r="Q845">
            <v>1</v>
          </cell>
          <cell r="R845">
            <v>3</v>
          </cell>
          <cell r="S845" t="str">
            <v>polygon</v>
          </cell>
          <cell r="T845">
            <v>1</v>
          </cell>
          <cell r="U845" t="str">
            <v>NULL</v>
          </cell>
          <cell r="V845" t="str">
            <v>NULL</v>
          </cell>
          <cell r="W845" t="str">
            <v/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 t="str">
            <v>anytime</v>
          </cell>
          <cell r="AC845">
            <v>5</v>
          </cell>
          <cell r="AD845">
            <v>6</v>
          </cell>
          <cell r="AE845" t="str">
            <v>everyone</v>
          </cell>
        </row>
        <row r="846">
          <cell r="A846" t="str">
            <v>47010_1</v>
          </cell>
          <cell r="B846">
            <v>3</v>
          </cell>
          <cell r="C846">
            <v>47010</v>
          </cell>
          <cell r="D846" t="str">
            <v>僕の愛よあの子にとどけ！</v>
          </cell>
          <cell r="E846" t="str">
            <v>季節イベント</v>
          </cell>
          <cell r="F846">
            <v>1</v>
          </cell>
          <cell r="G846" t="str">
            <v>ja</v>
          </cell>
          <cell r="H846" t="str">
            <v>【上級】僕の愛よあの子にとどけ！</v>
          </cell>
          <cell r="I846" t="str">
            <v>地獄級</v>
          </cell>
          <cell r="J846">
            <v>1408</v>
          </cell>
          <cell r="K846">
            <v>20</v>
          </cell>
          <cell r="L846">
            <v>2000</v>
          </cell>
          <cell r="M846">
            <v>1</v>
          </cell>
          <cell r="N846">
            <v>1</v>
          </cell>
          <cell r="O846">
            <v>1</v>
          </cell>
          <cell r="P846">
            <v>1</v>
          </cell>
          <cell r="Q846">
            <v>1</v>
          </cell>
          <cell r="R846">
            <v>3</v>
          </cell>
          <cell r="S846" t="str">
            <v>item</v>
          </cell>
          <cell r="T846">
            <v>703</v>
          </cell>
          <cell r="U846" t="str">
            <v>NULL</v>
          </cell>
          <cell r="V846" t="str">
            <v>NULL</v>
          </cell>
          <cell r="W846" t="str">
            <v/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 t="str">
            <v>anytime</v>
          </cell>
          <cell r="AC846">
            <v>908</v>
          </cell>
          <cell r="AD846">
            <v>6</v>
          </cell>
          <cell r="AE846" t="str">
            <v>everyone</v>
          </cell>
        </row>
        <row r="847">
          <cell r="A847" t="str">
            <v>47010_2</v>
          </cell>
          <cell r="B847">
            <v>3</v>
          </cell>
          <cell r="C847">
            <v>47010</v>
          </cell>
          <cell r="D847" t="str">
            <v>僕の愛よあの子にとどけ！</v>
          </cell>
          <cell r="E847" t="str">
            <v>季節イベント</v>
          </cell>
          <cell r="F847">
            <v>2</v>
          </cell>
          <cell r="G847" t="str">
            <v>ja</v>
          </cell>
          <cell r="H847" t="str">
            <v>【ｳｨｻﾞ】僕の愛よあの子にとどけ！</v>
          </cell>
          <cell r="I847" t="str">
            <v>地獄級</v>
          </cell>
          <cell r="J847">
            <v>1408</v>
          </cell>
          <cell r="K847">
            <v>40</v>
          </cell>
          <cell r="L847">
            <v>4500</v>
          </cell>
          <cell r="M847">
            <v>1</v>
          </cell>
          <cell r="N847">
            <v>1</v>
          </cell>
          <cell r="O847">
            <v>1</v>
          </cell>
          <cell r="P847">
            <v>1</v>
          </cell>
          <cell r="Q847">
            <v>1</v>
          </cell>
          <cell r="R847">
            <v>3</v>
          </cell>
          <cell r="S847" t="str">
            <v>polygon</v>
          </cell>
          <cell r="T847">
            <v>1</v>
          </cell>
          <cell r="U847" t="str">
            <v>NULL</v>
          </cell>
          <cell r="V847" t="str">
            <v>NULL</v>
          </cell>
          <cell r="W847" t="str">
            <v/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 t="str">
            <v>anytime</v>
          </cell>
          <cell r="AC847">
            <v>908</v>
          </cell>
          <cell r="AD847">
            <v>6</v>
          </cell>
          <cell r="AE847" t="str">
            <v>everyone</v>
          </cell>
        </row>
        <row r="848">
          <cell r="A848" t="str">
            <v>47011_1</v>
          </cell>
          <cell r="B848">
            <v>3</v>
          </cell>
          <cell r="C848">
            <v>47011</v>
          </cell>
          <cell r="D848" t="str">
            <v>ツンデレ少女にお返しを！</v>
          </cell>
          <cell r="E848" t="str">
            <v>季節イベント</v>
          </cell>
          <cell r="F848">
            <v>1</v>
          </cell>
          <cell r="G848" t="str">
            <v>ja</v>
          </cell>
          <cell r="H848" t="str">
            <v>ツンデレ少女にお返しを！</v>
          </cell>
          <cell r="I848" t="str">
            <v>地獄級</v>
          </cell>
          <cell r="J848">
            <v>1351</v>
          </cell>
          <cell r="K848">
            <v>1</v>
          </cell>
          <cell r="L848">
            <v>0</v>
          </cell>
          <cell r="M848">
            <v>1</v>
          </cell>
          <cell r="N848">
            <v>1</v>
          </cell>
          <cell r="O848">
            <v>1</v>
          </cell>
          <cell r="P848">
            <v>1</v>
          </cell>
          <cell r="Q848">
            <v>1</v>
          </cell>
          <cell r="R848">
            <v>3</v>
          </cell>
          <cell r="S848" t="str">
            <v>polygon</v>
          </cell>
          <cell r="T848">
            <v>1</v>
          </cell>
          <cell r="U848" t="str">
            <v>NULL</v>
          </cell>
          <cell r="V848" t="str">
            <v>NULL</v>
          </cell>
          <cell r="W848" t="str">
            <v/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 t="str">
            <v>anytime</v>
          </cell>
          <cell r="AC848">
            <v>926</v>
          </cell>
          <cell r="AD848">
            <v>6</v>
          </cell>
          <cell r="AE848" t="str">
            <v>singleonly</v>
          </cell>
        </row>
        <row r="849">
          <cell r="A849" t="str">
            <v>48001_1</v>
          </cell>
          <cell r="B849">
            <v>1</v>
          </cell>
          <cell r="C849">
            <v>48001</v>
          </cell>
          <cell r="D849" t="str">
            <v>蛟龍襲来！</v>
          </cell>
          <cell r="E849" t="str">
            <v>台湾版降臨1</v>
          </cell>
          <cell r="F849">
            <v>1</v>
          </cell>
          <cell r="G849" t="str">
            <v>ja</v>
          </cell>
          <cell r="H849" t="str">
            <v>【ウィザード級】蛟龍襲来</v>
          </cell>
          <cell r="I849" t="str">
            <v>地獄級</v>
          </cell>
          <cell r="J849">
            <v>8003</v>
          </cell>
          <cell r="K849">
            <v>35</v>
          </cell>
          <cell r="L849">
            <v>4200</v>
          </cell>
          <cell r="M849">
            <v>1</v>
          </cell>
          <cell r="N849">
            <v>1</v>
          </cell>
          <cell r="O849">
            <v>1</v>
          </cell>
          <cell r="P849">
            <v>1</v>
          </cell>
          <cell r="Q849">
            <v>1</v>
          </cell>
          <cell r="R849">
            <v>3</v>
          </cell>
          <cell r="S849" t="str">
            <v>character</v>
          </cell>
          <cell r="T849">
            <v>8003</v>
          </cell>
          <cell r="U849" t="str">
            <v>NULL</v>
          </cell>
          <cell r="V849" t="str">
            <v>NULL</v>
          </cell>
          <cell r="W849" t="str">
            <v/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 t="str">
            <v>anytime</v>
          </cell>
          <cell r="AC849">
            <v>930</v>
          </cell>
          <cell r="AD849">
            <v>6</v>
          </cell>
          <cell r="AE849" t="str">
            <v>everyone</v>
          </cell>
        </row>
        <row r="850">
          <cell r="A850" t="str">
            <v>48002_1</v>
          </cell>
          <cell r="B850">
            <v>1</v>
          </cell>
          <cell r="C850">
            <v>48002</v>
          </cell>
          <cell r="D850" t="str">
            <v>孫悟空襲来！</v>
          </cell>
          <cell r="E850" t="str">
            <v>台湾版降臨2</v>
          </cell>
          <cell r="F850">
            <v>1</v>
          </cell>
          <cell r="G850" t="str">
            <v>ja</v>
          </cell>
          <cell r="H850" t="str">
            <v>【超絶級】孫悟空襲来</v>
          </cell>
          <cell r="I850" t="str">
            <v>地獄級</v>
          </cell>
          <cell r="J850">
            <v>8007</v>
          </cell>
          <cell r="K850">
            <v>35</v>
          </cell>
          <cell r="L850">
            <v>4200</v>
          </cell>
          <cell r="M850">
            <v>1</v>
          </cell>
          <cell r="N850">
            <v>1</v>
          </cell>
          <cell r="O850">
            <v>1</v>
          </cell>
          <cell r="P850">
            <v>1</v>
          </cell>
          <cell r="Q850">
            <v>1</v>
          </cell>
          <cell r="R850">
            <v>3</v>
          </cell>
          <cell r="S850" t="str">
            <v>polygon</v>
          </cell>
          <cell r="T850">
            <v>1</v>
          </cell>
          <cell r="U850" t="str">
            <v>NULL</v>
          </cell>
          <cell r="V850" t="str">
            <v>NULL</v>
          </cell>
          <cell r="W850" t="str">
            <v/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 t="str">
            <v>anytime</v>
          </cell>
          <cell r="AC850">
            <v>927</v>
          </cell>
          <cell r="AD850">
            <v>6</v>
          </cell>
          <cell r="AE850" t="str">
            <v>everyone</v>
          </cell>
        </row>
        <row r="851">
          <cell r="A851" t="str">
            <v>48002_2</v>
          </cell>
          <cell r="B851">
            <v>1</v>
          </cell>
          <cell r="C851">
            <v>48002</v>
          </cell>
          <cell r="D851" t="str">
            <v>孫悟空襲来！</v>
          </cell>
          <cell r="E851" t="str">
            <v>台湾版降臨2</v>
          </cell>
          <cell r="F851">
            <v>2</v>
          </cell>
          <cell r="G851" t="str">
            <v>ja</v>
          </cell>
          <cell r="H851" t="str">
            <v>【ウィザード級】孫悟空襲来</v>
          </cell>
          <cell r="I851" t="str">
            <v>地獄級</v>
          </cell>
          <cell r="J851">
            <v>8007</v>
          </cell>
          <cell r="K851">
            <v>40</v>
          </cell>
          <cell r="L851">
            <v>4500</v>
          </cell>
          <cell r="M851">
            <v>1</v>
          </cell>
          <cell r="N851">
            <v>1</v>
          </cell>
          <cell r="O851">
            <v>1</v>
          </cell>
          <cell r="P851">
            <v>1</v>
          </cell>
          <cell r="Q851">
            <v>1</v>
          </cell>
          <cell r="R851">
            <v>3</v>
          </cell>
          <cell r="S851" t="str">
            <v>polygon</v>
          </cell>
          <cell r="T851">
            <v>1</v>
          </cell>
          <cell r="U851" t="str">
            <v>NULL</v>
          </cell>
          <cell r="V851" t="str">
            <v>NULL</v>
          </cell>
          <cell r="W851" t="str">
            <v/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 t="str">
            <v>anytime</v>
          </cell>
          <cell r="AC851">
            <v>927</v>
          </cell>
          <cell r="AD851">
            <v>6</v>
          </cell>
          <cell r="AE851" t="str">
            <v>everyone</v>
          </cell>
        </row>
        <row r="852">
          <cell r="A852" t="str">
            <v>48002_3</v>
          </cell>
          <cell r="B852">
            <v>1</v>
          </cell>
          <cell r="C852">
            <v>48002</v>
          </cell>
          <cell r="D852" t="str">
            <v>孫悟空襲来！</v>
          </cell>
          <cell r="E852" t="str">
            <v>台湾版降臨2</v>
          </cell>
          <cell r="F852">
            <v>3</v>
          </cell>
          <cell r="G852" t="str">
            <v>ja</v>
          </cell>
          <cell r="H852" t="str">
            <v>【ノーコンテニュー】孫悟空襲来</v>
          </cell>
          <cell r="I852" t="str">
            <v>地獄級</v>
          </cell>
          <cell r="J852">
            <v>8007</v>
          </cell>
          <cell r="K852">
            <v>40</v>
          </cell>
          <cell r="L852">
            <v>4500</v>
          </cell>
          <cell r="M852">
            <v>1</v>
          </cell>
          <cell r="N852">
            <v>1</v>
          </cell>
          <cell r="O852">
            <v>1</v>
          </cell>
          <cell r="P852">
            <v>1</v>
          </cell>
          <cell r="Q852">
            <v>1</v>
          </cell>
          <cell r="R852">
            <v>3</v>
          </cell>
          <cell r="S852" t="str">
            <v>character</v>
          </cell>
          <cell r="T852">
            <v>8007</v>
          </cell>
          <cell r="U852" t="str">
            <v>NULL</v>
          </cell>
          <cell r="V852" t="str">
            <v>NULL</v>
          </cell>
          <cell r="W852" t="str">
            <v/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 t="str">
            <v>anytime</v>
          </cell>
          <cell r="AC852">
            <v>927</v>
          </cell>
          <cell r="AD852">
            <v>6</v>
          </cell>
          <cell r="AE852" t="str">
            <v>everyone</v>
          </cell>
        </row>
        <row r="853">
          <cell r="A853" t="str">
            <v>48003_1</v>
          </cell>
          <cell r="B853">
            <v>3</v>
          </cell>
          <cell r="C853">
            <v>48003</v>
          </cell>
          <cell r="D853" t="str">
            <v>月下老人襲来！</v>
          </cell>
          <cell r="E853" t="str">
            <v>台湾版降臨4</v>
          </cell>
          <cell r="F853">
            <v>1</v>
          </cell>
          <cell r="G853" t="str">
            <v>ja</v>
          </cell>
          <cell r="H853" t="str">
            <v>【超絶級】月下老人襲来</v>
          </cell>
          <cell r="I853" t="str">
            <v>超絶級</v>
          </cell>
          <cell r="J853">
            <v>8012</v>
          </cell>
          <cell r="K853">
            <v>35</v>
          </cell>
          <cell r="L853">
            <v>4200</v>
          </cell>
          <cell r="M853">
            <v>1</v>
          </cell>
          <cell r="N853">
            <v>1</v>
          </cell>
          <cell r="O853">
            <v>1</v>
          </cell>
          <cell r="P853">
            <v>1</v>
          </cell>
          <cell r="Q853">
            <v>1</v>
          </cell>
          <cell r="R853">
            <v>3</v>
          </cell>
          <cell r="S853" t="str">
            <v>polygon</v>
          </cell>
          <cell r="T853">
            <v>1</v>
          </cell>
          <cell r="U853" t="str">
            <v>NULL</v>
          </cell>
          <cell r="V853" t="str">
            <v>NULL</v>
          </cell>
          <cell r="W853" t="str">
            <v/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 t="str">
            <v>anytime</v>
          </cell>
          <cell r="AC853">
            <v>942</v>
          </cell>
          <cell r="AD853">
            <v>6</v>
          </cell>
          <cell r="AE853" t="str">
            <v>everyone</v>
          </cell>
        </row>
        <row r="854">
          <cell r="A854" t="str">
            <v>48003_2</v>
          </cell>
          <cell r="B854">
            <v>3</v>
          </cell>
          <cell r="C854">
            <v>48003</v>
          </cell>
          <cell r="D854" t="str">
            <v>月下老人襲来！</v>
          </cell>
          <cell r="E854" t="str">
            <v>台湾版降臨4</v>
          </cell>
          <cell r="F854">
            <v>2</v>
          </cell>
          <cell r="G854" t="str">
            <v>ja</v>
          </cell>
          <cell r="H854" t="str">
            <v>【ウィザード級】月下老人襲来</v>
          </cell>
          <cell r="I854" t="str">
            <v>地獄級</v>
          </cell>
          <cell r="J854">
            <v>8012</v>
          </cell>
          <cell r="K854">
            <v>40</v>
          </cell>
          <cell r="L854">
            <v>4500</v>
          </cell>
          <cell r="M854">
            <v>1</v>
          </cell>
          <cell r="N854">
            <v>1</v>
          </cell>
          <cell r="O854">
            <v>1</v>
          </cell>
          <cell r="P854">
            <v>1</v>
          </cell>
          <cell r="Q854">
            <v>1</v>
          </cell>
          <cell r="R854">
            <v>3</v>
          </cell>
          <cell r="S854" t="str">
            <v>polygon</v>
          </cell>
          <cell r="T854">
            <v>1</v>
          </cell>
          <cell r="U854" t="str">
            <v>NULL</v>
          </cell>
          <cell r="V854" t="str">
            <v>NULL</v>
          </cell>
          <cell r="W854" t="str">
            <v/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 t="str">
            <v>anytime</v>
          </cell>
          <cell r="AC854">
            <v>942</v>
          </cell>
          <cell r="AD854">
            <v>6</v>
          </cell>
          <cell r="AE854" t="str">
            <v>everyone</v>
          </cell>
        </row>
        <row r="855">
          <cell r="A855" t="str">
            <v>48004_1</v>
          </cell>
          <cell r="B855">
            <v>3</v>
          </cell>
          <cell r="C855">
            <v>48004</v>
          </cell>
          <cell r="D855" t="str">
            <v>蛟龍襲来！</v>
          </cell>
          <cell r="E855" t="str">
            <v>台湾版降臨5</v>
          </cell>
          <cell r="F855">
            <v>1</v>
          </cell>
          <cell r="G855" t="str">
            <v>ja</v>
          </cell>
          <cell r="H855" t="str">
            <v>【超絶級】蛟龍襲来</v>
          </cell>
          <cell r="I855" t="str">
            <v>地獄級</v>
          </cell>
          <cell r="J855">
            <v>8003</v>
          </cell>
          <cell r="K855">
            <v>35</v>
          </cell>
          <cell r="L855">
            <v>4200</v>
          </cell>
          <cell r="M855">
            <v>1</v>
          </cell>
          <cell r="N855">
            <v>1</v>
          </cell>
          <cell r="O855">
            <v>1</v>
          </cell>
          <cell r="P855">
            <v>1</v>
          </cell>
          <cell r="Q855">
            <v>1</v>
          </cell>
          <cell r="R855">
            <v>3</v>
          </cell>
          <cell r="S855" t="str">
            <v>polygon</v>
          </cell>
          <cell r="T855">
            <v>1</v>
          </cell>
          <cell r="U855" t="str">
            <v>NULL</v>
          </cell>
          <cell r="V855" t="str">
            <v>NULL</v>
          </cell>
          <cell r="W855" t="str">
            <v/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 t="str">
            <v>anytime</v>
          </cell>
          <cell r="AC855">
            <v>930</v>
          </cell>
          <cell r="AD855">
            <v>6</v>
          </cell>
          <cell r="AE855" t="str">
            <v>everyone</v>
          </cell>
        </row>
        <row r="856">
          <cell r="A856" t="str">
            <v>48004_2</v>
          </cell>
          <cell r="B856">
            <v>3</v>
          </cell>
          <cell r="C856">
            <v>48004</v>
          </cell>
          <cell r="D856" t="str">
            <v>蛟龍襲来！</v>
          </cell>
          <cell r="E856" t="str">
            <v>台湾版降臨5</v>
          </cell>
          <cell r="F856">
            <v>2</v>
          </cell>
          <cell r="G856" t="str">
            <v>ja</v>
          </cell>
          <cell r="H856" t="str">
            <v>【ウィザード級】蛟龍襲来</v>
          </cell>
          <cell r="I856" t="str">
            <v>地獄級</v>
          </cell>
          <cell r="J856">
            <v>8004</v>
          </cell>
          <cell r="K856">
            <v>40</v>
          </cell>
          <cell r="L856">
            <v>4500</v>
          </cell>
          <cell r="M856">
            <v>1</v>
          </cell>
          <cell r="N856">
            <v>1</v>
          </cell>
          <cell r="O856">
            <v>1</v>
          </cell>
          <cell r="P856">
            <v>1</v>
          </cell>
          <cell r="Q856">
            <v>1</v>
          </cell>
          <cell r="R856">
            <v>3</v>
          </cell>
          <cell r="S856" t="str">
            <v>polygon</v>
          </cell>
          <cell r="T856">
            <v>1</v>
          </cell>
          <cell r="U856" t="str">
            <v>NULL</v>
          </cell>
          <cell r="V856" t="str">
            <v>NULL</v>
          </cell>
          <cell r="W856" t="str">
            <v/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 t="str">
            <v>anytime</v>
          </cell>
          <cell r="AC856">
            <v>930</v>
          </cell>
          <cell r="AD856">
            <v>6</v>
          </cell>
          <cell r="AE856" t="str">
            <v>everyone</v>
          </cell>
        </row>
        <row r="857">
          <cell r="A857" t="str">
            <v>48005_1</v>
          </cell>
          <cell r="B857">
            <v>3</v>
          </cell>
          <cell r="C857">
            <v>48005</v>
          </cell>
          <cell r="D857" t="str">
            <v>孫悟空襲来！</v>
          </cell>
          <cell r="E857" t="str">
            <v>台湾版降臨6</v>
          </cell>
          <cell r="F857">
            <v>1</v>
          </cell>
          <cell r="G857" t="str">
            <v>ja</v>
          </cell>
          <cell r="H857" t="str">
            <v>【超絶級】孫悟空襲来</v>
          </cell>
          <cell r="I857" t="str">
            <v>地獄級</v>
          </cell>
          <cell r="J857">
            <v>8007</v>
          </cell>
          <cell r="K857">
            <v>35</v>
          </cell>
          <cell r="L857">
            <v>4200</v>
          </cell>
          <cell r="M857">
            <v>1</v>
          </cell>
          <cell r="N857">
            <v>1</v>
          </cell>
          <cell r="O857">
            <v>1</v>
          </cell>
          <cell r="P857">
            <v>1</v>
          </cell>
          <cell r="Q857">
            <v>1</v>
          </cell>
          <cell r="R857">
            <v>3</v>
          </cell>
          <cell r="S857" t="str">
            <v>polygon</v>
          </cell>
          <cell r="T857">
            <v>1</v>
          </cell>
          <cell r="U857" t="str">
            <v>NULL</v>
          </cell>
          <cell r="V857" t="str">
            <v>NULL</v>
          </cell>
          <cell r="W857" t="str">
            <v/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 t="str">
            <v>anytime</v>
          </cell>
          <cell r="AC857">
            <v>932</v>
          </cell>
          <cell r="AD857">
            <v>6</v>
          </cell>
          <cell r="AE857" t="str">
            <v>everyone</v>
          </cell>
        </row>
        <row r="858">
          <cell r="A858" t="str">
            <v>48005_2</v>
          </cell>
          <cell r="B858">
            <v>3</v>
          </cell>
          <cell r="C858">
            <v>48005</v>
          </cell>
          <cell r="D858" t="str">
            <v>孫悟空襲来！</v>
          </cell>
          <cell r="E858" t="str">
            <v>台湾版降臨6</v>
          </cell>
          <cell r="F858">
            <v>2</v>
          </cell>
          <cell r="G858" t="str">
            <v>ja</v>
          </cell>
          <cell r="H858" t="str">
            <v>【ウィザード級】孫悟空襲来</v>
          </cell>
          <cell r="I858" t="str">
            <v>地獄級</v>
          </cell>
          <cell r="J858">
            <v>8008</v>
          </cell>
          <cell r="K858">
            <v>40</v>
          </cell>
          <cell r="L858">
            <v>4500</v>
          </cell>
          <cell r="M858">
            <v>1</v>
          </cell>
          <cell r="N858">
            <v>1</v>
          </cell>
          <cell r="O858">
            <v>1</v>
          </cell>
          <cell r="P858">
            <v>1</v>
          </cell>
          <cell r="Q858">
            <v>1</v>
          </cell>
          <cell r="R858">
            <v>3</v>
          </cell>
          <cell r="S858" t="str">
            <v>polygon</v>
          </cell>
          <cell r="T858">
            <v>1</v>
          </cell>
          <cell r="U858" t="str">
            <v>NULL</v>
          </cell>
          <cell r="V858" t="str">
            <v>NULL</v>
          </cell>
          <cell r="W858" t="str">
            <v/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 t="str">
            <v>anytime</v>
          </cell>
          <cell r="AC858">
            <v>932</v>
          </cell>
          <cell r="AD858">
            <v>6</v>
          </cell>
          <cell r="AE858" t="str">
            <v>everyone</v>
          </cell>
        </row>
        <row r="859">
          <cell r="A859" t="str">
            <v>48006_1</v>
          </cell>
          <cell r="B859">
            <v>3</v>
          </cell>
          <cell r="C859">
            <v>48006</v>
          </cell>
          <cell r="D859" t="str">
            <v>牛頭馬面襲来！</v>
          </cell>
          <cell r="E859" t="str">
            <v>台湾版降臨7</v>
          </cell>
          <cell r="F859">
            <v>1</v>
          </cell>
          <cell r="G859" t="str">
            <v>ja</v>
          </cell>
          <cell r="H859" t="str">
            <v>【超絶級】牛頭馬面襲来</v>
          </cell>
          <cell r="I859" t="str">
            <v>地獄級</v>
          </cell>
          <cell r="J859">
            <v>8033</v>
          </cell>
          <cell r="K859">
            <v>35</v>
          </cell>
          <cell r="L859">
            <v>4200</v>
          </cell>
          <cell r="M859">
            <v>1</v>
          </cell>
          <cell r="N859">
            <v>1</v>
          </cell>
          <cell r="O859">
            <v>1</v>
          </cell>
          <cell r="P859">
            <v>1</v>
          </cell>
          <cell r="Q859">
            <v>0</v>
          </cell>
          <cell r="R859">
            <v>3</v>
          </cell>
          <cell r="S859" t="str">
            <v>polygon</v>
          </cell>
          <cell r="T859">
            <v>1</v>
          </cell>
          <cell r="U859" t="str">
            <v>NULL</v>
          </cell>
          <cell r="V859" t="str">
            <v>NULL</v>
          </cell>
          <cell r="W859" t="str">
            <v/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 t="str">
            <v>anytime</v>
          </cell>
          <cell r="AC859">
            <v>946</v>
          </cell>
          <cell r="AD859">
            <v>6</v>
          </cell>
          <cell r="AE859" t="str">
            <v>everyone</v>
          </cell>
        </row>
        <row r="860">
          <cell r="A860" t="str">
            <v>48006_2</v>
          </cell>
          <cell r="B860">
            <v>3</v>
          </cell>
          <cell r="C860">
            <v>48006</v>
          </cell>
          <cell r="D860" t="str">
            <v>牛頭馬面襲来！</v>
          </cell>
          <cell r="E860" t="str">
            <v>台湾版降臨7</v>
          </cell>
          <cell r="F860">
            <v>2</v>
          </cell>
          <cell r="G860" t="str">
            <v>ja</v>
          </cell>
          <cell r="H860" t="str">
            <v>【ウィザード級】牛頭馬面襲来</v>
          </cell>
          <cell r="I860" t="str">
            <v>地獄級</v>
          </cell>
          <cell r="J860">
            <v>8034</v>
          </cell>
          <cell r="K860">
            <v>40</v>
          </cell>
          <cell r="L860">
            <v>4500</v>
          </cell>
          <cell r="M860">
            <v>1</v>
          </cell>
          <cell r="N860">
            <v>1</v>
          </cell>
          <cell r="O860">
            <v>1</v>
          </cell>
          <cell r="P860">
            <v>1</v>
          </cell>
          <cell r="Q860">
            <v>0</v>
          </cell>
          <cell r="R860">
            <v>3</v>
          </cell>
          <cell r="S860" t="str">
            <v>polygon</v>
          </cell>
          <cell r="T860">
            <v>1</v>
          </cell>
          <cell r="U860" t="str">
            <v>NULL</v>
          </cell>
          <cell r="V860" t="str">
            <v>NULL</v>
          </cell>
          <cell r="W860" t="str">
            <v/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 t="str">
            <v>anytime</v>
          </cell>
          <cell r="AC860">
            <v>946</v>
          </cell>
          <cell r="AD860">
            <v>6</v>
          </cell>
          <cell r="AE860" t="str">
            <v>everyone</v>
          </cell>
        </row>
        <row r="861">
          <cell r="A861" t="str">
            <v>48007_1</v>
          </cell>
          <cell r="B861">
            <v>1</v>
          </cell>
          <cell r="C861">
            <v>48007</v>
          </cell>
          <cell r="D861" t="str">
            <v>紅鬼襲来！</v>
          </cell>
          <cell r="E861" t="str">
            <v>台湾版降臨8</v>
          </cell>
          <cell r="F861">
            <v>1</v>
          </cell>
          <cell r="G861" t="str">
            <v>ja</v>
          </cell>
          <cell r="H861" t="str">
            <v>【超絶級】紅鬼襲来</v>
          </cell>
          <cell r="I861" t="str">
            <v>地獄級</v>
          </cell>
          <cell r="J861">
            <v>8079</v>
          </cell>
          <cell r="K861">
            <v>35</v>
          </cell>
          <cell r="L861">
            <v>4200</v>
          </cell>
          <cell r="M861">
            <v>1</v>
          </cell>
          <cell r="N861">
            <v>1</v>
          </cell>
          <cell r="O861">
            <v>1</v>
          </cell>
          <cell r="P861">
            <v>1</v>
          </cell>
          <cell r="Q861">
            <v>1</v>
          </cell>
          <cell r="R861">
            <v>3</v>
          </cell>
          <cell r="S861" t="str">
            <v>polygon</v>
          </cell>
          <cell r="T861">
            <v>1</v>
          </cell>
          <cell r="U861" t="str">
            <v>NULL</v>
          </cell>
          <cell r="V861" t="str">
            <v>NULL</v>
          </cell>
          <cell r="W861" t="str">
            <v/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 t="str">
            <v>anytime</v>
          </cell>
          <cell r="AC861">
            <v>931</v>
          </cell>
          <cell r="AD861">
            <v>6</v>
          </cell>
          <cell r="AE861" t="str">
            <v>everyone</v>
          </cell>
        </row>
        <row r="862">
          <cell r="A862" t="str">
            <v>48007_2</v>
          </cell>
          <cell r="B862">
            <v>1</v>
          </cell>
          <cell r="C862">
            <v>48007</v>
          </cell>
          <cell r="D862" t="str">
            <v>紅鬼襲来！</v>
          </cell>
          <cell r="E862" t="str">
            <v>台湾版降臨8</v>
          </cell>
          <cell r="F862">
            <v>2</v>
          </cell>
          <cell r="G862" t="str">
            <v>ja</v>
          </cell>
          <cell r="H862" t="str">
            <v>【ウィザード級】紅鬼襲来</v>
          </cell>
          <cell r="I862" t="str">
            <v>地獄級</v>
          </cell>
          <cell r="J862">
            <v>8080</v>
          </cell>
          <cell r="K862">
            <v>40</v>
          </cell>
          <cell r="L862">
            <v>4500</v>
          </cell>
          <cell r="M862">
            <v>1</v>
          </cell>
          <cell r="N862">
            <v>1</v>
          </cell>
          <cell r="O862">
            <v>1</v>
          </cell>
          <cell r="P862">
            <v>1</v>
          </cell>
          <cell r="Q862">
            <v>1</v>
          </cell>
          <cell r="R862">
            <v>3</v>
          </cell>
          <cell r="S862" t="str">
            <v>polygon</v>
          </cell>
          <cell r="T862">
            <v>1</v>
          </cell>
          <cell r="U862" t="str">
            <v>NULL</v>
          </cell>
          <cell r="V862" t="str">
            <v>NULL</v>
          </cell>
          <cell r="W862" t="str">
            <v/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 t="str">
            <v>anytime</v>
          </cell>
          <cell r="AC862">
            <v>931</v>
          </cell>
          <cell r="AD862">
            <v>6</v>
          </cell>
          <cell r="AE862" t="str">
            <v>everyone</v>
          </cell>
        </row>
        <row r="863">
          <cell r="A863" t="str">
            <v>48008_1</v>
          </cell>
          <cell r="B863">
            <v>1</v>
          </cell>
          <cell r="C863">
            <v>48008</v>
          </cell>
          <cell r="D863" t="str">
            <v>紀昌襲来！</v>
          </cell>
          <cell r="E863" t="str">
            <v>台湾版降臨9</v>
          </cell>
          <cell r="F863">
            <v>1</v>
          </cell>
          <cell r="G863" t="str">
            <v>ja</v>
          </cell>
          <cell r="H863" t="str">
            <v>【超絶級】紀昌襲来</v>
          </cell>
          <cell r="I863" t="str">
            <v>地獄級</v>
          </cell>
          <cell r="J863">
            <v>8037</v>
          </cell>
          <cell r="K863">
            <v>35</v>
          </cell>
          <cell r="L863">
            <v>4200</v>
          </cell>
          <cell r="M863">
            <v>1</v>
          </cell>
          <cell r="N863">
            <v>1</v>
          </cell>
          <cell r="O863">
            <v>1</v>
          </cell>
          <cell r="P863">
            <v>1</v>
          </cell>
          <cell r="Q863">
            <v>1</v>
          </cell>
          <cell r="R863">
            <v>3</v>
          </cell>
          <cell r="S863" t="str">
            <v>polygon</v>
          </cell>
          <cell r="T863">
            <v>1</v>
          </cell>
          <cell r="U863" t="str">
            <v>NULL</v>
          </cell>
          <cell r="V863" t="str">
            <v>NULL</v>
          </cell>
          <cell r="W863" t="str">
            <v/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 t="str">
            <v>anytime</v>
          </cell>
          <cell r="AC863">
            <v>948</v>
          </cell>
          <cell r="AD863">
            <v>6</v>
          </cell>
          <cell r="AE863" t="str">
            <v>everyone</v>
          </cell>
        </row>
        <row r="864">
          <cell r="A864" t="str">
            <v>48008_2</v>
          </cell>
          <cell r="B864">
            <v>1</v>
          </cell>
          <cell r="C864">
            <v>48008</v>
          </cell>
          <cell r="D864" t="str">
            <v>紀昌襲来！</v>
          </cell>
          <cell r="E864" t="str">
            <v>台湾版降臨9</v>
          </cell>
          <cell r="F864">
            <v>2</v>
          </cell>
          <cell r="G864" t="str">
            <v>ja</v>
          </cell>
          <cell r="H864" t="str">
            <v>【ウィザード級】紀昌襲来</v>
          </cell>
          <cell r="I864" t="str">
            <v>地獄級</v>
          </cell>
          <cell r="J864">
            <v>8038</v>
          </cell>
          <cell r="K864">
            <v>40</v>
          </cell>
          <cell r="L864">
            <v>4500</v>
          </cell>
          <cell r="M864">
            <v>1</v>
          </cell>
          <cell r="N864">
            <v>1</v>
          </cell>
          <cell r="O864">
            <v>1</v>
          </cell>
          <cell r="P864">
            <v>1</v>
          </cell>
          <cell r="Q864">
            <v>1</v>
          </cell>
          <cell r="R864">
            <v>3</v>
          </cell>
          <cell r="S864" t="str">
            <v>polygon</v>
          </cell>
          <cell r="T864">
            <v>1</v>
          </cell>
          <cell r="U864" t="str">
            <v>NULL</v>
          </cell>
          <cell r="V864" t="str">
            <v>NULL</v>
          </cell>
          <cell r="W864" t="str">
            <v/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 t="str">
            <v>anytime</v>
          </cell>
          <cell r="AC864">
            <v>948</v>
          </cell>
          <cell r="AD864">
            <v>6</v>
          </cell>
          <cell r="AE864" t="str">
            <v>everyone</v>
          </cell>
        </row>
        <row r="865">
          <cell r="A865" t="str">
            <v>48009_1</v>
          </cell>
          <cell r="B865">
            <v>1</v>
          </cell>
          <cell r="C865">
            <v>48009</v>
          </cell>
          <cell r="D865" t="str">
            <v>藍采和襲来！</v>
          </cell>
          <cell r="E865" t="str">
            <v>台湾版降臨10</v>
          </cell>
          <cell r="F865">
            <v>1</v>
          </cell>
          <cell r="G865" t="str">
            <v>ja</v>
          </cell>
          <cell r="H865" t="str">
            <v>【超絶級】藍采和襲来</v>
          </cell>
          <cell r="I865" t="str">
            <v>地獄級</v>
          </cell>
          <cell r="J865">
            <v>8042</v>
          </cell>
          <cell r="K865">
            <v>35</v>
          </cell>
          <cell r="L865">
            <v>4200</v>
          </cell>
          <cell r="M865">
            <v>1</v>
          </cell>
          <cell r="N865">
            <v>1</v>
          </cell>
          <cell r="O865">
            <v>1</v>
          </cell>
          <cell r="P865">
            <v>1</v>
          </cell>
          <cell r="Q865">
            <v>1</v>
          </cell>
          <cell r="R865">
            <v>3</v>
          </cell>
          <cell r="S865" t="str">
            <v>polygon</v>
          </cell>
          <cell r="T865">
            <v>1</v>
          </cell>
          <cell r="U865" t="str">
            <v>NULL</v>
          </cell>
          <cell r="V865" t="str">
            <v>NULL</v>
          </cell>
          <cell r="W865" t="str">
            <v/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 t="str">
            <v>anytime</v>
          </cell>
          <cell r="AC865">
            <v>953</v>
          </cell>
          <cell r="AD865">
            <v>6</v>
          </cell>
          <cell r="AE865" t="str">
            <v>everyone</v>
          </cell>
        </row>
        <row r="866">
          <cell r="A866" t="str">
            <v>48009_2</v>
          </cell>
          <cell r="B866">
            <v>1</v>
          </cell>
          <cell r="C866">
            <v>48009</v>
          </cell>
          <cell r="D866" t="str">
            <v>藍采和襲来！</v>
          </cell>
          <cell r="E866" t="str">
            <v>台湾版降臨10</v>
          </cell>
          <cell r="F866">
            <v>2</v>
          </cell>
          <cell r="G866" t="str">
            <v>ja</v>
          </cell>
          <cell r="H866" t="str">
            <v>【ウィザード級】藍采和襲来</v>
          </cell>
          <cell r="I866" t="str">
            <v>地獄級</v>
          </cell>
          <cell r="J866">
            <v>8042</v>
          </cell>
          <cell r="K866">
            <v>40</v>
          </cell>
          <cell r="L866">
            <v>4500</v>
          </cell>
          <cell r="M866">
            <v>1</v>
          </cell>
          <cell r="N866">
            <v>1</v>
          </cell>
          <cell r="O866">
            <v>1</v>
          </cell>
          <cell r="P866">
            <v>1</v>
          </cell>
          <cell r="Q866">
            <v>1</v>
          </cell>
          <cell r="R866">
            <v>3</v>
          </cell>
          <cell r="S866" t="str">
            <v>polygon</v>
          </cell>
          <cell r="T866">
            <v>1</v>
          </cell>
          <cell r="U866" t="str">
            <v>NULL</v>
          </cell>
          <cell r="V866" t="str">
            <v>NULL</v>
          </cell>
          <cell r="W866" t="str">
            <v/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 t="str">
            <v>anytime</v>
          </cell>
          <cell r="AC866">
            <v>953</v>
          </cell>
          <cell r="AD866">
            <v>6</v>
          </cell>
          <cell r="AE866" t="str">
            <v>everyone</v>
          </cell>
        </row>
        <row r="867">
          <cell r="A867" t="str">
            <v>48010_1</v>
          </cell>
          <cell r="B867">
            <v>1</v>
          </cell>
          <cell r="C867">
            <v>48010</v>
          </cell>
          <cell r="D867" t="str">
            <v>バハムートダックより祝福を</v>
          </cell>
          <cell r="E867" t="str">
            <v>台湾バハムート記念限定クエスト</v>
          </cell>
          <cell r="F867">
            <v>1</v>
          </cell>
          <cell r="G867" t="str">
            <v>ja</v>
          </cell>
          <cell r="H867" t="str">
            <v>バハムートダックより祝福を</v>
          </cell>
          <cell r="I867" t="str">
            <v>台湾バハムート記念限定クエスト</v>
          </cell>
          <cell r="J867">
            <v>8095</v>
          </cell>
          <cell r="K867">
            <v>1</v>
          </cell>
          <cell r="L867">
            <v>200</v>
          </cell>
          <cell r="M867">
            <v>1</v>
          </cell>
          <cell r="N867">
            <v>1</v>
          </cell>
          <cell r="O867">
            <v>1</v>
          </cell>
          <cell r="P867">
            <v>1</v>
          </cell>
          <cell r="Q867">
            <v>1</v>
          </cell>
          <cell r="R867">
            <v>3</v>
          </cell>
          <cell r="S867" t="str">
            <v>polygon</v>
          </cell>
          <cell r="T867">
            <v>1</v>
          </cell>
          <cell r="U867" t="str">
            <v>NULL</v>
          </cell>
          <cell r="V867" t="str">
            <v>NULL</v>
          </cell>
          <cell r="W867" t="str">
            <v/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 t="str">
            <v>once</v>
          </cell>
          <cell r="AC867">
            <v>1</v>
          </cell>
          <cell r="AD867">
            <v>6</v>
          </cell>
          <cell r="AE867" t="str">
            <v>singleonly</v>
          </cell>
        </row>
        <row r="868">
          <cell r="A868" t="str">
            <v>48011_1</v>
          </cell>
          <cell r="B868">
            <v>1</v>
          </cell>
          <cell r="C868">
            <v>48011</v>
          </cell>
          <cell r="D868" t="str">
            <v>年獣襲来！</v>
          </cell>
          <cell r="E868" t="str">
            <v>台湾版降臨11</v>
          </cell>
          <cell r="F868">
            <v>1</v>
          </cell>
          <cell r="G868" t="str">
            <v>ja</v>
          </cell>
          <cell r="H868" t="str">
            <v>【超絶級】年獣襲来</v>
          </cell>
          <cell r="I868" t="str">
            <v>地獄級</v>
          </cell>
          <cell r="J868">
            <v>8090</v>
          </cell>
          <cell r="K868">
            <v>35</v>
          </cell>
          <cell r="L868">
            <v>4200</v>
          </cell>
          <cell r="M868">
            <v>1</v>
          </cell>
          <cell r="N868">
            <v>1</v>
          </cell>
          <cell r="O868">
            <v>1</v>
          </cell>
          <cell r="P868">
            <v>1</v>
          </cell>
          <cell r="Q868">
            <v>1</v>
          </cell>
          <cell r="R868">
            <v>3</v>
          </cell>
          <cell r="S868" t="str">
            <v>polygon</v>
          </cell>
          <cell r="T868">
            <v>1</v>
          </cell>
          <cell r="U868" t="str">
            <v>NULL</v>
          </cell>
          <cell r="V868" t="str">
            <v>NULL</v>
          </cell>
          <cell r="W868" t="str">
            <v/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 t="str">
            <v>anytime</v>
          </cell>
          <cell r="AC868">
            <v>970</v>
          </cell>
          <cell r="AD868">
            <v>6</v>
          </cell>
          <cell r="AE868" t="str">
            <v>everyone</v>
          </cell>
        </row>
        <row r="869">
          <cell r="A869" t="str">
            <v>48011_2</v>
          </cell>
          <cell r="B869">
            <v>1</v>
          </cell>
          <cell r="C869">
            <v>48011</v>
          </cell>
          <cell r="D869" t="str">
            <v>年獣襲来！</v>
          </cell>
          <cell r="E869" t="str">
            <v>台湾版降臨11</v>
          </cell>
          <cell r="F869">
            <v>2</v>
          </cell>
          <cell r="G869" t="str">
            <v>ja</v>
          </cell>
          <cell r="H869" t="str">
            <v>【ウィザード級】年獣襲来</v>
          </cell>
          <cell r="I869" t="str">
            <v>地獄級</v>
          </cell>
          <cell r="J869">
            <v>8090</v>
          </cell>
          <cell r="K869">
            <v>40</v>
          </cell>
          <cell r="L869">
            <v>4500</v>
          </cell>
          <cell r="M869">
            <v>1</v>
          </cell>
          <cell r="N869">
            <v>1</v>
          </cell>
          <cell r="O869">
            <v>1</v>
          </cell>
          <cell r="P869">
            <v>1</v>
          </cell>
          <cell r="Q869">
            <v>1</v>
          </cell>
          <cell r="R869">
            <v>3</v>
          </cell>
          <cell r="S869" t="str">
            <v>polygon</v>
          </cell>
          <cell r="T869">
            <v>1</v>
          </cell>
          <cell r="U869" t="str">
            <v>NULL</v>
          </cell>
          <cell r="V869" t="str">
            <v>NULL</v>
          </cell>
          <cell r="W869" t="str">
            <v/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 t="str">
            <v>anytime</v>
          </cell>
          <cell r="AC869">
            <v>970</v>
          </cell>
          <cell r="AD869">
            <v>6</v>
          </cell>
          <cell r="AE869" t="str">
            <v>everyone</v>
          </cell>
        </row>
        <row r="870">
          <cell r="A870" t="str">
            <v>48501_1</v>
          </cell>
          <cell r="B870">
            <v>1</v>
          </cell>
          <cell r="C870">
            <v>48501</v>
          </cell>
          <cell r="D870" t="str">
            <v>ナーガ襲来！</v>
          </cell>
          <cell r="E870" t="str">
            <v>グローバル版降臨1</v>
          </cell>
          <cell r="F870">
            <v>1</v>
          </cell>
          <cell r="G870" t="str">
            <v>ja</v>
          </cell>
          <cell r="H870" t="str">
            <v>【超絶級】ナーガ襲来</v>
          </cell>
          <cell r="I870" t="str">
            <v>地獄級</v>
          </cell>
          <cell r="J870">
            <v>5004</v>
          </cell>
          <cell r="K870">
            <v>35</v>
          </cell>
          <cell r="L870">
            <v>4200</v>
          </cell>
          <cell r="M870">
            <v>1</v>
          </cell>
          <cell r="N870">
            <v>1</v>
          </cell>
          <cell r="O870">
            <v>1</v>
          </cell>
          <cell r="P870">
            <v>1</v>
          </cell>
          <cell r="Q870">
            <v>1</v>
          </cell>
          <cell r="R870">
            <v>3</v>
          </cell>
          <cell r="S870" t="str">
            <v>polygon</v>
          </cell>
          <cell r="T870">
            <v>1</v>
          </cell>
          <cell r="U870" t="str">
            <v>NULL</v>
          </cell>
          <cell r="V870" t="str">
            <v>NULL</v>
          </cell>
          <cell r="W870" t="str">
            <v/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 t="str">
            <v>anytime</v>
          </cell>
          <cell r="AC870">
            <v>963</v>
          </cell>
          <cell r="AD870">
            <v>6</v>
          </cell>
          <cell r="AE870" t="str">
            <v>everyone</v>
          </cell>
        </row>
        <row r="871">
          <cell r="A871" t="str">
            <v>48501_2</v>
          </cell>
          <cell r="B871">
            <v>1</v>
          </cell>
          <cell r="C871">
            <v>48501</v>
          </cell>
          <cell r="D871" t="str">
            <v>ナーガ襲来！</v>
          </cell>
          <cell r="E871" t="str">
            <v>グローバル版降臨1</v>
          </cell>
          <cell r="F871">
            <v>2</v>
          </cell>
          <cell r="G871" t="str">
            <v>ja</v>
          </cell>
          <cell r="H871" t="str">
            <v>【ウィザード級】ナーガ襲来</v>
          </cell>
          <cell r="I871" t="str">
            <v>地獄級</v>
          </cell>
          <cell r="J871">
            <v>5004</v>
          </cell>
          <cell r="K871">
            <v>40</v>
          </cell>
          <cell r="L871">
            <v>4500</v>
          </cell>
          <cell r="M871">
            <v>1</v>
          </cell>
          <cell r="N871">
            <v>1</v>
          </cell>
          <cell r="O871">
            <v>1</v>
          </cell>
          <cell r="P871">
            <v>1</v>
          </cell>
          <cell r="Q871">
            <v>1</v>
          </cell>
          <cell r="R871">
            <v>3</v>
          </cell>
          <cell r="S871" t="str">
            <v>polygon</v>
          </cell>
          <cell r="T871">
            <v>1</v>
          </cell>
          <cell r="U871" t="str">
            <v>NULL</v>
          </cell>
          <cell r="V871" t="str">
            <v>NULL</v>
          </cell>
          <cell r="W871" t="str">
            <v/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 t="str">
            <v>anytime</v>
          </cell>
          <cell r="AC871">
            <v>963</v>
          </cell>
          <cell r="AD871">
            <v>6</v>
          </cell>
          <cell r="AE871" t="str">
            <v>everyone</v>
          </cell>
        </row>
        <row r="872">
          <cell r="A872" t="str">
            <v>48502_1</v>
          </cell>
          <cell r="B872">
            <v>1</v>
          </cell>
          <cell r="C872">
            <v>48502</v>
          </cell>
          <cell r="D872" t="str">
            <v>ヘルシング襲来！</v>
          </cell>
          <cell r="E872" t="str">
            <v>グローバル版降臨2</v>
          </cell>
          <cell r="F872">
            <v>1</v>
          </cell>
          <cell r="G872" t="str">
            <v>ja</v>
          </cell>
          <cell r="H872" t="str">
            <v>【超絶級】ヘルシング襲来</v>
          </cell>
          <cell r="I872" t="str">
            <v>地獄級</v>
          </cell>
          <cell r="J872">
            <v>5008</v>
          </cell>
          <cell r="K872">
            <v>35</v>
          </cell>
          <cell r="L872">
            <v>4200</v>
          </cell>
          <cell r="M872">
            <v>1</v>
          </cell>
          <cell r="N872">
            <v>1</v>
          </cell>
          <cell r="O872">
            <v>1</v>
          </cell>
          <cell r="P872">
            <v>1</v>
          </cell>
          <cell r="Q872">
            <v>1</v>
          </cell>
          <cell r="R872">
            <v>3</v>
          </cell>
          <cell r="S872" t="str">
            <v>polygon</v>
          </cell>
          <cell r="T872">
            <v>1</v>
          </cell>
          <cell r="U872" t="str">
            <v>NULL</v>
          </cell>
          <cell r="V872" t="str">
            <v>NULL</v>
          </cell>
          <cell r="W872" t="str">
            <v/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 t="str">
            <v>anytime</v>
          </cell>
          <cell r="AC872">
            <v>963</v>
          </cell>
          <cell r="AD872">
            <v>6</v>
          </cell>
          <cell r="AE872" t="str">
            <v>everyone</v>
          </cell>
        </row>
        <row r="873">
          <cell r="A873" t="str">
            <v>48502_2</v>
          </cell>
          <cell r="B873">
            <v>1</v>
          </cell>
          <cell r="C873">
            <v>48502</v>
          </cell>
          <cell r="D873" t="str">
            <v>ヘルシング襲来！</v>
          </cell>
          <cell r="E873" t="str">
            <v>グローバル版降臨2</v>
          </cell>
          <cell r="F873">
            <v>2</v>
          </cell>
          <cell r="G873" t="str">
            <v>ja</v>
          </cell>
          <cell r="H873" t="str">
            <v>【ウィザード級】ヘルシング襲来</v>
          </cell>
          <cell r="I873" t="str">
            <v>地獄級</v>
          </cell>
          <cell r="J873">
            <v>5008</v>
          </cell>
          <cell r="K873">
            <v>40</v>
          </cell>
          <cell r="L873">
            <v>4500</v>
          </cell>
          <cell r="M873">
            <v>1</v>
          </cell>
          <cell r="N873">
            <v>1</v>
          </cell>
          <cell r="O873">
            <v>1</v>
          </cell>
          <cell r="P873">
            <v>1</v>
          </cell>
          <cell r="Q873">
            <v>1</v>
          </cell>
          <cell r="R873">
            <v>3</v>
          </cell>
          <cell r="S873" t="str">
            <v>polygon</v>
          </cell>
          <cell r="T873">
            <v>1</v>
          </cell>
          <cell r="U873" t="str">
            <v>NULL</v>
          </cell>
          <cell r="V873" t="str">
            <v>NULL</v>
          </cell>
          <cell r="W873" t="str">
            <v/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 t="str">
            <v>anytime</v>
          </cell>
          <cell r="AC873">
            <v>963</v>
          </cell>
          <cell r="AD873">
            <v>6</v>
          </cell>
          <cell r="AE873" t="str">
            <v>everyone</v>
          </cell>
        </row>
        <row r="874">
          <cell r="A874" t="str">
            <v>48701_1</v>
          </cell>
          <cell r="B874">
            <v>1</v>
          </cell>
          <cell r="C874">
            <v>48701</v>
          </cell>
          <cell r="D874" t="str">
            <v>M.Dragon襲来！</v>
          </cell>
          <cell r="E874" t="str">
            <v>韓国版降臨1</v>
          </cell>
          <cell r="F874">
            <v>1</v>
          </cell>
          <cell r="G874" t="str">
            <v>ja</v>
          </cell>
          <cell r="H874" t="str">
            <v>【超絶級】M.Dragon襲来</v>
          </cell>
          <cell r="I874" t="str">
            <v>地獄級</v>
          </cell>
          <cell r="J874">
            <v>9004</v>
          </cell>
          <cell r="K874">
            <v>35</v>
          </cell>
          <cell r="L874">
            <v>4200</v>
          </cell>
          <cell r="M874">
            <v>1</v>
          </cell>
          <cell r="N874">
            <v>1</v>
          </cell>
          <cell r="O874">
            <v>1</v>
          </cell>
          <cell r="P874">
            <v>1</v>
          </cell>
          <cell r="Q874">
            <v>1</v>
          </cell>
          <cell r="R874">
            <v>3</v>
          </cell>
          <cell r="S874" t="str">
            <v>polygon</v>
          </cell>
          <cell r="T874">
            <v>1</v>
          </cell>
          <cell r="U874" t="str">
            <v>NULL</v>
          </cell>
          <cell r="V874" t="str">
            <v>NULL</v>
          </cell>
          <cell r="W874" t="str">
            <v/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 t="str">
            <v>anytime</v>
          </cell>
          <cell r="AC874">
            <v>963</v>
          </cell>
          <cell r="AD874">
            <v>6</v>
          </cell>
          <cell r="AE874" t="str">
            <v>everyone</v>
          </cell>
        </row>
        <row r="875">
          <cell r="A875" t="str">
            <v>48701_2</v>
          </cell>
          <cell r="B875">
            <v>1</v>
          </cell>
          <cell r="C875">
            <v>48701</v>
          </cell>
          <cell r="D875" t="str">
            <v>M.Dragon襲来！</v>
          </cell>
          <cell r="E875" t="str">
            <v>韓国版降臨1</v>
          </cell>
          <cell r="F875">
            <v>2</v>
          </cell>
          <cell r="G875" t="str">
            <v>ja</v>
          </cell>
          <cell r="H875" t="str">
            <v>【ウィザード級】M.Dragon襲来</v>
          </cell>
          <cell r="I875" t="str">
            <v>地獄級</v>
          </cell>
          <cell r="J875">
            <v>9004</v>
          </cell>
          <cell r="K875">
            <v>40</v>
          </cell>
          <cell r="L875">
            <v>4500</v>
          </cell>
          <cell r="M875">
            <v>1</v>
          </cell>
          <cell r="N875">
            <v>1</v>
          </cell>
          <cell r="O875">
            <v>1</v>
          </cell>
          <cell r="P875">
            <v>1</v>
          </cell>
          <cell r="Q875">
            <v>1</v>
          </cell>
          <cell r="R875">
            <v>3</v>
          </cell>
          <cell r="S875" t="str">
            <v>polygon</v>
          </cell>
          <cell r="T875">
            <v>1</v>
          </cell>
          <cell r="U875" t="str">
            <v>NULL</v>
          </cell>
          <cell r="V875" t="str">
            <v>NULL</v>
          </cell>
          <cell r="W875" t="str">
            <v/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 t="str">
            <v>anytime</v>
          </cell>
          <cell r="AC875">
            <v>963</v>
          </cell>
          <cell r="AD875">
            <v>6</v>
          </cell>
          <cell r="AE875" t="str">
            <v>everyone</v>
          </cell>
        </row>
        <row r="876">
          <cell r="A876" t="str">
            <v>49001_1</v>
          </cell>
          <cell r="B876">
            <v>3</v>
          </cell>
          <cell r="C876">
            <v>49001</v>
          </cell>
          <cell r="D876" t="str">
            <v>熱唱！初音ミクV3</v>
          </cell>
          <cell r="E876" t="str">
            <v>コラボ降臨1</v>
          </cell>
          <cell r="F876">
            <v>1</v>
          </cell>
          <cell r="G876" t="str">
            <v>ja</v>
          </cell>
          <cell r="H876" t="str">
            <v>【ウィザード級】熱唱！初音ミクV3</v>
          </cell>
          <cell r="I876" t="str">
            <v>地獄級</v>
          </cell>
          <cell r="J876">
            <v>528</v>
          </cell>
          <cell r="K876">
            <v>40</v>
          </cell>
          <cell r="L876">
            <v>4200</v>
          </cell>
          <cell r="M876">
            <v>1</v>
          </cell>
          <cell r="N876">
            <v>1</v>
          </cell>
          <cell r="O876">
            <v>1</v>
          </cell>
          <cell r="P876">
            <v>1</v>
          </cell>
          <cell r="Q876">
            <v>1</v>
          </cell>
          <cell r="R876">
            <v>3</v>
          </cell>
          <cell r="S876" t="str">
            <v>polygon</v>
          </cell>
          <cell r="T876">
            <v>1</v>
          </cell>
          <cell r="U876" t="str">
            <v>NULL</v>
          </cell>
          <cell r="V876" t="str">
            <v>NULL</v>
          </cell>
          <cell r="W876" t="str">
            <v/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 t="str">
            <v>anytime</v>
          </cell>
          <cell r="AC876">
            <v>910</v>
          </cell>
          <cell r="AD876">
            <v>6</v>
          </cell>
          <cell r="AE876" t="str">
            <v>everyone</v>
          </cell>
        </row>
        <row r="877">
          <cell r="A877" t="str">
            <v>49002_1</v>
          </cell>
          <cell r="B877">
            <v>3</v>
          </cell>
          <cell r="C877">
            <v>49002</v>
          </cell>
          <cell r="D877" t="str">
            <v>園原杏里襲来！</v>
          </cell>
          <cell r="E877" t="str">
            <v>コラボ降臨2</v>
          </cell>
          <cell r="F877">
            <v>1</v>
          </cell>
          <cell r="G877" t="str">
            <v>ja</v>
          </cell>
          <cell r="H877" t="str">
            <v>【ウィザード級】園原杏里襲来</v>
          </cell>
          <cell r="I877" t="str">
            <v>地獄級</v>
          </cell>
          <cell r="J877">
            <v>699</v>
          </cell>
          <cell r="K877">
            <v>40</v>
          </cell>
          <cell r="L877">
            <v>4500</v>
          </cell>
          <cell r="M877">
            <v>1</v>
          </cell>
          <cell r="N877">
            <v>1</v>
          </cell>
          <cell r="O877">
            <v>1</v>
          </cell>
          <cell r="P877">
            <v>1</v>
          </cell>
          <cell r="Q877">
            <v>1</v>
          </cell>
          <cell r="R877">
            <v>3</v>
          </cell>
          <cell r="S877" t="str">
            <v>polygon</v>
          </cell>
          <cell r="T877">
            <v>1</v>
          </cell>
          <cell r="U877" t="str">
            <v>NULL</v>
          </cell>
          <cell r="V877" t="str">
            <v>NULL</v>
          </cell>
          <cell r="W877" t="str">
            <v/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 t="str">
            <v>anytime</v>
          </cell>
          <cell r="AC877">
            <v>917</v>
          </cell>
          <cell r="AD877">
            <v>6</v>
          </cell>
          <cell r="AE877" t="str">
            <v>everyone</v>
          </cell>
        </row>
        <row r="878">
          <cell r="A878" t="str">
            <v>49002_2</v>
          </cell>
          <cell r="B878">
            <v>3</v>
          </cell>
          <cell r="C878">
            <v>49002</v>
          </cell>
          <cell r="D878" t="str">
            <v>園原杏里襲来！</v>
          </cell>
          <cell r="E878" t="str">
            <v>コラボ降臨2</v>
          </cell>
          <cell r="F878">
            <v>2</v>
          </cell>
          <cell r="G878" t="str">
            <v>ja</v>
          </cell>
          <cell r="H878" t="str">
            <v>【ノーコンテニュー】園原杏里襲来</v>
          </cell>
          <cell r="I878" t="str">
            <v>地獄級</v>
          </cell>
          <cell r="J878">
            <v>699</v>
          </cell>
          <cell r="K878">
            <v>40</v>
          </cell>
          <cell r="L878">
            <v>4500</v>
          </cell>
          <cell r="M878">
            <v>1</v>
          </cell>
          <cell r="N878">
            <v>1</v>
          </cell>
          <cell r="O878">
            <v>1</v>
          </cell>
          <cell r="P878">
            <v>1</v>
          </cell>
          <cell r="Q878">
            <v>1</v>
          </cell>
          <cell r="R878">
            <v>3</v>
          </cell>
          <cell r="S878" t="str">
            <v>polygon</v>
          </cell>
          <cell r="T878">
            <v>1</v>
          </cell>
          <cell r="U878" t="str">
            <v>NULL</v>
          </cell>
          <cell r="V878" t="str">
            <v>NULL</v>
          </cell>
          <cell r="W878" t="str">
            <v/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 t="str">
            <v>anytime</v>
          </cell>
          <cell r="AC878">
            <v>917</v>
          </cell>
          <cell r="AD878">
            <v>6</v>
          </cell>
          <cell r="AE878" t="str">
            <v>everyone</v>
          </cell>
        </row>
        <row r="879">
          <cell r="A879" t="str">
            <v>49003_1</v>
          </cell>
          <cell r="B879">
            <v>3</v>
          </cell>
          <cell r="C879">
            <v>49003</v>
          </cell>
          <cell r="D879" t="str">
            <v>折原臨也襲来！</v>
          </cell>
          <cell r="E879" t="str">
            <v>コラボ降臨3</v>
          </cell>
          <cell r="F879">
            <v>1</v>
          </cell>
          <cell r="G879" t="str">
            <v>ja</v>
          </cell>
          <cell r="H879" t="str">
            <v>【ウィザード級】折原臨也襲来</v>
          </cell>
          <cell r="I879" t="str">
            <v>地獄級</v>
          </cell>
          <cell r="J879">
            <v>701</v>
          </cell>
          <cell r="K879">
            <v>40</v>
          </cell>
          <cell r="L879">
            <v>4500</v>
          </cell>
          <cell r="M879">
            <v>1</v>
          </cell>
          <cell r="N879">
            <v>1</v>
          </cell>
          <cell r="O879">
            <v>1</v>
          </cell>
          <cell r="P879">
            <v>1</v>
          </cell>
          <cell r="Q879">
            <v>1</v>
          </cell>
          <cell r="R879">
            <v>3</v>
          </cell>
          <cell r="S879" t="str">
            <v>polygon</v>
          </cell>
          <cell r="T879">
            <v>1</v>
          </cell>
          <cell r="U879" t="str">
            <v>NULL</v>
          </cell>
          <cell r="V879" t="str">
            <v>NULL</v>
          </cell>
          <cell r="W879" t="str">
            <v/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 t="str">
            <v>anytime</v>
          </cell>
          <cell r="AC879">
            <v>918</v>
          </cell>
          <cell r="AD879">
            <v>6</v>
          </cell>
          <cell r="AE879" t="str">
            <v>everyone</v>
          </cell>
        </row>
        <row r="880">
          <cell r="A880" t="str">
            <v>49003_2</v>
          </cell>
          <cell r="B880">
            <v>3</v>
          </cell>
          <cell r="C880">
            <v>49003</v>
          </cell>
          <cell r="D880" t="str">
            <v>折原臨也襲来！</v>
          </cell>
          <cell r="E880" t="str">
            <v>コラボ降臨3</v>
          </cell>
          <cell r="F880">
            <v>2</v>
          </cell>
          <cell r="G880" t="str">
            <v>ja</v>
          </cell>
          <cell r="H880" t="str">
            <v>【ノーコンテニュー】折原臨也襲来</v>
          </cell>
          <cell r="I880" t="str">
            <v>地獄級</v>
          </cell>
          <cell r="J880">
            <v>701</v>
          </cell>
          <cell r="K880">
            <v>40</v>
          </cell>
          <cell r="L880">
            <v>4500</v>
          </cell>
          <cell r="M880">
            <v>1</v>
          </cell>
          <cell r="N880">
            <v>1</v>
          </cell>
          <cell r="O880">
            <v>1</v>
          </cell>
          <cell r="P880">
            <v>1</v>
          </cell>
          <cell r="Q880">
            <v>1</v>
          </cell>
          <cell r="R880">
            <v>3</v>
          </cell>
          <cell r="S880" t="str">
            <v>polygon</v>
          </cell>
          <cell r="T880">
            <v>1</v>
          </cell>
          <cell r="U880" t="str">
            <v>NULL</v>
          </cell>
          <cell r="V880" t="str">
            <v>NULL</v>
          </cell>
          <cell r="W880" t="str">
            <v/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 t="str">
            <v>anytime</v>
          </cell>
          <cell r="AC880">
            <v>918</v>
          </cell>
          <cell r="AD880">
            <v>6</v>
          </cell>
          <cell r="AE880" t="str">
            <v>everyone</v>
          </cell>
        </row>
        <row r="881">
          <cell r="A881" t="str">
            <v>49004_1</v>
          </cell>
          <cell r="B881">
            <v>3</v>
          </cell>
          <cell r="C881">
            <v>49004</v>
          </cell>
          <cell r="D881" t="str">
            <v>サンリオ好きなのだーれだ♪</v>
          </cell>
          <cell r="E881" t="str">
            <v>コラボ降臨4</v>
          </cell>
          <cell r="F881">
            <v>1</v>
          </cell>
          <cell r="G881" t="str">
            <v>ja</v>
          </cell>
          <cell r="H881" t="str">
            <v>【超絶】サンリオ好きなのだーれだ♪</v>
          </cell>
          <cell r="I881" t="str">
            <v>地獄級</v>
          </cell>
          <cell r="J881">
            <v>0</v>
          </cell>
          <cell r="K881">
            <v>35</v>
          </cell>
          <cell r="L881">
            <v>4200</v>
          </cell>
          <cell r="M881">
            <v>1</v>
          </cell>
          <cell r="N881">
            <v>1</v>
          </cell>
          <cell r="O881">
            <v>1</v>
          </cell>
          <cell r="P881">
            <v>1</v>
          </cell>
          <cell r="Q881">
            <v>1</v>
          </cell>
          <cell r="R881">
            <v>3</v>
          </cell>
          <cell r="S881" t="str">
            <v>polygon</v>
          </cell>
          <cell r="T881">
            <v>1</v>
          </cell>
          <cell r="U881" t="str">
            <v>NULL</v>
          </cell>
          <cell r="V881" t="str">
            <v>NULL</v>
          </cell>
          <cell r="W881" t="str">
            <v/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 t="str">
            <v>anytime</v>
          </cell>
          <cell r="AC881">
            <v>934</v>
          </cell>
          <cell r="AD881">
            <v>6</v>
          </cell>
          <cell r="AE881" t="str">
            <v>everyone</v>
          </cell>
        </row>
        <row r="882">
          <cell r="A882" t="str">
            <v>49004_2</v>
          </cell>
          <cell r="B882">
            <v>3</v>
          </cell>
          <cell r="C882">
            <v>49004</v>
          </cell>
          <cell r="D882" t="str">
            <v>サンリオ好きなのだーれだ♪</v>
          </cell>
          <cell r="E882" t="str">
            <v>コラボ降臨4</v>
          </cell>
          <cell r="F882">
            <v>2</v>
          </cell>
          <cell r="G882" t="str">
            <v>ja</v>
          </cell>
          <cell r="H882" t="str">
            <v>【ｳｨｻﾞ】サンリオ好きなのだーれだ♪</v>
          </cell>
          <cell r="I882" t="str">
            <v>地獄級</v>
          </cell>
          <cell r="J882">
            <v>0</v>
          </cell>
          <cell r="K882">
            <v>40</v>
          </cell>
          <cell r="L882">
            <v>4500</v>
          </cell>
          <cell r="M882">
            <v>1</v>
          </cell>
          <cell r="N882">
            <v>1</v>
          </cell>
          <cell r="O882">
            <v>1</v>
          </cell>
          <cell r="P882">
            <v>1</v>
          </cell>
          <cell r="Q882">
            <v>1</v>
          </cell>
          <cell r="R882">
            <v>3</v>
          </cell>
          <cell r="S882" t="str">
            <v>polygon</v>
          </cell>
          <cell r="T882">
            <v>1</v>
          </cell>
          <cell r="U882" t="str">
            <v>NULL</v>
          </cell>
          <cell r="V882" t="str">
            <v>NULL</v>
          </cell>
          <cell r="W882" t="str">
            <v/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 t="str">
            <v>anytime</v>
          </cell>
          <cell r="AC882">
            <v>934</v>
          </cell>
          <cell r="AD882">
            <v>6</v>
          </cell>
          <cell r="AE882" t="str">
            <v>everyone</v>
          </cell>
        </row>
        <row r="883">
          <cell r="A883" t="str">
            <v>49004_3</v>
          </cell>
          <cell r="B883">
            <v>3</v>
          </cell>
          <cell r="C883">
            <v>49004</v>
          </cell>
          <cell r="D883" t="str">
            <v>サンリオ好きなのだーれだ♪</v>
          </cell>
          <cell r="E883" t="str">
            <v>コラボ降臨4</v>
          </cell>
          <cell r="F883">
            <v>3</v>
          </cell>
          <cell r="G883" t="str">
            <v>ja</v>
          </cell>
          <cell r="H883" t="str">
            <v>【ﾉｰｺﾝ】サンリオ好きなのだーれだ♪</v>
          </cell>
          <cell r="I883" t="str">
            <v>地獄級</v>
          </cell>
          <cell r="J883">
            <v>0</v>
          </cell>
          <cell r="K883">
            <v>40</v>
          </cell>
          <cell r="L883">
            <v>4500</v>
          </cell>
          <cell r="M883">
            <v>1</v>
          </cell>
          <cell r="N883">
            <v>1</v>
          </cell>
          <cell r="O883">
            <v>1</v>
          </cell>
          <cell r="P883">
            <v>1</v>
          </cell>
          <cell r="Q883">
            <v>1</v>
          </cell>
          <cell r="R883">
            <v>3</v>
          </cell>
          <cell r="S883" t="str">
            <v>polygon</v>
          </cell>
          <cell r="T883">
            <v>1</v>
          </cell>
          <cell r="U883" t="str">
            <v>NULL</v>
          </cell>
          <cell r="V883" t="str">
            <v>NULL</v>
          </cell>
          <cell r="W883" t="str">
            <v/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 t="str">
            <v>anytime</v>
          </cell>
          <cell r="AC883">
            <v>934</v>
          </cell>
          <cell r="AD883">
            <v>6</v>
          </cell>
          <cell r="AE883" t="str">
            <v>everyone</v>
          </cell>
        </row>
        <row r="884">
          <cell r="A884" t="str">
            <v>49005_1</v>
          </cell>
          <cell r="B884">
            <v>1</v>
          </cell>
          <cell r="C884">
            <v>49005</v>
          </cell>
          <cell r="D884" t="str">
            <v>襲来クエスト</v>
          </cell>
          <cell r="E884" t="str">
            <v>コラボ降臨5</v>
          </cell>
          <cell r="F884">
            <v>1</v>
          </cell>
          <cell r="G884" t="str">
            <v>ja</v>
          </cell>
          <cell r="H884" t="str">
            <v>【ウィザード級】襲来クエスト</v>
          </cell>
          <cell r="I884" t="str">
            <v>地獄級</v>
          </cell>
          <cell r="J884">
            <v>8013</v>
          </cell>
          <cell r="K884">
            <v>40</v>
          </cell>
          <cell r="L884">
            <v>4200</v>
          </cell>
          <cell r="M884">
            <v>1</v>
          </cell>
          <cell r="N884">
            <v>1</v>
          </cell>
          <cell r="O884">
            <v>1</v>
          </cell>
          <cell r="P884">
            <v>1</v>
          </cell>
          <cell r="Q884">
            <v>1</v>
          </cell>
          <cell r="R884">
            <v>3</v>
          </cell>
          <cell r="S884" t="str">
            <v>polygon</v>
          </cell>
          <cell r="T884">
            <v>1</v>
          </cell>
          <cell r="U884" t="str">
            <v>NULL</v>
          </cell>
          <cell r="V884" t="str">
            <v>NULL</v>
          </cell>
          <cell r="W884" t="str">
            <v/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 t="str">
            <v>anytime</v>
          </cell>
          <cell r="AC884">
            <v>910</v>
          </cell>
          <cell r="AD884">
            <v>6</v>
          </cell>
          <cell r="AE884" t="str">
            <v>everyone</v>
          </cell>
        </row>
        <row r="885">
          <cell r="A885" t="str">
            <v>49006_1</v>
          </cell>
          <cell r="B885">
            <v>3</v>
          </cell>
          <cell r="C885">
            <v>49006</v>
          </cell>
          <cell r="D885" t="str">
            <v>超大型巨人襲来！</v>
          </cell>
          <cell r="E885" t="str">
            <v>コラボ降臨6</v>
          </cell>
          <cell r="F885">
            <v>1</v>
          </cell>
          <cell r="G885" t="str">
            <v>ja</v>
          </cell>
          <cell r="H885" t="str">
            <v>【超絶級】超大型巨人襲来</v>
          </cell>
          <cell r="I885" t="str">
            <v>地獄級</v>
          </cell>
          <cell r="J885">
            <v>980</v>
          </cell>
          <cell r="K885">
            <v>35</v>
          </cell>
          <cell r="L885">
            <v>4200</v>
          </cell>
          <cell r="M885">
            <v>1</v>
          </cell>
          <cell r="N885">
            <v>1</v>
          </cell>
          <cell r="O885">
            <v>1</v>
          </cell>
          <cell r="P885">
            <v>1</v>
          </cell>
          <cell r="Q885">
            <v>1</v>
          </cell>
          <cell r="R885">
            <v>3</v>
          </cell>
          <cell r="S885" t="str">
            <v>polygon</v>
          </cell>
          <cell r="T885">
            <v>1</v>
          </cell>
          <cell r="U885" t="str">
            <v>NULL</v>
          </cell>
          <cell r="V885" t="str">
            <v>NULL</v>
          </cell>
          <cell r="W885" t="str">
            <v/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 t="str">
            <v>anytime</v>
          </cell>
          <cell r="AC885">
            <v>937</v>
          </cell>
          <cell r="AD885">
            <v>6</v>
          </cell>
          <cell r="AE885" t="str">
            <v>everyone</v>
          </cell>
        </row>
        <row r="886">
          <cell r="A886" t="str">
            <v>49006_2</v>
          </cell>
          <cell r="B886">
            <v>3</v>
          </cell>
          <cell r="C886">
            <v>49006</v>
          </cell>
          <cell r="D886" t="str">
            <v>超大型巨人襲来！</v>
          </cell>
          <cell r="E886" t="str">
            <v>コラボ降臨6</v>
          </cell>
          <cell r="F886">
            <v>2</v>
          </cell>
          <cell r="G886" t="str">
            <v>ja</v>
          </cell>
          <cell r="H886" t="str">
            <v>【ウィザード級】超大型巨人襲来</v>
          </cell>
          <cell r="I886" t="str">
            <v>地獄級</v>
          </cell>
          <cell r="J886">
            <v>980</v>
          </cell>
          <cell r="K886">
            <v>40</v>
          </cell>
          <cell r="L886">
            <v>4500</v>
          </cell>
          <cell r="M886">
            <v>1</v>
          </cell>
          <cell r="N886">
            <v>1</v>
          </cell>
          <cell r="O886">
            <v>1</v>
          </cell>
          <cell r="P886">
            <v>1</v>
          </cell>
          <cell r="Q886">
            <v>1</v>
          </cell>
          <cell r="R886">
            <v>3</v>
          </cell>
          <cell r="S886" t="str">
            <v>polygon</v>
          </cell>
          <cell r="T886">
            <v>1</v>
          </cell>
          <cell r="U886" t="str">
            <v>NULL</v>
          </cell>
          <cell r="V886" t="str">
            <v>NULL</v>
          </cell>
          <cell r="W886" t="str">
            <v/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 t="str">
            <v>anytime</v>
          </cell>
          <cell r="AC886">
            <v>937</v>
          </cell>
          <cell r="AD886">
            <v>6</v>
          </cell>
          <cell r="AE886" t="str">
            <v>everyone</v>
          </cell>
        </row>
        <row r="887">
          <cell r="A887" t="str">
            <v>49007_1</v>
          </cell>
          <cell r="B887">
            <v>1</v>
          </cell>
          <cell r="C887">
            <v>49007</v>
          </cell>
          <cell r="D887" t="str">
            <v>アザゼル（台）</v>
          </cell>
          <cell r="E887" t="str">
            <v>コラボ降臨4</v>
          </cell>
          <cell r="F887">
            <v>1</v>
          </cell>
          <cell r="G887" t="str">
            <v>ja</v>
          </cell>
          <cell r="H887" t="str">
            <v>【超絶】アザゼル（台）</v>
          </cell>
          <cell r="I887" t="str">
            <v>地獄級</v>
          </cell>
          <cell r="J887">
            <v>0</v>
          </cell>
          <cell r="K887">
            <v>35</v>
          </cell>
          <cell r="L887">
            <v>4200</v>
          </cell>
          <cell r="M887">
            <v>1</v>
          </cell>
          <cell r="N887">
            <v>1</v>
          </cell>
          <cell r="O887">
            <v>1</v>
          </cell>
          <cell r="P887">
            <v>1</v>
          </cell>
          <cell r="Q887">
            <v>1</v>
          </cell>
          <cell r="R887">
            <v>3</v>
          </cell>
          <cell r="S887" t="str">
            <v>polygon</v>
          </cell>
          <cell r="T887">
            <v>1</v>
          </cell>
          <cell r="U887" t="str">
            <v>NULL</v>
          </cell>
          <cell r="V887" t="str">
            <v>NULL</v>
          </cell>
          <cell r="W887" t="str">
            <v/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 t="str">
            <v>anytime</v>
          </cell>
          <cell r="AC887">
            <v>934</v>
          </cell>
          <cell r="AD887">
            <v>6</v>
          </cell>
          <cell r="AE887" t="str">
            <v>everyone</v>
          </cell>
        </row>
        <row r="888">
          <cell r="A888" t="str">
            <v>49007_2</v>
          </cell>
          <cell r="B888">
            <v>1</v>
          </cell>
          <cell r="C888">
            <v>49007</v>
          </cell>
          <cell r="D888" t="str">
            <v>アザゼル（台）</v>
          </cell>
          <cell r="E888" t="str">
            <v>コラボ降臨4</v>
          </cell>
          <cell r="F888">
            <v>2</v>
          </cell>
          <cell r="G888" t="str">
            <v>ja</v>
          </cell>
          <cell r="H888" t="str">
            <v>【ｳｨｻﾞ】アザゼル（台）</v>
          </cell>
          <cell r="I888" t="str">
            <v>地獄級</v>
          </cell>
          <cell r="J888">
            <v>0</v>
          </cell>
          <cell r="K888">
            <v>40</v>
          </cell>
          <cell r="L888">
            <v>4500</v>
          </cell>
          <cell r="M888">
            <v>1</v>
          </cell>
          <cell r="N888">
            <v>1</v>
          </cell>
          <cell r="O888">
            <v>1</v>
          </cell>
          <cell r="P888">
            <v>1</v>
          </cell>
          <cell r="Q888">
            <v>1</v>
          </cell>
          <cell r="R888">
            <v>3</v>
          </cell>
          <cell r="S888" t="str">
            <v>polygon</v>
          </cell>
          <cell r="T888">
            <v>1</v>
          </cell>
          <cell r="U888" t="str">
            <v>NULL</v>
          </cell>
          <cell r="V888" t="str">
            <v>NULL</v>
          </cell>
          <cell r="W888" t="str">
            <v/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 t="str">
            <v>anytime</v>
          </cell>
          <cell r="AC888">
            <v>934</v>
          </cell>
          <cell r="AD888">
            <v>6</v>
          </cell>
          <cell r="AE888" t="str">
            <v>everyone</v>
          </cell>
        </row>
        <row r="889">
          <cell r="A889" t="str">
            <v>49007_3</v>
          </cell>
          <cell r="B889">
            <v>1</v>
          </cell>
          <cell r="C889">
            <v>49007</v>
          </cell>
          <cell r="D889" t="str">
            <v>アザゼル（台）</v>
          </cell>
          <cell r="E889" t="str">
            <v>コラボ降臨4</v>
          </cell>
          <cell r="F889">
            <v>3</v>
          </cell>
          <cell r="G889" t="str">
            <v>ja</v>
          </cell>
          <cell r="H889" t="str">
            <v>【ﾉｰｺﾝ】アザゼル（台）</v>
          </cell>
          <cell r="I889" t="str">
            <v>地獄級</v>
          </cell>
          <cell r="J889">
            <v>0</v>
          </cell>
          <cell r="K889">
            <v>40</v>
          </cell>
          <cell r="L889">
            <v>4500</v>
          </cell>
          <cell r="M889">
            <v>1</v>
          </cell>
          <cell r="N889">
            <v>1</v>
          </cell>
          <cell r="O889">
            <v>1</v>
          </cell>
          <cell r="P889">
            <v>1</v>
          </cell>
          <cell r="Q889">
            <v>1</v>
          </cell>
          <cell r="R889">
            <v>3</v>
          </cell>
          <cell r="S889" t="str">
            <v>polygon</v>
          </cell>
          <cell r="T889">
            <v>1</v>
          </cell>
          <cell r="U889" t="str">
            <v>NULL</v>
          </cell>
          <cell r="V889" t="str">
            <v>NULL</v>
          </cell>
          <cell r="W889" t="str">
            <v/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 t="str">
            <v>anytime</v>
          </cell>
          <cell r="AC889">
            <v>934</v>
          </cell>
          <cell r="AD889">
            <v>6</v>
          </cell>
          <cell r="AE889" t="str">
            <v>everyone</v>
          </cell>
        </row>
        <row r="890">
          <cell r="A890" t="str">
            <v>49008_1</v>
          </cell>
          <cell r="B890">
            <v>3</v>
          </cell>
          <cell r="C890">
            <v>49008</v>
          </cell>
          <cell r="D890" t="str">
            <v>熱唱！初音ミクV3</v>
          </cell>
          <cell r="E890" t="str">
            <v>コラボ降臨1</v>
          </cell>
          <cell r="F890">
            <v>1</v>
          </cell>
          <cell r="G890" t="str">
            <v>ja</v>
          </cell>
          <cell r="H890" t="str">
            <v>【ウィザード級】熱唱！初音ミクV3</v>
          </cell>
          <cell r="I890" t="str">
            <v>地獄級</v>
          </cell>
          <cell r="J890">
            <v>1299</v>
          </cell>
          <cell r="K890">
            <v>30</v>
          </cell>
          <cell r="L890">
            <v>4500</v>
          </cell>
          <cell r="M890">
            <v>1</v>
          </cell>
          <cell r="N890">
            <v>1</v>
          </cell>
          <cell r="O890">
            <v>1</v>
          </cell>
          <cell r="P890">
            <v>1</v>
          </cell>
          <cell r="Q890">
            <v>1</v>
          </cell>
          <cell r="R890">
            <v>3</v>
          </cell>
          <cell r="S890" t="str">
            <v>polygon</v>
          </cell>
          <cell r="T890">
            <v>1</v>
          </cell>
          <cell r="U890" t="str">
            <v>NULL</v>
          </cell>
          <cell r="V890" t="str">
            <v>NULL</v>
          </cell>
          <cell r="W890" t="str">
            <v/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 t="str">
            <v>anytime</v>
          </cell>
          <cell r="AC890">
            <v>910</v>
          </cell>
          <cell r="AD890">
            <v>6</v>
          </cell>
          <cell r="AE890" t="str">
            <v>everyone</v>
          </cell>
        </row>
        <row r="891">
          <cell r="A891" t="str">
            <v>49009_1</v>
          </cell>
          <cell r="B891">
            <v>3</v>
          </cell>
          <cell r="C891">
            <v>49009</v>
          </cell>
          <cell r="D891" t="str">
            <v>電子音協奏曲</v>
          </cell>
          <cell r="E891" t="str">
            <v>コラボ降臨7</v>
          </cell>
          <cell r="F891">
            <v>1</v>
          </cell>
          <cell r="G891" t="str">
            <v>ja</v>
          </cell>
          <cell r="H891" t="str">
            <v>【ウィザード級】電子音協奏曲</v>
          </cell>
          <cell r="I891" t="str">
            <v>地獄級</v>
          </cell>
          <cell r="J891">
            <v>1305</v>
          </cell>
          <cell r="K891">
            <v>30</v>
          </cell>
          <cell r="L891">
            <v>4500</v>
          </cell>
          <cell r="M891">
            <v>1</v>
          </cell>
          <cell r="N891">
            <v>1</v>
          </cell>
          <cell r="O891">
            <v>1</v>
          </cell>
          <cell r="P891">
            <v>1</v>
          </cell>
          <cell r="Q891">
            <v>1</v>
          </cell>
          <cell r="R891">
            <v>3</v>
          </cell>
          <cell r="S891" t="str">
            <v>polygon</v>
          </cell>
          <cell r="T891">
            <v>1</v>
          </cell>
          <cell r="U891" t="str">
            <v>NULL</v>
          </cell>
          <cell r="V891" t="str">
            <v>NULL</v>
          </cell>
          <cell r="W891" t="str">
            <v/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 t="str">
            <v>anytime</v>
          </cell>
          <cell r="AC891">
            <v>910</v>
          </cell>
          <cell r="AD891">
            <v>6</v>
          </cell>
          <cell r="AE891" t="str">
            <v>everyone</v>
          </cell>
        </row>
        <row r="892">
          <cell r="A892" t="str">
            <v>49010_1</v>
          </cell>
          <cell r="B892">
            <v>3</v>
          </cell>
          <cell r="C892">
            <v>49010</v>
          </cell>
          <cell r="D892" t="str">
            <v>走り抜けろ！ALICE GP</v>
          </cell>
          <cell r="E892" t="str">
            <v>コラボ降臨8</v>
          </cell>
          <cell r="F892">
            <v>1</v>
          </cell>
          <cell r="G892" t="str">
            <v>ja</v>
          </cell>
          <cell r="H892" t="str">
            <v>【ｳｨｻﾞ】走り抜けろ！ALICE GP</v>
          </cell>
          <cell r="I892" t="str">
            <v>地獄級</v>
          </cell>
          <cell r="J892">
            <v>1303</v>
          </cell>
          <cell r="K892">
            <v>30</v>
          </cell>
          <cell r="L892">
            <v>4500</v>
          </cell>
          <cell r="M892">
            <v>1</v>
          </cell>
          <cell r="N892">
            <v>0</v>
          </cell>
          <cell r="O892">
            <v>1</v>
          </cell>
          <cell r="P892">
            <v>1</v>
          </cell>
          <cell r="Q892">
            <v>1</v>
          </cell>
          <cell r="R892">
            <v>3</v>
          </cell>
          <cell r="S892" t="str">
            <v>polygon</v>
          </cell>
          <cell r="T892">
            <v>1</v>
          </cell>
          <cell r="U892" t="str">
            <v>NULL</v>
          </cell>
          <cell r="V892" t="str">
            <v>NULL</v>
          </cell>
          <cell r="W892" t="str">
            <v/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 t="str">
            <v>anytime</v>
          </cell>
          <cell r="AC892">
            <v>987</v>
          </cell>
          <cell r="AD892">
            <v>6</v>
          </cell>
          <cell r="AE892" t="str">
            <v>everyone</v>
          </cell>
        </row>
        <row r="893">
          <cell r="A893" t="str">
            <v>49011_1</v>
          </cell>
          <cell r="B893">
            <v>3</v>
          </cell>
          <cell r="C893">
            <v>49011</v>
          </cell>
          <cell r="D893" t="str">
            <v>秘密のイベント潜入作戦</v>
          </cell>
          <cell r="E893" t="str">
            <v>コラボ降臨9</v>
          </cell>
          <cell r="F893">
            <v>1</v>
          </cell>
          <cell r="G893" t="str">
            <v>ja</v>
          </cell>
          <cell r="H893" t="str">
            <v>【ｳｨｻﾞ】秘密のイベント潜入作戦</v>
          </cell>
          <cell r="I893" t="str">
            <v>地獄級</v>
          </cell>
          <cell r="J893">
            <v>1301</v>
          </cell>
          <cell r="K893">
            <v>30</v>
          </cell>
          <cell r="L893">
            <v>4500</v>
          </cell>
          <cell r="M893">
            <v>1</v>
          </cell>
          <cell r="N893">
            <v>1</v>
          </cell>
          <cell r="O893">
            <v>1</v>
          </cell>
          <cell r="P893">
            <v>1</v>
          </cell>
          <cell r="Q893">
            <v>1</v>
          </cell>
          <cell r="R893">
            <v>3</v>
          </cell>
          <cell r="S893" t="str">
            <v>polygon</v>
          </cell>
          <cell r="T893">
            <v>1</v>
          </cell>
          <cell r="U893" t="str">
            <v>NULL</v>
          </cell>
          <cell r="V893" t="str">
            <v>NULL</v>
          </cell>
          <cell r="W893" t="str">
            <v/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 t="str">
            <v>anytime</v>
          </cell>
          <cell r="AC893">
            <v>909</v>
          </cell>
          <cell r="AD893">
            <v>6</v>
          </cell>
          <cell r="AE893" t="str">
            <v>everyone</v>
          </cell>
        </row>
        <row r="894">
          <cell r="A894" t="str">
            <v>49012_1</v>
          </cell>
          <cell r="B894">
            <v>3</v>
          </cell>
          <cell r="C894">
            <v>49012</v>
          </cell>
          <cell r="D894" t="str">
            <v>園原杏里襲来！</v>
          </cell>
          <cell r="E894" t="str">
            <v>コラボ降臨2（復刻）</v>
          </cell>
          <cell r="F894">
            <v>1</v>
          </cell>
          <cell r="G894" t="str">
            <v>ja</v>
          </cell>
          <cell r="H894" t="str">
            <v>【ウィザード級】園原杏里襲来</v>
          </cell>
          <cell r="I894" t="str">
            <v>地獄級</v>
          </cell>
          <cell r="J894">
            <v>699</v>
          </cell>
          <cell r="K894">
            <v>40</v>
          </cell>
          <cell r="L894">
            <v>4500</v>
          </cell>
          <cell r="M894">
            <v>1</v>
          </cell>
          <cell r="N894">
            <v>1</v>
          </cell>
          <cell r="O894">
            <v>1</v>
          </cell>
          <cell r="P894">
            <v>1</v>
          </cell>
          <cell r="Q894">
            <v>1</v>
          </cell>
          <cell r="R894">
            <v>3</v>
          </cell>
          <cell r="S894" t="str">
            <v>polygon</v>
          </cell>
          <cell r="T894">
            <v>1</v>
          </cell>
          <cell r="U894" t="str">
            <v>NULL</v>
          </cell>
          <cell r="V894" t="str">
            <v>NULL</v>
          </cell>
          <cell r="W894" t="str">
            <v/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 t="str">
            <v>anytime</v>
          </cell>
          <cell r="AC894">
            <v>917</v>
          </cell>
          <cell r="AD894">
            <v>6</v>
          </cell>
          <cell r="AE894" t="str">
            <v>everyone</v>
          </cell>
        </row>
        <row r="895">
          <cell r="A895" t="str">
            <v>49013_1</v>
          </cell>
          <cell r="B895">
            <v>3</v>
          </cell>
          <cell r="C895">
            <v>49013</v>
          </cell>
          <cell r="D895" t="str">
            <v>折原臨也襲来！</v>
          </cell>
          <cell r="E895" t="str">
            <v>コラボ降臨3（復刻）</v>
          </cell>
          <cell r="F895">
            <v>1</v>
          </cell>
          <cell r="G895" t="str">
            <v>ja</v>
          </cell>
          <cell r="H895" t="str">
            <v>【ウィザード級】折原臨也襲来</v>
          </cell>
          <cell r="I895" t="str">
            <v>地獄級</v>
          </cell>
          <cell r="J895">
            <v>701</v>
          </cell>
          <cell r="K895">
            <v>40</v>
          </cell>
          <cell r="L895">
            <v>4500</v>
          </cell>
          <cell r="M895">
            <v>1</v>
          </cell>
          <cell r="N895">
            <v>1</v>
          </cell>
          <cell r="O895">
            <v>1</v>
          </cell>
          <cell r="P895">
            <v>1</v>
          </cell>
          <cell r="Q895">
            <v>1</v>
          </cell>
          <cell r="R895">
            <v>3</v>
          </cell>
          <cell r="S895" t="str">
            <v>polygon</v>
          </cell>
          <cell r="T895">
            <v>1</v>
          </cell>
          <cell r="U895" t="str">
            <v>NULL</v>
          </cell>
          <cell r="V895" t="str">
            <v>NULL</v>
          </cell>
          <cell r="W895" t="str">
            <v/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 t="str">
            <v>anytime</v>
          </cell>
          <cell r="AC895">
            <v>918</v>
          </cell>
          <cell r="AD895">
            <v>6</v>
          </cell>
          <cell r="AE895" t="str">
            <v>everyone</v>
          </cell>
        </row>
        <row r="896">
          <cell r="A896" t="str">
            <v>49014_1</v>
          </cell>
          <cell r="B896">
            <v>1</v>
          </cell>
          <cell r="C896">
            <v>49014</v>
          </cell>
          <cell r="D896" t="str">
            <v>C魔</v>
          </cell>
          <cell r="E896" t="str">
            <v>コラボ降臨10</v>
          </cell>
          <cell r="F896">
            <v>1</v>
          </cell>
          <cell r="G896" t="str">
            <v>ja</v>
          </cell>
          <cell r="H896" t="str">
            <v>【超絶級】C魔</v>
          </cell>
          <cell r="I896" t="str">
            <v>地獄級</v>
          </cell>
          <cell r="J896">
            <v>1524</v>
          </cell>
          <cell r="K896">
            <v>35</v>
          </cell>
          <cell r="L896">
            <v>4200</v>
          </cell>
          <cell r="M896">
            <v>1</v>
          </cell>
          <cell r="N896">
            <v>1</v>
          </cell>
          <cell r="O896">
            <v>1</v>
          </cell>
          <cell r="P896">
            <v>1</v>
          </cell>
          <cell r="Q896">
            <v>1</v>
          </cell>
          <cell r="R896">
            <v>3</v>
          </cell>
          <cell r="S896" t="str">
            <v>polygon</v>
          </cell>
          <cell r="T896">
            <v>1</v>
          </cell>
          <cell r="U896" t="str">
            <v>NULL</v>
          </cell>
          <cell r="V896" t="str">
            <v>NULL</v>
          </cell>
          <cell r="W896" t="str">
            <v/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 t="str">
            <v>anytime</v>
          </cell>
          <cell r="AC896">
            <v>918</v>
          </cell>
          <cell r="AD896">
            <v>6</v>
          </cell>
          <cell r="AE896" t="str">
            <v>everyone</v>
          </cell>
        </row>
        <row r="897">
          <cell r="A897" t="str">
            <v>49014_2</v>
          </cell>
          <cell r="B897">
            <v>1</v>
          </cell>
          <cell r="C897">
            <v>49014</v>
          </cell>
          <cell r="D897" t="str">
            <v>C魔</v>
          </cell>
          <cell r="E897" t="str">
            <v>コラボ降臨10</v>
          </cell>
          <cell r="F897">
            <v>2</v>
          </cell>
          <cell r="G897" t="str">
            <v>ja</v>
          </cell>
          <cell r="H897" t="str">
            <v>【ウィザード級】C魔</v>
          </cell>
          <cell r="I897" t="str">
            <v>地獄級</v>
          </cell>
          <cell r="J897">
            <v>1524</v>
          </cell>
          <cell r="K897">
            <v>40</v>
          </cell>
          <cell r="L897">
            <v>4500</v>
          </cell>
          <cell r="M897">
            <v>1</v>
          </cell>
          <cell r="N897">
            <v>1</v>
          </cell>
          <cell r="O897">
            <v>1</v>
          </cell>
          <cell r="P897">
            <v>1</v>
          </cell>
          <cell r="Q897">
            <v>1</v>
          </cell>
          <cell r="R897">
            <v>3</v>
          </cell>
          <cell r="S897" t="str">
            <v>polygon</v>
          </cell>
          <cell r="T897">
            <v>1</v>
          </cell>
          <cell r="U897" t="str">
            <v>NULL</v>
          </cell>
          <cell r="V897" t="str">
            <v>NULL</v>
          </cell>
          <cell r="W897" t="str">
            <v/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 t="str">
            <v>anytime</v>
          </cell>
          <cell r="AC897">
            <v>918</v>
          </cell>
          <cell r="AD897">
            <v>6</v>
          </cell>
          <cell r="AE897" t="str">
            <v>everyone</v>
          </cell>
        </row>
        <row r="898">
          <cell r="A898" t="str">
            <v>49015_1</v>
          </cell>
          <cell r="B898">
            <v>1</v>
          </cell>
          <cell r="C898">
            <v>49015</v>
          </cell>
          <cell r="D898" t="str">
            <v>FA</v>
          </cell>
          <cell r="E898" t="str">
            <v>コラボ降臨11</v>
          </cell>
          <cell r="F898">
            <v>1</v>
          </cell>
          <cell r="G898" t="str">
            <v>ja</v>
          </cell>
          <cell r="H898" t="str">
            <v>【上級】FA</v>
          </cell>
          <cell r="I898" t="str">
            <v>地獄級</v>
          </cell>
          <cell r="J898">
            <v>1524</v>
          </cell>
          <cell r="K898">
            <v>20</v>
          </cell>
          <cell r="L898">
            <v>2000</v>
          </cell>
          <cell r="M898">
            <v>1</v>
          </cell>
          <cell r="N898">
            <v>1</v>
          </cell>
          <cell r="O898">
            <v>1</v>
          </cell>
          <cell r="P898">
            <v>1</v>
          </cell>
          <cell r="Q898">
            <v>1</v>
          </cell>
          <cell r="R898">
            <v>3</v>
          </cell>
          <cell r="S898" t="str">
            <v>none</v>
          </cell>
          <cell r="T898">
            <v>0</v>
          </cell>
          <cell r="U898" t="str">
            <v>NULL</v>
          </cell>
          <cell r="V898" t="str">
            <v>NULL</v>
          </cell>
          <cell r="W898" t="str">
            <v/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 t="str">
            <v>anytime</v>
          </cell>
          <cell r="AC898">
            <v>994</v>
          </cell>
          <cell r="AD898">
            <v>6</v>
          </cell>
          <cell r="AE898" t="str">
            <v>everyone</v>
          </cell>
        </row>
        <row r="899">
          <cell r="A899" t="str">
            <v>49015_2</v>
          </cell>
          <cell r="B899">
            <v>1</v>
          </cell>
          <cell r="C899">
            <v>49015</v>
          </cell>
          <cell r="D899" t="str">
            <v>FA</v>
          </cell>
          <cell r="E899" t="str">
            <v>コラボ降臨11</v>
          </cell>
          <cell r="F899">
            <v>2</v>
          </cell>
          <cell r="G899" t="str">
            <v>ja</v>
          </cell>
          <cell r="H899" t="str">
            <v>【超級】FA</v>
          </cell>
          <cell r="I899" t="str">
            <v>地獄級</v>
          </cell>
          <cell r="J899">
            <v>1524</v>
          </cell>
          <cell r="K899">
            <v>30</v>
          </cell>
          <cell r="L899">
            <v>3300</v>
          </cell>
          <cell r="M899">
            <v>1</v>
          </cell>
          <cell r="N899">
            <v>1</v>
          </cell>
          <cell r="O899">
            <v>1</v>
          </cell>
          <cell r="P899">
            <v>1</v>
          </cell>
          <cell r="Q899">
            <v>1</v>
          </cell>
          <cell r="R899">
            <v>3</v>
          </cell>
          <cell r="S899" t="str">
            <v>none</v>
          </cell>
          <cell r="T899">
            <v>0</v>
          </cell>
          <cell r="U899" t="str">
            <v>NULL</v>
          </cell>
          <cell r="V899" t="str">
            <v>NULL</v>
          </cell>
          <cell r="W899" t="str">
            <v/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 t="str">
            <v>anytime</v>
          </cell>
          <cell r="AC899">
            <v>994</v>
          </cell>
          <cell r="AD899">
            <v>6</v>
          </cell>
          <cell r="AE899" t="str">
            <v>everyone</v>
          </cell>
        </row>
        <row r="900">
          <cell r="A900" t="str">
            <v>49015_3</v>
          </cell>
          <cell r="B900">
            <v>1</v>
          </cell>
          <cell r="C900">
            <v>49015</v>
          </cell>
          <cell r="D900" t="str">
            <v>FA</v>
          </cell>
          <cell r="E900" t="str">
            <v>コラボ降臨11</v>
          </cell>
          <cell r="F900">
            <v>3</v>
          </cell>
          <cell r="G900" t="str">
            <v>ja</v>
          </cell>
          <cell r="H900" t="str">
            <v>【ウィザード級】FA</v>
          </cell>
          <cell r="I900" t="str">
            <v>地獄級</v>
          </cell>
          <cell r="J900">
            <v>1524</v>
          </cell>
          <cell r="K900">
            <v>40</v>
          </cell>
          <cell r="L900">
            <v>4500</v>
          </cell>
          <cell r="M900">
            <v>1</v>
          </cell>
          <cell r="N900">
            <v>1</v>
          </cell>
          <cell r="O900">
            <v>1</v>
          </cell>
          <cell r="P900">
            <v>1</v>
          </cell>
          <cell r="Q900">
            <v>1</v>
          </cell>
          <cell r="R900">
            <v>3</v>
          </cell>
          <cell r="S900" t="str">
            <v>polygon</v>
          </cell>
          <cell r="T900">
            <v>1</v>
          </cell>
          <cell r="U900" t="str">
            <v>NULL</v>
          </cell>
          <cell r="V900" t="str">
            <v>NULL</v>
          </cell>
          <cell r="W900" t="str">
            <v/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 t="str">
            <v>anytime</v>
          </cell>
          <cell r="AC900">
            <v>994</v>
          </cell>
          <cell r="AD900">
            <v>6</v>
          </cell>
          <cell r="AE900" t="str">
            <v>everyone</v>
          </cell>
        </row>
        <row r="901">
          <cell r="A901" t="str">
            <v>50001_1</v>
          </cell>
          <cell r="B901">
            <v>3</v>
          </cell>
          <cell r="C901">
            <v>50001</v>
          </cell>
          <cell r="D901" t="str">
            <v>麒麟襲来！</v>
          </cell>
          <cell r="E901" t="str">
            <v>超降臨1</v>
          </cell>
          <cell r="F901">
            <v>1</v>
          </cell>
          <cell r="G901" t="str">
            <v>ja</v>
          </cell>
          <cell r="H901" t="str">
            <v xml:space="preserve">【超ウィザード級】麒麟襲来 </v>
          </cell>
          <cell r="I901" t="str">
            <v>超地獄級</v>
          </cell>
          <cell r="J901">
            <v>329</v>
          </cell>
          <cell r="K901">
            <v>40</v>
          </cell>
          <cell r="L901">
            <v>5200</v>
          </cell>
          <cell r="M901">
            <v>1</v>
          </cell>
          <cell r="N901">
            <v>1</v>
          </cell>
          <cell r="O901">
            <v>1</v>
          </cell>
          <cell r="P901">
            <v>1</v>
          </cell>
          <cell r="Q901">
            <v>1</v>
          </cell>
          <cell r="R901">
            <v>3</v>
          </cell>
          <cell r="S901" t="str">
            <v>character</v>
          </cell>
          <cell r="T901">
            <v>432</v>
          </cell>
          <cell r="U901" t="str">
            <v>NULL</v>
          </cell>
          <cell r="V901" t="str">
            <v>NULL</v>
          </cell>
          <cell r="W901" t="str">
            <v/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 t="str">
            <v>anytime</v>
          </cell>
          <cell r="AC901">
            <v>905</v>
          </cell>
          <cell r="AD901">
            <v>6</v>
          </cell>
          <cell r="AE901" t="str">
            <v>everyone</v>
          </cell>
        </row>
        <row r="902">
          <cell r="A902" t="str">
            <v>50002_1</v>
          </cell>
          <cell r="B902">
            <v>3</v>
          </cell>
          <cell r="C902">
            <v>50002</v>
          </cell>
          <cell r="D902" t="str">
            <v>オーディン襲来！</v>
          </cell>
          <cell r="E902" t="str">
            <v>超降臨2</v>
          </cell>
          <cell r="F902">
            <v>1</v>
          </cell>
          <cell r="G902" t="str">
            <v>ja</v>
          </cell>
          <cell r="H902" t="str">
            <v xml:space="preserve">【超ウィザード級】オーディン襲来 </v>
          </cell>
          <cell r="I902" t="str">
            <v>超地獄級</v>
          </cell>
          <cell r="J902">
            <v>331</v>
          </cell>
          <cell r="K902">
            <v>40</v>
          </cell>
          <cell r="L902">
            <v>5200</v>
          </cell>
          <cell r="M902">
            <v>1</v>
          </cell>
          <cell r="N902">
            <v>1</v>
          </cell>
          <cell r="O902">
            <v>1</v>
          </cell>
          <cell r="P902">
            <v>1</v>
          </cell>
          <cell r="Q902">
            <v>1</v>
          </cell>
          <cell r="R902">
            <v>3</v>
          </cell>
          <cell r="S902" t="str">
            <v>character</v>
          </cell>
          <cell r="T902">
            <v>573</v>
          </cell>
          <cell r="U902" t="str">
            <v>NULL</v>
          </cell>
          <cell r="V902" t="str">
            <v>NULL</v>
          </cell>
          <cell r="W902" t="str">
            <v/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 t="str">
            <v>anytime</v>
          </cell>
          <cell r="AC902">
            <v>911</v>
          </cell>
          <cell r="AD902">
            <v>6</v>
          </cell>
          <cell r="AE902" t="str">
            <v>everyone</v>
          </cell>
        </row>
        <row r="903">
          <cell r="A903" t="str">
            <v>50003_1</v>
          </cell>
          <cell r="B903">
            <v>3</v>
          </cell>
          <cell r="C903">
            <v>50003</v>
          </cell>
          <cell r="D903" t="str">
            <v>織田信長襲来！</v>
          </cell>
          <cell r="E903" t="str">
            <v>超降臨3</v>
          </cell>
          <cell r="F903">
            <v>1</v>
          </cell>
          <cell r="G903" t="str">
            <v>ja</v>
          </cell>
          <cell r="H903" t="str">
            <v xml:space="preserve">【超ウィザード級】織田信長襲来 </v>
          </cell>
          <cell r="I903" t="str">
            <v>超地獄級</v>
          </cell>
          <cell r="J903">
            <v>0</v>
          </cell>
          <cell r="K903">
            <v>40</v>
          </cell>
          <cell r="L903">
            <v>5200</v>
          </cell>
          <cell r="M903">
            <v>1</v>
          </cell>
          <cell r="N903">
            <v>1</v>
          </cell>
          <cell r="O903">
            <v>1</v>
          </cell>
          <cell r="P903">
            <v>1</v>
          </cell>
          <cell r="Q903">
            <v>1</v>
          </cell>
          <cell r="R903">
            <v>3</v>
          </cell>
          <cell r="S903" t="str">
            <v>character</v>
          </cell>
          <cell r="T903">
            <v>726</v>
          </cell>
          <cell r="U903" t="str">
            <v>NULL</v>
          </cell>
          <cell r="V903" t="str">
            <v>NULL</v>
          </cell>
          <cell r="W903" t="str">
            <v/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 t="str">
            <v>anytime</v>
          </cell>
          <cell r="AC903">
            <v>920</v>
          </cell>
          <cell r="AD903">
            <v>6</v>
          </cell>
          <cell r="AE903" t="str">
            <v>everyone</v>
          </cell>
        </row>
        <row r="904">
          <cell r="A904" t="str">
            <v>50004_1</v>
          </cell>
          <cell r="B904">
            <v>3</v>
          </cell>
          <cell r="C904">
            <v>50004</v>
          </cell>
          <cell r="D904" t="str">
            <v>ルシファー襲来！</v>
          </cell>
          <cell r="E904" t="str">
            <v>超降臨4</v>
          </cell>
          <cell r="F904">
            <v>1</v>
          </cell>
          <cell r="G904" t="str">
            <v>ja</v>
          </cell>
          <cell r="H904" t="str">
            <v xml:space="preserve">【超ウィザード級】ルシファー襲来 </v>
          </cell>
          <cell r="I904" t="str">
            <v>超地獄級</v>
          </cell>
          <cell r="J904">
            <v>0</v>
          </cell>
          <cell r="K904">
            <v>40</v>
          </cell>
          <cell r="L904">
            <v>5200</v>
          </cell>
          <cell r="M904">
            <v>1</v>
          </cell>
          <cell r="N904">
            <v>1</v>
          </cell>
          <cell r="O904">
            <v>1</v>
          </cell>
          <cell r="P904">
            <v>1</v>
          </cell>
          <cell r="Q904">
            <v>1</v>
          </cell>
          <cell r="R904">
            <v>3</v>
          </cell>
          <cell r="S904" t="str">
            <v>character</v>
          </cell>
          <cell r="T904">
            <v>846</v>
          </cell>
          <cell r="U904" t="str">
            <v>NULL</v>
          </cell>
          <cell r="V904" t="str">
            <v>NULL</v>
          </cell>
          <cell r="W904" t="str">
            <v/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 t="str">
            <v>anytime</v>
          </cell>
          <cell r="AC904">
            <v>928</v>
          </cell>
          <cell r="AD904">
            <v>6</v>
          </cell>
          <cell r="AE904" t="str">
            <v>everyone</v>
          </cell>
        </row>
        <row r="905">
          <cell r="A905" t="str">
            <v>50005_1</v>
          </cell>
          <cell r="B905">
            <v>3</v>
          </cell>
          <cell r="C905">
            <v>50005</v>
          </cell>
          <cell r="D905" t="str">
            <v>ゼウス襲来！</v>
          </cell>
          <cell r="E905" t="str">
            <v>超降臨5</v>
          </cell>
          <cell r="F905">
            <v>1</v>
          </cell>
          <cell r="G905" t="str">
            <v>ja</v>
          </cell>
          <cell r="H905" t="str">
            <v>【超ウィザード級】ゼウス襲来</v>
          </cell>
          <cell r="I905" t="str">
            <v>超地獄級</v>
          </cell>
          <cell r="J905">
            <v>0</v>
          </cell>
          <cell r="K905">
            <v>40</v>
          </cell>
          <cell r="L905">
            <v>5200</v>
          </cell>
          <cell r="M905">
            <v>1</v>
          </cell>
          <cell r="N905">
            <v>1</v>
          </cell>
          <cell r="O905">
            <v>1</v>
          </cell>
          <cell r="P905">
            <v>1</v>
          </cell>
          <cell r="Q905">
            <v>1</v>
          </cell>
          <cell r="R905">
            <v>3</v>
          </cell>
          <cell r="S905" t="str">
            <v>character</v>
          </cell>
          <cell r="T905">
            <v>929</v>
          </cell>
          <cell r="U905" t="str">
            <v>NULL</v>
          </cell>
          <cell r="V905" t="str">
            <v>NULL</v>
          </cell>
          <cell r="W905" t="str">
            <v/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 t="str">
            <v>anytime</v>
          </cell>
          <cell r="AC905">
            <v>935</v>
          </cell>
          <cell r="AD905">
            <v>6</v>
          </cell>
          <cell r="AE905" t="str">
            <v>everyone</v>
          </cell>
        </row>
        <row r="906">
          <cell r="A906" t="str">
            <v>50006_1</v>
          </cell>
          <cell r="B906">
            <v>3</v>
          </cell>
          <cell r="C906">
            <v>50006</v>
          </cell>
          <cell r="D906" t="str">
            <v>セト襲来！</v>
          </cell>
          <cell r="E906" t="str">
            <v>超降臨6</v>
          </cell>
          <cell r="F906">
            <v>1</v>
          </cell>
          <cell r="G906" t="str">
            <v>ja</v>
          </cell>
          <cell r="H906" t="str">
            <v>【超ウィザード級】セト襲来</v>
          </cell>
          <cell r="I906" t="str">
            <v>超地獄級</v>
          </cell>
          <cell r="J906">
            <v>0</v>
          </cell>
          <cell r="K906">
            <v>40</v>
          </cell>
          <cell r="L906">
            <v>5200</v>
          </cell>
          <cell r="M906">
            <v>1</v>
          </cell>
          <cell r="N906">
            <v>1</v>
          </cell>
          <cell r="O906">
            <v>1</v>
          </cell>
          <cell r="P906">
            <v>1</v>
          </cell>
          <cell r="Q906">
            <v>1</v>
          </cell>
          <cell r="R906">
            <v>3</v>
          </cell>
          <cell r="S906" t="str">
            <v>character</v>
          </cell>
          <cell r="T906">
            <v>1010</v>
          </cell>
          <cell r="U906" t="str">
            <v>NULL</v>
          </cell>
          <cell r="V906" t="str">
            <v>NULL</v>
          </cell>
          <cell r="W906" t="str">
            <v/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 t="str">
            <v>anytime</v>
          </cell>
          <cell r="AC906">
            <v>939</v>
          </cell>
          <cell r="AD906">
            <v>6</v>
          </cell>
          <cell r="AE906" t="str">
            <v>everyone</v>
          </cell>
        </row>
        <row r="907">
          <cell r="A907" t="str">
            <v>50007_1</v>
          </cell>
          <cell r="B907">
            <v>3</v>
          </cell>
          <cell r="C907">
            <v>50007</v>
          </cell>
          <cell r="D907" t="str">
            <v>ギルガメッシュ襲来！</v>
          </cell>
          <cell r="E907" t="str">
            <v>超降臨7</v>
          </cell>
          <cell r="F907">
            <v>1</v>
          </cell>
          <cell r="G907" t="str">
            <v>ja</v>
          </cell>
          <cell r="H907" t="str">
            <v>【超ウィザ】ギルガメッシュ襲来</v>
          </cell>
          <cell r="I907" t="str">
            <v>超地獄級</v>
          </cell>
          <cell r="J907">
            <v>0</v>
          </cell>
          <cell r="K907">
            <v>40</v>
          </cell>
          <cell r="L907">
            <v>5200</v>
          </cell>
          <cell r="M907">
            <v>1</v>
          </cell>
          <cell r="N907">
            <v>1</v>
          </cell>
          <cell r="O907">
            <v>1</v>
          </cell>
          <cell r="P907">
            <v>1</v>
          </cell>
          <cell r="Q907">
            <v>1</v>
          </cell>
          <cell r="R907">
            <v>3</v>
          </cell>
          <cell r="S907" t="str">
            <v>character</v>
          </cell>
          <cell r="T907">
            <v>1065</v>
          </cell>
          <cell r="U907" t="str">
            <v>NULL</v>
          </cell>
          <cell r="V907" t="str">
            <v>NULL</v>
          </cell>
          <cell r="W907" t="str">
            <v/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 t="str">
            <v>anytime</v>
          </cell>
          <cell r="AC907">
            <v>945</v>
          </cell>
          <cell r="AD907">
            <v>6</v>
          </cell>
          <cell r="AE907" t="str">
            <v>everyone</v>
          </cell>
        </row>
        <row r="908">
          <cell r="A908" t="str">
            <v>50008_1</v>
          </cell>
          <cell r="B908">
            <v>3</v>
          </cell>
          <cell r="C908">
            <v>50008</v>
          </cell>
          <cell r="D908" t="str">
            <v>呂布襲来！</v>
          </cell>
          <cell r="E908" t="str">
            <v>超降臨8</v>
          </cell>
          <cell r="F908">
            <v>1</v>
          </cell>
          <cell r="G908" t="str">
            <v>ja</v>
          </cell>
          <cell r="H908" t="str">
            <v>【超ウィザード級】呂布襲来</v>
          </cell>
          <cell r="I908" t="str">
            <v>超地獄級</v>
          </cell>
          <cell r="J908">
            <v>0</v>
          </cell>
          <cell r="K908">
            <v>40</v>
          </cell>
          <cell r="L908">
            <v>5200</v>
          </cell>
          <cell r="M908">
            <v>1</v>
          </cell>
          <cell r="N908">
            <v>1</v>
          </cell>
          <cell r="O908">
            <v>1</v>
          </cell>
          <cell r="P908">
            <v>1</v>
          </cell>
          <cell r="Q908">
            <v>1</v>
          </cell>
          <cell r="R908">
            <v>3</v>
          </cell>
          <cell r="S908" t="str">
            <v>character</v>
          </cell>
          <cell r="T908">
            <v>1135</v>
          </cell>
          <cell r="U908" t="str">
            <v>NULL</v>
          </cell>
          <cell r="V908" t="str">
            <v>NULL</v>
          </cell>
          <cell r="W908" t="str">
            <v/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 t="str">
            <v>anytime</v>
          </cell>
          <cell r="AC908">
            <v>950</v>
          </cell>
          <cell r="AD908">
            <v>6</v>
          </cell>
          <cell r="AE908" t="str">
            <v>everyone</v>
          </cell>
        </row>
        <row r="909">
          <cell r="A909" t="str">
            <v>50009_1</v>
          </cell>
          <cell r="B909">
            <v>1</v>
          </cell>
          <cell r="C909">
            <v>50009</v>
          </cell>
          <cell r="D909" t="str">
            <v>ヘラ襲来！</v>
          </cell>
          <cell r="E909" t="str">
            <v>超降臨9</v>
          </cell>
          <cell r="F909">
            <v>1</v>
          </cell>
          <cell r="G909" t="str">
            <v>ja</v>
          </cell>
          <cell r="H909" t="str">
            <v>【超ウィザード級】ヘラ襲来</v>
          </cell>
          <cell r="I909" t="str">
            <v>超地獄級</v>
          </cell>
          <cell r="J909">
            <v>0</v>
          </cell>
          <cell r="K909">
            <v>40</v>
          </cell>
          <cell r="L909">
            <v>5200</v>
          </cell>
          <cell r="M909">
            <v>1</v>
          </cell>
          <cell r="N909">
            <v>1</v>
          </cell>
          <cell r="O909">
            <v>1</v>
          </cell>
          <cell r="P909">
            <v>1</v>
          </cell>
          <cell r="Q909">
            <v>1</v>
          </cell>
          <cell r="R909">
            <v>3</v>
          </cell>
          <cell r="S909" t="str">
            <v>character</v>
          </cell>
          <cell r="T909">
            <v>1206</v>
          </cell>
          <cell r="U909" t="str">
            <v>NULL</v>
          </cell>
          <cell r="V909" t="str">
            <v>NULL</v>
          </cell>
          <cell r="W909" t="str">
            <v/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 t="str">
            <v>anytime</v>
          </cell>
          <cell r="AC909">
            <v>955</v>
          </cell>
          <cell r="AD909">
            <v>6</v>
          </cell>
          <cell r="AE909" t="str">
            <v>everyone</v>
          </cell>
        </row>
        <row r="910">
          <cell r="A910" t="str">
            <v>50010_1</v>
          </cell>
          <cell r="B910">
            <v>3</v>
          </cell>
          <cell r="C910">
            <v>50010</v>
          </cell>
          <cell r="D910" t="str">
            <v>カフカ襲来！</v>
          </cell>
          <cell r="E910" t="str">
            <v>超降臨10</v>
          </cell>
          <cell r="F910">
            <v>1</v>
          </cell>
          <cell r="G910" t="str">
            <v>ja</v>
          </cell>
          <cell r="H910" t="str">
            <v>【超ウィザード級】カフカ襲来</v>
          </cell>
          <cell r="I910" t="str">
            <v>超地獄級</v>
          </cell>
          <cell r="J910">
            <v>0</v>
          </cell>
          <cell r="K910">
            <v>40</v>
          </cell>
          <cell r="L910">
            <v>5200</v>
          </cell>
          <cell r="M910">
            <v>1</v>
          </cell>
          <cell r="N910">
            <v>1</v>
          </cell>
          <cell r="O910">
            <v>1</v>
          </cell>
          <cell r="P910">
            <v>1</v>
          </cell>
          <cell r="Q910">
            <v>1</v>
          </cell>
          <cell r="R910">
            <v>3</v>
          </cell>
          <cell r="S910" t="str">
            <v>character</v>
          </cell>
          <cell r="T910">
            <v>1222</v>
          </cell>
          <cell r="U910" t="str">
            <v>NULL</v>
          </cell>
          <cell r="V910" t="str">
            <v>NULL</v>
          </cell>
          <cell r="W910" t="str">
            <v/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 t="str">
            <v>anytime</v>
          </cell>
          <cell r="AC910">
            <v>957</v>
          </cell>
          <cell r="AD910">
            <v>6</v>
          </cell>
          <cell r="AE910" t="str">
            <v>everyone</v>
          </cell>
        </row>
        <row r="911">
          <cell r="A911" t="str">
            <v>50011_1</v>
          </cell>
          <cell r="B911">
            <v>3</v>
          </cell>
          <cell r="C911">
            <v>50011</v>
          </cell>
          <cell r="D911" t="str">
            <v>ヘラ襲来！</v>
          </cell>
          <cell r="E911" t="str">
            <v>超降臨9</v>
          </cell>
          <cell r="F911">
            <v>1</v>
          </cell>
          <cell r="G911" t="str">
            <v>ja</v>
          </cell>
          <cell r="H911" t="str">
            <v>【超ウィザード級】ヘラ襲来</v>
          </cell>
          <cell r="I911" t="str">
            <v>超地獄級</v>
          </cell>
          <cell r="J911">
            <v>0</v>
          </cell>
          <cell r="K911">
            <v>40</v>
          </cell>
          <cell r="L911">
            <v>5200</v>
          </cell>
          <cell r="M911">
            <v>1</v>
          </cell>
          <cell r="N911">
            <v>1</v>
          </cell>
          <cell r="O911">
            <v>1</v>
          </cell>
          <cell r="P911">
            <v>1</v>
          </cell>
          <cell r="Q911">
            <v>1</v>
          </cell>
          <cell r="R911">
            <v>3</v>
          </cell>
          <cell r="S911" t="str">
            <v>character</v>
          </cell>
          <cell r="T911">
            <v>1206</v>
          </cell>
          <cell r="U911" t="str">
            <v>NULL</v>
          </cell>
          <cell r="V911" t="str">
            <v>NULL</v>
          </cell>
          <cell r="W911" t="str">
            <v/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 t="str">
            <v>anytime</v>
          </cell>
          <cell r="AC911">
            <v>955</v>
          </cell>
          <cell r="AD911">
            <v>6</v>
          </cell>
          <cell r="AE911" t="str">
            <v>everyone</v>
          </cell>
        </row>
        <row r="912">
          <cell r="A912" t="str">
            <v>50012_1</v>
          </cell>
          <cell r="B912">
            <v>3</v>
          </cell>
          <cell r="C912">
            <v>50012</v>
          </cell>
          <cell r="D912" t="str">
            <v>豊臣秀吉襲来！</v>
          </cell>
          <cell r="E912" t="str">
            <v>超降臨11</v>
          </cell>
          <cell r="F912">
            <v>1</v>
          </cell>
          <cell r="G912" t="str">
            <v>ja</v>
          </cell>
          <cell r="H912" t="str">
            <v>【超ウィザード級】豊臣秀吉襲来</v>
          </cell>
          <cell r="I912" t="str">
            <v>超地獄級</v>
          </cell>
          <cell r="J912">
            <v>0</v>
          </cell>
          <cell r="K912">
            <v>40</v>
          </cell>
          <cell r="L912">
            <v>5200</v>
          </cell>
          <cell r="M912">
            <v>1</v>
          </cell>
          <cell r="N912">
            <v>1</v>
          </cell>
          <cell r="O912">
            <v>1</v>
          </cell>
          <cell r="P912">
            <v>1</v>
          </cell>
          <cell r="Q912">
            <v>1</v>
          </cell>
          <cell r="R912">
            <v>3</v>
          </cell>
          <cell r="S912" t="str">
            <v>character</v>
          </cell>
          <cell r="T912">
            <v>1242</v>
          </cell>
          <cell r="U912" t="str">
            <v>NULL</v>
          </cell>
          <cell r="V912" t="str">
            <v>NULL</v>
          </cell>
          <cell r="W912" t="str">
            <v/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 t="str">
            <v>anytime</v>
          </cell>
          <cell r="AC912">
            <v>959</v>
          </cell>
          <cell r="AD912">
            <v>6</v>
          </cell>
          <cell r="AE912" t="str">
            <v>everyone</v>
          </cell>
        </row>
        <row r="913">
          <cell r="A913" t="str">
            <v>50013_1</v>
          </cell>
          <cell r="B913">
            <v>3</v>
          </cell>
          <cell r="C913">
            <v>50013</v>
          </cell>
          <cell r="D913" t="str">
            <v>ロキ襲来！</v>
          </cell>
          <cell r="E913" t="str">
            <v>超降臨12</v>
          </cell>
          <cell r="F913">
            <v>1</v>
          </cell>
          <cell r="G913" t="str">
            <v>ja</v>
          </cell>
          <cell r="H913" t="str">
            <v>【超ウィザード級】ロキ襲来</v>
          </cell>
          <cell r="I913" t="str">
            <v>超地獄級</v>
          </cell>
          <cell r="J913">
            <v>0</v>
          </cell>
          <cell r="K913">
            <v>40</v>
          </cell>
          <cell r="L913">
            <v>5200</v>
          </cell>
          <cell r="M913">
            <v>1</v>
          </cell>
          <cell r="N913">
            <v>1</v>
          </cell>
          <cell r="O913">
            <v>1</v>
          </cell>
          <cell r="P913">
            <v>1</v>
          </cell>
          <cell r="Q913">
            <v>1</v>
          </cell>
          <cell r="R913">
            <v>3</v>
          </cell>
          <cell r="S913" t="str">
            <v>character</v>
          </cell>
          <cell r="T913">
            <v>1258</v>
          </cell>
          <cell r="U913" t="str">
            <v>NULL</v>
          </cell>
          <cell r="V913" t="str">
            <v>NULL</v>
          </cell>
          <cell r="W913" t="str">
            <v/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 t="str">
            <v>anytime</v>
          </cell>
          <cell r="AC913">
            <v>961</v>
          </cell>
          <cell r="AD913">
            <v>6</v>
          </cell>
          <cell r="AE913" t="str">
            <v>everyone</v>
          </cell>
        </row>
        <row r="914">
          <cell r="A914" t="str">
            <v>50014_1</v>
          </cell>
          <cell r="B914">
            <v>3</v>
          </cell>
          <cell r="C914">
            <v>50014</v>
          </cell>
          <cell r="D914" t="str">
            <v>スサノオ襲来！</v>
          </cell>
          <cell r="E914" t="str">
            <v>超降臨13</v>
          </cell>
          <cell r="F914">
            <v>1</v>
          </cell>
          <cell r="G914" t="str">
            <v>ja</v>
          </cell>
          <cell r="H914" t="str">
            <v>【超ウィザード級】スサノオ襲来</v>
          </cell>
          <cell r="I914" t="str">
            <v>超地獄級</v>
          </cell>
          <cell r="J914">
            <v>0</v>
          </cell>
          <cell r="K914">
            <v>40</v>
          </cell>
          <cell r="L914">
            <v>5200</v>
          </cell>
          <cell r="M914">
            <v>1</v>
          </cell>
          <cell r="N914">
            <v>1</v>
          </cell>
          <cell r="O914">
            <v>1</v>
          </cell>
          <cell r="P914">
            <v>1</v>
          </cell>
          <cell r="Q914">
            <v>1</v>
          </cell>
          <cell r="R914">
            <v>3</v>
          </cell>
          <cell r="S914" t="str">
            <v>character</v>
          </cell>
          <cell r="T914">
            <v>1330</v>
          </cell>
          <cell r="U914" t="str">
            <v>NULL</v>
          </cell>
          <cell r="V914" t="str">
            <v>NULL</v>
          </cell>
          <cell r="W914" t="str">
            <v/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 t="str">
            <v>anytime</v>
          </cell>
          <cell r="AC914">
            <v>967</v>
          </cell>
          <cell r="AD914">
            <v>6</v>
          </cell>
          <cell r="AE914" t="str">
            <v>everyone</v>
          </cell>
        </row>
        <row r="915">
          <cell r="A915" t="str">
            <v>51001_1</v>
          </cell>
          <cell r="B915">
            <v>3</v>
          </cell>
          <cell r="C915">
            <v>51001</v>
          </cell>
          <cell r="D915" t="str">
            <v>麒麟襲来！</v>
          </cell>
          <cell r="E915" t="str">
            <v>超降臨1</v>
          </cell>
          <cell r="F915">
            <v>1</v>
          </cell>
          <cell r="G915" t="str">
            <v>ja</v>
          </cell>
          <cell r="H915" t="str">
            <v xml:space="preserve">【超ウィザード級】麒麟襲来 </v>
          </cell>
          <cell r="I915" t="str">
            <v>超地獄級</v>
          </cell>
          <cell r="J915">
            <v>0</v>
          </cell>
          <cell r="K915">
            <v>40</v>
          </cell>
          <cell r="L915">
            <v>5200</v>
          </cell>
          <cell r="M915">
            <v>1</v>
          </cell>
          <cell r="N915">
            <v>1</v>
          </cell>
          <cell r="O915">
            <v>1</v>
          </cell>
          <cell r="P915">
            <v>1</v>
          </cell>
          <cell r="Q915">
            <v>1</v>
          </cell>
          <cell r="R915">
            <v>3</v>
          </cell>
          <cell r="S915" t="str">
            <v>character</v>
          </cell>
          <cell r="T915">
            <v>432</v>
          </cell>
          <cell r="U915" t="str">
            <v>NULL</v>
          </cell>
          <cell r="V915" t="str">
            <v>NULL</v>
          </cell>
          <cell r="W915" t="str">
            <v/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 t="str">
            <v>anytime</v>
          </cell>
          <cell r="AC915">
            <v>905</v>
          </cell>
          <cell r="AD915">
            <v>6</v>
          </cell>
          <cell r="AE915" t="str">
            <v>everyone</v>
          </cell>
        </row>
        <row r="916">
          <cell r="A916" t="str">
            <v>51002_1</v>
          </cell>
          <cell r="B916">
            <v>3</v>
          </cell>
          <cell r="C916">
            <v>51002</v>
          </cell>
          <cell r="D916" t="str">
            <v>オーディン襲来！</v>
          </cell>
          <cell r="E916" t="str">
            <v>超降臨2</v>
          </cell>
          <cell r="F916">
            <v>1</v>
          </cell>
          <cell r="G916" t="str">
            <v>ja</v>
          </cell>
          <cell r="H916" t="str">
            <v>【超ウィザード級】オーディン襲来</v>
          </cell>
          <cell r="I916" t="str">
            <v>超地獄級</v>
          </cell>
          <cell r="J916">
            <v>0</v>
          </cell>
          <cell r="K916">
            <v>40</v>
          </cell>
          <cell r="L916">
            <v>5200</v>
          </cell>
          <cell r="M916">
            <v>1</v>
          </cell>
          <cell r="N916">
            <v>1</v>
          </cell>
          <cell r="O916">
            <v>1</v>
          </cell>
          <cell r="P916">
            <v>1</v>
          </cell>
          <cell r="Q916">
            <v>1</v>
          </cell>
          <cell r="R916">
            <v>3</v>
          </cell>
          <cell r="S916" t="str">
            <v>character</v>
          </cell>
          <cell r="T916">
            <v>573</v>
          </cell>
          <cell r="U916" t="str">
            <v>NULL</v>
          </cell>
          <cell r="V916" t="str">
            <v>NULL</v>
          </cell>
          <cell r="W916" t="str">
            <v/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 t="str">
            <v>anytime</v>
          </cell>
          <cell r="AC916">
            <v>911</v>
          </cell>
          <cell r="AD916">
            <v>6</v>
          </cell>
          <cell r="AE916" t="str">
            <v>everyone</v>
          </cell>
        </row>
        <row r="917">
          <cell r="A917" t="str">
            <v>58001_1</v>
          </cell>
          <cell r="B917">
            <v>1</v>
          </cell>
          <cell r="C917">
            <v>58001</v>
          </cell>
          <cell r="D917" t="str">
            <v>曹操襲来！</v>
          </cell>
          <cell r="E917" t="str">
            <v>繁体字版超降臨1</v>
          </cell>
          <cell r="F917">
            <v>1</v>
          </cell>
          <cell r="G917" t="str">
            <v>ja</v>
          </cell>
          <cell r="H917" t="str">
            <v>【超ウィザード級】曹操襲来</v>
          </cell>
          <cell r="I917" t="str">
            <v>超地獄級</v>
          </cell>
          <cell r="J917">
            <v>0</v>
          </cell>
          <cell r="K917">
            <v>40</v>
          </cell>
          <cell r="L917">
            <v>5200</v>
          </cell>
          <cell r="M917">
            <v>1</v>
          </cell>
          <cell r="N917">
            <v>1</v>
          </cell>
          <cell r="O917">
            <v>1</v>
          </cell>
          <cell r="P917">
            <v>1</v>
          </cell>
          <cell r="Q917">
            <v>1</v>
          </cell>
          <cell r="R917">
            <v>3</v>
          </cell>
          <cell r="S917" t="str">
            <v>character</v>
          </cell>
          <cell r="T917">
            <v>8083</v>
          </cell>
          <cell r="U917" t="str">
            <v>NULL</v>
          </cell>
          <cell r="V917" t="str">
            <v>NULL</v>
          </cell>
          <cell r="W917" t="str">
            <v/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 t="str">
            <v>anytime</v>
          </cell>
          <cell r="AC917">
            <v>964</v>
          </cell>
          <cell r="AD917">
            <v>6</v>
          </cell>
          <cell r="AE917" t="str">
            <v>everyone</v>
          </cell>
        </row>
        <row r="918">
          <cell r="A918" t="str">
            <v>59001_1</v>
          </cell>
          <cell r="B918">
            <v>3</v>
          </cell>
          <cell r="C918">
            <v>59001</v>
          </cell>
          <cell r="D918" t="str">
            <v>電子歌姫の堕天使</v>
          </cell>
          <cell r="E918" t="str">
            <v>コラボ超降臨1</v>
          </cell>
          <cell r="F918">
            <v>1</v>
          </cell>
          <cell r="G918" t="str">
            <v>ja</v>
          </cell>
          <cell r="H918" t="str">
            <v>【超ウィザード級】電子歌姫の堕天使</v>
          </cell>
          <cell r="I918" t="str">
            <v>超地獄級</v>
          </cell>
          <cell r="J918">
            <v>0</v>
          </cell>
          <cell r="K918">
            <v>30</v>
          </cell>
          <cell r="L918">
            <v>5200</v>
          </cell>
          <cell r="M918">
            <v>1</v>
          </cell>
          <cell r="N918">
            <v>1</v>
          </cell>
          <cell r="O918">
            <v>1</v>
          </cell>
          <cell r="P918">
            <v>1</v>
          </cell>
          <cell r="Q918">
            <v>1</v>
          </cell>
          <cell r="R918">
            <v>3</v>
          </cell>
          <cell r="S918" t="str">
            <v>character</v>
          </cell>
          <cell r="T918">
            <v>1306</v>
          </cell>
          <cell r="U918" t="str">
            <v>NULL</v>
          </cell>
          <cell r="V918" t="str">
            <v>NULL</v>
          </cell>
          <cell r="W918" t="str">
            <v/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 t="str">
            <v>anytime</v>
          </cell>
          <cell r="AC918">
            <v>968</v>
          </cell>
          <cell r="AD918">
            <v>6</v>
          </cell>
          <cell r="AE918" t="str">
            <v>everyone</v>
          </cell>
        </row>
        <row r="919">
          <cell r="A919" t="str">
            <v>59002_1</v>
          </cell>
          <cell r="B919">
            <v>1</v>
          </cell>
          <cell r="C919">
            <v>59002</v>
          </cell>
          <cell r="D919" t="str">
            <v>C超魔</v>
          </cell>
          <cell r="E919" t="str">
            <v>コラボ超降臨2</v>
          </cell>
          <cell r="F919">
            <v>1</v>
          </cell>
          <cell r="G919" t="str">
            <v>ja</v>
          </cell>
          <cell r="H919" t="str">
            <v>【超ウィザード級】C超魔</v>
          </cell>
          <cell r="I919" t="str">
            <v>超地獄級</v>
          </cell>
          <cell r="J919">
            <v>0</v>
          </cell>
          <cell r="K919">
            <v>40</v>
          </cell>
          <cell r="L919">
            <v>5200</v>
          </cell>
          <cell r="M919">
            <v>1</v>
          </cell>
          <cell r="N919">
            <v>1</v>
          </cell>
          <cell r="O919">
            <v>1</v>
          </cell>
          <cell r="P919">
            <v>1</v>
          </cell>
          <cell r="Q919">
            <v>1</v>
          </cell>
          <cell r="R919">
            <v>3</v>
          </cell>
          <cell r="S919" t="str">
            <v>character</v>
          </cell>
          <cell r="T919">
            <v>1525</v>
          </cell>
          <cell r="U919" t="str">
            <v>NULL</v>
          </cell>
          <cell r="V919" t="str">
            <v>NULL</v>
          </cell>
          <cell r="W919" t="str">
            <v/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 t="str">
            <v>anytime</v>
          </cell>
          <cell r="AC919">
            <v>967</v>
          </cell>
          <cell r="AD919">
            <v>6</v>
          </cell>
          <cell r="AE919" t="str">
            <v>everyone</v>
          </cell>
        </row>
        <row r="920">
          <cell r="A920" t="str">
            <v>60001_1</v>
          </cell>
          <cell r="B920">
            <v>1</v>
          </cell>
          <cell r="C920">
            <v>60001</v>
          </cell>
          <cell r="D920" t="str">
            <v>ヘンペルチャレンジ</v>
          </cell>
          <cell r="E920" t="str">
            <v>ランキング1</v>
          </cell>
          <cell r="F920">
            <v>1</v>
          </cell>
          <cell r="G920" t="str">
            <v>ja</v>
          </cell>
          <cell r="H920" t="str">
            <v>[ウィザード] 第一回</v>
          </cell>
          <cell r="I920" t="str">
            <v>ランキング</v>
          </cell>
          <cell r="J920">
            <v>488</v>
          </cell>
          <cell r="K920">
            <v>5</v>
          </cell>
          <cell r="L920">
            <v>0</v>
          </cell>
          <cell r="M920">
            <v>1</v>
          </cell>
          <cell r="N920">
            <v>1</v>
          </cell>
          <cell r="O920">
            <v>1</v>
          </cell>
          <cell r="P920">
            <v>1</v>
          </cell>
          <cell r="Q920">
            <v>1</v>
          </cell>
          <cell r="R920">
            <v>3</v>
          </cell>
          <cell r="S920" t="str">
            <v>none</v>
          </cell>
          <cell r="T920">
            <v>0</v>
          </cell>
          <cell r="U920" t="str">
            <v>NULL</v>
          </cell>
          <cell r="V920" t="str">
            <v>NULL</v>
          </cell>
          <cell r="W920" t="str">
            <v/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 t="str">
            <v>anytime</v>
          </cell>
          <cell r="AC920">
            <v>911</v>
          </cell>
          <cell r="AD920">
            <v>6</v>
          </cell>
          <cell r="AE920" t="str">
            <v>singleonly</v>
          </cell>
        </row>
        <row r="921">
          <cell r="A921" t="str">
            <v>60002_1</v>
          </cell>
          <cell r="B921">
            <v>1</v>
          </cell>
          <cell r="C921">
            <v>60002</v>
          </cell>
          <cell r="D921" t="str">
            <v>ヘンペルチャレンジ</v>
          </cell>
          <cell r="E921" t="str">
            <v>ランキング1</v>
          </cell>
          <cell r="F921">
            <v>1</v>
          </cell>
          <cell r="G921" t="str">
            <v>ja</v>
          </cell>
          <cell r="H921" t="str">
            <v>[超級] 第2回　※Wizと難易度は同じ</v>
          </cell>
          <cell r="I921" t="str">
            <v>ランキング</v>
          </cell>
          <cell r="J921">
            <v>488</v>
          </cell>
          <cell r="K921">
            <v>5</v>
          </cell>
          <cell r="L921">
            <v>0</v>
          </cell>
          <cell r="M921">
            <v>1</v>
          </cell>
          <cell r="N921">
            <v>1</v>
          </cell>
          <cell r="O921">
            <v>1</v>
          </cell>
          <cell r="P921">
            <v>1</v>
          </cell>
          <cell r="Q921">
            <v>1</v>
          </cell>
          <cell r="R921">
            <v>3</v>
          </cell>
          <cell r="S921" t="str">
            <v>none</v>
          </cell>
          <cell r="T921">
            <v>0</v>
          </cell>
          <cell r="U921" t="str">
            <v>NULL</v>
          </cell>
          <cell r="V921" t="str">
            <v>NULL</v>
          </cell>
          <cell r="W921" t="str">
            <v/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 t="str">
            <v>anytime</v>
          </cell>
          <cell r="AC921">
            <v>911</v>
          </cell>
          <cell r="AD921">
            <v>6</v>
          </cell>
          <cell r="AE921" t="str">
            <v>singleonly</v>
          </cell>
        </row>
        <row r="922">
          <cell r="A922" t="str">
            <v>60002_2</v>
          </cell>
          <cell r="B922">
            <v>1</v>
          </cell>
          <cell r="C922">
            <v>60002</v>
          </cell>
          <cell r="D922" t="str">
            <v>ヘンペルチャレンジ</v>
          </cell>
          <cell r="E922" t="str">
            <v>ランキング1</v>
          </cell>
          <cell r="F922">
            <v>2</v>
          </cell>
          <cell r="G922" t="str">
            <v>ja</v>
          </cell>
          <cell r="H922" t="str">
            <v>[ウィザード] 第2回　※Wizと難易度は同じ</v>
          </cell>
          <cell r="I922" t="str">
            <v>ランキング</v>
          </cell>
          <cell r="J922">
            <v>488</v>
          </cell>
          <cell r="K922">
            <v>5</v>
          </cell>
          <cell r="L922">
            <v>0</v>
          </cell>
          <cell r="M922">
            <v>1</v>
          </cell>
          <cell r="N922">
            <v>1</v>
          </cell>
          <cell r="O922">
            <v>1</v>
          </cell>
          <cell r="P922">
            <v>1</v>
          </cell>
          <cell r="Q922">
            <v>1</v>
          </cell>
          <cell r="R922">
            <v>3</v>
          </cell>
          <cell r="S922" t="str">
            <v>none</v>
          </cell>
          <cell r="T922">
            <v>0</v>
          </cell>
          <cell r="U922" t="str">
            <v>NULL</v>
          </cell>
          <cell r="V922" t="str">
            <v>NULL</v>
          </cell>
          <cell r="W922" t="str">
            <v/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 t="str">
            <v>anytime</v>
          </cell>
          <cell r="AC922">
            <v>911</v>
          </cell>
          <cell r="AD922">
            <v>6</v>
          </cell>
          <cell r="AE922" t="str">
            <v>singleonly</v>
          </cell>
        </row>
        <row r="923">
          <cell r="A923" t="str">
            <v>60003_1</v>
          </cell>
          <cell r="B923">
            <v>1</v>
          </cell>
          <cell r="C923">
            <v>60003</v>
          </cell>
          <cell r="D923" t="str">
            <v>ヘンペルチャレンジ</v>
          </cell>
          <cell r="E923" t="str">
            <v>ランキング1</v>
          </cell>
          <cell r="F923">
            <v>1</v>
          </cell>
          <cell r="G923" t="str">
            <v>ja</v>
          </cell>
          <cell r="H923" t="str">
            <v>[中級] 第3回　</v>
          </cell>
          <cell r="I923" t="str">
            <v>ランキング</v>
          </cell>
          <cell r="J923">
            <v>488</v>
          </cell>
          <cell r="K923">
            <v>5</v>
          </cell>
          <cell r="L923">
            <v>0</v>
          </cell>
          <cell r="M923">
            <v>1</v>
          </cell>
          <cell r="N923">
            <v>1</v>
          </cell>
          <cell r="O923">
            <v>1</v>
          </cell>
          <cell r="P923">
            <v>1</v>
          </cell>
          <cell r="Q923">
            <v>1</v>
          </cell>
          <cell r="R923">
            <v>3</v>
          </cell>
          <cell r="S923" t="str">
            <v>none</v>
          </cell>
          <cell r="T923">
            <v>0</v>
          </cell>
          <cell r="U923" t="str">
            <v>NULL</v>
          </cell>
          <cell r="V923" t="str">
            <v>NULL</v>
          </cell>
          <cell r="W923" t="str">
            <v/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 t="str">
            <v>anytime</v>
          </cell>
          <cell r="AC923">
            <v>911</v>
          </cell>
          <cell r="AD923">
            <v>6</v>
          </cell>
          <cell r="AE923" t="str">
            <v>singleonly</v>
          </cell>
        </row>
        <row r="924">
          <cell r="A924" t="str">
            <v>60003_2</v>
          </cell>
          <cell r="B924">
            <v>1</v>
          </cell>
          <cell r="C924">
            <v>60003</v>
          </cell>
          <cell r="D924" t="str">
            <v>ヘンペルチャレンジ</v>
          </cell>
          <cell r="E924" t="str">
            <v>ランキング1</v>
          </cell>
          <cell r="F924">
            <v>2</v>
          </cell>
          <cell r="G924" t="str">
            <v>ja</v>
          </cell>
          <cell r="H924" t="str">
            <v>[超級] 第3回　</v>
          </cell>
          <cell r="I924" t="str">
            <v>ランキング</v>
          </cell>
          <cell r="J924">
            <v>488</v>
          </cell>
          <cell r="K924">
            <v>5</v>
          </cell>
          <cell r="L924">
            <v>0</v>
          </cell>
          <cell r="M924">
            <v>1</v>
          </cell>
          <cell r="N924">
            <v>1</v>
          </cell>
          <cell r="O924">
            <v>1</v>
          </cell>
          <cell r="P924">
            <v>1</v>
          </cell>
          <cell r="Q924">
            <v>1</v>
          </cell>
          <cell r="R924">
            <v>3</v>
          </cell>
          <cell r="S924" t="str">
            <v>none</v>
          </cell>
          <cell r="T924">
            <v>0</v>
          </cell>
          <cell r="U924">
            <v>60003</v>
          </cell>
          <cell r="V924">
            <v>1</v>
          </cell>
          <cell r="W924" t="str">
            <v>[中級] 第3回　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 t="str">
            <v>anytime</v>
          </cell>
          <cell r="AC924">
            <v>911</v>
          </cell>
          <cell r="AD924">
            <v>6</v>
          </cell>
          <cell r="AE924" t="str">
            <v>singleonly</v>
          </cell>
        </row>
        <row r="925">
          <cell r="A925" t="str">
            <v>60003_3</v>
          </cell>
          <cell r="B925">
            <v>1</v>
          </cell>
          <cell r="C925">
            <v>60003</v>
          </cell>
          <cell r="D925" t="str">
            <v>ヘンペルチャレンジ</v>
          </cell>
          <cell r="E925" t="str">
            <v>ランキング1</v>
          </cell>
          <cell r="F925">
            <v>3</v>
          </cell>
          <cell r="G925" t="str">
            <v>ja</v>
          </cell>
          <cell r="H925" t="str">
            <v>[ウィザード] 第3回　</v>
          </cell>
          <cell r="I925" t="str">
            <v>ランキング</v>
          </cell>
          <cell r="J925">
            <v>488</v>
          </cell>
          <cell r="K925">
            <v>5</v>
          </cell>
          <cell r="L925">
            <v>0</v>
          </cell>
          <cell r="M925">
            <v>1</v>
          </cell>
          <cell r="N925">
            <v>1</v>
          </cell>
          <cell r="O925">
            <v>1</v>
          </cell>
          <cell r="P925">
            <v>1</v>
          </cell>
          <cell r="Q925">
            <v>1</v>
          </cell>
          <cell r="R925">
            <v>3</v>
          </cell>
          <cell r="S925" t="str">
            <v>none</v>
          </cell>
          <cell r="T925">
            <v>0</v>
          </cell>
          <cell r="U925">
            <v>60003</v>
          </cell>
          <cell r="V925">
            <v>2</v>
          </cell>
          <cell r="W925" t="str">
            <v>[超級] 第3回　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 t="str">
            <v>anytime</v>
          </cell>
          <cell r="AC925">
            <v>911</v>
          </cell>
          <cell r="AD925">
            <v>6</v>
          </cell>
          <cell r="AE925" t="str">
            <v>singleonly</v>
          </cell>
        </row>
        <row r="926">
          <cell r="A926" t="str">
            <v>60004_1</v>
          </cell>
          <cell r="B926">
            <v>1</v>
          </cell>
          <cell r="C926">
            <v>60004</v>
          </cell>
          <cell r="D926" t="str">
            <v>ヘンペルチャレンジ</v>
          </cell>
          <cell r="E926" t="str">
            <v>ランキング1</v>
          </cell>
          <cell r="F926">
            <v>1</v>
          </cell>
          <cell r="G926" t="str">
            <v>ja</v>
          </cell>
          <cell r="H926" t="str">
            <v>[ウィザード] 第4回　</v>
          </cell>
          <cell r="I926" t="str">
            <v>ランキング</v>
          </cell>
          <cell r="J926">
            <v>488</v>
          </cell>
          <cell r="K926">
            <v>5</v>
          </cell>
          <cell r="L926">
            <v>0</v>
          </cell>
          <cell r="M926">
            <v>1</v>
          </cell>
          <cell r="N926">
            <v>1</v>
          </cell>
          <cell r="O926">
            <v>1</v>
          </cell>
          <cell r="P926">
            <v>1</v>
          </cell>
          <cell r="Q926">
            <v>1</v>
          </cell>
          <cell r="R926">
            <v>3</v>
          </cell>
          <cell r="S926" t="str">
            <v>none</v>
          </cell>
          <cell r="T926">
            <v>0</v>
          </cell>
          <cell r="U926" t="str">
            <v>NULL</v>
          </cell>
          <cell r="V926" t="str">
            <v>NULL</v>
          </cell>
          <cell r="W926" t="str">
            <v/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 t="str">
            <v>anytime</v>
          </cell>
          <cell r="AC926">
            <v>911</v>
          </cell>
          <cell r="AD926">
            <v>6</v>
          </cell>
          <cell r="AE926" t="str">
            <v>singleonly</v>
          </cell>
        </row>
        <row r="927">
          <cell r="A927" t="str">
            <v>60005_1</v>
          </cell>
          <cell r="B927">
            <v>1</v>
          </cell>
          <cell r="C927">
            <v>60005</v>
          </cell>
          <cell r="D927" t="str">
            <v>オイラーチャレンジ</v>
          </cell>
          <cell r="E927" t="str">
            <v>ランキング1</v>
          </cell>
          <cell r="F927">
            <v>1</v>
          </cell>
          <cell r="G927" t="str">
            <v>ja</v>
          </cell>
          <cell r="H927" t="str">
            <v>[ウィザード] 第5回　</v>
          </cell>
          <cell r="I927" t="str">
            <v>ランキング</v>
          </cell>
          <cell r="J927">
            <v>379</v>
          </cell>
          <cell r="K927">
            <v>5</v>
          </cell>
          <cell r="L927">
            <v>0</v>
          </cell>
          <cell r="M927">
            <v>1</v>
          </cell>
          <cell r="N927">
            <v>1</v>
          </cell>
          <cell r="O927">
            <v>1</v>
          </cell>
          <cell r="P927">
            <v>1</v>
          </cell>
          <cell r="Q927">
            <v>1</v>
          </cell>
          <cell r="R927">
            <v>3</v>
          </cell>
          <cell r="S927" t="str">
            <v>none</v>
          </cell>
          <cell r="T927">
            <v>0</v>
          </cell>
          <cell r="U927" t="str">
            <v>NULL</v>
          </cell>
          <cell r="V927" t="str">
            <v>NULL</v>
          </cell>
          <cell r="W927" t="str">
            <v/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 t="str">
            <v>anytime</v>
          </cell>
          <cell r="AC927">
            <v>923</v>
          </cell>
          <cell r="AD927">
            <v>6</v>
          </cell>
          <cell r="AE927" t="str">
            <v>singleonly</v>
          </cell>
        </row>
        <row r="928">
          <cell r="A928" t="str">
            <v>60006_1</v>
          </cell>
          <cell r="B928">
            <v>0</v>
          </cell>
          <cell r="C928">
            <v>60006</v>
          </cell>
          <cell r="D928" t="str">
            <v>オイラーチャレンジ</v>
          </cell>
          <cell r="E928" t="str">
            <v>ランキング1（本番実装用）</v>
          </cell>
          <cell r="F928">
            <v>1</v>
          </cell>
          <cell r="G928" t="str">
            <v>ja</v>
          </cell>
          <cell r="H928" t="str">
            <v>【中級】オイラーチャレンジ</v>
          </cell>
          <cell r="I928" t="str">
            <v>中級</v>
          </cell>
          <cell r="J928">
            <v>378</v>
          </cell>
          <cell r="K928">
            <v>15</v>
          </cell>
          <cell r="L928">
            <v>1200</v>
          </cell>
          <cell r="M928">
            <v>1</v>
          </cell>
          <cell r="N928">
            <v>1</v>
          </cell>
          <cell r="O928">
            <v>1</v>
          </cell>
          <cell r="P928">
            <v>1</v>
          </cell>
          <cell r="Q928">
            <v>1</v>
          </cell>
          <cell r="R928">
            <v>3</v>
          </cell>
          <cell r="S928" t="str">
            <v>none</v>
          </cell>
          <cell r="T928">
            <v>0</v>
          </cell>
          <cell r="U928">
            <v>60006</v>
          </cell>
          <cell r="V928">
            <v>1</v>
          </cell>
          <cell r="W928" t="str">
            <v>【中級】オイラーチャレンジ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 t="str">
            <v>anytime</v>
          </cell>
          <cell r="AC928">
            <v>923</v>
          </cell>
          <cell r="AD928">
            <v>6</v>
          </cell>
          <cell r="AE928" t="str">
            <v>singleonly</v>
          </cell>
        </row>
        <row r="929">
          <cell r="A929" t="str">
            <v>60006_2</v>
          </cell>
          <cell r="B929">
            <v>0</v>
          </cell>
          <cell r="C929">
            <v>60006</v>
          </cell>
          <cell r="D929" t="str">
            <v>オイラーチャレンジ</v>
          </cell>
          <cell r="E929" t="str">
            <v>ランキング1（本番実装用）</v>
          </cell>
          <cell r="F929">
            <v>2</v>
          </cell>
          <cell r="G929" t="str">
            <v>ja</v>
          </cell>
          <cell r="H929" t="str">
            <v>【超級】オイラーチャレンジ</v>
          </cell>
          <cell r="I929" t="str">
            <v>超級</v>
          </cell>
          <cell r="J929">
            <v>378</v>
          </cell>
          <cell r="K929">
            <v>30</v>
          </cell>
          <cell r="L929">
            <v>3300</v>
          </cell>
          <cell r="M929">
            <v>1</v>
          </cell>
          <cell r="N929">
            <v>1</v>
          </cell>
          <cell r="O929">
            <v>1</v>
          </cell>
          <cell r="P929">
            <v>1</v>
          </cell>
          <cell r="Q929">
            <v>1</v>
          </cell>
          <cell r="R929">
            <v>3</v>
          </cell>
          <cell r="S929" t="str">
            <v>none</v>
          </cell>
          <cell r="T929">
            <v>0</v>
          </cell>
          <cell r="U929">
            <v>60006</v>
          </cell>
          <cell r="V929">
            <v>2</v>
          </cell>
          <cell r="W929" t="str">
            <v>【超級】オイラーチャレンジ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 t="str">
            <v>anytime</v>
          </cell>
          <cell r="AC929">
            <v>923</v>
          </cell>
          <cell r="AD929">
            <v>6</v>
          </cell>
          <cell r="AE929" t="str">
            <v>singleonly</v>
          </cell>
        </row>
        <row r="930">
          <cell r="A930" t="str">
            <v>60006_3</v>
          </cell>
          <cell r="B930">
            <v>3</v>
          </cell>
          <cell r="C930">
            <v>60006</v>
          </cell>
          <cell r="D930" t="str">
            <v>オイラーチャレンジ</v>
          </cell>
          <cell r="E930" t="str">
            <v>ランキング1（本番実装用）</v>
          </cell>
          <cell r="F930">
            <v>3</v>
          </cell>
          <cell r="G930" t="str">
            <v>ja</v>
          </cell>
          <cell r="H930" t="str">
            <v>【ウィザード級】オイラーチャレンジ</v>
          </cell>
          <cell r="I930" t="str">
            <v>ウィザード級</v>
          </cell>
          <cell r="J930">
            <v>379</v>
          </cell>
          <cell r="K930">
            <v>35</v>
          </cell>
          <cell r="L930">
            <v>4200</v>
          </cell>
          <cell r="M930">
            <v>1</v>
          </cell>
          <cell r="N930">
            <v>1</v>
          </cell>
          <cell r="O930">
            <v>1</v>
          </cell>
          <cell r="P930">
            <v>1</v>
          </cell>
          <cell r="Q930">
            <v>1</v>
          </cell>
          <cell r="R930">
            <v>3</v>
          </cell>
          <cell r="S930" t="str">
            <v>none</v>
          </cell>
          <cell r="T930">
            <v>0</v>
          </cell>
          <cell r="U930">
            <v>60006</v>
          </cell>
          <cell r="V930">
            <v>3</v>
          </cell>
          <cell r="W930" t="str">
            <v>【ウィザード級】オイラーチャレンジ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 t="str">
            <v>anytime</v>
          </cell>
          <cell r="AC930">
            <v>923</v>
          </cell>
          <cell r="AD930">
            <v>6</v>
          </cell>
          <cell r="AE930" t="str">
            <v>singleonly</v>
          </cell>
        </row>
        <row r="931">
          <cell r="A931" t="str">
            <v>60007_1</v>
          </cell>
          <cell r="B931">
            <v>0</v>
          </cell>
          <cell r="C931">
            <v>60007</v>
          </cell>
          <cell r="D931" t="str">
            <v>オイラーチャレンジ</v>
          </cell>
          <cell r="E931" t="str">
            <v>ランキング1（改修版）</v>
          </cell>
          <cell r="F931">
            <v>1</v>
          </cell>
          <cell r="G931" t="str">
            <v>ja</v>
          </cell>
          <cell r="H931" t="str">
            <v>【中級】オイラーチャレンジ</v>
          </cell>
          <cell r="I931" t="str">
            <v>中級</v>
          </cell>
          <cell r="J931">
            <v>378</v>
          </cell>
          <cell r="K931">
            <v>15</v>
          </cell>
          <cell r="L931">
            <v>1200</v>
          </cell>
          <cell r="M931">
            <v>1</v>
          </cell>
          <cell r="N931">
            <v>1</v>
          </cell>
          <cell r="O931">
            <v>1</v>
          </cell>
          <cell r="P931">
            <v>1</v>
          </cell>
          <cell r="Q931">
            <v>1</v>
          </cell>
          <cell r="R931">
            <v>3</v>
          </cell>
          <cell r="S931" t="str">
            <v>none</v>
          </cell>
          <cell r="T931">
            <v>0</v>
          </cell>
          <cell r="U931" t="str">
            <v>NULL</v>
          </cell>
          <cell r="V931" t="str">
            <v>NULL</v>
          </cell>
          <cell r="W931" t="str">
            <v/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 t="str">
            <v>anytime</v>
          </cell>
          <cell r="AC931">
            <v>923</v>
          </cell>
          <cell r="AD931">
            <v>6</v>
          </cell>
          <cell r="AE931" t="str">
            <v>singleonly</v>
          </cell>
        </row>
        <row r="932">
          <cell r="A932" t="str">
            <v>60007_2</v>
          </cell>
          <cell r="B932">
            <v>0</v>
          </cell>
          <cell r="C932">
            <v>60007</v>
          </cell>
          <cell r="D932" t="str">
            <v>オイラーチャレンジ</v>
          </cell>
          <cell r="E932" t="str">
            <v>ランキング1（改修版）</v>
          </cell>
          <cell r="F932">
            <v>2</v>
          </cell>
          <cell r="G932" t="str">
            <v>ja</v>
          </cell>
          <cell r="H932" t="str">
            <v>【超級】オイラーチャレンジ</v>
          </cell>
          <cell r="I932" t="str">
            <v>超級</v>
          </cell>
          <cell r="J932">
            <v>378</v>
          </cell>
          <cell r="K932">
            <v>30</v>
          </cell>
          <cell r="L932">
            <v>3300</v>
          </cell>
          <cell r="M932">
            <v>1</v>
          </cell>
          <cell r="N932">
            <v>1</v>
          </cell>
          <cell r="O932">
            <v>1</v>
          </cell>
          <cell r="P932">
            <v>1</v>
          </cell>
          <cell r="Q932">
            <v>1</v>
          </cell>
          <cell r="R932">
            <v>3</v>
          </cell>
          <cell r="S932" t="str">
            <v>none</v>
          </cell>
          <cell r="T932">
            <v>0</v>
          </cell>
          <cell r="U932" t="str">
            <v>NULL</v>
          </cell>
          <cell r="V932" t="str">
            <v>NULL</v>
          </cell>
          <cell r="W932" t="str">
            <v/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 t="str">
            <v>anytime</v>
          </cell>
          <cell r="AC932">
            <v>923</v>
          </cell>
          <cell r="AD932">
            <v>6</v>
          </cell>
          <cell r="AE932" t="str">
            <v>singleonly</v>
          </cell>
        </row>
        <row r="933">
          <cell r="A933" t="str">
            <v>60007_3</v>
          </cell>
          <cell r="B933">
            <v>3</v>
          </cell>
          <cell r="C933">
            <v>60007</v>
          </cell>
          <cell r="D933" t="str">
            <v>オイラーチャレンジ</v>
          </cell>
          <cell r="E933" t="str">
            <v>ランキング1（改修版）</v>
          </cell>
          <cell r="F933">
            <v>3</v>
          </cell>
          <cell r="G933" t="str">
            <v>ja</v>
          </cell>
          <cell r="H933" t="str">
            <v>【ウィザード級】オイラーチャレンジ</v>
          </cell>
          <cell r="I933" t="str">
            <v>ウィザード級</v>
          </cell>
          <cell r="J933">
            <v>379</v>
          </cell>
          <cell r="K933">
            <v>35</v>
          </cell>
          <cell r="L933">
            <v>4200</v>
          </cell>
          <cell r="M933">
            <v>1</v>
          </cell>
          <cell r="N933">
            <v>1</v>
          </cell>
          <cell r="O933">
            <v>1</v>
          </cell>
          <cell r="P933">
            <v>1</v>
          </cell>
          <cell r="Q933">
            <v>1</v>
          </cell>
          <cell r="R933">
            <v>3</v>
          </cell>
          <cell r="S933" t="str">
            <v>none</v>
          </cell>
          <cell r="T933">
            <v>0</v>
          </cell>
          <cell r="U933" t="str">
            <v>NULL</v>
          </cell>
          <cell r="V933" t="str">
            <v>NULL</v>
          </cell>
          <cell r="W933" t="str">
            <v/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 t="str">
            <v>anytime</v>
          </cell>
          <cell r="AC933">
            <v>923</v>
          </cell>
          <cell r="AD933">
            <v>6</v>
          </cell>
          <cell r="AE933" t="str">
            <v>singleonly</v>
          </cell>
        </row>
        <row r="934">
          <cell r="A934" t="str">
            <v>60010_1</v>
          </cell>
          <cell r="B934">
            <v>3</v>
          </cell>
          <cell r="C934">
            <v>60010</v>
          </cell>
          <cell r="D934" t="str">
            <v>ラグランジュチャレンジ</v>
          </cell>
          <cell r="E934" t="str">
            <v>ランキング2（ラグランジュ）</v>
          </cell>
          <cell r="F934">
            <v>1</v>
          </cell>
          <cell r="G934" t="str">
            <v>ja</v>
          </cell>
          <cell r="H934" t="str">
            <v>ラグランジュチャレンジ</v>
          </cell>
          <cell r="I934" t="str">
            <v>ウィザード級</v>
          </cell>
          <cell r="J934">
            <v>796</v>
          </cell>
          <cell r="K934">
            <v>35</v>
          </cell>
          <cell r="L934">
            <v>4200</v>
          </cell>
          <cell r="M934">
            <v>1</v>
          </cell>
          <cell r="N934">
            <v>1</v>
          </cell>
          <cell r="O934">
            <v>1</v>
          </cell>
          <cell r="P934">
            <v>1</v>
          </cell>
          <cell r="Q934">
            <v>1</v>
          </cell>
          <cell r="R934">
            <v>3</v>
          </cell>
          <cell r="S934" t="str">
            <v>none</v>
          </cell>
          <cell r="T934">
            <v>0</v>
          </cell>
          <cell r="U934" t="str">
            <v>NULL</v>
          </cell>
          <cell r="V934" t="str">
            <v>NULL</v>
          </cell>
          <cell r="W934" t="str">
            <v/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 t="str">
            <v>anytime</v>
          </cell>
          <cell r="AC934">
            <v>922</v>
          </cell>
          <cell r="AD934">
            <v>6</v>
          </cell>
          <cell r="AE934" t="str">
            <v>singleonly</v>
          </cell>
        </row>
        <row r="935">
          <cell r="A935" t="str">
            <v>60011_1</v>
          </cell>
          <cell r="B935">
            <v>3</v>
          </cell>
          <cell r="C935">
            <v>60011</v>
          </cell>
          <cell r="D935" t="str">
            <v>ユークリッドチャレンジ</v>
          </cell>
          <cell r="E935" t="str">
            <v>ランキング3（ユークリッド）</v>
          </cell>
          <cell r="F935">
            <v>1</v>
          </cell>
          <cell r="G935" t="str">
            <v>ja</v>
          </cell>
          <cell r="H935" t="str">
            <v>ウィザード級</v>
          </cell>
          <cell r="I935" t="str">
            <v>ウィザード級</v>
          </cell>
          <cell r="J935">
            <v>690</v>
          </cell>
          <cell r="K935">
            <v>35</v>
          </cell>
          <cell r="L935">
            <v>4200</v>
          </cell>
          <cell r="M935">
            <v>1</v>
          </cell>
          <cell r="N935">
            <v>1</v>
          </cell>
          <cell r="O935">
            <v>1</v>
          </cell>
          <cell r="P935">
            <v>1</v>
          </cell>
          <cell r="Q935">
            <v>1</v>
          </cell>
          <cell r="R935">
            <v>3</v>
          </cell>
          <cell r="S935" t="str">
            <v>none</v>
          </cell>
          <cell r="T935">
            <v>0</v>
          </cell>
          <cell r="U935" t="str">
            <v>NULL</v>
          </cell>
          <cell r="V935" t="str">
            <v>NULL</v>
          </cell>
          <cell r="W935" t="str">
            <v/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 t="str">
            <v>anytime</v>
          </cell>
          <cell r="AC935">
            <v>924</v>
          </cell>
          <cell r="AD935">
            <v>6</v>
          </cell>
          <cell r="AE935" t="str">
            <v>singleonly</v>
          </cell>
        </row>
        <row r="936">
          <cell r="A936" t="str">
            <v>60011_2</v>
          </cell>
          <cell r="B936">
            <v>1</v>
          </cell>
          <cell r="C936">
            <v>60011</v>
          </cell>
          <cell r="D936" t="str">
            <v>ユークリッドチャレンジ</v>
          </cell>
          <cell r="E936" t="str">
            <v>ランキング3（ユークリッド）</v>
          </cell>
          <cell r="F936">
            <v>2</v>
          </cell>
          <cell r="G936" t="str">
            <v>ja</v>
          </cell>
          <cell r="H936" t="str">
            <v>超絶級</v>
          </cell>
          <cell r="I936" t="str">
            <v>ウィザード級</v>
          </cell>
          <cell r="J936">
            <v>690</v>
          </cell>
          <cell r="K936">
            <v>30</v>
          </cell>
          <cell r="L936">
            <v>3300</v>
          </cell>
          <cell r="M936">
            <v>1</v>
          </cell>
          <cell r="N936">
            <v>1</v>
          </cell>
          <cell r="O936">
            <v>1</v>
          </cell>
          <cell r="P936">
            <v>1</v>
          </cell>
          <cell r="Q936">
            <v>1</v>
          </cell>
          <cell r="R936">
            <v>3</v>
          </cell>
          <cell r="S936" t="str">
            <v>none</v>
          </cell>
          <cell r="T936">
            <v>0</v>
          </cell>
          <cell r="U936" t="str">
            <v>NULL</v>
          </cell>
          <cell r="V936" t="str">
            <v>NULL</v>
          </cell>
          <cell r="W936" t="str">
            <v/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 t="str">
            <v>anytime</v>
          </cell>
          <cell r="AC936">
            <v>924</v>
          </cell>
          <cell r="AD936">
            <v>6</v>
          </cell>
          <cell r="AE936" t="str">
            <v>singleonly</v>
          </cell>
        </row>
        <row r="937">
          <cell r="A937" t="str">
            <v>60012_1</v>
          </cell>
          <cell r="B937">
            <v>3</v>
          </cell>
          <cell r="C937">
            <v>60012</v>
          </cell>
          <cell r="D937" t="str">
            <v>ユークリッドチャレンジ</v>
          </cell>
          <cell r="E937" t="str">
            <v>ランキング3（ユークリッド）</v>
          </cell>
          <cell r="F937">
            <v>1</v>
          </cell>
          <cell r="G937" t="str">
            <v>ja</v>
          </cell>
          <cell r="H937" t="str">
            <v>ユークリッドチャレンジ</v>
          </cell>
          <cell r="I937" t="str">
            <v>ウィザード級</v>
          </cell>
          <cell r="J937">
            <v>690</v>
          </cell>
          <cell r="K937">
            <v>35</v>
          </cell>
          <cell r="L937">
            <v>4200</v>
          </cell>
          <cell r="M937">
            <v>1</v>
          </cell>
          <cell r="N937">
            <v>1</v>
          </cell>
          <cell r="O937">
            <v>1</v>
          </cell>
          <cell r="P937">
            <v>1</v>
          </cell>
          <cell r="Q937">
            <v>1</v>
          </cell>
          <cell r="R937">
            <v>3</v>
          </cell>
          <cell r="S937" t="str">
            <v>none</v>
          </cell>
          <cell r="T937">
            <v>0</v>
          </cell>
          <cell r="U937" t="str">
            <v>NULL</v>
          </cell>
          <cell r="V937" t="str">
            <v>NULL</v>
          </cell>
          <cell r="W937" t="str">
            <v/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 t="str">
            <v>anytime</v>
          </cell>
          <cell r="AC937">
            <v>924</v>
          </cell>
          <cell r="AD937">
            <v>6</v>
          </cell>
          <cell r="AE937" t="str">
            <v>singleonly</v>
          </cell>
        </row>
        <row r="938">
          <cell r="A938" t="str">
            <v>60013_1</v>
          </cell>
          <cell r="B938">
            <v>0</v>
          </cell>
          <cell r="C938">
            <v>60013</v>
          </cell>
          <cell r="D938" t="str">
            <v>オイラーチャレンジ</v>
          </cell>
          <cell r="E938" t="str">
            <v>ランキング1（再開催版）</v>
          </cell>
          <cell r="F938">
            <v>1</v>
          </cell>
          <cell r="G938" t="str">
            <v>ja</v>
          </cell>
          <cell r="H938" t="str">
            <v>【中級】オイラーチャレンジ</v>
          </cell>
          <cell r="I938" t="str">
            <v>中級</v>
          </cell>
          <cell r="J938">
            <v>378</v>
          </cell>
          <cell r="K938">
            <v>15</v>
          </cell>
          <cell r="L938">
            <v>1200</v>
          </cell>
          <cell r="M938">
            <v>1</v>
          </cell>
          <cell r="N938">
            <v>1</v>
          </cell>
          <cell r="O938">
            <v>1</v>
          </cell>
          <cell r="P938">
            <v>1</v>
          </cell>
          <cell r="Q938">
            <v>1</v>
          </cell>
          <cell r="R938">
            <v>3</v>
          </cell>
          <cell r="S938" t="str">
            <v>none</v>
          </cell>
          <cell r="T938">
            <v>0</v>
          </cell>
          <cell r="U938" t="str">
            <v>NULL</v>
          </cell>
          <cell r="V938" t="str">
            <v>NULL</v>
          </cell>
          <cell r="W938" t="str">
            <v/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 t="str">
            <v>anytime</v>
          </cell>
          <cell r="AC938">
            <v>923</v>
          </cell>
          <cell r="AD938">
            <v>6</v>
          </cell>
          <cell r="AE938" t="str">
            <v>singleonly</v>
          </cell>
        </row>
        <row r="939">
          <cell r="A939" t="str">
            <v>60013_2</v>
          </cell>
          <cell r="B939">
            <v>0</v>
          </cell>
          <cell r="C939">
            <v>60013</v>
          </cell>
          <cell r="D939" t="str">
            <v>オイラーチャレンジ</v>
          </cell>
          <cell r="E939" t="str">
            <v>ランキング1（再開催版）</v>
          </cell>
          <cell r="F939">
            <v>2</v>
          </cell>
          <cell r="G939" t="str">
            <v>ja</v>
          </cell>
          <cell r="H939" t="str">
            <v>【超級】オイラーチャレンジ</v>
          </cell>
          <cell r="I939" t="str">
            <v>超級</v>
          </cell>
          <cell r="J939">
            <v>378</v>
          </cell>
          <cell r="K939">
            <v>30</v>
          </cell>
          <cell r="L939">
            <v>3300</v>
          </cell>
          <cell r="M939">
            <v>1</v>
          </cell>
          <cell r="N939">
            <v>1</v>
          </cell>
          <cell r="O939">
            <v>1</v>
          </cell>
          <cell r="P939">
            <v>1</v>
          </cell>
          <cell r="Q939">
            <v>1</v>
          </cell>
          <cell r="R939">
            <v>3</v>
          </cell>
          <cell r="S939" t="str">
            <v>none</v>
          </cell>
          <cell r="T939">
            <v>0</v>
          </cell>
          <cell r="U939" t="str">
            <v>NULL</v>
          </cell>
          <cell r="V939" t="str">
            <v>NULL</v>
          </cell>
          <cell r="W939" t="str">
            <v/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 t="str">
            <v>anytime</v>
          </cell>
          <cell r="AC939">
            <v>923</v>
          </cell>
          <cell r="AD939">
            <v>6</v>
          </cell>
          <cell r="AE939" t="str">
            <v>singleonly</v>
          </cell>
        </row>
        <row r="940">
          <cell r="A940" t="str">
            <v>60013_3</v>
          </cell>
          <cell r="B940">
            <v>3</v>
          </cell>
          <cell r="C940">
            <v>60013</v>
          </cell>
          <cell r="D940" t="str">
            <v>オイラーチャレンジ</v>
          </cell>
          <cell r="E940" t="str">
            <v>ランキング1（再開催版）</v>
          </cell>
          <cell r="F940">
            <v>3</v>
          </cell>
          <cell r="G940" t="str">
            <v>ja</v>
          </cell>
          <cell r="H940" t="str">
            <v>【ウィザード級】オイラーチャレンジ</v>
          </cell>
          <cell r="I940" t="str">
            <v>ウィザード級</v>
          </cell>
          <cell r="J940">
            <v>379</v>
          </cell>
          <cell r="K940">
            <v>35</v>
          </cell>
          <cell r="L940">
            <v>4200</v>
          </cell>
          <cell r="M940">
            <v>1</v>
          </cell>
          <cell r="N940">
            <v>1</v>
          </cell>
          <cell r="O940">
            <v>1</v>
          </cell>
          <cell r="P940">
            <v>1</v>
          </cell>
          <cell r="Q940">
            <v>1</v>
          </cell>
          <cell r="R940">
            <v>3</v>
          </cell>
          <cell r="S940" t="str">
            <v>none</v>
          </cell>
          <cell r="T940">
            <v>0</v>
          </cell>
          <cell r="U940" t="str">
            <v>NULL</v>
          </cell>
          <cell r="V940" t="str">
            <v>NULL</v>
          </cell>
          <cell r="W940" t="str">
            <v/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 t="str">
            <v>anytime</v>
          </cell>
          <cell r="AC940">
            <v>923</v>
          </cell>
          <cell r="AD940">
            <v>6</v>
          </cell>
          <cell r="AE940" t="str">
            <v>singleonly</v>
          </cell>
        </row>
        <row r="941">
          <cell r="A941" t="str">
            <v>60014_1</v>
          </cell>
          <cell r="B941">
            <v>3</v>
          </cell>
          <cell r="C941">
            <v>60014</v>
          </cell>
          <cell r="D941" t="str">
            <v xml:space="preserve">クロネッカーチャレンジ </v>
          </cell>
          <cell r="E941" t="str">
            <v>ランキング4（クロネッカー）</v>
          </cell>
          <cell r="F941">
            <v>1</v>
          </cell>
          <cell r="G941" t="str">
            <v>ja</v>
          </cell>
          <cell r="H941" t="str">
            <v>クロネッカーチャレンジ</v>
          </cell>
          <cell r="I941" t="str">
            <v>ウィザード級</v>
          </cell>
          <cell r="J941">
            <v>761</v>
          </cell>
          <cell r="K941">
            <v>35</v>
          </cell>
          <cell r="L941">
            <v>4200</v>
          </cell>
          <cell r="M941">
            <v>1</v>
          </cell>
          <cell r="N941">
            <v>1</v>
          </cell>
          <cell r="O941">
            <v>1</v>
          </cell>
          <cell r="P941">
            <v>1</v>
          </cell>
          <cell r="Q941">
            <v>1</v>
          </cell>
          <cell r="R941">
            <v>3</v>
          </cell>
          <cell r="S941" t="str">
            <v>none</v>
          </cell>
          <cell r="T941">
            <v>0</v>
          </cell>
          <cell r="U941" t="str">
            <v>NULL</v>
          </cell>
          <cell r="V941" t="str">
            <v>NULL</v>
          </cell>
          <cell r="W941" t="str">
            <v/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 t="str">
            <v>anytime</v>
          </cell>
          <cell r="AC941">
            <v>925</v>
          </cell>
          <cell r="AD941">
            <v>6</v>
          </cell>
          <cell r="AE941" t="str">
            <v>singleonly</v>
          </cell>
        </row>
        <row r="942">
          <cell r="A942" t="str">
            <v>60015_1</v>
          </cell>
          <cell r="B942">
            <v>3</v>
          </cell>
          <cell r="C942">
            <v>60015</v>
          </cell>
          <cell r="D942" t="str">
            <v>ラグランジュチャレンジ</v>
          </cell>
          <cell r="E942" t="str">
            <v>ランキング2（再開催）</v>
          </cell>
          <cell r="F942">
            <v>1</v>
          </cell>
          <cell r="G942" t="str">
            <v>ja</v>
          </cell>
          <cell r="H942" t="str">
            <v>ラグランジュチャレンジ</v>
          </cell>
          <cell r="I942" t="str">
            <v>ウィザード級</v>
          </cell>
          <cell r="J942">
            <v>796</v>
          </cell>
          <cell r="K942">
            <v>35</v>
          </cell>
          <cell r="L942">
            <v>4200</v>
          </cell>
          <cell r="M942">
            <v>1</v>
          </cell>
          <cell r="N942">
            <v>1</v>
          </cell>
          <cell r="O942">
            <v>1</v>
          </cell>
          <cell r="P942">
            <v>1</v>
          </cell>
          <cell r="Q942">
            <v>1</v>
          </cell>
          <cell r="R942">
            <v>3</v>
          </cell>
          <cell r="S942" t="str">
            <v>none</v>
          </cell>
          <cell r="T942">
            <v>0</v>
          </cell>
          <cell r="U942" t="str">
            <v>NULL</v>
          </cell>
          <cell r="V942" t="str">
            <v>NULL</v>
          </cell>
          <cell r="W942" t="str">
            <v/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 t="str">
            <v>anytime</v>
          </cell>
          <cell r="AC942">
            <v>922</v>
          </cell>
          <cell r="AD942">
            <v>6</v>
          </cell>
          <cell r="AE942" t="str">
            <v>singleonly</v>
          </cell>
        </row>
        <row r="943">
          <cell r="A943" t="str">
            <v>60016_1</v>
          </cell>
          <cell r="B943">
            <v>3</v>
          </cell>
          <cell r="C943">
            <v>60016</v>
          </cell>
          <cell r="D943" t="str">
            <v>シュレディンガーチャレンジ</v>
          </cell>
          <cell r="E943" t="str">
            <v>ランキング5（シュレディンガー）</v>
          </cell>
          <cell r="F943">
            <v>1</v>
          </cell>
          <cell r="G943" t="str">
            <v>ja</v>
          </cell>
          <cell r="H943" t="str">
            <v>シュレディンガーチャレンジ</v>
          </cell>
          <cell r="I943" t="str">
            <v>ウィザード級</v>
          </cell>
          <cell r="J943">
            <v>797</v>
          </cell>
          <cell r="K943">
            <v>35</v>
          </cell>
          <cell r="L943">
            <v>4200</v>
          </cell>
          <cell r="M943">
            <v>1</v>
          </cell>
          <cell r="N943">
            <v>1</v>
          </cell>
          <cell r="O943">
            <v>1</v>
          </cell>
          <cell r="P943">
            <v>1</v>
          </cell>
          <cell r="Q943">
            <v>1</v>
          </cell>
          <cell r="R943">
            <v>3</v>
          </cell>
          <cell r="S943" t="str">
            <v>none</v>
          </cell>
          <cell r="T943">
            <v>0</v>
          </cell>
          <cell r="U943" t="str">
            <v>NULL</v>
          </cell>
          <cell r="V943" t="str">
            <v>NULL</v>
          </cell>
          <cell r="W943" t="str">
            <v/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 t="str">
            <v>anytime</v>
          </cell>
          <cell r="AC943">
            <v>922</v>
          </cell>
          <cell r="AD943">
            <v>6</v>
          </cell>
          <cell r="AE943" t="str">
            <v>singleonly</v>
          </cell>
        </row>
        <row r="944">
          <cell r="A944" t="str">
            <v>60017_1</v>
          </cell>
          <cell r="B944">
            <v>3</v>
          </cell>
          <cell r="C944">
            <v>60017</v>
          </cell>
          <cell r="D944" t="str">
            <v>ユークリッドチャレンジ</v>
          </cell>
          <cell r="E944" t="str">
            <v>ランキング3（再開催）</v>
          </cell>
          <cell r="F944">
            <v>1</v>
          </cell>
          <cell r="G944" t="str">
            <v>ja</v>
          </cell>
          <cell r="H944" t="str">
            <v>ユークリッドチャレンジ</v>
          </cell>
          <cell r="I944" t="str">
            <v>ウィザード級</v>
          </cell>
          <cell r="J944">
            <v>690</v>
          </cell>
          <cell r="K944">
            <v>35</v>
          </cell>
          <cell r="L944">
            <v>4200</v>
          </cell>
          <cell r="M944">
            <v>1</v>
          </cell>
          <cell r="N944">
            <v>1</v>
          </cell>
          <cell r="O944">
            <v>1</v>
          </cell>
          <cell r="P944">
            <v>1</v>
          </cell>
          <cell r="Q944">
            <v>1</v>
          </cell>
          <cell r="R944">
            <v>3</v>
          </cell>
          <cell r="S944" t="str">
            <v>none</v>
          </cell>
          <cell r="T944">
            <v>0</v>
          </cell>
          <cell r="U944" t="str">
            <v>NULL</v>
          </cell>
          <cell r="V944" t="str">
            <v>NULL</v>
          </cell>
          <cell r="W944" t="str">
            <v/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 t="str">
            <v>anytime</v>
          </cell>
          <cell r="AC944">
            <v>924</v>
          </cell>
          <cell r="AD944">
            <v>6</v>
          </cell>
          <cell r="AE944" t="str">
            <v>singleonly</v>
          </cell>
        </row>
        <row r="945">
          <cell r="A945" t="str">
            <v>60018_1</v>
          </cell>
          <cell r="B945">
            <v>3</v>
          </cell>
          <cell r="C945">
            <v>60018</v>
          </cell>
          <cell r="D945" t="str">
            <v>チューリングチャレンジ</v>
          </cell>
          <cell r="E945" t="str">
            <v>ランキング6</v>
          </cell>
          <cell r="F945">
            <v>1</v>
          </cell>
          <cell r="G945" t="str">
            <v>ja</v>
          </cell>
          <cell r="H945" t="str">
            <v>チューリングチャレンジ</v>
          </cell>
          <cell r="I945" t="str">
            <v>ウィザード級</v>
          </cell>
          <cell r="J945">
            <v>799</v>
          </cell>
          <cell r="K945">
            <v>35</v>
          </cell>
          <cell r="L945">
            <v>4200</v>
          </cell>
          <cell r="M945">
            <v>1</v>
          </cell>
          <cell r="N945">
            <v>1</v>
          </cell>
          <cell r="O945">
            <v>1</v>
          </cell>
          <cell r="P945">
            <v>1</v>
          </cell>
          <cell r="Q945">
            <v>1</v>
          </cell>
          <cell r="R945">
            <v>3</v>
          </cell>
          <cell r="S945" t="str">
            <v>none</v>
          </cell>
          <cell r="T945">
            <v>0</v>
          </cell>
          <cell r="U945" t="str">
            <v>NULL</v>
          </cell>
          <cell r="V945" t="str">
            <v>NULL</v>
          </cell>
          <cell r="W945" t="str">
            <v/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 t="str">
            <v>anytime</v>
          </cell>
          <cell r="AC945">
            <v>923</v>
          </cell>
          <cell r="AD945">
            <v>6</v>
          </cell>
          <cell r="AE945" t="str">
            <v>singleonly</v>
          </cell>
        </row>
        <row r="946">
          <cell r="A946" t="str">
            <v>60019_1</v>
          </cell>
          <cell r="B946">
            <v>3</v>
          </cell>
          <cell r="C946">
            <v>60019</v>
          </cell>
          <cell r="D946" t="str">
            <v>ヘンペルチャレンジ</v>
          </cell>
          <cell r="E946" t="str">
            <v>ランキング7</v>
          </cell>
          <cell r="F946">
            <v>1</v>
          </cell>
          <cell r="G946" t="str">
            <v>ja</v>
          </cell>
          <cell r="H946" t="str">
            <v>ヘンペルチャレンジ</v>
          </cell>
          <cell r="I946" t="str">
            <v>ウィザード級</v>
          </cell>
          <cell r="J946">
            <v>800</v>
          </cell>
          <cell r="K946">
            <v>35</v>
          </cell>
          <cell r="L946">
            <v>4200</v>
          </cell>
          <cell r="M946">
            <v>1</v>
          </cell>
          <cell r="N946">
            <v>1</v>
          </cell>
          <cell r="O946">
            <v>1</v>
          </cell>
          <cell r="P946">
            <v>1</v>
          </cell>
          <cell r="Q946">
            <v>1</v>
          </cell>
          <cell r="R946">
            <v>3</v>
          </cell>
          <cell r="S946" t="str">
            <v>none</v>
          </cell>
          <cell r="T946">
            <v>0</v>
          </cell>
          <cell r="U946" t="str">
            <v>NULL</v>
          </cell>
          <cell r="V946" t="str">
            <v>NULL</v>
          </cell>
          <cell r="W946" t="str">
            <v/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 t="str">
            <v>anytime</v>
          </cell>
          <cell r="AC946">
            <v>924</v>
          </cell>
          <cell r="AD946">
            <v>6</v>
          </cell>
          <cell r="AE946" t="str">
            <v>singleonly</v>
          </cell>
        </row>
        <row r="947">
          <cell r="A947" t="str">
            <v>60020_1</v>
          </cell>
          <cell r="B947">
            <v>3</v>
          </cell>
          <cell r="C947">
            <v>60020</v>
          </cell>
          <cell r="D947" t="str">
            <v>シュレディンガーチャレンジ</v>
          </cell>
          <cell r="E947" t="str">
            <v>ランキング5（再開催）</v>
          </cell>
          <cell r="F947">
            <v>1</v>
          </cell>
          <cell r="G947" t="str">
            <v>ja</v>
          </cell>
          <cell r="H947" t="str">
            <v>シュレディンガーチャレンジ</v>
          </cell>
          <cell r="I947" t="str">
            <v>ウィザード級</v>
          </cell>
          <cell r="J947">
            <v>797</v>
          </cell>
          <cell r="K947">
            <v>35</v>
          </cell>
          <cell r="L947">
            <v>4200</v>
          </cell>
          <cell r="M947">
            <v>1</v>
          </cell>
          <cell r="N947">
            <v>1</v>
          </cell>
          <cell r="O947">
            <v>1</v>
          </cell>
          <cell r="P947">
            <v>1</v>
          </cell>
          <cell r="Q947">
            <v>1</v>
          </cell>
          <cell r="R947">
            <v>3</v>
          </cell>
          <cell r="S947" t="str">
            <v>none</v>
          </cell>
          <cell r="T947">
            <v>0</v>
          </cell>
          <cell r="U947" t="str">
            <v>NULL</v>
          </cell>
          <cell r="V947" t="str">
            <v>NULL</v>
          </cell>
          <cell r="W947" t="str">
            <v/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 t="str">
            <v>anytime</v>
          </cell>
          <cell r="AC947">
            <v>922</v>
          </cell>
          <cell r="AD947">
            <v>6</v>
          </cell>
          <cell r="AE947" t="str">
            <v>singleonly</v>
          </cell>
        </row>
        <row r="948">
          <cell r="A948" t="str">
            <v>60021_3</v>
          </cell>
          <cell r="B948">
            <v>1</v>
          </cell>
          <cell r="C948">
            <v>60021</v>
          </cell>
          <cell r="D948" t="str">
            <v>【月曜限定】 黄の素材verハンプ検証</v>
          </cell>
          <cell r="E948" t="str">
            <v>検証</v>
          </cell>
          <cell r="F948">
            <v>3</v>
          </cell>
          <cell r="G948" t="str">
            <v>ja</v>
          </cell>
          <cell r="H948" t="str">
            <v>【上級】ハンプティ検証</v>
          </cell>
          <cell r="I948" t="str">
            <v>上級</v>
          </cell>
          <cell r="J948">
            <v>84</v>
          </cell>
          <cell r="K948">
            <v>20</v>
          </cell>
          <cell r="L948">
            <v>860</v>
          </cell>
          <cell r="M948">
            <v>1</v>
          </cell>
          <cell r="N948">
            <v>1</v>
          </cell>
          <cell r="O948">
            <v>1</v>
          </cell>
          <cell r="P948">
            <v>1</v>
          </cell>
          <cell r="Q948">
            <v>1</v>
          </cell>
          <cell r="R948">
            <v>3</v>
          </cell>
          <cell r="S948" t="str">
            <v>none</v>
          </cell>
          <cell r="T948">
            <v>0</v>
          </cell>
          <cell r="U948" t="str">
            <v>NULL</v>
          </cell>
          <cell r="V948" t="str">
            <v>NULL</v>
          </cell>
          <cell r="W948" t="str">
            <v/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 t="str">
            <v>anytime</v>
          </cell>
          <cell r="AC948">
            <v>101</v>
          </cell>
          <cell r="AD948">
            <v>6</v>
          </cell>
          <cell r="AE948" t="str">
            <v>everyone</v>
          </cell>
        </row>
        <row r="949">
          <cell r="A949" t="str">
            <v>60022_3</v>
          </cell>
          <cell r="B949">
            <v>1</v>
          </cell>
          <cell r="C949">
            <v>60022</v>
          </cell>
          <cell r="D949" t="str">
            <v>【火曜限定】 赤の素材verハンプ検証</v>
          </cell>
          <cell r="E949" t="str">
            <v>検証</v>
          </cell>
          <cell r="F949">
            <v>3</v>
          </cell>
          <cell r="G949" t="str">
            <v>ja</v>
          </cell>
          <cell r="H949" t="str">
            <v>【上級】ハンプティ検証</v>
          </cell>
          <cell r="I949" t="str">
            <v>上級</v>
          </cell>
          <cell r="J949">
            <v>84</v>
          </cell>
          <cell r="K949">
            <v>20</v>
          </cell>
          <cell r="L949">
            <v>860</v>
          </cell>
          <cell r="M949">
            <v>1</v>
          </cell>
          <cell r="N949">
            <v>1</v>
          </cell>
          <cell r="O949">
            <v>1</v>
          </cell>
          <cell r="P949">
            <v>1</v>
          </cell>
          <cell r="Q949">
            <v>1</v>
          </cell>
          <cell r="R949">
            <v>3</v>
          </cell>
          <cell r="S949" t="str">
            <v>none</v>
          </cell>
          <cell r="T949">
            <v>0</v>
          </cell>
          <cell r="U949" t="str">
            <v>NULL</v>
          </cell>
          <cell r="V949" t="str">
            <v>NULL</v>
          </cell>
          <cell r="W949" t="str">
            <v/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 t="str">
            <v>anytime</v>
          </cell>
          <cell r="AC949">
            <v>101</v>
          </cell>
          <cell r="AD949">
            <v>6</v>
          </cell>
          <cell r="AE949" t="str">
            <v>everyone</v>
          </cell>
        </row>
        <row r="950">
          <cell r="A950" t="str">
            <v>60023_3</v>
          </cell>
          <cell r="B950">
            <v>1</v>
          </cell>
          <cell r="C950">
            <v>60023</v>
          </cell>
          <cell r="D950" t="str">
            <v>【水曜限定】 青の素材verハンプ検証</v>
          </cell>
          <cell r="E950" t="str">
            <v>検証</v>
          </cell>
          <cell r="F950">
            <v>3</v>
          </cell>
          <cell r="G950" t="str">
            <v>ja</v>
          </cell>
          <cell r="H950" t="str">
            <v>【上級】ハンプティ検証</v>
          </cell>
          <cell r="I950" t="str">
            <v>上級</v>
          </cell>
          <cell r="J950">
            <v>84</v>
          </cell>
          <cell r="K950">
            <v>20</v>
          </cell>
          <cell r="L950">
            <v>860</v>
          </cell>
          <cell r="M950">
            <v>1</v>
          </cell>
          <cell r="N950">
            <v>1</v>
          </cell>
          <cell r="O950">
            <v>1</v>
          </cell>
          <cell r="P950">
            <v>1</v>
          </cell>
          <cell r="Q950">
            <v>1</v>
          </cell>
          <cell r="R950">
            <v>3</v>
          </cell>
          <cell r="S950" t="str">
            <v>none</v>
          </cell>
          <cell r="T950">
            <v>0</v>
          </cell>
          <cell r="U950" t="str">
            <v>NULL</v>
          </cell>
          <cell r="V950" t="str">
            <v>NULL</v>
          </cell>
          <cell r="W950" t="str">
            <v/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 t="str">
            <v>anytime</v>
          </cell>
          <cell r="AC950">
            <v>101</v>
          </cell>
          <cell r="AD950">
            <v>6</v>
          </cell>
          <cell r="AE950" t="str">
            <v>everyone</v>
          </cell>
        </row>
        <row r="951">
          <cell r="A951" t="str">
            <v>60024_3</v>
          </cell>
          <cell r="B951">
            <v>1</v>
          </cell>
          <cell r="C951">
            <v>60024</v>
          </cell>
          <cell r="D951" t="str">
            <v>【木曜限定】 緑の素材verハンプ検証</v>
          </cell>
          <cell r="E951" t="str">
            <v>検証</v>
          </cell>
          <cell r="F951">
            <v>3</v>
          </cell>
          <cell r="G951" t="str">
            <v>ja</v>
          </cell>
          <cell r="H951" t="str">
            <v>【上級】ハンプティ検証</v>
          </cell>
          <cell r="I951" t="str">
            <v>上級</v>
          </cell>
          <cell r="J951">
            <v>84</v>
          </cell>
          <cell r="K951">
            <v>20</v>
          </cell>
          <cell r="L951">
            <v>860</v>
          </cell>
          <cell r="M951">
            <v>1</v>
          </cell>
          <cell r="N951">
            <v>1</v>
          </cell>
          <cell r="O951">
            <v>1</v>
          </cell>
          <cell r="P951">
            <v>1</v>
          </cell>
          <cell r="Q951">
            <v>1</v>
          </cell>
          <cell r="R951">
            <v>3</v>
          </cell>
          <cell r="S951" t="str">
            <v>none</v>
          </cell>
          <cell r="T951">
            <v>0</v>
          </cell>
          <cell r="U951" t="str">
            <v>NULL</v>
          </cell>
          <cell r="V951" t="str">
            <v>NULL</v>
          </cell>
          <cell r="W951" t="str">
            <v/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 t="str">
            <v>anytime</v>
          </cell>
          <cell r="AC951">
            <v>101</v>
          </cell>
          <cell r="AD951">
            <v>6</v>
          </cell>
          <cell r="AE951" t="str">
            <v>everyone</v>
          </cell>
        </row>
        <row r="952">
          <cell r="A952" t="str">
            <v>60025_1</v>
          </cell>
          <cell r="B952">
            <v>3</v>
          </cell>
          <cell r="C952">
            <v>60025</v>
          </cell>
          <cell r="D952" t="str">
            <v>マリアチャレンジ</v>
          </cell>
          <cell r="E952" t="str">
            <v>ランキング8</v>
          </cell>
          <cell r="F952">
            <v>1</v>
          </cell>
          <cell r="G952" t="str">
            <v>ja</v>
          </cell>
          <cell r="H952" t="str">
            <v>マリアチャレンジ</v>
          </cell>
          <cell r="I952" t="str">
            <v>ウィザード級</v>
          </cell>
          <cell r="J952">
            <v>1274</v>
          </cell>
          <cell r="K952">
            <v>35</v>
          </cell>
          <cell r="L952">
            <v>4200</v>
          </cell>
          <cell r="M952">
            <v>1</v>
          </cell>
          <cell r="N952">
            <v>1</v>
          </cell>
          <cell r="O952">
            <v>1</v>
          </cell>
          <cell r="P952">
            <v>1</v>
          </cell>
          <cell r="Q952">
            <v>1</v>
          </cell>
          <cell r="R952">
            <v>3</v>
          </cell>
          <cell r="S952" t="str">
            <v>none</v>
          </cell>
          <cell r="T952">
            <v>0</v>
          </cell>
          <cell r="U952" t="str">
            <v>NULL</v>
          </cell>
          <cell r="V952" t="str">
            <v>NULL</v>
          </cell>
          <cell r="W952" t="str">
            <v/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 t="str">
            <v>anytime</v>
          </cell>
          <cell r="AC952">
            <v>9</v>
          </cell>
          <cell r="AD952">
            <v>6</v>
          </cell>
          <cell r="AE952" t="str">
            <v>singleonly</v>
          </cell>
        </row>
        <row r="953">
          <cell r="A953" t="str">
            <v>60026_1</v>
          </cell>
          <cell r="B953">
            <v>3</v>
          </cell>
          <cell r="C953">
            <v>60026</v>
          </cell>
          <cell r="D953" t="str">
            <v>ハップルチャレンジ</v>
          </cell>
          <cell r="E953" t="str">
            <v>ランキング9</v>
          </cell>
          <cell r="F953">
            <v>1</v>
          </cell>
          <cell r="G953" t="str">
            <v>ja</v>
          </cell>
          <cell r="H953" t="str">
            <v>ハップルチャレンジ</v>
          </cell>
          <cell r="I953" t="str">
            <v>ウィザード級</v>
          </cell>
          <cell r="J953">
            <v>803</v>
          </cell>
          <cell r="K953">
            <v>35</v>
          </cell>
          <cell r="L953">
            <v>4200</v>
          </cell>
          <cell r="M953">
            <v>1</v>
          </cell>
          <cell r="N953">
            <v>1</v>
          </cell>
          <cell r="O953">
            <v>1</v>
          </cell>
          <cell r="P953">
            <v>1</v>
          </cell>
          <cell r="Q953">
            <v>1</v>
          </cell>
          <cell r="R953">
            <v>3</v>
          </cell>
          <cell r="S953" t="str">
            <v>none</v>
          </cell>
          <cell r="T953">
            <v>0</v>
          </cell>
          <cell r="U953" t="str">
            <v>NULL</v>
          </cell>
          <cell r="V953" t="str">
            <v>NULL</v>
          </cell>
          <cell r="W953" t="str">
            <v/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 t="str">
            <v>anytime</v>
          </cell>
          <cell r="AC953">
            <v>925</v>
          </cell>
          <cell r="AD953">
            <v>6</v>
          </cell>
          <cell r="AE953" t="str">
            <v>singleonly</v>
          </cell>
        </row>
        <row r="954">
          <cell r="A954" t="str">
            <v>61011_1</v>
          </cell>
          <cell r="B954">
            <v>1</v>
          </cell>
          <cell r="C954">
            <v>61011</v>
          </cell>
          <cell r="D954" t="str">
            <v>ユークリッドチャレンジコピー</v>
          </cell>
          <cell r="E954" t="str">
            <v>ランキング3（ユークリッド）</v>
          </cell>
          <cell r="F954">
            <v>1</v>
          </cell>
          <cell r="G954" t="str">
            <v>ja</v>
          </cell>
          <cell r="H954" t="str">
            <v>ウィザード級コピー</v>
          </cell>
          <cell r="I954" t="str">
            <v>ウィザード級</v>
          </cell>
          <cell r="J954">
            <v>690</v>
          </cell>
          <cell r="K954">
            <v>35</v>
          </cell>
          <cell r="L954">
            <v>4200</v>
          </cell>
          <cell r="M954">
            <v>1</v>
          </cell>
          <cell r="N954">
            <v>1</v>
          </cell>
          <cell r="O954">
            <v>1</v>
          </cell>
          <cell r="P954">
            <v>1</v>
          </cell>
          <cell r="Q954">
            <v>1</v>
          </cell>
          <cell r="R954">
            <v>3</v>
          </cell>
          <cell r="S954" t="str">
            <v>none</v>
          </cell>
          <cell r="T954">
            <v>0</v>
          </cell>
          <cell r="U954" t="str">
            <v>NULL</v>
          </cell>
          <cell r="V954" t="str">
            <v>NULL</v>
          </cell>
          <cell r="W954" t="str">
            <v/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 t="str">
            <v>anytime</v>
          </cell>
          <cell r="AC954">
            <v>925</v>
          </cell>
          <cell r="AD954">
            <v>6</v>
          </cell>
          <cell r="AE954" t="str">
            <v>singleonly</v>
          </cell>
        </row>
        <row r="955">
          <cell r="A955" t="str">
            <v>60027_1</v>
          </cell>
          <cell r="B955">
            <v>3</v>
          </cell>
          <cell r="C955">
            <v>60027</v>
          </cell>
          <cell r="D955" t="str">
            <v>チューリングチャレンジ</v>
          </cell>
          <cell r="E955" t="str">
            <v>ランキング6（再開催）</v>
          </cell>
          <cell r="F955">
            <v>1</v>
          </cell>
          <cell r="G955" t="str">
            <v>ja</v>
          </cell>
          <cell r="H955" t="str">
            <v>チューリングチャレンジ</v>
          </cell>
          <cell r="I955" t="str">
            <v>ウィザード級</v>
          </cell>
          <cell r="J955">
            <v>799</v>
          </cell>
          <cell r="K955">
            <v>35</v>
          </cell>
          <cell r="L955">
            <v>4200</v>
          </cell>
          <cell r="M955">
            <v>1</v>
          </cell>
          <cell r="N955">
            <v>1</v>
          </cell>
          <cell r="O955">
            <v>1</v>
          </cell>
          <cell r="P955">
            <v>1</v>
          </cell>
          <cell r="Q955">
            <v>1</v>
          </cell>
          <cell r="R955">
            <v>3</v>
          </cell>
          <cell r="S955" t="str">
            <v>none</v>
          </cell>
          <cell r="T955">
            <v>0</v>
          </cell>
          <cell r="U955" t="str">
            <v>NULL</v>
          </cell>
          <cell r="V955" t="str">
            <v>NULL</v>
          </cell>
          <cell r="W955" t="str">
            <v/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 t="str">
            <v>anytime</v>
          </cell>
          <cell r="AC955">
            <v>923</v>
          </cell>
          <cell r="AD955">
            <v>6</v>
          </cell>
          <cell r="AE955" t="str">
            <v>singleonly</v>
          </cell>
        </row>
        <row r="956">
          <cell r="A956" t="str">
            <v>60028_1</v>
          </cell>
          <cell r="B956">
            <v>3</v>
          </cell>
          <cell r="C956">
            <v>60028</v>
          </cell>
          <cell r="D956" t="str">
            <v xml:space="preserve">クロネッカーチャレンジ </v>
          </cell>
          <cell r="E956" t="str">
            <v>ランキング4（再開催）</v>
          </cell>
          <cell r="F956">
            <v>1</v>
          </cell>
          <cell r="G956" t="str">
            <v>ja</v>
          </cell>
          <cell r="H956" t="str">
            <v>クロネッカーチャレンジ</v>
          </cell>
          <cell r="I956" t="str">
            <v>ウィザード級</v>
          </cell>
          <cell r="J956">
            <v>761</v>
          </cell>
          <cell r="K956">
            <v>35</v>
          </cell>
          <cell r="L956">
            <v>4200</v>
          </cell>
          <cell r="M956">
            <v>1</v>
          </cell>
          <cell r="N956">
            <v>1</v>
          </cell>
          <cell r="O956">
            <v>1</v>
          </cell>
          <cell r="P956">
            <v>1</v>
          </cell>
          <cell r="Q956">
            <v>1</v>
          </cell>
          <cell r="R956">
            <v>3</v>
          </cell>
          <cell r="S956" t="str">
            <v>none</v>
          </cell>
          <cell r="T956">
            <v>0</v>
          </cell>
          <cell r="U956" t="str">
            <v>NULL</v>
          </cell>
          <cell r="V956" t="str">
            <v>NULL</v>
          </cell>
          <cell r="W956" t="str">
            <v/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 t="str">
            <v>anytime</v>
          </cell>
          <cell r="AC956">
            <v>925</v>
          </cell>
          <cell r="AD956">
            <v>6</v>
          </cell>
          <cell r="AE956" t="str">
            <v>singleonly</v>
          </cell>
        </row>
        <row r="957">
          <cell r="A957" t="str">
            <v>65525_1</v>
          </cell>
          <cell r="B957">
            <v>1</v>
          </cell>
          <cell r="C957">
            <v>65525</v>
          </cell>
          <cell r="D957" t="str">
            <v>【LB田邉】検証クエスト</v>
          </cell>
          <cell r="E957" t="str">
            <v>検証</v>
          </cell>
          <cell r="F957">
            <v>1</v>
          </cell>
          <cell r="G957" t="str">
            <v>ja</v>
          </cell>
          <cell r="H957" t="str">
            <v>【LB田邉】アニメーション検証</v>
          </cell>
          <cell r="I957" t="str">
            <v>検証</v>
          </cell>
          <cell r="J957">
            <v>1</v>
          </cell>
          <cell r="K957">
            <v>1</v>
          </cell>
          <cell r="L957">
            <v>1</v>
          </cell>
          <cell r="M957">
            <v>1</v>
          </cell>
          <cell r="N957">
            <v>1</v>
          </cell>
          <cell r="O957">
            <v>1</v>
          </cell>
          <cell r="P957">
            <v>1</v>
          </cell>
          <cell r="Q957">
            <v>1</v>
          </cell>
          <cell r="R957">
            <v>3</v>
          </cell>
          <cell r="S957" t="str">
            <v>polygon</v>
          </cell>
          <cell r="T957">
            <v>0</v>
          </cell>
          <cell r="U957" t="str">
            <v>NULL</v>
          </cell>
          <cell r="V957" t="str">
            <v>NULL</v>
          </cell>
          <cell r="W957" t="str">
            <v/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 t="str">
            <v>anytime</v>
          </cell>
          <cell r="AC957">
            <v>24</v>
          </cell>
          <cell r="AD957">
            <v>4</v>
          </cell>
          <cell r="AE957" t="str">
            <v>everyone</v>
          </cell>
        </row>
        <row r="958">
          <cell r="A958" t="str">
            <v>65526_1</v>
          </cell>
          <cell r="B958">
            <v>1</v>
          </cell>
          <cell r="C958">
            <v>65526</v>
          </cell>
          <cell r="D958" t="str">
            <v>【LB加藤】検証クエスト</v>
          </cell>
          <cell r="E958" t="str">
            <v>検証</v>
          </cell>
          <cell r="F958">
            <v>1</v>
          </cell>
          <cell r="G958" t="str">
            <v>ja</v>
          </cell>
          <cell r="H958" t="str">
            <v>【LB加藤】検証</v>
          </cell>
          <cell r="I958" t="str">
            <v>検証</v>
          </cell>
          <cell r="J958">
            <v>1</v>
          </cell>
          <cell r="K958">
            <v>1</v>
          </cell>
          <cell r="L958">
            <v>1</v>
          </cell>
          <cell r="M958">
            <v>1</v>
          </cell>
          <cell r="N958">
            <v>1</v>
          </cell>
          <cell r="O958">
            <v>1</v>
          </cell>
          <cell r="P958">
            <v>1</v>
          </cell>
          <cell r="Q958">
            <v>1</v>
          </cell>
          <cell r="R958">
            <v>3</v>
          </cell>
          <cell r="S958" t="str">
            <v>polygon</v>
          </cell>
          <cell r="T958">
            <v>0</v>
          </cell>
          <cell r="U958" t="str">
            <v>NULL</v>
          </cell>
          <cell r="V958" t="str">
            <v>NULL</v>
          </cell>
          <cell r="W958" t="str">
            <v/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 t="str">
            <v>anytime</v>
          </cell>
          <cell r="AC958">
            <v>1</v>
          </cell>
          <cell r="AD958">
            <v>6</v>
          </cell>
          <cell r="AE958" t="str">
            <v>everyone</v>
          </cell>
        </row>
        <row r="959">
          <cell r="A959" t="str">
            <v>65526_2</v>
          </cell>
          <cell r="B959">
            <v>1</v>
          </cell>
          <cell r="C959">
            <v>65526</v>
          </cell>
          <cell r="D959" t="str">
            <v>【LB加藤】検証クエスト</v>
          </cell>
          <cell r="E959" t="str">
            <v>検証</v>
          </cell>
          <cell r="F959">
            <v>2</v>
          </cell>
          <cell r="G959" t="str">
            <v>ja</v>
          </cell>
          <cell r="H959" t="str">
            <v>【LB加藤】ハップル仮実装</v>
          </cell>
          <cell r="I959" t="str">
            <v>検証</v>
          </cell>
          <cell r="J959">
            <v>1</v>
          </cell>
          <cell r="K959">
            <v>1</v>
          </cell>
          <cell r="L959">
            <v>1</v>
          </cell>
          <cell r="M959">
            <v>1</v>
          </cell>
          <cell r="N959">
            <v>1</v>
          </cell>
          <cell r="O959">
            <v>1</v>
          </cell>
          <cell r="P959">
            <v>1</v>
          </cell>
          <cell r="Q959">
            <v>1</v>
          </cell>
          <cell r="R959">
            <v>3</v>
          </cell>
          <cell r="S959" t="str">
            <v>polygon</v>
          </cell>
          <cell r="T959">
            <v>0</v>
          </cell>
          <cell r="U959" t="str">
            <v>NULL</v>
          </cell>
          <cell r="V959" t="str">
            <v>NULL</v>
          </cell>
          <cell r="W959" t="str">
            <v/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 t="str">
            <v>anytime</v>
          </cell>
          <cell r="AC959">
            <v>1</v>
          </cell>
          <cell r="AD959">
            <v>6</v>
          </cell>
          <cell r="AE959" t="str">
            <v>everyone</v>
          </cell>
        </row>
        <row r="960">
          <cell r="A960" t="str">
            <v>65527_1</v>
          </cell>
          <cell r="B960">
            <v>1</v>
          </cell>
          <cell r="C960">
            <v>65527</v>
          </cell>
          <cell r="D960" t="str">
            <v>【LB小原】検証クエスト</v>
          </cell>
          <cell r="E960" t="str">
            <v>検証</v>
          </cell>
          <cell r="F960">
            <v>1</v>
          </cell>
          <cell r="G960" t="str">
            <v>ja</v>
          </cell>
          <cell r="H960" t="str">
            <v>【LB小原】検証</v>
          </cell>
          <cell r="I960" t="str">
            <v>検証</v>
          </cell>
          <cell r="J960">
            <v>1</v>
          </cell>
          <cell r="K960">
            <v>1</v>
          </cell>
          <cell r="L960">
            <v>1</v>
          </cell>
          <cell r="M960">
            <v>1</v>
          </cell>
          <cell r="N960">
            <v>1</v>
          </cell>
          <cell r="O960">
            <v>1</v>
          </cell>
          <cell r="P960">
            <v>1</v>
          </cell>
          <cell r="Q960">
            <v>1</v>
          </cell>
          <cell r="R960">
            <v>3</v>
          </cell>
          <cell r="S960" t="str">
            <v>polygon</v>
          </cell>
          <cell r="T960">
            <v>0</v>
          </cell>
          <cell r="U960" t="str">
            <v>NULL</v>
          </cell>
          <cell r="V960" t="str">
            <v>NULL</v>
          </cell>
          <cell r="W960" t="str">
            <v/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 t="str">
            <v>anytime</v>
          </cell>
          <cell r="AC960">
            <v>1</v>
          </cell>
          <cell r="AD960">
            <v>6</v>
          </cell>
          <cell r="AE960" t="str">
            <v>everyone</v>
          </cell>
        </row>
        <row r="961">
          <cell r="A961" t="str">
            <v>65528_1</v>
          </cell>
          <cell r="B961">
            <v>1</v>
          </cell>
          <cell r="C961">
            <v>65528</v>
          </cell>
          <cell r="D961" t="str">
            <v>【LB保堂】検証クエスト</v>
          </cell>
          <cell r="E961" t="str">
            <v>検証</v>
          </cell>
          <cell r="F961">
            <v>1</v>
          </cell>
          <cell r="G961" t="str">
            <v>ja</v>
          </cell>
          <cell r="H961" t="str">
            <v>【LB保堂】検証</v>
          </cell>
          <cell r="I961" t="str">
            <v>検証</v>
          </cell>
          <cell r="J961">
            <v>1</v>
          </cell>
          <cell r="K961">
            <v>1</v>
          </cell>
          <cell r="L961">
            <v>1</v>
          </cell>
          <cell r="M961">
            <v>1</v>
          </cell>
          <cell r="N961">
            <v>1</v>
          </cell>
          <cell r="O961">
            <v>1</v>
          </cell>
          <cell r="P961">
            <v>1</v>
          </cell>
          <cell r="Q961">
            <v>1</v>
          </cell>
          <cell r="R961">
            <v>3</v>
          </cell>
          <cell r="S961" t="str">
            <v>polygon</v>
          </cell>
          <cell r="T961">
            <v>0</v>
          </cell>
          <cell r="U961" t="str">
            <v>NULL</v>
          </cell>
          <cell r="V961" t="str">
            <v>NULL</v>
          </cell>
          <cell r="W961" t="str">
            <v/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 t="str">
            <v>anytime</v>
          </cell>
          <cell r="AC961">
            <v>1</v>
          </cell>
          <cell r="AD961">
            <v>6</v>
          </cell>
          <cell r="AE961" t="str">
            <v>everyone</v>
          </cell>
        </row>
        <row r="962">
          <cell r="A962" t="str">
            <v>65529_1</v>
          </cell>
          <cell r="B962">
            <v>1</v>
          </cell>
          <cell r="C962">
            <v>65529</v>
          </cell>
          <cell r="D962" t="str">
            <v>【LB植松】検証クエスト</v>
          </cell>
          <cell r="E962" t="str">
            <v>検証</v>
          </cell>
          <cell r="F962">
            <v>1</v>
          </cell>
          <cell r="G962" t="str">
            <v>ja</v>
          </cell>
          <cell r="H962" t="str">
            <v>【LB植松】検証</v>
          </cell>
          <cell r="I962" t="str">
            <v>検証</v>
          </cell>
          <cell r="J962">
            <v>1</v>
          </cell>
          <cell r="K962">
            <v>1</v>
          </cell>
          <cell r="L962">
            <v>1</v>
          </cell>
          <cell r="M962">
            <v>1</v>
          </cell>
          <cell r="N962">
            <v>1</v>
          </cell>
          <cell r="O962">
            <v>1</v>
          </cell>
          <cell r="P962">
            <v>1</v>
          </cell>
          <cell r="Q962">
            <v>1</v>
          </cell>
          <cell r="R962">
            <v>3</v>
          </cell>
          <cell r="S962" t="str">
            <v>polygon</v>
          </cell>
          <cell r="T962">
            <v>0</v>
          </cell>
          <cell r="U962" t="str">
            <v>NULL</v>
          </cell>
          <cell r="V962" t="str">
            <v>NULL</v>
          </cell>
          <cell r="W962" t="str">
            <v/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 t="str">
            <v>anytime</v>
          </cell>
          <cell r="AC962">
            <v>1</v>
          </cell>
          <cell r="AD962">
            <v>6</v>
          </cell>
          <cell r="AE962" t="str">
            <v>everyone</v>
          </cell>
        </row>
        <row r="963">
          <cell r="A963" t="str">
            <v>65530_1</v>
          </cell>
          <cell r="B963">
            <v>1</v>
          </cell>
          <cell r="C963">
            <v>65530</v>
          </cell>
          <cell r="D963" t="str">
            <v>【LB渡邉】検証クエスト</v>
          </cell>
          <cell r="E963" t="str">
            <v>検証</v>
          </cell>
          <cell r="F963">
            <v>1</v>
          </cell>
          <cell r="G963" t="str">
            <v>ja</v>
          </cell>
          <cell r="H963" t="str">
            <v>【LB渡邉】検証</v>
          </cell>
          <cell r="I963" t="str">
            <v>検証</v>
          </cell>
          <cell r="J963">
            <v>1</v>
          </cell>
          <cell r="K963">
            <v>1</v>
          </cell>
          <cell r="L963">
            <v>1</v>
          </cell>
          <cell r="M963">
            <v>1</v>
          </cell>
          <cell r="N963">
            <v>1</v>
          </cell>
          <cell r="O963">
            <v>1</v>
          </cell>
          <cell r="P963">
            <v>1</v>
          </cell>
          <cell r="Q963">
            <v>1</v>
          </cell>
          <cell r="R963">
            <v>3</v>
          </cell>
          <cell r="S963" t="str">
            <v>polygon</v>
          </cell>
          <cell r="T963">
            <v>0</v>
          </cell>
          <cell r="U963" t="str">
            <v>NULL</v>
          </cell>
          <cell r="V963" t="str">
            <v>NULL</v>
          </cell>
          <cell r="W963" t="str">
            <v/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 t="str">
            <v>anytime</v>
          </cell>
          <cell r="AC963">
            <v>1</v>
          </cell>
          <cell r="AD963">
            <v>6</v>
          </cell>
          <cell r="AE963" t="str">
            <v>everyone</v>
          </cell>
        </row>
        <row r="964">
          <cell r="A964" t="str">
            <v>65531_1</v>
          </cell>
          <cell r="B964">
            <v>1</v>
          </cell>
          <cell r="C964">
            <v>65531</v>
          </cell>
          <cell r="D964" t="str">
            <v>【LB塚本】検証クエスト</v>
          </cell>
          <cell r="E964" t="str">
            <v>検証</v>
          </cell>
          <cell r="F964">
            <v>1</v>
          </cell>
          <cell r="G964" t="str">
            <v>ja</v>
          </cell>
          <cell r="H964" t="str">
            <v>【LB塚本】検証</v>
          </cell>
          <cell r="I964" t="str">
            <v>検証</v>
          </cell>
          <cell r="J964">
            <v>1</v>
          </cell>
          <cell r="K964">
            <v>1</v>
          </cell>
          <cell r="L964">
            <v>1</v>
          </cell>
          <cell r="M964">
            <v>1</v>
          </cell>
          <cell r="N964">
            <v>1</v>
          </cell>
          <cell r="O964">
            <v>1</v>
          </cell>
          <cell r="P964">
            <v>1</v>
          </cell>
          <cell r="Q964">
            <v>1</v>
          </cell>
          <cell r="R964">
            <v>3</v>
          </cell>
          <cell r="S964" t="str">
            <v>polygon</v>
          </cell>
          <cell r="T964">
            <v>0</v>
          </cell>
          <cell r="U964" t="str">
            <v>NULL</v>
          </cell>
          <cell r="V964" t="str">
            <v>NULL</v>
          </cell>
          <cell r="W964" t="str">
            <v/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 t="str">
            <v>anytime</v>
          </cell>
          <cell r="AC964">
            <v>1</v>
          </cell>
          <cell r="AD964">
            <v>6</v>
          </cell>
          <cell r="AE964" t="str">
            <v>everyone</v>
          </cell>
        </row>
        <row r="965">
          <cell r="A965" t="str">
            <v>65531_2</v>
          </cell>
          <cell r="B965">
            <v>1</v>
          </cell>
          <cell r="C965">
            <v>65531</v>
          </cell>
          <cell r="D965" t="str">
            <v>【LB塚本】検証クエスト</v>
          </cell>
          <cell r="E965" t="str">
            <v>検証</v>
          </cell>
          <cell r="F965">
            <v>2</v>
          </cell>
          <cell r="G965" t="str">
            <v>ja</v>
          </cell>
          <cell r="H965" t="str">
            <v>【LB塚本】検証プレイ用</v>
          </cell>
          <cell r="I965" t="str">
            <v>検証</v>
          </cell>
          <cell r="J965">
            <v>1</v>
          </cell>
          <cell r="K965">
            <v>1</v>
          </cell>
          <cell r="L965">
            <v>1</v>
          </cell>
          <cell r="M965">
            <v>1</v>
          </cell>
          <cell r="N965">
            <v>1</v>
          </cell>
          <cell r="O965">
            <v>1</v>
          </cell>
          <cell r="P965">
            <v>1</v>
          </cell>
          <cell r="Q965">
            <v>1</v>
          </cell>
          <cell r="R965">
            <v>3</v>
          </cell>
          <cell r="S965" t="str">
            <v>polygon</v>
          </cell>
          <cell r="T965">
            <v>0</v>
          </cell>
          <cell r="U965" t="str">
            <v>NULL</v>
          </cell>
          <cell r="V965" t="str">
            <v>NULL</v>
          </cell>
          <cell r="W965" t="str">
            <v/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 t="str">
            <v>anytime</v>
          </cell>
          <cell r="AC965">
            <v>1</v>
          </cell>
          <cell r="AD965">
            <v>6</v>
          </cell>
          <cell r="AE965" t="str">
            <v>everyone</v>
          </cell>
        </row>
        <row r="966">
          <cell r="A966" t="str">
            <v>65532_1</v>
          </cell>
          <cell r="B966">
            <v>1</v>
          </cell>
          <cell r="C966">
            <v>65532</v>
          </cell>
          <cell r="D966" t="str">
            <v>【LB山川】検証クエスト</v>
          </cell>
          <cell r="E966" t="str">
            <v>検証</v>
          </cell>
          <cell r="F966">
            <v>1</v>
          </cell>
          <cell r="G966" t="str">
            <v>ja</v>
          </cell>
          <cell r="H966" t="str">
            <v>【LB山川】検証</v>
          </cell>
          <cell r="I966" t="str">
            <v>検証</v>
          </cell>
          <cell r="J966">
            <v>1</v>
          </cell>
          <cell r="K966">
            <v>1</v>
          </cell>
          <cell r="L966">
            <v>1</v>
          </cell>
          <cell r="M966">
            <v>1</v>
          </cell>
          <cell r="N966">
            <v>1</v>
          </cell>
          <cell r="O966">
            <v>1</v>
          </cell>
          <cell r="P966">
            <v>1</v>
          </cell>
          <cell r="Q966">
            <v>1</v>
          </cell>
          <cell r="R966">
            <v>3</v>
          </cell>
          <cell r="S966" t="str">
            <v>polygon</v>
          </cell>
          <cell r="T966">
            <v>0</v>
          </cell>
          <cell r="U966" t="str">
            <v>NULL</v>
          </cell>
          <cell r="V966" t="str">
            <v>NULL</v>
          </cell>
          <cell r="W966" t="str">
            <v/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 t="str">
            <v>anytime</v>
          </cell>
          <cell r="AC966">
            <v>1</v>
          </cell>
          <cell r="AD966">
            <v>6</v>
          </cell>
          <cell r="AE966" t="str">
            <v>everyone</v>
          </cell>
        </row>
        <row r="967">
          <cell r="A967" t="str">
            <v>65532_2</v>
          </cell>
          <cell r="B967">
            <v>1</v>
          </cell>
          <cell r="C967">
            <v>65532</v>
          </cell>
          <cell r="D967" t="str">
            <v>【LB山川】検証クエスト</v>
          </cell>
          <cell r="E967" t="str">
            <v>検証</v>
          </cell>
          <cell r="F967">
            <v>2</v>
          </cell>
          <cell r="G967" t="str">
            <v>ja</v>
          </cell>
          <cell r="H967" t="str">
            <v>【LB山川】検証プレイ用</v>
          </cell>
          <cell r="I967" t="str">
            <v>検証</v>
          </cell>
          <cell r="J967">
            <v>1</v>
          </cell>
          <cell r="K967">
            <v>1</v>
          </cell>
          <cell r="L967">
            <v>1</v>
          </cell>
          <cell r="M967">
            <v>1</v>
          </cell>
          <cell r="N967">
            <v>1</v>
          </cell>
          <cell r="O967">
            <v>1</v>
          </cell>
          <cell r="P967">
            <v>1</v>
          </cell>
          <cell r="Q967">
            <v>1</v>
          </cell>
          <cell r="R967">
            <v>3</v>
          </cell>
          <cell r="S967" t="str">
            <v>polygon</v>
          </cell>
          <cell r="T967">
            <v>0</v>
          </cell>
          <cell r="U967" t="str">
            <v>NULL</v>
          </cell>
          <cell r="V967" t="str">
            <v>NULL</v>
          </cell>
          <cell r="W967" t="str">
            <v/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 t="str">
            <v>anytime</v>
          </cell>
          <cell r="AC967">
            <v>1</v>
          </cell>
          <cell r="AD967">
            <v>6</v>
          </cell>
          <cell r="AE967" t="str">
            <v>everyone</v>
          </cell>
        </row>
        <row r="968">
          <cell r="A968" t="str">
            <v>65533_1</v>
          </cell>
          <cell r="B968">
            <v>1</v>
          </cell>
          <cell r="C968">
            <v>65533</v>
          </cell>
          <cell r="D968" t="str">
            <v>【程塚】検証クエスト</v>
          </cell>
          <cell r="E968" t="str">
            <v>検証</v>
          </cell>
          <cell r="F968">
            <v>1</v>
          </cell>
          <cell r="G968" t="str">
            <v>ja</v>
          </cell>
          <cell r="H968" t="str">
            <v>【超級】若造よ、身の程を知れ</v>
          </cell>
          <cell r="I968" t="str">
            <v>超級</v>
          </cell>
          <cell r="J968">
            <v>458</v>
          </cell>
          <cell r="K968">
            <v>30</v>
          </cell>
          <cell r="L968">
            <v>3300</v>
          </cell>
          <cell r="M968">
            <v>1</v>
          </cell>
          <cell r="N968">
            <v>1</v>
          </cell>
          <cell r="O968">
            <v>1</v>
          </cell>
          <cell r="P968">
            <v>1</v>
          </cell>
          <cell r="Q968">
            <v>1</v>
          </cell>
          <cell r="R968">
            <v>3</v>
          </cell>
          <cell r="S968" t="str">
            <v>none</v>
          </cell>
          <cell r="T968">
            <v>0</v>
          </cell>
          <cell r="U968" t="str">
            <v>NULL</v>
          </cell>
          <cell r="V968" t="str">
            <v>NULL</v>
          </cell>
          <cell r="W968" t="str">
            <v/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 t="str">
            <v>anytime</v>
          </cell>
          <cell r="AC968">
            <v>13</v>
          </cell>
          <cell r="AD968">
            <v>6</v>
          </cell>
          <cell r="AE968" t="str">
            <v>everyone</v>
          </cell>
        </row>
        <row r="969">
          <cell r="A969" t="str">
            <v>65533_2</v>
          </cell>
          <cell r="B969">
            <v>1</v>
          </cell>
          <cell r="C969">
            <v>65533</v>
          </cell>
          <cell r="D969" t="str">
            <v>【程塚】検証クエスト</v>
          </cell>
          <cell r="E969" t="str">
            <v>検証</v>
          </cell>
          <cell r="F969">
            <v>2</v>
          </cell>
          <cell r="G969" t="str">
            <v>ja</v>
          </cell>
          <cell r="H969" t="str">
            <v>【超絶級】若造よ、身の程を知れ</v>
          </cell>
          <cell r="I969" t="str">
            <v>超絶級</v>
          </cell>
          <cell r="J969">
            <v>459</v>
          </cell>
          <cell r="K969">
            <v>35</v>
          </cell>
          <cell r="L969">
            <v>4200</v>
          </cell>
          <cell r="M969">
            <v>1</v>
          </cell>
          <cell r="N969">
            <v>1</v>
          </cell>
          <cell r="O969">
            <v>1</v>
          </cell>
          <cell r="P969">
            <v>1</v>
          </cell>
          <cell r="Q969">
            <v>1</v>
          </cell>
          <cell r="R969">
            <v>3</v>
          </cell>
          <cell r="S969" t="str">
            <v>polygon</v>
          </cell>
          <cell r="T969">
            <v>1</v>
          </cell>
          <cell r="U969" t="str">
            <v>NULL</v>
          </cell>
          <cell r="V969" t="str">
            <v>NULL</v>
          </cell>
          <cell r="W969" t="str">
            <v/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 t="str">
            <v>anytime</v>
          </cell>
          <cell r="AC969">
            <v>13</v>
          </cell>
          <cell r="AD969">
            <v>6</v>
          </cell>
          <cell r="AE969" t="str">
            <v>everyone</v>
          </cell>
        </row>
        <row r="970">
          <cell r="A970" t="str">
            <v>65534_1</v>
          </cell>
          <cell r="B970">
            <v>1</v>
          </cell>
          <cell r="C970">
            <v>65534</v>
          </cell>
          <cell r="D970" t="str">
            <v>【LB久保】検証クエスト</v>
          </cell>
          <cell r="E970" t="str">
            <v>検証</v>
          </cell>
          <cell r="F970">
            <v>1</v>
          </cell>
          <cell r="G970" t="str">
            <v>ja</v>
          </cell>
          <cell r="H970" t="str">
            <v>【LB久保】タワー調整用</v>
          </cell>
          <cell r="I970" t="str">
            <v>検証</v>
          </cell>
          <cell r="J970">
            <v>1</v>
          </cell>
          <cell r="K970">
            <v>1</v>
          </cell>
          <cell r="L970">
            <v>1</v>
          </cell>
          <cell r="M970">
            <v>1</v>
          </cell>
          <cell r="N970">
            <v>1</v>
          </cell>
          <cell r="O970">
            <v>1</v>
          </cell>
          <cell r="P970">
            <v>1</v>
          </cell>
          <cell r="Q970">
            <v>1</v>
          </cell>
          <cell r="R970">
            <v>3</v>
          </cell>
          <cell r="S970" t="str">
            <v>polygon</v>
          </cell>
          <cell r="T970">
            <v>0</v>
          </cell>
          <cell r="U970" t="str">
            <v>NULL</v>
          </cell>
          <cell r="V970" t="str">
            <v>NULL</v>
          </cell>
          <cell r="W970" t="str">
            <v/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 t="str">
            <v>anytime</v>
          </cell>
          <cell r="AC970">
            <v>24</v>
          </cell>
          <cell r="AD970">
            <v>4</v>
          </cell>
          <cell r="AE970" t="str">
            <v>everyone</v>
          </cell>
        </row>
        <row r="971">
          <cell r="A971" t="str">
            <v>65534_2</v>
          </cell>
          <cell r="B971">
            <v>1</v>
          </cell>
          <cell r="C971">
            <v>65534</v>
          </cell>
          <cell r="D971" t="str">
            <v>【LB久保】検証クエスト</v>
          </cell>
          <cell r="E971" t="str">
            <v>検証</v>
          </cell>
          <cell r="F971">
            <v>2</v>
          </cell>
          <cell r="G971" t="str">
            <v>ja</v>
          </cell>
          <cell r="H971" t="str">
            <v>【LB久保】タワー調整用2</v>
          </cell>
          <cell r="I971" t="str">
            <v>検証</v>
          </cell>
          <cell r="J971">
            <v>1</v>
          </cell>
          <cell r="K971">
            <v>1</v>
          </cell>
          <cell r="L971">
            <v>1</v>
          </cell>
          <cell r="M971">
            <v>1</v>
          </cell>
          <cell r="N971">
            <v>1</v>
          </cell>
          <cell r="O971">
            <v>1</v>
          </cell>
          <cell r="P971">
            <v>1</v>
          </cell>
          <cell r="Q971">
            <v>1</v>
          </cell>
          <cell r="R971">
            <v>3</v>
          </cell>
          <cell r="S971" t="str">
            <v>polygon</v>
          </cell>
          <cell r="T971">
            <v>0</v>
          </cell>
          <cell r="U971" t="str">
            <v>NULL</v>
          </cell>
          <cell r="V971" t="str">
            <v>NULL</v>
          </cell>
          <cell r="W971" t="str">
            <v/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 t="str">
            <v>anytime</v>
          </cell>
          <cell r="AC971">
            <v>24</v>
          </cell>
          <cell r="AD971">
            <v>4</v>
          </cell>
          <cell r="AE971" t="str">
            <v>everyone</v>
          </cell>
        </row>
        <row r="972">
          <cell r="A972" t="str">
            <v>65535_1</v>
          </cell>
          <cell r="B972">
            <v>1</v>
          </cell>
          <cell r="C972">
            <v>65535</v>
          </cell>
          <cell r="D972" t="str">
            <v>１２３４５６７８９０１２３４５６７８９０１２３４５６７８９０</v>
          </cell>
          <cell r="E972" t="str">
            <v>検証</v>
          </cell>
          <cell r="F972">
            <v>1</v>
          </cell>
          <cell r="G972" t="str">
            <v>ja</v>
          </cell>
          <cell r="H972" t="str">
            <v>テンプレート</v>
          </cell>
          <cell r="I972" t="str">
            <v>検証</v>
          </cell>
          <cell r="J972" t="str">
            <v>NULL</v>
          </cell>
          <cell r="K972">
            <v>1</v>
          </cell>
          <cell r="L972">
            <v>1</v>
          </cell>
          <cell r="M972">
            <v>1</v>
          </cell>
          <cell r="N972">
            <v>1</v>
          </cell>
          <cell r="O972">
            <v>1</v>
          </cell>
          <cell r="P972">
            <v>1</v>
          </cell>
          <cell r="Q972">
            <v>1</v>
          </cell>
          <cell r="R972">
            <v>3</v>
          </cell>
          <cell r="S972" t="str">
            <v>none</v>
          </cell>
          <cell r="T972">
            <v>0</v>
          </cell>
          <cell r="U972" t="str">
            <v>NULL</v>
          </cell>
          <cell r="V972" t="str">
            <v>NULL</v>
          </cell>
          <cell r="W972" t="str">
            <v/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 t="str">
            <v>anytime</v>
          </cell>
          <cell r="AC972">
            <v>903</v>
          </cell>
          <cell r="AD972">
            <v>6</v>
          </cell>
          <cell r="AE972" t="str">
            <v>everyone</v>
          </cell>
        </row>
        <row r="973">
          <cell r="A973" t="str">
            <v>65535_2</v>
          </cell>
          <cell r="B973">
            <v>1</v>
          </cell>
          <cell r="C973">
            <v>65535</v>
          </cell>
          <cell r="D973" t="str">
            <v>１２３４５６７８９０１２３４５６７８９０１２３４５６７８９０</v>
          </cell>
          <cell r="E973" t="str">
            <v>検証</v>
          </cell>
          <cell r="F973">
            <v>2</v>
          </cell>
          <cell r="G973" t="str">
            <v>ja</v>
          </cell>
          <cell r="H973" t="str">
            <v>ランクアップクエスト</v>
          </cell>
          <cell r="I973" t="str">
            <v>検証</v>
          </cell>
          <cell r="J973" t="str">
            <v>NULL</v>
          </cell>
          <cell r="K973">
            <v>1</v>
          </cell>
          <cell r="L973">
            <v>65535</v>
          </cell>
          <cell r="M973">
            <v>1</v>
          </cell>
          <cell r="N973">
            <v>1</v>
          </cell>
          <cell r="O973">
            <v>1</v>
          </cell>
          <cell r="P973">
            <v>1</v>
          </cell>
          <cell r="Q973">
            <v>1</v>
          </cell>
          <cell r="R973">
            <v>3</v>
          </cell>
          <cell r="S973" t="str">
            <v>none</v>
          </cell>
          <cell r="T973">
            <v>0</v>
          </cell>
          <cell r="U973" t="str">
            <v>NULL</v>
          </cell>
          <cell r="V973" t="str">
            <v>NULL</v>
          </cell>
          <cell r="W973" t="str">
            <v/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 t="str">
            <v>anytime</v>
          </cell>
          <cell r="AC973">
            <v>903</v>
          </cell>
          <cell r="AD973">
            <v>6</v>
          </cell>
          <cell r="AE973" t="str">
            <v>everyone</v>
          </cell>
        </row>
        <row r="974">
          <cell r="A974" t="str">
            <v>65535_3</v>
          </cell>
          <cell r="B974">
            <v>1</v>
          </cell>
          <cell r="C974">
            <v>65535</v>
          </cell>
          <cell r="D974" t="str">
            <v>１２３４５６７８９０１２３４５６７８９０１２３４５６７８９０</v>
          </cell>
          <cell r="E974" t="str">
            <v>検証</v>
          </cell>
          <cell r="F974">
            <v>3</v>
          </cell>
          <cell r="G974" t="str">
            <v>ja</v>
          </cell>
          <cell r="H974" t="str">
            <v>サンドボックス</v>
          </cell>
          <cell r="I974" t="str">
            <v>検証</v>
          </cell>
          <cell r="J974" t="str">
            <v>NULL</v>
          </cell>
          <cell r="K974">
            <v>1</v>
          </cell>
          <cell r="L974">
            <v>1</v>
          </cell>
          <cell r="M974">
            <v>1</v>
          </cell>
          <cell r="N974">
            <v>1</v>
          </cell>
          <cell r="O974">
            <v>1</v>
          </cell>
          <cell r="P974">
            <v>1</v>
          </cell>
          <cell r="Q974">
            <v>1</v>
          </cell>
          <cell r="R974">
            <v>3</v>
          </cell>
          <cell r="S974" t="str">
            <v>none</v>
          </cell>
          <cell r="T974">
            <v>0</v>
          </cell>
          <cell r="U974" t="str">
            <v>NULL</v>
          </cell>
          <cell r="V974" t="str">
            <v>NULL</v>
          </cell>
          <cell r="W974" t="str">
            <v/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 t="str">
            <v>anytime</v>
          </cell>
          <cell r="AC974">
            <v>105</v>
          </cell>
          <cell r="AD974">
            <v>6</v>
          </cell>
          <cell r="AE974" t="str">
            <v>everyone</v>
          </cell>
        </row>
        <row r="975">
          <cell r="A975" t="str">
            <v>65535_4</v>
          </cell>
          <cell r="B975">
            <v>1</v>
          </cell>
          <cell r="C975">
            <v>65535</v>
          </cell>
          <cell r="D975" t="str">
            <v>１２３４５６７８９０１２３４５６７８９０１２３４５６７８９０</v>
          </cell>
          <cell r="E975" t="str">
            <v>検証</v>
          </cell>
          <cell r="F975">
            <v>4</v>
          </cell>
          <cell r="G975" t="str">
            <v>ja</v>
          </cell>
          <cell r="H975" t="str">
            <v>フリーズジャンヌ</v>
          </cell>
          <cell r="I975" t="str">
            <v>検証</v>
          </cell>
          <cell r="J975" t="str">
            <v>NULL</v>
          </cell>
          <cell r="K975">
            <v>1</v>
          </cell>
          <cell r="L975">
            <v>1</v>
          </cell>
          <cell r="M975">
            <v>1</v>
          </cell>
          <cell r="N975">
            <v>1</v>
          </cell>
          <cell r="O975">
            <v>1</v>
          </cell>
          <cell r="P975">
            <v>1</v>
          </cell>
          <cell r="Q975">
            <v>1</v>
          </cell>
          <cell r="R975">
            <v>3</v>
          </cell>
          <cell r="S975" t="str">
            <v>none</v>
          </cell>
          <cell r="T975">
            <v>0</v>
          </cell>
          <cell r="U975" t="str">
            <v>NULL</v>
          </cell>
          <cell r="V975" t="str">
            <v>NULL</v>
          </cell>
          <cell r="W975" t="str">
            <v/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 t="str">
            <v>anytime</v>
          </cell>
          <cell r="AC975">
            <v>105</v>
          </cell>
          <cell r="AD975">
            <v>6</v>
          </cell>
          <cell r="AE975" t="str">
            <v>everyone</v>
          </cell>
        </row>
        <row r="976">
          <cell r="A976" t="str">
            <v>65535_5</v>
          </cell>
          <cell r="B976">
            <v>1</v>
          </cell>
          <cell r="C976">
            <v>65535</v>
          </cell>
          <cell r="D976" t="str">
            <v>１２３４５６７８９０１２３４５６７８９０１２３４５６７８９０</v>
          </cell>
          <cell r="E976" t="str">
            <v>検証</v>
          </cell>
          <cell r="F976">
            <v>5</v>
          </cell>
          <cell r="G976" t="str">
            <v>ja</v>
          </cell>
          <cell r="H976" t="str">
            <v>ウィルスジャンヌ</v>
          </cell>
          <cell r="I976" t="str">
            <v>検証</v>
          </cell>
          <cell r="J976" t="str">
            <v>NULL</v>
          </cell>
          <cell r="K976">
            <v>1</v>
          </cell>
          <cell r="L976">
            <v>1</v>
          </cell>
          <cell r="M976">
            <v>1</v>
          </cell>
          <cell r="N976">
            <v>1</v>
          </cell>
          <cell r="O976">
            <v>1</v>
          </cell>
          <cell r="P976">
            <v>1</v>
          </cell>
          <cell r="Q976">
            <v>1</v>
          </cell>
          <cell r="R976">
            <v>3</v>
          </cell>
          <cell r="S976" t="str">
            <v>none</v>
          </cell>
          <cell r="T976">
            <v>0</v>
          </cell>
          <cell r="U976" t="str">
            <v>NULL</v>
          </cell>
          <cell r="V976" t="str">
            <v>NULL</v>
          </cell>
          <cell r="W976" t="str">
            <v/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 t="str">
            <v>anytime</v>
          </cell>
          <cell r="AC976">
            <v>105</v>
          </cell>
          <cell r="AD976">
            <v>6</v>
          </cell>
          <cell r="AE976" t="str">
            <v>everyone</v>
          </cell>
        </row>
        <row r="977">
          <cell r="A977" t="str">
            <v>65535_6</v>
          </cell>
          <cell r="B977">
            <v>1</v>
          </cell>
          <cell r="C977">
            <v>65535</v>
          </cell>
          <cell r="D977" t="str">
            <v>１２３４５６７８９０１２３４５６７８９０１２３４５６７８９０</v>
          </cell>
          <cell r="E977" t="str">
            <v>検証</v>
          </cell>
          <cell r="F977">
            <v>6</v>
          </cell>
          <cell r="G977" t="str">
            <v>ja</v>
          </cell>
          <cell r="H977" t="str">
            <v>お邪魔ジャンヌ</v>
          </cell>
          <cell r="I977" t="str">
            <v>検証</v>
          </cell>
          <cell r="J977" t="str">
            <v>NULL</v>
          </cell>
          <cell r="K977">
            <v>1</v>
          </cell>
          <cell r="L977">
            <v>1</v>
          </cell>
          <cell r="M977">
            <v>1</v>
          </cell>
          <cell r="N977">
            <v>1</v>
          </cell>
          <cell r="O977">
            <v>1</v>
          </cell>
          <cell r="P977">
            <v>1</v>
          </cell>
          <cell r="Q977">
            <v>1</v>
          </cell>
          <cell r="R977">
            <v>3</v>
          </cell>
          <cell r="S977" t="str">
            <v>none</v>
          </cell>
          <cell r="T977">
            <v>0</v>
          </cell>
          <cell r="U977" t="str">
            <v>NULL</v>
          </cell>
          <cell r="V977" t="str">
            <v>NULL</v>
          </cell>
          <cell r="W977" t="str">
            <v/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 t="str">
            <v>anytime</v>
          </cell>
          <cell r="AC977">
            <v>105</v>
          </cell>
          <cell r="AD977">
            <v>6</v>
          </cell>
          <cell r="AE977" t="str">
            <v>everyone</v>
          </cell>
        </row>
        <row r="978">
          <cell r="A978" t="str">
            <v>65535_7</v>
          </cell>
          <cell r="B978">
            <v>1</v>
          </cell>
          <cell r="C978">
            <v>65535</v>
          </cell>
          <cell r="D978" t="str">
            <v>１２３４５６７８９０１２３４５６７８９０１２３４５６７８９０</v>
          </cell>
          <cell r="E978" t="str">
            <v>検証</v>
          </cell>
          <cell r="F978">
            <v>7</v>
          </cell>
          <cell r="G978" t="str">
            <v>ja</v>
          </cell>
          <cell r="H978" t="str">
            <v>爆風ジャンヌ</v>
          </cell>
          <cell r="I978" t="str">
            <v>検証</v>
          </cell>
          <cell r="J978" t="str">
            <v>NULL</v>
          </cell>
          <cell r="K978">
            <v>1</v>
          </cell>
          <cell r="L978">
            <v>1</v>
          </cell>
          <cell r="M978">
            <v>1</v>
          </cell>
          <cell r="N978">
            <v>1</v>
          </cell>
          <cell r="O978">
            <v>1</v>
          </cell>
          <cell r="P978">
            <v>1</v>
          </cell>
          <cell r="Q978">
            <v>1</v>
          </cell>
          <cell r="R978">
            <v>3</v>
          </cell>
          <cell r="S978" t="str">
            <v>none</v>
          </cell>
          <cell r="T978">
            <v>0</v>
          </cell>
          <cell r="U978" t="str">
            <v>NULL</v>
          </cell>
          <cell r="V978" t="str">
            <v>NULL</v>
          </cell>
          <cell r="W978" t="str">
            <v/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 t="str">
            <v>anytime</v>
          </cell>
          <cell r="AC978">
            <v>105</v>
          </cell>
          <cell r="AD978">
            <v>6</v>
          </cell>
          <cell r="AE978" t="str">
            <v>everyone</v>
          </cell>
        </row>
        <row r="979">
          <cell r="A979" t="str">
            <v>65535_8</v>
          </cell>
          <cell r="B979">
            <v>1</v>
          </cell>
          <cell r="C979">
            <v>65535</v>
          </cell>
          <cell r="D979" t="str">
            <v>１２３４５６７８９０１２３４５６７８９０１２３４５６７８９０</v>
          </cell>
          <cell r="E979" t="str">
            <v>検証</v>
          </cell>
          <cell r="F979">
            <v>8</v>
          </cell>
          <cell r="G979" t="str">
            <v>ja</v>
          </cell>
          <cell r="H979" t="str">
            <v>テスト</v>
          </cell>
          <cell r="I979" t="str">
            <v>検証</v>
          </cell>
          <cell r="J979" t="str">
            <v>NULL</v>
          </cell>
          <cell r="K979">
            <v>1</v>
          </cell>
          <cell r="L979">
            <v>1</v>
          </cell>
          <cell r="M979">
            <v>1</v>
          </cell>
          <cell r="N979">
            <v>1</v>
          </cell>
          <cell r="O979">
            <v>1</v>
          </cell>
          <cell r="P979">
            <v>1</v>
          </cell>
          <cell r="Q979">
            <v>1</v>
          </cell>
          <cell r="R979">
            <v>3</v>
          </cell>
          <cell r="S979" t="str">
            <v>none</v>
          </cell>
          <cell r="T979">
            <v>0</v>
          </cell>
          <cell r="U979" t="str">
            <v>NULL</v>
          </cell>
          <cell r="V979" t="str">
            <v>NULL</v>
          </cell>
          <cell r="W979" t="str">
            <v/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 t="str">
            <v>anytime</v>
          </cell>
          <cell r="AC979">
            <v>105</v>
          </cell>
          <cell r="AD979">
            <v>6</v>
          </cell>
          <cell r="AE979" t="str">
            <v>everyone</v>
          </cell>
        </row>
        <row r="980">
          <cell r="A980" t="str">
            <v>65535_9</v>
          </cell>
          <cell r="B980">
            <v>1</v>
          </cell>
          <cell r="C980">
            <v>65535</v>
          </cell>
          <cell r="D980" t="str">
            <v>１２３４５６７８９０１２３４５６７８９０１２３４５６７８９０</v>
          </cell>
          <cell r="E980" t="str">
            <v>検証</v>
          </cell>
          <cell r="F980">
            <v>9</v>
          </cell>
          <cell r="G980" t="str">
            <v>ja</v>
          </cell>
          <cell r="H980" t="str">
            <v>本気プロテクトジャンヌ</v>
          </cell>
          <cell r="I980" t="str">
            <v>検証</v>
          </cell>
          <cell r="J980">
            <v>814</v>
          </cell>
          <cell r="K980">
            <v>1</v>
          </cell>
          <cell r="L980">
            <v>1</v>
          </cell>
          <cell r="M980">
            <v>1</v>
          </cell>
          <cell r="N980">
            <v>1</v>
          </cell>
          <cell r="O980">
            <v>1</v>
          </cell>
          <cell r="P980">
            <v>1</v>
          </cell>
          <cell r="Q980">
            <v>1</v>
          </cell>
          <cell r="R980">
            <v>3</v>
          </cell>
          <cell r="S980" t="str">
            <v>none</v>
          </cell>
          <cell r="T980">
            <v>0</v>
          </cell>
          <cell r="U980" t="str">
            <v>NULL</v>
          </cell>
          <cell r="V980" t="str">
            <v>NULL</v>
          </cell>
          <cell r="W980" t="str">
            <v/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 t="str">
            <v>anytime</v>
          </cell>
          <cell r="AC980">
            <v>105</v>
          </cell>
          <cell r="AD980">
            <v>6</v>
          </cell>
          <cell r="AE980" t="str">
            <v>everyone</v>
          </cell>
        </row>
        <row r="981">
          <cell r="A981" t="str">
            <v>65535_10</v>
          </cell>
          <cell r="B981">
            <v>1</v>
          </cell>
          <cell r="C981">
            <v>65535</v>
          </cell>
          <cell r="D981" t="str">
            <v>１２３４５６７８９０１２３４５６７８９０１２３４５６７８９０</v>
          </cell>
          <cell r="E981" t="str">
            <v>検証</v>
          </cell>
          <cell r="F981">
            <v>10</v>
          </cell>
          <cell r="G981" t="str">
            <v>ja</v>
          </cell>
          <cell r="H981" t="str">
            <v>本気ウィルスミケランジェロ</v>
          </cell>
          <cell r="I981" t="str">
            <v>検証</v>
          </cell>
          <cell r="J981">
            <v>1089</v>
          </cell>
          <cell r="K981">
            <v>1</v>
          </cell>
          <cell r="L981">
            <v>1</v>
          </cell>
          <cell r="M981">
            <v>1</v>
          </cell>
          <cell r="N981">
            <v>1</v>
          </cell>
          <cell r="O981">
            <v>1</v>
          </cell>
          <cell r="P981">
            <v>1</v>
          </cell>
          <cell r="Q981">
            <v>1</v>
          </cell>
          <cell r="R981">
            <v>3</v>
          </cell>
          <cell r="S981" t="str">
            <v>none</v>
          </cell>
          <cell r="T981">
            <v>0</v>
          </cell>
          <cell r="U981" t="str">
            <v>NULL</v>
          </cell>
          <cell r="V981" t="str">
            <v>NULL</v>
          </cell>
          <cell r="W981" t="str">
            <v/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 t="str">
            <v>anytime</v>
          </cell>
          <cell r="AC981">
            <v>105</v>
          </cell>
          <cell r="AD981">
            <v>6</v>
          </cell>
          <cell r="AE981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2"/>
  <sheetViews>
    <sheetView workbookViewId="0">
      <selection activeCell="G17" sqref="G17"/>
    </sheetView>
  </sheetViews>
  <sheetFormatPr baseColWidth="12" defaultRowHeight="15" x14ac:dyDescent="0.15"/>
  <sheetData>
    <row r="1" spans="1:23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x14ac:dyDescent="0.15">
      <c r="A2" s="5" t="s">
        <v>31</v>
      </c>
      <c r="B2" s="5" t="s">
        <v>29</v>
      </c>
      <c r="C2" s="5" t="s">
        <v>34</v>
      </c>
      <c r="D2" s="5" t="s">
        <v>25</v>
      </c>
      <c r="E2" s="3" t="str">
        <f t="shared" ref="E2" si="0">B2&amp;C2&amp;D2</f>
        <v>stage_bug_bonuses_event.tmp</v>
      </c>
      <c r="F2" s="5" t="s">
        <v>8</v>
      </c>
      <c r="G2" s="4" t="s">
        <v>7</v>
      </c>
      <c r="H2" s="4" t="s">
        <v>9</v>
      </c>
      <c r="I2" s="4" t="s">
        <v>10</v>
      </c>
      <c r="J2" s="6" t="s">
        <v>11</v>
      </c>
      <c r="K2" s="4" t="s">
        <v>12</v>
      </c>
      <c r="L2" s="4" t="s">
        <v>13</v>
      </c>
      <c r="M2" s="4" t="s">
        <v>14</v>
      </c>
      <c r="N2" s="4" t="s">
        <v>15</v>
      </c>
      <c r="O2" s="4" t="s">
        <v>16</v>
      </c>
      <c r="P2" s="4" t="s">
        <v>17</v>
      </c>
      <c r="Q2" s="4" t="s">
        <v>18</v>
      </c>
      <c r="R2" s="4" t="s">
        <v>19</v>
      </c>
      <c r="S2" s="4" t="s">
        <v>20</v>
      </c>
      <c r="T2" s="4" t="s">
        <v>21</v>
      </c>
      <c r="U2" s="4" t="s">
        <v>22</v>
      </c>
      <c r="V2" s="4" t="s">
        <v>23</v>
      </c>
      <c r="W2" s="4" t="s">
        <v>24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theme="4"/>
  </sheetPr>
  <dimension ref="A1:S932"/>
  <sheetViews>
    <sheetView tabSelected="1" workbookViewId="0">
      <selection activeCell="H12" sqref="H12"/>
    </sheetView>
  </sheetViews>
  <sheetFormatPr baseColWidth="12" defaultRowHeight="15" x14ac:dyDescent="0.15"/>
  <cols>
    <col min="9" max="9" width="12.83203125" customWidth="1"/>
    <col min="18" max="19" width="19" bestFit="1" customWidth="1"/>
  </cols>
  <sheetData>
    <row r="1" spans="1:19" x14ac:dyDescent="0.15">
      <c r="A1" s="4" t="s">
        <v>7</v>
      </c>
      <c r="B1" s="4" t="s">
        <v>9</v>
      </c>
      <c r="C1" s="7" t="s">
        <v>26</v>
      </c>
      <c r="D1" s="8" t="s">
        <v>30</v>
      </c>
      <c r="E1" s="6" t="s">
        <v>11</v>
      </c>
      <c r="F1" s="4" t="s">
        <v>13</v>
      </c>
      <c r="G1" s="13" t="s">
        <v>37</v>
      </c>
      <c r="H1" s="4" t="s">
        <v>22</v>
      </c>
      <c r="I1" s="4" t="s">
        <v>12</v>
      </c>
      <c r="J1" s="4" t="s">
        <v>14</v>
      </c>
      <c r="K1" s="4" t="s">
        <v>15</v>
      </c>
      <c r="L1" s="4" t="s">
        <v>16</v>
      </c>
      <c r="M1" s="4" t="s">
        <v>17</v>
      </c>
      <c r="N1" s="4" t="s">
        <v>18</v>
      </c>
      <c r="O1" s="4" t="s">
        <v>19</v>
      </c>
      <c r="P1" s="4" t="s">
        <v>20</v>
      </c>
      <c r="Q1" s="4" t="s">
        <v>21</v>
      </c>
      <c r="R1" s="4" t="s">
        <v>23</v>
      </c>
      <c r="S1" s="4" t="s">
        <v>24</v>
      </c>
    </row>
    <row r="2" spans="1:19" x14ac:dyDescent="0.15">
      <c r="A2" s="10">
        <v>20001</v>
      </c>
      <c r="B2" s="10">
        <v>1</v>
      </c>
      <c r="C2" s="10" t="str">
        <f>A2&amp; "_"&amp;B2</f>
        <v>20001_1</v>
      </c>
      <c r="D2" s="10" t="str">
        <f>VLOOKUP(C2,[1]stages!$A:$AE,31,FALSE)</f>
        <v>everyone</v>
      </c>
      <c r="E2" s="10">
        <v>1</v>
      </c>
      <c r="F2" s="10">
        <v>1700</v>
      </c>
      <c r="G2" s="10" t="str">
        <f>IF(I2="unit",VLOOKUP(F2,[2]characters!$A:$C,3,FALSE),"-")</f>
        <v>-</v>
      </c>
      <c r="H2" s="10">
        <v>200</v>
      </c>
      <c r="I2" s="10" t="s">
        <v>32</v>
      </c>
      <c r="J2" s="10" t="s">
        <v>33</v>
      </c>
      <c r="K2" s="10">
        <v>1</v>
      </c>
      <c r="L2" s="10">
        <v>1</v>
      </c>
      <c r="M2" s="10">
        <v>0</v>
      </c>
      <c r="N2" s="10">
        <v>0</v>
      </c>
      <c r="O2" s="10">
        <v>0</v>
      </c>
      <c r="P2" s="10">
        <v>0</v>
      </c>
      <c r="Q2" s="10">
        <v>1</v>
      </c>
      <c r="R2" s="10" t="s">
        <v>27</v>
      </c>
      <c r="S2" s="10" t="s">
        <v>28</v>
      </c>
    </row>
    <row r="3" spans="1:19" x14ac:dyDescent="0.15">
      <c r="A3" s="10">
        <v>20001</v>
      </c>
      <c r="B3" s="10">
        <v>1</v>
      </c>
      <c r="C3" s="10" t="str">
        <f t="shared" ref="C3:C6" si="0">A3&amp; "_"&amp;B3</f>
        <v>20001_1</v>
      </c>
      <c r="D3" s="10" t="str">
        <f>VLOOKUP(C3,[1]stages!$A:$AE,31,FALSE)</f>
        <v>everyone</v>
      </c>
      <c r="E3" s="10">
        <v>2</v>
      </c>
      <c r="F3" s="10">
        <v>20</v>
      </c>
      <c r="G3" s="10" t="str">
        <f>IF(I3="unit",VLOOKUP(F3,[2]characters!$A:$C,3,FALSE),"-")</f>
        <v>-</v>
      </c>
      <c r="H3" s="10">
        <v>200</v>
      </c>
      <c r="I3" s="10" t="s">
        <v>35</v>
      </c>
      <c r="J3" s="10" t="s">
        <v>33</v>
      </c>
      <c r="K3" s="10">
        <v>1</v>
      </c>
      <c r="L3" s="10">
        <v>1</v>
      </c>
      <c r="M3" s="10">
        <v>0</v>
      </c>
      <c r="N3" s="10">
        <v>0</v>
      </c>
      <c r="O3" s="10">
        <v>0</v>
      </c>
      <c r="P3" s="10">
        <v>0</v>
      </c>
      <c r="Q3" s="10">
        <v>1</v>
      </c>
      <c r="R3" s="10" t="s">
        <v>27</v>
      </c>
      <c r="S3" s="10" t="s">
        <v>28</v>
      </c>
    </row>
    <row r="4" spans="1:19" x14ac:dyDescent="0.15">
      <c r="A4" s="10">
        <v>20001</v>
      </c>
      <c r="B4" s="10">
        <v>1</v>
      </c>
      <c r="C4" s="10" t="str">
        <f t="shared" si="0"/>
        <v>20001_1</v>
      </c>
      <c r="D4" s="10" t="str">
        <f>VLOOKUP(C4,[1]stages!$A:$AE,31,FALSE)</f>
        <v>everyone</v>
      </c>
      <c r="E4" s="10">
        <v>3</v>
      </c>
      <c r="F4" s="10">
        <v>332</v>
      </c>
      <c r="G4" s="10" t="str">
        <f>IF(I4="unit",VLOOKUP(F4,[2]characters!$A:$C,3,FALSE),"-")</f>
        <v>炎のメタルピヨピヨ</v>
      </c>
      <c r="H4" s="10">
        <v>98</v>
      </c>
      <c r="I4" s="10" t="s">
        <v>36</v>
      </c>
      <c r="J4" s="10">
        <v>1</v>
      </c>
      <c r="K4" s="10">
        <v>1</v>
      </c>
      <c r="L4" s="10">
        <v>1</v>
      </c>
      <c r="M4" s="10">
        <v>0</v>
      </c>
      <c r="N4" s="10">
        <v>0</v>
      </c>
      <c r="O4" s="10">
        <v>0</v>
      </c>
      <c r="P4" s="10">
        <v>0</v>
      </c>
      <c r="Q4" s="10">
        <v>1</v>
      </c>
      <c r="R4" s="10" t="s">
        <v>27</v>
      </c>
      <c r="S4" s="10" t="s">
        <v>28</v>
      </c>
    </row>
    <row r="5" spans="1:19" x14ac:dyDescent="0.15">
      <c r="A5" s="10">
        <v>20001</v>
      </c>
      <c r="B5" s="10">
        <v>1</v>
      </c>
      <c r="C5" s="10" t="str">
        <f t="shared" si="0"/>
        <v>20001_1</v>
      </c>
      <c r="D5" s="10" t="str">
        <f>VLOOKUP(C5,[1]stages!$A:$AE,31,FALSE)</f>
        <v>everyone</v>
      </c>
      <c r="E5" s="10">
        <v>4</v>
      </c>
      <c r="F5" s="10">
        <v>333</v>
      </c>
      <c r="G5" s="10" t="str">
        <f>IF(I5="unit",VLOOKUP(F5,[2]characters!$A:$C,3,FALSE),"-")</f>
        <v>炎のメタルチック</v>
      </c>
      <c r="H5" s="10">
        <v>42</v>
      </c>
      <c r="I5" s="10" t="s">
        <v>36</v>
      </c>
      <c r="J5" s="10">
        <v>1</v>
      </c>
      <c r="K5" s="10">
        <v>1</v>
      </c>
      <c r="L5" s="10">
        <v>1</v>
      </c>
      <c r="M5" s="10">
        <v>0</v>
      </c>
      <c r="N5" s="10">
        <v>0</v>
      </c>
      <c r="O5" s="10">
        <v>0</v>
      </c>
      <c r="P5" s="10">
        <v>0</v>
      </c>
      <c r="Q5" s="10">
        <v>1</v>
      </c>
      <c r="R5" s="10" t="s">
        <v>27</v>
      </c>
      <c r="S5" s="10" t="s">
        <v>28</v>
      </c>
    </row>
    <row r="6" spans="1:19" x14ac:dyDescent="0.15">
      <c r="A6" s="10">
        <v>20001</v>
      </c>
      <c r="B6" s="10">
        <v>1</v>
      </c>
      <c r="C6" s="10" t="str">
        <f t="shared" si="0"/>
        <v>20001_1</v>
      </c>
      <c r="D6" s="10" t="str">
        <f>VLOOKUP(C6,[1]stages!$A:$AE,31,FALSE)</f>
        <v>everyone</v>
      </c>
      <c r="E6" s="10">
        <v>5</v>
      </c>
      <c r="F6" s="10">
        <v>121</v>
      </c>
      <c r="G6" s="10" t="str">
        <f>IF(I6="unit",VLOOKUP(F6,[2]characters!$A:$C,3,FALSE),"-")</f>
        <v>攻めの果実</v>
      </c>
      <c r="H6" s="10">
        <v>50</v>
      </c>
      <c r="I6" s="10" t="s">
        <v>36</v>
      </c>
      <c r="J6" s="10">
        <v>1</v>
      </c>
      <c r="K6" s="10">
        <v>1</v>
      </c>
      <c r="L6" s="10">
        <v>1</v>
      </c>
      <c r="M6" s="10">
        <v>0</v>
      </c>
      <c r="N6" s="10">
        <v>0</v>
      </c>
      <c r="O6" s="10">
        <v>0</v>
      </c>
      <c r="P6" s="10">
        <v>0</v>
      </c>
      <c r="Q6" s="10">
        <v>1</v>
      </c>
      <c r="R6" s="10" t="s">
        <v>27</v>
      </c>
      <c r="S6" s="10" t="s">
        <v>28</v>
      </c>
    </row>
    <row r="7" spans="1:19" x14ac:dyDescent="0.15">
      <c r="A7" s="10">
        <v>20001</v>
      </c>
      <c r="B7" s="10">
        <v>1</v>
      </c>
      <c r="C7" s="10" t="str">
        <f t="shared" ref="C7:C8" si="1">A7&amp; "_"&amp;B7</f>
        <v>20001_1</v>
      </c>
      <c r="D7" s="10" t="str">
        <f>VLOOKUP(C7,[1]stages!$A:$AE,31,FALSE)</f>
        <v>everyone</v>
      </c>
      <c r="E7" s="10">
        <v>6</v>
      </c>
      <c r="F7" s="10">
        <v>122</v>
      </c>
      <c r="G7" s="10" t="str">
        <f>IF(I7="unit",VLOOKUP(F7,[2]characters!$A:$C,3,FALSE),"-")</f>
        <v>生命の果実</v>
      </c>
      <c r="H7" s="10">
        <v>50</v>
      </c>
      <c r="I7" s="10" t="s">
        <v>36</v>
      </c>
      <c r="J7" s="10">
        <v>1</v>
      </c>
      <c r="K7" s="10">
        <v>1</v>
      </c>
      <c r="L7" s="10">
        <v>1</v>
      </c>
      <c r="M7" s="10">
        <v>0</v>
      </c>
      <c r="N7" s="10">
        <v>0</v>
      </c>
      <c r="O7" s="10">
        <v>0</v>
      </c>
      <c r="P7" s="10">
        <v>0</v>
      </c>
      <c r="Q7" s="10">
        <v>1</v>
      </c>
      <c r="R7" s="10" t="s">
        <v>27</v>
      </c>
      <c r="S7" s="10" t="s">
        <v>28</v>
      </c>
    </row>
    <row r="8" spans="1:19" x14ac:dyDescent="0.15">
      <c r="A8" s="10">
        <v>20001</v>
      </c>
      <c r="B8" s="10">
        <v>1</v>
      </c>
      <c r="C8" s="10" t="str">
        <f t="shared" si="1"/>
        <v>20001_1</v>
      </c>
      <c r="D8" s="10" t="str">
        <f>VLOOKUP(C8,[1]stages!$A:$AE,31,FALSE)</f>
        <v>everyone</v>
      </c>
      <c r="E8" s="10">
        <v>7</v>
      </c>
      <c r="F8" s="10">
        <v>123</v>
      </c>
      <c r="G8" s="10" t="str">
        <f>IF(I8="unit",VLOOKUP(F8,[2]characters!$A:$C,3,FALSE),"-")</f>
        <v>癒しの果実</v>
      </c>
      <c r="H8" s="10">
        <v>50</v>
      </c>
      <c r="I8" s="10" t="s">
        <v>36</v>
      </c>
      <c r="J8" s="10">
        <v>1</v>
      </c>
      <c r="K8" s="10">
        <v>1</v>
      </c>
      <c r="L8" s="10">
        <v>1</v>
      </c>
      <c r="M8" s="10">
        <v>0</v>
      </c>
      <c r="N8" s="10">
        <v>0</v>
      </c>
      <c r="O8" s="10">
        <v>0</v>
      </c>
      <c r="P8" s="10">
        <v>0</v>
      </c>
      <c r="Q8" s="10">
        <v>1</v>
      </c>
      <c r="R8" s="10" t="s">
        <v>27</v>
      </c>
      <c r="S8" s="10" t="s">
        <v>28</v>
      </c>
    </row>
    <row r="9" spans="1:19" x14ac:dyDescent="0.15">
      <c r="A9" s="10">
        <v>20001</v>
      </c>
      <c r="B9" s="10">
        <v>1</v>
      </c>
      <c r="C9" s="10" t="str">
        <f t="shared" ref="C9" si="2">A9&amp; "_"&amp;B9</f>
        <v>20001_1</v>
      </c>
      <c r="D9" s="10" t="str">
        <f>VLOOKUP(C9,[1]stages!$A:$AE,31,FALSE)</f>
        <v>everyone</v>
      </c>
      <c r="E9" s="10">
        <v>8</v>
      </c>
      <c r="F9" s="10">
        <v>125</v>
      </c>
      <c r="G9" s="10" t="str">
        <f>IF(I9="unit",VLOOKUP(F9,[2]characters!$A:$C,3,FALSE),"-")</f>
        <v>秘術の果実</v>
      </c>
      <c r="H9" s="10">
        <v>10</v>
      </c>
      <c r="I9" s="10" t="s">
        <v>36</v>
      </c>
      <c r="J9" s="10">
        <v>1</v>
      </c>
      <c r="K9" s="10">
        <v>1</v>
      </c>
      <c r="L9" s="10">
        <v>1</v>
      </c>
      <c r="M9" s="10">
        <v>0</v>
      </c>
      <c r="N9" s="10">
        <v>0</v>
      </c>
      <c r="O9" s="10">
        <v>0</v>
      </c>
      <c r="P9" s="10">
        <v>0</v>
      </c>
      <c r="Q9" s="10">
        <v>1</v>
      </c>
      <c r="R9" s="10" t="s">
        <v>27</v>
      </c>
      <c r="S9" s="10" t="s">
        <v>28</v>
      </c>
    </row>
    <row r="10" spans="1:19" x14ac:dyDescent="0.15">
      <c r="A10" s="10">
        <v>20001</v>
      </c>
      <c r="B10" s="10">
        <v>1</v>
      </c>
      <c r="C10" s="10" t="str">
        <f t="shared" ref="C10" si="3">A10&amp; "_"&amp;B10</f>
        <v>20001_1</v>
      </c>
      <c r="D10" s="10" t="str">
        <f>VLOOKUP(C10,[1]stages!$A:$AE,31,FALSE)</f>
        <v>everyone</v>
      </c>
      <c r="E10" s="10">
        <v>9</v>
      </c>
      <c r="F10" s="10">
        <v>262</v>
      </c>
      <c r="G10" s="10" t="str">
        <f>IF(I10="unit",VLOOKUP(F10,[2]characters!$A:$C,3,FALSE),"-")</f>
        <v>アシュリー</v>
      </c>
      <c r="H10" s="10">
        <v>200</v>
      </c>
      <c r="I10" s="10" t="s">
        <v>36</v>
      </c>
      <c r="J10" s="10">
        <v>1</v>
      </c>
      <c r="K10" s="10">
        <v>1</v>
      </c>
      <c r="L10" s="10">
        <v>1</v>
      </c>
      <c r="M10" s="10">
        <v>0</v>
      </c>
      <c r="N10" s="10">
        <v>0</v>
      </c>
      <c r="O10" s="10">
        <v>0</v>
      </c>
      <c r="P10" s="10">
        <v>0</v>
      </c>
      <c r="Q10" s="10">
        <v>1</v>
      </c>
      <c r="R10" s="10" t="s">
        <v>27</v>
      </c>
      <c r="S10" s="10" t="s">
        <v>28</v>
      </c>
    </row>
    <row r="11" spans="1:19" x14ac:dyDescent="0.15">
      <c r="A11" s="10">
        <v>20001</v>
      </c>
      <c r="B11" s="10">
        <v>1</v>
      </c>
      <c r="C11" s="10" t="str">
        <f t="shared" ref="C11" si="4">A11&amp; "_"&amp;B11</f>
        <v>20001_1</v>
      </c>
      <c r="D11" s="10" t="str">
        <f>VLOOKUP(C11,[1]stages!$A:$AE,31,FALSE)</f>
        <v>everyone</v>
      </c>
      <c r="E11" s="10">
        <v>10</v>
      </c>
      <c r="F11" s="10">
        <v>348</v>
      </c>
      <c r="G11" s="10" t="str">
        <f>IF(I11="unit",VLOOKUP(F11,[2]characters!$A:$C,3,FALSE),"-")</f>
        <v>炎のケロケロ</v>
      </c>
      <c r="H11" s="10">
        <v>100</v>
      </c>
      <c r="I11" s="10" t="s">
        <v>36</v>
      </c>
      <c r="J11" s="10">
        <v>1</v>
      </c>
      <c r="K11" s="10">
        <v>1</v>
      </c>
      <c r="L11" s="10">
        <v>1</v>
      </c>
      <c r="M11" s="10">
        <v>0</v>
      </c>
      <c r="N11" s="10">
        <v>0</v>
      </c>
      <c r="O11" s="10">
        <v>0</v>
      </c>
      <c r="P11" s="10">
        <v>0</v>
      </c>
      <c r="Q11" s="10">
        <v>1</v>
      </c>
      <c r="R11" s="10" t="s">
        <v>27</v>
      </c>
      <c r="S11" s="10" t="s">
        <v>28</v>
      </c>
    </row>
    <row r="12" spans="1:19" x14ac:dyDescent="0.15">
      <c r="A12" s="10">
        <v>20001</v>
      </c>
      <c r="B12" s="10">
        <v>2</v>
      </c>
      <c r="C12" s="10" t="str">
        <f>A12&amp; "_"&amp;B12</f>
        <v>20001_2</v>
      </c>
      <c r="D12" s="10" t="str">
        <f>VLOOKUP(C12,[1]stages!$A:$AE,31,FALSE)</f>
        <v>everyone</v>
      </c>
      <c r="E12" s="10">
        <v>11</v>
      </c>
      <c r="F12" s="10">
        <v>3200</v>
      </c>
      <c r="G12" s="10" t="str">
        <f>IF(I12="unit",VLOOKUP(F12,[2]characters!$A:$C,3,FALSE),"-")</f>
        <v>-</v>
      </c>
      <c r="H12" s="10">
        <v>200</v>
      </c>
      <c r="I12" s="10" t="s">
        <v>32</v>
      </c>
      <c r="J12" s="10" t="s">
        <v>33</v>
      </c>
      <c r="K12" s="10">
        <v>1</v>
      </c>
      <c r="L12" s="10">
        <v>1</v>
      </c>
      <c r="M12" s="10">
        <v>0</v>
      </c>
      <c r="N12" s="10">
        <v>0</v>
      </c>
      <c r="O12" s="10">
        <v>0</v>
      </c>
      <c r="P12" s="10">
        <v>0</v>
      </c>
      <c r="Q12" s="10">
        <v>1</v>
      </c>
      <c r="R12" s="10" t="s">
        <v>27</v>
      </c>
      <c r="S12" s="10" t="s">
        <v>28</v>
      </c>
    </row>
    <row r="13" spans="1:19" x14ac:dyDescent="0.15">
      <c r="A13" s="10">
        <v>20001</v>
      </c>
      <c r="B13" s="10">
        <v>2</v>
      </c>
      <c r="C13" s="10" t="str">
        <f t="shared" ref="C13:C21" si="5">A13&amp; "_"&amp;B13</f>
        <v>20001_2</v>
      </c>
      <c r="D13" s="10" t="str">
        <f>VLOOKUP(C13,[1]stages!$A:$AE,31,FALSE)</f>
        <v>everyone</v>
      </c>
      <c r="E13" s="10">
        <v>12</v>
      </c>
      <c r="F13" s="10">
        <v>20</v>
      </c>
      <c r="G13" s="10" t="str">
        <f>IF(I13="unit",VLOOKUP(F13,[2]characters!$A:$C,3,FALSE),"-")</f>
        <v>-</v>
      </c>
      <c r="H13" s="10">
        <v>150</v>
      </c>
      <c r="I13" s="10" t="s">
        <v>35</v>
      </c>
      <c r="J13" s="10" t="s">
        <v>33</v>
      </c>
      <c r="K13" s="10">
        <v>1</v>
      </c>
      <c r="L13" s="10">
        <v>1</v>
      </c>
      <c r="M13" s="10">
        <v>0</v>
      </c>
      <c r="N13" s="10">
        <v>0</v>
      </c>
      <c r="O13" s="10">
        <v>0</v>
      </c>
      <c r="P13" s="10">
        <v>0</v>
      </c>
      <c r="Q13" s="10">
        <v>1</v>
      </c>
      <c r="R13" s="10" t="s">
        <v>27</v>
      </c>
      <c r="S13" s="10" t="s">
        <v>28</v>
      </c>
    </row>
    <row r="14" spans="1:19" x14ac:dyDescent="0.15">
      <c r="A14" s="10">
        <v>20001</v>
      </c>
      <c r="B14" s="10">
        <v>2</v>
      </c>
      <c r="C14" s="10" t="str">
        <f t="shared" si="5"/>
        <v>20001_2</v>
      </c>
      <c r="D14" s="10" t="str">
        <f>VLOOKUP(C14,[1]stages!$A:$AE,31,FALSE)</f>
        <v>everyone</v>
      </c>
      <c r="E14" s="10">
        <v>13</v>
      </c>
      <c r="F14" s="10">
        <v>332</v>
      </c>
      <c r="G14" s="10" t="str">
        <f>IF(I14="unit",VLOOKUP(F14,[2]characters!$A:$C,3,FALSE),"-")</f>
        <v>炎のメタルピヨピヨ</v>
      </c>
      <c r="H14" s="10">
        <v>70</v>
      </c>
      <c r="I14" s="10" t="s">
        <v>36</v>
      </c>
      <c r="J14" s="10">
        <v>1</v>
      </c>
      <c r="K14" s="10">
        <v>1</v>
      </c>
      <c r="L14" s="10">
        <v>1</v>
      </c>
      <c r="M14" s="10">
        <v>0</v>
      </c>
      <c r="N14" s="10">
        <v>0</v>
      </c>
      <c r="O14" s="10">
        <v>0</v>
      </c>
      <c r="P14" s="10">
        <v>0</v>
      </c>
      <c r="Q14" s="10">
        <v>1</v>
      </c>
      <c r="R14" s="10" t="s">
        <v>27</v>
      </c>
      <c r="S14" s="10" t="s">
        <v>28</v>
      </c>
    </row>
    <row r="15" spans="1:19" x14ac:dyDescent="0.15">
      <c r="A15" s="10">
        <v>20001</v>
      </c>
      <c r="B15" s="10">
        <v>2</v>
      </c>
      <c r="C15" s="10" t="str">
        <f t="shared" si="5"/>
        <v>20001_2</v>
      </c>
      <c r="D15" s="10" t="str">
        <f>VLOOKUP(C15,[1]stages!$A:$AE,31,FALSE)</f>
        <v>everyone</v>
      </c>
      <c r="E15" s="10">
        <v>14</v>
      </c>
      <c r="F15" s="10">
        <v>333</v>
      </c>
      <c r="G15" s="10" t="str">
        <f>IF(I15="unit",VLOOKUP(F15,[2]characters!$A:$C,3,FALSE),"-")</f>
        <v>炎のメタルチック</v>
      </c>
      <c r="H15" s="10">
        <v>70</v>
      </c>
      <c r="I15" s="10" t="s">
        <v>36</v>
      </c>
      <c r="J15" s="10">
        <v>1</v>
      </c>
      <c r="K15" s="10">
        <v>1</v>
      </c>
      <c r="L15" s="10">
        <v>1</v>
      </c>
      <c r="M15" s="10">
        <v>0</v>
      </c>
      <c r="N15" s="10">
        <v>0</v>
      </c>
      <c r="O15" s="10">
        <v>0</v>
      </c>
      <c r="P15" s="10">
        <v>0</v>
      </c>
      <c r="Q15" s="10">
        <v>1</v>
      </c>
      <c r="R15" s="10" t="s">
        <v>27</v>
      </c>
      <c r="S15" s="10" t="s">
        <v>28</v>
      </c>
    </row>
    <row r="16" spans="1:19" x14ac:dyDescent="0.15">
      <c r="A16" s="10">
        <v>20001</v>
      </c>
      <c r="B16" s="10">
        <v>2</v>
      </c>
      <c r="C16" s="10" t="str">
        <f t="shared" si="5"/>
        <v>20001_2</v>
      </c>
      <c r="D16" s="10" t="str">
        <f>VLOOKUP(C16,[1]stages!$A:$AE,31,FALSE)</f>
        <v>everyone</v>
      </c>
      <c r="E16" s="10">
        <v>15</v>
      </c>
      <c r="F16" s="10">
        <v>121</v>
      </c>
      <c r="G16" s="10" t="str">
        <f>IF(I16="unit",VLOOKUP(F16,[2]characters!$A:$C,3,FALSE),"-")</f>
        <v>攻めの果実</v>
      </c>
      <c r="H16" s="10">
        <v>50</v>
      </c>
      <c r="I16" s="10" t="s">
        <v>36</v>
      </c>
      <c r="J16" s="10">
        <v>1</v>
      </c>
      <c r="K16" s="10">
        <v>1</v>
      </c>
      <c r="L16" s="10">
        <v>1</v>
      </c>
      <c r="M16" s="10">
        <v>0</v>
      </c>
      <c r="N16" s="10">
        <v>0</v>
      </c>
      <c r="O16" s="10">
        <v>0</v>
      </c>
      <c r="P16" s="10">
        <v>0</v>
      </c>
      <c r="Q16" s="10">
        <v>1</v>
      </c>
      <c r="R16" s="10" t="s">
        <v>27</v>
      </c>
      <c r="S16" s="10" t="s">
        <v>28</v>
      </c>
    </row>
    <row r="17" spans="1:19" x14ac:dyDescent="0.15">
      <c r="A17" s="10">
        <v>20001</v>
      </c>
      <c r="B17" s="10">
        <v>2</v>
      </c>
      <c r="C17" s="10" t="str">
        <f t="shared" si="5"/>
        <v>20001_2</v>
      </c>
      <c r="D17" s="10" t="str">
        <f>VLOOKUP(C17,[1]stages!$A:$AE,31,FALSE)</f>
        <v>everyone</v>
      </c>
      <c r="E17" s="10">
        <v>16</v>
      </c>
      <c r="F17" s="10">
        <v>122</v>
      </c>
      <c r="G17" s="10" t="str">
        <f>IF(I17="unit",VLOOKUP(F17,[2]characters!$A:$C,3,FALSE),"-")</f>
        <v>生命の果実</v>
      </c>
      <c r="H17" s="10">
        <v>50</v>
      </c>
      <c r="I17" s="10" t="s">
        <v>36</v>
      </c>
      <c r="J17" s="10">
        <v>1</v>
      </c>
      <c r="K17" s="10">
        <v>1</v>
      </c>
      <c r="L17" s="10">
        <v>1</v>
      </c>
      <c r="M17" s="10">
        <v>0</v>
      </c>
      <c r="N17" s="10">
        <v>0</v>
      </c>
      <c r="O17" s="10">
        <v>0</v>
      </c>
      <c r="P17" s="10">
        <v>0</v>
      </c>
      <c r="Q17" s="10">
        <v>1</v>
      </c>
      <c r="R17" s="10" t="s">
        <v>27</v>
      </c>
      <c r="S17" s="10" t="s">
        <v>28</v>
      </c>
    </row>
    <row r="18" spans="1:19" x14ac:dyDescent="0.15">
      <c r="A18" s="10">
        <v>20001</v>
      </c>
      <c r="B18" s="10">
        <v>2</v>
      </c>
      <c r="C18" s="10" t="str">
        <f t="shared" si="5"/>
        <v>20001_2</v>
      </c>
      <c r="D18" s="10" t="str">
        <f>VLOOKUP(C18,[1]stages!$A:$AE,31,FALSE)</f>
        <v>everyone</v>
      </c>
      <c r="E18" s="10">
        <v>17</v>
      </c>
      <c r="F18" s="10">
        <v>123</v>
      </c>
      <c r="G18" s="10" t="str">
        <f>IF(I18="unit",VLOOKUP(F18,[2]characters!$A:$C,3,FALSE),"-")</f>
        <v>癒しの果実</v>
      </c>
      <c r="H18" s="10">
        <v>50</v>
      </c>
      <c r="I18" s="10" t="s">
        <v>36</v>
      </c>
      <c r="J18" s="10">
        <v>1</v>
      </c>
      <c r="K18" s="10">
        <v>1</v>
      </c>
      <c r="L18" s="10">
        <v>1</v>
      </c>
      <c r="M18" s="10">
        <v>0</v>
      </c>
      <c r="N18" s="10">
        <v>0</v>
      </c>
      <c r="O18" s="10">
        <v>0</v>
      </c>
      <c r="P18" s="10">
        <v>0</v>
      </c>
      <c r="Q18" s="10">
        <v>1</v>
      </c>
      <c r="R18" s="10" t="s">
        <v>27</v>
      </c>
      <c r="S18" s="10" t="s">
        <v>28</v>
      </c>
    </row>
    <row r="19" spans="1:19" x14ac:dyDescent="0.15">
      <c r="A19" s="10">
        <v>20001</v>
      </c>
      <c r="B19" s="10">
        <v>2</v>
      </c>
      <c r="C19" s="10" t="str">
        <f t="shared" si="5"/>
        <v>20001_2</v>
      </c>
      <c r="D19" s="10" t="str">
        <f>VLOOKUP(C19,[1]stages!$A:$AE,31,FALSE)</f>
        <v>everyone</v>
      </c>
      <c r="E19" s="10">
        <v>18</v>
      </c>
      <c r="F19" s="10">
        <v>125</v>
      </c>
      <c r="G19" s="10" t="str">
        <f>IF(I19="unit",VLOOKUP(F19,[2]characters!$A:$C,3,FALSE),"-")</f>
        <v>秘術の果実</v>
      </c>
      <c r="H19" s="10">
        <v>10</v>
      </c>
      <c r="I19" s="10" t="s">
        <v>36</v>
      </c>
      <c r="J19" s="10">
        <v>1</v>
      </c>
      <c r="K19" s="10">
        <v>1</v>
      </c>
      <c r="L19" s="10">
        <v>1</v>
      </c>
      <c r="M19" s="10">
        <v>0</v>
      </c>
      <c r="N19" s="10">
        <v>0</v>
      </c>
      <c r="O19" s="10">
        <v>0</v>
      </c>
      <c r="P19" s="10">
        <v>0</v>
      </c>
      <c r="Q19" s="10">
        <v>1</v>
      </c>
      <c r="R19" s="10" t="s">
        <v>27</v>
      </c>
      <c r="S19" s="10" t="s">
        <v>28</v>
      </c>
    </row>
    <row r="20" spans="1:19" x14ac:dyDescent="0.15">
      <c r="A20" s="10">
        <v>20001</v>
      </c>
      <c r="B20" s="10">
        <v>2</v>
      </c>
      <c r="C20" s="10" t="str">
        <f t="shared" si="5"/>
        <v>20001_2</v>
      </c>
      <c r="D20" s="10" t="str">
        <f>VLOOKUP(C20,[1]stages!$A:$AE,31,FALSE)</f>
        <v>everyone</v>
      </c>
      <c r="E20" s="10">
        <v>19</v>
      </c>
      <c r="F20" s="10">
        <v>262</v>
      </c>
      <c r="G20" s="10" t="str">
        <f>IF(I20="unit",VLOOKUP(F20,[2]characters!$A:$C,3,FALSE),"-")</f>
        <v>アシュリー</v>
      </c>
      <c r="H20" s="10">
        <v>250</v>
      </c>
      <c r="I20" s="10" t="s">
        <v>36</v>
      </c>
      <c r="J20" s="10">
        <v>1</v>
      </c>
      <c r="K20" s="10">
        <v>1</v>
      </c>
      <c r="L20" s="10">
        <v>1</v>
      </c>
      <c r="M20" s="10">
        <v>0</v>
      </c>
      <c r="N20" s="10">
        <v>0</v>
      </c>
      <c r="O20" s="10">
        <v>0</v>
      </c>
      <c r="P20" s="10">
        <v>0</v>
      </c>
      <c r="Q20" s="10">
        <v>1</v>
      </c>
      <c r="R20" s="10" t="s">
        <v>27</v>
      </c>
      <c r="S20" s="10" t="s">
        <v>28</v>
      </c>
    </row>
    <row r="21" spans="1:19" x14ac:dyDescent="0.15">
      <c r="A21" s="10">
        <v>20001</v>
      </c>
      <c r="B21" s="10">
        <v>2</v>
      </c>
      <c r="C21" s="10" t="str">
        <f t="shared" si="5"/>
        <v>20001_2</v>
      </c>
      <c r="D21" s="10" t="str">
        <f>VLOOKUP(C21,[1]stages!$A:$AE,31,FALSE)</f>
        <v>everyone</v>
      </c>
      <c r="E21" s="10">
        <v>20</v>
      </c>
      <c r="F21" s="10">
        <v>348</v>
      </c>
      <c r="G21" s="10" t="str">
        <f>IF(I21="unit",VLOOKUP(F21,[2]characters!$A:$C,3,FALSE),"-")</f>
        <v>炎のケロケロ</v>
      </c>
      <c r="H21" s="10">
        <v>100</v>
      </c>
      <c r="I21" s="10" t="s">
        <v>36</v>
      </c>
      <c r="J21" s="10">
        <v>1</v>
      </c>
      <c r="K21" s="10">
        <v>1</v>
      </c>
      <c r="L21" s="10">
        <v>1</v>
      </c>
      <c r="M21" s="10">
        <v>0</v>
      </c>
      <c r="N21" s="10">
        <v>0</v>
      </c>
      <c r="O21" s="10">
        <v>0</v>
      </c>
      <c r="P21" s="10">
        <v>0</v>
      </c>
      <c r="Q21" s="10">
        <v>1</v>
      </c>
      <c r="R21" s="10" t="s">
        <v>27</v>
      </c>
      <c r="S21" s="10" t="s">
        <v>28</v>
      </c>
    </row>
    <row r="22" spans="1:19" x14ac:dyDescent="0.15">
      <c r="A22" s="10">
        <v>20001</v>
      </c>
      <c r="B22" s="10">
        <v>3</v>
      </c>
      <c r="C22" s="10" t="str">
        <f>A22&amp; "_"&amp;B22</f>
        <v>20001_3</v>
      </c>
      <c r="D22" s="10" t="str">
        <f>VLOOKUP(C22,[1]stages!$A:$AE,31,FALSE)</f>
        <v>everyone</v>
      </c>
      <c r="E22" s="10">
        <v>21</v>
      </c>
      <c r="F22" s="10">
        <v>5000</v>
      </c>
      <c r="G22" s="10" t="str">
        <f>IF(I22="unit",VLOOKUP(F22,[2]characters!$A:$C,3,FALSE),"-")</f>
        <v>-</v>
      </c>
      <c r="H22" s="10">
        <v>100</v>
      </c>
      <c r="I22" s="10" t="s">
        <v>32</v>
      </c>
      <c r="J22" s="10" t="s">
        <v>33</v>
      </c>
      <c r="K22" s="10">
        <v>1</v>
      </c>
      <c r="L22" s="10">
        <v>1</v>
      </c>
      <c r="M22" s="10">
        <v>0</v>
      </c>
      <c r="N22" s="10">
        <v>0</v>
      </c>
      <c r="O22" s="10">
        <v>0</v>
      </c>
      <c r="P22" s="10">
        <v>0</v>
      </c>
      <c r="Q22" s="10">
        <v>1</v>
      </c>
      <c r="R22" s="10" t="s">
        <v>27</v>
      </c>
      <c r="S22" s="10" t="s">
        <v>28</v>
      </c>
    </row>
    <row r="23" spans="1:19" x14ac:dyDescent="0.15">
      <c r="A23" s="10">
        <v>20001</v>
      </c>
      <c r="B23" s="10">
        <v>3</v>
      </c>
      <c r="C23" s="10" t="str">
        <f t="shared" ref="C23:C32" si="6">A23&amp; "_"&amp;B23</f>
        <v>20001_3</v>
      </c>
      <c r="D23" s="10" t="str">
        <f>VLOOKUP(C23,[1]stages!$A:$AE,31,FALSE)</f>
        <v>everyone</v>
      </c>
      <c r="E23" s="10">
        <v>22</v>
      </c>
      <c r="F23" s="10">
        <v>25</v>
      </c>
      <c r="G23" s="10" t="str">
        <f>IF(I23="unit",VLOOKUP(F23,[2]characters!$A:$C,3,FALSE),"-")</f>
        <v>-</v>
      </c>
      <c r="H23" s="10">
        <v>100</v>
      </c>
      <c r="I23" s="10" t="s">
        <v>35</v>
      </c>
      <c r="J23" s="10" t="s">
        <v>33</v>
      </c>
      <c r="K23" s="10">
        <v>1</v>
      </c>
      <c r="L23" s="10">
        <v>1</v>
      </c>
      <c r="M23" s="10">
        <v>0</v>
      </c>
      <c r="N23" s="10">
        <v>0</v>
      </c>
      <c r="O23" s="10">
        <v>0</v>
      </c>
      <c r="P23" s="10">
        <v>0</v>
      </c>
      <c r="Q23" s="10">
        <v>1</v>
      </c>
      <c r="R23" s="10" t="s">
        <v>27</v>
      </c>
      <c r="S23" s="10" t="s">
        <v>28</v>
      </c>
    </row>
    <row r="24" spans="1:19" x14ac:dyDescent="0.15">
      <c r="A24" s="10">
        <v>20001</v>
      </c>
      <c r="B24" s="10">
        <v>3</v>
      </c>
      <c r="C24" s="10" t="str">
        <f t="shared" si="6"/>
        <v>20001_3</v>
      </c>
      <c r="D24" s="10" t="str">
        <f>VLOOKUP(C24,[1]stages!$A:$AE,31,FALSE)</f>
        <v>everyone</v>
      </c>
      <c r="E24" s="10">
        <v>23</v>
      </c>
      <c r="F24" s="10">
        <v>332</v>
      </c>
      <c r="G24" s="10" t="str">
        <f>IF(I24="unit",VLOOKUP(F24,[2]characters!$A:$C,3,FALSE),"-")</f>
        <v>炎のメタルピヨピヨ</v>
      </c>
      <c r="H24" s="10">
        <v>56</v>
      </c>
      <c r="I24" s="10" t="s">
        <v>36</v>
      </c>
      <c r="J24" s="10">
        <v>1</v>
      </c>
      <c r="K24" s="10">
        <v>1</v>
      </c>
      <c r="L24" s="10">
        <v>1</v>
      </c>
      <c r="M24" s="10">
        <v>0</v>
      </c>
      <c r="N24" s="10">
        <v>0</v>
      </c>
      <c r="O24" s="10">
        <v>0</v>
      </c>
      <c r="P24" s="10">
        <v>0</v>
      </c>
      <c r="Q24" s="10">
        <v>1</v>
      </c>
      <c r="R24" s="10" t="s">
        <v>27</v>
      </c>
      <c r="S24" s="10" t="s">
        <v>28</v>
      </c>
    </row>
    <row r="25" spans="1:19" x14ac:dyDescent="0.15">
      <c r="A25" s="10">
        <v>20001</v>
      </c>
      <c r="B25" s="10">
        <v>3</v>
      </c>
      <c r="C25" s="10" t="str">
        <f t="shared" si="6"/>
        <v>20001_3</v>
      </c>
      <c r="D25" s="10" t="str">
        <f>VLOOKUP(C25,[1]stages!$A:$AE,31,FALSE)</f>
        <v>everyone</v>
      </c>
      <c r="E25" s="10">
        <v>24</v>
      </c>
      <c r="F25" s="10">
        <v>333</v>
      </c>
      <c r="G25" s="10" t="str">
        <f>IF(I25="unit",VLOOKUP(F25,[2]characters!$A:$C,3,FALSE),"-")</f>
        <v>炎のメタルチック</v>
      </c>
      <c r="H25" s="10">
        <v>56</v>
      </c>
      <c r="I25" s="10" t="s">
        <v>36</v>
      </c>
      <c r="J25" s="10">
        <v>1</v>
      </c>
      <c r="K25" s="10">
        <v>1</v>
      </c>
      <c r="L25" s="10">
        <v>1</v>
      </c>
      <c r="M25" s="10">
        <v>0</v>
      </c>
      <c r="N25" s="10">
        <v>0</v>
      </c>
      <c r="O25" s="10">
        <v>0</v>
      </c>
      <c r="P25" s="10">
        <v>0</v>
      </c>
      <c r="Q25" s="10">
        <v>1</v>
      </c>
      <c r="R25" s="10" t="s">
        <v>27</v>
      </c>
      <c r="S25" s="10" t="s">
        <v>28</v>
      </c>
    </row>
    <row r="26" spans="1:19" x14ac:dyDescent="0.15">
      <c r="A26" s="10">
        <v>20001</v>
      </c>
      <c r="B26" s="10">
        <v>3</v>
      </c>
      <c r="C26" s="10" t="str">
        <f t="shared" ref="C26" si="7">A26&amp; "_"&amp;B26</f>
        <v>20001_3</v>
      </c>
      <c r="D26" s="10" t="str">
        <f>VLOOKUP(C26,[1]stages!$A:$AE,31,FALSE)</f>
        <v>everyone</v>
      </c>
      <c r="E26" s="10">
        <v>25</v>
      </c>
      <c r="F26" s="10">
        <v>334</v>
      </c>
      <c r="G26" s="10" t="str">
        <f>IF(I26="unit",VLOOKUP(F26,[2]characters!$A:$C,3,FALSE),"-")</f>
        <v>炎のメタルダック</v>
      </c>
      <c r="H26" s="10">
        <v>28</v>
      </c>
      <c r="I26" s="10" t="s">
        <v>36</v>
      </c>
      <c r="J26" s="10">
        <v>1</v>
      </c>
      <c r="K26" s="10">
        <v>1</v>
      </c>
      <c r="L26" s="10">
        <v>1</v>
      </c>
      <c r="M26" s="10">
        <v>0</v>
      </c>
      <c r="N26" s="10">
        <v>0</v>
      </c>
      <c r="O26" s="10">
        <v>0</v>
      </c>
      <c r="P26" s="10">
        <v>0</v>
      </c>
      <c r="Q26" s="10">
        <v>1</v>
      </c>
      <c r="R26" s="10" t="s">
        <v>27</v>
      </c>
      <c r="S26" s="10" t="s">
        <v>28</v>
      </c>
    </row>
    <row r="27" spans="1:19" x14ac:dyDescent="0.15">
      <c r="A27" s="10">
        <v>20001</v>
      </c>
      <c r="B27" s="10">
        <v>3</v>
      </c>
      <c r="C27" s="10" t="str">
        <f t="shared" si="6"/>
        <v>20001_3</v>
      </c>
      <c r="D27" s="10" t="str">
        <f>VLOOKUP(C27,[1]stages!$A:$AE,31,FALSE)</f>
        <v>everyone</v>
      </c>
      <c r="E27" s="10">
        <v>26</v>
      </c>
      <c r="F27" s="10">
        <v>121</v>
      </c>
      <c r="G27" s="10" t="str">
        <f>IF(I27="unit",VLOOKUP(F27,[2]characters!$A:$C,3,FALSE),"-")</f>
        <v>攻めの果実</v>
      </c>
      <c r="H27" s="10">
        <v>50</v>
      </c>
      <c r="I27" s="10" t="s">
        <v>36</v>
      </c>
      <c r="J27" s="10">
        <v>1</v>
      </c>
      <c r="K27" s="10">
        <v>1</v>
      </c>
      <c r="L27" s="10">
        <v>1</v>
      </c>
      <c r="M27" s="10">
        <v>0</v>
      </c>
      <c r="N27" s="10">
        <v>0</v>
      </c>
      <c r="O27" s="10">
        <v>0</v>
      </c>
      <c r="P27" s="10">
        <v>0</v>
      </c>
      <c r="Q27" s="10">
        <v>1</v>
      </c>
      <c r="R27" s="10" t="s">
        <v>27</v>
      </c>
      <c r="S27" s="10" t="s">
        <v>28</v>
      </c>
    </row>
    <row r="28" spans="1:19" x14ac:dyDescent="0.15">
      <c r="A28" s="10">
        <v>20001</v>
      </c>
      <c r="B28" s="10">
        <v>3</v>
      </c>
      <c r="C28" s="10" t="str">
        <f t="shared" si="6"/>
        <v>20001_3</v>
      </c>
      <c r="D28" s="10" t="str">
        <f>VLOOKUP(C28,[1]stages!$A:$AE,31,FALSE)</f>
        <v>everyone</v>
      </c>
      <c r="E28" s="10">
        <v>27</v>
      </c>
      <c r="F28" s="10">
        <v>122</v>
      </c>
      <c r="G28" s="10" t="str">
        <f>IF(I28="unit",VLOOKUP(F28,[2]characters!$A:$C,3,FALSE),"-")</f>
        <v>生命の果実</v>
      </c>
      <c r="H28" s="10">
        <v>50</v>
      </c>
      <c r="I28" s="10" t="s">
        <v>36</v>
      </c>
      <c r="J28" s="10">
        <v>1</v>
      </c>
      <c r="K28" s="10">
        <v>1</v>
      </c>
      <c r="L28" s="10">
        <v>1</v>
      </c>
      <c r="M28" s="10">
        <v>0</v>
      </c>
      <c r="N28" s="10">
        <v>0</v>
      </c>
      <c r="O28" s="10">
        <v>0</v>
      </c>
      <c r="P28" s="10">
        <v>0</v>
      </c>
      <c r="Q28" s="10">
        <v>1</v>
      </c>
      <c r="R28" s="10" t="s">
        <v>27</v>
      </c>
      <c r="S28" s="10" t="s">
        <v>28</v>
      </c>
    </row>
    <row r="29" spans="1:19" x14ac:dyDescent="0.15">
      <c r="A29" s="10">
        <v>20001</v>
      </c>
      <c r="B29" s="10">
        <v>3</v>
      </c>
      <c r="C29" s="10" t="str">
        <f t="shared" si="6"/>
        <v>20001_3</v>
      </c>
      <c r="D29" s="10" t="str">
        <f>VLOOKUP(C29,[1]stages!$A:$AE,31,FALSE)</f>
        <v>everyone</v>
      </c>
      <c r="E29" s="10">
        <v>28</v>
      </c>
      <c r="F29" s="10">
        <v>123</v>
      </c>
      <c r="G29" s="10" t="str">
        <f>IF(I29="unit",VLOOKUP(F29,[2]characters!$A:$C,3,FALSE),"-")</f>
        <v>癒しの果実</v>
      </c>
      <c r="H29" s="10">
        <v>50</v>
      </c>
      <c r="I29" s="10" t="s">
        <v>36</v>
      </c>
      <c r="J29" s="10">
        <v>1</v>
      </c>
      <c r="K29" s="10">
        <v>1</v>
      </c>
      <c r="L29" s="10">
        <v>1</v>
      </c>
      <c r="M29" s="10">
        <v>0</v>
      </c>
      <c r="N29" s="10">
        <v>0</v>
      </c>
      <c r="O29" s="10">
        <v>0</v>
      </c>
      <c r="P29" s="10">
        <v>0</v>
      </c>
      <c r="Q29" s="10">
        <v>1</v>
      </c>
      <c r="R29" s="10" t="s">
        <v>27</v>
      </c>
      <c r="S29" s="10" t="s">
        <v>28</v>
      </c>
    </row>
    <row r="30" spans="1:19" x14ac:dyDescent="0.15">
      <c r="A30" s="10">
        <v>20001</v>
      </c>
      <c r="B30" s="10">
        <v>3</v>
      </c>
      <c r="C30" s="10" t="str">
        <f t="shared" si="6"/>
        <v>20001_3</v>
      </c>
      <c r="D30" s="10" t="str">
        <f>VLOOKUP(C30,[1]stages!$A:$AE,31,FALSE)</f>
        <v>everyone</v>
      </c>
      <c r="E30" s="10">
        <v>29</v>
      </c>
      <c r="F30" s="10">
        <v>125</v>
      </c>
      <c r="G30" s="10" t="str">
        <f>IF(I30="unit",VLOOKUP(F30,[2]characters!$A:$C,3,FALSE),"-")</f>
        <v>秘術の果実</v>
      </c>
      <c r="H30" s="10">
        <v>10</v>
      </c>
      <c r="I30" s="10" t="s">
        <v>36</v>
      </c>
      <c r="J30" s="10">
        <v>1</v>
      </c>
      <c r="K30" s="10">
        <v>1</v>
      </c>
      <c r="L30" s="10">
        <v>1</v>
      </c>
      <c r="M30" s="10">
        <v>0</v>
      </c>
      <c r="N30" s="10">
        <v>0</v>
      </c>
      <c r="O30" s="10">
        <v>0</v>
      </c>
      <c r="P30" s="10">
        <v>0</v>
      </c>
      <c r="Q30" s="10">
        <v>1</v>
      </c>
      <c r="R30" s="10" t="s">
        <v>27</v>
      </c>
      <c r="S30" s="10" t="s">
        <v>28</v>
      </c>
    </row>
    <row r="31" spans="1:19" x14ac:dyDescent="0.15">
      <c r="A31" s="10">
        <v>20001</v>
      </c>
      <c r="B31" s="10">
        <v>3</v>
      </c>
      <c r="C31" s="10" t="str">
        <f t="shared" si="6"/>
        <v>20001_3</v>
      </c>
      <c r="D31" s="10" t="str">
        <f>VLOOKUP(C31,[1]stages!$A:$AE,31,FALSE)</f>
        <v>everyone</v>
      </c>
      <c r="E31" s="10">
        <v>30</v>
      </c>
      <c r="F31" s="10">
        <v>262</v>
      </c>
      <c r="G31" s="10" t="str">
        <f>IF(I31="unit",VLOOKUP(F31,[2]characters!$A:$C,3,FALSE),"-")</f>
        <v>アシュリー</v>
      </c>
      <c r="H31" s="10">
        <v>400</v>
      </c>
      <c r="I31" s="10" t="s">
        <v>36</v>
      </c>
      <c r="J31" s="10">
        <v>1</v>
      </c>
      <c r="K31" s="10">
        <v>1</v>
      </c>
      <c r="L31" s="10">
        <v>1</v>
      </c>
      <c r="M31" s="10">
        <v>0</v>
      </c>
      <c r="N31" s="10">
        <v>0</v>
      </c>
      <c r="O31" s="10">
        <v>0</v>
      </c>
      <c r="P31" s="10">
        <v>0</v>
      </c>
      <c r="Q31" s="10">
        <v>1</v>
      </c>
      <c r="R31" s="10" t="s">
        <v>27</v>
      </c>
      <c r="S31" s="10" t="s">
        <v>28</v>
      </c>
    </row>
    <row r="32" spans="1:19" x14ac:dyDescent="0.15">
      <c r="A32" s="10">
        <v>20001</v>
      </c>
      <c r="B32" s="10">
        <v>3</v>
      </c>
      <c r="C32" s="10" t="str">
        <f t="shared" si="6"/>
        <v>20001_3</v>
      </c>
      <c r="D32" s="10" t="str">
        <f>VLOOKUP(C32,[1]stages!$A:$AE,31,FALSE)</f>
        <v>everyone</v>
      </c>
      <c r="E32" s="10">
        <v>31</v>
      </c>
      <c r="F32" s="10">
        <v>348</v>
      </c>
      <c r="G32" s="10" t="str">
        <f>IF(I32="unit",VLOOKUP(F32,[2]characters!$A:$C,3,FALSE),"-")</f>
        <v>炎のケロケロ</v>
      </c>
      <c r="H32" s="10">
        <v>100</v>
      </c>
      <c r="I32" s="10" t="s">
        <v>36</v>
      </c>
      <c r="J32" s="10">
        <v>1</v>
      </c>
      <c r="K32" s="10">
        <v>1</v>
      </c>
      <c r="L32" s="10">
        <v>1</v>
      </c>
      <c r="M32" s="10">
        <v>0</v>
      </c>
      <c r="N32" s="10">
        <v>0</v>
      </c>
      <c r="O32" s="10">
        <v>0</v>
      </c>
      <c r="P32" s="10">
        <v>0</v>
      </c>
      <c r="Q32" s="10">
        <v>1</v>
      </c>
      <c r="R32" s="10" t="s">
        <v>27</v>
      </c>
      <c r="S32" s="10" t="s">
        <v>28</v>
      </c>
    </row>
    <row r="33" spans="1:19" x14ac:dyDescent="0.15">
      <c r="A33" s="11">
        <v>20002</v>
      </c>
      <c r="B33" s="11">
        <v>1</v>
      </c>
      <c r="C33" s="11" t="str">
        <f>A33&amp; "_"&amp;B33</f>
        <v>20002_1</v>
      </c>
      <c r="D33" s="11" t="str">
        <f>VLOOKUP(C33,[1]stages!$A:$AE,31,FALSE)</f>
        <v>everyone</v>
      </c>
      <c r="E33" s="11">
        <v>32</v>
      </c>
      <c r="F33" s="11">
        <v>1700</v>
      </c>
      <c r="G33" s="11" t="str">
        <f>IF(I33="unit",VLOOKUP(F33,[2]characters!$A:$C,3,FALSE),"-")</f>
        <v>-</v>
      </c>
      <c r="H33" s="11">
        <v>200</v>
      </c>
      <c r="I33" s="11" t="s">
        <v>32</v>
      </c>
      <c r="J33" s="11" t="s">
        <v>33</v>
      </c>
      <c r="K33" s="11">
        <v>1</v>
      </c>
      <c r="L33" s="11">
        <v>1</v>
      </c>
      <c r="M33" s="11">
        <v>0</v>
      </c>
      <c r="N33" s="11">
        <v>0</v>
      </c>
      <c r="O33" s="11">
        <v>0</v>
      </c>
      <c r="P33" s="11">
        <v>0</v>
      </c>
      <c r="Q33" s="11">
        <v>1</v>
      </c>
      <c r="R33" s="11" t="s">
        <v>27</v>
      </c>
      <c r="S33" s="11" t="s">
        <v>28</v>
      </c>
    </row>
    <row r="34" spans="1:19" x14ac:dyDescent="0.15">
      <c r="A34" s="11">
        <v>20002</v>
      </c>
      <c r="B34" s="11">
        <v>1</v>
      </c>
      <c r="C34" s="11" t="str">
        <f t="shared" ref="C34:C42" si="8">A34&amp; "_"&amp;B34</f>
        <v>20002_1</v>
      </c>
      <c r="D34" s="11" t="str">
        <f>VLOOKUP(C34,[1]stages!$A:$AE,31,FALSE)</f>
        <v>everyone</v>
      </c>
      <c r="E34" s="11">
        <v>33</v>
      </c>
      <c r="F34" s="11">
        <v>20</v>
      </c>
      <c r="G34" s="11" t="str">
        <f>IF(I34="unit",VLOOKUP(F34,[2]characters!$A:$C,3,FALSE),"-")</f>
        <v>-</v>
      </c>
      <c r="H34" s="11">
        <v>200</v>
      </c>
      <c r="I34" s="11" t="s">
        <v>35</v>
      </c>
      <c r="J34" s="11" t="s">
        <v>33</v>
      </c>
      <c r="K34" s="11">
        <v>1</v>
      </c>
      <c r="L34" s="11">
        <v>1</v>
      </c>
      <c r="M34" s="11">
        <v>0</v>
      </c>
      <c r="N34" s="11">
        <v>0</v>
      </c>
      <c r="O34" s="11">
        <v>0</v>
      </c>
      <c r="P34" s="11">
        <v>0</v>
      </c>
      <c r="Q34" s="11">
        <v>1</v>
      </c>
      <c r="R34" s="11" t="s">
        <v>27</v>
      </c>
      <c r="S34" s="11" t="s">
        <v>28</v>
      </c>
    </row>
    <row r="35" spans="1:19" x14ac:dyDescent="0.15">
      <c r="A35" s="11">
        <v>20002</v>
      </c>
      <c r="B35" s="11">
        <v>1</v>
      </c>
      <c r="C35" s="11" t="str">
        <f t="shared" si="8"/>
        <v>20002_1</v>
      </c>
      <c r="D35" s="11" t="str">
        <f>VLOOKUP(C35,[1]stages!$A:$AE,31,FALSE)</f>
        <v>everyone</v>
      </c>
      <c r="E35" s="11">
        <v>34</v>
      </c>
      <c r="F35" s="11">
        <v>336</v>
      </c>
      <c r="G35" s="11" t="str">
        <f>IF(I35="unit",VLOOKUP(F35,[2]characters!$A:$C,3,FALSE),"-")</f>
        <v>森のメタルピヨピヨ</v>
      </c>
      <c r="H35" s="11">
        <v>98</v>
      </c>
      <c r="I35" s="11" t="s">
        <v>36</v>
      </c>
      <c r="J35" s="11">
        <v>1</v>
      </c>
      <c r="K35" s="11">
        <v>1</v>
      </c>
      <c r="L35" s="11">
        <v>1</v>
      </c>
      <c r="M35" s="11">
        <v>0</v>
      </c>
      <c r="N35" s="11">
        <v>0</v>
      </c>
      <c r="O35" s="11">
        <v>0</v>
      </c>
      <c r="P35" s="11">
        <v>0</v>
      </c>
      <c r="Q35" s="11">
        <v>1</v>
      </c>
      <c r="R35" s="11" t="s">
        <v>27</v>
      </c>
      <c r="S35" s="11" t="s">
        <v>28</v>
      </c>
    </row>
    <row r="36" spans="1:19" x14ac:dyDescent="0.15">
      <c r="A36" s="11">
        <v>20002</v>
      </c>
      <c r="B36" s="11">
        <v>1</v>
      </c>
      <c r="C36" s="11" t="str">
        <f t="shared" si="8"/>
        <v>20002_1</v>
      </c>
      <c r="D36" s="11" t="str">
        <f>VLOOKUP(C36,[1]stages!$A:$AE,31,FALSE)</f>
        <v>everyone</v>
      </c>
      <c r="E36" s="11">
        <v>35</v>
      </c>
      <c r="F36" s="11">
        <v>337</v>
      </c>
      <c r="G36" s="11" t="str">
        <f>IF(I36="unit",VLOOKUP(F36,[2]characters!$A:$C,3,FALSE),"-")</f>
        <v>森のメタルチック</v>
      </c>
      <c r="H36" s="11">
        <v>42</v>
      </c>
      <c r="I36" s="11" t="s">
        <v>36</v>
      </c>
      <c r="J36" s="11">
        <v>1</v>
      </c>
      <c r="K36" s="11">
        <v>1</v>
      </c>
      <c r="L36" s="11">
        <v>1</v>
      </c>
      <c r="M36" s="11">
        <v>0</v>
      </c>
      <c r="N36" s="11">
        <v>0</v>
      </c>
      <c r="O36" s="11">
        <v>0</v>
      </c>
      <c r="P36" s="11">
        <v>0</v>
      </c>
      <c r="Q36" s="11">
        <v>1</v>
      </c>
      <c r="R36" s="11" t="s">
        <v>27</v>
      </c>
      <c r="S36" s="11" t="s">
        <v>28</v>
      </c>
    </row>
    <row r="37" spans="1:19" x14ac:dyDescent="0.15">
      <c r="A37" s="11">
        <v>20002</v>
      </c>
      <c r="B37" s="11">
        <v>1</v>
      </c>
      <c r="C37" s="11" t="str">
        <f t="shared" si="8"/>
        <v>20002_1</v>
      </c>
      <c r="D37" s="11" t="str">
        <f>VLOOKUP(C37,[1]stages!$A:$AE,31,FALSE)</f>
        <v>everyone</v>
      </c>
      <c r="E37" s="11">
        <v>36</v>
      </c>
      <c r="F37" s="11">
        <v>121</v>
      </c>
      <c r="G37" s="11" t="str">
        <f>IF(I37="unit",VLOOKUP(F37,[2]characters!$A:$C,3,FALSE),"-")</f>
        <v>攻めの果実</v>
      </c>
      <c r="H37" s="11">
        <v>50</v>
      </c>
      <c r="I37" s="11" t="s">
        <v>36</v>
      </c>
      <c r="J37" s="11">
        <v>1</v>
      </c>
      <c r="K37" s="11">
        <v>1</v>
      </c>
      <c r="L37" s="11">
        <v>1</v>
      </c>
      <c r="M37" s="11">
        <v>0</v>
      </c>
      <c r="N37" s="11">
        <v>0</v>
      </c>
      <c r="O37" s="11">
        <v>0</v>
      </c>
      <c r="P37" s="11">
        <v>0</v>
      </c>
      <c r="Q37" s="11">
        <v>1</v>
      </c>
      <c r="R37" s="11" t="s">
        <v>27</v>
      </c>
      <c r="S37" s="11" t="s">
        <v>28</v>
      </c>
    </row>
    <row r="38" spans="1:19" x14ac:dyDescent="0.15">
      <c r="A38" s="11">
        <v>20002</v>
      </c>
      <c r="B38" s="11">
        <v>1</v>
      </c>
      <c r="C38" s="11" t="str">
        <f t="shared" si="8"/>
        <v>20002_1</v>
      </c>
      <c r="D38" s="11" t="str">
        <f>VLOOKUP(C38,[1]stages!$A:$AE,31,FALSE)</f>
        <v>everyone</v>
      </c>
      <c r="E38" s="11">
        <v>37</v>
      </c>
      <c r="F38" s="11">
        <v>122</v>
      </c>
      <c r="G38" s="11" t="str">
        <f>IF(I38="unit",VLOOKUP(F38,[2]characters!$A:$C,3,FALSE),"-")</f>
        <v>生命の果実</v>
      </c>
      <c r="H38" s="11">
        <v>50</v>
      </c>
      <c r="I38" s="11" t="s">
        <v>36</v>
      </c>
      <c r="J38" s="11">
        <v>1</v>
      </c>
      <c r="K38" s="11">
        <v>1</v>
      </c>
      <c r="L38" s="11">
        <v>1</v>
      </c>
      <c r="M38" s="11">
        <v>0</v>
      </c>
      <c r="N38" s="11">
        <v>0</v>
      </c>
      <c r="O38" s="11">
        <v>0</v>
      </c>
      <c r="P38" s="11">
        <v>0</v>
      </c>
      <c r="Q38" s="11">
        <v>1</v>
      </c>
      <c r="R38" s="11" t="s">
        <v>27</v>
      </c>
      <c r="S38" s="11" t="s">
        <v>28</v>
      </c>
    </row>
    <row r="39" spans="1:19" x14ac:dyDescent="0.15">
      <c r="A39" s="11">
        <v>20002</v>
      </c>
      <c r="B39" s="11">
        <v>1</v>
      </c>
      <c r="C39" s="11" t="str">
        <f t="shared" si="8"/>
        <v>20002_1</v>
      </c>
      <c r="D39" s="11" t="str">
        <f>VLOOKUP(C39,[1]stages!$A:$AE,31,FALSE)</f>
        <v>everyone</v>
      </c>
      <c r="E39" s="11">
        <v>38</v>
      </c>
      <c r="F39" s="11">
        <v>123</v>
      </c>
      <c r="G39" s="11" t="str">
        <f>IF(I39="unit",VLOOKUP(F39,[2]characters!$A:$C,3,FALSE),"-")</f>
        <v>癒しの果実</v>
      </c>
      <c r="H39" s="11">
        <v>50</v>
      </c>
      <c r="I39" s="11" t="s">
        <v>36</v>
      </c>
      <c r="J39" s="11">
        <v>1</v>
      </c>
      <c r="K39" s="11">
        <v>1</v>
      </c>
      <c r="L39" s="11">
        <v>1</v>
      </c>
      <c r="M39" s="11">
        <v>0</v>
      </c>
      <c r="N39" s="11">
        <v>0</v>
      </c>
      <c r="O39" s="11">
        <v>0</v>
      </c>
      <c r="P39" s="11">
        <v>0</v>
      </c>
      <c r="Q39" s="11">
        <v>1</v>
      </c>
      <c r="R39" s="11" t="s">
        <v>27</v>
      </c>
      <c r="S39" s="11" t="s">
        <v>28</v>
      </c>
    </row>
    <row r="40" spans="1:19" x14ac:dyDescent="0.15">
      <c r="A40" s="11">
        <v>20002</v>
      </c>
      <c r="B40" s="11">
        <v>1</v>
      </c>
      <c r="C40" s="11" t="str">
        <f t="shared" si="8"/>
        <v>20002_1</v>
      </c>
      <c r="D40" s="11" t="str">
        <f>VLOOKUP(C40,[1]stages!$A:$AE,31,FALSE)</f>
        <v>everyone</v>
      </c>
      <c r="E40" s="11">
        <v>39</v>
      </c>
      <c r="F40" s="11">
        <v>125</v>
      </c>
      <c r="G40" s="11" t="str">
        <f>IF(I40="unit",VLOOKUP(F40,[2]characters!$A:$C,3,FALSE),"-")</f>
        <v>秘術の果実</v>
      </c>
      <c r="H40" s="11">
        <v>10</v>
      </c>
      <c r="I40" s="11" t="s">
        <v>36</v>
      </c>
      <c r="J40" s="11">
        <v>1</v>
      </c>
      <c r="K40" s="11">
        <v>1</v>
      </c>
      <c r="L40" s="11">
        <v>1</v>
      </c>
      <c r="M40" s="11">
        <v>0</v>
      </c>
      <c r="N40" s="11">
        <v>0</v>
      </c>
      <c r="O40" s="11">
        <v>0</v>
      </c>
      <c r="P40" s="11">
        <v>0</v>
      </c>
      <c r="Q40" s="11">
        <v>1</v>
      </c>
      <c r="R40" s="11" t="s">
        <v>27</v>
      </c>
      <c r="S40" s="11" t="s">
        <v>28</v>
      </c>
    </row>
    <row r="41" spans="1:19" x14ac:dyDescent="0.15">
      <c r="A41" s="11">
        <v>20002</v>
      </c>
      <c r="B41" s="11">
        <v>1</v>
      </c>
      <c r="C41" s="11" t="str">
        <f t="shared" si="8"/>
        <v>20002_1</v>
      </c>
      <c r="D41" s="11" t="str">
        <f>VLOOKUP(C41,[1]stages!$A:$AE,31,FALSE)</f>
        <v>everyone</v>
      </c>
      <c r="E41" s="11">
        <v>40</v>
      </c>
      <c r="F41" s="11">
        <v>264</v>
      </c>
      <c r="G41" s="11" t="str">
        <f>IF(I41="unit",VLOOKUP(F41,[2]characters!$A:$C,3,FALSE),"-")</f>
        <v>ユニコーン</v>
      </c>
      <c r="H41" s="11">
        <v>200</v>
      </c>
      <c r="I41" s="11" t="s">
        <v>36</v>
      </c>
      <c r="J41" s="11">
        <v>1</v>
      </c>
      <c r="K41" s="11">
        <v>1</v>
      </c>
      <c r="L41" s="11">
        <v>1</v>
      </c>
      <c r="M41" s="11">
        <v>0</v>
      </c>
      <c r="N41" s="11">
        <v>0</v>
      </c>
      <c r="O41" s="11">
        <v>0</v>
      </c>
      <c r="P41" s="11">
        <v>0</v>
      </c>
      <c r="Q41" s="11">
        <v>1</v>
      </c>
      <c r="R41" s="11" t="s">
        <v>27</v>
      </c>
      <c r="S41" s="11" t="s">
        <v>28</v>
      </c>
    </row>
    <row r="42" spans="1:19" x14ac:dyDescent="0.15">
      <c r="A42" s="11">
        <v>20002</v>
      </c>
      <c r="B42" s="11">
        <v>1</v>
      </c>
      <c r="C42" s="11" t="str">
        <f t="shared" si="8"/>
        <v>20002_1</v>
      </c>
      <c r="D42" s="11" t="str">
        <f>VLOOKUP(C42,[1]stages!$A:$AE,31,FALSE)</f>
        <v>everyone</v>
      </c>
      <c r="E42" s="11">
        <v>41</v>
      </c>
      <c r="F42" s="11">
        <v>350</v>
      </c>
      <c r="G42" s="11" t="str">
        <f>IF(I42="unit",VLOOKUP(F42,[2]characters!$A:$C,3,FALSE),"-")</f>
        <v>森のケロケロ</v>
      </c>
      <c r="H42" s="11">
        <v>100</v>
      </c>
      <c r="I42" s="11" t="s">
        <v>36</v>
      </c>
      <c r="J42" s="11">
        <v>1</v>
      </c>
      <c r="K42" s="11">
        <v>1</v>
      </c>
      <c r="L42" s="11">
        <v>1</v>
      </c>
      <c r="M42" s="11">
        <v>0</v>
      </c>
      <c r="N42" s="11">
        <v>0</v>
      </c>
      <c r="O42" s="11">
        <v>0</v>
      </c>
      <c r="P42" s="11">
        <v>0</v>
      </c>
      <c r="Q42" s="11">
        <v>1</v>
      </c>
      <c r="R42" s="11" t="s">
        <v>27</v>
      </c>
      <c r="S42" s="11" t="s">
        <v>28</v>
      </c>
    </row>
    <row r="43" spans="1:19" x14ac:dyDescent="0.15">
      <c r="A43" s="11">
        <v>20002</v>
      </c>
      <c r="B43" s="11">
        <v>2</v>
      </c>
      <c r="C43" s="11" t="str">
        <f>A43&amp; "_"&amp;B43</f>
        <v>20002_2</v>
      </c>
      <c r="D43" s="11" t="str">
        <f>VLOOKUP(C43,[1]stages!$A:$AE,31,FALSE)</f>
        <v>everyone</v>
      </c>
      <c r="E43" s="11">
        <v>42</v>
      </c>
      <c r="F43" s="11">
        <v>3200</v>
      </c>
      <c r="G43" s="11" t="str">
        <f>IF(I43="unit",VLOOKUP(F43,[2]characters!$A:$C,3,FALSE),"-")</f>
        <v>-</v>
      </c>
      <c r="H43" s="11">
        <v>200</v>
      </c>
      <c r="I43" s="11" t="s">
        <v>32</v>
      </c>
      <c r="J43" s="11" t="s">
        <v>33</v>
      </c>
      <c r="K43" s="11">
        <v>1</v>
      </c>
      <c r="L43" s="11">
        <v>1</v>
      </c>
      <c r="M43" s="11">
        <v>0</v>
      </c>
      <c r="N43" s="11">
        <v>0</v>
      </c>
      <c r="O43" s="11">
        <v>0</v>
      </c>
      <c r="P43" s="11">
        <v>0</v>
      </c>
      <c r="Q43" s="11">
        <v>1</v>
      </c>
      <c r="R43" s="11" t="s">
        <v>27</v>
      </c>
      <c r="S43" s="11" t="s">
        <v>28</v>
      </c>
    </row>
    <row r="44" spans="1:19" x14ac:dyDescent="0.15">
      <c r="A44" s="11">
        <v>20002</v>
      </c>
      <c r="B44" s="11">
        <v>2</v>
      </c>
      <c r="C44" s="11" t="str">
        <f t="shared" ref="C44:C52" si="9">A44&amp; "_"&amp;B44</f>
        <v>20002_2</v>
      </c>
      <c r="D44" s="11" t="str">
        <f>VLOOKUP(C44,[1]stages!$A:$AE,31,FALSE)</f>
        <v>everyone</v>
      </c>
      <c r="E44" s="11">
        <v>43</v>
      </c>
      <c r="F44" s="11">
        <v>20</v>
      </c>
      <c r="G44" s="11" t="str">
        <f>IF(I44="unit",VLOOKUP(F44,[2]characters!$A:$C,3,FALSE),"-")</f>
        <v>-</v>
      </c>
      <c r="H44" s="11">
        <v>150</v>
      </c>
      <c r="I44" s="11" t="s">
        <v>35</v>
      </c>
      <c r="J44" s="11" t="s">
        <v>33</v>
      </c>
      <c r="K44" s="11">
        <v>1</v>
      </c>
      <c r="L44" s="11">
        <v>1</v>
      </c>
      <c r="M44" s="11">
        <v>0</v>
      </c>
      <c r="N44" s="11">
        <v>0</v>
      </c>
      <c r="O44" s="11">
        <v>0</v>
      </c>
      <c r="P44" s="11">
        <v>0</v>
      </c>
      <c r="Q44" s="11">
        <v>1</v>
      </c>
      <c r="R44" s="11" t="s">
        <v>27</v>
      </c>
      <c r="S44" s="11" t="s">
        <v>28</v>
      </c>
    </row>
    <row r="45" spans="1:19" x14ac:dyDescent="0.15">
      <c r="A45" s="11">
        <v>20002</v>
      </c>
      <c r="B45" s="11">
        <v>2</v>
      </c>
      <c r="C45" s="11" t="str">
        <f t="shared" si="9"/>
        <v>20002_2</v>
      </c>
      <c r="D45" s="11" t="str">
        <f>VLOOKUP(C45,[1]stages!$A:$AE,31,FALSE)</f>
        <v>everyone</v>
      </c>
      <c r="E45" s="11">
        <v>44</v>
      </c>
      <c r="F45" s="11">
        <v>336</v>
      </c>
      <c r="G45" s="11" t="str">
        <f>IF(I45="unit",VLOOKUP(F45,[2]characters!$A:$C,3,FALSE),"-")</f>
        <v>森のメタルピヨピヨ</v>
      </c>
      <c r="H45" s="11">
        <v>70</v>
      </c>
      <c r="I45" s="11" t="s">
        <v>36</v>
      </c>
      <c r="J45" s="11">
        <v>1</v>
      </c>
      <c r="K45" s="11">
        <v>1</v>
      </c>
      <c r="L45" s="11">
        <v>1</v>
      </c>
      <c r="M45" s="11">
        <v>0</v>
      </c>
      <c r="N45" s="11">
        <v>0</v>
      </c>
      <c r="O45" s="11">
        <v>0</v>
      </c>
      <c r="P45" s="11">
        <v>0</v>
      </c>
      <c r="Q45" s="11">
        <v>1</v>
      </c>
      <c r="R45" s="11" t="s">
        <v>27</v>
      </c>
      <c r="S45" s="11" t="s">
        <v>28</v>
      </c>
    </row>
    <row r="46" spans="1:19" x14ac:dyDescent="0.15">
      <c r="A46" s="11">
        <v>20002</v>
      </c>
      <c r="B46" s="11">
        <v>2</v>
      </c>
      <c r="C46" s="11" t="str">
        <f t="shared" si="9"/>
        <v>20002_2</v>
      </c>
      <c r="D46" s="11" t="str">
        <f>VLOOKUP(C46,[1]stages!$A:$AE,31,FALSE)</f>
        <v>everyone</v>
      </c>
      <c r="E46" s="11">
        <v>45</v>
      </c>
      <c r="F46" s="11">
        <v>337</v>
      </c>
      <c r="G46" s="11" t="str">
        <f>IF(I46="unit",VLOOKUP(F46,[2]characters!$A:$C,3,FALSE),"-")</f>
        <v>森のメタルチック</v>
      </c>
      <c r="H46" s="11">
        <v>70</v>
      </c>
      <c r="I46" s="11" t="s">
        <v>36</v>
      </c>
      <c r="J46" s="11">
        <v>1</v>
      </c>
      <c r="K46" s="11">
        <v>1</v>
      </c>
      <c r="L46" s="11">
        <v>1</v>
      </c>
      <c r="M46" s="11">
        <v>0</v>
      </c>
      <c r="N46" s="11">
        <v>0</v>
      </c>
      <c r="O46" s="11">
        <v>0</v>
      </c>
      <c r="P46" s="11">
        <v>0</v>
      </c>
      <c r="Q46" s="11">
        <v>1</v>
      </c>
      <c r="R46" s="11" t="s">
        <v>27</v>
      </c>
      <c r="S46" s="11" t="s">
        <v>28</v>
      </c>
    </row>
    <row r="47" spans="1:19" x14ac:dyDescent="0.15">
      <c r="A47" s="11">
        <v>20002</v>
      </c>
      <c r="B47" s="11">
        <v>2</v>
      </c>
      <c r="C47" s="11" t="str">
        <f t="shared" si="9"/>
        <v>20002_2</v>
      </c>
      <c r="D47" s="11" t="str">
        <f>VLOOKUP(C47,[1]stages!$A:$AE,31,FALSE)</f>
        <v>everyone</v>
      </c>
      <c r="E47" s="11">
        <v>46</v>
      </c>
      <c r="F47" s="11">
        <v>121</v>
      </c>
      <c r="G47" s="11" t="str">
        <f>IF(I47="unit",VLOOKUP(F47,[2]characters!$A:$C,3,FALSE),"-")</f>
        <v>攻めの果実</v>
      </c>
      <c r="H47" s="11">
        <v>50</v>
      </c>
      <c r="I47" s="11" t="s">
        <v>36</v>
      </c>
      <c r="J47" s="11">
        <v>1</v>
      </c>
      <c r="K47" s="11">
        <v>1</v>
      </c>
      <c r="L47" s="11">
        <v>1</v>
      </c>
      <c r="M47" s="11">
        <v>0</v>
      </c>
      <c r="N47" s="11">
        <v>0</v>
      </c>
      <c r="O47" s="11">
        <v>0</v>
      </c>
      <c r="P47" s="11">
        <v>0</v>
      </c>
      <c r="Q47" s="11">
        <v>1</v>
      </c>
      <c r="R47" s="11" t="s">
        <v>27</v>
      </c>
      <c r="S47" s="11" t="s">
        <v>28</v>
      </c>
    </row>
    <row r="48" spans="1:19" x14ac:dyDescent="0.15">
      <c r="A48" s="11">
        <v>20002</v>
      </c>
      <c r="B48" s="11">
        <v>2</v>
      </c>
      <c r="C48" s="11" t="str">
        <f t="shared" si="9"/>
        <v>20002_2</v>
      </c>
      <c r="D48" s="11" t="str">
        <f>VLOOKUP(C48,[1]stages!$A:$AE,31,FALSE)</f>
        <v>everyone</v>
      </c>
      <c r="E48" s="11">
        <v>47</v>
      </c>
      <c r="F48" s="11">
        <v>122</v>
      </c>
      <c r="G48" s="11" t="str">
        <f>IF(I48="unit",VLOOKUP(F48,[2]characters!$A:$C,3,FALSE),"-")</f>
        <v>生命の果実</v>
      </c>
      <c r="H48" s="11">
        <v>50</v>
      </c>
      <c r="I48" s="11" t="s">
        <v>36</v>
      </c>
      <c r="J48" s="11">
        <v>1</v>
      </c>
      <c r="K48" s="11">
        <v>1</v>
      </c>
      <c r="L48" s="11">
        <v>1</v>
      </c>
      <c r="M48" s="11">
        <v>0</v>
      </c>
      <c r="N48" s="11">
        <v>0</v>
      </c>
      <c r="O48" s="11">
        <v>0</v>
      </c>
      <c r="P48" s="11">
        <v>0</v>
      </c>
      <c r="Q48" s="11">
        <v>1</v>
      </c>
      <c r="R48" s="11" t="s">
        <v>27</v>
      </c>
      <c r="S48" s="11" t="s">
        <v>28</v>
      </c>
    </row>
    <row r="49" spans="1:19" x14ac:dyDescent="0.15">
      <c r="A49" s="11">
        <v>20002</v>
      </c>
      <c r="B49" s="11">
        <v>2</v>
      </c>
      <c r="C49" s="11" t="str">
        <f t="shared" si="9"/>
        <v>20002_2</v>
      </c>
      <c r="D49" s="11" t="str">
        <f>VLOOKUP(C49,[1]stages!$A:$AE,31,FALSE)</f>
        <v>everyone</v>
      </c>
      <c r="E49" s="11">
        <v>48</v>
      </c>
      <c r="F49" s="11">
        <v>123</v>
      </c>
      <c r="G49" s="11" t="str">
        <f>IF(I49="unit",VLOOKUP(F49,[2]characters!$A:$C,3,FALSE),"-")</f>
        <v>癒しの果実</v>
      </c>
      <c r="H49" s="11">
        <v>50</v>
      </c>
      <c r="I49" s="11" t="s">
        <v>36</v>
      </c>
      <c r="J49" s="11">
        <v>1</v>
      </c>
      <c r="K49" s="11">
        <v>1</v>
      </c>
      <c r="L49" s="11">
        <v>1</v>
      </c>
      <c r="M49" s="11">
        <v>0</v>
      </c>
      <c r="N49" s="11">
        <v>0</v>
      </c>
      <c r="O49" s="11">
        <v>0</v>
      </c>
      <c r="P49" s="11">
        <v>0</v>
      </c>
      <c r="Q49" s="11">
        <v>1</v>
      </c>
      <c r="R49" s="11" t="s">
        <v>27</v>
      </c>
      <c r="S49" s="11" t="s">
        <v>28</v>
      </c>
    </row>
    <row r="50" spans="1:19" x14ac:dyDescent="0.15">
      <c r="A50" s="11">
        <v>20002</v>
      </c>
      <c r="B50" s="11">
        <v>2</v>
      </c>
      <c r="C50" s="11" t="str">
        <f t="shared" si="9"/>
        <v>20002_2</v>
      </c>
      <c r="D50" s="11" t="str">
        <f>VLOOKUP(C50,[1]stages!$A:$AE,31,FALSE)</f>
        <v>everyone</v>
      </c>
      <c r="E50" s="11">
        <v>49</v>
      </c>
      <c r="F50" s="11">
        <v>125</v>
      </c>
      <c r="G50" s="11" t="str">
        <f>IF(I50="unit",VLOOKUP(F50,[2]characters!$A:$C,3,FALSE),"-")</f>
        <v>秘術の果実</v>
      </c>
      <c r="H50" s="11">
        <v>10</v>
      </c>
      <c r="I50" s="11" t="s">
        <v>36</v>
      </c>
      <c r="J50" s="11">
        <v>1</v>
      </c>
      <c r="K50" s="11">
        <v>1</v>
      </c>
      <c r="L50" s="11">
        <v>1</v>
      </c>
      <c r="M50" s="11">
        <v>0</v>
      </c>
      <c r="N50" s="11">
        <v>0</v>
      </c>
      <c r="O50" s="11">
        <v>0</v>
      </c>
      <c r="P50" s="11">
        <v>0</v>
      </c>
      <c r="Q50" s="11">
        <v>1</v>
      </c>
      <c r="R50" s="11" t="s">
        <v>27</v>
      </c>
      <c r="S50" s="11" t="s">
        <v>28</v>
      </c>
    </row>
    <row r="51" spans="1:19" x14ac:dyDescent="0.15">
      <c r="A51" s="11">
        <v>20002</v>
      </c>
      <c r="B51" s="11">
        <v>2</v>
      </c>
      <c r="C51" s="11" t="str">
        <f t="shared" si="9"/>
        <v>20002_2</v>
      </c>
      <c r="D51" s="11" t="str">
        <f>VLOOKUP(C51,[1]stages!$A:$AE,31,FALSE)</f>
        <v>everyone</v>
      </c>
      <c r="E51" s="11">
        <v>50</v>
      </c>
      <c r="F51" s="11">
        <v>264</v>
      </c>
      <c r="G51" s="11" t="str">
        <f>IF(I51="unit",VLOOKUP(F51,[2]characters!$A:$C,3,FALSE),"-")</f>
        <v>ユニコーン</v>
      </c>
      <c r="H51" s="11">
        <v>250</v>
      </c>
      <c r="I51" s="11" t="s">
        <v>36</v>
      </c>
      <c r="J51" s="11">
        <v>1</v>
      </c>
      <c r="K51" s="11">
        <v>1</v>
      </c>
      <c r="L51" s="11">
        <v>1</v>
      </c>
      <c r="M51" s="11">
        <v>0</v>
      </c>
      <c r="N51" s="11">
        <v>0</v>
      </c>
      <c r="O51" s="11">
        <v>0</v>
      </c>
      <c r="P51" s="11">
        <v>0</v>
      </c>
      <c r="Q51" s="11">
        <v>1</v>
      </c>
      <c r="R51" s="11" t="s">
        <v>27</v>
      </c>
      <c r="S51" s="11" t="s">
        <v>28</v>
      </c>
    </row>
    <row r="52" spans="1:19" x14ac:dyDescent="0.15">
      <c r="A52" s="11">
        <v>20002</v>
      </c>
      <c r="B52" s="11">
        <v>2</v>
      </c>
      <c r="C52" s="11" t="str">
        <f t="shared" si="9"/>
        <v>20002_2</v>
      </c>
      <c r="D52" s="11" t="str">
        <f>VLOOKUP(C52,[1]stages!$A:$AE,31,FALSE)</f>
        <v>everyone</v>
      </c>
      <c r="E52" s="11">
        <v>51</v>
      </c>
      <c r="F52" s="11">
        <v>350</v>
      </c>
      <c r="G52" s="11" t="str">
        <f>IF(I52="unit",VLOOKUP(F52,[2]characters!$A:$C,3,FALSE),"-")</f>
        <v>森のケロケロ</v>
      </c>
      <c r="H52" s="11">
        <v>100</v>
      </c>
      <c r="I52" s="11" t="s">
        <v>36</v>
      </c>
      <c r="J52" s="11">
        <v>1</v>
      </c>
      <c r="K52" s="11">
        <v>1</v>
      </c>
      <c r="L52" s="11">
        <v>1</v>
      </c>
      <c r="M52" s="11">
        <v>0</v>
      </c>
      <c r="N52" s="11">
        <v>0</v>
      </c>
      <c r="O52" s="11">
        <v>0</v>
      </c>
      <c r="P52" s="11">
        <v>0</v>
      </c>
      <c r="Q52" s="11">
        <v>1</v>
      </c>
      <c r="R52" s="11" t="s">
        <v>27</v>
      </c>
      <c r="S52" s="11" t="s">
        <v>28</v>
      </c>
    </row>
    <row r="53" spans="1:19" x14ac:dyDescent="0.15">
      <c r="A53" s="11">
        <v>20002</v>
      </c>
      <c r="B53" s="11">
        <v>3</v>
      </c>
      <c r="C53" s="11" t="str">
        <f>A53&amp; "_"&amp;B53</f>
        <v>20002_3</v>
      </c>
      <c r="D53" s="11" t="str">
        <f>VLOOKUP(C53,[1]stages!$A:$AE,31,FALSE)</f>
        <v>everyone</v>
      </c>
      <c r="E53" s="11">
        <v>52</v>
      </c>
      <c r="F53" s="11">
        <v>5000</v>
      </c>
      <c r="G53" s="11" t="str">
        <f>IF(I53="unit",VLOOKUP(F53,[2]characters!$A:$C,3,FALSE),"-")</f>
        <v>-</v>
      </c>
      <c r="H53" s="11">
        <v>100</v>
      </c>
      <c r="I53" s="11" t="s">
        <v>32</v>
      </c>
      <c r="J53" s="11" t="s">
        <v>33</v>
      </c>
      <c r="K53" s="11">
        <v>1</v>
      </c>
      <c r="L53" s="11">
        <v>1</v>
      </c>
      <c r="M53" s="11">
        <v>0</v>
      </c>
      <c r="N53" s="11">
        <v>0</v>
      </c>
      <c r="O53" s="11">
        <v>0</v>
      </c>
      <c r="P53" s="11">
        <v>0</v>
      </c>
      <c r="Q53" s="11">
        <v>1</v>
      </c>
      <c r="R53" s="11" t="s">
        <v>27</v>
      </c>
      <c r="S53" s="11" t="s">
        <v>28</v>
      </c>
    </row>
    <row r="54" spans="1:19" x14ac:dyDescent="0.15">
      <c r="A54" s="11">
        <v>20002</v>
      </c>
      <c r="B54" s="11">
        <v>3</v>
      </c>
      <c r="C54" s="11" t="str">
        <f t="shared" ref="C54:C63" si="10">A54&amp; "_"&amp;B54</f>
        <v>20002_3</v>
      </c>
      <c r="D54" s="11" t="str">
        <f>VLOOKUP(C54,[1]stages!$A:$AE,31,FALSE)</f>
        <v>everyone</v>
      </c>
      <c r="E54" s="11">
        <v>53</v>
      </c>
      <c r="F54" s="11">
        <v>25</v>
      </c>
      <c r="G54" s="11" t="str">
        <f>IF(I54="unit",VLOOKUP(F54,[2]characters!$A:$C,3,FALSE),"-")</f>
        <v>-</v>
      </c>
      <c r="H54" s="11">
        <v>100</v>
      </c>
      <c r="I54" s="11" t="s">
        <v>35</v>
      </c>
      <c r="J54" s="11" t="s">
        <v>33</v>
      </c>
      <c r="K54" s="11">
        <v>1</v>
      </c>
      <c r="L54" s="11">
        <v>1</v>
      </c>
      <c r="M54" s="11">
        <v>0</v>
      </c>
      <c r="N54" s="11">
        <v>0</v>
      </c>
      <c r="O54" s="11">
        <v>0</v>
      </c>
      <c r="P54" s="11">
        <v>0</v>
      </c>
      <c r="Q54" s="11">
        <v>1</v>
      </c>
      <c r="R54" s="11" t="s">
        <v>27</v>
      </c>
      <c r="S54" s="11" t="s">
        <v>28</v>
      </c>
    </row>
    <row r="55" spans="1:19" x14ac:dyDescent="0.15">
      <c r="A55" s="11">
        <v>20002</v>
      </c>
      <c r="B55" s="11">
        <v>3</v>
      </c>
      <c r="C55" s="11" t="str">
        <f t="shared" si="10"/>
        <v>20002_3</v>
      </c>
      <c r="D55" s="11" t="str">
        <f>VLOOKUP(C55,[1]stages!$A:$AE,31,FALSE)</f>
        <v>everyone</v>
      </c>
      <c r="E55" s="11">
        <v>54</v>
      </c>
      <c r="F55" s="11">
        <v>336</v>
      </c>
      <c r="G55" s="11" t="str">
        <f>IF(I55="unit",VLOOKUP(F55,[2]characters!$A:$C,3,FALSE),"-")</f>
        <v>森のメタルピヨピヨ</v>
      </c>
      <c r="H55" s="11">
        <v>56</v>
      </c>
      <c r="I55" s="11" t="s">
        <v>36</v>
      </c>
      <c r="J55" s="11">
        <v>1</v>
      </c>
      <c r="K55" s="11">
        <v>1</v>
      </c>
      <c r="L55" s="11">
        <v>1</v>
      </c>
      <c r="M55" s="11">
        <v>0</v>
      </c>
      <c r="N55" s="11">
        <v>0</v>
      </c>
      <c r="O55" s="11">
        <v>0</v>
      </c>
      <c r="P55" s="11">
        <v>0</v>
      </c>
      <c r="Q55" s="11">
        <v>1</v>
      </c>
      <c r="R55" s="11" t="s">
        <v>27</v>
      </c>
      <c r="S55" s="11" t="s">
        <v>28</v>
      </c>
    </row>
    <row r="56" spans="1:19" x14ac:dyDescent="0.15">
      <c r="A56" s="11">
        <v>20002</v>
      </c>
      <c r="B56" s="11">
        <v>3</v>
      </c>
      <c r="C56" s="11" t="str">
        <f t="shared" si="10"/>
        <v>20002_3</v>
      </c>
      <c r="D56" s="11" t="str">
        <f>VLOOKUP(C56,[1]stages!$A:$AE,31,FALSE)</f>
        <v>everyone</v>
      </c>
      <c r="E56" s="11">
        <v>55</v>
      </c>
      <c r="F56" s="11">
        <v>337</v>
      </c>
      <c r="G56" s="11" t="str">
        <f>IF(I56="unit",VLOOKUP(F56,[2]characters!$A:$C,3,FALSE),"-")</f>
        <v>森のメタルチック</v>
      </c>
      <c r="H56" s="11">
        <v>56</v>
      </c>
      <c r="I56" s="11" t="s">
        <v>36</v>
      </c>
      <c r="J56" s="11">
        <v>1</v>
      </c>
      <c r="K56" s="11">
        <v>1</v>
      </c>
      <c r="L56" s="11">
        <v>1</v>
      </c>
      <c r="M56" s="11">
        <v>0</v>
      </c>
      <c r="N56" s="11">
        <v>0</v>
      </c>
      <c r="O56" s="11">
        <v>0</v>
      </c>
      <c r="P56" s="11">
        <v>0</v>
      </c>
      <c r="Q56" s="11">
        <v>1</v>
      </c>
      <c r="R56" s="11" t="s">
        <v>27</v>
      </c>
      <c r="S56" s="11" t="s">
        <v>28</v>
      </c>
    </row>
    <row r="57" spans="1:19" x14ac:dyDescent="0.15">
      <c r="A57" s="11">
        <v>20002</v>
      </c>
      <c r="B57" s="11">
        <v>3</v>
      </c>
      <c r="C57" s="11" t="str">
        <f t="shared" si="10"/>
        <v>20002_3</v>
      </c>
      <c r="D57" s="11" t="str">
        <f>VLOOKUP(C57,[1]stages!$A:$AE,31,FALSE)</f>
        <v>everyone</v>
      </c>
      <c r="E57" s="11">
        <v>56</v>
      </c>
      <c r="F57" s="11">
        <v>338</v>
      </c>
      <c r="G57" s="11" t="str">
        <f>IF(I57="unit",VLOOKUP(F57,[2]characters!$A:$C,3,FALSE),"-")</f>
        <v>森のメタルダック</v>
      </c>
      <c r="H57" s="11">
        <v>28</v>
      </c>
      <c r="I57" s="11" t="s">
        <v>36</v>
      </c>
      <c r="J57" s="11">
        <v>1</v>
      </c>
      <c r="K57" s="11">
        <v>1</v>
      </c>
      <c r="L57" s="11">
        <v>1</v>
      </c>
      <c r="M57" s="11">
        <v>0</v>
      </c>
      <c r="N57" s="11">
        <v>0</v>
      </c>
      <c r="O57" s="11">
        <v>0</v>
      </c>
      <c r="P57" s="11">
        <v>0</v>
      </c>
      <c r="Q57" s="11">
        <v>1</v>
      </c>
      <c r="R57" s="11" t="s">
        <v>27</v>
      </c>
      <c r="S57" s="11" t="s">
        <v>28</v>
      </c>
    </row>
    <row r="58" spans="1:19" x14ac:dyDescent="0.15">
      <c r="A58" s="11">
        <v>20002</v>
      </c>
      <c r="B58" s="11">
        <v>3</v>
      </c>
      <c r="C58" s="11" t="str">
        <f t="shared" si="10"/>
        <v>20002_3</v>
      </c>
      <c r="D58" s="11" t="str">
        <f>VLOOKUP(C58,[1]stages!$A:$AE,31,FALSE)</f>
        <v>everyone</v>
      </c>
      <c r="E58" s="11">
        <v>57</v>
      </c>
      <c r="F58" s="11">
        <v>121</v>
      </c>
      <c r="G58" s="11" t="str">
        <f>IF(I58="unit",VLOOKUP(F58,[2]characters!$A:$C,3,FALSE),"-")</f>
        <v>攻めの果実</v>
      </c>
      <c r="H58" s="11">
        <v>50</v>
      </c>
      <c r="I58" s="11" t="s">
        <v>36</v>
      </c>
      <c r="J58" s="11">
        <v>1</v>
      </c>
      <c r="K58" s="11">
        <v>1</v>
      </c>
      <c r="L58" s="11">
        <v>1</v>
      </c>
      <c r="M58" s="11">
        <v>0</v>
      </c>
      <c r="N58" s="11">
        <v>0</v>
      </c>
      <c r="O58" s="11">
        <v>0</v>
      </c>
      <c r="P58" s="11">
        <v>0</v>
      </c>
      <c r="Q58" s="11">
        <v>1</v>
      </c>
      <c r="R58" s="11" t="s">
        <v>27</v>
      </c>
      <c r="S58" s="11" t="s">
        <v>28</v>
      </c>
    </row>
    <row r="59" spans="1:19" x14ac:dyDescent="0.15">
      <c r="A59" s="11">
        <v>20002</v>
      </c>
      <c r="B59" s="11">
        <v>3</v>
      </c>
      <c r="C59" s="11" t="str">
        <f t="shared" si="10"/>
        <v>20002_3</v>
      </c>
      <c r="D59" s="11" t="str">
        <f>VLOOKUP(C59,[1]stages!$A:$AE,31,FALSE)</f>
        <v>everyone</v>
      </c>
      <c r="E59" s="11">
        <v>58</v>
      </c>
      <c r="F59" s="11">
        <v>122</v>
      </c>
      <c r="G59" s="11" t="str">
        <f>IF(I59="unit",VLOOKUP(F59,[2]characters!$A:$C,3,FALSE),"-")</f>
        <v>生命の果実</v>
      </c>
      <c r="H59" s="11">
        <v>50</v>
      </c>
      <c r="I59" s="11" t="s">
        <v>36</v>
      </c>
      <c r="J59" s="11">
        <v>1</v>
      </c>
      <c r="K59" s="11">
        <v>1</v>
      </c>
      <c r="L59" s="11">
        <v>1</v>
      </c>
      <c r="M59" s="11">
        <v>0</v>
      </c>
      <c r="N59" s="11">
        <v>0</v>
      </c>
      <c r="O59" s="11">
        <v>0</v>
      </c>
      <c r="P59" s="11">
        <v>0</v>
      </c>
      <c r="Q59" s="11">
        <v>1</v>
      </c>
      <c r="R59" s="11" t="s">
        <v>27</v>
      </c>
      <c r="S59" s="11" t="s">
        <v>28</v>
      </c>
    </row>
    <row r="60" spans="1:19" x14ac:dyDescent="0.15">
      <c r="A60" s="11">
        <v>20002</v>
      </c>
      <c r="B60" s="11">
        <v>3</v>
      </c>
      <c r="C60" s="11" t="str">
        <f t="shared" si="10"/>
        <v>20002_3</v>
      </c>
      <c r="D60" s="11" t="str">
        <f>VLOOKUP(C60,[1]stages!$A:$AE,31,FALSE)</f>
        <v>everyone</v>
      </c>
      <c r="E60" s="11">
        <v>59</v>
      </c>
      <c r="F60" s="11">
        <v>123</v>
      </c>
      <c r="G60" s="11" t="str">
        <f>IF(I60="unit",VLOOKUP(F60,[2]characters!$A:$C,3,FALSE),"-")</f>
        <v>癒しの果実</v>
      </c>
      <c r="H60" s="11">
        <v>50</v>
      </c>
      <c r="I60" s="11" t="s">
        <v>36</v>
      </c>
      <c r="J60" s="11">
        <v>1</v>
      </c>
      <c r="K60" s="11">
        <v>1</v>
      </c>
      <c r="L60" s="11">
        <v>1</v>
      </c>
      <c r="M60" s="11">
        <v>0</v>
      </c>
      <c r="N60" s="11">
        <v>0</v>
      </c>
      <c r="O60" s="11">
        <v>0</v>
      </c>
      <c r="P60" s="11">
        <v>0</v>
      </c>
      <c r="Q60" s="11">
        <v>1</v>
      </c>
      <c r="R60" s="11" t="s">
        <v>27</v>
      </c>
      <c r="S60" s="11" t="s">
        <v>28</v>
      </c>
    </row>
    <row r="61" spans="1:19" x14ac:dyDescent="0.15">
      <c r="A61" s="11">
        <v>20002</v>
      </c>
      <c r="B61" s="11">
        <v>3</v>
      </c>
      <c r="C61" s="11" t="str">
        <f t="shared" si="10"/>
        <v>20002_3</v>
      </c>
      <c r="D61" s="11" t="str">
        <f>VLOOKUP(C61,[1]stages!$A:$AE,31,FALSE)</f>
        <v>everyone</v>
      </c>
      <c r="E61" s="11">
        <v>60</v>
      </c>
      <c r="F61" s="11">
        <v>125</v>
      </c>
      <c r="G61" s="11" t="str">
        <f>IF(I61="unit",VLOOKUP(F61,[2]characters!$A:$C,3,FALSE),"-")</f>
        <v>秘術の果実</v>
      </c>
      <c r="H61" s="11">
        <v>10</v>
      </c>
      <c r="I61" s="11" t="s">
        <v>36</v>
      </c>
      <c r="J61" s="11">
        <v>1</v>
      </c>
      <c r="K61" s="11">
        <v>1</v>
      </c>
      <c r="L61" s="11">
        <v>1</v>
      </c>
      <c r="M61" s="11">
        <v>0</v>
      </c>
      <c r="N61" s="11">
        <v>0</v>
      </c>
      <c r="O61" s="11">
        <v>0</v>
      </c>
      <c r="P61" s="11">
        <v>0</v>
      </c>
      <c r="Q61" s="11">
        <v>1</v>
      </c>
      <c r="R61" s="11" t="s">
        <v>27</v>
      </c>
      <c r="S61" s="11" t="s">
        <v>28</v>
      </c>
    </row>
    <row r="62" spans="1:19" x14ac:dyDescent="0.15">
      <c r="A62" s="11">
        <v>20002</v>
      </c>
      <c r="B62" s="11">
        <v>3</v>
      </c>
      <c r="C62" s="11" t="str">
        <f t="shared" si="10"/>
        <v>20002_3</v>
      </c>
      <c r="D62" s="11" t="str">
        <f>VLOOKUP(C62,[1]stages!$A:$AE,31,FALSE)</f>
        <v>everyone</v>
      </c>
      <c r="E62" s="11">
        <v>61</v>
      </c>
      <c r="F62" s="11">
        <v>264</v>
      </c>
      <c r="G62" s="11" t="str">
        <f>IF(I62="unit",VLOOKUP(F62,[2]characters!$A:$C,3,FALSE),"-")</f>
        <v>ユニコーン</v>
      </c>
      <c r="H62" s="11">
        <v>400</v>
      </c>
      <c r="I62" s="11" t="s">
        <v>36</v>
      </c>
      <c r="J62" s="11">
        <v>1</v>
      </c>
      <c r="K62" s="11">
        <v>1</v>
      </c>
      <c r="L62" s="11">
        <v>1</v>
      </c>
      <c r="M62" s="11">
        <v>0</v>
      </c>
      <c r="N62" s="11">
        <v>0</v>
      </c>
      <c r="O62" s="11">
        <v>0</v>
      </c>
      <c r="P62" s="11">
        <v>0</v>
      </c>
      <c r="Q62" s="11">
        <v>1</v>
      </c>
      <c r="R62" s="11" t="s">
        <v>27</v>
      </c>
      <c r="S62" s="11" t="s">
        <v>28</v>
      </c>
    </row>
    <row r="63" spans="1:19" x14ac:dyDescent="0.15">
      <c r="A63" s="11">
        <v>20002</v>
      </c>
      <c r="B63" s="11">
        <v>3</v>
      </c>
      <c r="C63" s="11" t="str">
        <f t="shared" si="10"/>
        <v>20002_3</v>
      </c>
      <c r="D63" s="11" t="str">
        <f>VLOOKUP(C63,[1]stages!$A:$AE,31,FALSE)</f>
        <v>everyone</v>
      </c>
      <c r="E63" s="11">
        <v>62</v>
      </c>
      <c r="F63" s="11">
        <v>350</v>
      </c>
      <c r="G63" s="11" t="str">
        <f>IF(I63="unit",VLOOKUP(F63,[2]characters!$A:$C,3,FALSE),"-")</f>
        <v>森のケロケロ</v>
      </c>
      <c r="H63" s="11">
        <v>100</v>
      </c>
      <c r="I63" s="11" t="s">
        <v>36</v>
      </c>
      <c r="J63" s="11">
        <v>1</v>
      </c>
      <c r="K63" s="11">
        <v>1</v>
      </c>
      <c r="L63" s="11">
        <v>1</v>
      </c>
      <c r="M63" s="11">
        <v>0</v>
      </c>
      <c r="N63" s="11">
        <v>0</v>
      </c>
      <c r="O63" s="11">
        <v>0</v>
      </c>
      <c r="P63" s="11">
        <v>0</v>
      </c>
      <c r="Q63" s="11">
        <v>1</v>
      </c>
      <c r="R63" s="11" t="s">
        <v>27</v>
      </c>
      <c r="S63" s="11" t="s">
        <v>28</v>
      </c>
    </row>
    <row r="64" spans="1:19" x14ac:dyDescent="0.15">
      <c r="A64" s="12">
        <v>20003</v>
      </c>
      <c r="B64" s="12">
        <v>1</v>
      </c>
      <c r="C64" s="12" t="str">
        <f>A64&amp; "_"&amp;B64</f>
        <v>20003_1</v>
      </c>
      <c r="D64" s="12" t="str">
        <f>VLOOKUP(C64,[1]stages!$A:$AE,31,FALSE)</f>
        <v>everyone</v>
      </c>
      <c r="E64" s="12">
        <v>63</v>
      </c>
      <c r="F64" s="12">
        <v>1700</v>
      </c>
      <c r="G64" s="10" t="str">
        <f>IF(I64="unit",VLOOKUP(F64,[2]characters!$A:$C,3,FALSE),"-")</f>
        <v>-</v>
      </c>
      <c r="H64" s="12">
        <v>200</v>
      </c>
      <c r="I64" s="12" t="s">
        <v>32</v>
      </c>
      <c r="J64" s="12" t="s">
        <v>33</v>
      </c>
      <c r="K64" s="12">
        <v>1</v>
      </c>
      <c r="L64" s="12">
        <v>1</v>
      </c>
      <c r="M64" s="12">
        <v>0</v>
      </c>
      <c r="N64" s="12">
        <v>0</v>
      </c>
      <c r="O64" s="12">
        <v>0</v>
      </c>
      <c r="P64" s="12">
        <v>0</v>
      </c>
      <c r="Q64" s="12">
        <v>1</v>
      </c>
      <c r="R64" s="12" t="s">
        <v>27</v>
      </c>
      <c r="S64" s="12" t="s">
        <v>28</v>
      </c>
    </row>
    <row r="65" spans="1:19" x14ac:dyDescent="0.15">
      <c r="A65" s="12">
        <v>20003</v>
      </c>
      <c r="B65" s="12">
        <v>1</v>
      </c>
      <c r="C65" s="12" t="str">
        <f t="shared" ref="C65:C73" si="11">A65&amp; "_"&amp;B65</f>
        <v>20003_1</v>
      </c>
      <c r="D65" s="12" t="str">
        <f>VLOOKUP(C65,[1]stages!$A:$AE,31,FALSE)</f>
        <v>everyone</v>
      </c>
      <c r="E65" s="12">
        <v>64</v>
      </c>
      <c r="F65" s="12">
        <v>20</v>
      </c>
      <c r="G65" s="10" t="str">
        <f>IF(I65="unit",VLOOKUP(F65,[2]characters!$A:$C,3,FALSE),"-")</f>
        <v>-</v>
      </c>
      <c r="H65" s="12">
        <v>200</v>
      </c>
      <c r="I65" s="12" t="s">
        <v>35</v>
      </c>
      <c r="J65" s="12" t="s">
        <v>33</v>
      </c>
      <c r="K65" s="12">
        <v>1</v>
      </c>
      <c r="L65" s="12">
        <v>1</v>
      </c>
      <c r="M65" s="12">
        <v>0</v>
      </c>
      <c r="N65" s="12">
        <v>0</v>
      </c>
      <c r="O65" s="12">
        <v>0</v>
      </c>
      <c r="P65" s="12">
        <v>0</v>
      </c>
      <c r="Q65" s="12">
        <v>1</v>
      </c>
      <c r="R65" s="12" t="s">
        <v>27</v>
      </c>
      <c r="S65" s="12" t="s">
        <v>28</v>
      </c>
    </row>
    <row r="66" spans="1:19" x14ac:dyDescent="0.15">
      <c r="A66" s="12">
        <v>20003</v>
      </c>
      <c r="B66" s="12">
        <v>1</v>
      </c>
      <c r="C66" s="12" t="str">
        <f t="shared" si="11"/>
        <v>20003_1</v>
      </c>
      <c r="D66" s="12" t="str">
        <f>VLOOKUP(C66,[1]stages!$A:$AE,31,FALSE)</f>
        <v>everyone</v>
      </c>
      <c r="E66" s="12">
        <v>65</v>
      </c>
      <c r="F66" s="12">
        <v>340</v>
      </c>
      <c r="G66" s="10" t="str">
        <f>IF(I66="unit",VLOOKUP(F66,[2]characters!$A:$C,3,FALSE),"-")</f>
        <v>水のメタルピヨピヨ</v>
      </c>
      <c r="H66" s="12">
        <v>98</v>
      </c>
      <c r="I66" s="12" t="s">
        <v>36</v>
      </c>
      <c r="J66" s="12">
        <v>1</v>
      </c>
      <c r="K66" s="12">
        <v>1</v>
      </c>
      <c r="L66" s="12">
        <v>1</v>
      </c>
      <c r="M66" s="12">
        <v>0</v>
      </c>
      <c r="N66" s="12">
        <v>0</v>
      </c>
      <c r="O66" s="12">
        <v>0</v>
      </c>
      <c r="P66" s="12">
        <v>0</v>
      </c>
      <c r="Q66" s="12">
        <v>1</v>
      </c>
      <c r="R66" s="12" t="s">
        <v>27</v>
      </c>
      <c r="S66" s="12" t="s">
        <v>28</v>
      </c>
    </row>
    <row r="67" spans="1:19" x14ac:dyDescent="0.15">
      <c r="A67" s="12">
        <v>20003</v>
      </c>
      <c r="B67" s="12">
        <v>1</v>
      </c>
      <c r="C67" s="12" t="str">
        <f t="shared" si="11"/>
        <v>20003_1</v>
      </c>
      <c r="D67" s="12" t="str">
        <f>VLOOKUP(C67,[1]stages!$A:$AE,31,FALSE)</f>
        <v>everyone</v>
      </c>
      <c r="E67" s="12">
        <v>66</v>
      </c>
      <c r="F67" s="12">
        <v>341</v>
      </c>
      <c r="G67" s="10" t="str">
        <f>IF(I67="unit",VLOOKUP(F67,[2]characters!$A:$C,3,FALSE),"-")</f>
        <v>水のメタルチック</v>
      </c>
      <c r="H67" s="12">
        <v>42</v>
      </c>
      <c r="I67" s="12" t="s">
        <v>36</v>
      </c>
      <c r="J67" s="12">
        <v>1</v>
      </c>
      <c r="K67" s="12">
        <v>1</v>
      </c>
      <c r="L67" s="12">
        <v>1</v>
      </c>
      <c r="M67" s="12">
        <v>0</v>
      </c>
      <c r="N67" s="12">
        <v>0</v>
      </c>
      <c r="O67" s="12">
        <v>0</v>
      </c>
      <c r="P67" s="12">
        <v>0</v>
      </c>
      <c r="Q67" s="12">
        <v>1</v>
      </c>
      <c r="R67" s="12" t="s">
        <v>27</v>
      </c>
      <c r="S67" s="12" t="s">
        <v>28</v>
      </c>
    </row>
    <row r="68" spans="1:19" x14ac:dyDescent="0.15">
      <c r="A68" s="12">
        <v>20003</v>
      </c>
      <c r="B68" s="12">
        <v>1</v>
      </c>
      <c r="C68" s="12" t="str">
        <f t="shared" si="11"/>
        <v>20003_1</v>
      </c>
      <c r="D68" s="12" t="str">
        <f>VLOOKUP(C68,[1]stages!$A:$AE,31,FALSE)</f>
        <v>everyone</v>
      </c>
      <c r="E68" s="12">
        <v>67</v>
      </c>
      <c r="F68" s="12">
        <v>121</v>
      </c>
      <c r="G68" s="10" t="str">
        <f>IF(I68="unit",VLOOKUP(F68,[2]characters!$A:$C,3,FALSE),"-")</f>
        <v>攻めの果実</v>
      </c>
      <c r="H68" s="12">
        <v>50</v>
      </c>
      <c r="I68" s="12" t="s">
        <v>36</v>
      </c>
      <c r="J68" s="12">
        <v>1</v>
      </c>
      <c r="K68" s="12">
        <v>1</v>
      </c>
      <c r="L68" s="12">
        <v>1</v>
      </c>
      <c r="M68" s="12">
        <v>0</v>
      </c>
      <c r="N68" s="12">
        <v>0</v>
      </c>
      <c r="O68" s="12">
        <v>0</v>
      </c>
      <c r="P68" s="12">
        <v>0</v>
      </c>
      <c r="Q68" s="12">
        <v>1</v>
      </c>
      <c r="R68" s="12" t="s">
        <v>27</v>
      </c>
      <c r="S68" s="12" t="s">
        <v>28</v>
      </c>
    </row>
    <row r="69" spans="1:19" x14ac:dyDescent="0.15">
      <c r="A69" s="12">
        <v>20003</v>
      </c>
      <c r="B69" s="12">
        <v>1</v>
      </c>
      <c r="C69" s="12" t="str">
        <f t="shared" si="11"/>
        <v>20003_1</v>
      </c>
      <c r="D69" s="12" t="str">
        <f>VLOOKUP(C69,[1]stages!$A:$AE,31,FALSE)</f>
        <v>everyone</v>
      </c>
      <c r="E69" s="12">
        <v>68</v>
      </c>
      <c r="F69" s="12">
        <v>122</v>
      </c>
      <c r="G69" s="10" t="str">
        <f>IF(I69="unit",VLOOKUP(F69,[2]characters!$A:$C,3,FALSE),"-")</f>
        <v>生命の果実</v>
      </c>
      <c r="H69" s="12">
        <v>50</v>
      </c>
      <c r="I69" s="12" t="s">
        <v>36</v>
      </c>
      <c r="J69" s="12">
        <v>1</v>
      </c>
      <c r="K69" s="12">
        <v>1</v>
      </c>
      <c r="L69" s="12">
        <v>1</v>
      </c>
      <c r="M69" s="12">
        <v>0</v>
      </c>
      <c r="N69" s="12">
        <v>0</v>
      </c>
      <c r="O69" s="12">
        <v>0</v>
      </c>
      <c r="P69" s="12">
        <v>0</v>
      </c>
      <c r="Q69" s="12">
        <v>1</v>
      </c>
      <c r="R69" s="12" t="s">
        <v>27</v>
      </c>
      <c r="S69" s="12" t="s">
        <v>28</v>
      </c>
    </row>
    <row r="70" spans="1:19" x14ac:dyDescent="0.15">
      <c r="A70" s="12">
        <v>20003</v>
      </c>
      <c r="B70" s="12">
        <v>1</v>
      </c>
      <c r="C70" s="12" t="str">
        <f t="shared" si="11"/>
        <v>20003_1</v>
      </c>
      <c r="D70" s="12" t="str">
        <f>VLOOKUP(C70,[1]stages!$A:$AE,31,FALSE)</f>
        <v>everyone</v>
      </c>
      <c r="E70" s="12">
        <v>69</v>
      </c>
      <c r="F70" s="12">
        <v>123</v>
      </c>
      <c r="G70" s="10" t="str">
        <f>IF(I70="unit",VLOOKUP(F70,[2]characters!$A:$C,3,FALSE),"-")</f>
        <v>癒しの果実</v>
      </c>
      <c r="H70" s="12">
        <v>50</v>
      </c>
      <c r="I70" s="12" t="s">
        <v>36</v>
      </c>
      <c r="J70" s="12">
        <v>1</v>
      </c>
      <c r="K70" s="12">
        <v>1</v>
      </c>
      <c r="L70" s="12">
        <v>1</v>
      </c>
      <c r="M70" s="12">
        <v>0</v>
      </c>
      <c r="N70" s="12">
        <v>0</v>
      </c>
      <c r="O70" s="12">
        <v>0</v>
      </c>
      <c r="P70" s="12">
        <v>0</v>
      </c>
      <c r="Q70" s="12">
        <v>1</v>
      </c>
      <c r="R70" s="12" t="s">
        <v>27</v>
      </c>
      <c r="S70" s="12" t="s">
        <v>28</v>
      </c>
    </row>
    <row r="71" spans="1:19" x14ac:dyDescent="0.15">
      <c r="A71" s="12">
        <v>20003</v>
      </c>
      <c r="B71" s="12">
        <v>1</v>
      </c>
      <c r="C71" s="12" t="str">
        <f t="shared" si="11"/>
        <v>20003_1</v>
      </c>
      <c r="D71" s="12" t="str">
        <f>VLOOKUP(C71,[1]stages!$A:$AE,31,FALSE)</f>
        <v>everyone</v>
      </c>
      <c r="E71" s="12">
        <v>70</v>
      </c>
      <c r="F71" s="12">
        <v>125</v>
      </c>
      <c r="G71" s="10" t="str">
        <f>IF(I71="unit",VLOOKUP(F71,[2]characters!$A:$C,3,FALSE),"-")</f>
        <v>秘術の果実</v>
      </c>
      <c r="H71" s="12">
        <v>10</v>
      </c>
      <c r="I71" s="12" t="s">
        <v>36</v>
      </c>
      <c r="J71" s="12">
        <v>1</v>
      </c>
      <c r="K71" s="12">
        <v>1</v>
      </c>
      <c r="L71" s="12">
        <v>1</v>
      </c>
      <c r="M71" s="12">
        <v>0</v>
      </c>
      <c r="N71" s="12">
        <v>0</v>
      </c>
      <c r="O71" s="12">
        <v>0</v>
      </c>
      <c r="P71" s="12">
        <v>0</v>
      </c>
      <c r="Q71" s="12">
        <v>1</v>
      </c>
      <c r="R71" s="12" t="s">
        <v>27</v>
      </c>
      <c r="S71" s="12" t="s">
        <v>28</v>
      </c>
    </row>
    <row r="72" spans="1:19" x14ac:dyDescent="0.15">
      <c r="A72" s="12">
        <v>20003</v>
      </c>
      <c r="B72" s="12">
        <v>1</v>
      </c>
      <c r="C72" s="12" t="str">
        <f t="shared" si="11"/>
        <v>20003_1</v>
      </c>
      <c r="D72" s="12" t="str">
        <f>VLOOKUP(C72,[1]stages!$A:$AE,31,FALSE)</f>
        <v>everyone</v>
      </c>
      <c r="E72" s="12">
        <v>71</v>
      </c>
      <c r="F72" s="12">
        <v>266</v>
      </c>
      <c r="G72" s="10" t="str">
        <f>IF(I72="unit",VLOOKUP(F72,[2]characters!$A:$C,3,FALSE),"-")</f>
        <v>リリアンブルー</v>
      </c>
      <c r="H72" s="12">
        <v>200</v>
      </c>
      <c r="I72" s="12" t="s">
        <v>36</v>
      </c>
      <c r="J72" s="12">
        <v>1</v>
      </c>
      <c r="K72" s="12">
        <v>1</v>
      </c>
      <c r="L72" s="12">
        <v>1</v>
      </c>
      <c r="M72" s="12">
        <v>0</v>
      </c>
      <c r="N72" s="12">
        <v>0</v>
      </c>
      <c r="O72" s="12">
        <v>0</v>
      </c>
      <c r="P72" s="12">
        <v>0</v>
      </c>
      <c r="Q72" s="12">
        <v>1</v>
      </c>
      <c r="R72" s="12" t="s">
        <v>27</v>
      </c>
      <c r="S72" s="12" t="s">
        <v>28</v>
      </c>
    </row>
    <row r="73" spans="1:19" x14ac:dyDescent="0.15">
      <c r="A73" s="12">
        <v>20003</v>
      </c>
      <c r="B73" s="12">
        <v>1</v>
      </c>
      <c r="C73" s="12" t="str">
        <f t="shared" si="11"/>
        <v>20003_1</v>
      </c>
      <c r="D73" s="12" t="str">
        <f>VLOOKUP(C73,[1]stages!$A:$AE,31,FALSE)</f>
        <v>everyone</v>
      </c>
      <c r="E73" s="12">
        <v>72</v>
      </c>
      <c r="F73" s="12">
        <v>352</v>
      </c>
      <c r="G73" s="10" t="str">
        <f>IF(I73="unit",VLOOKUP(F73,[2]characters!$A:$C,3,FALSE),"-")</f>
        <v>水のケロケロ</v>
      </c>
      <c r="H73" s="12">
        <v>100</v>
      </c>
      <c r="I73" s="12" t="s">
        <v>36</v>
      </c>
      <c r="J73" s="12">
        <v>1</v>
      </c>
      <c r="K73" s="12">
        <v>1</v>
      </c>
      <c r="L73" s="12">
        <v>1</v>
      </c>
      <c r="M73" s="12">
        <v>0</v>
      </c>
      <c r="N73" s="12">
        <v>0</v>
      </c>
      <c r="O73" s="12">
        <v>0</v>
      </c>
      <c r="P73" s="12">
        <v>0</v>
      </c>
      <c r="Q73" s="12">
        <v>1</v>
      </c>
      <c r="R73" s="12" t="s">
        <v>27</v>
      </c>
      <c r="S73" s="12" t="s">
        <v>28</v>
      </c>
    </row>
    <row r="74" spans="1:19" x14ac:dyDescent="0.15">
      <c r="A74" s="12">
        <v>20003</v>
      </c>
      <c r="B74" s="12">
        <v>2</v>
      </c>
      <c r="C74" s="12" t="str">
        <f>A74&amp; "_"&amp;B74</f>
        <v>20003_2</v>
      </c>
      <c r="D74" s="12" t="str">
        <f>VLOOKUP(C74,[1]stages!$A:$AE,31,FALSE)</f>
        <v>everyone</v>
      </c>
      <c r="E74" s="12">
        <v>73</v>
      </c>
      <c r="F74" s="12">
        <v>3200</v>
      </c>
      <c r="G74" s="10" t="str">
        <f>IF(I74="unit",VLOOKUP(F74,[2]characters!$A:$C,3,FALSE),"-")</f>
        <v>-</v>
      </c>
      <c r="H74" s="12">
        <v>200</v>
      </c>
      <c r="I74" s="12" t="s">
        <v>32</v>
      </c>
      <c r="J74" s="12" t="s">
        <v>33</v>
      </c>
      <c r="K74" s="12">
        <v>1</v>
      </c>
      <c r="L74" s="12">
        <v>1</v>
      </c>
      <c r="M74" s="12">
        <v>0</v>
      </c>
      <c r="N74" s="12">
        <v>0</v>
      </c>
      <c r="O74" s="12">
        <v>0</v>
      </c>
      <c r="P74" s="12">
        <v>0</v>
      </c>
      <c r="Q74" s="12">
        <v>1</v>
      </c>
      <c r="R74" s="12" t="s">
        <v>27</v>
      </c>
      <c r="S74" s="12" t="s">
        <v>28</v>
      </c>
    </row>
    <row r="75" spans="1:19" x14ac:dyDescent="0.15">
      <c r="A75" s="12">
        <v>20003</v>
      </c>
      <c r="B75" s="12">
        <v>2</v>
      </c>
      <c r="C75" s="12" t="str">
        <f t="shared" ref="C75:C83" si="12">A75&amp; "_"&amp;B75</f>
        <v>20003_2</v>
      </c>
      <c r="D75" s="12" t="str">
        <f>VLOOKUP(C75,[1]stages!$A:$AE,31,FALSE)</f>
        <v>everyone</v>
      </c>
      <c r="E75" s="12">
        <v>74</v>
      </c>
      <c r="F75" s="12">
        <v>20</v>
      </c>
      <c r="G75" s="10" t="str">
        <f>IF(I75="unit",VLOOKUP(F75,[2]characters!$A:$C,3,FALSE),"-")</f>
        <v>-</v>
      </c>
      <c r="H75" s="12">
        <v>150</v>
      </c>
      <c r="I75" s="12" t="s">
        <v>35</v>
      </c>
      <c r="J75" s="12" t="s">
        <v>33</v>
      </c>
      <c r="K75" s="12">
        <v>1</v>
      </c>
      <c r="L75" s="12">
        <v>1</v>
      </c>
      <c r="M75" s="12">
        <v>0</v>
      </c>
      <c r="N75" s="12">
        <v>0</v>
      </c>
      <c r="O75" s="12">
        <v>0</v>
      </c>
      <c r="P75" s="12">
        <v>0</v>
      </c>
      <c r="Q75" s="12">
        <v>1</v>
      </c>
      <c r="R75" s="12" t="s">
        <v>27</v>
      </c>
      <c r="S75" s="12" t="s">
        <v>28</v>
      </c>
    </row>
    <row r="76" spans="1:19" x14ac:dyDescent="0.15">
      <c r="A76" s="12">
        <v>20003</v>
      </c>
      <c r="B76" s="12">
        <v>2</v>
      </c>
      <c r="C76" s="12" t="str">
        <f t="shared" si="12"/>
        <v>20003_2</v>
      </c>
      <c r="D76" s="12" t="str">
        <f>VLOOKUP(C76,[1]stages!$A:$AE,31,FALSE)</f>
        <v>everyone</v>
      </c>
      <c r="E76" s="12">
        <v>75</v>
      </c>
      <c r="F76" s="12">
        <v>340</v>
      </c>
      <c r="G76" s="10" t="str">
        <f>IF(I76="unit",VLOOKUP(F76,[2]characters!$A:$C,3,FALSE),"-")</f>
        <v>水のメタルピヨピヨ</v>
      </c>
      <c r="H76" s="12">
        <v>70</v>
      </c>
      <c r="I76" s="12" t="s">
        <v>36</v>
      </c>
      <c r="J76" s="12">
        <v>1</v>
      </c>
      <c r="K76" s="12">
        <v>1</v>
      </c>
      <c r="L76" s="12">
        <v>1</v>
      </c>
      <c r="M76" s="12">
        <v>0</v>
      </c>
      <c r="N76" s="12">
        <v>0</v>
      </c>
      <c r="O76" s="12">
        <v>0</v>
      </c>
      <c r="P76" s="12">
        <v>0</v>
      </c>
      <c r="Q76" s="12">
        <v>1</v>
      </c>
      <c r="R76" s="12" t="s">
        <v>27</v>
      </c>
      <c r="S76" s="12" t="s">
        <v>28</v>
      </c>
    </row>
    <row r="77" spans="1:19" x14ac:dyDescent="0.15">
      <c r="A77" s="12">
        <v>20003</v>
      </c>
      <c r="B77" s="12">
        <v>2</v>
      </c>
      <c r="C77" s="12" t="str">
        <f t="shared" si="12"/>
        <v>20003_2</v>
      </c>
      <c r="D77" s="12" t="str">
        <f>VLOOKUP(C77,[1]stages!$A:$AE,31,FALSE)</f>
        <v>everyone</v>
      </c>
      <c r="E77" s="12">
        <v>76</v>
      </c>
      <c r="F77" s="12">
        <v>341</v>
      </c>
      <c r="G77" s="10" t="str">
        <f>IF(I77="unit",VLOOKUP(F77,[2]characters!$A:$C,3,FALSE),"-")</f>
        <v>水のメタルチック</v>
      </c>
      <c r="H77" s="12">
        <v>70</v>
      </c>
      <c r="I77" s="12" t="s">
        <v>36</v>
      </c>
      <c r="J77" s="12">
        <v>1</v>
      </c>
      <c r="K77" s="12">
        <v>1</v>
      </c>
      <c r="L77" s="12">
        <v>1</v>
      </c>
      <c r="M77" s="12">
        <v>0</v>
      </c>
      <c r="N77" s="12">
        <v>0</v>
      </c>
      <c r="O77" s="12">
        <v>0</v>
      </c>
      <c r="P77" s="12">
        <v>0</v>
      </c>
      <c r="Q77" s="12">
        <v>1</v>
      </c>
      <c r="R77" s="12" t="s">
        <v>27</v>
      </c>
      <c r="S77" s="12" t="s">
        <v>28</v>
      </c>
    </row>
    <row r="78" spans="1:19" x14ac:dyDescent="0.15">
      <c r="A78" s="12">
        <v>20003</v>
      </c>
      <c r="B78" s="12">
        <v>2</v>
      </c>
      <c r="C78" s="12" t="str">
        <f t="shared" si="12"/>
        <v>20003_2</v>
      </c>
      <c r="D78" s="12" t="str">
        <f>VLOOKUP(C78,[1]stages!$A:$AE,31,FALSE)</f>
        <v>everyone</v>
      </c>
      <c r="E78" s="12">
        <v>77</v>
      </c>
      <c r="F78" s="12">
        <v>121</v>
      </c>
      <c r="G78" s="10" t="str">
        <f>IF(I78="unit",VLOOKUP(F78,[2]characters!$A:$C,3,FALSE),"-")</f>
        <v>攻めの果実</v>
      </c>
      <c r="H78" s="12">
        <v>50</v>
      </c>
      <c r="I78" s="12" t="s">
        <v>36</v>
      </c>
      <c r="J78" s="12">
        <v>1</v>
      </c>
      <c r="K78" s="12">
        <v>1</v>
      </c>
      <c r="L78" s="12">
        <v>1</v>
      </c>
      <c r="M78" s="12">
        <v>0</v>
      </c>
      <c r="N78" s="12">
        <v>0</v>
      </c>
      <c r="O78" s="12">
        <v>0</v>
      </c>
      <c r="P78" s="12">
        <v>0</v>
      </c>
      <c r="Q78" s="12">
        <v>1</v>
      </c>
      <c r="R78" s="12" t="s">
        <v>27</v>
      </c>
      <c r="S78" s="12" t="s">
        <v>28</v>
      </c>
    </row>
    <row r="79" spans="1:19" x14ac:dyDescent="0.15">
      <c r="A79" s="12">
        <v>20003</v>
      </c>
      <c r="B79" s="12">
        <v>2</v>
      </c>
      <c r="C79" s="12" t="str">
        <f t="shared" si="12"/>
        <v>20003_2</v>
      </c>
      <c r="D79" s="12" t="str">
        <f>VLOOKUP(C79,[1]stages!$A:$AE,31,FALSE)</f>
        <v>everyone</v>
      </c>
      <c r="E79" s="12">
        <v>78</v>
      </c>
      <c r="F79" s="12">
        <v>122</v>
      </c>
      <c r="G79" s="10" t="str">
        <f>IF(I79="unit",VLOOKUP(F79,[2]characters!$A:$C,3,FALSE),"-")</f>
        <v>生命の果実</v>
      </c>
      <c r="H79" s="12">
        <v>50</v>
      </c>
      <c r="I79" s="12" t="s">
        <v>36</v>
      </c>
      <c r="J79" s="12">
        <v>1</v>
      </c>
      <c r="K79" s="12">
        <v>1</v>
      </c>
      <c r="L79" s="12">
        <v>1</v>
      </c>
      <c r="M79" s="12">
        <v>0</v>
      </c>
      <c r="N79" s="12">
        <v>0</v>
      </c>
      <c r="O79" s="12">
        <v>0</v>
      </c>
      <c r="P79" s="12">
        <v>0</v>
      </c>
      <c r="Q79" s="12">
        <v>1</v>
      </c>
      <c r="R79" s="12" t="s">
        <v>27</v>
      </c>
      <c r="S79" s="12" t="s">
        <v>28</v>
      </c>
    </row>
    <row r="80" spans="1:19" x14ac:dyDescent="0.15">
      <c r="A80" s="12">
        <v>20003</v>
      </c>
      <c r="B80" s="12">
        <v>2</v>
      </c>
      <c r="C80" s="12" t="str">
        <f t="shared" si="12"/>
        <v>20003_2</v>
      </c>
      <c r="D80" s="12" t="str">
        <f>VLOOKUP(C80,[1]stages!$A:$AE,31,FALSE)</f>
        <v>everyone</v>
      </c>
      <c r="E80" s="12">
        <v>79</v>
      </c>
      <c r="F80" s="12">
        <v>123</v>
      </c>
      <c r="G80" s="10" t="str">
        <f>IF(I80="unit",VLOOKUP(F80,[2]characters!$A:$C,3,FALSE),"-")</f>
        <v>癒しの果実</v>
      </c>
      <c r="H80" s="12">
        <v>50</v>
      </c>
      <c r="I80" s="12" t="s">
        <v>36</v>
      </c>
      <c r="J80" s="12">
        <v>1</v>
      </c>
      <c r="K80" s="12">
        <v>1</v>
      </c>
      <c r="L80" s="12">
        <v>1</v>
      </c>
      <c r="M80" s="12">
        <v>0</v>
      </c>
      <c r="N80" s="12">
        <v>0</v>
      </c>
      <c r="O80" s="12">
        <v>0</v>
      </c>
      <c r="P80" s="12">
        <v>0</v>
      </c>
      <c r="Q80" s="12">
        <v>1</v>
      </c>
      <c r="R80" s="12" t="s">
        <v>27</v>
      </c>
      <c r="S80" s="12" t="s">
        <v>28</v>
      </c>
    </row>
    <row r="81" spans="1:19" x14ac:dyDescent="0.15">
      <c r="A81" s="12">
        <v>20003</v>
      </c>
      <c r="B81" s="12">
        <v>2</v>
      </c>
      <c r="C81" s="12" t="str">
        <f t="shared" si="12"/>
        <v>20003_2</v>
      </c>
      <c r="D81" s="12" t="str">
        <f>VLOOKUP(C81,[1]stages!$A:$AE,31,FALSE)</f>
        <v>everyone</v>
      </c>
      <c r="E81" s="12">
        <v>80</v>
      </c>
      <c r="F81" s="12">
        <v>125</v>
      </c>
      <c r="G81" s="10" t="str">
        <f>IF(I81="unit",VLOOKUP(F81,[2]characters!$A:$C,3,FALSE),"-")</f>
        <v>秘術の果実</v>
      </c>
      <c r="H81" s="12">
        <v>10</v>
      </c>
      <c r="I81" s="12" t="s">
        <v>36</v>
      </c>
      <c r="J81" s="12">
        <v>1</v>
      </c>
      <c r="K81" s="12">
        <v>1</v>
      </c>
      <c r="L81" s="12">
        <v>1</v>
      </c>
      <c r="M81" s="12">
        <v>0</v>
      </c>
      <c r="N81" s="12">
        <v>0</v>
      </c>
      <c r="O81" s="12">
        <v>0</v>
      </c>
      <c r="P81" s="12">
        <v>0</v>
      </c>
      <c r="Q81" s="12">
        <v>1</v>
      </c>
      <c r="R81" s="12" t="s">
        <v>27</v>
      </c>
      <c r="S81" s="12" t="s">
        <v>28</v>
      </c>
    </row>
    <row r="82" spans="1:19" x14ac:dyDescent="0.15">
      <c r="A82" s="12">
        <v>20003</v>
      </c>
      <c r="B82" s="12">
        <v>2</v>
      </c>
      <c r="C82" s="12" t="str">
        <f t="shared" si="12"/>
        <v>20003_2</v>
      </c>
      <c r="D82" s="12" t="str">
        <f>VLOOKUP(C82,[1]stages!$A:$AE,31,FALSE)</f>
        <v>everyone</v>
      </c>
      <c r="E82" s="12">
        <v>81</v>
      </c>
      <c r="F82" s="12">
        <v>266</v>
      </c>
      <c r="G82" s="10" t="str">
        <f>IF(I82="unit",VLOOKUP(F82,[2]characters!$A:$C,3,FALSE),"-")</f>
        <v>リリアンブルー</v>
      </c>
      <c r="H82" s="12">
        <v>250</v>
      </c>
      <c r="I82" s="12" t="s">
        <v>36</v>
      </c>
      <c r="J82" s="12">
        <v>1</v>
      </c>
      <c r="K82" s="12">
        <v>1</v>
      </c>
      <c r="L82" s="12">
        <v>1</v>
      </c>
      <c r="M82" s="12">
        <v>0</v>
      </c>
      <c r="N82" s="12">
        <v>0</v>
      </c>
      <c r="O82" s="12">
        <v>0</v>
      </c>
      <c r="P82" s="12">
        <v>0</v>
      </c>
      <c r="Q82" s="12">
        <v>1</v>
      </c>
      <c r="R82" s="12" t="s">
        <v>27</v>
      </c>
      <c r="S82" s="12" t="s">
        <v>28</v>
      </c>
    </row>
    <row r="83" spans="1:19" x14ac:dyDescent="0.15">
      <c r="A83" s="12">
        <v>20003</v>
      </c>
      <c r="B83" s="12">
        <v>2</v>
      </c>
      <c r="C83" s="12" t="str">
        <f t="shared" si="12"/>
        <v>20003_2</v>
      </c>
      <c r="D83" s="12" t="str">
        <f>VLOOKUP(C83,[1]stages!$A:$AE,31,FALSE)</f>
        <v>everyone</v>
      </c>
      <c r="E83" s="12">
        <v>82</v>
      </c>
      <c r="F83" s="12">
        <v>352</v>
      </c>
      <c r="G83" s="10" t="str">
        <f>IF(I83="unit",VLOOKUP(F83,[2]characters!$A:$C,3,FALSE),"-")</f>
        <v>水のケロケロ</v>
      </c>
      <c r="H83" s="12">
        <v>100</v>
      </c>
      <c r="I83" s="12" t="s">
        <v>36</v>
      </c>
      <c r="J83" s="12">
        <v>1</v>
      </c>
      <c r="K83" s="12">
        <v>1</v>
      </c>
      <c r="L83" s="12">
        <v>1</v>
      </c>
      <c r="M83" s="12">
        <v>0</v>
      </c>
      <c r="N83" s="12">
        <v>0</v>
      </c>
      <c r="O83" s="12">
        <v>0</v>
      </c>
      <c r="P83" s="12">
        <v>0</v>
      </c>
      <c r="Q83" s="12">
        <v>1</v>
      </c>
      <c r="R83" s="12" t="s">
        <v>27</v>
      </c>
      <c r="S83" s="12" t="s">
        <v>28</v>
      </c>
    </row>
    <row r="84" spans="1:19" x14ac:dyDescent="0.15">
      <c r="A84" s="12">
        <v>20003</v>
      </c>
      <c r="B84" s="12">
        <v>3</v>
      </c>
      <c r="C84" s="12" t="str">
        <f>A84&amp; "_"&amp;B84</f>
        <v>20003_3</v>
      </c>
      <c r="D84" s="12" t="str">
        <f>VLOOKUP(C84,[1]stages!$A:$AE,31,FALSE)</f>
        <v>everyone</v>
      </c>
      <c r="E84" s="12">
        <v>83</v>
      </c>
      <c r="F84" s="12">
        <v>5000</v>
      </c>
      <c r="G84" s="10" t="str">
        <f>IF(I84="unit",VLOOKUP(F84,[2]characters!$A:$C,3,FALSE),"-")</f>
        <v>-</v>
      </c>
      <c r="H84" s="12">
        <v>100</v>
      </c>
      <c r="I84" s="12" t="s">
        <v>32</v>
      </c>
      <c r="J84" s="12" t="s">
        <v>33</v>
      </c>
      <c r="K84" s="12">
        <v>1</v>
      </c>
      <c r="L84" s="12">
        <v>1</v>
      </c>
      <c r="M84" s="12">
        <v>0</v>
      </c>
      <c r="N84" s="12">
        <v>0</v>
      </c>
      <c r="O84" s="12">
        <v>0</v>
      </c>
      <c r="P84" s="12">
        <v>0</v>
      </c>
      <c r="Q84" s="12">
        <v>1</v>
      </c>
      <c r="R84" s="12" t="s">
        <v>27</v>
      </c>
      <c r="S84" s="12" t="s">
        <v>28</v>
      </c>
    </row>
    <row r="85" spans="1:19" x14ac:dyDescent="0.15">
      <c r="A85" s="12">
        <v>20003</v>
      </c>
      <c r="B85" s="12">
        <v>3</v>
      </c>
      <c r="C85" s="12" t="str">
        <f t="shared" ref="C85:C94" si="13">A85&amp; "_"&amp;B85</f>
        <v>20003_3</v>
      </c>
      <c r="D85" s="12" t="str">
        <f>VLOOKUP(C85,[1]stages!$A:$AE,31,FALSE)</f>
        <v>everyone</v>
      </c>
      <c r="E85" s="12">
        <v>84</v>
      </c>
      <c r="F85" s="12">
        <v>25</v>
      </c>
      <c r="G85" s="10" t="str">
        <f>IF(I85="unit",VLOOKUP(F85,[2]characters!$A:$C,3,FALSE),"-")</f>
        <v>-</v>
      </c>
      <c r="H85" s="12">
        <v>100</v>
      </c>
      <c r="I85" s="12" t="s">
        <v>35</v>
      </c>
      <c r="J85" s="12" t="s">
        <v>33</v>
      </c>
      <c r="K85" s="12">
        <v>1</v>
      </c>
      <c r="L85" s="12">
        <v>1</v>
      </c>
      <c r="M85" s="12">
        <v>0</v>
      </c>
      <c r="N85" s="12">
        <v>0</v>
      </c>
      <c r="O85" s="12">
        <v>0</v>
      </c>
      <c r="P85" s="12">
        <v>0</v>
      </c>
      <c r="Q85" s="12">
        <v>1</v>
      </c>
      <c r="R85" s="12" t="s">
        <v>27</v>
      </c>
      <c r="S85" s="12" t="s">
        <v>28</v>
      </c>
    </row>
    <row r="86" spans="1:19" x14ac:dyDescent="0.15">
      <c r="A86" s="12">
        <v>20003</v>
      </c>
      <c r="B86" s="12">
        <v>3</v>
      </c>
      <c r="C86" s="12" t="str">
        <f t="shared" si="13"/>
        <v>20003_3</v>
      </c>
      <c r="D86" s="12" t="str">
        <f>VLOOKUP(C86,[1]stages!$A:$AE,31,FALSE)</f>
        <v>everyone</v>
      </c>
      <c r="E86" s="12">
        <v>85</v>
      </c>
      <c r="F86" s="12">
        <v>340</v>
      </c>
      <c r="G86" s="10" t="str">
        <f>IF(I86="unit",VLOOKUP(F86,[2]characters!$A:$C,3,FALSE),"-")</f>
        <v>水のメタルピヨピヨ</v>
      </c>
      <c r="H86" s="12">
        <v>56</v>
      </c>
      <c r="I86" s="12" t="s">
        <v>36</v>
      </c>
      <c r="J86" s="12">
        <v>1</v>
      </c>
      <c r="K86" s="12">
        <v>1</v>
      </c>
      <c r="L86" s="12">
        <v>1</v>
      </c>
      <c r="M86" s="12">
        <v>0</v>
      </c>
      <c r="N86" s="12">
        <v>0</v>
      </c>
      <c r="O86" s="12">
        <v>0</v>
      </c>
      <c r="P86" s="12">
        <v>0</v>
      </c>
      <c r="Q86" s="12">
        <v>1</v>
      </c>
      <c r="R86" s="12" t="s">
        <v>27</v>
      </c>
      <c r="S86" s="12" t="s">
        <v>28</v>
      </c>
    </row>
    <row r="87" spans="1:19" x14ac:dyDescent="0.15">
      <c r="A87" s="12">
        <v>20003</v>
      </c>
      <c r="B87" s="12">
        <v>3</v>
      </c>
      <c r="C87" s="12" t="str">
        <f t="shared" si="13"/>
        <v>20003_3</v>
      </c>
      <c r="D87" s="12" t="str">
        <f>VLOOKUP(C87,[1]stages!$A:$AE,31,FALSE)</f>
        <v>everyone</v>
      </c>
      <c r="E87" s="12">
        <v>86</v>
      </c>
      <c r="F87" s="12">
        <v>341</v>
      </c>
      <c r="G87" s="10" t="str">
        <f>IF(I87="unit",VLOOKUP(F87,[2]characters!$A:$C,3,FALSE),"-")</f>
        <v>水のメタルチック</v>
      </c>
      <c r="H87" s="12">
        <v>56</v>
      </c>
      <c r="I87" s="12" t="s">
        <v>36</v>
      </c>
      <c r="J87" s="12">
        <v>1</v>
      </c>
      <c r="K87" s="12">
        <v>1</v>
      </c>
      <c r="L87" s="12">
        <v>1</v>
      </c>
      <c r="M87" s="12">
        <v>0</v>
      </c>
      <c r="N87" s="12">
        <v>0</v>
      </c>
      <c r="O87" s="12">
        <v>0</v>
      </c>
      <c r="P87" s="12">
        <v>0</v>
      </c>
      <c r="Q87" s="12">
        <v>1</v>
      </c>
      <c r="R87" s="12" t="s">
        <v>27</v>
      </c>
      <c r="S87" s="12" t="s">
        <v>28</v>
      </c>
    </row>
    <row r="88" spans="1:19" x14ac:dyDescent="0.15">
      <c r="A88" s="12">
        <v>20003</v>
      </c>
      <c r="B88" s="12">
        <v>3</v>
      </c>
      <c r="C88" s="12" t="str">
        <f t="shared" si="13"/>
        <v>20003_3</v>
      </c>
      <c r="D88" s="12" t="str">
        <f>VLOOKUP(C88,[1]stages!$A:$AE,31,FALSE)</f>
        <v>everyone</v>
      </c>
      <c r="E88" s="12">
        <v>87</v>
      </c>
      <c r="F88" s="12">
        <v>342</v>
      </c>
      <c r="G88" s="10" t="str">
        <f>IF(I88="unit",VLOOKUP(F88,[2]characters!$A:$C,3,FALSE),"-")</f>
        <v>水のメタルダック</v>
      </c>
      <c r="H88" s="12">
        <v>28</v>
      </c>
      <c r="I88" s="12" t="s">
        <v>36</v>
      </c>
      <c r="J88" s="12">
        <v>1</v>
      </c>
      <c r="K88" s="12">
        <v>1</v>
      </c>
      <c r="L88" s="12">
        <v>1</v>
      </c>
      <c r="M88" s="12">
        <v>0</v>
      </c>
      <c r="N88" s="12">
        <v>0</v>
      </c>
      <c r="O88" s="12">
        <v>0</v>
      </c>
      <c r="P88" s="12">
        <v>0</v>
      </c>
      <c r="Q88" s="12">
        <v>1</v>
      </c>
      <c r="R88" s="12" t="s">
        <v>27</v>
      </c>
      <c r="S88" s="12" t="s">
        <v>28</v>
      </c>
    </row>
    <row r="89" spans="1:19" x14ac:dyDescent="0.15">
      <c r="A89" s="12">
        <v>20003</v>
      </c>
      <c r="B89" s="12">
        <v>3</v>
      </c>
      <c r="C89" s="12" t="str">
        <f t="shared" si="13"/>
        <v>20003_3</v>
      </c>
      <c r="D89" s="12" t="str">
        <f>VLOOKUP(C89,[1]stages!$A:$AE,31,FALSE)</f>
        <v>everyone</v>
      </c>
      <c r="E89" s="12">
        <v>88</v>
      </c>
      <c r="F89" s="12">
        <v>121</v>
      </c>
      <c r="G89" s="10" t="str">
        <f>IF(I89="unit",VLOOKUP(F89,[2]characters!$A:$C,3,FALSE),"-")</f>
        <v>攻めの果実</v>
      </c>
      <c r="H89" s="12">
        <v>50</v>
      </c>
      <c r="I89" s="12" t="s">
        <v>36</v>
      </c>
      <c r="J89" s="12">
        <v>1</v>
      </c>
      <c r="K89" s="12">
        <v>1</v>
      </c>
      <c r="L89" s="12">
        <v>1</v>
      </c>
      <c r="M89" s="12">
        <v>0</v>
      </c>
      <c r="N89" s="12">
        <v>0</v>
      </c>
      <c r="O89" s="12">
        <v>0</v>
      </c>
      <c r="P89" s="12">
        <v>0</v>
      </c>
      <c r="Q89" s="12">
        <v>1</v>
      </c>
      <c r="R89" s="12" t="s">
        <v>27</v>
      </c>
      <c r="S89" s="12" t="s">
        <v>28</v>
      </c>
    </row>
    <row r="90" spans="1:19" x14ac:dyDescent="0.15">
      <c r="A90" s="12">
        <v>20003</v>
      </c>
      <c r="B90" s="12">
        <v>3</v>
      </c>
      <c r="C90" s="12" t="str">
        <f t="shared" si="13"/>
        <v>20003_3</v>
      </c>
      <c r="D90" s="12" t="str">
        <f>VLOOKUP(C90,[1]stages!$A:$AE,31,FALSE)</f>
        <v>everyone</v>
      </c>
      <c r="E90" s="12">
        <v>89</v>
      </c>
      <c r="F90" s="12">
        <v>122</v>
      </c>
      <c r="G90" s="10" t="str">
        <f>IF(I90="unit",VLOOKUP(F90,[2]characters!$A:$C,3,FALSE),"-")</f>
        <v>生命の果実</v>
      </c>
      <c r="H90" s="12">
        <v>50</v>
      </c>
      <c r="I90" s="12" t="s">
        <v>36</v>
      </c>
      <c r="J90" s="12">
        <v>1</v>
      </c>
      <c r="K90" s="12">
        <v>1</v>
      </c>
      <c r="L90" s="12">
        <v>1</v>
      </c>
      <c r="M90" s="12">
        <v>0</v>
      </c>
      <c r="N90" s="12">
        <v>0</v>
      </c>
      <c r="O90" s="12">
        <v>0</v>
      </c>
      <c r="P90" s="12">
        <v>0</v>
      </c>
      <c r="Q90" s="12">
        <v>1</v>
      </c>
      <c r="R90" s="12" t="s">
        <v>27</v>
      </c>
      <c r="S90" s="12" t="s">
        <v>28</v>
      </c>
    </row>
    <row r="91" spans="1:19" x14ac:dyDescent="0.15">
      <c r="A91" s="12">
        <v>20003</v>
      </c>
      <c r="B91" s="12">
        <v>3</v>
      </c>
      <c r="C91" s="12" t="str">
        <f t="shared" si="13"/>
        <v>20003_3</v>
      </c>
      <c r="D91" s="12" t="str">
        <f>VLOOKUP(C91,[1]stages!$A:$AE,31,FALSE)</f>
        <v>everyone</v>
      </c>
      <c r="E91" s="12">
        <v>90</v>
      </c>
      <c r="F91" s="12">
        <v>123</v>
      </c>
      <c r="G91" s="10" t="str">
        <f>IF(I91="unit",VLOOKUP(F91,[2]characters!$A:$C,3,FALSE),"-")</f>
        <v>癒しの果実</v>
      </c>
      <c r="H91" s="12">
        <v>50</v>
      </c>
      <c r="I91" s="12" t="s">
        <v>36</v>
      </c>
      <c r="J91" s="12">
        <v>1</v>
      </c>
      <c r="K91" s="12">
        <v>1</v>
      </c>
      <c r="L91" s="12">
        <v>1</v>
      </c>
      <c r="M91" s="12">
        <v>0</v>
      </c>
      <c r="N91" s="12">
        <v>0</v>
      </c>
      <c r="O91" s="12">
        <v>0</v>
      </c>
      <c r="P91" s="12">
        <v>0</v>
      </c>
      <c r="Q91" s="12">
        <v>1</v>
      </c>
      <c r="R91" s="12" t="s">
        <v>27</v>
      </c>
      <c r="S91" s="12" t="s">
        <v>28</v>
      </c>
    </row>
    <row r="92" spans="1:19" x14ac:dyDescent="0.15">
      <c r="A92" s="12">
        <v>20003</v>
      </c>
      <c r="B92" s="12">
        <v>3</v>
      </c>
      <c r="C92" s="12" t="str">
        <f t="shared" si="13"/>
        <v>20003_3</v>
      </c>
      <c r="D92" s="12" t="str">
        <f>VLOOKUP(C92,[1]stages!$A:$AE,31,FALSE)</f>
        <v>everyone</v>
      </c>
      <c r="E92" s="12">
        <v>91</v>
      </c>
      <c r="F92" s="12">
        <v>125</v>
      </c>
      <c r="G92" s="10" t="str">
        <f>IF(I92="unit",VLOOKUP(F92,[2]characters!$A:$C,3,FALSE),"-")</f>
        <v>秘術の果実</v>
      </c>
      <c r="H92" s="12">
        <v>10</v>
      </c>
      <c r="I92" s="12" t="s">
        <v>36</v>
      </c>
      <c r="J92" s="12">
        <v>1</v>
      </c>
      <c r="K92" s="12">
        <v>1</v>
      </c>
      <c r="L92" s="12">
        <v>1</v>
      </c>
      <c r="M92" s="12">
        <v>0</v>
      </c>
      <c r="N92" s="12">
        <v>0</v>
      </c>
      <c r="O92" s="12">
        <v>0</v>
      </c>
      <c r="P92" s="12">
        <v>0</v>
      </c>
      <c r="Q92" s="12">
        <v>1</v>
      </c>
      <c r="R92" s="12" t="s">
        <v>27</v>
      </c>
      <c r="S92" s="12" t="s">
        <v>28</v>
      </c>
    </row>
    <row r="93" spans="1:19" x14ac:dyDescent="0.15">
      <c r="A93" s="12">
        <v>20003</v>
      </c>
      <c r="B93" s="12">
        <v>3</v>
      </c>
      <c r="C93" s="12" t="str">
        <f t="shared" si="13"/>
        <v>20003_3</v>
      </c>
      <c r="D93" s="12" t="str">
        <f>VLOOKUP(C93,[1]stages!$A:$AE,31,FALSE)</f>
        <v>everyone</v>
      </c>
      <c r="E93" s="12">
        <v>92</v>
      </c>
      <c r="F93" s="12">
        <v>266</v>
      </c>
      <c r="G93" s="10" t="str">
        <f>IF(I93="unit",VLOOKUP(F93,[2]characters!$A:$C,3,FALSE),"-")</f>
        <v>リリアンブルー</v>
      </c>
      <c r="H93" s="12">
        <v>400</v>
      </c>
      <c r="I93" s="12" t="s">
        <v>36</v>
      </c>
      <c r="J93" s="12">
        <v>1</v>
      </c>
      <c r="K93" s="12">
        <v>1</v>
      </c>
      <c r="L93" s="12">
        <v>1</v>
      </c>
      <c r="M93" s="12">
        <v>0</v>
      </c>
      <c r="N93" s="12">
        <v>0</v>
      </c>
      <c r="O93" s="12">
        <v>0</v>
      </c>
      <c r="P93" s="12">
        <v>0</v>
      </c>
      <c r="Q93" s="12">
        <v>1</v>
      </c>
      <c r="R93" s="12" t="s">
        <v>27</v>
      </c>
      <c r="S93" s="12" t="s">
        <v>28</v>
      </c>
    </row>
    <row r="94" spans="1:19" x14ac:dyDescent="0.15">
      <c r="A94" s="12">
        <v>20003</v>
      </c>
      <c r="B94" s="12">
        <v>3</v>
      </c>
      <c r="C94" s="12" t="str">
        <f t="shared" si="13"/>
        <v>20003_3</v>
      </c>
      <c r="D94" s="12" t="str">
        <f>VLOOKUP(C94,[1]stages!$A:$AE,31,FALSE)</f>
        <v>everyone</v>
      </c>
      <c r="E94" s="12">
        <v>93</v>
      </c>
      <c r="F94" s="12">
        <v>352</v>
      </c>
      <c r="G94" s="10" t="str">
        <f>IF(I94="unit",VLOOKUP(F94,[2]characters!$A:$C,3,FALSE),"-")</f>
        <v>水のケロケロ</v>
      </c>
      <c r="H94" s="12">
        <v>100</v>
      </c>
      <c r="I94" s="12" t="s">
        <v>36</v>
      </c>
      <c r="J94" s="12">
        <v>1</v>
      </c>
      <c r="K94" s="12">
        <v>1</v>
      </c>
      <c r="L94" s="12">
        <v>1</v>
      </c>
      <c r="M94" s="12">
        <v>0</v>
      </c>
      <c r="N94" s="12">
        <v>0</v>
      </c>
      <c r="O94" s="12">
        <v>0</v>
      </c>
      <c r="P94" s="12">
        <v>0</v>
      </c>
      <c r="Q94" s="12">
        <v>1</v>
      </c>
      <c r="R94" s="12" t="s">
        <v>27</v>
      </c>
      <c r="S94" s="12" t="s">
        <v>28</v>
      </c>
    </row>
    <row r="95" spans="1:19" x14ac:dyDescent="0.15">
      <c r="A95" s="9">
        <v>20004</v>
      </c>
      <c r="B95" s="9">
        <v>1</v>
      </c>
      <c r="C95" s="9" t="str">
        <f>A95&amp; "_"&amp;B95</f>
        <v>20004_1</v>
      </c>
      <c r="D95" s="9" t="str">
        <f>VLOOKUP(C95,[1]stages!$A:$AE,31,FALSE)</f>
        <v>everyone</v>
      </c>
      <c r="E95" s="9">
        <v>94</v>
      </c>
      <c r="F95" s="9">
        <v>1700</v>
      </c>
      <c r="G95" s="10" t="str">
        <f>IF(I95="unit",VLOOKUP(F95,[2]characters!$A:$C,3,FALSE),"-")</f>
        <v>-</v>
      </c>
      <c r="H95" s="9">
        <v>200</v>
      </c>
      <c r="I95" s="9" t="s">
        <v>32</v>
      </c>
      <c r="J95" s="9" t="s">
        <v>33</v>
      </c>
      <c r="K95" s="9">
        <v>1</v>
      </c>
      <c r="L95" s="9">
        <v>1</v>
      </c>
      <c r="M95" s="9">
        <v>0</v>
      </c>
      <c r="N95" s="9">
        <v>0</v>
      </c>
      <c r="O95" s="9">
        <v>0</v>
      </c>
      <c r="P95" s="9">
        <v>0</v>
      </c>
      <c r="Q95" s="9">
        <v>1</v>
      </c>
      <c r="R95" s="9" t="s">
        <v>27</v>
      </c>
      <c r="S95" s="9" t="s">
        <v>28</v>
      </c>
    </row>
    <row r="96" spans="1:19" x14ac:dyDescent="0.15">
      <c r="A96" s="9">
        <v>20004</v>
      </c>
      <c r="B96" s="9">
        <v>1</v>
      </c>
      <c r="C96" s="9" t="str">
        <f t="shared" ref="C96:C104" si="14">A96&amp; "_"&amp;B96</f>
        <v>20004_1</v>
      </c>
      <c r="D96" s="9" t="str">
        <f>VLOOKUP(C96,[1]stages!$A:$AE,31,FALSE)</f>
        <v>everyone</v>
      </c>
      <c r="E96" s="9">
        <v>95</v>
      </c>
      <c r="F96" s="9">
        <v>20</v>
      </c>
      <c r="G96" s="10" t="str">
        <f>IF(I96="unit",VLOOKUP(F96,[2]characters!$A:$C,3,FALSE),"-")</f>
        <v>-</v>
      </c>
      <c r="H96" s="9">
        <v>200</v>
      </c>
      <c r="I96" s="9" t="s">
        <v>35</v>
      </c>
      <c r="J96" s="9" t="s">
        <v>33</v>
      </c>
      <c r="K96" s="9">
        <v>1</v>
      </c>
      <c r="L96" s="9">
        <v>1</v>
      </c>
      <c r="M96" s="9">
        <v>0</v>
      </c>
      <c r="N96" s="9">
        <v>0</v>
      </c>
      <c r="O96" s="9">
        <v>0</v>
      </c>
      <c r="P96" s="9">
        <v>0</v>
      </c>
      <c r="Q96" s="9">
        <v>1</v>
      </c>
      <c r="R96" s="9" t="s">
        <v>27</v>
      </c>
      <c r="S96" s="9" t="s">
        <v>28</v>
      </c>
    </row>
    <row r="97" spans="1:19" x14ac:dyDescent="0.15">
      <c r="A97" s="9">
        <v>20004</v>
      </c>
      <c r="B97" s="9">
        <v>1</v>
      </c>
      <c r="C97" s="9" t="str">
        <f t="shared" si="14"/>
        <v>20004_1</v>
      </c>
      <c r="D97" s="9" t="str">
        <f>VLOOKUP(C97,[1]stages!$A:$AE,31,FALSE)</f>
        <v>everyone</v>
      </c>
      <c r="E97" s="9">
        <v>96</v>
      </c>
      <c r="F97" s="9">
        <v>344</v>
      </c>
      <c r="G97" s="10" t="str">
        <f>IF(I97="unit",VLOOKUP(F97,[2]characters!$A:$C,3,FALSE),"-")</f>
        <v>雷のメタルピヨピヨ</v>
      </c>
      <c r="H97" s="9">
        <v>98</v>
      </c>
      <c r="I97" s="9" t="s">
        <v>36</v>
      </c>
      <c r="J97" s="9">
        <v>1</v>
      </c>
      <c r="K97" s="9">
        <v>1</v>
      </c>
      <c r="L97" s="9">
        <v>1</v>
      </c>
      <c r="M97" s="9">
        <v>0</v>
      </c>
      <c r="N97" s="9">
        <v>0</v>
      </c>
      <c r="O97" s="9">
        <v>0</v>
      </c>
      <c r="P97" s="9">
        <v>0</v>
      </c>
      <c r="Q97" s="9">
        <v>1</v>
      </c>
      <c r="R97" s="9" t="s">
        <v>27</v>
      </c>
      <c r="S97" s="9" t="s">
        <v>28</v>
      </c>
    </row>
    <row r="98" spans="1:19" x14ac:dyDescent="0.15">
      <c r="A98" s="9">
        <v>20004</v>
      </c>
      <c r="B98" s="9">
        <v>1</v>
      </c>
      <c r="C98" s="9" t="str">
        <f t="shared" si="14"/>
        <v>20004_1</v>
      </c>
      <c r="D98" s="9" t="str">
        <f>VLOOKUP(C98,[1]stages!$A:$AE,31,FALSE)</f>
        <v>everyone</v>
      </c>
      <c r="E98" s="9">
        <v>97</v>
      </c>
      <c r="F98" s="9">
        <v>345</v>
      </c>
      <c r="G98" s="10" t="str">
        <f>IF(I98="unit",VLOOKUP(F98,[2]characters!$A:$C,3,FALSE),"-")</f>
        <v>雷のメタルチック</v>
      </c>
      <c r="H98" s="9">
        <v>42</v>
      </c>
      <c r="I98" s="9" t="s">
        <v>36</v>
      </c>
      <c r="J98" s="9">
        <v>1</v>
      </c>
      <c r="K98" s="9">
        <v>1</v>
      </c>
      <c r="L98" s="9">
        <v>1</v>
      </c>
      <c r="M98" s="9">
        <v>0</v>
      </c>
      <c r="N98" s="9">
        <v>0</v>
      </c>
      <c r="O98" s="9">
        <v>0</v>
      </c>
      <c r="P98" s="9">
        <v>0</v>
      </c>
      <c r="Q98" s="9">
        <v>1</v>
      </c>
      <c r="R98" s="9" t="s">
        <v>27</v>
      </c>
      <c r="S98" s="9" t="s">
        <v>28</v>
      </c>
    </row>
    <row r="99" spans="1:19" x14ac:dyDescent="0.15">
      <c r="A99" s="9">
        <v>20004</v>
      </c>
      <c r="B99" s="9">
        <v>1</v>
      </c>
      <c r="C99" s="9" t="str">
        <f t="shared" si="14"/>
        <v>20004_1</v>
      </c>
      <c r="D99" s="9" t="str">
        <f>VLOOKUP(C99,[1]stages!$A:$AE,31,FALSE)</f>
        <v>everyone</v>
      </c>
      <c r="E99" s="9">
        <v>98</v>
      </c>
      <c r="F99" s="9">
        <v>121</v>
      </c>
      <c r="G99" s="10" t="str">
        <f>IF(I99="unit",VLOOKUP(F99,[2]characters!$A:$C,3,FALSE),"-")</f>
        <v>攻めの果実</v>
      </c>
      <c r="H99" s="9">
        <v>50</v>
      </c>
      <c r="I99" s="9" t="s">
        <v>36</v>
      </c>
      <c r="J99" s="9">
        <v>1</v>
      </c>
      <c r="K99" s="9">
        <v>1</v>
      </c>
      <c r="L99" s="9">
        <v>1</v>
      </c>
      <c r="M99" s="9">
        <v>0</v>
      </c>
      <c r="N99" s="9">
        <v>0</v>
      </c>
      <c r="O99" s="9">
        <v>0</v>
      </c>
      <c r="P99" s="9">
        <v>0</v>
      </c>
      <c r="Q99" s="9">
        <v>1</v>
      </c>
      <c r="R99" s="9" t="s">
        <v>27</v>
      </c>
      <c r="S99" s="9" t="s">
        <v>28</v>
      </c>
    </row>
    <row r="100" spans="1:19" x14ac:dyDescent="0.15">
      <c r="A100" s="9">
        <v>20004</v>
      </c>
      <c r="B100" s="9">
        <v>1</v>
      </c>
      <c r="C100" s="9" t="str">
        <f t="shared" si="14"/>
        <v>20004_1</v>
      </c>
      <c r="D100" s="9" t="str">
        <f>VLOOKUP(C100,[1]stages!$A:$AE,31,FALSE)</f>
        <v>everyone</v>
      </c>
      <c r="E100" s="9">
        <v>99</v>
      </c>
      <c r="F100" s="9">
        <v>122</v>
      </c>
      <c r="G100" s="10" t="str">
        <f>IF(I100="unit",VLOOKUP(F100,[2]characters!$A:$C,3,FALSE),"-")</f>
        <v>生命の果実</v>
      </c>
      <c r="H100" s="9">
        <v>50</v>
      </c>
      <c r="I100" s="9" t="s">
        <v>36</v>
      </c>
      <c r="J100" s="9">
        <v>1</v>
      </c>
      <c r="K100" s="9">
        <v>1</v>
      </c>
      <c r="L100" s="9">
        <v>1</v>
      </c>
      <c r="M100" s="9">
        <v>0</v>
      </c>
      <c r="N100" s="9">
        <v>0</v>
      </c>
      <c r="O100" s="9">
        <v>0</v>
      </c>
      <c r="P100" s="9">
        <v>0</v>
      </c>
      <c r="Q100" s="9">
        <v>1</v>
      </c>
      <c r="R100" s="9" t="s">
        <v>27</v>
      </c>
      <c r="S100" s="9" t="s">
        <v>28</v>
      </c>
    </row>
    <row r="101" spans="1:19" x14ac:dyDescent="0.15">
      <c r="A101" s="9">
        <v>20004</v>
      </c>
      <c r="B101" s="9">
        <v>1</v>
      </c>
      <c r="C101" s="9" t="str">
        <f t="shared" si="14"/>
        <v>20004_1</v>
      </c>
      <c r="D101" s="9" t="str">
        <f>VLOOKUP(C101,[1]stages!$A:$AE,31,FALSE)</f>
        <v>everyone</v>
      </c>
      <c r="E101" s="9">
        <v>100</v>
      </c>
      <c r="F101" s="9">
        <v>123</v>
      </c>
      <c r="G101" s="10" t="str">
        <f>IF(I101="unit",VLOOKUP(F101,[2]characters!$A:$C,3,FALSE),"-")</f>
        <v>癒しの果実</v>
      </c>
      <c r="H101" s="9">
        <v>50</v>
      </c>
      <c r="I101" s="9" t="s">
        <v>36</v>
      </c>
      <c r="J101" s="9">
        <v>1</v>
      </c>
      <c r="K101" s="9">
        <v>1</v>
      </c>
      <c r="L101" s="9">
        <v>1</v>
      </c>
      <c r="M101" s="9">
        <v>0</v>
      </c>
      <c r="N101" s="9">
        <v>0</v>
      </c>
      <c r="O101" s="9">
        <v>0</v>
      </c>
      <c r="P101" s="9">
        <v>0</v>
      </c>
      <c r="Q101" s="9">
        <v>1</v>
      </c>
      <c r="R101" s="9" t="s">
        <v>27</v>
      </c>
      <c r="S101" s="9" t="s">
        <v>28</v>
      </c>
    </row>
    <row r="102" spans="1:19" x14ac:dyDescent="0.15">
      <c r="A102" s="9">
        <v>20004</v>
      </c>
      <c r="B102" s="9">
        <v>1</v>
      </c>
      <c r="C102" s="9" t="str">
        <f t="shared" si="14"/>
        <v>20004_1</v>
      </c>
      <c r="D102" s="9" t="str">
        <f>VLOOKUP(C102,[1]stages!$A:$AE,31,FALSE)</f>
        <v>everyone</v>
      </c>
      <c r="E102" s="9">
        <v>101</v>
      </c>
      <c r="F102" s="9">
        <v>125</v>
      </c>
      <c r="G102" s="10" t="str">
        <f>IF(I102="unit",VLOOKUP(F102,[2]characters!$A:$C,3,FALSE),"-")</f>
        <v>秘術の果実</v>
      </c>
      <c r="H102" s="9">
        <v>10</v>
      </c>
      <c r="I102" s="9" t="s">
        <v>36</v>
      </c>
      <c r="J102" s="9">
        <v>1</v>
      </c>
      <c r="K102" s="9">
        <v>1</v>
      </c>
      <c r="L102" s="9">
        <v>1</v>
      </c>
      <c r="M102" s="9">
        <v>0</v>
      </c>
      <c r="N102" s="9">
        <v>0</v>
      </c>
      <c r="O102" s="9">
        <v>0</v>
      </c>
      <c r="P102" s="9">
        <v>0</v>
      </c>
      <c r="Q102" s="9">
        <v>1</v>
      </c>
      <c r="R102" s="9" t="s">
        <v>27</v>
      </c>
      <c r="S102" s="9" t="s">
        <v>28</v>
      </c>
    </row>
    <row r="103" spans="1:19" x14ac:dyDescent="0.15">
      <c r="A103" s="9">
        <v>20004</v>
      </c>
      <c r="B103" s="9">
        <v>1</v>
      </c>
      <c r="C103" s="9" t="str">
        <f t="shared" si="14"/>
        <v>20004_1</v>
      </c>
      <c r="D103" s="9" t="str">
        <f>VLOOKUP(C103,[1]stages!$A:$AE,31,FALSE)</f>
        <v>everyone</v>
      </c>
      <c r="E103" s="9">
        <v>102</v>
      </c>
      <c r="F103" s="9">
        <v>268</v>
      </c>
      <c r="G103" s="10" t="str">
        <f>IF(I103="unit",VLOOKUP(F103,[2]characters!$A:$C,3,FALSE),"-")</f>
        <v>鵺</v>
      </c>
      <c r="H103" s="9">
        <v>200</v>
      </c>
      <c r="I103" s="9" t="s">
        <v>36</v>
      </c>
      <c r="J103" s="9">
        <v>1</v>
      </c>
      <c r="K103" s="9">
        <v>1</v>
      </c>
      <c r="L103" s="9">
        <v>1</v>
      </c>
      <c r="M103" s="9">
        <v>0</v>
      </c>
      <c r="N103" s="9">
        <v>0</v>
      </c>
      <c r="O103" s="9">
        <v>0</v>
      </c>
      <c r="P103" s="9">
        <v>0</v>
      </c>
      <c r="Q103" s="9">
        <v>1</v>
      </c>
      <c r="R103" s="9" t="s">
        <v>27</v>
      </c>
      <c r="S103" s="9" t="s">
        <v>28</v>
      </c>
    </row>
    <row r="104" spans="1:19" x14ac:dyDescent="0.15">
      <c r="A104" s="9">
        <v>20004</v>
      </c>
      <c r="B104" s="9">
        <v>1</v>
      </c>
      <c r="C104" s="9" t="str">
        <f t="shared" si="14"/>
        <v>20004_1</v>
      </c>
      <c r="D104" s="9" t="str">
        <f>VLOOKUP(C104,[1]stages!$A:$AE,31,FALSE)</f>
        <v>everyone</v>
      </c>
      <c r="E104" s="9">
        <v>103</v>
      </c>
      <c r="F104" s="9">
        <v>354</v>
      </c>
      <c r="G104" s="10" t="str">
        <f>IF(I104="unit",VLOOKUP(F104,[2]characters!$A:$C,3,FALSE),"-")</f>
        <v>雷のケロケロ</v>
      </c>
      <c r="H104" s="9">
        <v>100</v>
      </c>
      <c r="I104" s="9" t="s">
        <v>36</v>
      </c>
      <c r="J104" s="9">
        <v>1</v>
      </c>
      <c r="K104" s="9">
        <v>1</v>
      </c>
      <c r="L104" s="9">
        <v>1</v>
      </c>
      <c r="M104" s="9">
        <v>0</v>
      </c>
      <c r="N104" s="9">
        <v>0</v>
      </c>
      <c r="O104" s="9">
        <v>0</v>
      </c>
      <c r="P104" s="9">
        <v>0</v>
      </c>
      <c r="Q104" s="9">
        <v>1</v>
      </c>
      <c r="R104" s="9" t="s">
        <v>27</v>
      </c>
      <c r="S104" s="9" t="s">
        <v>28</v>
      </c>
    </row>
    <row r="105" spans="1:19" x14ac:dyDescent="0.15">
      <c r="A105" s="9">
        <v>20004</v>
      </c>
      <c r="B105" s="9">
        <v>2</v>
      </c>
      <c r="C105" s="9" t="str">
        <f>A105&amp; "_"&amp;B105</f>
        <v>20004_2</v>
      </c>
      <c r="D105" s="9" t="str">
        <f>VLOOKUP(C105,[1]stages!$A:$AE,31,FALSE)</f>
        <v>everyone</v>
      </c>
      <c r="E105" s="9">
        <v>104</v>
      </c>
      <c r="F105" s="9">
        <v>3200</v>
      </c>
      <c r="G105" s="10" t="str">
        <f>IF(I105="unit",VLOOKUP(F105,[2]characters!$A:$C,3,FALSE),"-")</f>
        <v>-</v>
      </c>
      <c r="H105" s="9">
        <v>200</v>
      </c>
      <c r="I105" s="9" t="s">
        <v>32</v>
      </c>
      <c r="J105" s="9" t="s">
        <v>33</v>
      </c>
      <c r="K105" s="9">
        <v>1</v>
      </c>
      <c r="L105" s="9">
        <v>1</v>
      </c>
      <c r="M105" s="9">
        <v>0</v>
      </c>
      <c r="N105" s="9">
        <v>0</v>
      </c>
      <c r="O105" s="9">
        <v>0</v>
      </c>
      <c r="P105" s="9">
        <v>0</v>
      </c>
      <c r="Q105" s="9">
        <v>1</v>
      </c>
      <c r="R105" s="9" t="s">
        <v>27</v>
      </c>
      <c r="S105" s="9" t="s">
        <v>28</v>
      </c>
    </row>
    <row r="106" spans="1:19" x14ac:dyDescent="0.15">
      <c r="A106" s="9">
        <v>20004</v>
      </c>
      <c r="B106" s="9">
        <v>2</v>
      </c>
      <c r="C106" s="9" t="str">
        <f t="shared" ref="C106:C114" si="15">A106&amp; "_"&amp;B106</f>
        <v>20004_2</v>
      </c>
      <c r="D106" s="9" t="str">
        <f>VLOOKUP(C106,[1]stages!$A:$AE,31,FALSE)</f>
        <v>everyone</v>
      </c>
      <c r="E106" s="9">
        <v>105</v>
      </c>
      <c r="F106" s="9">
        <v>20</v>
      </c>
      <c r="G106" s="10" t="str">
        <f>IF(I106="unit",VLOOKUP(F106,[2]characters!$A:$C,3,FALSE),"-")</f>
        <v>-</v>
      </c>
      <c r="H106" s="9">
        <v>150</v>
      </c>
      <c r="I106" s="9" t="s">
        <v>35</v>
      </c>
      <c r="J106" s="9" t="s">
        <v>33</v>
      </c>
      <c r="K106" s="9">
        <v>1</v>
      </c>
      <c r="L106" s="9">
        <v>1</v>
      </c>
      <c r="M106" s="9">
        <v>0</v>
      </c>
      <c r="N106" s="9">
        <v>0</v>
      </c>
      <c r="O106" s="9">
        <v>0</v>
      </c>
      <c r="P106" s="9">
        <v>0</v>
      </c>
      <c r="Q106" s="9">
        <v>1</v>
      </c>
      <c r="R106" s="9" t="s">
        <v>27</v>
      </c>
      <c r="S106" s="9" t="s">
        <v>28</v>
      </c>
    </row>
    <row r="107" spans="1:19" x14ac:dyDescent="0.15">
      <c r="A107" s="9">
        <v>20004</v>
      </c>
      <c r="B107" s="9">
        <v>2</v>
      </c>
      <c r="C107" s="9" t="str">
        <f t="shared" si="15"/>
        <v>20004_2</v>
      </c>
      <c r="D107" s="9" t="str">
        <f>VLOOKUP(C107,[1]stages!$A:$AE,31,FALSE)</f>
        <v>everyone</v>
      </c>
      <c r="E107" s="9">
        <v>106</v>
      </c>
      <c r="F107" s="9">
        <v>344</v>
      </c>
      <c r="G107" s="10" t="str">
        <f>IF(I107="unit",VLOOKUP(F107,[2]characters!$A:$C,3,FALSE),"-")</f>
        <v>雷のメタルピヨピヨ</v>
      </c>
      <c r="H107" s="9">
        <v>70</v>
      </c>
      <c r="I107" s="9" t="s">
        <v>36</v>
      </c>
      <c r="J107" s="9">
        <v>1</v>
      </c>
      <c r="K107" s="9">
        <v>1</v>
      </c>
      <c r="L107" s="9">
        <v>1</v>
      </c>
      <c r="M107" s="9">
        <v>0</v>
      </c>
      <c r="N107" s="9">
        <v>0</v>
      </c>
      <c r="O107" s="9">
        <v>0</v>
      </c>
      <c r="P107" s="9">
        <v>0</v>
      </c>
      <c r="Q107" s="9">
        <v>1</v>
      </c>
      <c r="R107" s="9" t="s">
        <v>27</v>
      </c>
      <c r="S107" s="9" t="s">
        <v>28</v>
      </c>
    </row>
    <row r="108" spans="1:19" x14ac:dyDescent="0.15">
      <c r="A108" s="9">
        <v>20004</v>
      </c>
      <c r="B108" s="9">
        <v>2</v>
      </c>
      <c r="C108" s="9" t="str">
        <f t="shared" si="15"/>
        <v>20004_2</v>
      </c>
      <c r="D108" s="9" t="str">
        <f>VLOOKUP(C108,[1]stages!$A:$AE,31,FALSE)</f>
        <v>everyone</v>
      </c>
      <c r="E108" s="9">
        <v>107</v>
      </c>
      <c r="F108" s="9">
        <v>345</v>
      </c>
      <c r="G108" s="10" t="str">
        <f>IF(I108="unit",VLOOKUP(F108,[2]characters!$A:$C,3,FALSE),"-")</f>
        <v>雷のメタルチック</v>
      </c>
      <c r="H108" s="9">
        <v>70</v>
      </c>
      <c r="I108" s="9" t="s">
        <v>36</v>
      </c>
      <c r="J108" s="9">
        <v>1</v>
      </c>
      <c r="K108" s="9">
        <v>1</v>
      </c>
      <c r="L108" s="9">
        <v>1</v>
      </c>
      <c r="M108" s="9">
        <v>0</v>
      </c>
      <c r="N108" s="9">
        <v>0</v>
      </c>
      <c r="O108" s="9">
        <v>0</v>
      </c>
      <c r="P108" s="9">
        <v>0</v>
      </c>
      <c r="Q108" s="9">
        <v>1</v>
      </c>
      <c r="R108" s="9" t="s">
        <v>27</v>
      </c>
      <c r="S108" s="9" t="s">
        <v>28</v>
      </c>
    </row>
    <row r="109" spans="1:19" x14ac:dyDescent="0.15">
      <c r="A109" s="9">
        <v>20004</v>
      </c>
      <c r="B109" s="9">
        <v>2</v>
      </c>
      <c r="C109" s="9" t="str">
        <f t="shared" si="15"/>
        <v>20004_2</v>
      </c>
      <c r="D109" s="9" t="str">
        <f>VLOOKUP(C109,[1]stages!$A:$AE,31,FALSE)</f>
        <v>everyone</v>
      </c>
      <c r="E109" s="9">
        <v>108</v>
      </c>
      <c r="F109" s="9">
        <v>121</v>
      </c>
      <c r="G109" s="10" t="str">
        <f>IF(I109="unit",VLOOKUP(F109,[2]characters!$A:$C,3,FALSE),"-")</f>
        <v>攻めの果実</v>
      </c>
      <c r="H109" s="9">
        <v>50</v>
      </c>
      <c r="I109" s="9" t="s">
        <v>36</v>
      </c>
      <c r="J109" s="9">
        <v>1</v>
      </c>
      <c r="K109" s="9">
        <v>1</v>
      </c>
      <c r="L109" s="9">
        <v>1</v>
      </c>
      <c r="M109" s="9">
        <v>0</v>
      </c>
      <c r="N109" s="9">
        <v>0</v>
      </c>
      <c r="O109" s="9">
        <v>0</v>
      </c>
      <c r="P109" s="9">
        <v>0</v>
      </c>
      <c r="Q109" s="9">
        <v>1</v>
      </c>
      <c r="R109" s="9" t="s">
        <v>27</v>
      </c>
      <c r="S109" s="9" t="s">
        <v>28</v>
      </c>
    </row>
    <row r="110" spans="1:19" x14ac:dyDescent="0.15">
      <c r="A110" s="9">
        <v>20004</v>
      </c>
      <c r="B110" s="9">
        <v>2</v>
      </c>
      <c r="C110" s="9" t="str">
        <f t="shared" si="15"/>
        <v>20004_2</v>
      </c>
      <c r="D110" s="9" t="str">
        <f>VLOOKUP(C110,[1]stages!$A:$AE,31,FALSE)</f>
        <v>everyone</v>
      </c>
      <c r="E110" s="9">
        <v>109</v>
      </c>
      <c r="F110" s="9">
        <v>122</v>
      </c>
      <c r="G110" s="10" t="str">
        <f>IF(I110="unit",VLOOKUP(F110,[2]characters!$A:$C,3,FALSE),"-")</f>
        <v>生命の果実</v>
      </c>
      <c r="H110" s="9">
        <v>50</v>
      </c>
      <c r="I110" s="9" t="s">
        <v>36</v>
      </c>
      <c r="J110" s="9">
        <v>1</v>
      </c>
      <c r="K110" s="9">
        <v>1</v>
      </c>
      <c r="L110" s="9">
        <v>1</v>
      </c>
      <c r="M110" s="9">
        <v>0</v>
      </c>
      <c r="N110" s="9">
        <v>0</v>
      </c>
      <c r="O110" s="9">
        <v>0</v>
      </c>
      <c r="P110" s="9">
        <v>0</v>
      </c>
      <c r="Q110" s="9">
        <v>1</v>
      </c>
      <c r="R110" s="9" t="s">
        <v>27</v>
      </c>
      <c r="S110" s="9" t="s">
        <v>28</v>
      </c>
    </row>
    <row r="111" spans="1:19" x14ac:dyDescent="0.15">
      <c r="A111" s="9">
        <v>20004</v>
      </c>
      <c r="B111" s="9">
        <v>2</v>
      </c>
      <c r="C111" s="9" t="str">
        <f t="shared" si="15"/>
        <v>20004_2</v>
      </c>
      <c r="D111" s="9" t="str">
        <f>VLOOKUP(C111,[1]stages!$A:$AE,31,FALSE)</f>
        <v>everyone</v>
      </c>
      <c r="E111" s="9">
        <v>110</v>
      </c>
      <c r="F111" s="9">
        <v>123</v>
      </c>
      <c r="G111" s="10" t="str">
        <f>IF(I111="unit",VLOOKUP(F111,[2]characters!$A:$C,3,FALSE),"-")</f>
        <v>癒しの果実</v>
      </c>
      <c r="H111" s="9">
        <v>50</v>
      </c>
      <c r="I111" s="9" t="s">
        <v>36</v>
      </c>
      <c r="J111" s="9">
        <v>1</v>
      </c>
      <c r="K111" s="9">
        <v>1</v>
      </c>
      <c r="L111" s="9">
        <v>1</v>
      </c>
      <c r="M111" s="9">
        <v>0</v>
      </c>
      <c r="N111" s="9">
        <v>0</v>
      </c>
      <c r="O111" s="9">
        <v>0</v>
      </c>
      <c r="P111" s="9">
        <v>0</v>
      </c>
      <c r="Q111" s="9">
        <v>1</v>
      </c>
      <c r="R111" s="9" t="s">
        <v>27</v>
      </c>
      <c r="S111" s="9" t="s">
        <v>28</v>
      </c>
    </row>
    <row r="112" spans="1:19" x14ac:dyDescent="0.15">
      <c r="A112" s="9">
        <v>20004</v>
      </c>
      <c r="B112" s="9">
        <v>2</v>
      </c>
      <c r="C112" s="9" t="str">
        <f t="shared" si="15"/>
        <v>20004_2</v>
      </c>
      <c r="D112" s="9" t="str">
        <f>VLOOKUP(C112,[1]stages!$A:$AE,31,FALSE)</f>
        <v>everyone</v>
      </c>
      <c r="E112" s="9">
        <v>111</v>
      </c>
      <c r="F112" s="9">
        <v>125</v>
      </c>
      <c r="G112" s="10" t="str">
        <f>IF(I112="unit",VLOOKUP(F112,[2]characters!$A:$C,3,FALSE),"-")</f>
        <v>秘術の果実</v>
      </c>
      <c r="H112" s="9">
        <v>10</v>
      </c>
      <c r="I112" s="9" t="s">
        <v>36</v>
      </c>
      <c r="J112" s="9">
        <v>1</v>
      </c>
      <c r="K112" s="9">
        <v>1</v>
      </c>
      <c r="L112" s="9">
        <v>1</v>
      </c>
      <c r="M112" s="9">
        <v>0</v>
      </c>
      <c r="N112" s="9">
        <v>0</v>
      </c>
      <c r="O112" s="9">
        <v>0</v>
      </c>
      <c r="P112" s="9">
        <v>0</v>
      </c>
      <c r="Q112" s="9">
        <v>1</v>
      </c>
      <c r="R112" s="9" t="s">
        <v>27</v>
      </c>
      <c r="S112" s="9" t="s">
        <v>28</v>
      </c>
    </row>
    <row r="113" spans="1:19" x14ac:dyDescent="0.15">
      <c r="A113" s="9">
        <v>20004</v>
      </c>
      <c r="B113" s="9">
        <v>2</v>
      </c>
      <c r="C113" s="9" t="str">
        <f t="shared" si="15"/>
        <v>20004_2</v>
      </c>
      <c r="D113" s="9" t="str">
        <f>VLOOKUP(C113,[1]stages!$A:$AE,31,FALSE)</f>
        <v>everyone</v>
      </c>
      <c r="E113" s="9">
        <v>112</v>
      </c>
      <c r="F113" s="9">
        <v>268</v>
      </c>
      <c r="G113" s="10" t="str">
        <f>IF(I113="unit",VLOOKUP(F113,[2]characters!$A:$C,3,FALSE),"-")</f>
        <v>鵺</v>
      </c>
      <c r="H113" s="9">
        <v>250</v>
      </c>
      <c r="I113" s="9" t="s">
        <v>36</v>
      </c>
      <c r="J113" s="9">
        <v>1</v>
      </c>
      <c r="K113" s="9">
        <v>1</v>
      </c>
      <c r="L113" s="9">
        <v>1</v>
      </c>
      <c r="M113" s="9">
        <v>0</v>
      </c>
      <c r="N113" s="9">
        <v>0</v>
      </c>
      <c r="O113" s="9">
        <v>0</v>
      </c>
      <c r="P113" s="9">
        <v>0</v>
      </c>
      <c r="Q113" s="9">
        <v>1</v>
      </c>
      <c r="R113" s="9" t="s">
        <v>27</v>
      </c>
      <c r="S113" s="9" t="s">
        <v>28</v>
      </c>
    </row>
    <row r="114" spans="1:19" x14ac:dyDescent="0.15">
      <c r="A114" s="9">
        <v>20004</v>
      </c>
      <c r="B114" s="9">
        <v>2</v>
      </c>
      <c r="C114" s="9" t="str">
        <f t="shared" si="15"/>
        <v>20004_2</v>
      </c>
      <c r="D114" s="9" t="str">
        <f>VLOOKUP(C114,[1]stages!$A:$AE,31,FALSE)</f>
        <v>everyone</v>
      </c>
      <c r="E114" s="9">
        <v>113</v>
      </c>
      <c r="F114" s="9">
        <v>354</v>
      </c>
      <c r="G114" s="10" t="str">
        <f>IF(I114="unit",VLOOKUP(F114,[2]characters!$A:$C,3,FALSE),"-")</f>
        <v>雷のケロケロ</v>
      </c>
      <c r="H114" s="9">
        <v>100</v>
      </c>
      <c r="I114" s="9" t="s">
        <v>36</v>
      </c>
      <c r="J114" s="9">
        <v>1</v>
      </c>
      <c r="K114" s="9">
        <v>1</v>
      </c>
      <c r="L114" s="9">
        <v>1</v>
      </c>
      <c r="M114" s="9">
        <v>0</v>
      </c>
      <c r="N114" s="9">
        <v>0</v>
      </c>
      <c r="O114" s="9">
        <v>0</v>
      </c>
      <c r="P114" s="9">
        <v>0</v>
      </c>
      <c r="Q114" s="9">
        <v>1</v>
      </c>
      <c r="R114" s="9" t="s">
        <v>27</v>
      </c>
      <c r="S114" s="9" t="s">
        <v>28</v>
      </c>
    </row>
    <row r="115" spans="1:19" x14ac:dyDescent="0.15">
      <c r="A115" s="9">
        <v>20004</v>
      </c>
      <c r="B115" s="9">
        <v>3</v>
      </c>
      <c r="C115" s="9" t="str">
        <f>A115&amp; "_"&amp;B115</f>
        <v>20004_3</v>
      </c>
      <c r="D115" s="9" t="str">
        <f>VLOOKUP(C115,[1]stages!$A:$AE,31,FALSE)</f>
        <v>everyone</v>
      </c>
      <c r="E115" s="9">
        <v>114</v>
      </c>
      <c r="F115" s="9">
        <v>5000</v>
      </c>
      <c r="G115" s="10" t="str">
        <f>IF(I115="unit",VLOOKUP(F115,[2]characters!$A:$C,3,FALSE),"-")</f>
        <v>-</v>
      </c>
      <c r="H115" s="9">
        <v>100</v>
      </c>
      <c r="I115" s="9" t="s">
        <v>32</v>
      </c>
      <c r="J115" s="9" t="s">
        <v>33</v>
      </c>
      <c r="K115" s="9">
        <v>1</v>
      </c>
      <c r="L115" s="9">
        <v>1</v>
      </c>
      <c r="M115" s="9">
        <v>0</v>
      </c>
      <c r="N115" s="9">
        <v>0</v>
      </c>
      <c r="O115" s="9">
        <v>0</v>
      </c>
      <c r="P115" s="9">
        <v>0</v>
      </c>
      <c r="Q115" s="9">
        <v>1</v>
      </c>
      <c r="R115" s="9" t="s">
        <v>27</v>
      </c>
      <c r="S115" s="9" t="s">
        <v>28</v>
      </c>
    </row>
    <row r="116" spans="1:19" x14ac:dyDescent="0.15">
      <c r="A116" s="9">
        <v>20004</v>
      </c>
      <c r="B116" s="9">
        <v>3</v>
      </c>
      <c r="C116" s="9" t="str">
        <f t="shared" ref="C116:C125" si="16">A116&amp; "_"&amp;B116</f>
        <v>20004_3</v>
      </c>
      <c r="D116" s="9" t="str">
        <f>VLOOKUP(C116,[1]stages!$A:$AE,31,FALSE)</f>
        <v>everyone</v>
      </c>
      <c r="E116" s="9">
        <v>115</v>
      </c>
      <c r="F116" s="9">
        <v>25</v>
      </c>
      <c r="G116" s="10" t="str">
        <f>IF(I116="unit",VLOOKUP(F116,[2]characters!$A:$C,3,FALSE),"-")</f>
        <v>-</v>
      </c>
      <c r="H116" s="9">
        <v>100</v>
      </c>
      <c r="I116" s="9" t="s">
        <v>35</v>
      </c>
      <c r="J116" s="9" t="s">
        <v>33</v>
      </c>
      <c r="K116" s="9">
        <v>1</v>
      </c>
      <c r="L116" s="9">
        <v>1</v>
      </c>
      <c r="M116" s="9">
        <v>0</v>
      </c>
      <c r="N116" s="9">
        <v>0</v>
      </c>
      <c r="O116" s="9">
        <v>0</v>
      </c>
      <c r="P116" s="9">
        <v>0</v>
      </c>
      <c r="Q116" s="9">
        <v>1</v>
      </c>
      <c r="R116" s="9" t="s">
        <v>27</v>
      </c>
      <c r="S116" s="9" t="s">
        <v>28</v>
      </c>
    </row>
    <row r="117" spans="1:19" x14ac:dyDescent="0.15">
      <c r="A117" s="9">
        <v>20004</v>
      </c>
      <c r="B117" s="9">
        <v>3</v>
      </c>
      <c r="C117" s="9" t="str">
        <f t="shared" si="16"/>
        <v>20004_3</v>
      </c>
      <c r="D117" s="9" t="str">
        <f>VLOOKUP(C117,[1]stages!$A:$AE,31,FALSE)</f>
        <v>everyone</v>
      </c>
      <c r="E117" s="9">
        <v>116</v>
      </c>
      <c r="F117" s="9">
        <v>344</v>
      </c>
      <c r="G117" s="10" t="str">
        <f>IF(I117="unit",VLOOKUP(F117,[2]characters!$A:$C,3,FALSE),"-")</f>
        <v>雷のメタルピヨピヨ</v>
      </c>
      <c r="H117" s="9">
        <v>56</v>
      </c>
      <c r="I117" s="9" t="s">
        <v>36</v>
      </c>
      <c r="J117" s="9">
        <v>1</v>
      </c>
      <c r="K117" s="9">
        <v>1</v>
      </c>
      <c r="L117" s="9">
        <v>1</v>
      </c>
      <c r="M117" s="9">
        <v>0</v>
      </c>
      <c r="N117" s="9">
        <v>0</v>
      </c>
      <c r="O117" s="9">
        <v>0</v>
      </c>
      <c r="P117" s="9">
        <v>0</v>
      </c>
      <c r="Q117" s="9">
        <v>1</v>
      </c>
      <c r="R117" s="9" t="s">
        <v>27</v>
      </c>
      <c r="S117" s="9" t="s">
        <v>28</v>
      </c>
    </row>
    <row r="118" spans="1:19" x14ac:dyDescent="0.15">
      <c r="A118" s="9">
        <v>20004</v>
      </c>
      <c r="B118" s="9">
        <v>3</v>
      </c>
      <c r="C118" s="9" t="str">
        <f t="shared" si="16"/>
        <v>20004_3</v>
      </c>
      <c r="D118" s="9" t="str">
        <f>VLOOKUP(C118,[1]stages!$A:$AE,31,FALSE)</f>
        <v>everyone</v>
      </c>
      <c r="E118" s="9">
        <v>117</v>
      </c>
      <c r="F118" s="9">
        <v>345</v>
      </c>
      <c r="G118" s="10" t="str">
        <f>IF(I118="unit",VLOOKUP(F118,[2]characters!$A:$C,3,FALSE),"-")</f>
        <v>雷のメタルチック</v>
      </c>
      <c r="H118" s="9">
        <v>56</v>
      </c>
      <c r="I118" s="9" t="s">
        <v>36</v>
      </c>
      <c r="J118" s="9">
        <v>1</v>
      </c>
      <c r="K118" s="9">
        <v>1</v>
      </c>
      <c r="L118" s="9">
        <v>1</v>
      </c>
      <c r="M118" s="9">
        <v>0</v>
      </c>
      <c r="N118" s="9">
        <v>0</v>
      </c>
      <c r="O118" s="9">
        <v>0</v>
      </c>
      <c r="P118" s="9">
        <v>0</v>
      </c>
      <c r="Q118" s="9">
        <v>1</v>
      </c>
      <c r="R118" s="9" t="s">
        <v>27</v>
      </c>
      <c r="S118" s="9" t="s">
        <v>28</v>
      </c>
    </row>
    <row r="119" spans="1:19" x14ac:dyDescent="0.15">
      <c r="A119" s="9">
        <v>20004</v>
      </c>
      <c r="B119" s="9">
        <v>3</v>
      </c>
      <c r="C119" s="9" t="str">
        <f t="shared" si="16"/>
        <v>20004_3</v>
      </c>
      <c r="D119" s="9" t="str">
        <f>VLOOKUP(C119,[1]stages!$A:$AE,31,FALSE)</f>
        <v>everyone</v>
      </c>
      <c r="E119" s="9">
        <v>118</v>
      </c>
      <c r="F119" s="9">
        <v>346</v>
      </c>
      <c r="G119" s="10" t="str">
        <f>IF(I119="unit",VLOOKUP(F119,[2]characters!$A:$C,3,FALSE),"-")</f>
        <v>雷のメタルダック</v>
      </c>
      <c r="H119" s="9">
        <v>28</v>
      </c>
      <c r="I119" s="9" t="s">
        <v>36</v>
      </c>
      <c r="J119" s="9">
        <v>1</v>
      </c>
      <c r="K119" s="9">
        <v>1</v>
      </c>
      <c r="L119" s="9">
        <v>1</v>
      </c>
      <c r="M119" s="9">
        <v>0</v>
      </c>
      <c r="N119" s="9">
        <v>0</v>
      </c>
      <c r="O119" s="9">
        <v>0</v>
      </c>
      <c r="P119" s="9">
        <v>0</v>
      </c>
      <c r="Q119" s="9">
        <v>1</v>
      </c>
      <c r="R119" s="9" t="s">
        <v>27</v>
      </c>
      <c r="S119" s="9" t="s">
        <v>28</v>
      </c>
    </row>
    <row r="120" spans="1:19" x14ac:dyDescent="0.15">
      <c r="A120" s="9">
        <v>20004</v>
      </c>
      <c r="B120" s="9">
        <v>3</v>
      </c>
      <c r="C120" s="9" t="str">
        <f t="shared" si="16"/>
        <v>20004_3</v>
      </c>
      <c r="D120" s="9" t="str">
        <f>VLOOKUP(C120,[1]stages!$A:$AE,31,FALSE)</f>
        <v>everyone</v>
      </c>
      <c r="E120" s="9">
        <v>119</v>
      </c>
      <c r="F120" s="9">
        <v>121</v>
      </c>
      <c r="G120" s="10" t="str">
        <f>IF(I120="unit",VLOOKUP(F120,[2]characters!$A:$C,3,FALSE),"-")</f>
        <v>攻めの果実</v>
      </c>
      <c r="H120" s="9">
        <v>50</v>
      </c>
      <c r="I120" s="9" t="s">
        <v>36</v>
      </c>
      <c r="J120" s="9">
        <v>1</v>
      </c>
      <c r="K120" s="9">
        <v>1</v>
      </c>
      <c r="L120" s="9">
        <v>1</v>
      </c>
      <c r="M120" s="9">
        <v>0</v>
      </c>
      <c r="N120" s="9">
        <v>0</v>
      </c>
      <c r="O120" s="9">
        <v>0</v>
      </c>
      <c r="P120" s="9">
        <v>0</v>
      </c>
      <c r="Q120" s="9">
        <v>1</v>
      </c>
      <c r="R120" s="9" t="s">
        <v>27</v>
      </c>
      <c r="S120" s="9" t="s">
        <v>28</v>
      </c>
    </row>
    <row r="121" spans="1:19" x14ac:dyDescent="0.15">
      <c r="A121" s="9">
        <v>20004</v>
      </c>
      <c r="B121" s="9">
        <v>3</v>
      </c>
      <c r="C121" s="9" t="str">
        <f t="shared" si="16"/>
        <v>20004_3</v>
      </c>
      <c r="D121" s="9" t="str">
        <f>VLOOKUP(C121,[1]stages!$A:$AE,31,FALSE)</f>
        <v>everyone</v>
      </c>
      <c r="E121" s="9">
        <v>120</v>
      </c>
      <c r="F121" s="9">
        <v>122</v>
      </c>
      <c r="G121" s="10" t="str">
        <f>IF(I121="unit",VLOOKUP(F121,[2]characters!$A:$C,3,FALSE),"-")</f>
        <v>生命の果実</v>
      </c>
      <c r="H121" s="9">
        <v>50</v>
      </c>
      <c r="I121" s="9" t="s">
        <v>36</v>
      </c>
      <c r="J121" s="9">
        <v>1</v>
      </c>
      <c r="K121" s="9">
        <v>1</v>
      </c>
      <c r="L121" s="9">
        <v>1</v>
      </c>
      <c r="M121" s="9">
        <v>0</v>
      </c>
      <c r="N121" s="9">
        <v>0</v>
      </c>
      <c r="O121" s="9">
        <v>0</v>
      </c>
      <c r="P121" s="9">
        <v>0</v>
      </c>
      <c r="Q121" s="9">
        <v>1</v>
      </c>
      <c r="R121" s="9" t="s">
        <v>27</v>
      </c>
      <c r="S121" s="9" t="s">
        <v>28</v>
      </c>
    </row>
    <row r="122" spans="1:19" x14ac:dyDescent="0.15">
      <c r="A122" s="9">
        <v>20004</v>
      </c>
      <c r="B122" s="9">
        <v>3</v>
      </c>
      <c r="C122" s="9" t="str">
        <f t="shared" si="16"/>
        <v>20004_3</v>
      </c>
      <c r="D122" s="9" t="str">
        <f>VLOOKUP(C122,[1]stages!$A:$AE,31,FALSE)</f>
        <v>everyone</v>
      </c>
      <c r="E122" s="9">
        <v>121</v>
      </c>
      <c r="F122" s="9">
        <v>123</v>
      </c>
      <c r="G122" s="10" t="str">
        <f>IF(I122="unit",VLOOKUP(F122,[2]characters!$A:$C,3,FALSE),"-")</f>
        <v>癒しの果実</v>
      </c>
      <c r="H122" s="9">
        <v>50</v>
      </c>
      <c r="I122" s="9" t="s">
        <v>36</v>
      </c>
      <c r="J122" s="9">
        <v>1</v>
      </c>
      <c r="K122" s="9">
        <v>1</v>
      </c>
      <c r="L122" s="9">
        <v>1</v>
      </c>
      <c r="M122" s="9">
        <v>0</v>
      </c>
      <c r="N122" s="9">
        <v>0</v>
      </c>
      <c r="O122" s="9">
        <v>0</v>
      </c>
      <c r="P122" s="9">
        <v>0</v>
      </c>
      <c r="Q122" s="9">
        <v>1</v>
      </c>
      <c r="R122" s="9" t="s">
        <v>27</v>
      </c>
      <c r="S122" s="9" t="s">
        <v>28</v>
      </c>
    </row>
    <row r="123" spans="1:19" x14ac:dyDescent="0.15">
      <c r="A123" s="9">
        <v>20004</v>
      </c>
      <c r="B123" s="9">
        <v>3</v>
      </c>
      <c r="C123" s="9" t="str">
        <f t="shared" si="16"/>
        <v>20004_3</v>
      </c>
      <c r="D123" s="9" t="str">
        <f>VLOOKUP(C123,[1]stages!$A:$AE,31,FALSE)</f>
        <v>everyone</v>
      </c>
      <c r="E123" s="9">
        <v>122</v>
      </c>
      <c r="F123" s="9">
        <v>125</v>
      </c>
      <c r="G123" s="10" t="str">
        <f>IF(I123="unit",VLOOKUP(F123,[2]characters!$A:$C,3,FALSE),"-")</f>
        <v>秘術の果実</v>
      </c>
      <c r="H123" s="9">
        <v>10</v>
      </c>
      <c r="I123" s="9" t="s">
        <v>36</v>
      </c>
      <c r="J123" s="9">
        <v>1</v>
      </c>
      <c r="K123" s="9">
        <v>1</v>
      </c>
      <c r="L123" s="9">
        <v>1</v>
      </c>
      <c r="M123" s="9">
        <v>0</v>
      </c>
      <c r="N123" s="9">
        <v>0</v>
      </c>
      <c r="O123" s="9">
        <v>0</v>
      </c>
      <c r="P123" s="9">
        <v>0</v>
      </c>
      <c r="Q123" s="9">
        <v>1</v>
      </c>
      <c r="R123" s="9" t="s">
        <v>27</v>
      </c>
      <c r="S123" s="9" t="s">
        <v>28</v>
      </c>
    </row>
    <row r="124" spans="1:19" x14ac:dyDescent="0.15">
      <c r="A124" s="9">
        <v>20004</v>
      </c>
      <c r="B124" s="9">
        <v>3</v>
      </c>
      <c r="C124" s="9" t="str">
        <f t="shared" si="16"/>
        <v>20004_3</v>
      </c>
      <c r="D124" s="9" t="str">
        <f>VLOOKUP(C124,[1]stages!$A:$AE,31,FALSE)</f>
        <v>everyone</v>
      </c>
      <c r="E124" s="9">
        <v>123</v>
      </c>
      <c r="F124" s="9">
        <v>268</v>
      </c>
      <c r="G124" s="10" t="str">
        <f>IF(I124="unit",VLOOKUP(F124,[2]characters!$A:$C,3,FALSE),"-")</f>
        <v>鵺</v>
      </c>
      <c r="H124" s="9">
        <v>400</v>
      </c>
      <c r="I124" s="9" t="s">
        <v>36</v>
      </c>
      <c r="J124" s="9">
        <v>1</v>
      </c>
      <c r="K124" s="9">
        <v>1</v>
      </c>
      <c r="L124" s="9">
        <v>1</v>
      </c>
      <c r="M124" s="9">
        <v>0</v>
      </c>
      <c r="N124" s="9">
        <v>0</v>
      </c>
      <c r="O124" s="9">
        <v>0</v>
      </c>
      <c r="P124" s="9">
        <v>0</v>
      </c>
      <c r="Q124" s="9">
        <v>1</v>
      </c>
      <c r="R124" s="9" t="s">
        <v>27</v>
      </c>
      <c r="S124" s="9" t="s">
        <v>28</v>
      </c>
    </row>
    <row r="125" spans="1:19" x14ac:dyDescent="0.15">
      <c r="A125" s="9">
        <v>20004</v>
      </c>
      <c r="B125" s="9">
        <v>3</v>
      </c>
      <c r="C125" s="9" t="str">
        <f t="shared" si="16"/>
        <v>20004_3</v>
      </c>
      <c r="D125" s="9" t="str">
        <f>VLOOKUP(C125,[1]stages!$A:$AE,31,FALSE)</f>
        <v>everyone</v>
      </c>
      <c r="E125" s="9">
        <v>124</v>
      </c>
      <c r="F125" s="9">
        <v>354</v>
      </c>
      <c r="G125" s="10" t="str">
        <f>IF(I125="unit",VLOOKUP(F125,[2]characters!$A:$C,3,FALSE),"-")</f>
        <v>雷のケロケロ</v>
      </c>
      <c r="H125" s="9">
        <v>100</v>
      </c>
      <c r="I125" s="9" t="s">
        <v>36</v>
      </c>
      <c r="J125" s="9">
        <v>1</v>
      </c>
      <c r="K125" s="9">
        <v>1</v>
      </c>
      <c r="L125" s="9">
        <v>1</v>
      </c>
      <c r="M125" s="9">
        <v>0</v>
      </c>
      <c r="N125" s="9">
        <v>0</v>
      </c>
      <c r="O125" s="9">
        <v>0</v>
      </c>
      <c r="P125" s="9">
        <v>0</v>
      </c>
      <c r="Q125" s="9">
        <v>1</v>
      </c>
      <c r="R125" s="9" t="s">
        <v>27</v>
      </c>
      <c r="S125" s="9" t="s">
        <v>28</v>
      </c>
    </row>
    <row r="126" spans="1:19" x14ac:dyDescent="0.15">
      <c r="A126" s="10">
        <v>20005</v>
      </c>
      <c r="B126" s="10">
        <v>1</v>
      </c>
      <c r="C126" s="10" t="str">
        <f>A126&amp; "_"&amp;B126</f>
        <v>20005_1</v>
      </c>
      <c r="D126" s="10" t="str">
        <f>VLOOKUP(C126,[1]stages!$A:$AE,31,FALSE)</f>
        <v>everyone</v>
      </c>
      <c r="E126" s="10">
        <v>125</v>
      </c>
      <c r="F126" s="10">
        <v>1700</v>
      </c>
      <c r="G126" s="10" t="str">
        <f>IF(I126="unit",VLOOKUP(F126,[2]characters!$A:$C,3,FALSE),"-")</f>
        <v>-</v>
      </c>
      <c r="H126" s="10">
        <v>200</v>
      </c>
      <c r="I126" s="10" t="s">
        <v>32</v>
      </c>
      <c r="J126" s="10" t="s">
        <v>33</v>
      </c>
      <c r="K126" s="10">
        <v>1</v>
      </c>
      <c r="L126" s="10">
        <v>1</v>
      </c>
      <c r="M126" s="10">
        <v>0</v>
      </c>
      <c r="N126" s="10">
        <v>0</v>
      </c>
      <c r="O126" s="10">
        <v>0</v>
      </c>
      <c r="P126" s="10">
        <v>0</v>
      </c>
      <c r="Q126" s="10">
        <v>1</v>
      </c>
      <c r="R126" s="10" t="s">
        <v>27</v>
      </c>
      <c r="S126" s="10" t="s">
        <v>28</v>
      </c>
    </row>
    <row r="127" spans="1:19" x14ac:dyDescent="0.15">
      <c r="A127" s="10">
        <v>20005</v>
      </c>
      <c r="B127" s="10">
        <v>1</v>
      </c>
      <c r="C127" s="10" t="str">
        <f t="shared" ref="C127:C135" si="17">A127&amp; "_"&amp;B127</f>
        <v>20005_1</v>
      </c>
      <c r="D127" s="10" t="str">
        <f>VLOOKUP(C127,[1]stages!$A:$AE,31,FALSE)</f>
        <v>everyone</v>
      </c>
      <c r="E127" s="10">
        <v>126</v>
      </c>
      <c r="F127" s="10">
        <v>20</v>
      </c>
      <c r="G127" s="10" t="str">
        <f>IF(I127="unit",VLOOKUP(F127,[2]characters!$A:$C,3,FALSE),"-")</f>
        <v>-</v>
      </c>
      <c r="H127" s="10">
        <v>200</v>
      </c>
      <c r="I127" s="10" t="s">
        <v>35</v>
      </c>
      <c r="J127" s="10" t="s">
        <v>33</v>
      </c>
      <c r="K127" s="10">
        <v>1</v>
      </c>
      <c r="L127" s="10">
        <v>1</v>
      </c>
      <c r="M127" s="10">
        <v>0</v>
      </c>
      <c r="N127" s="10">
        <v>0</v>
      </c>
      <c r="O127" s="10">
        <v>0</v>
      </c>
      <c r="P127" s="10">
        <v>0</v>
      </c>
      <c r="Q127" s="10">
        <v>1</v>
      </c>
      <c r="R127" s="10" t="s">
        <v>27</v>
      </c>
      <c r="S127" s="10" t="s">
        <v>28</v>
      </c>
    </row>
    <row r="128" spans="1:19" x14ac:dyDescent="0.15">
      <c r="A128" s="10">
        <v>20005</v>
      </c>
      <c r="B128" s="10">
        <v>1</v>
      </c>
      <c r="C128" s="10" t="str">
        <f t="shared" si="17"/>
        <v>20005_1</v>
      </c>
      <c r="D128" s="10" t="str">
        <f>VLOOKUP(C128,[1]stages!$A:$AE,31,FALSE)</f>
        <v>everyone</v>
      </c>
      <c r="E128" s="10">
        <v>127</v>
      </c>
      <c r="F128" s="10">
        <v>332</v>
      </c>
      <c r="G128" s="10" t="str">
        <f>IF(I128="unit",VLOOKUP(F128,[2]characters!$A:$C,3,FALSE),"-")</f>
        <v>炎のメタルピヨピヨ</v>
      </c>
      <c r="H128" s="10">
        <v>98</v>
      </c>
      <c r="I128" s="10" t="s">
        <v>36</v>
      </c>
      <c r="J128" s="10">
        <v>1</v>
      </c>
      <c r="K128" s="10">
        <v>1</v>
      </c>
      <c r="L128" s="10">
        <v>1</v>
      </c>
      <c r="M128" s="10">
        <v>0</v>
      </c>
      <c r="N128" s="10">
        <v>0</v>
      </c>
      <c r="O128" s="10">
        <v>0</v>
      </c>
      <c r="P128" s="10">
        <v>0</v>
      </c>
      <c r="Q128" s="10">
        <v>1</v>
      </c>
      <c r="R128" s="10" t="s">
        <v>27</v>
      </c>
      <c r="S128" s="10" t="s">
        <v>28</v>
      </c>
    </row>
    <row r="129" spans="1:19" x14ac:dyDescent="0.15">
      <c r="A129" s="10">
        <v>20005</v>
      </c>
      <c r="B129" s="10">
        <v>1</v>
      </c>
      <c r="C129" s="10" t="str">
        <f t="shared" si="17"/>
        <v>20005_1</v>
      </c>
      <c r="D129" s="10" t="str">
        <f>VLOOKUP(C129,[1]stages!$A:$AE,31,FALSE)</f>
        <v>everyone</v>
      </c>
      <c r="E129" s="10">
        <v>128</v>
      </c>
      <c r="F129" s="10">
        <v>333</v>
      </c>
      <c r="G129" s="10" t="str">
        <f>IF(I129="unit",VLOOKUP(F129,[2]characters!$A:$C,3,FALSE),"-")</f>
        <v>炎のメタルチック</v>
      </c>
      <c r="H129" s="10">
        <v>42</v>
      </c>
      <c r="I129" s="10" t="s">
        <v>36</v>
      </c>
      <c r="J129" s="10">
        <v>1</v>
      </c>
      <c r="K129" s="10">
        <v>1</v>
      </c>
      <c r="L129" s="10">
        <v>1</v>
      </c>
      <c r="M129" s="10">
        <v>0</v>
      </c>
      <c r="N129" s="10">
        <v>0</v>
      </c>
      <c r="O129" s="10">
        <v>0</v>
      </c>
      <c r="P129" s="10">
        <v>0</v>
      </c>
      <c r="Q129" s="10">
        <v>1</v>
      </c>
      <c r="R129" s="10" t="s">
        <v>27</v>
      </c>
      <c r="S129" s="10" t="s">
        <v>28</v>
      </c>
    </row>
    <row r="130" spans="1:19" x14ac:dyDescent="0.15">
      <c r="A130" s="10">
        <v>20005</v>
      </c>
      <c r="B130" s="10">
        <v>1</v>
      </c>
      <c r="C130" s="10" t="str">
        <f t="shared" si="17"/>
        <v>20005_1</v>
      </c>
      <c r="D130" s="10" t="str">
        <f>VLOOKUP(C130,[1]stages!$A:$AE,31,FALSE)</f>
        <v>everyone</v>
      </c>
      <c r="E130" s="10">
        <v>129</v>
      </c>
      <c r="F130" s="10">
        <v>121</v>
      </c>
      <c r="G130" s="10" t="str">
        <f>IF(I130="unit",VLOOKUP(F130,[2]characters!$A:$C,3,FALSE),"-")</f>
        <v>攻めの果実</v>
      </c>
      <c r="H130" s="10">
        <v>50</v>
      </c>
      <c r="I130" s="10" t="s">
        <v>36</v>
      </c>
      <c r="J130" s="10">
        <v>1</v>
      </c>
      <c r="K130" s="10">
        <v>1</v>
      </c>
      <c r="L130" s="10">
        <v>1</v>
      </c>
      <c r="M130" s="10">
        <v>0</v>
      </c>
      <c r="N130" s="10">
        <v>0</v>
      </c>
      <c r="O130" s="10">
        <v>0</v>
      </c>
      <c r="P130" s="10">
        <v>0</v>
      </c>
      <c r="Q130" s="10">
        <v>1</v>
      </c>
      <c r="R130" s="10" t="s">
        <v>27</v>
      </c>
      <c r="S130" s="10" t="s">
        <v>28</v>
      </c>
    </row>
    <row r="131" spans="1:19" x14ac:dyDescent="0.15">
      <c r="A131" s="10">
        <v>20005</v>
      </c>
      <c r="B131" s="10">
        <v>1</v>
      </c>
      <c r="C131" s="10" t="str">
        <f t="shared" si="17"/>
        <v>20005_1</v>
      </c>
      <c r="D131" s="10" t="str">
        <f>VLOOKUP(C131,[1]stages!$A:$AE,31,FALSE)</f>
        <v>everyone</v>
      </c>
      <c r="E131" s="10">
        <v>130</v>
      </c>
      <c r="F131" s="10">
        <v>122</v>
      </c>
      <c r="G131" s="10" t="str">
        <f>IF(I131="unit",VLOOKUP(F131,[2]characters!$A:$C,3,FALSE),"-")</f>
        <v>生命の果実</v>
      </c>
      <c r="H131" s="10">
        <v>50</v>
      </c>
      <c r="I131" s="10" t="s">
        <v>36</v>
      </c>
      <c r="J131" s="10">
        <v>1</v>
      </c>
      <c r="K131" s="10">
        <v>1</v>
      </c>
      <c r="L131" s="10">
        <v>1</v>
      </c>
      <c r="M131" s="10">
        <v>0</v>
      </c>
      <c r="N131" s="10">
        <v>0</v>
      </c>
      <c r="O131" s="10">
        <v>0</v>
      </c>
      <c r="P131" s="10">
        <v>0</v>
      </c>
      <c r="Q131" s="10">
        <v>1</v>
      </c>
      <c r="R131" s="10" t="s">
        <v>27</v>
      </c>
      <c r="S131" s="10" t="s">
        <v>28</v>
      </c>
    </row>
    <row r="132" spans="1:19" x14ac:dyDescent="0.15">
      <c r="A132" s="10">
        <v>20005</v>
      </c>
      <c r="B132" s="10">
        <v>1</v>
      </c>
      <c r="C132" s="10" t="str">
        <f t="shared" si="17"/>
        <v>20005_1</v>
      </c>
      <c r="D132" s="10" t="str">
        <f>VLOOKUP(C132,[1]stages!$A:$AE,31,FALSE)</f>
        <v>everyone</v>
      </c>
      <c r="E132" s="10">
        <v>131</v>
      </c>
      <c r="F132" s="10">
        <v>123</v>
      </c>
      <c r="G132" s="10" t="str">
        <f>IF(I132="unit",VLOOKUP(F132,[2]characters!$A:$C,3,FALSE),"-")</f>
        <v>癒しの果実</v>
      </c>
      <c r="H132" s="10">
        <v>50</v>
      </c>
      <c r="I132" s="10" t="s">
        <v>36</v>
      </c>
      <c r="J132" s="10">
        <v>1</v>
      </c>
      <c r="K132" s="10">
        <v>1</v>
      </c>
      <c r="L132" s="10">
        <v>1</v>
      </c>
      <c r="M132" s="10">
        <v>0</v>
      </c>
      <c r="N132" s="10">
        <v>0</v>
      </c>
      <c r="O132" s="10">
        <v>0</v>
      </c>
      <c r="P132" s="10">
        <v>0</v>
      </c>
      <c r="Q132" s="10">
        <v>1</v>
      </c>
      <c r="R132" s="10" t="s">
        <v>27</v>
      </c>
      <c r="S132" s="10" t="s">
        <v>28</v>
      </c>
    </row>
    <row r="133" spans="1:19" x14ac:dyDescent="0.15">
      <c r="A133" s="10">
        <v>20005</v>
      </c>
      <c r="B133" s="10">
        <v>1</v>
      </c>
      <c r="C133" s="10" t="str">
        <f t="shared" si="17"/>
        <v>20005_1</v>
      </c>
      <c r="D133" s="10" t="str">
        <f>VLOOKUP(C133,[1]stages!$A:$AE,31,FALSE)</f>
        <v>everyone</v>
      </c>
      <c r="E133" s="10">
        <v>132</v>
      </c>
      <c r="F133" s="10">
        <v>125</v>
      </c>
      <c r="G133" s="10" t="str">
        <f>IF(I133="unit",VLOOKUP(F133,[2]characters!$A:$C,3,FALSE),"-")</f>
        <v>秘術の果実</v>
      </c>
      <c r="H133" s="10">
        <v>10</v>
      </c>
      <c r="I133" s="10" t="s">
        <v>36</v>
      </c>
      <c r="J133" s="10">
        <v>1</v>
      </c>
      <c r="K133" s="10">
        <v>1</v>
      </c>
      <c r="L133" s="10">
        <v>1</v>
      </c>
      <c r="M133" s="10">
        <v>0</v>
      </c>
      <c r="N133" s="10">
        <v>0</v>
      </c>
      <c r="O133" s="10">
        <v>0</v>
      </c>
      <c r="P133" s="10">
        <v>0</v>
      </c>
      <c r="Q133" s="10">
        <v>1</v>
      </c>
      <c r="R133" s="10" t="s">
        <v>27</v>
      </c>
      <c r="S133" s="10" t="s">
        <v>28</v>
      </c>
    </row>
    <row r="134" spans="1:19" x14ac:dyDescent="0.15">
      <c r="A134" s="10">
        <v>20005</v>
      </c>
      <c r="B134" s="10">
        <v>1</v>
      </c>
      <c r="C134" s="10" t="str">
        <f t="shared" si="17"/>
        <v>20005_1</v>
      </c>
      <c r="D134" s="10" t="str">
        <f>VLOOKUP(C134,[1]stages!$A:$AE,31,FALSE)</f>
        <v>everyone</v>
      </c>
      <c r="E134" s="10">
        <v>133</v>
      </c>
      <c r="F134" s="10">
        <v>286</v>
      </c>
      <c r="G134" s="10" t="str">
        <f>IF(I134="unit",VLOOKUP(F134,[2]characters!$A:$C,3,FALSE),"-")</f>
        <v>ヒュドラ</v>
      </c>
      <c r="H134" s="10">
        <v>200</v>
      </c>
      <c r="I134" s="10" t="s">
        <v>36</v>
      </c>
      <c r="J134" s="10">
        <v>1</v>
      </c>
      <c r="K134" s="10">
        <v>1</v>
      </c>
      <c r="L134" s="10">
        <v>1</v>
      </c>
      <c r="M134" s="10">
        <v>0</v>
      </c>
      <c r="N134" s="10">
        <v>0</v>
      </c>
      <c r="O134" s="10">
        <v>0</v>
      </c>
      <c r="P134" s="10">
        <v>0</v>
      </c>
      <c r="Q134" s="10">
        <v>1</v>
      </c>
      <c r="R134" s="10" t="s">
        <v>27</v>
      </c>
      <c r="S134" s="10" t="s">
        <v>28</v>
      </c>
    </row>
    <row r="135" spans="1:19" x14ac:dyDescent="0.15">
      <c r="A135" s="10">
        <v>20005</v>
      </c>
      <c r="B135" s="10">
        <v>1</v>
      </c>
      <c r="C135" s="10" t="str">
        <f t="shared" si="17"/>
        <v>20005_1</v>
      </c>
      <c r="D135" s="10" t="str">
        <f>VLOOKUP(C135,[1]stages!$A:$AE,31,FALSE)</f>
        <v>everyone</v>
      </c>
      <c r="E135" s="10">
        <v>134</v>
      </c>
      <c r="F135" s="10">
        <v>348</v>
      </c>
      <c r="G135" s="10" t="str">
        <f>IF(I135="unit",VLOOKUP(F135,[2]characters!$A:$C,3,FALSE),"-")</f>
        <v>炎のケロケロ</v>
      </c>
      <c r="H135" s="10">
        <v>100</v>
      </c>
      <c r="I135" s="10" t="s">
        <v>36</v>
      </c>
      <c r="J135" s="10">
        <v>1</v>
      </c>
      <c r="K135" s="10">
        <v>1</v>
      </c>
      <c r="L135" s="10">
        <v>1</v>
      </c>
      <c r="M135" s="10">
        <v>0</v>
      </c>
      <c r="N135" s="10">
        <v>0</v>
      </c>
      <c r="O135" s="10">
        <v>0</v>
      </c>
      <c r="P135" s="10">
        <v>0</v>
      </c>
      <c r="Q135" s="10">
        <v>1</v>
      </c>
      <c r="R135" s="10" t="s">
        <v>27</v>
      </c>
      <c r="S135" s="10" t="s">
        <v>28</v>
      </c>
    </row>
    <row r="136" spans="1:19" x14ac:dyDescent="0.15">
      <c r="A136" s="10">
        <v>20005</v>
      </c>
      <c r="B136" s="10">
        <v>2</v>
      </c>
      <c r="C136" s="10" t="str">
        <f>A136&amp; "_"&amp;B136</f>
        <v>20005_2</v>
      </c>
      <c r="D136" s="10" t="str">
        <f>VLOOKUP(C136,[1]stages!$A:$AE,31,FALSE)</f>
        <v>everyone</v>
      </c>
      <c r="E136" s="10">
        <v>135</v>
      </c>
      <c r="F136" s="10">
        <v>3200</v>
      </c>
      <c r="G136" s="10" t="str">
        <f>IF(I136="unit",VLOOKUP(F136,[2]characters!$A:$C,3,FALSE),"-")</f>
        <v>-</v>
      </c>
      <c r="H136" s="10">
        <v>200</v>
      </c>
      <c r="I136" s="10" t="s">
        <v>32</v>
      </c>
      <c r="J136" s="10" t="s">
        <v>33</v>
      </c>
      <c r="K136" s="10">
        <v>1</v>
      </c>
      <c r="L136" s="10">
        <v>1</v>
      </c>
      <c r="M136" s="10">
        <v>0</v>
      </c>
      <c r="N136" s="10">
        <v>0</v>
      </c>
      <c r="O136" s="10">
        <v>0</v>
      </c>
      <c r="P136" s="10">
        <v>0</v>
      </c>
      <c r="Q136" s="10">
        <v>1</v>
      </c>
      <c r="R136" s="10" t="s">
        <v>27</v>
      </c>
      <c r="S136" s="10" t="s">
        <v>28</v>
      </c>
    </row>
    <row r="137" spans="1:19" x14ac:dyDescent="0.15">
      <c r="A137" s="10">
        <v>20005</v>
      </c>
      <c r="B137" s="10">
        <v>2</v>
      </c>
      <c r="C137" s="10" t="str">
        <f t="shared" ref="C137:C145" si="18">A137&amp; "_"&amp;B137</f>
        <v>20005_2</v>
      </c>
      <c r="D137" s="10" t="str">
        <f>VLOOKUP(C137,[1]stages!$A:$AE,31,FALSE)</f>
        <v>everyone</v>
      </c>
      <c r="E137" s="10">
        <v>136</v>
      </c>
      <c r="F137" s="10">
        <v>20</v>
      </c>
      <c r="G137" s="10" t="str">
        <f>IF(I137="unit",VLOOKUP(F137,[2]characters!$A:$C,3,FALSE),"-")</f>
        <v>-</v>
      </c>
      <c r="H137" s="10">
        <v>150</v>
      </c>
      <c r="I137" s="10" t="s">
        <v>35</v>
      </c>
      <c r="J137" s="10" t="s">
        <v>33</v>
      </c>
      <c r="K137" s="10">
        <v>1</v>
      </c>
      <c r="L137" s="10">
        <v>1</v>
      </c>
      <c r="M137" s="10">
        <v>0</v>
      </c>
      <c r="N137" s="10">
        <v>0</v>
      </c>
      <c r="O137" s="10">
        <v>0</v>
      </c>
      <c r="P137" s="10">
        <v>0</v>
      </c>
      <c r="Q137" s="10">
        <v>1</v>
      </c>
      <c r="R137" s="10" t="s">
        <v>27</v>
      </c>
      <c r="S137" s="10" t="s">
        <v>28</v>
      </c>
    </row>
    <row r="138" spans="1:19" x14ac:dyDescent="0.15">
      <c r="A138" s="10">
        <v>20005</v>
      </c>
      <c r="B138" s="10">
        <v>2</v>
      </c>
      <c r="C138" s="10" t="str">
        <f t="shared" si="18"/>
        <v>20005_2</v>
      </c>
      <c r="D138" s="10" t="str">
        <f>VLOOKUP(C138,[1]stages!$A:$AE,31,FALSE)</f>
        <v>everyone</v>
      </c>
      <c r="E138" s="10">
        <v>137</v>
      </c>
      <c r="F138" s="10">
        <v>332</v>
      </c>
      <c r="G138" s="10" t="str">
        <f>IF(I138="unit",VLOOKUP(F138,[2]characters!$A:$C,3,FALSE),"-")</f>
        <v>炎のメタルピヨピヨ</v>
      </c>
      <c r="H138" s="10">
        <v>70</v>
      </c>
      <c r="I138" s="10" t="s">
        <v>36</v>
      </c>
      <c r="J138" s="10">
        <v>1</v>
      </c>
      <c r="K138" s="10">
        <v>1</v>
      </c>
      <c r="L138" s="10">
        <v>1</v>
      </c>
      <c r="M138" s="10">
        <v>0</v>
      </c>
      <c r="N138" s="10">
        <v>0</v>
      </c>
      <c r="O138" s="10">
        <v>0</v>
      </c>
      <c r="P138" s="10">
        <v>0</v>
      </c>
      <c r="Q138" s="10">
        <v>1</v>
      </c>
      <c r="R138" s="10" t="s">
        <v>27</v>
      </c>
      <c r="S138" s="10" t="s">
        <v>28</v>
      </c>
    </row>
    <row r="139" spans="1:19" x14ac:dyDescent="0.15">
      <c r="A139" s="10">
        <v>20005</v>
      </c>
      <c r="B139" s="10">
        <v>2</v>
      </c>
      <c r="C139" s="10" t="str">
        <f t="shared" si="18"/>
        <v>20005_2</v>
      </c>
      <c r="D139" s="10" t="str">
        <f>VLOOKUP(C139,[1]stages!$A:$AE,31,FALSE)</f>
        <v>everyone</v>
      </c>
      <c r="E139" s="10">
        <v>138</v>
      </c>
      <c r="F139" s="10">
        <v>333</v>
      </c>
      <c r="G139" s="10" t="str">
        <f>IF(I139="unit",VLOOKUP(F139,[2]characters!$A:$C,3,FALSE),"-")</f>
        <v>炎のメタルチック</v>
      </c>
      <c r="H139" s="10">
        <v>70</v>
      </c>
      <c r="I139" s="10" t="s">
        <v>36</v>
      </c>
      <c r="J139" s="10">
        <v>1</v>
      </c>
      <c r="K139" s="10">
        <v>1</v>
      </c>
      <c r="L139" s="10">
        <v>1</v>
      </c>
      <c r="M139" s="10">
        <v>0</v>
      </c>
      <c r="N139" s="10">
        <v>0</v>
      </c>
      <c r="O139" s="10">
        <v>0</v>
      </c>
      <c r="P139" s="10">
        <v>0</v>
      </c>
      <c r="Q139" s="10">
        <v>1</v>
      </c>
      <c r="R139" s="10" t="s">
        <v>27</v>
      </c>
      <c r="S139" s="10" t="s">
        <v>28</v>
      </c>
    </row>
    <row r="140" spans="1:19" x14ac:dyDescent="0.15">
      <c r="A140" s="10">
        <v>20005</v>
      </c>
      <c r="B140" s="10">
        <v>2</v>
      </c>
      <c r="C140" s="10" t="str">
        <f t="shared" si="18"/>
        <v>20005_2</v>
      </c>
      <c r="D140" s="10" t="str">
        <f>VLOOKUP(C140,[1]stages!$A:$AE,31,FALSE)</f>
        <v>everyone</v>
      </c>
      <c r="E140" s="10">
        <v>139</v>
      </c>
      <c r="F140" s="10">
        <v>121</v>
      </c>
      <c r="G140" s="10" t="str">
        <f>IF(I140="unit",VLOOKUP(F140,[2]characters!$A:$C,3,FALSE),"-")</f>
        <v>攻めの果実</v>
      </c>
      <c r="H140" s="10">
        <v>50</v>
      </c>
      <c r="I140" s="10" t="s">
        <v>36</v>
      </c>
      <c r="J140" s="10">
        <v>1</v>
      </c>
      <c r="K140" s="10">
        <v>1</v>
      </c>
      <c r="L140" s="10">
        <v>1</v>
      </c>
      <c r="M140" s="10">
        <v>0</v>
      </c>
      <c r="N140" s="10">
        <v>0</v>
      </c>
      <c r="O140" s="10">
        <v>0</v>
      </c>
      <c r="P140" s="10">
        <v>0</v>
      </c>
      <c r="Q140" s="10">
        <v>1</v>
      </c>
      <c r="R140" s="10" t="s">
        <v>27</v>
      </c>
      <c r="S140" s="10" t="s">
        <v>28</v>
      </c>
    </row>
    <row r="141" spans="1:19" x14ac:dyDescent="0.15">
      <c r="A141" s="10">
        <v>20005</v>
      </c>
      <c r="B141" s="10">
        <v>2</v>
      </c>
      <c r="C141" s="10" t="str">
        <f t="shared" si="18"/>
        <v>20005_2</v>
      </c>
      <c r="D141" s="10" t="str">
        <f>VLOOKUP(C141,[1]stages!$A:$AE,31,FALSE)</f>
        <v>everyone</v>
      </c>
      <c r="E141" s="10">
        <v>140</v>
      </c>
      <c r="F141" s="10">
        <v>122</v>
      </c>
      <c r="G141" s="10" t="str">
        <f>IF(I141="unit",VLOOKUP(F141,[2]characters!$A:$C,3,FALSE),"-")</f>
        <v>生命の果実</v>
      </c>
      <c r="H141" s="10">
        <v>50</v>
      </c>
      <c r="I141" s="10" t="s">
        <v>36</v>
      </c>
      <c r="J141" s="10">
        <v>1</v>
      </c>
      <c r="K141" s="10">
        <v>1</v>
      </c>
      <c r="L141" s="10">
        <v>1</v>
      </c>
      <c r="M141" s="10">
        <v>0</v>
      </c>
      <c r="N141" s="10">
        <v>0</v>
      </c>
      <c r="O141" s="10">
        <v>0</v>
      </c>
      <c r="P141" s="10">
        <v>0</v>
      </c>
      <c r="Q141" s="10">
        <v>1</v>
      </c>
      <c r="R141" s="10" t="s">
        <v>27</v>
      </c>
      <c r="S141" s="10" t="s">
        <v>28</v>
      </c>
    </row>
    <row r="142" spans="1:19" x14ac:dyDescent="0.15">
      <c r="A142" s="10">
        <v>20005</v>
      </c>
      <c r="B142" s="10">
        <v>2</v>
      </c>
      <c r="C142" s="10" t="str">
        <f t="shared" si="18"/>
        <v>20005_2</v>
      </c>
      <c r="D142" s="10" t="str">
        <f>VLOOKUP(C142,[1]stages!$A:$AE,31,FALSE)</f>
        <v>everyone</v>
      </c>
      <c r="E142" s="10">
        <v>141</v>
      </c>
      <c r="F142" s="10">
        <v>123</v>
      </c>
      <c r="G142" s="10" t="str">
        <f>IF(I142="unit",VLOOKUP(F142,[2]characters!$A:$C,3,FALSE),"-")</f>
        <v>癒しの果実</v>
      </c>
      <c r="H142" s="10">
        <v>50</v>
      </c>
      <c r="I142" s="10" t="s">
        <v>36</v>
      </c>
      <c r="J142" s="10">
        <v>1</v>
      </c>
      <c r="K142" s="10">
        <v>1</v>
      </c>
      <c r="L142" s="10">
        <v>1</v>
      </c>
      <c r="M142" s="10">
        <v>0</v>
      </c>
      <c r="N142" s="10">
        <v>0</v>
      </c>
      <c r="O142" s="10">
        <v>0</v>
      </c>
      <c r="P142" s="10">
        <v>0</v>
      </c>
      <c r="Q142" s="10">
        <v>1</v>
      </c>
      <c r="R142" s="10" t="s">
        <v>27</v>
      </c>
      <c r="S142" s="10" t="s">
        <v>28</v>
      </c>
    </row>
    <row r="143" spans="1:19" x14ac:dyDescent="0.15">
      <c r="A143" s="10">
        <v>20005</v>
      </c>
      <c r="B143" s="10">
        <v>2</v>
      </c>
      <c r="C143" s="10" t="str">
        <f t="shared" si="18"/>
        <v>20005_2</v>
      </c>
      <c r="D143" s="10" t="str">
        <f>VLOOKUP(C143,[1]stages!$A:$AE,31,FALSE)</f>
        <v>everyone</v>
      </c>
      <c r="E143" s="10">
        <v>142</v>
      </c>
      <c r="F143" s="10">
        <v>125</v>
      </c>
      <c r="G143" s="10" t="str">
        <f>IF(I143="unit",VLOOKUP(F143,[2]characters!$A:$C,3,FALSE),"-")</f>
        <v>秘術の果実</v>
      </c>
      <c r="H143" s="10">
        <v>10</v>
      </c>
      <c r="I143" s="10" t="s">
        <v>36</v>
      </c>
      <c r="J143" s="10">
        <v>1</v>
      </c>
      <c r="K143" s="10">
        <v>1</v>
      </c>
      <c r="L143" s="10">
        <v>1</v>
      </c>
      <c r="M143" s="10">
        <v>0</v>
      </c>
      <c r="N143" s="10">
        <v>0</v>
      </c>
      <c r="O143" s="10">
        <v>0</v>
      </c>
      <c r="P143" s="10">
        <v>0</v>
      </c>
      <c r="Q143" s="10">
        <v>1</v>
      </c>
      <c r="R143" s="10" t="s">
        <v>27</v>
      </c>
      <c r="S143" s="10" t="s">
        <v>28</v>
      </c>
    </row>
    <row r="144" spans="1:19" x14ac:dyDescent="0.15">
      <c r="A144" s="10">
        <v>20005</v>
      </c>
      <c r="B144" s="10">
        <v>2</v>
      </c>
      <c r="C144" s="10" t="str">
        <f t="shared" si="18"/>
        <v>20005_2</v>
      </c>
      <c r="D144" s="10" t="str">
        <f>VLOOKUP(C144,[1]stages!$A:$AE,31,FALSE)</f>
        <v>everyone</v>
      </c>
      <c r="E144" s="10">
        <v>143</v>
      </c>
      <c r="F144" s="10">
        <v>286</v>
      </c>
      <c r="G144" s="10" t="str">
        <f>IF(I144="unit",VLOOKUP(F144,[2]characters!$A:$C,3,FALSE),"-")</f>
        <v>ヒュドラ</v>
      </c>
      <c r="H144" s="10">
        <v>250</v>
      </c>
      <c r="I144" s="10" t="s">
        <v>36</v>
      </c>
      <c r="J144" s="10">
        <v>1</v>
      </c>
      <c r="K144" s="10">
        <v>1</v>
      </c>
      <c r="L144" s="10">
        <v>1</v>
      </c>
      <c r="M144" s="10">
        <v>0</v>
      </c>
      <c r="N144" s="10">
        <v>0</v>
      </c>
      <c r="O144" s="10">
        <v>0</v>
      </c>
      <c r="P144" s="10">
        <v>0</v>
      </c>
      <c r="Q144" s="10">
        <v>1</v>
      </c>
      <c r="R144" s="10" t="s">
        <v>27</v>
      </c>
      <c r="S144" s="10" t="s">
        <v>28</v>
      </c>
    </row>
    <row r="145" spans="1:19" x14ac:dyDescent="0.15">
      <c r="A145" s="10">
        <v>20005</v>
      </c>
      <c r="B145" s="10">
        <v>2</v>
      </c>
      <c r="C145" s="10" t="str">
        <f t="shared" si="18"/>
        <v>20005_2</v>
      </c>
      <c r="D145" s="10" t="str">
        <f>VLOOKUP(C145,[1]stages!$A:$AE,31,FALSE)</f>
        <v>everyone</v>
      </c>
      <c r="E145" s="10">
        <v>144</v>
      </c>
      <c r="F145" s="10">
        <v>348</v>
      </c>
      <c r="G145" s="10" t="str">
        <f>IF(I145="unit",VLOOKUP(F145,[2]characters!$A:$C,3,FALSE),"-")</f>
        <v>炎のケロケロ</v>
      </c>
      <c r="H145" s="10">
        <v>100</v>
      </c>
      <c r="I145" s="10" t="s">
        <v>36</v>
      </c>
      <c r="J145" s="10">
        <v>1</v>
      </c>
      <c r="K145" s="10">
        <v>1</v>
      </c>
      <c r="L145" s="10">
        <v>1</v>
      </c>
      <c r="M145" s="10">
        <v>0</v>
      </c>
      <c r="N145" s="10">
        <v>0</v>
      </c>
      <c r="O145" s="10">
        <v>0</v>
      </c>
      <c r="P145" s="10">
        <v>0</v>
      </c>
      <c r="Q145" s="10">
        <v>1</v>
      </c>
      <c r="R145" s="10" t="s">
        <v>27</v>
      </c>
      <c r="S145" s="10" t="s">
        <v>28</v>
      </c>
    </row>
    <row r="146" spans="1:19" x14ac:dyDescent="0.15">
      <c r="A146" s="10">
        <v>20005</v>
      </c>
      <c r="B146" s="10">
        <v>3</v>
      </c>
      <c r="C146" s="10" t="str">
        <f>A146&amp; "_"&amp;B146</f>
        <v>20005_3</v>
      </c>
      <c r="D146" s="10" t="str">
        <f>VLOOKUP(C146,[1]stages!$A:$AE,31,FALSE)</f>
        <v>everyone</v>
      </c>
      <c r="E146" s="10">
        <v>145</v>
      </c>
      <c r="F146" s="10">
        <v>5000</v>
      </c>
      <c r="G146" s="10" t="str">
        <f>IF(I146="unit",VLOOKUP(F146,[2]characters!$A:$C,3,FALSE),"-")</f>
        <v>-</v>
      </c>
      <c r="H146" s="10">
        <v>100</v>
      </c>
      <c r="I146" s="10" t="s">
        <v>32</v>
      </c>
      <c r="J146" s="10" t="s">
        <v>33</v>
      </c>
      <c r="K146" s="10">
        <v>1</v>
      </c>
      <c r="L146" s="10">
        <v>1</v>
      </c>
      <c r="M146" s="10">
        <v>0</v>
      </c>
      <c r="N146" s="10">
        <v>0</v>
      </c>
      <c r="O146" s="10">
        <v>0</v>
      </c>
      <c r="P146" s="10">
        <v>0</v>
      </c>
      <c r="Q146" s="10">
        <v>1</v>
      </c>
      <c r="R146" s="10" t="s">
        <v>27</v>
      </c>
      <c r="S146" s="10" t="s">
        <v>28</v>
      </c>
    </row>
    <row r="147" spans="1:19" x14ac:dyDescent="0.15">
      <c r="A147" s="10">
        <v>20005</v>
      </c>
      <c r="B147" s="10">
        <v>3</v>
      </c>
      <c r="C147" s="10" t="str">
        <f t="shared" ref="C147:C156" si="19">A147&amp; "_"&amp;B147</f>
        <v>20005_3</v>
      </c>
      <c r="D147" s="10" t="str">
        <f>VLOOKUP(C147,[1]stages!$A:$AE,31,FALSE)</f>
        <v>everyone</v>
      </c>
      <c r="E147" s="10">
        <v>146</v>
      </c>
      <c r="F147" s="10">
        <v>25</v>
      </c>
      <c r="G147" s="10" t="str">
        <f>IF(I147="unit",VLOOKUP(F147,[2]characters!$A:$C,3,FALSE),"-")</f>
        <v>-</v>
      </c>
      <c r="H147" s="10">
        <v>100</v>
      </c>
      <c r="I147" s="10" t="s">
        <v>35</v>
      </c>
      <c r="J147" s="10" t="s">
        <v>33</v>
      </c>
      <c r="K147" s="10">
        <v>1</v>
      </c>
      <c r="L147" s="10">
        <v>1</v>
      </c>
      <c r="M147" s="10">
        <v>0</v>
      </c>
      <c r="N147" s="10">
        <v>0</v>
      </c>
      <c r="O147" s="10">
        <v>0</v>
      </c>
      <c r="P147" s="10">
        <v>0</v>
      </c>
      <c r="Q147" s="10">
        <v>1</v>
      </c>
      <c r="R147" s="10" t="s">
        <v>27</v>
      </c>
      <c r="S147" s="10" t="s">
        <v>28</v>
      </c>
    </row>
    <row r="148" spans="1:19" x14ac:dyDescent="0.15">
      <c r="A148" s="10">
        <v>20005</v>
      </c>
      <c r="B148" s="10">
        <v>3</v>
      </c>
      <c r="C148" s="10" t="str">
        <f t="shared" si="19"/>
        <v>20005_3</v>
      </c>
      <c r="D148" s="10" t="str">
        <f>VLOOKUP(C148,[1]stages!$A:$AE,31,FALSE)</f>
        <v>everyone</v>
      </c>
      <c r="E148" s="10">
        <v>147</v>
      </c>
      <c r="F148" s="10">
        <v>332</v>
      </c>
      <c r="G148" s="10" t="str">
        <f>IF(I148="unit",VLOOKUP(F148,[2]characters!$A:$C,3,FALSE),"-")</f>
        <v>炎のメタルピヨピヨ</v>
      </c>
      <c r="H148" s="10">
        <v>56</v>
      </c>
      <c r="I148" s="10" t="s">
        <v>36</v>
      </c>
      <c r="J148" s="10">
        <v>1</v>
      </c>
      <c r="K148" s="10">
        <v>1</v>
      </c>
      <c r="L148" s="10">
        <v>1</v>
      </c>
      <c r="M148" s="10">
        <v>0</v>
      </c>
      <c r="N148" s="10">
        <v>0</v>
      </c>
      <c r="O148" s="10">
        <v>0</v>
      </c>
      <c r="P148" s="10">
        <v>0</v>
      </c>
      <c r="Q148" s="10">
        <v>1</v>
      </c>
      <c r="R148" s="10" t="s">
        <v>27</v>
      </c>
      <c r="S148" s="10" t="s">
        <v>28</v>
      </c>
    </row>
    <row r="149" spans="1:19" x14ac:dyDescent="0.15">
      <c r="A149" s="10">
        <v>20005</v>
      </c>
      <c r="B149" s="10">
        <v>3</v>
      </c>
      <c r="C149" s="10" t="str">
        <f t="shared" si="19"/>
        <v>20005_3</v>
      </c>
      <c r="D149" s="10" t="str">
        <f>VLOOKUP(C149,[1]stages!$A:$AE,31,FALSE)</f>
        <v>everyone</v>
      </c>
      <c r="E149" s="10">
        <v>148</v>
      </c>
      <c r="F149" s="10">
        <v>333</v>
      </c>
      <c r="G149" s="10" t="str">
        <f>IF(I149="unit",VLOOKUP(F149,[2]characters!$A:$C,3,FALSE),"-")</f>
        <v>炎のメタルチック</v>
      </c>
      <c r="H149" s="10">
        <v>56</v>
      </c>
      <c r="I149" s="10" t="s">
        <v>36</v>
      </c>
      <c r="J149" s="10">
        <v>1</v>
      </c>
      <c r="K149" s="10">
        <v>1</v>
      </c>
      <c r="L149" s="10">
        <v>1</v>
      </c>
      <c r="M149" s="10">
        <v>0</v>
      </c>
      <c r="N149" s="10">
        <v>0</v>
      </c>
      <c r="O149" s="10">
        <v>0</v>
      </c>
      <c r="P149" s="10">
        <v>0</v>
      </c>
      <c r="Q149" s="10">
        <v>1</v>
      </c>
      <c r="R149" s="10" t="s">
        <v>27</v>
      </c>
      <c r="S149" s="10" t="s">
        <v>28</v>
      </c>
    </row>
    <row r="150" spans="1:19" x14ac:dyDescent="0.15">
      <c r="A150" s="10">
        <v>20005</v>
      </c>
      <c r="B150" s="10">
        <v>3</v>
      </c>
      <c r="C150" s="10" t="str">
        <f t="shared" si="19"/>
        <v>20005_3</v>
      </c>
      <c r="D150" s="10" t="str">
        <f>VLOOKUP(C150,[1]stages!$A:$AE,31,FALSE)</f>
        <v>everyone</v>
      </c>
      <c r="E150" s="10">
        <v>149</v>
      </c>
      <c r="F150" s="10">
        <v>334</v>
      </c>
      <c r="G150" s="10" t="str">
        <f>IF(I150="unit",VLOOKUP(F150,[2]characters!$A:$C,3,FALSE),"-")</f>
        <v>炎のメタルダック</v>
      </c>
      <c r="H150" s="10">
        <v>28</v>
      </c>
      <c r="I150" s="10" t="s">
        <v>36</v>
      </c>
      <c r="J150" s="10">
        <v>1</v>
      </c>
      <c r="K150" s="10">
        <v>1</v>
      </c>
      <c r="L150" s="10">
        <v>1</v>
      </c>
      <c r="M150" s="10">
        <v>0</v>
      </c>
      <c r="N150" s="10">
        <v>0</v>
      </c>
      <c r="O150" s="10">
        <v>0</v>
      </c>
      <c r="P150" s="10">
        <v>0</v>
      </c>
      <c r="Q150" s="10">
        <v>1</v>
      </c>
      <c r="R150" s="10" t="s">
        <v>27</v>
      </c>
      <c r="S150" s="10" t="s">
        <v>28</v>
      </c>
    </row>
    <row r="151" spans="1:19" x14ac:dyDescent="0.15">
      <c r="A151" s="10">
        <v>20005</v>
      </c>
      <c r="B151" s="10">
        <v>3</v>
      </c>
      <c r="C151" s="10" t="str">
        <f t="shared" si="19"/>
        <v>20005_3</v>
      </c>
      <c r="D151" s="10" t="str">
        <f>VLOOKUP(C151,[1]stages!$A:$AE,31,FALSE)</f>
        <v>everyone</v>
      </c>
      <c r="E151" s="10">
        <v>150</v>
      </c>
      <c r="F151" s="10">
        <v>121</v>
      </c>
      <c r="G151" s="10" t="str">
        <f>IF(I151="unit",VLOOKUP(F151,[2]characters!$A:$C,3,FALSE),"-")</f>
        <v>攻めの果実</v>
      </c>
      <c r="H151" s="10">
        <v>50</v>
      </c>
      <c r="I151" s="10" t="s">
        <v>36</v>
      </c>
      <c r="J151" s="10">
        <v>1</v>
      </c>
      <c r="K151" s="10">
        <v>1</v>
      </c>
      <c r="L151" s="10">
        <v>1</v>
      </c>
      <c r="M151" s="10">
        <v>0</v>
      </c>
      <c r="N151" s="10">
        <v>0</v>
      </c>
      <c r="O151" s="10">
        <v>0</v>
      </c>
      <c r="P151" s="10">
        <v>0</v>
      </c>
      <c r="Q151" s="10">
        <v>1</v>
      </c>
      <c r="R151" s="10" t="s">
        <v>27</v>
      </c>
      <c r="S151" s="10" t="s">
        <v>28</v>
      </c>
    </row>
    <row r="152" spans="1:19" x14ac:dyDescent="0.15">
      <c r="A152" s="10">
        <v>20005</v>
      </c>
      <c r="B152" s="10">
        <v>3</v>
      </c>
      <c r="C152" s="10" t="str">
        <f t="shared" si="19"/>
        <v>20005_3</v>
      </c>
      <c r="D152" s="10" t="str">
        <f>VLOOKUP(C152,[1]stages!$A:$AE,31,FALSE)</f>
        <v>everyone</v>
      </c>
      <c r="E152" s="10">
        <v>151</v>
      </c>
      <c r="F152" s="10">
        <v>122</v>
      </c>
      <c r="G152" s="10" t="str">
        <f>IF(I152="unit",VLOOKUP(F152,[2]characters!$A:$C,3,FALSE),"-")</f>
        <v>生命の果実</v>
      </c>
      <c r="H152" s="10">
        <v>50</v>
      </c>
      <c r="I152" s="10" t="s">
        <v>36</v>
      </c>
      <c r="J152" s="10">
        <v>1</v>
      </c>
      <c r="K152" s="10">
        <v>1</v>
      </c>
      <c r="L152" s="10">
        <v>1</v>
      </c>
      <c r="M152" s="10">
        <v>0</v>
      </c>
      <c r="N152" s="10">
        <v>0</v>
      </c>
      <c r="O152" s="10">
        <v>0</v>
      </c>
      <c r="P152" s="10">
        <v>0</v>
      </c>
      <c r="Q152" s="10">
        <v>1</v>
      </c>
      <c r="R152" s="10" t="s">
        <v>27</v>
      </c>
      <c r="S152" s="10" t="s">
        <v>28</v>
      </c>
    </row>
    <row r="153" spans="1:19" x14ac:dyDescent="0.15">
      <c r="A153" s="10">
        <v>20005</v>
      </c>
      <c r="B153" s="10">
        <v>3</v>
      </c>
      <c r="C153" s="10" t="str">
        <f t="shared" si="19"/>
        <v>20005_3</v>
      </c>
      <c r="D153" s="10" t="str">
        <f>VLOOKUP(C153,[1]stages!$A:$AE,31,FALSE)</f>
        <v>everyone</v>
      </c>
      <c r="E153" s="10">
        <v>152</v>
      </c>
      <c r="F153" s="10">
        <v>123</v>
      </c>
      <c r="G153" s="10" t="str">
        <f>IF(I153="unit",VLOOKUP(F153,[2]characters!$A:$C,3,FALSE),"-")</f>
        <v>癒しの果実</v>
      </c>
      <c r="H153" s="10">
        <v>50</v>
      </c>
      <c r="I153" s="10" t="s">
        <v>36</v>
      </c>
      <c r="J153" s="10">
        <v>1</v>
      </c>
      <c r="K153" s="10">
        <v>1</v>
      </c>
      <c r="L153" s="10">
        <v>1</v>
      </c>
      <c r="M153" s="10">
        <v>0</v>
      </c>
      <c r="N153" s="10">
        <v>0</v>
      </c>
      <c r="O153" s="10">
        <v>0</v>
      </c>
      <c r="P153" s="10">
        <v>0</v>
      </c>
      <c r="Q153" s="10">
        <v>1</v>
      </c>
      <c r="R153" s="10" t="s">
        <v>27</v>
      </c>
      <c r="S153" s="10" t="s">
        <v>28</v>
      </c>
    </row>
    <row r="154" spans="1:19" x14ac:dyDescent="0.15">
      <c r="A154" s="10">
        <v>20005</v>
      </c>
      <c r="B154" s="10">
        <v>3</v>
      </c>
      <c r="C154" s="10" t="str">
        <f t="shared" si="19"/>
        <v>20005_3</v>
      </c>
      <c r="D154" s="10" t="str">
        <f>VLOOKUP(C154,[1]stages!$A:$AE,31,FALSE)</f>
        <v>everyone</v>
      </c>
      <c r="E154" s="10">
        <v>153</v>
      </c>
      <c r="F154" s="10">
        <v>125</v>
      </c>
      <c r="G154" s="10" t="str">
        <f>IF(I154="unit",VLOOKUP(F154,[2]characters!$A:$C,3,FALSE),"-")</f>
        <v>秘術の果実</v>
      </c>
      <c r="H154" s="10">
        <v>10</v>
      </c>
      <c r="I154" s="10" t="s">
        <v>36</v>
      </c>
      <c r="J154" s="10">
        <v>1</v>
      </c>
      <c r="K154" s="10">
        <v>1</v>
      </c>
      <c r="L154" s="10">
        <v>1</v>
      </c>
      <c r="M154" s="10">
        <v>0</v>
      </c>
      <c r="N154" s="10">
        <v>0</v>
      </c>
      <c r="O154" s="10">
        <v>0</v>
      </c>
      <c r="P154" s="10">
        <v>0</v>
      </c>
      <c r="Q154" s="10">
        <v>1</v>
      </c>
      <c r="R154" s="10" t="s">
        <v>27</v>
      </c>
      <c r="S154" s="10" t="s">
        <v>28</v>
      </c>
    </row>
    <row r="155" spans="1:19" x14ac:dyDescent="0.15">
      <c r="A155" s="10">
        <v>20005</v>
      </c>
      <c r="B155" s="10">
        <v>3</v>
      </c>
      <c r="C155" s="10" t="str">
        <f t="shared" si="19"/>
        <v>20005_3</v>
      </c>
      <c r="D155" s="10" t="str">
        <f>VLOOKUP(C155,[1]stages!$A:$AE,31,FALSE)</f>
        <v>everyone</v>
      </c>
      <c r="E155" s="10">
        <v>154</v>
      </c>
      <c r="F155" s="10">
        <v>286</v>
      </c>
      <c r="G155" s="10" t="str">
        <f>IF(I155="unit",VLOOKUP(F155,[2]characters!$A:$C,3,FALSE),"-")</f>
        <v>ヒュドラ</v>
      </c>
      <c r="H155" s="10">
        <v>400</v>
      </c>
      <c r="I155" s="10" t="s">
        <v>36</v>
      </c>
      <c r="J155" s="10">
        <v>1</v>
      </c>
      <c r="K155" s="10">
        <v>1</v>
      </c>
      <c r="L155" s="10">
        <v>1</v>
      </c>
      <c r="M155" s="10">
        <v>0</v>
      </c>
      <c r="N155" s="10">
        <v>0</v>
      </c>
      <c r="O155" s="10">
        <v>0</v>
      </c>
      <c r="P155" s="10">
        <v>0</v>
      </c>
      <c r="Q155" s="10">
        <v>1</v>
      </c>
      <c r="R155" s="10" t="s">
        <v>27</v>
      </c>
      <c r="S155" s="10" t="s">
        <v>28</v>
      </c>
    </row>
    <row r="156" spans="1:19" x14ac:dyDescent="0.15">
      <c r="A156" s="10">
        <v>20005</v>
      </c>
      <c r="B156" s="10">
        <v>3</v>
      </c>
      <c r="C156" s="10" t="str">
        <f t="shared" si="19"/>
        <v>20005_3</v>
      </c>
      <c r="D156" s="10" t="str">
        <f>VLOOKUP(C156,[1]stages!$A:$AE,31,FALSE)</f>
        <v>everyone</v>
      </c>
      <c r="E156" s="10">
        <v>155</v>
      </c>
      <c r="F156" s="10">
        <v>348</v>
      </c>
      <c r="G156" s="10" t="str">
        <f>IF(I156="unit",VLOOKUP(F156,[2]characters!$A:$C,3,FALSE),"-")</f>
        <v>炎のケロケロ</v>
      </c>
      <c r="H156" s="10">
        <v>100</v>
      </c>
      <c r="I156" s="10" t="s">
        <v>36</v>
      </c>
      <c r="J156" s="10">
        <v>1</v>
      </c>
      <c r="K156" s="10">
        <v>1</v>
      </c>
      <c r="L156" s="10">
        <v>1</v>
      </c>
      <c r="M156" s="10">
        <v>0</v>
      </c>
      <c r="N156" s="10">
        <v>0</v>
      </c>
      <c r="O156" s="10">
        <v>0</v>
      </c>
      <c r="P156" s="10">
        <v>0</v>
      </c>
      <c r="Q156" s="10">
        <v>1</v>
      </c>
      <c r="R156" s="10" t="s">
        <v>27</v>
      </c>
      <c r="S156" s="10" t="s">
        <v>28</v>
      </c>
    </row>
    <row r="157" spans="1:19" x14ac:dyDescent="0.15">
      <c r="A157" s="11">
        <v>20006</v>
      </c>
      <c r="B157" s="11">
        <v>1</v>
      </c>
      <c r="C157" s="11" t="str">
        <f>A157&amp; "_"&amp;B157</f>
        <v>20006_1</v>
      </c>
      <c r="D157" s="11" t="str">
        <f>VLOOKUP(C157,[1]stages!$A:$AE,31,FALSE)</f>
        <v>everyone</v>
      </c>
      <c r="E157" s="11">
        <v>156</v>
      </c>
      <c r="F157" s="11">
        <v>1700</v>
      </c>
      <c r="G157" s="10" t="str">
        <f>IF(I157="unit",VLOOKUP(F157,[2]characters!$A:$C,3,FALSE),"-")</f>
        <v>-</v>
      </c>
      <c r="H157" s="11">
        <v>200</v>
      </c>
      <c r="I157" s="11" t="s">
        <v>32</v>
      </c>
      <c r="J157" s="11" t="s">
        <v>33</v>
      </c>
      <c r="K157" s="11">
        <v>1</v>
      </c>
      <c r="L157" s="11">
        <v>1</v>
      </c>
      <c r="M157" s="11">
        <v>0</v>
      </c>
      <c r="N157" s="11">
        <v>0</v>
      </c>
      <c r="O157" s="11">
        <v>0</v>
      </c>
      <c r="P157" s="11">
        <v>0</v>
      </c>
      <c r="Q157" s="11">
        <v>1</v>
      </c>
      <c r="R157" s="11" t="s">
        <v>27</v>
      </c>
      <c r="S157" s="11" t="s">
        <v>28</v>
      </c>
    </row>
    <row r="158" spans="1:19" x14ac:dyDescent="0.15">
      <c r="A158" s="11">
        <v>20006</v>
      </c>
      <c r="B158" s="11">
        <v>1</v>
      </c>
      <c r="C158" s="11" t="str">
        <f t="shared" ref="C158:C166" si="20">A158&amp; "_"&amp;B158</f>
        <v>20006_1</v>
      </c>
      <c r="D158" s="11" t="str">
        <f>VLOOKUP(C158,[1]stages!$A:$AE,31,FALSE)</f>
        <v>everyone</v>
      </c>
      <c r="E158" s="11">
        <v>157</v>
      </c>
      <c r="F158" s="11">
        <v>20</v>
      </c>
      <c r="G158" s="10" t="str">
        <f>IF(I158="unit",VLOOKUP(F158,[2]characters!$A:$C,3,FALSE),"-")</f>
        <v>-</v>
      </c>
      <c r="H158" s="11">
        <v>200</v>
      </c>
      <c r="I158" s="11" t="s">
        <v>35</v>
      </c>
      <c r="J158" s="11" t="s">
        <v>33</v>
      </c>
      <c r="K158" s="11">
        <v>1</v>
      </c>
      <c r="L158" s="11">
        <v>1</v>
      </c>
      <c r="M158" s="11">
        <v>0</v>
      </c>
      <c r="N158" s="11">
        <v>0</v>
      </c>
      <c r="O158" s="11">
        <v>0</v>
      </c>
      <c r="P158" s="11">
        <v>0</v>
      </c>
      <c r="Q158" s="11">
        <v>1</v>
      </c>
      <c r="R158" s="11" t="s">
        <v>27</v>
      </c>
      <c r="S158" s="11" t="s">
        <v>28</v>
      </c>
    </row>
    <row r="159" spans="1:19" x14ac:dyDescent="0.15">
      <c r="A159" s="11">
        <v>20006</v>
      </c>
      <c r="B159" s="11">
        <v>1</v>
      </c>
      <c r="C159" s="11" t="str">
        <f t="shared" si="20"/>
        <v>20006_1</v>
      </c>
      <c r="D159" s="11" t="str">
        <f>VLOOKUP(C159,[1]stages!$A:$AE,31,FALSE)</f>
        <v>everyone</v>
      </c>
      <c r="E159" s="11">
        <v>158</v>
      </c>
      <c r="F159" s="11">
        <v>336</v>
      </c>
      <c r="G159" s="10" t="str">
        <f>IF(I159="unit",VLOOKUP(F159,[2]characters!$A:$C,3,FALSE),"-")</f>
        <v>森のメタルピヨピヨ</v>
      </c>
      <c r="H159" s="11">
        <v>98</v>
      </c>
      <c r="I159" s="11" t="s">
        <v>36</v>
      </c>
      <c r="J159" s="11">
        <v>1</v>
      </c>
      <c r="K159" s="11">
        <v>1</v>
      </c>
      <c r="L159" s="11">
        <v>1</v>
      </c>
      <c r="M159" s="11">
        <v>0</v>
      </c>
      <c r="N159" s="11">
        <v>0</v>
      </c>
      <c r="O159" s="11">
        <v>0</v>
      </c>
      <c r="P159" s="11">
        <v>0</v>
      </c>
      <c r="Q159" s="11">
        <v>1</v>
      </c>
      <c r="R159" s="11" t="s">
        <v>27</v>
      </c>
      <c r="S159" s="11" t="s">
        <v>28</v>
      </c>
    </row>
    <row r="160" spans="1:19" x14ac:dyDescent="0.15">
      <c r="A160" s="11">
        <v>20006</v>
      </c>
      <c r="B160" s="11">
        <v>1</v>
      </c>
      <c r="C160" s="11" t="str">
        <f t="shared" si="20"/>
        <v>20006_1</v>
      </c>
      <c r="D160" s="11" t="str">
        <f>VLOOKUP(C160,[1]stages!$A:$AE,31,FALSE)</f>
        <v>everyone</v>
      </c>
      <c r="E160" s="11">
        <v>159</v>
      </c>
      <c r="F160" s="11">
        <v>337</v>
      </c>
      <c r="G160" s="10" t="str">
        <f>IF(I160="unit",VLOOKUP(F160,[2]characters!$A:$C,3,FALSE),"-")</f>
        <v>森のメタルチック</v>
      </c>
      <c r="H160" s="11">
        <v>42</v>
      </c>
      <c r="I160" s="11" t="s">
        <v>36</v>
      </c>
      <c r="J160" s="11">
        <v>1</v>
      </c>
      <c r="K160" s="11">
        <v>1</v>
      </c>
      <c r="L160" s="11">
        <v>1</v>
      </c>
      <c r="M160" s="11">
        <v>0</v>
      </c>
      <c r="N160" s="11">
        <v>0</v>
      </c>
      <c r="O160" s="11">
        <v>0</v>
      </c>
      <c r="P160" s="11">
        <v>0</v>
      </c>
      <c r="Q160" s="11">
        <v>1</v>
      </c>
      <c r="R160" s="11" t="s">
        <v>27</v>
      </c>
      <c r="S160" s="11" t="s">
        <v>28</v>
      </c>
    </row>
    <row r="161" spans="1:19" x14ac:dyDescent="0.15">
      <c r="A161" s="11">
        <v>20006</v>
      </c>
      <c r="B161" s="11">
        <v>1</v>
      </c>
      <c r="C161" s="11" t="str">
        <f t="shared" si="20"/>
        <v>20006_1</v>
      </c>
      <c r="D161" s="11" t="str">
        <f>VLOOKUP(C161,[1]stages!$A:$AE,31,FALSE)</f>
        <v>everyone</v>
      </c>
      <c r="E161" s="11">
        <v>160</v>
      </c>
      <c r="F161" s="11">
        <v>121</v>
      </c>
      <c r="G161" s="10" t="str">
        <f>IF(I161="unit",VLOOKUP(F161,[2]characters!$A:$C,3,FALSE),"-")</f>
        <v>攻めの果実</v>
      </c>
      <c r="H161" s="11">
        <v>50</v>
      </c>
      <c r="I161" s="11" t="s">
        <v>36</v>
      </c>
      <c r="J161" s="11">
        <v>1</v>
      </c>
      <c r="K161" s="11">
        <v>1</v>
      </c>
      <c r="L161" s="11">
        <v>1</v>
      </c>
      <c r="M161" s="11">
        <v>0</v>
      </c>
      <c r="N161" s="11">
        <v>0</v>
      </c>
      <c r="O161" s="11">
        <v>0</v>
      </c>
      <c r="P161" s="11">
        <v>0</v>
      </c>
      <c r="Q161" s="11">
        <v>1</v>
      </c>
      <c r="R161" s="11" t="s">
        <v>27</v>
      </c>
      <c r="S161" s="11" t="s">
        <v>28</v>
      </c>
    </row>
    <row r="162" spans="1:19" x14ac:dyDescent="0.15">
      <c r="A162" s="11">
        <v>20006</v>
      </c>
      <c r="B162" s="11">
        <v>1</v>
      </c>
      <c r="C162" s="11" t="str">
        <f t="shared" si="20"/>
        <v>20006_1</v>
      </c>
      <c r="D162" s="11" t="str">
        <f>VLOOKUP(C162,[1]stages!$A:$AE,31,FALSE)</f>
        <v>everyone</v>
      </c>
      <c r="E162" s="11">
        <v>161</v>
      </c>
      <c r="F162" s="11">
        <v>122</v>
      </c>
      <c r="G162" s="10" t="str">
        <f>IF(I162="unit",VLOOKUP(F162,[2]characters!$A:$C,3,FALSE),"-")</f>
        <v>生命の果実</v>
      </c>
      <c r="H162" s="11">
        <v>50</v>
      </c>
      <c r="I162" s="11" t="s">
        <v>36</v>
      </c>
      <c r="J162" s="11">
        <v>1</v>
      </c>
      <c r="K162" s="11">
        <v>1</v>
      </c>
      <c r="L162" s="11">
        <v>1</v>
      </c>
      <c r="M162" s="11">
        <v>0</v>
      </c>
      <c r="N162" s="11">
        <v>0</v>
      </c>
      <c r="O162" s="11">
        <v>0</v>
      </c>
      <c r="P162" s="11">
        <v>0</v>
      </c>
      <c r="Q162" s="11">
        <v>1</v>
      </c>
      <c r="R162" s="11" t="s">
        <v>27</v>
      </c>
      <c r="S162" s="11" t="s">
        <v>28</v>
      </c>
    </row>
    <row r="163" spans="1:19" x14ac:dyDescent="0.15">
      <c r="A163" s="11">
        <v>20006</v>
      </c>
      <c r="B163" s="11">
        <v>1</v>
      </c>
      <c r="C163" s="11" t="str">
        <f t="shared" si="20"/>
        <v>20006_1</v>
      </c>
      <c r="D163" s="11" t="str">
        <f>VLOOKUP(C163,[1]stages!$A:$AE,31,FALSE)</f>
        <v>everyone</v>
      </c>
      <c r="E163" s="11">
        <v>162</v>
      </c>
      <c r="F163" s="11">
        <v>123</v>
      </c>
      <c r="G163" s="10" t="str">
        <f>IF(I163="unit",VLOOKUP(F163,[2]characters!$A:$C,3,FALSE),"-")</f>
        <v>癒しの果実</v>
      </c>
      <c r="H163" s="11">
        <v>50</v>
      </c>
      <c r="I163" s="11" t="s">
        <v>36</v>
      </c>
      <c r="J163" s="11">
        <v>1</v>
      </c>
      <c r="K163" s="11">
        <v>1</v>
      </c>
      <c r="L163" s="11">
        <v>1</v>
      </c>
      <c r="M163" s="11">
        <v>0</v>
      </c>
      <c r="N163" s="11">
        <v>0</v>
      </c>
      <c r="O163" s="11">
        <v>0</v>
      </c>
      <c r="P163" s="11">
        <v>0</v>
      </c>
      <c r="Q163" s="11">
        <v>1</v>
      </c>
      <c r="R163" s="11" t="s">
        <v>27</v>
      </c>
      <c r="S163" s="11" t="s">
        <v>28</v>
      </c>
    </row>
    <row r="164" spans="1:19" x14ac:dyDescent="0.15">
      <c r="A164" s="11">
        <v>20006</v>
      </c>
      <c r="B164" s="11">
        <v>1</v>
      </c>
      <c r="C164" s="11" t="str">
        <f t="shared" si="20"/>
        <v>20006_1</v>
      </c>
      <c r="D164" s="11" t="str">
        <f>VLOOKUP(C164,[1]stages!$A:$AE,31,FALSE)</f>
        <v>everyone</v>
      </c>
      <c r="E164" s="11">
        <v>163</v>
      </c>
      <c r="F164" s="11">
        <v>125</v>
      </c>
      <c r="G164" s="10" t="str">
        <f>IF(I164="unit",VLOOKUP(F164,[2]characters!$A:$C,3,FALSE),"-")</f>
        <v>秘術の果実</v>
      </c>
      <c r="H164" s="11">
        <v>10</v>
      </c>
      <c r="I164" s="11" t="s">
        <v>36</v>
      </c>
      <c r="J164" s="11">
        <v>1</v>
      </c>
      <c r="K164" s="11">
        <v>1</v>
      </c>
      <c r="L164" s="11">
        <v>1</v>
      </c>
      <c r="M164" s="11">
        <v>0</v>
      </c>
      <c r="N164" s="11">
        <v>0</v>
      </c>
      <c r="O164" s="11">
        <v>0</v>
      </c>
      <c r="P164" s="11">
        <v>0</v>
      </c>
      <c r="Q164" s="11">
        <v>1</v>
      </c>
      <c r="R164" s="11" t="s">
        <v>27</v>
      </c>
      <c r="S164" s="11" t="s">
        <v>28</v>
      </c>
    </row>
    <row r="165" spans="1:19" x14ac:dyDescent="0.15">
      <c r="A165" s="11">
        <v>20006</v>
      </c>
      <c r="B165" s="11">
        <v>1</v>
      </c>
      <c r="C165" s="11" t="str">
        <f t="shared" si="20"/>
        <v>20006_1</v>
      </c>
      <c r="D165" s="11" t="str">
        <f>VLOOKUP(C165,[1]stages!$A:$AE,31,FALSE)</f>
        <v>everyone</v>
      </c>
      <c r="E165" s="11">
        <v>164</v>
      </c>
      <c r="F165" s="11">
        <v>280</v>
      </c>
      <c r="G165" s="10" t="str">
        <f>IF(I165="unit",VLOOKUP(F165,[2]characters!$A:$C,3,FALSE),"-")</f>
        <v>リンドブルム</v>
      </c>
      <c r="H165" s="11">
        <v>200</v>
      </c>
      <c r="I165" s="11" t="s">
        <v>36</v>
      </c>
      <c r="J165" s="11">
        <v>1</v>
      </c>
      <c r="K165" s="11">
        <v>1</v>
      </c>
      <c r="L165" s="11">
        <v>1</v>
      </c>
      <c r="M165" s="11">
        <v>0</v>
      </c>
      <c r="N165" s="11">
        <v>0</v>
      </c>
      <c r="O165" s="11">
        <v>0</v>
      </c>
      <c r="P165" s="11">
        <v>0</v>
      </c>
      <c r="Q165" s="11">
        <v>1</v>
      </c>
      <c r="R165" s="11" t="s">
        <v>27</v>
      </c>
      <c r="S165" s="11" t="s">
        <v>28</v>
      </c>
    </row>
    <row r="166" spans="1:19" x14ac:dyDescent="0.15">
      <c r="A166" s="11">
        <v>20006</v>
      </c>
      <c r="B166" s="11">
        <v>1</v>
      </c>
      <c r="C166" s="11" t="str">
        <f t="shared" si="20"/>
        <v>20006_1</v>
      </c>
      <c r="D166" s="11" t="str">
        <f>VLOOKUP(C166,[1]stages!$A:$AE,31,FALSE)</f>
        <v>everyone</v>
      </c>
      <c r="E166" s="11">
        <v>165</v>
      </c>
      <c r="F166" s="11">
        <v>350</v>
      </c>
      <c r="G166" s="10" t="str">
        <f>IF(I166="unit",VLOOKUP(F166,[2]characters!$A:$C,3,FALSE),"-")</f>
        <v>森のケロケロ</v>
      </c>
      <c r="H166" s="11">
        <v>100</v>
      </c>
      <c r="I166" s="11" t="s">
        <v>36</v>
      </c>
      <c r="J166" s="11">
        <v>1</v>
      </c>
      <c r="K166" s="11">
        <v>1</v>
      </c>
      <c r="L166" s="11">
        <v>1</v>
      </c>
      <c r="M166" s="11">
        <v>0</v>
      </c>
      <c r="N166" s="11">
        <v>0</v>
      </c>
      <c r="O166" s="11">
        <v>0</v>
      </c>
      <c r="P166" s="11">
        <v>0</v>
      </c>
      <c r="Q166" s="11">
        <v>1</v>
      </c>
      <c r="R166" s="11" t="s">
        <v>27</v>
      </c>
      <c r="S166" s="11" t="s">
        <v>28</v>
      </c>
    </row>
    <row r="167" spans="1:19" x14ac:dyDescent="0.15">
      <c r="A167" s="11">
        <v>20006</v>
      </c>
      <c r="B167" s="11">
        <v>2</v>
      </c>
      <c r="C167" s="11" t="str">
        <f>A167&amp; "_"&amp;B167</f>
        <v>20006_2</v>
      </c>
      <c r="D167" s="11" t="str">
        <f>VLOOKUP(C167,[1]stages!$A:$AE,31,FALSE)</f>
        <v>everyone</v>
      </c>
      <c r="E167" s="11">
        <v>166</v>
      </c>
      <c r="F167" s="11">
        <v>3200</v>
      </c>
      <c r="G167" s="10" t="str">
        <f>IF(I167="unit",VLOOKUP(F167,[2]characters!$A:$C,3,FALSE),"-")</f>
        <v>-</v>
      </c>
      <c r="H167" s="11">
        <v>200</v>
      </c>
      <c r="I167" s="11" t="s">
        <v>32</v>
      </c>
      <c r="J167" s="11" t="s">
        <v>33</v>
      </c>
      <c r="K167" s="11">
        <v>1</v>
      </c>
      <c r="L167" s="11">
        <v>1</v>
      </c>
      <c r="M167" s="11">
        <v>0</v>
      </c>
      <c r="N167" s="11">
        <v>0</v>
      </c>
      <c r="O167" s="11">
        <v>0</v>
      </c>
      <c r="P167" s="11">
        <v>0</v>
      </c>
      <c r="Q167" s="11">
        <v>1</v>
      </c>
      <c r="R167" s="11" t="s">
        <v>27</v>
      </c>
      <c r="S167" s="11" t="s">
        <v>28</v>
      </c>
    </row>
    <row r="168" spans="1:19" x14ac:dyDescent="0.15">
      <c r="A168" s="11">
        <v>20006</v>
      </c>
      <c r="B168" s="11">
        <v>2</v>
      </c>
      <c r="C168" s="11" t="str">
        <f t="shared" ref="C168:C176" si="21">A168&amp; "_"&amp;B168</f>
        <v>20006_2</v>
      </c>
      <c r="D168" s="11" t="str">
        <f>VLOOKUP(C168,[1]stages!$A:$AE,31,FALSE)</f>
        <v>everyone</v>
      </c>
      <c r="E168" s="11">
        <v>167</v>
      </c>
      <c r="F168" s="11">
        <v>20</v>
      </c>
      <c r="G168" s="10" t="str">
        <f>IF(I168="unit",VLOOKUP(F168,[2]characters!$A:$C,3,FALSE),"-")</f>
        <v>-</v>
      </c>
      <c r="H168" s="11">
        <v>150</v>
      </c>
      <c r="I168" s="11" t="s">
        <v>35</v>
      </c>
      <c r="J168" s="11" t="s">
        <v>33</v>
      </c>
      <c r="K168" s="11">
        <v>1</v>
      </c>
      <c r="L168" s="11">
        <v>1</v>
      </c>
      <c r="M168" s="11">
        <v>0</v>
      </c>
      <c r="N168" s="11">
        <v>0</v>
      </c>
      <c r="O168" s="11">
        <v>0</v>
      </c>
      <c r="P168" s="11">
        <v>0</v>
      </c>
      <c r="Q168" s="11">
        <v>1</v>
      </c>
      <c r="R168" s="11" t="s">
        <v>27</v>
      </c>
      <c r="S168" s="11" t="s">
        <v>28</v>
      </c>
    </row>
    <row r="169" spans="1:19" x14ac:dyDescent="0.15">
      <c r="A169" s="11">
        <v>20006</v>
      </c>
      <c r="B169" s="11">
        <v>2</v>
      </c>
      <c r="C169" s="11" t="str">
        <f t="shared" si="21"/>
        <v>20006_2</v>
      </c>
      <c r="D169" s="11" t="str">
        <f>VLOOKUP(C169,[1]stages!$A:$AE,31,FALSE)</f>
        <v>everyone</v>
      </c>
      <c r="E169" s="11">
        <v>168</v>
      </c>
      <c r="F169" s="11">
        <v>336</v>
      </c>
      <c r="G169" s="10" t="str">
        <f>IF(I169="unit",VLOOKUP(F169,[2]characters!$A:$C,3,FALSE),"-")</f>
        <v>森のメタルピヨピヨ</v>
      </c>
      <c r="H169" s="11">
        <v>70</v>
      </c>
      <c r="I169" s="11" t="s">
        <v>36</v>
      </c>
      <c r="J169" s="11">
        <v>1</v>
      </c>
      <c r="K169" s="11">
        <v>1</v>
      </c>
      <c r="L169" s="11">
        <v>1</v>
      </c>
      <c r="M169" s="11">
        <v>0</v>
      </c>
      <c r="N169" s="11">
        <v>0</v>
      </c>
      <c r="O169" s="11">
        <v>0</v>
      </c>
      <c r="P169" s="11">
        <v>0</v>
      </c>
      <c r="Q169" s="11">
        <v>1</v>
      </c>
      <c r="R169" s="11" t="s">
        <v>27</v>
      </c>
      <c r="S169" s="11" t="s">
        <v>28</v>
      </c>
    </row>
    <row r="170" spans="1:19" x14ac:dyDescent="0.15">
      <c r="A170" s="11">
        <v>20006</v>
      </c>
      <c r="B170" s="11">
        <v>2</v>
      </c>
      <c r="C170" s="11" t="str">
        <f t="shared" si="21"/>
        <v>20006_2</v>
      </c>
      <c r="D170" s="11" t="str">
        <f>VLOOKUP(C170,[1]stages!$A:$AE,31,FALSE)</f>
        <v>everyone</v>
      </c>
      <c r="E170" s="11">
        <v>169</v>
      </c>
      <c r="F170" s="11">
        <v>337</v>
      </c>
      <c r="G170" s="10" t="str">
        <f>IF(I170="unit",VLOOKUP(F170,[2]characters!$A:$C,3,FALSE),"-")</f>
        <v>森のメタルチック</v>
      </c>
      <c r="H170" s="11">
        <v>70</v>
      </c>
      <c r="I170" s="11" t="s">
        <v>36</v>
      </c>
      <c r="J170" s="11">
        <v>1</v>
      </c>
      <c r="K170" s="11">
        <v>1</v>
      </c>
      <c r="L170" s="11">
        <v>1</v>
      </c>
      <c r="M170" s="11">
        <v>0</v>
      </c>
      <c r="N170" s="11">
        <v>0</v>
      </c>
      <c r="O170" s="11">
        <v>0</v>
      </c>
      <c r="P170" s="11">
        <v>0</v>
      </c>
      <c r="Q170" s="11">
        <v>1</v>
      </c>
      <c r="R170" s="11" t="s">
        <v>27</v>
      </c>
      <c r="S170" s="11" t="s">
        <v>28</v>
      </c>
    </row>
    <row r="171" spans="1:19" x14ac:dyDescent="0.15">
      <c r="A171" s="11">
        <v>20006</v>
      </c>
      <c r="B171" s="11">
        <v>2</v>
      </c>
      <c r="C171" s="11" t="str">
        <f t="shared" si="21"/>
        <v>20006_2</v>
      </c>
      <c r="D171" s="11" t="str">
        <f>VLOOKUP(C171,[1]stages!$A:$AE,31,FALSE)</f>
        <v>everyone</v>
      </c>
      <c r="E171" s="11">
        <v>170</v>
      </c>
      <c r="F171" s="11">
        <v>121</v>
      </c>
      <c r="G171" s="10" t="str">
        <f>IF(I171="unit",VLOOKUP(F171,[2]characters!$A:$C,3,FALSE),"-")</f>
        <v>攻めの果実</v>
      </c>
      <c r="H171" s="11">
        <v>50</v>
      </c>
      <c r="I171" s="11" t="s">
        <v>36</v>
      </c>
      <c r="J171" s="11">
        <v>1</v>
      </c>
      <c r="K171" s="11">
        <v>1</v>
      </c>
      <c r="L171" s="11">
        <v>1</v>
      </c>
      <c r="M171" s="11">
        <v>0</v>
      </c>
      <c r="N171" s="11">
        <v>0</v>
      </c>
      <c r="O171" s="11">
        <v>0</v>
      </c>
      <c r="P171" s="11">
        <v>0</v>
      </c>
      <c r="Q171" s="11">
        <v>1</v>
      </c>
      <c r="R171" s="11" t="s">
        <v>27</v>
      </c>
      <c r="S171" s="11" t="s">
        <v>28</v>
      </c>
    </row>
    <row r="172" spans="1:19" x14ac:dyDescent="0.15">
      <c r="A172" s="11">
        <v>20006</v>
      </c>
      <c r="B172" s="11">
        <v>2</v>
      </c>
      <c r="C172" s="11" t="str">
        <f t="shared" si="21"/>
        <v>20006_2</v>
      </c>
      <c r="D172" s="11" t="str">
        <f>VLOOKUP(C172,[1]stages!$A:$AE,31,FALSE)</f>
        <v>everyone</v>
      </c>
      <c r="E172" s="11">
        <v>171</v>
      </c>
      <c r="F172" s="11">
        <v>122</v>
      </c>
      <c r="G172" s="10" t="str">
        <f>IF(I172="unit",VLOOKUP(F172,[2]characters!$A:$C,3,FALSE),"-")</f>
        <v>生命の果実</v>
      </c>
      <c r="H172" s="11">
        <v>50</v>
      </c>
      <c r="I172" s="11" t="s">
        <v>36</v>
      </c>
      <c r="J172" s="11">
        <v>1</v>
      </c>
      <c r="K172" s="11">
        <v>1</v>
      </c>
      <c r="L172" s="11">
        <v>1</v>
      </c>
      <c r="M172" s="11">
        <v>0</v>
      </c>
      <c r="N172" s="11">
        <v>0</v>
      </c>
      <c r="O172" s="11">
        <v>0</v>
      </c>
      <c r="P172" s="11">
        <v>0</v>
      </c>
      <c r="Q172" s="11">
        <v>1</v>
      </c>
      <c r="R172" s="11" t="s">
        <v>27</v>
      </c>
      <c r="S172" s="11" t="s">
        <v>28</v>
      </c>
    </row>
    <row r="173" spans="1:19" x14ac:dyDescent="0.15">
      <c r="A173" s="11">
        <v>20006</v>
      </c>
      <c r="B173" s="11">
        <v>2</v>
      </c>
      <c r="C173" s="11" t="str">
        <f t="shared" si="21"/>
        <v>20006_2</v>
      </c>
      <c r="D173" s="11" t="str">
        <f>VLOOKUP(C173,[1]stages!$A:$AE,31,FALSE)</f>
        <v>everyone</v>
      </c>
      <c r="E173" s="11">
        <v>172</v>
      </c>
      <c r="F173" s="11">
        <v>123</v>
      </c>
      <c r="G173" s="10" t="str">
        <f>IF(I173="unit",VLOOKUP(F173,[2]characters!$A:$C,3,FALSE),"-")</f>
        <v>癒しの果実</v>
      </c>
      <c r="H173" s="11">
        <v>50</v>
      </c>
      <c r="I173" s="11" t="s">
        <v>36</v>
      </c>
      <c r="J173" s="11">
        <v>1</v>
      </c>
      <c r="K173" s="11">
        <v>1</v>
      </c>
      <c r="L173" s="11">
        <v>1</v>
      </c>
      <c r="M173" s="11">
        <v>0</v>
      </c>
      <c r="N173" s="11">
        <v>0</v>
      </c>
      <c r="O173" s="11">
        <v>0</v>
      </c>
      <c r="P173" s="11">
        <v>0</v>
      </c>
      <c r="Q173" s="11">
        <v>1</v>
      </c>
      <c r="R173" s="11" t="s">
        <v>27</v>
      </c>
      <c r="S173" s="11" t="s">
        <v>28</v>
      </c>
    </row>
    <row r="174" spans="1:19" x14ac:dyDescent="0.15">
      <c r="A174" s="11">
        <v>20006</v>
      </c>
      <c r="B174" s="11">
        <v>2</v>
      </c>
      <c r="C174" s="11" t="str">
        <f t="shared" si="21"/>
        <v>20006_2</v>
      </c>
      <c r="D174" s="11" t="str">
        <f>VLOOKUP(C174,[1]stages!$A:$AE,31,FALSE)</f>
        <v>everyone</v>
      </c>
      <c r="E174" s="11">
        <v>173</v>
      </c>
      <c r="F174" s="11">
        <v>125</v>
      </c>
      <c r="G174" s="10" t="str">
        <f>IF(I174="unit",VLOOKUP(F174,[2]characters!$A:$C,3,FALSE),"-")</f>
        <v>秘術の果実</v>
      </c>
      <c r="H174" s="11">
        <v>10</v>
      </c>
      <c r="I174" s="11" t="s">
        <v>36</v>
      </c>
      <c r="J174" s="11">
        <v>1</v>
      </c>
      <c r="K174" s="11">
        <v>1</v>
      </c>
      <c r="L174" s="11">
        <v>1</v>
      </c>
      <c r="M174" s="11">
        <v>0</v>
      </c>
      <c r="N174" s="11">
        <v>0</v>
      </c>
      <c r="O174" s="11">
        <v>0</v>
      </c>
      <c r="P174" s="11">
        <v>0</v>
      </c>
      <c r="Q174" s="11">
        <v>1</v>
      </c>
      <c r="R174" s="11" t="s">
        <v>27</v>
      </c>
      <c r="S174" s="11" t="s">
        <v>28</v>
      </c>
    </row>
    <row r="175" spans="1:19" x14ac:dyDescent="0.15">
      <c r="A175" s="11">
        <v>20006</v>
      </c>
      <c r="B175" s="11">
        <v>2</v>
      </c>
      <c r="C175" s="11" t="str">
        <f t="shared" si="21"/>
        <v>20006_2</v>
      </c>
      <c r="D175" s="11" t="str">
        <f>VLOOKUP(C175,[1]stages!$A:$AE,31,FALSE)</f>
        <v>everyone</v>
      </c>
      <c r="E175" s="11">
        <v>174</v>
      </c>
      <c r="F175" s="11">
        <v>280</v>
      </c>
      <c r="G175" s="10" t="str">
        <f>IF(I175="unit",VLOOKUP(F175,[2]characters!$A:$C,3,FALSE),"-")</f>
        <v>リンドブルム</v>
      </c>
      <c r="H175" s="11">
        <v>250</v>
      </c>
      <c r="I175" s="11" t="s">
        <v>36</v>
      </c>
      <c r="J175" s="11">
        <v>1</v>
      </c>
      <c r="K175" s="11">
        <v>1</v>
      </c>
      <c r="L175" s="11">
        <v>1</v>
      </c>
      <c r="M175" s="11">
        <v>0</v>
      </c>
      <c r="N175" s="11">
        <v>0</v>
      </c>
      <c r="O175" s="11">
        <v>0</v>
      </c>
      <c r="P175" s="11">
        <v>0</v>
      </c>
      <c r="Q175" s="11">
        <v>1</v>
      </c>
      <c r="R175" s="11" t="s">
        <v>27</v>
      </c>
      <c r="S175" s="11" t="s">
        <v>28</v>
      </c>
    </row>
    <row r="176" spans="1:19" x14ac:dyDescent="0.15">
      <c r="A176" s="11">
        <v>20006</v>
      </c>
      <c r="B176" s="11">
        <v>2</v>
      </c>
      <c r="C176" s="11" t="str">
        <f t="shared" si="21"/>
        <v>20006_2</v>
      </c>
      <c r="D176" s="11" t="str">
        <f>VLOOKUP(C176,[1]stages!$A:$AE,31,FALSE)</f>
        <v>everyone</v>
      </c>
      <c r="E176" s="11">
        <v>175</v>
      </c>
      <c r="F176" s="11">
        <v>350</v>
      </c>
      <c r="G176" s="10" t="str">
        <f>IF(I176="unit",VLOOKUP(F176,[2]characters!$A:$C,3,FALSE),"-")</f>
        <v>森のケロケロ</v>
      </c>
      <c r="H176" s="11">
        <v>100</v>
      </c>
      <c r="I176" s="11" t="s">
        <v>36</v>
      </c>
      <c r="J176" s="11">
        <v>1</v>
      </c>
      <c r="K176" s="11">
        <v>1</v>
      </c>
      <c r="L176" s="11">
        <v>1</v>
      </c>
      <c r="M176" s="11">
        <v>0</v>
      </c>
      <c r="N176" s="11">
        <v>0</v>
      </c>
      <c r="O176" s="11">
        <v>0</v>
      </c>
      <c r="P176" s="11">
        <v>0</v>
      </c>
      <c r="Q176" s="11">
        <v>1</v>
      </c>
      <c r="R176" s="11" t="s">
        <v>27</v>
      </c>
      <c r="S176" s="11" t="s">
        <v>28</v>
      </c>
    </row>
    <row r="177" spans="1:19" x14ac:dyDescent="0.15">
      <c r="A177" s="11">
        <v>20006</v>
      </c>
      <c r="B177" s="11">
        <v>3</v>
      </c>
      <c r="C177" s="11" t="str">
        <f>A177&amp; "_"&amp;B177</f>
        <v>20006_3</v>
      </c>
      <c r="D177" s="11" t="str">
        <f>VLOOKUP(C177,[1]stages!$A:$AE,31,FALSE)</f>
        <v>everyone</v>
      </c>
      <c r="E177" s="11">
        <v>176</v>
      </c>
      <c r="F177" s="11">
        <v>5000</v>
      </c>
      <c r="G177" s="10" t="str">
        <f>IF(I177="unit",VLOOKUP(F177,[2]characters!$A:$C,3,FALSE),"-")</f>
        <v>-</v>
      </c>
      <c r="H177" s="11">
        <v>100</v>
      </c>
      <c r="I177" s="11" t="s">
        <v>32</v>
      </c>
      <c r="J177" s="11" t="s">
        <v>33</v>
      </c>
      <c r="K177" s="11">
        <v>1</v>
      </c>
      <c r="L177" s="11">
        <v>1</v>
      </c>
      <c r="M177" s="11">
        <v>0</v>
      </c>
      <c r="N177" s="11">
        <v>0</v>
      </c>
      <c r="O177" s="11">
        <v>0</v>
      </c>
      <c r="P177" s="11">
        <v>0</v>
      </c>
      <c r="Q177" s="11">
        <v>1</v>
      </c>
      <c r="R177" s="11" t="s">
        <v>27</v>
      </c>
      <c r="S177" s="11" t="s">
        <v>28</v>
      </c>
    </row>
    <row r="178" spans="1:19" x14ac:dyDescent="0.15">
      <c r="A178" s="11">
        <v>20006</v>
      </c>
      <c r="B178" s="11">
        <v>3</v>
      </c>
      <c r="C178" s="11" t="str">
        <f t="shared" ref="C178:C187" si="22">A178&amp; "_"&amp;B178</f>
        <v>20006_3</v>
      </c>
      <c r="D178" s="11" t="str">
        <f>VLOOKUP(C178,[1]stages!$A:$AE,31,FALSE)</f>
        <v>everyone</v>
      </c>
      <c r="E178" s="11">
        <v>177</v>
      </c>
      <c r="F178" s="11">
        <v>25</v>
      </c>
      <c r="G178" s="10" t="str">
        <f>IF(I178="unit",VLOOKUP(F178,[2]characters!$A:$C,3,FALSE),"-")</f>
        <v>-</v>
      </c>
      <c r="H178" s="11">
        <v>100</v>
      </c>
      <c r="I178" s="11" t="s">
        <v>35</v>
      </c>
      <c r="J178" s="11" t="s">
        <v>33</v>
      </c>
      <c r="K178" s="11">
        <v>1</v>
      </c>
      <c r="L178" s="11">
        <v>1</v>
      </c>
      <c r="M178" s="11">
        <v>0</v>
      </c>
      <c r="N178" s="11">
        <v>0</v>
      </c>
      <c r="O178" s="11">
        <v>0</v>
      </c>
      <c r="P178" s="11">
        <v>0</v>
      </c>
      <c r="Q178" s="11">
        <v>1</v>
      </c>
      <c r="R178" s="11" t="s">
        <v>27</v>
      </c>
      <c r="S178" s="11" t="s">
        <v>28</v>
      </c>
    </row>
    <row r="179" spans="1:19" x14ac:dyDescent="0.15">
      <c r="A179" s="11">
        <v>20006</v>
      </c>
      <c r="B179" s="11">
        <v>3</v>
      </c>
      <c r="C179" s="11" t="str">
        <f t="shared" si="22"/>
        <v>20006_3</v>
      </c>
      <c r="D179" s="11" t="str">
        <f>VLOOKUP(C179,[1]stages!$A:$AE,31,FALSE)</f>
        <v>everyone</v>
      </c>
      <c r="E179" s="11">
        <v>178</v>
      </c>
      <c r="F179" s="11">
        <v>336</v>
      </c>
      <c r="G179" s="10" t="str">
        <f>IF(I179="unit",VLOOKUP(F179,[2]characters!$A:$C,3,FALSE),"-")</f>
        <v>森のメタルピヨピヨ</v>
      </c>
      <c r="H179" s="11">
        <v>56</v>
      </c>
      <c r="I179" s="11" t="s">
        <v>36</v>
      </c>
      <c r="J179" s="11">
        <v>1</v>
      </c>
      <c r="K179" s="11">
        <v>1</v>
      </c>
      <c r="L179" s="11">
        <v>1</v>
      </c>
      <c r="M179" s="11">
        <v>0</v>
      </c>
      <c r="N179" s="11">
        <v>0</v>
      </c>
      <c r="O179" s="11">
        <v>0</v>
      </c>
      <c r="P179" s="11">
        <v>0</v>
      </c>
      <c r="Q179" s="11">
        <v>1</v>
      </c>
      <c r="R179" s="11" t="s">
        <v>27</v>
      </c>
      <c r="S179" s="11" t="s">
        <v>28</v>
      </c>
    </row>
    <row r="180" spans="1:19" x14ac:dyDescent="0.15">
      <c r="A180" s="11">
        <v>20006</v>
      </c>
      <c r="B180" s="11">
        <v>3</v>
      </c>
      <c r="C180" s="11" t="str">
        <f t="shared" si="22"/>
        <v>20006_3</v>
      </c>
      <c r="D180" s="11" t="str">
        <f>VLOOKUP(C180,[1]stages!$A:$AE,31,FALSE)</f>
        <v>everyone</v>
      </c>
      <c r="E180" s="11">
        <v>179</v>
      </c>
      <c r="F180" s="11">
        <v>337</v>
      </c>
      <c r="G180" s="10" t="str">
        <f>IF(I180="unit",VLOOKUP(F180,[2]characters!$A:$C,3,FALSE),"-")</f>
        <v>森のメタルチック</v>
      </c>
      <c r="H180" s="11">
        <v>56</v>
      </c>
      <c r="I180" s="11" t="s">
        <v>36</v>
      </c>
      <c r="J180" s="11">
        <v>1</v>
      </c>
      <c r="K180" s="11">
        <v>1</v>
      </c>
      <c r="L180" s="11">
        <v>1</v>
      </c>
      <c r="M180" s="11">
        <v>0</v>
      </c>
      <c r="N180" s="11">
        <v>0</v>
      </c>
      <c r="O180" s="11">
        <v>0</v>
      </c>
      <c r="P180" s="11">
        <v>0</v>
      </c>
      <c r="Q180" s="11">
        <v>1</v>
      </c>
      <c r="R180" s="11" t="s">
        <v>27</v>
      </c>
      <c r="S180" s="11" t="s">
        <v>28</v>
      </c>
    </row>
    <row r="181" spans="1:19" x14ac:dyDescent="0.15">
      <c r="A181" s="11">
        <v>20006</v>
      </c>
      <c r="B181" s="11">
        <v>3</v>
      </c>
      <c r="C181" s="11" t="str">
        <f t="shared" si="22"/>
        <v>20006_3</v>
      </c>
      <c r="D181" s="11" t="str">
        <f>VLOOKUP(C181,[1]stages!$A:$AE,31,FALSE)</f>
        <v>everyone</v>
      </c>
      <c r="E181" s="11">
        <v>180</v>
      </c>
      <c r="F181" s="11">
        <v>338</v>
      </c>
      <c r="G181" s="10" t="str">
        <f>IF(I181="unit",VLOOKUP(F181,[2]characters!$A:$C,3,FALSE),"-")</f>
        <v>森のメタルダック</v>
      </c>
      <c r="H181" s="11">
        <v>28</v>
      </c>
      <c r="I181" s="11" t="s">
        <v>36</v>
      </c>
      <c r="J181" s="11">
        <v>1</v>
      </c>
      <c r="K181" s="11">
        <v>1</v>
      </c>
      <c r="L181" s="11">
        <v>1</v>
      </c>
      <c r="M181" s="11">
        <v>0</v>
      </c>
      <c r="N181" s="11">
        <v>0</v>
      </c>
      <c r="O181" s="11">
        <v>0</v>
      </c>
      <c r="P181" s="11">
        <v>0</v>
      </c>
      <c r="Q181" s="11">
        <v>1</v>
      </c>
      <c r="R181" s="11" t="s">
        <v>27</v>
      </c>
      <c r="S181" s="11" t="s">
        <v>28</v>
      </c>
    </row>
    <row r="182" spans="1:19" x14ac:dyDescent="0.15">
      <c r="A182" s="11">
        <v>20006</v>
      </c>
      <c r="B182" s="11">
        <v>3</v>
      </c>
      <c r="C182" s="11" t="str">
        <f t="shared" si="22"/>
        <v>20006_3</v>
      </c>
      <c r="D182" s="11" t="str">
        <f>VLOOKUP(C182,[1]stages!$A:$AE,31,FALSE)</f>
        <v>everyone</v>
      </c>
      <c r="E182" s="11">
        <v>181</v>
      </c>
      <c r="F182" s="11">
        <v>121</v>
      </c>
      <c r="G182" s="10" t="str">
        <f>IF(I182="unit",VLOOKUP(F182,[2]characters!$A:$C,3,FALSE),"-")</f>
        <v>攻めの果実</v>
      </c>
      <c r="H182" s="11">
        <v>50</v>
      </c>
      <c r="I182" s="11" t="s">
        <v>36</v>
      </c>
      <c r="J182" s="11">
        <v>1</v>
      </c>
      <c r="K182" s="11">
        <v>1</v>
      </c>
      <c r="L182" s="11">
        <v>1</v>
      </c>
      <c r="M182" s="11">
        <v>0</v>
      </c>
      <c r="N182" s="11">
        <v>0</v>
      </c>
      <c r="O182" s="11">
        <v>0</v>
      </c>
      <c r="P182" s="11">
        <v>0</v>
      </c>
      <c r="Q182" s="11">
        <v>1</v>
      </c>
      <c r="R182" s="11" t="s">
        <v>27</v>
      </c>
      <c r="S182" s="11" t="s">
        <v>28</v>
      </c>
    </row>
    <row r="183" spans="1:19" x14ac:dyDescent="0.15">
      <c r="A183" s="11">
        <v>20006</v>
      </c>
      <c r="B183" s="11">
        <v>3</v>
      </c>
      <c r="C183" s="11" t="str">
        <f t="shared" si="22"/>
        <v>20006_3</v>
      </c>
      <c r="D183" s="11" t="str">
        <f>VLOOKUP(C183,[1]stages!$A:$AE,31,FALSE)</f>
        <v>everyone</v>
      </c>
      <c r="E183" s="11">
        <v>182</v>
      </c>
      <c r="F183" s="11">
        <v>122</v>
      </c>
      <c r="G183" s="10" t="str">
        <f>IF(I183="unit",VLOOKUP(F183,[2]characters!$A:$C,3,FALSE),"-")</f>
        <v>生命の果実</v>
      </c>
      <c r="H183" s="11">
        <v>50</v>
      </c>
      <c r="I183" s="11" t="s">
        <v>36</v>
      </c>
      <c r="J183" s="11">
        <v>1</v>
      </c>
      <c r="K183" s="11">
        <v>1</v>
      </c>
      <c r="L183" s="11">
        <v>1</v>
      </c>
      <c r="M183" s="11">
        <v>0</v>
      </c>
      <c r="N183" s="11">
        <v>0</v>
      </c>
      <c r="O183" s="11">
        <v>0</v>
      </c>
      <c r="P183" s="11">
        <v>0</v>
      </c>
      <c r="Q183" s="11">
        <v>1</v>
      </c>
      <c r="R183" s="11" t="s">
        <v>27</v>
      </c>
      <c r="S183" s="11" t="s">
        <v>28</v>
      </c>
    </row>
    <row r="184" spans="1:19" x14ac:dyDescent="0.15">
      <c r="A184" s="11">
        <v>20006</v>
      </c>
      <c r="B184" s="11">
        <v>3</v>
      </c>
      <c r="C184" s="11" t="str">
        <f t="shared" si="22"/>
        <v>20006_3</v>
      </c>
      <c r="D184" s="11" t="str">
        <f>VLOOKUP(C184,[1]stages!$A:$AE,31,FALSE)</f>
        <v>everyone</v>
      </c>
      <c r="E184" s="11">
        <v>183</v>
      </c>
      <c r="F184" s="11">
        <v>123</v>
      </c>
      <c r="G184" s="10" t="str">
        <f>IF(I184="unit",VLOOKUP(F184,[2]characters!$A:$C,3,FALSE),"-")</f>
        <v>癒しの果実</v>
      </c>
      <c r="H184" s="11">
        <v>50</v>
      </c>
      <c r="I184" s="11" t="s">
        <v>36</v>
      </c>
      <c r="J184" s="11">
        <v>1</v>
      </c>
      <c r="K184" s="11">
        <v>1</v>
      </c>
      <c r="L184" s="11">
        <v>1</v>
      </c>
      <c r="M184" s="11">
        <v>0</v>
      </c>
      <c r="N184" s="11">
        <v>0</v>
      </c>
      <c r="O184" s="11">
        <v>0</v>
      </c>
      <c r="P184" s="11">
        <v>0</v>
      </c>
      <c r="Q184" s="11">
        <v>1</v>
      </c>
      <c r="R184" s="11" t="s">
        <v>27</v>
      </c>
      <c r="S184" s="11" t="s">
        <v>28</v>
      </c>
    </row>
    <row r="185" spans="1:19" x14ac:dyDescent="0.15">
      <c r="A185" s="11">
        <v>20006</v>
      </c>
      <c r="B185" s="11">
        <v>3</v>
      </c>
      <c r="C185" s="11" t="str">
        <f t="shared" si="22"/>
        <v>20006_3</v>
      </c>
      <c r="D185" s="11" t="str">
        <f>VLOOKUP(C185,[1]stages!$A:$AE,31,FALSE)</f>
        <v>everyone</v>
      </c>
      <c r="E185" s="11">
        <v>184</v>
      </c>
      <c r="F185" s="11">
        <v>125</v>
      </c>
      <c r="G185" s="10" t="str">
        <f>IF(I185="unit",VLOOKUP(F185,[2]characters!$A:$C,3,FALSE),"-")</f>
        <v>秘術の果実</v>
      </c>
      <c r="H185" s="11">
        <v>10</v>
      </c>
      <c r="I185" s="11" t="s">
        <v>36</v>
      </c>
      <c r="J185" s="11">
        <v>1</v>
      </c>
      <c r="K185" s="11">
        <v>1</v>
      </c>
      <c r="L185" s="11">
        <v>1</v>
      </c>
      <c r="M185" s="11">
        <v>0</v>
      </c>
      <c r="N185" s="11">
        <v>0</v>
      </c>
      <c r="O185" s="11">
        <v>0</v>
      </c>
      <c r="P185" s="11">
        <v>0</v>
      </c>
      <c r="Q185" s="11">
        <v>1</v>
      </c>
      <c r="R185" s="11" t="s">
        <v>27</v>
      </c>
      <c r="S185" s="11" t="s">
        <v>28</v>
      </c>
    </row>
    <row r="186" spans="1:19" x14ac:dyDescent="0.15">
      <c r="A186" s="11">
        <v>20006</v>
      </c>
      <c r="B186" s="11">
        <v>3</v>
      </c>
      <c r="C186" s="11" t="str">
        <f t="shared" si="22"/>
        <v>20006_3</v>
      </c>
      <c r="D186" s="11" t="str">
        <f>VLOOKUP(C186,[1]stages!$A:$AE,31,FALSE)</f>
        <v>everyone</v>
      </c>
      <c r="E186" s="11">
        <v>185</v>
      </c>
      <c r="F186" s="11">
        <v>280</v>
      </c>
      <c r="G186" s="10" t="str">
        <f>IF(I186="unit",VLOOKUP(F186,[2]characters!$A:$C,3,FALSE),"-")</f>
        <v>リンドブルム</v>
      </c>
      <c r="H186" s="11">
        <v>400</v>
      </c>
      <c r="I186" s="11" t="s">
        <v>36</v>
      </c>
      <c r="J186" s="11">
        <v>1</v>
      </c>
      <c r="K186" s="11">
        <v>1</v>
      </c>
      <c r="L186" s="11">
        <v>1</v>
      </c>
      <c r="M186" s="11">
        <v>0</v>
      </c>
      <c r="N186" s="11">
        <v>0</v>
      </c>
      <c r="O186" s="11">
        <v>0</v>
      </c>
      <c r="P186" s="11">
        <v>0</v>
      </c>
      <c r="Q186" s="11">
        <v>1</v>
      </c>
      <c r="R186" s="11" t="s">
        <v>27</v>
      </c>
      <c r="S186" s="11" t="s">
        <v>28</v>
      </c>
    </row>
    <row r="187" spans="1:19" x14ac:dyDescent="0.15">
      <c r="A187" s="11">
        <v>20006</v>
      </c>
      <c r="B187" s="11">
        <v>3</v>
      </c>
      <c r="C187" s="11" t="str">
        <f t="shared" si="22"/>
        <v>20006_3</v>
      </c>
      <c r="D187" s="11" t="str">
        <f>VLOOKUP(C187,[1]stages!$A:$AE,31,FALSE)</f>
        <v>everyone</v>
      </c>
      <c r="E187" s="11">
        <v>186</v>
      </c>
      <c r="F187" s="11">
        <v>350</v>
      </c>
      <c r="G187" s="10" t="str">
        <f>IF(I187="unit",VLOOKUP(F187,[2]characters!$A:$C,3,FALSE),"-")</f>
        <v>森のケロケロ</v>
      </c>
      <c r="H187" s="11">
        <v>100</v>
      </c>
      <c r="I187" s="11" t="s">
        <v>36</v>
      </c>
      <c r="J187" s="11">
        <v>1</v>
      </c>
      <c r="K187" s="11">
        <v>1</v>
      </c>
      <c r="L187" s="11">
        <v>1</v>
      </c>
      <c r="M187" s="11">
        <v>0</v>
      </c>
      <c r="N187" s="11">
        <v>0</v>
      </c>
      <c r="O187" s="11">
        <v>0</v>
      </c>
      <c r="P187" s="11">
        <v>0</v>
      </c>
      <c r="Q187" s="11">
        <v>1</v>
      </c>
      <c r="R187" s="11" t="s">
        <v>27</v>
      </c>
      <c r="S187" s="11" t="s">
        <v>28</v>
      </c>
    </row>
    <row r="188" spans="1:19" x14ac:dyDescent="0.15">
      <c r="A188" s="12">
        <v>20007</v>
      </c>
      <c r="B188" s="12">
        <v>1</v>
      </c>
      <c r="C188" s="12" t="str">
        <f>A188&amp; "_"&amp;B188</f>
        <v>20007_1</v>
      </c>
      <c r="D188" s="12" t="str">
        <f>VLOOKUP(C188,[1]stages!$A:$AE,31,FALSE)</f>
        <v>everyone</v>
      </c>
      <c r="E188" s="12">
        <v>187</v>
      </c>
      <c r="F188" s="12">
        <v>1700</v>
      </c>
      <c r="G188" s="10" t="str">
        <f>IF(I188="unit",VLOOKUP(F188,[2]characters!$A:$C,3,FALSE),"-")</f>
        <v>-</v>
      </c>
      <c r="H188" s="12">
        <v>200</v>
      </c>
      <c r="I188" s="12" t="s">
        <v>32</v>
      </c>
      <c r="J188" s="12" t="s">
        <v>33</v>
      </c>
      <c r="K188" s="12">
        <v>1</v>
      </c>
      <c r="L188" s="12">
        <v>1</v>
      </c>
      <c r="M188" s="12">
        <v>0</v>
      </c>
      <c r="N188" s="12">
        <v>0</v>
      </c>
      <c r="O188" s="12">
        <v>0</v>
      </c>
      <c r="P188" s="12">
        <v>0</v>
      </c>
      <c r="Q188" s="12">
        <v>1</v>
      </c>
      <c r="R188" s="12" t="s">
        <v>27</v>
      </c>
      <c r="S188" s="12" t="s">
        <v>28</v>
      </c>
    </row>
    <row r="189" spans="1:19" x14ac:dyDescent="0.15">
      <c r="A189" s="12">
        <v>20007</v>
      </c>
      <c r="B189" s="12">
        <v>1</v>
      </c>
      <c r="C189" s="12" t="str">
        <f t="shared" ref="C189:C197" si="23">A189&amp; "_"&amp;B189</f>
        <v>20007_1</v>
      </c>
      <c r="D189" s="12" t="str">
        <f>VLOOKUP(C189,[1]stages!$A:$AE,31,FALSE)</f>
        <v>everyone</v>
      </c>
      <c r="E189" s="12">
        <v>188</v>
      </c>
      <c r="F189" s="12">
        <v>20</v>
      </c>
      <c r="G189" s="10" t="str">
        <f>IF(I189="unit",VLOOKUP(F189,[2]characters!$A:$C,3,FALSE),"-")</f>
        <v>-</v>
      </c>
      <c r="H189" s="12">
        <v>200</v>
      </c>
      <c r="I189" s="12" t="s">
        <v>35</v>
      </c>
      <c r="J189" s="12" t="s">
        <v>33</v>
      </c>
      <c r="K189" s="12">
        <v>1</v>
      </c>
      <c r="L189" s="12">
        <v>1</v>
      </c>
      <c r="M189" s="12">
        <v>0</v>
      </c>
      <c r="N189" s="12">
        <v>0</v>
      </c>
      <c r="O189" s="12">
        <v>0</v>
      </c>
      <c r="P189" s="12">
        <v>0</v>
      </c>
      <c r="Q189" s="12">
        <v>1</v>
      </c>
      <c r="R189" s="12" t="s">
        <v>27</v>
      </c>
      <c r="S189" s="12" t="s">
        <v>28</v>
      </c>
    </row>
    <row r="190" spans="1:19" x14ac:dyDescent="0.15">
      <c r="A190" s="12">
        <v>20007</v>
      </c>
      <c r="B190" s="12">
        <v>1</v>
      </c>
      <c r="C190" s="12" t="str">
        <f t="shared" si="23"/>
        <v>20007_1</v>
      </c>
      <c r="D190" s="12" t="str">
        <f>VLOOKUP(C190,[1]stages!$A:$AE,31,FALSE)</f>
        <v>everyone</v>
      </c>
      <c r="E190" s="12">
        <v>189</v>
      </c>
      <c r="F190" s="12">
        <v>340</v>
      </c>
      <c r="G190" s="10" t="str">
        <f>IF(I190="unit",VLOOKUP(F190,[2]characters!$A:$C,3,FALSE),"-")</f>
        <v>水のメタルピヨピヨ</v>
      </c>
      <c r="H190" s="12">
        <v>98</v>
      </c>
      <c r="I190" s="12" t="s">
        <v>36</v>
      </c>
      <c r="J190" s="12">
        <v>1</v>
      </c>
      <c r="K190" s="12">
        <v>1</v>
      </c>
      <c r="L190" s="12">
        <v>1</v>
      </c>
      <c r="M190" s="12">
        <v>0</v>
      </c>
      <c r="N190" s="12">
        <v>0</v>
      </c>
      <c r="O190" s="12">
        <v>0</v>
      </c>
      <c r="P190" s="12">
        <v>0</v>
      </c>
      <c r="Q190" s="12">
        <v>1</v>
      </c>
      <c r="R190" s="12" t="s">
        <v>27</v>
      </c>
      <c r="S190" s="12" t="s">
        <v>28</v>
      </c>
    </row>
    <row r="191" spans="1:19" x14ac:dyDescent="0.15">
      <c r="A191" s="12">
        <v>20007</v>
      </c>
      <c r="B191" s="12">
        <v>1</v>
      </c>
      <c r="C191" s="12" t="str">
        <f t="shared" si="23"/>
        <v>20007_1</v>
      </c>
      <c r="D191" s="12" t="str">
        <f>VLOOKUP(C191,[1]stages!$A:$AE,31,FALSE)</f>
        <v>everyone</v>
      </c>
      <c r="E191" s="12">
        <v>190</v>
      </c>
      <c r="F191" s="12">
        <v>341</v>
      </c>
      <c r="G191" s="10" t="str">
        <f>IF(I191="unit",VLOOKUP(F191,[2]characters!$A:$C,3,FALSE),"-")</f>
        <v>水のメタルチック</v>
      </c>
      <c r="H191" s="12">
        <v>42</v>
      </c>
      <c r="I191" s="12" t="s">
        <v>36</v>
      </c>
      <c r="J191" s="12">
        <v>1</v>
      </c>
      <c r="K191" s="12">
        <v>1</v>
      </c>
      <c r="L191" s="12">
        <v>1</v>
      </c>
      <c r="M191" s="12">
        <v>0</v>
      </c>
      <c r="N191" s="12">
        <v>0</v>
      </c>
      <c r="O191" s="12">
        <v>0</v>
      </c>
      <c r="P191" s="12">
        <v>0</v>
      </c>
      <c r="Q191" s="12">
        <v>1</v>
      </c>
      <c r="R191" s="12" t="s">
        <v>27</v>
      </c>
      <c r="S191" s="12" t="s">
        <v>28</v>
      </c>
    </row>
    <row r="192" spans="1:19" x14ac:dyDescent="0.15">
      <c r="A192" s="12">
        <v>20007</v>
      </c>
      <c r="B192" s="12">
        <v>1</v>
      </c>
      <c r="C192" s="12" t="str">
        <f t="shared" si="23"/>
        <v>20007_1</v>
      </c>
      <c r="D192" s="12" t="str">
        <f>VLOOKUP(C192,[1]stages!$A:$AE,31,FALSE)</f>
        <v>everyone</v>
      </c>
      <c r="E192" s="12">
        <v>191</v>
      </c>
      <c r="F192" s="12">
        <v>121</v>
      </c>
      <c r="G192" s="10" t="str">
        <f>IF(I192="unit",VLOOKUP(F192,[2]characters!$A:$C,3,FALSE),"-")</f>
        <v>攻めの果実</v>
      </c>
      <c r="H192" s="12">
        <v>50</v>
      </c>
      <c r="I192" s="12" t="s">
        <v>36</v>
      </c>
      <c r="J192" s="12">
        <v>1</v>
      </c>
      <c r="K192" s="12">
        <v>1</v>
      </c>
      <c r="L192" s="12">
        <v>1</v>
      </c>
      <c r="M192" s="12">
        <v>0</v>
      </c>
      <c r="N192" s="12">
        <v>0</v>
      </c>
      <c r="O192" s="12">
        <v>0</v>
      </c>
      <c r="P192" s="12">
        <v>0</v>
      </c>
      <c r="Q192" s="12">
        <v>1</v>
      </c>
      <c r="R192" s="12" t="s">
        <v>27</v>
      </c>
      <c r="S192" s="12" t="s">
        <v>28</v>
      </c>
    </row>
    <row r="193" spans="1:19" x14ac:dyDescent="0.15">
      <c r="A193" s="12">
        <v>20007</v>
      </c>
      <c r="B193" s="12">
        <v>1</v>
      </c>
      <c r="C193" s="12" t="str">
        <f t="shared" si="23"/>
        <v>20007_1</v>
      </c>
      <c r="D193" s="12" t="str">
        <f>VLOOKUP(C193,[1]stages!$A:$AE,31,FALSE)</f>
        <v>everyone</v>
      </c>
      <c r="E193" s="12">
        <v>192</v>
      </c>
      <c r="F193" s="12">
        <v>122</v>
      </c>
      <c r="G193" s="10" t="str">
        <f>IF(I193="unit",VLOOKUP(F193,[2]characters!$A:$C,3,FALSE),"-")</f>
        <v>生命の果実</v>
      </c>
      <c r="H193" s="12">
        <v>50</v>
      </c>
      <c r="I193" s="12" t="s">
        <v>36</v>
      </c>
      <c r="J193" s="12">
        <v>1</v>
      </c>
      <c r="K193" s="12">
        <v>1</v>
      </c>
      <c r="L193" s="12">
        <v>1</v>
      </c>
      <c r="M193" s="12">
        <v>0</v>
      </c>
      <c r="N193" s="12">
        <v>0</v>
      </c>
      <c r="O193" s="12">
        <v>0</v>
      </c>
      <c r="P193" s="12">
        <v>0</v>
      </c>
      <c r="Q193" s="12">
        <v>1</v>
      </c>
      <c r="R193" s="12" t="s">
        <v>27</v>
      </c>
      <c r="S193" s="12" t="s">
        <v>28</v>
      </c>
    </row>
    <row r="194" spans="1:19" x14ac:dyDescent="0.15">
      <c r="A194" s="12">
        <v>20007</v>
      </c>
      <c r="B194" s="12">
        <v>1</v>
      </c>
      <c r="C194" s="12" t="str">
        <f t="shared" si="23"/>
        <v>20007_1</v>
      </c>
      <c r="D194" s="12" t="str">
        <f>VLOOKUP(C194,[1]stages!$A:$AE,31,FALSE)</f>
        <v>everyone</v>
      </c>
      <c r="E194" s="12">
        <v>193</v>
      </c>
      <c r="F194" s="12">
        <v>123</v>
      </c>
      <c r="G194" s="10" t="str">
        <f>IF(I194="unit",VLOOKUP(F194,[2]characters!$A:$C,3,FALSE),"-")</f>
        <v>癒しの果実</v>
      </c>
      <c r="H194" s="12">
        <v>50</v>
      </c>
      <c r="I194" s="12" t="s">
        <v>36</v>
      </c>
      <c r="J194" s="12">
        <v>1</v>
      </c>
      <c r="K194" s="12">
        <v>1</v>
      </c>
      <c r="L194" s="12">
        <v>1</v>
      </c>
      <c r="M194" s="12">
        <v>0</v>
      </c>
      <c r="N194" s="12">
        <v>0</v>
      </c>
      <c r="O194" s="12">
        <v>0</v>
      </c>
      <c r="P194" s="12">
        <v>0</v>
      </c>
      <c r="Q194" s="12">
        <v>1</v>
      </c>
      <c r="R194" s="12" t="s">
        <v>27</v>
      </c>
      <c r="S194" s="12" t="s">
        <v>28</v>
      </c>
    </row>
    <row r="195" spans="1:19" x14ac:dyDescent="0.15">
      <c r="A195" s="12">
        <v>20007</v>
      </c>
      <c r="B195" s="12">
        <v>1</v>
      </c>
      <c r="C195" s="12" t="str">
        <f t="shared" si="23"/>
        <v>20007_1</v>
      </c>
      <c r="D195" s="12" t="str">
        <f>VLOOKUP(C195,[1]stages!$A:$AE,31,FALSE)</f>
        <v>everyone</v>
      </c>
      <c r="E195" s="12">
        <v>194</v>
      </c>
      <c r="F195" s="12">
        <v>125</v>
      </c>
      <c r="G195" s="10" t="str">
        <f>IF(I195="unit",VLOOKUP(F195,[2]characters!$A:$C,3,FALSE),"-")</f>
        <v>秘術の果実</v>
      </c>
      <c r="H195" s="12">
        <v>10</v>
      </c>
      <c r="I195" s="12" t="s">
        <v>36</v>
      </c>
      <c r="J195" s="12">
        <v>1</v>
      </c>
      <c r="K195" s="12">
        <v>1</v>
      </c>
      <c r="L195" s="12">
        <v>1</v>
      </c>
      <c r="M195" s="12">
        <v>0</v>
      </c>
      <c r="N195" s="12">
        <v>0</v>
      </c>
      <c r="O195" s="12">
        <v>0</v>
      </c>
      <c r="P195" s="12">
        <v>0</v>
      </c>
      <c r="Q195" s="12">
        <v>1</v>
      </c>
      <c r="R195" s="12" t="s">
        <v>27</v>
      </c>
      <c r="S195" s="12" t="s">
        <v>28</v>
      </c>
    </row>
    <row r="196" spans="1:19" x14ac:dyDescent="0.15">
      <c r="A196" s="12">
        <v>20007</v>
      </c>
      <c r="B196" s="12">
        <v>1</v>
      </c>
      <c r="C196" s="12" t="str">
        <f t="shared" si="23"/>
        <v>20007_1</v>
      </c>
      <c r="D196" s="12" t="str">
        <f>VLOOKUP(C196,[1]stages!$A:$AE,31,FALSE)</f>
        <v>everyone</v>
      </c>
      <c r="E196" s="12">
        <v>195</v>
      </c>
      <c r="F196" s="12">
        <v>282</v>
      </c>
      <c r="G196" s="10" t="str">
        <f>IF(I196="unit",VLOOKUP(F196,[2]characters!$A:$C,3,FALSE),"-")</f>
        <v>ラーフ</v>
      </c>
      <c r="H196" s="12">
        <v>200</v>
      </c>
      <c r="I196" s="12" t="s">
        <v>36</v>
      </c>
      <c r="J196" s="12">
        <v>1</v>
      </c>
      <c r="K196" s="12">
        <v>1</v>
      </c>
      <c r="L196" s="12">
        <v>1</v>
      </c>
      <c r="M196" s="12">
        <v>0</v>
      </c>
      <c r="N196" s="12">
        <v>0</v>
      </c>
      <c r="O196" s="12">
        <v>0</v>
      </c>
      <c r="P196" s="12">
        <v>0</v>
      </c>
      <c r="Q196" s="12">
        <v>1</v>
      </c>
      <c r="R196" s="12" t="s">
        <v>27</v>
      </c>
      <c r="S196" s="12" t="s">
        <v>28</v>
      </c>
    </row>
    <row r="197" spans="1:19" x14ac:dyDescent="0.15">
      <c r="A197" s="12">
        <v>20007</v>
      </c>
      <c r="B197" s="12">
        <v>1</v>
      </c>
      <c r="C197" s="12" t="str">
        <f t="shared" si="23"/>
        <v>20007_1</v>
      </c>
      <c r="D197" s="12" t="str">
        <f>VLOOKUP(C197,[1]stages!$A:$AE,31,FALSE)</f>
        <v>everyone</v>
      </c>
      <c r="E197" s="12">
        <v>196</v>
      </c>
      <c r="F197" s="12">
        <v>352</v>
      </c>
      <c r="G197" s="10" t="str">
        <f>IF(I197="unit",VLOOKUP(F197,[2]characters!$A:$C,3,FALSE),"-")</f>
        <v>水のケロケロ</v>
      </c>
      <c r="H197" s="12">
        <v>100</v>
      </c>
      <c r="I197" s="12" t="s">
        <v>36</v>
      </c>
      <c r="J197" s="12">
        <v>1</v>
      </c>
      <c r="K197" s="12">
        <v>1</v>
      </c>
      <c r="L197" s="12">
        <v>1</v>
      </c>
      <c r="M197" s="12">
        <v>0</v>
      </c>
      <c r="N197" s="12">
        <v>0</v>
      </c>
      <c r="O197" s="12">
        <v>0</v>
      </c>
      <c r="P197" s="12">
        <v>0</v>
      </c>
      <c r="Q197" s="12">
        <v>1</v>
      </c>
      <c r="R197" s="12" t="s">
        <v>27</v>
      </c>
      <c r="S197" s="12" t="s">
        <v>28</v>
      </c>
    </row>
    <row r="198" spans="1:19" x14ac:dyDescent="0.15">
      <c r="A198" s="12">
        <v>20007</v>
      </c>
      <c r="B198" s="12">
        <v>2</v>
      </c>
      <c r="C198" s="12" t="str">
        <f>A198&amp; "_"&amp;B198</f>
        <v>20007_2</v>
      </c>
      <c r="D198" s="12" t="str">
        <f>VLOOKUP(C198,[1]stages!$A:$AE,31,FALSE)</f>
        <v>everyone</v>
      </c>
      <c r="E198" s="12">
        <v>197</v>
      </c>
      <c r="F198" s="12">
        <v>3200</v>
      </c>
      <c r="G198" s="10" t="str">
        <f>IF(I198="unit",VLOOKUP(F198,[2]characters!$A:$C,3,FALSE),"-")</f>
        <v>-</v>
      </c>
      <c r="H198" s="12">
        <v>200</v>
      </c>
      <c r="I198" s="12" t="s">
        <v>32</v>
      </c>
      <c r="J198" s="12" t="s">
        <v>33</v>
      </c>
      <c r="K198" s="12">
        <v>1</v>
      </c>
      <c r="L198" s="12">
        <v>1</v>
      </c>
      <c r="M198" s="12">
        <v>0</v>
      </c>
      <c r="N198" s="12">
        <v>0</v>
      </c>
      <c r="O198" s="12">
        <v>0</v>
      </c>
      <c r="P198" s="12">
        <v>0</v>
      </c>
      <c r="Q198" s="12">
        <v>1</v>
      </c>
      <c r="R198" s="12" t="s">
        <v>27</v>
      </c>
      <c r="S198" s="12" t="s">
        <v>28</v>
      </c>
    </row>
    <row r="199" spans="1:19" x14ac:dyDescent="0.15">
      <c r="A199" s="12">
        <v>20007</v>
      </c>
      <c r="B199" s="12">
        <v>2</v>
      </c>
      <c r="C199" s="12" t="str">
        <f t="shared" ref="C199:C207" si="24">A199&amp; "_"&amp;B199</f>
        <v>20007_2</v>
      </c>
      <c r="D199" s="12" t="str">
        <f>VLOOKUP(C199,[1]stages!$A:$AE,31,FALSE)</f>
        <v>everyone</v>
      </c>
      <c r="E199" s="12">
        <v>198</v>
      </c>
      <c r="F199" s="12">
        <v>20</v>
      </c>
      <c r="G199" s="10" t="str">
        <f>IF(I199="unit",VLOOKUP(F199,[2]characters!$A:$C,3,FALSE),"-")</f>
        <v>-</v>
      </c>
      <c r="H199" s="12">
        <v>150</v>
      </c>
      <c r="I199" s="12" t="s">
        <v>35</v>
      </c>
      <c r="J199" s="12" t="s">
        <v>33</v>
      </c>
      <c r="K199" s="12">
        <v>1</v>
      </c>
      <c r="L199" s="12">
        <v>1</v>
      </c>
      <c r="M199" s="12">
        <v>0</v>
      </c>
      <c r="N199" s="12">
        <v>0</v>
      </c>
      <c r="O199" s="12">
        <v>0</v>
      </c>
      <c r="P199" s="12">
        <v>0</v>
      </c>
      <c r="Q199" s="12">
        <v>1</v>
      </c>
      <c r="R199" s="12" t="s">
        <v>27</v>
      </c>
      <c r="S199" s="12" t="s">
        <v>28</v>
      </c>
    </row>
    <row r="200" spans="1:19" x14ac:dyDescent="0.15">
      <c r="A200" s="12">
        <v>20007</v>
      </c>
      <c r="B200" s="12">
        <v>2</v>
      </c>
      <c r="C200" s="12" t="str">
        <f t="shared" si="24"/>
        <v>20007_2</v>
      </c>
      <c r="D200" s="12" t="str">
        <f>VLOOKUP(C200,[1]stages!$A:$AE,31,FALSE)</f>
        <v>everyone</v>
      </c>
      <c r="E200" s="12">
        <v>199</v>
      </c>
      <c r="F200" s="12">
        <v>340</v>
      </c>
      <c r="G200" s="10" t="str">
        <f>IF(I200="unit",VLOOKUP(F200,[2]characters!$A:$C,3,FALSE),"-")</f>
        <v>水のメタルピヨピヨ</v>
      </c>
      <c r="H200" s="12">
        <v>70</v>
      </c>
      <c r="I200" s="12" t="s">
        <v>36</v>
      </c>
      <c r="J200" s="12">
        <v>1</v>
      </c>
      <c r="K200" s="12">
        <v>1</v>
      </c>
      <c r="L200" s="12">
        <v>1</v>
      </c>
      <c r="M200" s="12">
        <v>0</v>
      </c>
      <c r="N200" s="12">
        <v>0</v>
      </c>
      <c r="O200" s="12">
        <v>0</v>
      </c>
      <c r="P200" s="12">
        <v>0</v>
      </c>
      <c r="Q200" s="12">
        <v>1</v>
      </c>
      <c r="R200" s="12" t="s">
        <v>27</v>
      </c>
      <c r="S200" s="12" t="s">
        <v>28</v>
      </c>
    </row>
    <row r="201" spans="1:19" x14ac:dyDescent="0.15">
      <c r="A201" s="12">
        <v>20007</v>
      </c>
      <c r="B201" s="12">
        <v>2</v>
      </c>
      <c r="C201" s="12" t="str">
        <f t="shared" si="24"/>
        <v>20007_2</v>
      </c>
      <c r="D201" s="12" t="str">
        <f>VLOOKUP(C201,[1]stages!$A:$AE,31,FALSE)</f>
        <v>everyone</v>
      </c>
      <c r="E201" s="12">
        <v>200</v>
      </c>
      <c r="F201" s="12">
        <v>341</v>
      </c>
      <c r="G201" s="10" t="str">
        <f>IF(I201="unit",VLOOKUP(F201,[2]characters!$A:$C,3,FALSE),"-")</f>
        <v>水のメタルチック</v>
      </c>
      <c r="H201" s="12">
        <v>70</v>
      </c>
      <c r="I201" s="12" t="s">
        <v>36</v>
      </c>
      <c r="J201" s="12">
        <v>1</v>
      </c>
      <c r="K201" s="12">
        <v>1</v>
      </c>
      <c r="L201" s="12">
        <v>1</v>
      </c>
      <c r="M201" s="12">
        <v>0</v>
      </c>
      <c r="N201" s="12">
        <v>0</v>
      </c>
      <c r="O201" s="12">
        <v>0</v>
      </c>
      <c r="P201" s="12">
        <v>0</v>
      </c>
      <c r="Q201" s="12">
        <v>1</v>
      </c>
      <c r="R201" s="12" t="s">
        <v>27</v>
      </c>
      <c r="S201" s="12" t="s">
        <v>28</v>
      </c>
    </row>
    <row r="202" spans="1:19" x14ac:dyDescent="0.15">
      <c r="A202" s="12">
        <v>20007</v>
      </c>
      <c r="B202" s="12">
        <v>2</v>
      </c>
      <c r="C202" s="12" t="str">
        <f t="shared" si="24"/>
        <v>20007_2</v>
      </c>
      <c r="D202" s="12" t="str">
        <f>VLOOKUP(C202,[1]stages!$A:$AE,31,FALSE)</f>
        <v>everyone</v>
      </c>
      <c r="E202" s="12">
        <v>201</v>
      </c>
      <c r="F202" s="12">
        <v>121</v>
      </c>
      <c r="G202" s="10" t="str">
        <f>IF(I202="unit",VLOOKUP(F202,[2]characters!$A:$C,3,FALSE),"-")</f>
        <v>攻めの果実</v>
      </c>
      <c r="H202" s="12">
        <v>50</v>
      </c>
      <c r="I202" s="12" t="s">
        <v>36</v>
      </c>
      <c r="J202" s="12">
        <v>1</v>
      </c>
      <c r="K202" s="12">
        <v>1</v>
      </c>
      <c r="L202" s="12">
        <v>1</v>
      </c>
      <c r="M202" s="12">
        <v>0</v>
      </c>
      <c r="N202" s="12">
        <v>0</v>
      </c>
      <c r="O202" s="12">
        <v>0</v>
      </c>
      <c r="P202" s="12">
        <v>0</v>
      </c>
      <c r="Q202" s="12">
        <v>1</v>
      </c>
      <c r="R202" s="12" t="s">
        <v>27</v>
      </c>
      <c r="S202" s="12" t="s">
        <v>28</v>
      </c>
    </row>
    <row r="203" spans="1:19" x14ac:dyDescent="0.15">
      <c r="A203" s="12">
        <v>20007</v>
      </c>
      <c r="B203" s="12">
        <v>2</v>
      </c>
      <c r="C203" s="12" t="str">
        <f t="shared" si="24"/>
        <v>20007_2</v>
      </c>
      <c r="D203" s="12" t="str">
        <f>VLOOKUP(C203,[1]stages!$A:$AE,31,FALSE)</f>
        <v>everyone</v>
      </c>
      <c r="E203" s="12">
        <v>202</v>
      </c>
      <c r="F203" s="12">
        <v>122</v>
      </c>
      <c r="G203" s="10" t="str">
        <f>IF(I203="unit",VLOOKUP(F203,[2]characters!$A:$C,3,FALSE),"-")</f>
        <v>生命の果実</v>
      </c>
      <c r="H203" s="12">
        <v>50</v>
      </c>
      <c r="I203" s="12" t="s">
        <v>36</v>
      </c>
      <c r="J203" s="12">
        <v>1</v>
      </c>
      <c r="K203" s="12">
        <v>1</v>
      </c>
      <c r="L203" s="12">
        <v>1</v>
      </c>
      <c r="M203" s="12">
        <v>0</v>
      </c>
      <c r="N203" s="12">
        <v>0</v>
      </c>
      <c r="O203" s="12">
        <v>0</v>
      </c>
      <c r="P203" s="12">
        <v>0</v>
      </c>
      <c r="Q203" s="12">
        <v>1</v>
      </c>
      <c r="R203" s="12" t="s">
        <v>27</v>
      </c>
      <c r="S203" s="12" t="s">
        <v>28</v>
      </c>
    </row>
    <row r="204" spans="1:19" x14ac:dyDescent="0.15">
      <c r="A204" s="12">
        <v>20007</v>
      </c>
      <c r="B204" s="12">
        <v>2</v>
      </c>
      <c r="C204" s="12" t="str">
        <f t="shared" si="24"/>
        <v>20007_2</v>
      </c>
      <c r="D204" s="12" t="str">
        <f>VLOOKUP(C204,[1]stages!$A:$AE,31,FALSE)</f>
        <v>everyone</v>
      </c>
      <c r="E204" s="12">
        <v>203</v>
      </c>
      <c r="F204" s="12">
        <v>123</v>
      </c>
      <c r="G204" s="10" t="str">
        <f>IF(I204="unit",VLOOKUP(F204,[2]characters!$A:$C,3,FALSE),"-")</f>
        <v>癒しの果実</v>
      </c>
      <c r="H204" s="12">
        <v>50</v>
      </c>
      <c r="I204" s="12" t="s">
        <v>36</v>
      </c>
      <c r="J204" s="12">
        <v>1</v>
      </c>
      <c r="K204" s="12">
        <v>1</v>
      </c>
      <c r="L204" s="12">
        <v>1</v>
      </c>
      <c r="M204" s="12">
        <v>0</v>
      </c>
      <c r="N204" s="12">
        <v>0</v>
      </c>
      <c r="O204" s="12">
        <v>0</v>
      </c>
      <c r="P204" s="12">
        <v>0</v>
      </c>
      <c r="Q204" s="12">
        <v>1</v>
      </c>
      <c r="R204" s="12" t="s">
        <v>27</v>
      </c>
      <c r="S204" s="12" t="s">
        <v>28</v>
      </c>
    </row>
    <row r="205" spans="1:19" x14ac:dyDescent="0.15">
      <c r="A205" s="12">
        <v>20007</v>
      </c>
      <c r="B205" s="12">
        <v>2</v>
      </c>
      <c r="C205" s="12" t="str">
        <f t="shared" si="24"/>
        <v>20007_2</v>
      </c>
      <c r="D205" s="12" t="str">
        <f>VLOOKUP(C205,[1]stages!$A:$AE,31,FALSE)</f>
        <v>everyone</v>
      </c>
      <c r="E205" s="12">
        <v>204</v>
      </c>
      <c r="F205" s="12">
        <v>125</v>
      </c>
      <c r="G205" s="10" t="str">
        <f>IF(I205="unit",VLOOKUP(F205,[2]characters!$A:$C,3,FALSE),"-")</f>
        <v>秘術の果実</v>
      </c>
      <c r="H205" s="12">
        <v>10</v>
      </c>
      <c r="I205" s="12" t="s">
        <v>36</v>
      </c>
      <c r="J205" s="12">
        <v>1</v>
      </c>
      <c r="K205" s="12">
        <v>1</v>
      </c>
      <c r="L205" s="12">
        <v>1</v>
      </c>
      <c r="M205" s="12">
        <v>0</v>
      </c>
      <c r="N205" s="12">
        <v>0</v>
      </c>
      <c r="O205" s="12">
        <v>0</v>
      </c>
      <c r="P205" s="12">
        <v>0</v>
      </c>
      <c r="Q205" s="12">
        <v>1</v>
      </c>
      <c r="R205" s="12" t="s">
        <v>27</v>
      </c>
      <c r="S205" s="12" t="s">
        <v>28</v>
      </c>
    </row>
    <row r="206" spans="1:19" x14ac:dyDescent="0.15">
      <c r="A206" s="12">
        <v>20007</v>
      </c>
      <c r="B206" s="12">
        <v>2</v>
      </c>
      <c r="C206" s="12" t="str">
        <f t="shared" si="24"/>
        <v>20007_2</v>
      </c>
      <c r="D206" s="12" t="str">
        <f>VLOOKUP(C206,[1]stages!$A:$AE,31,FALSE)</f>
        <v>everyone</v>
      </c>
      <c r="E206" s="12">
        <v>205</v>
      </c>
      <c r="F206" s="12">
        <v>282</v>
      </c>
      <c r="G206" s="10" t="str">
        <f>IF(I206="unit",VLOOKUP(F206,[2]characters!$A:$C,3,FALSE),"-")</f>
        <v>ラーフ</v>
      </c>
      <c r="H206" s="12">
        <v>250</v>
      </c>
      <c r="I206" s="12" t="s">
        <v>36</v>
      </c>
      <c r="J206" s="12">
        <v>1</v>
      </c>
      <c r="K206" s="12">
        <v>1</v>
      </c>
      <c r="L206" s="12">
        <v>1</v>
      </c>
      <c r="M206" s="12">
        <v>0</v>
      </c>
      <c r="N206" s="12">
        <v>0</v>
      </c>
      <c r="O206" s="12">
        <v>0</v>
      </c>
      <c r="P206" s="12">
        <v>0</v>
      </c>
      <c r="Q206" s="12">
        <v>1</v>
      </c>
      <c r="R206" s="12" t="s">
        <v>27</v>
      </c>
      <c r="S206" s="12" t="s">
        <v>28</v>
      </c>
    </row>
    <row r="207" spans="1:19" x14ac:dyDescent="0.15">
      <c r="A207" s="12">
        <v>20007</v>
      </c>
      <c r="B207" s="12">
        <v>2</v>
      </c>
      <c r="C207" s="12" t="str">
        <f t="shared" si="24"/>
        <v>20007_2</v>
      </c>
      <c r="D207" s="12" t="str">
        <f>VLOOKUP(C207,[1]stages!$A:$AE,31,FALSE)</f>
        <v>everyone</v>
      </c>
      <c r="E207" s="12">
        <v>206</v>
      </c>
      <c r="F207" s="12">
        <v>352</v>
      </c>
      <c r="G207" s="10" t="str">
        <f>IF(I207="unit",VLOOKUP(F207,[2]characters!$A:$C,3,FALSE),"-")</f>
        <v>水のケロケロ</v>
      </c>
      <c r="H207" s="12">
        <v>100</v>
      </c>
      <c r="I207" s="12" t="s">
        <v>36</v>
      </c>
      <c r="J207" s="12">
        <v>1</v>
      </c>
      <c r="K207" s="12">
        <v>1</v>
      </c>
      <c r="L207" s="12">
        <v>1</v>
      </c>
      <c r="M207" s="12">
        <v>0</v>
      </c>
      <c r="N207" s="12">
        <v>0</v>
      </c>
      <c r="O207" s="12">
        <v>0</v>
      </c>
      <c r="P207" s="12">
        <v>0</v>
      </c>
      <c r="Q207" s="12">
        <v>1</v>
      </c>
      <c r="R207" s="12" t="s">
        <v>27</v>
      </c>
      <c r="S207" s="12" t="s">
        <v>28</v>
      </c>
    </row>
    <row r="208" spans="1:19" x14ac:dyDescent="0.15">
      <c r="A208" s="12">
        <v>20007</v>
      </c>
      <c r="B208" s="12">
        <v>3</v>
      </c>
      <c r="C208" s="12" t="str">
        <f>A208&amp; "_"&amp;B208</f>
        <v>20007_3</v>
      </c>
      <c r="D208" s="12" t="str">
        <f>VLOOKUP(C208,[1]stages!$A:$AE,31,FALSE)</f>
        <v>everyone</v>
      </c>
      <c r="E208" s="12">
        <v>207</v>
      </c>
      <c r="F208" s="12">
        <v>5000</v>
      </c>
      <c r="G208" s="10" t="str">
        <f>IF(I208="unit",VLOOKUP(F208,[2]characters!$A:$C,3,FALSE),"-")</f>
        <v>-</v>
      </c>
      <c r="H208" s="12">
        <v>100</v>
      </c>
      <c r="I208" s="12" t="s">
        <v>32</v>
      </c>
      <c r="J208" s="12" t="s">
        <v>33</v>
      </c>
      <c r="K208" s="12">
        <v>1</v>
      </c>
      <c r="L208" s="12">
        <v>1</v>
      </c>
      <c r="M208" s="12">
        <v>0</v>
      </c>
      <c r="N208" s="12">
        <v>0</v>
      </c>
      <c r="O208" s="12">
        <v>0</v>
      </c>
      <c r="P208" s="12">
        <v>0</v>
      </c>
      <c r="Q208" s="12">
        <v>1</v>
      </c>
      <c r="R208" s="12" t="s">
        <v>27</v>
      </c>
      <c r="S208" s="12" t="s">
        <v>28</v>
      </c>
    </row>
    <row r="209" spans="1:19" x14ac:dyDescent="0.15">
      <c r="A209" s="12">
        <v>20007</v>
      </c>
      <c r="B209" s="12">
        <v>3</v>
      </c>
      <c r="C209" s="12" t="str">
        <f t="shared" ref="C209:C218" si="25">A209&amp; "_"&amp;B209</f>
        <v>20007_3</v>
      </c>
      <c r="D209" s="12" t="str">
        <f>VLOOKUP(C209,[1]stages!$A:$AE,31,FALSE)</f>
        <v>everyone</v>
      </c>
      <c r="E209" s="12">
        <v>208</v>
      </c>
      <c r="F209" s="12">
        <v>25</v>
      </c>
      <c r="G209" s="10" t="str">
        <f>IF(I209="unit",VLOOKUP(F209,[2]characters!$A:$C,3,FALSE),"-")</f>
        <v>-</v>
      </c>
      <c r="H209" s="12">
        <v>100</v>
      </c>
      <c r="I209" s="12" t="s">
        <v>35</v>
      </c>
      <c r="J209" s="12" t="s">
        <v>33</v>
      </c>
      <c r="K209" s="12">
        <v>1</v>
      </c>
      <c r="L209" s="12">
        <v>1</v>
      </c>
      <c r="M209" s="12">
        <v>0</v>
      </c>
      <c r="N209" s="12">
        <v>0</v>
      </c>
      <c r="O209" s="12">
        <v>0</v>
      </c>
      <c r="P209" s="12">
        <v>0</v>
      </c>
      <c r="Q209" s="12">
        <v>1</v>
      </c>
      <c r="R209" s="12" t="s">
        <v>27</v>
      </c>
      <c r="S209" s="12" t="s">
        <v>28</v>
      </c>
    </row>
    <row r="210" spans="1:19" x14ac:dyDescent="0.15">
      <c r="A210" s="12">
        <v>20007</v>
      </c>
      <c r="B210" s="12">
        <v>3</v>
      </c>
      <c r="C210" s="12" t="str">
        <f t="shared" si="25"/>
        <v>20007_3</v>
      </c>
      <c r="D210" s="12" t="str">
        <f>VLOOKUP(C210,[1]stages!$A:$AE,31,FALSE)</f>
        <v>everyone</v>
      </c>
      <c r="E210" s="12">
        <v>209</v>
      </c>
      <c r="F210" s="12">
        <v>340</v>
      </c>
      <c r="G210" s="10" t="str">
        <f>IF(I210="unit",VLOOKUP(F210,[2]characters!$A:$C,3,FALSE),"-")</f>
        <v>水のメタルピヨピヨ</v>
      </c>
      <c r="H210" s="12">
        <v>56</v>
      </c>
      <c r="I210" s="12" t="s">
        <v>36</v>
      </c>
      <c r="J210" s="12">
        <v>1</v>
      </c>
      <c r="K210" s="12">
        <v>1</v>
      </c>
      <c r="L210" s="12">
        <v>1</v>
      </c>
      <c r="M210" s="12">
        <v>0</v>
      </c>
      <c r="N210" s="12">
        <v>0</v>
      </c>
      <c r="O210" s="12">
        <v>0</v>
      </c>
      <c r="P210" s="12">
        <v>0</v>
      </c>
      <c r="Q210" s="12">
        <v>1</v>
      </c>
      <c r="R210" s="12" t="s">
        <v>27</v>
      </c>
      <c r="S210" s="12" t="s">
        <v>28</v>
      </c>
    </row>
    <row r="211" spans="1:19" x14ac:dyDescent="0.15">
      <c r="A211" s="12">
        <v>20007</v>
      </c>
      <c r="B211" s="12">
        <v>3</v>
      </c>
      <c r="C211" s="12" t="str">
        <f t="shared" si="25"/>
        <v>20007_3</v>
      </c>
      <c r="D211" s="12" t="str">
        <f>VLOOKUP(C211,[1]stages!$A:$AE,31,FALSE)</f>
        <v>everyone</v>
      </c>
      <c r="E211" s="12">
        <v>210</v>
      </c>
      <c r="F211" s="12">
        <v>341</v>
      </c>
      <c r="G211" s="10" t="str">
        <f>IF(I211="unit",VLOOKUP(F211,[2]characters!$A:$C,3,FALSE),"-")</f>
        <v>水のメタルチック</v>
      </c>
      <c r="H211" s="12">
        <v>56</v>
      </c>
      <c r="I211" s="12" t="s">
        <v>36</v>
      </c>
      <c r="J211" s="12">
        <v>1</v>
      </c>
      <c r="K211" s="12">
        <v>1</v>
      </c>
      <c r="L211" s="12">
        <v>1</v>
      </c>
      <c r="M211" s="12">
        <v>0</v>
      </c>
      <c r="N211" s="12">
        <v>0</v>
      </c>
      <c r="O211" s="12">
        <v>0</v>
      </c>
      <c r="P211" s="12">
        <v>0</v>
      </c>
      <c r="Q211" s="12">
        <v>1</v>
      </c>
      <c r="R211" s="12" t="s">
        <v>27</v>
      </c>
      <c r="S211" s="12" t="s">
        <v>28</v>
      </c>
    </row>
    <row r="212" spans="1:19" x14ac:dyDescent="0.15">
      <c r="A212" s="12">
        <v>20007</v>
      </c>
      <c r="B212" s="12">
        <v>3</v>
      </c>
      <c r="C212" s="12" t="str">
        <f t="shared" si="25"/>
        <v>20007_3</v>
      </c>
      <c r="D212" s="12" t="str">
        <f>VLOOKUP(C212,[1]stages!$A:$AE,31,FALSE)</f>
        <v>everyone</v>
      </c>
      <c r="E212" s="12">
        <v>211</v>
      </c>
      <c r="F212" s="12">
        <v>342</v>
      </c>
      <c r="G212" s="10" t="str">
        <f>IF(I212="unit",VLOOKUP(F212,[2]characters!$A:$C,3,FALSE),"-")</f>
        <v>水のメタルダック</v>
      </c>
      <c r="H212" s="12">
        <v>28</v>
      </c>
      <c r="I212" s="12" t="s">
        <v>36</v>
      </c>
      <c r="J212" s="12">
        <v>1</v>
      </c>
      <c r="K212" s="12">
        <v>1</v>
      </c>
      <c r="L212" s="12">
        <v>1</v>
      </c>
      <c r="M212" s="12">
        <v>0</v>
      </c>
      <c r="N212" s="12">
        <v>0</v>
      </c>
      <c r="O212" s="12">
        <v>0</v>
      </c>
      <c r="P212" s="12">
        <v>0</v>
      </c>
      <c r="Q212" s="12">
        <v>1</v>
      </c>
      <c r="R212" s="12" t="s">
        <v>27</v>
      </c>
      <c r="S212" s="12" t="s">
        <v>28</v>
      </c>
    </row>
    <row r="213" spans="1:19" x14ac:dyDescent="0.15">
      <c r="A213" s="12">
        <v>20007</v>
      </c>
      <c r="B213" s="12">
        <v>3</v>
      </c>
      <c r="C213" s="12" t="str">
        <f t="shared" si="25"/>
        <v>20007_3</v>
      </c>
      <c r="D213" s="12" t="str">
        <f>VLOOKUP(C213,[1]stages!$A:$AE,31,FALSE)</f>
        <v>everyone</v>
      </c>
      <c r="E213" s="12">
        <v>212</v>
      </c>
      <c r="F213" s="12">
        <v>121</v>
      </c>
      <c r="G213" s="10" t="str">
        <f>IF(I213="unit",VLOOKUP(F213,[2]characters!$A:$C,3,FALSE),"-")</f>
        <v>攻めの果実</v>
      </c>
      <c r="H213" s="12">
        <v>50</v>
      </c>
      <c r="I213" s="12" t="s">
        <v>36</v>
      </c>
      <c r="J213" s="12">
        <v>1</v>
      </c>
      <c r="K213" s="12">
        <v>1</v>
      </c>
      <c r="L213" s="12">
        <v>1</v>
      </c>
      <c r="M213" s="12">
        <v>0</v>
      </c>
      <c r="N213" s="12">
        <v>0</v>
      </c>
      <c r="O213" s="12">
        <v>0</v>
      </c>
      <c r="P213" s="12">
        <v>0</v>
      </c>
      <c r="Q213" s="12">
        <v>1</v>
      </c>
      <c r="R213" s="12" t="s">
        <v>27</v>
      </c>
      <c r="S213" s="12" t="s">
        <v>28</v>
      </c>
    </row>
    <row r="214" spans="1:19" x14ac:dyDescent="0.15">
      <c r="A214" s="12">
        <v>20007</v>
      </c>
      <c r="B214" s="12">
        <v>3</v>
      </c>
      <c r="C214" s="12" t="str">
        <f t="shared" si="25"/>
        <v>20007_3</v>
      </c>
      <c r="D214" s="12" t="str">
        <f>VLOOKUP(C214,[1]stages!$A:$AE,31,FALSE)</f>
        <v>everyone</v>
      </c>
      <c r="E214" s="12">
        <v>213</v>
      </c>
      <c r="F214" s="12">
        <v>122</v>
      </c>
      <c r="G214" s="10" t="str">
        <f>IF(I214="unit",VLOOKUP(F214,[2]characters!$A:$C,3,FALSE),"-")</f>
        <v>生命の果実</v>
      </c>
      <c r="H214" s="12">
        <v>50</v>
      </c>
      <c r="I214" s="12" t="s">
        <v>36</v>
      </c>
      <c r="J214" s="12">
        <v>1</v>
      </c>
      <c r="K214" s="12">
        <v>1</v>
      </c>
      <c r="L214" s="12">
        <v>1</v>
      </c>
      <c r="M214" s="12">
        <v>0</v>
      </c>
      <c r="N214" s="12">
        <v>0</v>
      </c>
      <c r="O214" s="12">
        <v>0</v>
      </c>
      <c r="P214" s="12">
        <v>0</v>
      </c>
      <c r="Q214" s="12">
        <v>1</v>
      </c>
      <c r="R214" s="12" t="s">
        <v>27</v>
      </c>
      <c r="S214" s="12" t="s">
        <v>28</v>
      </c>
    </row>
    <row r="215" spans="1:19" x14ac:dyDescent="0.15">
      <c r="A215" s="12">
        <v>20007</v>
      </c>
      <c r="B215" s="12">
        <v>3</v>
      </c>
      <c r="C215" s="12" t="str">
        <f t="shared" si="25"/>
        <v>20007_3</v>
      </c>
      <c r="D215" s="12" t="str">
        <f>VLOOKUP(C215,[1]stages!$A:$AE,31,FALSE)</f>
        <v>everyone</v>
      </c>
      <c r="E215" s="12">
        <v>214</v>
      </c>
      <c r="F215" s="12">
        <v>123</v>
      </c>
      <c r="G215" s="10" t="str">
        <f>IF(I215="unit",VLOOKUP(F215,[2]characters!$A:$C,3,FALSE),"-")</f>
        <v>癒しの果実</v>
      </c>
      <c r="H215" s="12">
        <v>50</v>
      </c>
      <c r="I215" s="12" t="s">
        <v>36</v>
      </c>
      <c r="J215" s="12">
        <v>1</v>
      </c>
      <c r="K215" s="12">
        <v>1</v>
      </c>
      <c r="L215" s="12">
        <v>1</v>
      </c>
      <c r="M215" s="12">
        <v>0</v>
      </c>
      <c r="N215" s="12">
        <v>0</v>
      </c>
      <c r="O215" s="12">
        <v>0</v>
      </c>
      <c r="P215" s="12">
        <v>0</v>
      </c>
      <c r="Q215" s="12">
        <v>1</v>
      </c>
      <c r="R215" s="12" t="s">
        <v>27</v>
      </c>
      <c r="S215" s="12" t="s">
        <v>28</v>
      </c>
    </row>
    <row r="216" spans="1:19" x14ac:dyDescent="0.15">
      <c r="A216" s="12">
        <v>20007</v>
      </c>
      <c r="B216" s="12">
        <v>3</v>
      </c>
      <c r="C216" s="12" t="str">
        <f t="shared" si="25"/>
        <v>20007_3</v>
      </c>
      <c r="D216" s="12" t="str">
        <f>VLOOKUP(C216,[1]stages!$A:$AE,31,FALSE)</f>
        <v>everyone</v>
      </c>
      <c r="E216" s="12">
        <v>215</v>
      </c>
      <c r="F216" s="12">
        <v>125</v>
      </c>
      <c r="G216" s="10" t="str">
        <f>IF(I216="unit",VLOOKUP(F216,[2]characters!$A:$C,3,FALSE),"-")</f>
        <v>秘術の果実</v>
      </c>
      <c r="H216" s="12">
        <v>10</v>
      </c>
      <c r="I216" s="12" t="s">
        <v>36</v>
      </c>
      <c r="J216" s="12">
        <v>1</v>
      </c>
      <c r="K216" s="12">
        <v>1</v>
      </c>
      <c r="L216" s="12">
        <v>1</v>
      </c>
      <c r="M216" s="12">
        <v>0</v>
      </c>
      <c r="N216" s="12">
        <v>0</v>
      </c>
      <c r="O216" s="12">
        <v>0</v>
      </c>
      <c r="P216" s="12">
        <v>0</v>
      </c>
      <c r="Q216" s="12">
        <v>1</v>
      </c>
      <c r="R216" s="12" t="s">
        <v>27</v>
      </c>
      <c r="S216" s="12" t="s">
        <v>28</v>
      </c>
    </row>
    <row r="217" spans="1:19" x14ac:dyDescent="0.15">
      <c r="A217" s="12">
        <v>20007</v>
      </c>
      <c r="B217" s="12">
        <v>3</v>
      </c>
      <c r="C217" s="12" t="str">
        <f t="shared" si="25"/>
        <v>20007_3</v>
      </c>
      <c r="D217" s="12" t="str">
        <f>VLOOKUP(C217,[1]stages!$A:$AE,31,FALSE)</f>
        <v>everyone</v>
      </c>
      <c r="E217" s="12">
        <v>216</v>
      </c>
      <c r="F217" s="12">
        <v>282</v>
      </c>
      <c r="G217" s="10" t="str">
        <f>IF(I217="unit",VLOOKUP(F217,[2]characters!$A:$C,3,FALSE),"-")</f>
        <v>ラーフ</v>
      </c>
      <c r="H217" s="12">
        <v>400</v>
      </c>
      <c r="I217" s="12" t="s">
        <v>36</v>
      </c>
      <c r="J217" s="12">
        <v>1</v>
      </c>
      <c r="K217" s="12">
        <v>1</v>
      </c>
      <c r="L217" s="12">
        <v>1</v>
      </c>
      <c r="M217" s="12">
        <v>0</v>
      </c>
      <c r="N217" s="12">
        <v>0</v>
      </c>
      <c r="O217" s="12">
        <v>0</v>
      </c>
      <c r="P217" s="12">
        <v>0</v>
      </c>
      <c r="Q217" s="12">
        <v>1</v>
      </c>
      <c r="R217" s="12" t="s">
        <v>27</v>
      </c>
      <c r="S217" s="12" t="s">
        <v>28</v>
      </c>
    </row>
    <row r="218" spans="1:19" x14ac:dyDescent="0.15">
      <c r="A218" s="12">
        <v>20007</v>
      </c>
      <c r="B218" s="12">
        <v>3</v>
      </c>
      <c r="C218" s="12" t="str">
        <f t="shared" si="25"/>
        <v>20007_3</v>
      </c>
      <c r="D218" s="12" t="str">
        <f>VLOOKUP(C218,[1]stages!$A:$AE,31,FALSE)</f>
        <v>everyone</v>
      </c>
      <c r="E218" s="12">
        <v>217</v>
      </c>
      <c r="F218" s="12">
        <v>352</v>
      </c>
      <c r="G218" s="10" t="str">
        <f>IF(I218="unit",VLOOKUP(F218,[2]characters!$A:$C,3,FALSE),"-")</f>
        <v>水のケロケロ</v>
      </c>
      <c r="H218" s="12">
        <v>100</v>
      </c>
      <c r="I218" s="12" t="s">
        <v>36</v>
      </c>
      <c r="J218" s="12">
        <v>1</v>
      </c>
      <c r="K218" s="12">
        <v>1</v>
      </c>
      <c r="L218" s="12">
        <v>1</v>
      </c>
      <c r="M218" s="12">
        <v>0</v>
      </c>
      <c r="N218" s="12">
        <v>0</v>
      </c>
      <c r="O218" s="12">
        <v>0</v>
      </c>
      <c r="P218" s="12">
        <v>0</v>
      </c>
      <c r="Q218" s="12">
        <v>1</v>
      </c>
      <c r="R218" s="12" t="s">
        <v>27</v>
      </c>
      <c r="S218" s="12" t="s">
        <v>28</v>
      </c>
    </row>
    <row r="219" spans="1:19" x14ac:dyDescent="0.15">
      <c r="A219" s="9">
        <v>20008</v>
      </c>
      <c r="B219" s="9">
        <v>1</v>
      </c>
      <c r="C219" s="9" t="str">
        <f>A219&amp; "_"&amp;B219</f>
        <v>20008_1</v>
      </c>
      <c r="D219" s="9" t="str">
        <f>VLOOKUP(C219,[1]stages!$A:$AE,31,FALSE)</f>
        <v>everyone</v>
      </c>
      <c r="E219" s="9">
        <v>218</v>
      </c>
      <c r="F219" s="9">
        <v>1700</v>
      </c>
      <c r="G219" s="10" t="str">
        <f>IF(I219="unit",VLOOKUP(F219,[2]characters!$A:$C,3,FALSE),"-")</f>
        <v>-</v>
      </c>
      <c r="H219" s="9">
        <v>200</v>
      </c>
      <c r="I219" s="9" t="s">
        <v>32</v>
      </c>
      <c r="J219" s="9" t="s">
        <v>33</v>
      </c>
      <c r="K219" s="9">
        <v>1</v>
      </c>
      <c r="L219" s="9">
        <v>1</v>
      </c>
      <c r="M219" s="9">
        <v>0</v>
      </c>
      <c r="N219" s="9">
        <v>0</v>
      </c>
      <c r="O219" s="9">
        <v>0</v>
      </c>
      <c r="P219" s="9">
        <v>0</v>
      </c>
      <c r="Q219" s="9">
        <v>1</v>
      </c>
      <c r="R219" s="9" t="s">
        <v>27</v>
      </c>
      <c r="S219" s="9" t="s">
        <v>28</v>
      </c>
    </row>
    <row r="220" spans="1:19" x14ac:dyDescent="0.15">
      <c r="A220" s="9">
        <v>20008</v>
      </c>
      <c r="B220" s="9">
        <v>1</v>
      </c>
      <c r="C220" s="9" t="str">
        <f t="shared" ref="C220:C228" si="26">A220&amp; "_"&amp;B220</f>
        <v>20008_1</v>
      </c>
      <c r="D220" s="9" t="str">
        <f>VLOOKUP(C220,[1]stages!$A:$AE,31,FALSE)</f>
        <v>everyone</v>
      </c>
      <c r="E220" s="9">
        <v>219</v>
      </c>
      <c r="F220" s="9">
        <v>20</v>
      </c>
      <c r="G220" s="10" t="str">
        <f>IF(I220="unit",VLOOKUP(F220,[2]characters!$A:$C,3,FALSE),"-")</f>
        <v>-</v>
      </c>
      <c r="H220" s="9">
        <v>200</v>
      </c>
      <c r="I220" s="9" t="s">
        <v>35</v>
      </c>
      <c r="J220" s="9" t="s">
        <v>33</v>
      </c>
      <c r="K220" s="9">
        <v>1</v>
      </c>
      <c r="L220" s="9">
        <v>1</v>
      </c>
      <c r="M220" s="9">
        <v>0</v>
      </c>
      <c r="N220" s="9">
        <v>0</v>
      </c>
      <c r="O220" s="9">
        <v>0</v>
      </c>
      <c r="P220" s="9">
        <v>0</v>
      </c>
      <c r="Q220" s="9">
        <v>1</v>
      </c>
      <c r="R220" s="9" t="s">
        <v>27</v>
      </c>
      <c r="S220" s="9" t="s">
        <v>28</v>
      </c>
    </row>
    <row r="221" spans="1:19" x14ac:dyDescent="0.15">
      <c r="A221" s="9">
        <v>20008</v>
      </c>
      <c r="B221" s="9">
        <v>1</v>
      </c>
      <c r="C221" s="9" t="str">
        <f t="shared" si="26"/>
        <v>20008_1</v>
      </c>
      <c r="D221" s="9" t="str">
        <f>VLOOKUP(C221,[1]stages!$A:$AE,31,FALSE)</f>
        <v>everyone</v>
      </c>
      <c r="E221" s="9">
        <v>220</v>
      </c>
      <c r="F221" s="9">
        <v>344</v>
      </c>
      <c r="G221" s="10" t="str">
        <f>IF(I221="unit",VLOOKUP(F221,[2]characters!$A:$C,3,FALSE),"-")</f>
        <v>雷のメタルピヨピヨ</v>
      </c>
      <c r="H221" s="9">
        <v>98</v>
      </c>
      <c r="I221" s="9" t="s">
        <v>36</v>
      </c>
      <c r="J221" s="9">
        <v>1</v>
      </c>
      <c r="K221" s="9">
        <v>1</v>
      </c>
      <c r="L221" s="9">
        <v>1</v>
      </c>
      <c r="M221" s="9">
        <v>0</v>
      </c>
      <c r="N221" s="9">
        <v>0</v>
      </c>
      <c r="O221" s="9">
        <v>0</v>
      </c>
      <c r="P221" s="9">
        <v>0</v>
      </c>
      <c r="Q221" s="9">
        <v>1</v>
      </c>
      <c r="R221" s="9" t="s">
        <v>27</v>
      </c>
      <c r="S221" s="9" t="s">
        <v>28</v>
      </c>
    </row>
    <row r="222" spans="1:19" x14ac:dyDescent="0.15">
      <c r="A222" s="9">
        <v>20008</v>
      </c>
      <c r="B222" s="9">
        <v>1</v>
      </c>
      <c r="C222" s="9" t="str">
        <f t="shared" si="26"/>
        <v>20008_1</v>
      </c>
      <c r="D222" s="9" t="str">
        <f>VLOOKUP(C222,[1]stages!$A:$AE,31,FALSE)</f>
        <v>everyone</v>
      </c>
      <c r="E222" s="9">
        <v>221</v>
      </c>
      <c r="F222" s="9">
        <v>345</v>
      </c>
      <c r="G222" s="10" t="str">
        <f>IF(I222="unit",VLOOKUP(F222,[2]characters!$A:$C,3,FALSE),"-")</f>
        <v>雷のメタルチック</v>
      </c>
      <c r="H222" s="9">
        <v>42</v>
      </c>
      <c r="I222" s="9" t="s">
        <v>36</v>
      </c>
      <c r="J222" s="9">
        <v>1</v>
      </c>
      <c r="K222" s="9">
        <v>1</v>
      </c>
      <c r="L222" s="9">
        <v>1</v>
      </c>
      <c r="M222" s="9">
        <v>0</v>
      </c>
      <c r="N222" s="9">
        <v>0</v>
      </c>
      <c r="O222" s="9">
        <v>0</v>
      </c>
      <c r="P222" s="9">
        <v>0</v>
      </c>
      <c r="Q222" s="9">
        <v>1</v>
      </c>
      <c r="R222" s="9" t="s">
        <v>27</v>
      </c>
      <c r="S222" s="9" t="s">
        <v>28</v>
      </c>
    </row>
    <row r="223" spans="1:19" x14ac:dyDescent="0.15">
      <c r="A223" s="9">
        <v>20008</v>
      </c>
      <c r="B223" s="9">
        <v>1</v>
      </c>
      <c r="C223" s="9" t="str">
        <f t="shared" si="26"/>
        <v>20008_1</v>
      </c>
      <c r="D223" s="9" t="str">
        <f>VLOOKUP(C223,[1]stages!$A:$AE,31,FALSE)</f>
        <v>everyone</v>
      </c>
      <c r="E223" s="9">
        <v>222</v>
      </c>
      <c r="F223" s="9">
        <v>121</v>
      </c>
      <c r="G223" s="10" t="str">
        <f>IF(I223="unit",VLOOKUP(F223,[2]characters!$A:$C,3,FALSE),"-")</f>
        <v>攻めの果実</v>
      </c>
      <c r="H223" s="9">
        <v>50</v>
      </c>
      <c r="I223" s="9" t="s">
        <v>36</v>
      </c>
      <c r="J223" s="9">
        <v>1</v>
      </c>
      <c r="K223" s="9">
        <v>1</v>
      </c>
      <c r="L223" s="9">
        <v>1</v>
      </c>
      <c r="M223" s="9">
        <v>0</v>
      </c>
      <c r="N223" s="9">
        <v>0</v>
      </c>
      <c r="O223" s="9">
        <v>0</v>
      </c>
      <c r="P223" s="9">
        <v>0</v>
      </c>
      <c r="Q223" s="9">
        <v>1</v>
      </c>
      <c r="R223" s="9" t="s">
        <v>27</v>
      </c>
      <c r="S223" s="9" t="s">
        <v>28</v>
      </c>
    </row>
    <row r="224" spans="1:19" x14ac:dyDescent="0.15">
      <c r="A224" s="9">
        <v>20008</v>
      </c>
      <c r="B224" s="9">
        <v>1</v>
      </c>
      <c r="C224" s="9" t="str">
        <f t="shared" si="26"/>
        <v>20008_1</v>
      </c>
      <c r="D224" s="9" t="str">
        <f>VLOOKUP(C224,[1]stages!$A:$AE,31,FALSE)</f>
        <v>everyone</v>
      </c>
      <c r="E224" s="9">
        <v>223</v>
      </c>
      <c r="F224" s="9">
        <v>122</v>
      </c>
      <c r="G224" s="10" t="str">
        <f>IF(I224="unit",VLOOKUP(F224,[2]characters!$A:$C,3,FALSE),"-")</f>
        <v>生命の果実</v>
      </c>
      <c r="H224" s="9">
        <v>50</v>
      </c>
      <c r="I224" s="9" t="s">
        <v>36</v>
      </c>
      <c r="J224" s="9">
        <v>1</v>
      </c>
      <c r="K224" s="9">
        <v>1</v>
      </c>
      <c r="L224" s="9">
        <v>1</v>
      </c>
      <c r="M224" s="9">
        <v>0</v>
      </c>
      <c r="N224" s="9">
        <v>0</v>
      </c>
      <c r="O224" s="9">
        <v>0</v>
      </c>
      <c r="P224" s="9">
        <v>0</v>
      </c>
      <c r="Q224" s="9">
        <v>1</v>
      </c>
      <c r="R224" s="9" t="s">
        <v>27</v>
      </c>
      <c r="S224" s="9" t="s">
        <v>28</v>
      </c>
    </row>
    <row r="225" spans="1:19" x14ac:dyDescent="0.15">
      <c r="A225" s="9">
        <v>20008</v>
      </c>
      <c r="B225" s="9">
        <v>1</v>
      </c>
      <c r="C225" s="9" t="str">
        <f t="shared" si="26"/>
        <v>20008_1</v>
      </c>
      <c r="D225" s="9" t="str">
        <f>VLOOKUP(C225,[1]stages!$A:$AE,31,FALSE)</f>
        <v>everyone</v>
      </c>
      <c r="E225" s="9">
        <v>224</v>
      </c>
      <c r="F225" s="9">
        <v>123</v>
      </c>
      <c r="G225" s="10" t="str">
        <f>IF(I225="unit",VLOOKUP(F225,[2]characters!$A:$C,3,FALSE),"-")</f>
        <v>癒しの果実</v>
      </c>
      <c r="H225" s="9">
        <v>50</v>
      </c>
      <c r="I225" s="9" t="s">
        <v>36</v>
      </c>
      <c r="J225" s="9">
        <v>1</v>
      </c>
      <c r="K225" s="9">
        <v>1</v>
      </c>
      <c r="L225" s="9">
        <v>1</v>
      </c>
      <c r="M225" s="9">
        <v>0</v>
      </c>
      <c r="N225" s="9">
        <v>0</v>
      </c>
      <c r="O225" s="9">
        <v>0</v>
      </c>
      <c r="P225" s="9">
        <v>0</v>
      </c>
      <c r="Q225" s="9">
        <v>1</v>
      </c>
      <c r="R225" s="9" t="s">
        <v>27</v>
      </c>
      <c r="S225" s="9" t="s">
        <v>28</v>
      </c>
    </row>
    <row r="226" spans="1:19" x14ac:dyDescent="0.15">
      <c r="A226" s="9">
        <v>20008</v>
      </c>
      <c r="B226" s="9">
        <v>1</v>
      </c>
      <c r="C226" s="9" t="str">
        <f t="shared" si="26"/>
        <v>20008_1</v>
      </c>
      <c r="D226" s="9" t="str">
        <f>VLOOKUP(C226,[1]stages!$A:$AE,31,FALSE)</f>
        <v>everyone</v>
      </c>
      <c r="E226" s="9">
        <v>225</v>
      </c>
      <c r="F226" s="9">
        <v>125</v>
      </c>
      <c r="G226" s="10" t="str">
        <f>IF(I226="unit",VLOOKUP(F226,[2]characters!$A:$C,3,FALSE),"-")</f>
        <v>秘術の果実</v>
      </c>
      <c r="H226" s="9">
        <v>10</v>
      </c>
      <c r="I226" s="9" t="s">
        <v>36</v>
      </c>
      <c r="J226" s="9">
        <v>1</v>
      </c>
      <c r="K226" s="9">
        <v>1</v>
      </c>
      <c r="L226" s="9">
        <v>1</v>
      </c>
      <c r="M226" s="9">
        <v>0</v>
      </c>
      <c r="N226" s="9">
        <v>0</v>
      </c>
      <c r="O226" s="9">
        <v>0</v>
      </c>
      <c r="P226" s="9">
        <v>0</v>
      </c>
      <c r="Q226" s="9">
        <v>1</v>
      </c>
      <c r="R226" s="9" t="s">
        <v>27</v>
      </c>
      <c r="S226" s="9" t="s">
        <v>28</v>
      </c>
    </row>
    <row r="227" spans="1:19" x14ac:dyDescent="0.15">
      <c r="A227" s="9">
        <v>20008</v>
      </c>
      <c r="B227" s="9">
        <v>1</v>
      </c>
      <c r="C227" s="9" t="str">
        <f t="shared" si="26"/>
        <v>20008_1</v>
      </c>
      <c r="D227" s="9" t="str">
        <f>VLOOKUP(C227,[1]stages!$A:$AE,31,FALSE)</f>
        <v>everyone</v>
      </c>
      <c r="E227" s="9">
        <v>226</v>
      </c>
      <c r="F227" s="9">
        <v>284</v>
      </c>
      <c r="G227" s="10" t="str">
        <f>IF(I227="unit",VLOOKUP(F227,[2]characters!$A:$C,3,FALSE),"-")</f>
        <v>フェルニゲシュ</v>
      </c>
      <c r="H227" s="9">
        <v>200</v>
      </c>
      <c r="I227" s="9" t="s">
        <v>36</v>
      </c>
      <c r="J227" s="9">
        <v>1</v>
      </c>
      <c r="K227" s="9">
        <v>1</v>
      </c>
      <c r="L227" s="9">
        <v>1</v>
      </c>
      <c r="M227" s="9">
        <v>0</v>
      </c>
      <c r="N227" s="9">
        <v>0</v>
      </c>
      <c r="O227" s="9">
        <v>0</v>
      </c>
      <c r="P227" s="9">
        <v>0</v>
      </c>
      <c r="Q227" s="9">
        <v>1</v>
      </c>
      <c r="R227" s="9" t="s">
        <v>27</v>
      </c>
      <c r="S227" s="9" t="s">
        <v>28</v>
      </c>
    </row>
    <row r="228" spans="1:19" x14ac:dyDescent="0.15">
      <c r="A228" s="9">
        <v>20008</v>
      </c>
      <c r="B228" s="9">
        <v>1</v>
      </c>
      <c r="C228" s="9" t="str">
        <f t="shared" si="26"/>
        <v>20008_1</v>
      </c>
      <c r="D228" s="9" t="str">
        <f>VLOOKUP(C228,[1]stages!$A:$AE,31,FALSE)</f>
        <v>everyone</v>
      </c>
      <c r="E228" s="9">
        <v>227</v>
      </c>
      <c r="F228" s="9">
        <v>354</v>
      </c>
      <c r="G228" s="10" t="str">
        <f>IF(I228="unit",VLOOKUP(F228,[2]characters!$A:$C,3,FALSE),"-")</f>
        <v>雷のケロケロ</v>
      </c>
      <c r="H228" s="9">
        <v>100</v>
      </c>
      <c r="I228" s="9" t="s">
        <v>36</v>
      </c>
      <c r="J228" s="9">
        <v>1</v>
      </c>
      <c r="K228" s="9">
        <v>1</v>
      </c>
      <c r="L228" s="9">
        <v>1</v>
      </c>
      <c r="M228" s="9">
        <v>0</v>
      </c>
      <c r="N228" s="9">
        <v>0</v>
      </c>
      <c r="O228" s="9">
        <v>0</v>
      </c>
      <c r="P228" s="9">
        <v>0</v>
      </c>
      <c r="Q228" s="9">
        <v>1</v>
      </c>
      <c r="R228" s="9" t="s">
        <v>27</v>
      </c>
      <c r="S228" s="9" t="s">
        <v>28</v>
      </c>
    </row>
    <row r="229" spans="1:19" x14ac:dyDescent="0.15">
      <c r="A229" s="9">
        <v>20008</v>
      </c>
      <c r="B229" s="9">
        <v>2</v>
      </c>
      <c r="C229" s="9" t="str">
        <f>A229&amp; "_"&amp;B229</f>
        <v>20008_2</v>
      </c>
      <c r="D229" s="9" t="str">
        <f>VLOOKUP(C229,[1]stages!$A:$AE,31,FALSE)</f>
        <v>everyone</v>
      </c>
      <c r="E229" s="9">
        <v>228</v>
      </c>
      <c r="F229" s="9">
        <v>3200</v>
      </c>
      <c r="G229" s="10" t="str">
        <f>IF(I229="unit",VLOOKUP(F229,[2]characters!$A:$C,3,FALSE),"-")</f>
        <v>-</v>
      </c>
      <c r="H229" s="9">
        <v>200</v>
      </c>
      <c r="I229" s="9" t="s">
        <v>32</v>
      </c>
      <c r="J229" s="9" t="s">
        <v>33</v>
      </c>
      <c r="K229" s="9">
        <v>1</v>
      </c>
      <c r="L229" s="9">
        <v>1</v>
      </c>
      <c r="M229" s="9">
        <v>0</v>
      </c>
      <c r="N229" s="9">
        <v>0</v>
      </c>
      <c r="O229" s="9">
        <v>0</v>
      </c>
      <c r="P229" s="9">
        <v>0</v>
      </c>
      <c r="Q229" s="9">
        <v>1</v>
      </c>
      <c r="R229" s="9" t="s">
        <v>27</v>
      </c>
      <c r="S229" s="9" t="s">
        <v>28</v>
      </c>
    </row>
    <row r="230" spans="1:19" x14ac:dyDescent="0.15">
      <c r="A230" s="9">
        <v>20008</v>
      </c>
      <c r="B230" s="9">
        <v>2</v>
      </c>
      <c r="C230" s="9" t="str">
        <f t="shared" ref="C230:C238" si="27">A230&amp; "_"&amp;B230</f>
        <v>20008_2</v>
      </c>
      <c r="D230" s="9" t="str">
        <f>VLOOKUP(C230,[1]stages!$A:$AE,31,FALSE)</f>
        <v>everyone</v>
      </c>
      <c r="E230" s="9">
        <v>229</v>
      </c>
      <c r="F230" s="9">
        <v>20</v>
      </c>
      <c r="G230" s="10" t="str">
        <f>IF(I230="unit",VLOOKUP(F230,[2]characters!$A:$C,3,FALSE),"-")</f>
        <v>-</v>
      </c>
      <c r="H230" s="9">
        <v>150</v>
      </c>
      <c r="I230" s="9" t="s">
        <v>35</v>
      </c>
      <c r="J230" s="9" t="s">
        <v>33</v>
      </c>
      <c r="K230" s="9">
        <v>1</v>
      </c>
      <c r="L230" s="9">
        <v>1</v>
      </c>
      <c r="M230" s="9">
        <v>0</v>
      </c>
      <c r="N230" s="9">
        <v>0</v>
      </c>
      <c r="O230" s="9">
        <v>0</v>
      </c>
      <c r="P230" s="9">
        <v>0</v>
      </c>
      <c r="Q230" s="9">
        <v>1</v>
      </c>
      <c r="R230" s="9" t="s">
        <v>27</v>
      </c>
      <c r="S230" s="9" t="s">
        <v>28</v>
      </c>
    </row>
    <row r="231" spans="1:19" x14ac:dyDescent="0.15">
      <c r="A231" s="9">
        <v>20008</v>
      </c>
      <c r="B231" s="9">
        <v>2</v>
      </c>
      <c r="C231" s="9" t="str">
        <f t="shared" si="27"/>
        <v>20008_2</v>
      </c>
      <c r="D231" s="9" t="str">
        <f>VLOOKUP(C231,[1]stages!$A:$AE,31,FALSE)</f>
        <v>everyone</v>
      </c>
      <c r="E231" s="9">
        <v>230</v>
      </c>
      <c r="F231" s="9">
        <v>344</v>
      </c>
      <c r="G231" s="10" t="str">
        <f>IF(I231="unit",VLOOKUP(F231,[2]characters!$A:$C,3,FALSE),"-")</f>
        <v>雷のメタルピヨピヨ</v>
      </c>
      <c r="H231" s="9">
        <v>70</v>
      </c>
      <c r="I231" s="9" t="s">
        <v>36</v>
      </c>
      <c r="J231" s="9">
        <v>1</v>
      </c>
      <c r="K231" s="9">
        <v>1</v>
      </c>
      <c r="L231" s="9">
        <v>1</v>
      </c>
      <c r="M231" s="9">
        <v>0</v>
      </c>
      <c r="N231" s="9">
        <v>0</v>
      </c>
      <c r="O231" s="9">
        <v>0</v>
      </c>
      <c r="P231" s="9">
        <v>0</v>
      </c>
      <c r="Q231" s="9">
        <v>1</v>
      </c>
      <c r="R231" s="9" t="s">
        <v>27</v>
      </c>
      <c r="S231" s="9" t="s">
        <v>28</v>
      </c>
    </row>
    <row r="232" spans="1:19" x14ac:dyDescent="0.15">
      <c r="A232" s="9">
        <v>20008</v>
      </c>
      <c r="B232" s="9">
        <v>2</v>
      </c>
      <c r="C232" s="9" t="str">
        <f t="shared" si="27"/>
        <v>20008_2</v>
      </c>
      <c r="D232" s="9" t="str">
        <f>VLOOKUP(C232,[1]stages!$A:$AE,31,FALSE)</f>
        <v>everyone</v>
      </c>
      <c r="E232" s="9">
        <v>231</v>
      </c>
      <c r="F232" s="9">
        <v>345</v>
      </c>
      <c r="G232" s="10" t="str">
        <f>IF(I232="unit",VLOOKUP(F232,[2]characters!$A:$C,3,FALSE),"-")</f>
        <v>雷のメタルチック</v>
      </c>
      <c r="H232" s="9">
        <v>70</v>
      </c>
      <c r="I232" s="9" t="s">
        <v>36</v>
      </c>
      <c r="J232" s="9">
        <v>1</v>
      </c>
      <c r="K232" s="9">
        <v>1</v>
      </c>
      <c r="L232" s="9">
        <v>1</v>
      </c>
      <c r="M232" s="9">
        <v>0</v>
      </c>
      <c r="N232" s="9">
        <v>0</v>
      </c>
      <c r="O232" s="9">
        <v>0</v>
      </c>
      <c r="P232" s="9">
        <v>0</v>
      </c>
      <c r="Q232" s="9">
        <v>1</v>
      </c>
      <c r="R232" s="9" t="s">
        <v>27</v>
      </c>
      <c r="S232" s="9" t="s">
        <v>28</v>
      </c>
    </row>
    <row r="233" spans="1:19" x14ac:dyDescent="0.15">
      <c r="A233" s="9">
        <v>20008</v>
      </c>
      <c r="B233" s="9">
        <v>2</v>
      </c>
      <c r="C233" s="9" t="str">
        <f t="shared" si="27"/>
        <v>20008_2</v>
      </c>
      <c r="D233" s="9" t="str">
        <f>VLOOKUP(C233,[1]stages!$A:$AE,31,FALSE)</f>
        <v>everyone</v>
      </c>
      <c r="E233" s="9">
        <v>232</v>
      </c>
      <c r="F233" s="9">
        <v>121</v>
      </c>
      <c r="G233" s="10" t="str">
        <f>IF(I233="unit",VLOOKUP(F233,[2]characters!$A:$C,3,FALSE),"-")</f>
        <v>攻めの果実</v>
      </c>
      <c r="H233" s="9">
        <v>50</v>
      </c>
      <c r="I233" s="9" t="s">
        <v>36</v>
      </c>
      <c r="J233" s="9">
        <v>1</v>
      </c>
      <c r="K233" s="9">
        <v>1</v>
      </c>
      <c r="L233" s="9">
        <v>1</v>
      </c>
      <c r="M233" s="9">
        <v>0</v>
      </c>
      <c r="N233" s="9">
        <v>0</v>
      </c>
      <c r="O233" s="9">
        <v>0</v>
      </c>
      <c r="P233" s="9">
        <v>0</v>
      </c>
      <c r="Q233" s="9">
        <v>1</v>
      </c>
      <c r="R233" s="9" t="s">
        <v>27</v>
      </c>
      <c r="S233" s="9" t="s">
        <v>28</v>
      </c>
    </row>
    <row r="234" spans="1:19" x14ac:dyDescent="0.15">
      <c r="A234" s="9">
        <v>20008</v>
      </c>
      <c r="B234" s="9">
        <v>2</v>
      </c>
      <c r="C234" s="9" t="str">
        <f t="shared" si="27"/>
        <v>20008_2</v>
      </c>
      <c r="D234" s="9" t="str">
        <f>VLOOKUP(C234,[1]stages!$A:$AE,31,FALSE)</f>
        <v>everyone</v>
      </c>
      <c r="E234" s="9">
        <v>233</v>
      </c>
      <c r="F234" s="9">
        <v>122</v>
      </c>
      <c r="G234" s="10" t="str">
        <f>IF(I234="unit",VLOOKUP(F234,[2]characters!$A:$C,3,FALSE),"-")</f>
        <v>生命の果実</v>
      </c>
      <c r="H234" s="9">
        <v>50</v>
      </c>
      <c r="I234" s="9" t="s">
        <v>36</v>
      </c>
      <c r="J234" s="9">
        <v>1</v>
      </c>
      <c r="K234" s="9">
        <v>1</v>
      </c>
      <c r="L234" s="9">
        <v>1</v>
      </c>
      <c r="M234" s="9">
        <v>0</v>
      </c>
      <c r="N234" s="9">
        <v>0</v>
      </c>
      <c r="O234" s="9">
        <v>0</v>
      </c>
      <c r="P234" s="9">
        <v>0</v>
      </c>
      <c r="Q234" s="9">
        <v>1</v>
      </c>
      <c r="R234" s="9" t="s">
        <v>27</v>
      </c>
      <c r="S234" s="9" t="s">
        <v>28</v>
      </c>
    </row>
    <row r="235" spans="1:19" x14ac:dyDescent="0.15">
      <c r="A235" s="9">
        <v>20008</v>
      </c>
      <c r="B235" s="9">
        <v>2</v>
      </c>
      <c r="C235" s="9" t="str">
        <f t="shared" si="27"/>
        <v>20008_2</v>
      </c>
      <c r="D235" s="9" t="str">
        <f>VLOOKUP(C235,[1]stages!$A:$AE,31,FALSE)</f>
        <v>everyone</v>
      </c>
      <c r="E235" s="9">
        <v>234</v>
      </c>
      <c r="F235" s="9">
        <v>123</v>
      </c>
      <c r="G235" s="10" t="str">
        <f>IF(I235="unit",VLOOKUP(F235,[2]characters!$A:$C,3,FALSE),"-")</f>
        <v>癒しの果実</v>
      </c>
      <c r="H235" s="9">
        <v>50</v>
      </c>
      <c r="I235" s="9" t="s">
        <v>36</v>
      </c>
      <c r="J235" s="9">
        <v>1</v>
      </c>
      <c r="K235" s="9">
        <v>1</v>
      </c>
      <c r="L235" s="9">
        <v>1</v>
      </c>
      <c r="M235" s="9">
        <v>0</v>
      </c>
      <c r="N235" s="9">
        <v>0</v>
      </c>
      <c r="O235" s="9">
        <v>0</v>
      </c>
      <c r="P235" s="9">
        <v>0</v>
      </c>
      <c r="Q235" s="9">
        <v>1</v>
      </c>
      <c r="R235" s="9" t="s">
        <v>27</v>
      </c>
      <c r="S235" s="9" t="s">
        <v>28</v>
      </c>
    </row>
    <row r="236" spans="1:19" x14ac:dyDescent="0.15">
      <c r="A236" s="9">
        <v>20008</v>
      </c>
      <c r="B236" s="9">
        <v>2</v>
      </c>
      <c r="C236" s="9" t="str">
        <f t="shared" si="27"/>
        <v>20008_2</v>
      </c>
      <c r="D236" s="9" t="str">
        <f>VLOOKUP(C236,[1]stages!$A:$AE,31,FALSE)</f>
        <v>everyone</v>
      </c>
      <c r="E236" s="9">
        <v>235</v>
      </c>
      <c r="F236" s="9">
        <v>125</v>
      </c>
      <c r="G236" s="10" t="str">
        <f>IF(I236="unit",VLOOKUP(F236,[2]characters!$A:$C,3,FALSE),"-")</f>
        <v>秘術の果実</v>
      </c>
      <c r="H236" s="9">
        <v>10</v>
      </c>
      <c r="I236" s="9" t="s">
        <v>36</v>
      </c>
      <c r="J236" s="9">
        <v>1</v>
      </c>
      <c r="K236" s="9">
        <v>1</v>
      </c>
      <c r="L236" s="9">
        <v>1</v>
      </c>
      <c r="M236" s="9">
        <v>0</v>
      </c>
      <c r="N236" s="9">
        <v>0</v>
      </c>
      <c r="O236" s="9">
        <v>0</v>
      </c>
      <c r="P236" s="9">
        <v>0</v>
      </c>
      <c r="Q236" s="9">
        <v>1</v>
      </c>
      <c r="R236" s="9" t="s">
        <v>27</v>
      </c>
      <c r="S236" s="9" t="s">
        <v>28</v>
      </c>
    </row>
    <row r="237" spans="1:19" x14ac:dyDescent="0.15">
      <c r="A237" s="9">
        <v>20008</v>
      </c>
      <c r="B237" s="9">
        <v>2</v>
      </c>
      <c r="C237" s="9" t="str">
        <f t="shared" si="27"/>
        <v>20008_2</v>
      </c>
      <c r="D237" s="9" t="str">
        <f>VLOOKUP(C237,[1]stages!$A:$AE,31,FALSE)</f>
        <v>everyone</v>
      </c>
      <c r="E237" s="9">
        <v>236</v>
      </c>
      <c r="F237" s="9">
        <v>284</v>
      </c>
      <c r="G237" s="10" t="str">
        <f>IF(I237="unit",VLOOKUP(F237,[2]characters!$A:$C,3,FALSE),"-")</f>
        <v>フェルニゲシュ</v>
      </c>
      <c r="H237" s="9">
        <v>250</v>
      </c>
      <c r="I237" s="9" t="s">
        <v>36</v>
      </c>
      <c r="J237" s="9">
        <v>1</v>
      </c>
      <c r="K237" s="9">
        <v>1</v>
      </c>
      <c r="L237" s="9">
        <v>1</v>
      </c>
      <c r="M237" s="9">
        <v>0</v>
      </c>
      <c r="N237" s="9">
        <v>0</v>
      </c>
      <c r="O237" s="9">
        <v>0</v>
      </c>
      <c r="P237" s="9">
        <v>0</v>
      </c>
      <c r="Q237" s="9">
        <v>1</v>
      </c>
      <c r="R237" s="9" t="s">
        <v>27</v>
      </c>
      <c r="S237" s="9" t="s">
        <v>28</v>
      </c>
    </row>
    <row r="238" spans="1:19" x14ac:dyDescent="0.15">
      <c r="A238" s="9">
        <v>20008</v>
      </c>
      <c r="B238" s="9">
        <v>2</v>
      </c>
      <c r="C238" s="9" t="str">
        <f t="shared" si="27"/>
        <v>20008_2</v>
      </c>
      <c r="D238" s="9" t="str">
        <f>VLOOKUP(C238,[1]stages!$A:$AE,31,FALSE)</f>
        <v>everyone</v>
      </c>
      <c r="E238" s="9">
        <v>237</v>
      </c>
      <c r="F238" s="9">
        <v>354</v>
      </c>
      <c r="G238" s="10" t="str">
        <f>IF(I238="unit",VLOOKUP(F238,[2]characters!$A:$C,3,FALSE),"-")</f>
        <v>雷のケロケロ</v>
      </c>
      <c r="H238" s="9">
        <v>100</v>
      </c>
      <c r="I238" s="9" t="s">
        <v>36</v>
      </c>
      <c r="J238" s="9">
        <v>1</v>
      </c>
      <c r="K238" s="9">
        <v>1</v>
      </c>
      <c r="L238" s="9">
        <v>1</v>
      </c>
      <c r="M238" s="9">
        <v>0</v>
      </c>
      <c r="N238" s="9">
        <v>0</v>
      </c>
      <c r="O238" s="9">
        <v>0</v>
      </c>
      <c r="P238" s="9">
        <v>0</v>
      </c>
      <c r="Q238" s="9">
        <v>1</v>
      </c>
      <c r="R238" s="9" t="s">
        <v>27</v>
      </c>
      <c r="S238" s="9" t="s">
        <v>28</v>
      </c>
    </row>
    <row r="239" spans="1:19" x14ac:dyDescent="0.15">
      <c r="A239" s="9">
        <v>20008</v>
      </c>
      <c r="B239" s="9">
        <v>3</v>
      </c>
      <c r="C239" s="9" t="str">
        <f>A239&amp; "_"&amp;B239</f>
        <v>20008_3</v>
      </c>
      <c r="D239" s="9" t="str">
        <f>VLOOKUP(C239,[1]stages!$A:$AE,31,FALSE)</f>
        <v>everyone</v>
      </c>
      <c r="E239" s="9">
        <v>238</v>
      </c>
      <c r="F239" s="9">
        <v>5000</v>
      </c>
      <c r="G239" s="10" t="str">
        <f>IF(I239="unit",VLOOKUP(F239,[2]characters!$A:$C,3,FALSE),"-")</f>
        <v>-</v>
      </c>
      <c r="H239" s="9">
        <v>100</v>
      </c>
      <c r="I239" s="9" t="s">
        <v>32</v>
      </c>
      <c r="J239" s="9" t="s">
        <v>33</v>
      </c>
      <c r="K239" s="9">
        <v>1</v>
      </c>
      <c r="L239" s="9">
        <v>1</v>
      </c>
      <c r="M239" s="9">
        <v>0</v>
      </c>
      <c r="N239" s="9">
        <v>0</v>
      </c>
      <c r="O239" s="9">
        <v>0</v>
      </c>
      <c r="P239" s="9">
        <v>0</v>
      </c>
      <c r="Q239" s="9">
        <v>1</v>
      </c>
      <c r="R239" s="9" t="s">
        <v>27</v>
      </c>
      <c r="S239" s="9" t="s">
        <v>28</v>
      </c>
    </row>
    <row r="240" spans="1:19" x14ac:dyDescent="0.15">
      <c r="A240" s="9">
        <v>20008</v>
      </c>
      <c r="B240" s="9">
        <v>3</v>
      </c>
      <c r="C240" s="9" t="str">
        <f t="shared" ref="C240:C249" si="28">A240&amp; "_"&amp;B240</f>
        <v>20008_3</v>
      </c>
      <c r="D240" s="9" t="str">
        <f>VLOOKUP(C240,[1]stages!$A:$AE,31,FALSE)</f>
        <v>everyone</v>
      </c>
      <c r="E240" s="9">
        <v>239</v>
      </c>
      <c r="F240" s="9">
        <v>25</v>
      </c>
      <c r="G240" s="10" t="str">
        <f>IF(I240="unit",VLOOKUP(F240,[2]characters!$A:$C,3,FALSE),"-")</f>
        <v>-</v>
      </c>
      <c r="H240" s="9">
        <v>100</v>
      </c>
      <c r="I240" s="9" t="s">
        <v>35</v>
      </c>
      <c r="J240" s="9" t="s">
        <v>33</v>
      </c>
      <c r="K240" s="9">
        <v>1</v>
      </c>
      <c r="L240" s="9">
        <v>1</v>
      </c>
      <c r="M240" s="9">
        <v>0</v>
      </c>
      <c r="N240" s="9">
        <v>0</v>
      </c>
      <c r="O240" s="9">
        <v>0</v>
      </c>
      <c r="P240" s="9">
        <v>0</v>
      </c>
      <c r="Q240" s="9">
        <v>1</v>
      </c>
      <c r="R240" s="9" t="s">
        <v>27</v>
      </c>
      <c r="S240" s="9" t="s">
        <v>28</v>
      </c>
    </row>
    <row r="241" spans="1:19" x14ac:dyDescent="0.15">
      <c r="A241" s="9">
        <v>20008</v>
      </c>
      <c r="B241" s="9">
        <v>3</v>
      </c>
      <c r="C241" s="9" t="str">
        <f t="shared" si="28"/>
        <v>20008_3</v>
      </c>
      <c r="D241" s="9" t="str">
        <f>VLOOKUP(C241,[1]stages!$A:$AE,31,FALSE)</f>
        <v>everyone</v>
      </c>
      <c r="E241" s="9">
        <v>240</v>
      </c>
      <c r="F241" s="9">
        <v>344</v>
      </c>
      <c r="G241" s="10" t="str">
        <f>IF(I241="unit",VLOOKUP(F241,[2]characters!$A:$C,3,FALSE),"-")</f>
        <v>雷のメタルピヨピヨ</v>
      </c>
      <c r="H241" s="9">
        <v>56</v>
      </c>
      <c r="I241" s="9" t="s">
        <v>36</v>
      </c>
      <c r="J241" s="9">
        <v>1</v>
      </c>
      <c r="K241" s="9">
        <v>1</v>
      </c>
      <c r="L241" s="9">
        <v>1</v>
      </c>
      <c r="M241" s="9">
        <v>0</v>
      </c>
      <c r="N241" s="9">
        <v>0</v>
      </c>
      <c r="O241" s="9">
        <v>0</v>
      </c>
      <c r="P241" s="9">
        <v>0</v>
      </c>
      <c r="Q241" s="9">
        <v>1</v>
      </c>
      <c r="R241" s="9" t="s">
        <v>27</v>
      </c>
      <c r="S241" s="9" t="s">
        <v>28</v>
      </c>
    </row>
    <row r="242" spans="1:19" x14ac:dyDescent="0.15">
      <c r="A242" s="9">
        <v>20008</v>
      </c>
      <c r="B242" s="9">
        <v>3</v>
      </c>
      <c r="C242" s="9" t="str">
        <f t="shared" si="28"/>
        <v>20008_3</v>
      </c>
      <c r="D242" s="9" t="str">
        <f>VLOOKUP(C242,[1]stages!$A:$AE,31,FALSE)</f>
        <v>everyone</v>
      </c>
      <c r="E242" s="9">
        <v>241</v>
      </c>
      <c r="F242" s="9">
        <v>345</v>
      </c>
      <c r="G242" s="10" t="str">
        <f>IF(I242="unit",VLOOKUP(F242,[2]characters!$A:$C,3,FALSE),"-")</f>
        <v>雷のメタルチック</v>
      </c>
      <c r="H242" s="9">
        <v>56</v>
      </c>
      <c r="I242" s="9" t="s">
        <v>36</v>
      </c>
      <c r="J242" s="9">
        <v>1</v>
      </c>
      <c r="K242" s="9">
        <v>1</v>
      </c>
      <c r="L242" s="9">
        <v>1</v>
      </c>
      <c r="M242" s="9">
        <v>0</v>
      </c>
      <c r="N242" s="9">
        <v>0</v>
      </c>
      <c r="O242" s="9">
        <v>0</v>
      </c>
      <c r="P242" s="9">
        <v>0</v>
      </c>
      <c r="Q242" s="9">
        <v>1</v>
      </c>
      <c r="R242" s="9" t="s">
        <v>27</v>
      </c>
      <c r="S242" s="9" t="s">
        <v>28</v>
      </c>
    </row>
    <row r="243" spans="1:19" x14ac:dyDescent="0.15">
      <c r="A243" s="9">
        <v>20008</v>
      </c>
      <c r="B243" s="9">
        <v>3</v>
      </c>
      <c r="C243" s="9" t="str">
        <f t="shared" si="28"/>
        <v>20008_3</v>
      </c>
      <c r="D243" s="9" t="str">
        <f>VLOOKUP(C243,[1]stages!$A:$AE,31,FALSE)</f>
        <v>everyone</v>
      </c>
      <c r="E243" s="9">
        <v>242</v>
      </c>
      <c r="F243" s="9">
        <v>346</v>
      </c>
      <c r="G243" s="10" t="str">
        <f>IF(I243="unit",VLOOKUP(F243,[2]characters!$A:$C,3,FALSE),"-")</f>
        <v>雷のメタルダック</v>
      </c>
      <c r="H243" s="9">
        <v>28</v>
      </c>
      <c r="I243" s="9" t="s">
        <v>36</v>
      </c>
      <c r="J243" s="9">
        <v>1</v>
      </c>
      <c r="K243" s="9">
        <v>1</v>
      </c>
      <c r="L243" s="9">
        <v>1</v>
      </c>
      <c r="M243" s="9">
        <v>0</v>
      </c>
      <c r="N243" s="9">
        <v>0</v>
      </c>
      <c r="O243" s="9">
        <v>0</v>
      </c>
      <c r="P243" s="9">
        <v>0</v>
      </c>
      <c r="Q243" s="9">
        <v>1</v>
      </c>
      <c r="R243" s="9" t="s">
        <v>27</v>
      </c>
      <c r="S243" s="9" t="s">
        <v>28</v>
      </c>
    </row>
    <row r="244" spans="1:19" x14ac:dyDescent="0.15">
      <c r="A244" s="9">
        <v>20008</v>
      </c>
      <c r="B244" s="9">
        <v>3</v>
      </c>
      <c r="C244" s="9" t="str">
        <f t="shared" si="28"/>
        <v>20008_3</v>
      </c>
      <c r="D244" s="9" t="str">
        <f>VLOOKUP(C244,[1]stages!$A:$AE,31,FALSE)</f>
        <v>everyone</v>
      </c>
      <c r="E244" s="9">
        <v>243</v>
      </c>
      <c r="F244" s="9">
        <v>121</v>
      </c>
      <c r="G244" s="10" t="str">
        <f>IF(I244="unit",VLOOKUP(F244,[2]characters!$A:$C,3,FALSE),"-")</f>
        <v>攻めの果実</v>
      </c>
      <c r="H244" s="9">
        <v>50</v>
      </c>
      <c r="I244" s="9" t="s">
        <v>36</v>
      </c>
      <c r="J244" s="9">
        <v>1</v>
      </c>
      <c r="K244" s="9">
        <v>1</v>
      </c>
      <c r="L244" s="9">
        <v>1</v>
      </c>
      <c r="M244" s="9">
        <v>0</v>
      </c>
      <c r="N244" s="9">
        <v>0</v>
      </c>
      <c r="O244" s="9">
        <v>0</v>
      </c>
      <c r="P244" s="9">
        <v>0</v>
      </c>
      <c r="Q244" s="9">
        <v>1</v>
      </c>
      <c r="R244" s="9" t="s">
        <v>27</v>
      </c>
      <c r="S244" s="9" t="s">
        <v>28</v>
      </c>
    </row>
    <row r="245" spans="1:19" x14ac:dyDescent="0.15">
      <c r="A245" s="9">
        <v>20008</v>
      </c>
      <c r="B245" s="9">
        <v>3</v>
      </c>
      <c r="C245" s="9" t="str">
        <f t="shared" si="28"/>
        <v>20008_3</v>
      </c>
      <c r="D245" s="9" t="str">
        <f>VLOOKUP(C245,[1]stages!$A:$AE,31,FALSE)</f>
        <v>everyone</v>
      </c>
      <c r="E245" s="9">
        <v>244</v>
      </c>
      <c r="F245" s="9">
        <v>122</v>
      </c>
      <c r="G245" s="10" t="str">
        <f>IF(I245="unit",VLOOKUP(F245,[2]characters!$A:$C,3,FALSE),"-")</f>
        <v>生命の果実</v>
      </c>
      <c r="H245" s="9">
        <v>50</v>
      </c>
      <c r="I245" s="9" t="s">
        <v>36</v>
      </c>
      <c r="J245" s="9">
        <v>1</v>
      </c>
      <c r="K245" s="9">
        <v>1</v>
      </c>
      <c r="L245" s="9">
        <v>1</v>
      </c>
      <c r="M245" s="9">
        <v>0</v>
      </c>
      <c r="N245" s="9">
        <v>0</v>
      </c>
      <c r="O245" s="9">
        <v>0</v>
      </c>
      <c r="P245" s="9">
        <v>0</v>
      </c>
      <c r="Q245" s="9">
        <v>1</v>
      </c>
      <c r="R245" s="9" t="s">
        <v>27</v>
      </c>
      <c r="S245" s="9" t="s">
        <v>28</v>
      </c>
    </row>
    <row r="246" spans="1:19" x14ac:dyDescent="0.15">
      <c r="A246" s="9">
        <v>20008</v>
      </c>
      <c r="B246" s="9">
        <v>3</v>
      </c>
      <c r="C246" s="9" t="str">
        <f t="shared" si="28"/>
        <v>20008_3</v>
      </c>
      <c r="D246" s="9" t="str">
        <f>VLOOKUP(C246,[1]stages!$A:$AE,31,FALSE)</f>
        <v>everyone</v>
      </c>
      <c r="E246" s="9">
        <v>245</v>
      </c>
      <c r="F246" s="9">
        <v>123</v>
      </c>
      <c r="G246" s="10" t="str">
        <f>IF(I246="unit",VLOOKUP(F246,[2]characters!$A:$C,3,FALSE),"-")</f>
        <v>癒しの果実</v>
      </c>
      <c r="H246" s="9">
        <v>50</v>
      </c>
      <c r="I246" s="9" t="s">
        <v>36</v>
      </c>
      <c r="J246" s="9">
        <v>1</v>
      </c>
      <c r="K246" s="9">
        <v>1</v>
      </c>
      <c r="L246" s="9">
        <v>1</v>
      </c>
      <c r="M246" s="9">
        <v>0</v>
      </c>
      <c r="N246" s="9">
        <v>0</v>
      </c>
      <c r="O246" s="9">
        <v>0</v>
      </c>
      <c r="P246" s="9">
        <v>0</v>
      </c>
      <c r="Q246" s="9">
        <v>1</v>
      </c>
      <c r="R246" s="9" t="s">
        <v>27</v>
      </c>
      <c r="S246" s="9" t="s">
        <v>28</v>
      </c>
    </row>
    <row r="247" spans="1:19" x14ac:dyDescent="0.15">
      <c r="A247" s="9">
        <v>20008</v>
      </c>
      <c r="B247" s="9">
        <v>3</v>
      </c>
      <c r="C247" s="9" t="str">
        <f t="shared" si="28"/>
        <v>20008_3</v>
      </c>
      <c r="D247" s="9" t="str">
        <f>VLOOKUP(C247,[1]stages!$A:$AE,31,FALSE)</f>
        <v>everyone</v>
      </c>
      <c r="E247" s="9">
        <v>246</v>
      </c>
      <c r="F247" s="9">
        <v>125</v>
      </c>
      <c r="G247" s="10" t="str">
        <f>IF(I247="unit",VLOOKUP(F247,[2]characters!$A:$C,3,FALSE),"-")</f>
        <v>秘術の果実</v>
      </c>
      <c r="H247" s="9">
        <v>10</v>
      </c>
      <c r="I247" s="9" t="s">
        <v>36</v>
      </c>
      <c r="J247" s="9">
        <v>1</v>
      </c>
      <c r="K247" s="9">
        <v>1</v>
      </c>
      <c r="L247" s="9">
        <v>1</v>
      </c>
      <c r="M247" s="9">
        <v>0</v>
      </c>
      <c r="N247" s="9">
        <v>0</v>
      </c>
      <c r="O247" s="9">
        <v>0</v>
      </c>
      <c r="P247" s="9">
        <v>0</v>
      </c>
      <c r="Q247" s="9">
        <v>1</v>
      </c>
      <c r="R247" s="9" t="s">
        <v>27</v>
      </c>
      <c r="S247" s="9" t="s">
        <v>28</v>
      </c>
    </row>
    <row r="248" spans="1:19" x14ac:dyDescent="0.15">
      <c r="A248" s="9">
        <v>20008</v>
      </c>
      <c r="B248" s="9">
        <v>3</v>
      </c>
      <c r="C248" s="9" t="str">
        <f t="shared" si="28"/>
        <v>20008_3</v>
      </c>
      <c r="D248" s="9" t="str">
        <f>VLOOKUP(C248,[1]stages!$A:$AE,31,FALSE)</f>
        <v>everyone</v>
      </c>
      <c r="E248" s="9">
        <v>247</v>
      </c>
      <c r="F248" s="9">
        <v>284</v>
      </c>
      <c r="G248" s="10" t="str">
        <f>IF(I248="unit",VLOOKUP(F248,[2]characters!$A:$C,3,FALSE),"-")</f>
        <v>フェルニゲシュ</v>
      </c>
      <c r="H248" s="9">
        <v>400</v>
      </c>
      <c r="I248" s="9" t="s">
        <v>36</v>
      </c>
      <c r="J248" s="9">
        <v>1</v>
      </c>
      <c r="K248" s="9">
        <v>1</v>
      </c>
      <c r="L248" s="9">
        <v>1</v>
      </c>
      <c r="M248" s="9">
        <v>0</v>
      </c>
      <c r="N248" s="9">
        <v>0</v>
      </c>
      <c r="O248" s="9">
        <v>0</v>
      </c>
      <c r="P248" s="9">
        <v>0</v>
      </c>
      <c r="Q248" s="9">
        <v>1</v>
      </c>
      <c r="R248" s="9" t="s">
        <v>27</v>
      </c>
      <c r="S248" s="9" t="s">
        <v>28</v>
      </c>
    </row>
    <row r="249" spans="1:19" x14ac:dyDescent="0.15">
      <c r="A249" s="9">
        <v>20008</v>
      </c>
      <c r="B249" s="9">
        <v>3</v>
      </c>
      <c r="C249" s="9" t="str">
        <f t="shared" si="28"/>
        <v>20008_3</v>
      </c>
      <c r="D249" s="9" t="str">
        <f>VLOOKUP(C249,[1]stages!$A:$AE,31,FALSE)</f>
        <v>everyone</v>
      </c>
      <c r="E249" s="9">
        <v>248</v>
      </c>
      <c r="F249" s="9">
        <v>354</v>
      </c>
      <c r="G249" s="10" t="str">
        <f>IF(I249="unit",VLOOKUP(F249,[2]characters!$A:$C,3,FALSE),"-")</f>
        <v>雷のケロケロ</v>
      </c>
      <c r="H249" s="9">
        <v>100</v>
      </c>
      <c r="I249" s="9" t="s">
        <v>36</v>
      </c>
      <c r="J249" s="9">
        <v>1</v>
      </c>
      <c r="K249" s="9">
        <v>1</v>
      </c>
      <c r="L249" s="9">
        <v>1</v>
      </c>
      <c r="M249" s="9">
        <v>0</v>
      </c>
      <c r="N249" s="9">
        <v>0</v>
      </c>
      <c r="O249" s="9">
        <v>0</v>
      </c>
      <c r="P249" s="9">
        <v>0</v>
      </c>
      <c r="Q249" s="9">
        <v>1</v>
      </c>
      <c r="R249" s="9" t="s">
        <v>27</v>
      </c>
      <c r="S249" s="9" t="s">
        <v>28</v>
      </c>
    </row>
    <row r="250" spans="1:19" x14ac:dyDescent="0.15">
      <c r="A250" s="12">
        <v>20009</v>
      </c>
      <c r="B250" s="12">
        <v>2</v>
      </c>
      <c r="C250" s="12" t="str">
        <f>A250&amp; "_"&amp;B250</f>
        <v>20009_2</v>
      </c>
      <c r="D250" s="12" t="str">
        <f>VLOOKUP(C250,[1]stages!$A:$AE,31,FALSE)</f>
        <v>everyone</v>
      </c>
      <c r="E250" s="12">
        <v>249</v>
      </c>
      <c r="F250" s="12">
        <v>3200</v>
      </c>
      <c r="G250" s="10" t="str">
        <f>IF(I250="unit",VLOOKUP(F250,[2]characters!$A:$C,3,FALSE),"-")</f>
        <v>-</v>
      </c>
      <c r="H250" s="12">
        <v>200</v>
      </c>
      <c r="I250" s="12" t="s">
        <v>32</v>
      </c>
      <c r="J250" s="12" t="s">
        <v>33</v>
      </c>
      <c r="K250" s="12">
        <v>1</v>
      </c>
      <c r="L250" s="12">
        <v>1</v>
      </c>
      <c r="M250" s="12">
        <v>0</v>
      </c>
      <c r="N250" s="12">
        <v>0</v>
      </c>
      <c r="O250" s="12">
        <v>0</v>
      </c>
      <c r="P250" s="12">
        <v>0</v>
      </c>
      <c r="Q250" s="12">
        <v>1</v>
      </c>
      <c r="R250" s="12" t="s">
        <v>27</v>
      </c>
      <c r="S250" s="12" t="s">
        <v>28</v>
      </c>
    </row>
    <row r="251" spans="1:19" x14ac:dyDescent="0.15">
      <c r="A251" s="12">
        <v>20009</v>
      </c>
      <c r="B251" s="12">
        <v>2</v>
      </c>
      <c r="C251" s="12" t="str">
        <f t="shared" ref="C251:C259" si="29">A251&amp; "_"&amp;B251</f>
        <v>20009_2</v>
      </c>
      <c r="D251" s="12" t="str">
        <f>VLOOKUP(C251,[1]stages!$A:$AE,31,FALSE)</f>
        <v>everyone</v>
      </c>
      <c r="E251" s="12">
        <v>250</v>
      </c>
      <c r="F251" s="12">
        <v>20</v>
      </c>
      <c r="G251" s="10" t="str">
        <f>IF(I251="unit",VLOOKUP(F251,[2]characters!$A:$C,3,FALSE),"-")</f>
        <v>-</v>
      </c>
      <c r="H251" s="12">
        <v>150</v>
      </c>
      <c r="I251" s="12" t="s">
        <v>35</v>
      </c>
      <c r="J251" s="12" t="s">
        <v>33</v>
      </c>
      <c r="K251" s="12">
        <v>1</v>
      </c>
      <c r="L251" s="12">
        <v>1</v>
      </c>
      <c r="M251" s="12">
        <v>0</v>
      </c>
      <c r="N251" s="12">
        <v>0</v>
      </c>
      <c r="O251" s="12">
        <v>0</v>
      </c>
      <c r="P251" s="12">
        <v>0</v>
      </c>
      <c r="Q251" s="12">
        <v>1</v>
      </c>
      <c r="R251" s="12" t="s">
        <v>27</v>
      </c>
      <c r="S251" s="12" t="s">
        <v>28</v>
      </c>
    </row>
    <row r="252" spans="1:19" x14ac:dyDescent="0.15">
      <c r="A252" s="12">
        <v>20009</v>
      </c>
      <c r="B252" s="12">
        <v>2</v>
      </c>
      <c r="C252" s="12" t="str">
        <f t="shared" si="29"/>
        <v>20009_2</v>
      </c>
      <c r="D252" s="12" t="str">
        <f>VLOOKUP(C252,[1]stages!$A:$AE,31,FALSE)</f>
        <v>everyone</v>
      </c>
      <c r="E252" s="12">
        <v>251</v>
      </c>
      <c r="F252" s="12">
        <v>340</v>
      </c>
      <c r="G252" s="10" t="str">
        <f>IF(I252="unit",VLOOKUP(F252,[2]characters!$A:$C,3,FALSE),"-")</f>
        <v>水のメタルピヨピヨ</v>
      </c>
      <c r="H252" s="12">
        <v>70</v>
      </c>
      <c r="I252" s="12" t="s">
        <v>36</v>
      </c>
      <c r="J252" s="12">
        <v>1</v>
      </c>
      <c r="K252" s="12">
        <v>1</v>
      </c>
      <c r="L252" s="12">
        <v>1</v>
      </c>
      <c r="M252" s="12">
        <v>0</v>
      </c>
      <c r="N252" s="12">
        <v>0</v>
      </c>
      <c r="O252" s="12">
        <v>0</v>
      </c>
      <c r="P252" s="12">
        <v>0</v>
      </c>
      <c r="Q252" s="12">
        <v>1</v>
      </c>
      <c r="R252" s="12" t="s">
        <v>27</v>
      </c>
      <c r="S252" s="12" t="s">
        <v>28</v>
      </c>
    </row>
    <row r="253" spans="1:19" x14ac:dyDescent="0.15">
      <c r="A253" s="12">
        <v>20009</v>
      </c>
      <c r="B253" s="12">
        <v>2</v>
      </c>
      <c r="C253" s="12" t="str">
        <f t="shared" si="29"/>
        <v>20009_2</v>
      </c>
      <c r="D253" s="12" t="str">
        <f>VLOOKUP(C253,[1]stages!$A:$AE,31,FALSE)</f>
        <v>everyone</v>
      </c>
      <c r="E253" s="12">
        <v>252</v>
      </c>
      <c r="F253" s="12">
        <v>341</v>
      </c>
      <c r="G253" s="10" t="str">
        <f>IF(I253="unit",VLOOKUP(F253,[2]characters!$A:$C,3,FALSE),"-")</f>
        <v>水のメタルチック</v>
      </c>
      <c r="H253" s="12">
        <v>70</v>
      </c>
      <c r="I253" s="12" t="s">
        <v>36</v>
      </c>
      <c r="J253" s="12">
        <v>1</v>
      </c>
      <c r="K253" s="12">
        <v>1</v>
      </c>
      <c r="L253" s="12">
        <v>1</v>
      </c>
      <c r="M253" s="12">
        <v>0</v>
      </c>
      <c r="N253" s="12">
        <v>0</v>
      </c>
      <c r="O253" s="12">
        <v>0</v>
      </c>
      <c r="P253" s="12">
        <v>0</v>
      </c>
      <c r="Q253" s="12">
        <v>1</v>
      </c>
      <c r="R253" s="12" t="s">
        <v>27</v>
      </c>
      <c r="S253" s="12" t="s">
        <v>28</v>
      </c>
    </row>
    <row r="254" spans="1:19" x14ac:dyDescent="0.15">
      <c r="A254" s="12">
        <v>20009</v>
      </c>
      <c r="B254" s="12">
        <v>2</v>
      </c>
      <c r="C254" s="12" t="str">
        <f t="shared" si="29"/>
        <v>20009_2</v>
      </c>
      <c r="D254" s="12" t="str">
        <f>VLOOKUP(C254,[1]stages!$A:$AE,31,FALSE)</f>
        <v>everyone</v>
      </c>
      <c r="E254" s="12">
        <v>253</v>
      </c>
      <c r="F254" s="12">
        <v>121</v>
      </c>
      <c r="G254" s="10" t="str">
        <f>IF(I254="unit",VLOOKUP(F254,[2]characters!$A:$C,3,FALSE),"-")</f>
        <v>攻めの果実</v>
      </c>
      <c r="H254" s="12">
        <v>50</v>
      </c>
      <c r="I254" s="12" t="s">
        <v>36</v>
      </c>
      <c r="J254" s="12">
        <v>1</v>
      </c>
      <c r="K254" s="12">
        <v>1</v>
      </c>
      <c r="L254" s="12">
        <v>1</v>
      </c>
      <c r="M254" s="12">
        <v>0</v>
      </c>
      <c r="N254" s="12">
        <v>0</v>
      </c>
      <c r="O254" s="12">
        <v>0</v>
      </c>
      <c r="P254" s="12">
        <v>0</v>
      </c>
      <c r="Q254" s="12">
        <v>1</v>
      </c>
      <c r="R254" s="12" t="s">
        <v>27</v>
      </c>
      <c r="S254" s="12" t="s">
        <v>28</v>
      </c>
    </row>
    <row r="255" spans="1:19" x14ac:dyDescent="0.15">
      <c r="A255" s="12">
        <v>20009</v>
      </c>
      <c r="B255" s="12">
        <v>2</v>
      </c>
      <c r="C255" s="12" t="str">
        <f t="shared" si="29"/>
        <v>20009_2</v>
      </c>
      <c r="D255" s="12" t="str">
        <f>VLOOKUP(C255,[1]stages!$A:$AE,31,FALSE)</f>
        <v>everyone</v>
      </c>
      <c r="E255" s="12">
        <v>254</v>
      </c>
      <c r="F255" s="12">
        <v>122</v>
      </c>
      <c r="G255" s="10" t="str">
        <f>IF(I255="unit",VLOOKUP(F255,[2]characters!$A:$C,3,FALSE),"-")</f>
        <v>生命の果実</v>
      </c>
      <c r="H255" s="12">
        <v>50</v>
      </c>
      <c r="I255" s="12" t="s">
        <v>36</v>
      </c>
      <c r="J255" s="12">
        <v>1</v>
      </c>
      <c r="K255" s="12">
        <v>1</v>
      </c>
      <c r="L255" s="12">
        <v>1</v>
      </c>
      <c r="M255" s="12">
        <v>0</v>
      </c>
      <c r="N255" s="12">
        <v>0</v>
      </c>
      <c r="O255" s="12">
        <v>0</v>
      </c>
      <c r="P255" s="12">
        <v>0</v>
      </c>
      <c r="Q255" s="12">
        <v>1</v>
      </c>
      <c r="R255" s="12" t="s">
        <v>27</v>
      </c>
      <c r="S255" s="12" t="s">
        <v>28</v>
      </c>
    </row>
    <row r="256" spans="1:19" x14ac:dyDescent="0.15">
      <c r="A256" s="12">
        <v>20009</v>
      </c>
      <c r="B256" s="12">
        <v>2</v>
      </c>
      <c r="C256" s="12" t="str">
        <f t="shared" si="29"/>
        <v>20009_2</v>
      </c>
      <c r="D256" s="12" t="str">
        <f>VLOOKUP(C256,[1]stages!$A:$AE,31,FALSE)</f>
        <v>everyone</v>
      </c>
      <c r="E256" s="12">
        <v>255</v>
      </c>
      <c r="F256" s="12">
        <v>123</v>
      </c>
      <c r="G256" s="10" t="str">
        <f>IF(I256="unit",VLOOKUP(F256,[2]characters!$A:$C,3,FALSE),"-")</f>
        <v>癒しの果実</v>
      </c>
      <c r="H256" s="12">
        <v>50</v>
      </c>
      <c r="I256" s="12" t="s">
        <v>36</v>
      </c>
      <c r="J256" s="12">
        <v>1</v>
      </c>
      <c r="K256" s="12">
        <v>1</v>
      </c>
      <c r="L256" s="12">
        <v>1</v>
      </c>
      <c r="M256" s="12">
        <v>0</v>
      </c>
      <c r="N256" s="12">
        <v>0</v>
      </c>
      <c r="O256" s="12">
        <v>0</v>
      </c>
      <c r="P256" s="12">
        <v>0</v>
      </c>
      <c r="Q256" s="12">
        <v>1</v>
      </c>
      <c r="R256" s="12" t="s">
        <v>27</v>
      </c>
      <c r="S256" s="12" t="s">
        <v>28</v>
      </c>
    </row>
    <row r="257" spans="1:19" x14ac:dyDescent="0.15">
      <c r="A257" s="12">
        <v>20009</v>
      </c>
      <c r="B257" s="12">
        <v>2</v>
      </c>
      <c r="C257" s="12" t="str">
        <f t="shared" si="29"/>
        <v>20009_2</v>
      </c>
      <c r="D257" s="12" t="str">
        <f>VLOOKUP(C257,[1]stages!$A:$AE,31,FALSE)</f>
        <v>everyone</v>
      </c>
      <c r="E257" s="12">
        <v>256</v>
      </c>
      <c r="F257" s="12">
        <v>125</v>
      </c>
      <c r="G257" s="10" t="str">
        <f>IF(I257="unit",VLOOKUP(F257,[2]characters!$A:$C,3,FALSE),"-")</f>
        <v>秘術の果実</v>
      </c>
      <c r="H257" s="12">
        <v>10</v>
      </c>
      <c r="I257" s="12" t="s">
        <v>36</v>
      </c>
      <c r="J257" s="12">
        <v>1</v>
      </c>
      <c r="K257" s="12">
        <v>1</v>
      </c>
      <c r="L257" s="12">
        <v>1</v>
      </c>
      <c r="M257" s="12">
        <v>0</v>
      </c>
      <c r="N257" s="12">
        <v>0</v>
      </c>
      <c r="O257" s="12">
        <v>0</v>
      </c>
      <c r="P257" s="12">
        <v>0</v>
      </c>
      <c r="Q257" s="12">
        <v>1</v>
      </c>
      <c r="R257" s="12" t="s">
        <v>27</v>
      </c>
      <c r="S257" s="12" t="s">
        <v>28</v>
      </c>
    </row>
    <row r="258" spans="1:19" x14ac:dyDescent="0.15">
      <c r="A258" s="12">
        <v>20009</v>
      </c>
      <c r="B258" s="12">
        <v>2</v>
      </c>
      <c r="C258" s="12" t="str">
        <f t="shared" si="29"/>
        <v>20009_2</v>
      </c>
      <c r="D258" s="12" t="str">
        <f>VLOOKUP(C258,[1]stages!$A:$AE,31,FALSE)</f>
        <v>everyone</v>
      </c>
      <c r="E258" s="12">
        <v>257</v>
      </c>
      <c r="F258" s="12">
        <v>302</v>
      </c>
      <c r="G258" s="10" t="str">
        <f>IF(I258="unit",VLOOKUP(F258,[2]characters!$A:$C,3,FALSE),"-")</f>
        <v>絞殺のリサ</v>
      </c>
      <c r="H258" s="12">
        <v>250</v>
      </c>
      <c r="I258" s="12" t="s">
        <v>36</v>
      </c>
      <c r="J258" s="12">
        <v>1</v>
      </c>
      <c r="K258" s="12">
        <v>1</v>
      </c>
      <c r="L258" s="12">
        <v>1</v>
      </c>
      <c r="M258" s="12">
        <v>0</v>
      </c>
      <c r="N258" s="12">
        <v>0</v>
      </c>
      <c r="O258" s="12">
        <v>0</v>
      </c>
      <c r="P258" s="12">
        <v>0</v>
      </c>
      <c r="Q258" s="12">
        <v>1</v>
      </c>
      <c r="R258" s="12" t="s">
        <v>27</v>
      </c>
      <c r="S258" s="12" t="s">
        <v>28</v>
      </c>
    </row>
    <row r="259" spans="1:19" x14ac:dyDescent="0.15">
      <c r="A259" s="12">
        <v>20009</v>
      </c>
      <c r="B259" s="12">
        <v>2</v>
      </c>
      <c r="C259" s="12" t="str">
        <f t="shared" si="29"/>
        <v>20009_2</v>
      </c>
      <c r="D259" s="12" t="str">
        <f>VLOOKUP(C259,[1]stages!$A:$AE,31,FALSE)</f>
        <v>everyone</v>
      </c>
      <c r="E259" s="12">
        <v>258</v>
      </c>
      <c r="F259" s="12">
        <v>352</v>
      </c>
      <c r="G259" s="10" t="str">
        <f>IF(I259="unit",VLOOKUP(F259,[2]characters!$A:$C,3,FALSE),"-")</f>
        <v>水のケロケロ</v>
      </c>
      <c r="H259" s="12">
        <v>100</v>
      </c>
      <c r="I259" s="12" t="s">
        <v>36</v>
      </c>
      <c r="J259" s="12">
        <v>1</v>
      </c>
      <c r="K259" s="12">
        <v>1</v>
      </c>
      <c r="L259" s="12">
        <v>1</v>
      </c>
      <c r="M259" s="12">
        <v>0</v>
      </c>
      <c r="N259" s="12">
        <v>0</v>
      </c>
      <c r="O259" s="12">
        <v>0</v>
      </c>
      <c r="P259" s="12">
        <v>0</v>
      </c>
      <c r="Q259" s="12">
        <v>1</v>
      </c>
      <c r="R259" s="12" t="s">
        <v>27</v>
      </c>
      <c r="S259" s="12" t="s">
        <v>28</v>
      </c>
    </row>
    <row r="260" spans="1:19" x14ac:dyDescent="0.15">
      <c r="A260" s="12">
        <v>20009</v>
      </c>
      <c r="B260" s="12">
        <v>3</v>
      </c>
      <c r="C260" s="12" t="str">
        <f>A260&amp; "_"&amp;B260</f>
        <v>20009_3</v>
      </c>
      <c r="D260" s="12" t="str">
        <f>VLOOKUP(C260,[1]stages!$A:$AE,31,FALSE)</f>
        <v>everyone</v>
      </c>
      <c r="E260" s="12">
        <v>259</v>
      </c>
      <c r="F260" s="12">
        <v>5000</v>
      </c>
      <c r="G260" s="10" t="str">
        <f>IF(I260="unit",VLOOKUP(F260,[2]characters!$A:$C,3,FALSE),"-")</f>
        <v>-</v>
      </c>
      <c r="H260" s="12">
        <v>100</v>
      </c>
      <c r="I260" s="12" t="s">
        <v>32</v>
      </c>
      <c r="J260" s="12" t="s">
        <v>33</v>
      </c>
      <c r="K260" s="12">
        <v>1</v>
      </c>
      <c r="L260" s="12">
        <v>1</v>
      </c>
      <c r="M260" s="12">
        <v>0</v>
      </c>
      <c r="N260" s="12">
        <v>0</v>
      </c>
      <c r="O260" s="12">
        <v>0</v>
      </c>
      <c r="P260" s="12">
        <v>0</v>
      </c>
      <c r="Q260" s="12">
        <v>1</v>
      </c>
      <c r="R260" s="12" t="s">
        <v>27</v>
      </c>
      <c r="S260" s="12" t="s">
        <v>28</v>
      </c>
    </row>
    <row r="261" spans="1:19" x14ac:dyDescent="0.15">
      <c r="A261" s="12">
        <v>20009</v>
      </c>
      <c r="B261" s="12">
        <v>3</v>
      </c>
      <c r="C261" s="12" t="str">
        <f t="shared" ref="C261:C270" si="30">A261&amp; "_"&amp;B261</f>
        <v>20009_3</v>
      </c>
      <c r="D261" s="12" t="str">
        <f>VLOOKUP(C261,[1]stages!$A:$AE,31,FALSE)</f>
        <v>everyone</v>
      </c>
      <c r="E261" s="12">
        <v>260</v>
      </c>
      <c r="F261" s="12">
        <v>25</v>
      </c>
      <c r="G261" s="10" t="str">
        <f>IF(I261="unit",VLOOKUP(F261,[2]characters!$A:$C,3,FALSE),"-")</f>
        <v>-</v>
      </c>
      <c r="H261" s="12">
        <v>100</v>
      </c>
      <c r="I261" s="12" t="s">
        <v>35</v>
      </c>
      <c r="J261" s="12" t="s">
        <v>33</v>
      </c>
      <c r="K261" s="12">
        <v>1</v>
      </c>
      <c r="L261" s="12">
        <v>1</v>
      </c>
      <c r="M261" s="12">
        <v>0</v>
      </c>
      <c r="N261" s="12">
        <v>0</v>
      </c>
      <c r="O261" s="12">
        <v>0</v>
      </c>
      <c r="P261" s="12">
        <v>0</v>
      </c>
      <c r="Q261" s="12">
        <v>1</v>
      </c>
      <c r="R261" s="12" t="s">
        <v>27</v>
      </c>
      <c r="S261" s="12" t="s">
        <v>28</v>
      </c>
    </row>
    <row r="262" spans="1:19" x14ac:dyDescent="0.15">
      <c r="A262" s="12">
        <v>20009</v>
      </c>
      <c r="B262" s="12">
        <v>3</v>
      </c>
      <c r="C262" s="12" t="str">
        <f t="shared" si="30"/>
        <v>20009_3</v>
      </c>
      <c r="D262" s="12" t="str">
        <f>VLOOKUP(C262,[1]stages!$A:$AE,31,FALSE)</f>
        <v>everyone</v>
      </c>
      <c r="E262" s="12">
        <v>261</v>
      </c>
      <c r="F262" s="12">
        <v>340</v>
      </c>
      <c r="G262" s="10" t="str">
        <f>IF(I262="unit",VLOOKUP(F262,[2]characters!$A:$C,3,FALSE),"-")</f>
        <v>水のメタルピヨピヨ</v>
      </c>
      <c r="H262" s="12">
        <v>56</v>
      </c>
      <c r="I262" s="12" t="s">
        <v>36</v>
      </c>
      <c r="J262" s="12">
        <v>1</v>
      </c>
      <c r="K262" s="12">
        <v>1</v>
      </c>
      <c r="L262" s="12">
        <v>1</v>
      </c>
      <c r="M262" s="12">
        <v>0</v>
      </c>
      <c r="N262" s="12">
        <v>0</v>
      </c>
      <c r="O262" s="12">
        <v>0</v>
      </c>
      <c r="P262" s="12">
        <v>0</v>
      </c>
      <c r="Q262" s="12">
        <v>1</v>
      </c>
      <c r="R262" s="12" t="s">
        <v>27</v>
      </c>
      <c r="S262" s="12" t="s">
        <v>28</v>
      </c>
    </row>
    <row r="263" spans="1:19" x14ac:dyDescent="0.15">
      <c r="A263" s="12">
        <v>20009</v>
      </c>
      <c r="B263" s="12">
        <v>3</v>
      </c>
      <c r="C263" s="12" t="str">
        <f t="shared" si="30"/>
        <v>20009_3</v>
      </c>
      <c r="D263" s="12" t="str">
        <f>VLOOKUP(C263,[1]stages!$A:$AE,31,FALSE)</f>
        <v>everyone</v>
      </c>
      <c r="E263" s="12">
        <v>262</v>
      </c>
      <c r="F263" s="12">
        <v>341</v>
      </c>
      <c r="G263" s="10" t="str">
        <f>IF(I263="unit",VLOOKUP(F263,[2]characters!$A:$C,3,FALSE),"-")</f>
        <v>水のメタルチック</v>
      </c>
      <c r="H263" s="12">
        <v>56</v>
      </c>
      <c r="I263" s="12" t="s">
        <v>36</v>
      </c>
      <c r="J263" s="12">
        <v>1</v>
      </c>
      <c r="K263" s="12">
        <v>1</v>
      </c>
      <c r="L263" s="12">
        <v>1</v>
      </c>
      <c r="M263" s="12">
        <v>0</v>
      </c>
      <c r="N263" s="12">
        <v>0</v>
      </c>
      <c r="O263" s="12">
        <v>0</v>
      </c>
      <c r="P263" s="12">
        <v>0</v>
      </c>
      <c r="Q263" s="12">
        <v>1</v>
      </c>
      <c r="R263" s="12" t="s">
        <v>27</v>
      </c>
      <c r="S263" s="12" t="s">
        <v>28</v>
      </c>
    </row>
    <row r="264" spans="1:19" x14ac:dyDescent="0.15">
      <c r="A264" s="12">
        <v>20009</v>
      </c>
      <c r="B264" s="12">
        <v>3</v>
      </c>
      <c r="C264" s="12" t="str">
        <f t="shared" si="30"/>
        <v>20009_3</v>
      </c>
      <c r="D264" s="12" t="str">
        <f>VLOOKUP(C264,[1]stages!$A:$AE,31,FALSE)</f>
        <v>everyone</v>
      </c>
      <c r="E264" s="12">
        <v>263</v>
      </c>
      <c r="F264" s="12">
        <v>342</v>
      </c>
      <c r="G264" s="10" t="str">
        <f>IF(I264="unit",VLOOKUP(F264,[2]characters!$A:$C,3,FALSE),"-")</f>
        <v>水のメタルダック</v>
      </c>
      <c r="H264" s="12">
        <v>28</v>
      </c>
      <c r="I264" s="12" t="s">
        <v>36</v>
      </c>
      <c r="J264" s="12">
        <v>1</v>
      </c>
      <c r="K264" s="12">
        <v>1</v>
      </c>
      <c r="L264" s="12">
        <v>1</v>
      </c>
      <c r="M264" s="12">
        <v>0</v>
      </c>
      <c r="N264" s="12">
        <v>0</v>
      </c>
      <c r="O264" s="12">
        <v>0</v>
      </c>
      <c r="P264" s="12">
        <v>0</v>
      </c>
      <c r="Q264" s="12">
        <v>1</v>
      </c>
      <c r="R264" s="12" t="s">
        <v>27</v>
      </c>
      <c r="S264" s="12" t="s">
        <v>28</v>
      </c>
    </row>
    <row r="265" spans="1:19" x14ac:dyDescent="0.15">
      <c r="A265" s="12">
        <v>20009</v>
      </c>
      <c r="B265" s="12">
        <v>3</v>
      </c>
      <c r="C265" s="12" t="str">
        <f t="shared" si="30"/>
        <v>20009_3</v>
      </c>
      <c r="D265" s="12" t="str">
        <f>VLOOKUP(C265,[1]stages!$A:$AE,31,FALSE)</f>
        <v>everyone</v>
      </c>
      <c r="E265" s="12">
        <v>264</v>
      </c>
      <c r="F265" s="12">
        <v>121</v>
      </c>
      <c r="G265" s="10" t="str">
        <f>IF(I265="unit",VLOOKUP(F265,[2]characters!$A:$C,3,FALSE),"-")</f>
        <v>攻めの果実</v>
      </c>
      <c r="H265" s="12">
        <v>50</v>
      </c>
      <c r="I265" s="12" t="s">
        <v>36</v>
      </c>
      <c r="J265" s="12">
        <v>1</v>
      </c>
      <c r="K265" s="12">
        <v>1</v>
      </c>
      <c r="L265" s="12">
        <v>1</v>
      </c>
      <c r="M265" s="12">
        <v>0</v>
      </c>
      <c r="N265" s="12">
        <v>0</v>
      </c>
      <c r="O265" s="12">
        <v>0</v>
      </c>
      <c r="P265" s="12">
        <v>0</v>
      </c>
      <c r="Q265" s="12">
        <v>1</v>
      </c>
      <c r="R265" s="12" t="s">
        <v>27</v>
      </c>
      <c r="S265" s="12" t="s">
        <v>28</v>
      </c>
    </row>
    <row r="266" spans="1:19" x14ac:dyDescent="0.15">
      <c r="A266" s="12">
        <v>20009</v>
      </c>
      <c r="B266" s="12">
        <v>3</v>
      </c>
      <c r="C266" s="12" t="str">
        <f t="shared" si="30"/>
        <v>20009_3</v>
      </c>
      <c r="D266" s="12" t="str">
        <f>VLOOKUP(C266,[1]stages!$A:$AE,31,FALSE)</f>
        <v>everyone</v>
      </c>
      <c r="E266" s="12">
        <v>265</v>
      </c>
      <c r="F266" s="12">
        <v>122</v>
      </c>
      <c r="G266" s="10" t="str">
        <f>IF(I266="unit",VLOOKUP(F266,[2]characters!$A:$C,3,FALSE),"-")</f>
        <v>生命の果実</v>
      </c>
      <c r="H266" s="12">
        <v>50</v>
      </c>
      <c r="I266" s="12" t="s">
        <v>36</v>
      </c>
      <c r="J266" s="12">
        <v>1</v>
      </c>
      <c r="K266" s="12">
        <v>1</v>
      </c>
      <c r="L266" s="12">
        <v>1</v>
      </c>
      <c r="M266" s="12">
        <v>0</v>
      </c>
      <c r="N266" s="12">
        <v>0</v>
      </c>
      <c r="O266" s="12">
        <v>0</v>
      </c>
      <c r="P266" s="12">
        <v>0</v>
      </c>
      <c r="Q266" s="12">
        <v>1</v>
      </c>
      <c r="R266" s="12" t="s">
        <v>27</v>
      </c>
      <c r="S266" s="12" t="s">
        <v>28</v>
      </c>
    </row>
    <row r="267" spans="1:19" x14ac:dyDescent="0.15">
      <c r="A267" s="12">
        <v>20009</v>
      </c>
      <c r="B267" s="12">
        <v>3</v>
      </c>
      <c r="C267" s="12" t="str">
        <f t="shared" si="30"/>
        <v>20009_3</v>
      </c>
      <c r="D267" s="12" t="str">
        <f>VLOOKUP(C267,[1]stages!$A:$AE,31,FALSE)</f>
        <v>everyone</v>
      </c>
      <c r="E267" s="12">
        <v>266</v>
      </c>
      <c r="F267" s="12">
        <v>123</v>
      </c>
      <c r="G267" s="10" t="str">
        <f>IF(I267="unit",VLOOKUP(F267,[2]characters!$A:$C,3,FALSE),"-")</f>
        <v>癒しの果実</v>
      </c>
      <c r="H267" s="12">
        <v>50</v>
      </c>
      <c r="I267" s="12" t="s">
        <v>36</v>
      </c>
      <c r="J267" s="12">
        <v>1</v>
      </c>
      <c r="K267" s="12">
        <v>1</v>
      </c>
      <c r="L267" s="12">
        <v>1</v>
      </c>
      <c r="M267" s="12">
        <v>0</v>
      </c>
      <c r="N267" s="12">
        <v>0</v>
      </c>
      <c r="O267" s="12">
        <v>0</v>
      </c>
      <c r="P267" s="12">
        <v>0</v>
      </c>
      <c r="Q267" s="12">
        <v>1</v>
      </c>
      <c r="R267" s="12" t="s">
        <v>27</v>
      </c>
      <c r="S267" s="12" t="s">
        <v>28</v>
      </c>
    </row>
    <row r="268" spans="1:19" x14ac:dyDescent="0.15">
      <c r="A268" s="12">
        <v>20009</v>
      </c>
      <c r="B268" s="12">
        <v>3</v>
      </c>
      <c r="C268" s="12" t="str">
        <f t="shared" si="30"/>
        <v>20009_3</v>
      </c>
      <c r="D268" s="12" t="str">
        <f>VLOOKUP(C268,[1]stages!$A:$AE,31,FALSE)</f>
        <v>everyone</v>
      </c>
      <c r="E268" s="12">
        <v>267</v>
      </c>
      <c r="F268" s="12">
        <v>125</v>
      </c>
      <c r="G268" s="10" t="str">
        <f>IF(I268="unit",VLOOKUP(F268,[2]characters!$A:$C,3,FALSE),"-")</f>
        <v>秘術の果実</v>
      </c>
      <c r="H268" s="12">
        <v>10</v>
      </c>
      <c r="I268" s="12" t="s">
        <v>36</v>
      </c>
      <c r="J268" s="12">
        <v>1</v>
      </c>
      <c r="K268" s="12">
        <v>1</v>
      </c>
      <c r="L268" s="12">
        <v>1</v>
      </c>
      <c r="M268" s="12">
        <v>0</v>
      </c>
      <c r="N268" s="12">
        <v>0</v>
      </c>
      <c r="O268" s="12">
        <v>0</v>
      </c>
      <c r="P268" s="12">
        <v>0</v>
      </c>
      <c r="Q268" s="12">
        <v>1</v>
      </c>
      <c r="R268" s="12" t="s">
        <v>27</v>
      </c>
      <c r="S268" s="12" t="s">
        <v>28</v>
      </c>
    </row>
    <row r="269" spans="1:19" x14ac:dyDescent="0.15">
      <c r="A269" s="12">
        <v>20009</v>
      </c>
      <c r="B269" s="12">
        <v>3</v>
      </c>
      <c r="C269" s="12" t="str">
        <f t="shared" si="30"/>
        <v>20009_3</v>
      </c>
      <c r="D269" s="12" t="str">
        <f>VLOOKUP(C269,[1]stages!$A:$AE,31,FALSE)</f>
        <v>everyone</v>
      </c>
      <c r="E269" s="12">
        <v>268</v>
      </c>
      <c r="F269" s="12">
        <v>302</v>
      </c>
      <c r="G269" s="10" t="str">
        <f>IF(I269="unit",VLOOKUP(F269,[2]characters!$A:$C,3,FALSE),"-")</f>
        <v>絞殺のリサ</v>
      </c>
      <c r="H269" s="12">
        <v>400</v>
      </c>
      <c r="I269" s="12" t="s">
        <v>36</v>
      </c>
      <c r="J269" s="12">
        <v>1</v>
      </c>
      <c r="K269" s="12">
        <v>1</v>
      </c>
      <c r="L269" s="12">
        <v>1</v>
      </c>
      <c r="M269" s="12">
        <v>0</v>
      </c>
      <c r="N269" s="12">
        <v>0</v>
      </c>
      <c r="O269" s="12">
        <v>0</v>
      </c>
      <c r="P269" s="12">
        <v>0</v>
      </c>
      <c r="Q269" s="12">
        <v>1</v>
      </c>
      <c r="R269" s="12" t="s">
        <v>27</v>
      </c>
      <c r="S269" s="12" t="s">
        <v>28</v>
      </c>
    </row>
    <row r="270" spans="1:19" x14ac:dyDescent="0.15">
      <c r="A270" s="12">
        <v>20009</v>
      </c>
      <c r="B270" s="12">
        <v>3</v>
      </c>
      <c r="C270" s="12" t="str">
        <f t="shared" si="30"/>
        <v>20009_3</v>
      </c>
      <c r="D270" s="12" t="str">
        <f>VLOOKUP(C270,[1]stages!$A:$AE,31,FALSE)</f>
        <v>everyone</v>
      </c>
      <c r="E270" s="12">
        <v>269</v>
      </c>
      <c r="F270" s="12">
        <v>352</v>
      </c>
      <c r="G270" s="10" t="str">
        <f>IF(I270="unit",VLOOKUP(F270,[2]characters!$A:$C,3,FALSE),"-")</f>
        <v>水のケロケロ</v>
      </c>
      <c r="H270" s="12">
        <v>100</v>
      </c>
      <c r="I270" s="12" t="s">
        <v>36</v>
      </c>
      <c r="J270" s="12">
        <v>1</v>
      </c>
      <c r="K270" s="12">
        <v>1</v>
      </c>
      <c r="L270" s="12">
        <v>1</v>
      </c>
      <c r="M270" s="12">
        <v>0</v>
      </c>
      <c r="N270" s="12">
        <v>0</v>
      </c>
      <c r="O270" s="12">
        <v>0</v>
      </c>
      <c r="P270" s="12">
        <v>0</v>
      </c>
      <c r="Q270" s="12">
        <v>1</v>
      </c>
      <c r="R270" s="12" t="s">
        <v>27</v>
      </c>
      <c r="S270" s="12" t="s">
        <v>28</v>
      </c>
    </row>
    <row r="271" spans="1:19" x14ac:dyDescent="0.15">
      <c r="A271" s="9">
        <v>20010</v>
      </c>
      <c r="B271" s="9">
        <v>1</v>
      </c>
      <c r="C271" s="9" t="str">
        <f>A271&amp; "_"&amp;B271</f>
        <v>20010_1</v>
      </c>
      <c r="D271" s="9" t="str">
        <f>VLOOKUP(C271,[1]stages!$A:$AE,31,FALSE)</f>
        <v>everyone</v>
      </c>
      <c r="E271" s="9">
        <v>270</v>
      </c>
      <c r="F271" s="9">
        <v>1700</v>
      </c>
      <c r="G271" s="10" t="str">
        <f>IF(I271="unit",VLOOKUP(F271,[2]characters!$A:$C,3,FALSE),"-")</f>
        <v>-</v>
      </c>
      <c r="H271" s="9">
        <v>200</v>
      </c>
      <c r="I271" s="9" t="s">
        <v>32</v>
      </c>
      <c r="J271" s="9" t="s">
        <v>33</v>
      </c>
      <c r="K271" s="9">
        <v>1</v>
      </c>
      <c r="L271" s="9">
        <v>1</v>
      </c>
      <c r="M271" s="9">
        <v>0</v>
      </c>
      <c r="N271" s="9">
        <v>0</v>
      </c>
      <c r="O271" s="9">
        <v>0</v>
      </c>
      <c r="P271" s="9">
        <v>0</v>
      </c>
      <c r="Q271" s="9">
        <v>1</v>
      </c>
      <c r="R271" s="9" t="s">
        <v>27</v>
      </c>
      <c r="S271" s="9" t="s">
        <v>28</v>
      </c>
    </row>
    <row r="272" spans="1:19" x14ac:dyDescent="0.15">
      <c r="A272" s="9">
        <v>20010</v>
      </c>
      <c r="B272" s="9">
        <v>1</v>
      </c>
      <c r="C272" s="9" t="str">
        <f t="shared" ref="C272:C280" si="31">A272&amp; "_"&amp;B272</f>
        <v>20010_1</v>
      </c>
      <c r="D272" s="9" t="str">
        <f>VLOOKUP(C272,[1]stages!$A:$AE,31,FALSE)</f>
        <v>everyone</v>
      </c>
      <c r="E272" s="9">
        <v>271</v>
      </c>
      <c r="F272" s="9">
        <v>20</v>
      </c>
      <c r="G272" s="10" t="str">
        <f>IF(I272="unit",VLOOKUP(F272,[2]characters!$A:$C,3,FALSE),"-")</f>
        <v>-</v>
      </c>
      <c r="H272" s="9">
        <v>200</v>
      </c>
      <c r="I272" s="9" t="s">
        <v>35</v>
      </c>
      <c r="J272" s="9" t="s">
        <v>33</v>
      </c>
      <c r="K272" s="9">
        <v>1</v>
      </c>
      <c r="L272" s="9">
        <v>1</v>
      </c>
      <c r="M272" s="9">
        <v>0</v>
      </c>
      <c r="N272" s="9">
        <v>0</v>
      </c>
      <c r="O272" s="9">
        <v>0</v>
      </c>
      <c r="P272" s="9">
        <v>0</v>
      </c>
      <c r="Q272" s="9">
        <v>1</v>
      </c>
      <c r="R272" s="9" t="s">
        <v>27</v>
      </c>
      <c r="S272" s="9" t="s">
        <v>28</v>
      </c>
    </row>
    <row r="273" spans="1:19" x14ac:dyDescent="0.15">
      <c r="A273" s="9">
        <v>20010</v>
      </c>
      <c r="B273" s="9">
        <v>1</v>
      </c>
      <c r="C273" s="9" t="str">
        <f t="shared" si="31"/>
        <v>20010_1</v>
      </c>
      <c r="D273" s="9" t="str">
        <f>VLOOKUP(C273,[1]stages!$A:$AE,31,FALSE)</f>
        <v>everyone</v>
      </c>
      <c r="E273" s="9">
        <v>272</v>
      </c>
      <c r="F273" s="9">
        <v>344</v>
      </c>
      <c r="G273" s="10" t="str">
        <f>IF(I273="unit",VLOOKUP(F273,[2]characters!$A:$C,3,FALSE),"-")</f>
        <v>雷のメタルピヨピヨ</v>
      </c>
      <c r="H273" s="9">
        <v>98</v>
      </c>
      <c r="I273" s="9" t="s">
        <v>36</v>
      </c>
      <c r="J273" s="9">
        <v>1</v>
      </c>
      <c r="K273" s="9">
        <v>1</v>
      </c>
      <c r="L273" s="9">
        <v>1</v>
      </c>
      <c r="M273" s="9">
        <v>0</v>
      </c>
      <c r="N273" s="9">
        <v>0</v>
      </c>
      <c r="O273" s="9">
        <v>0</v>
      </c>
      <c r="P273" s="9">
        <v>0</v>
      </c>
      <c r="Q273" s="9">
        <v>1</v>
      </c>
      <c r="R273" s="9" t="s">
        <v>27</v>
      </c>
      <c r="S273" s="9" t="s">
        <v>28</v>
      </c>
    </row>
    <row r="274" spans="1:19" x14ac:dyDescent="0.15">
      <c r="A274" s="9">
        <v>20010</v>
      </c>
      <c r="B274" s="9">
        <v>1</v>
      </c>
      <c r="C274" s="9" t="str">
        <f t="shared" si="31"/>
        <v>20010_1</v>
      </c>
      <c r="D274" s="9" t="str">
        <f>VLOOKUP(C274,[1]stages!$A:$AE,31,FALSE)</f>
        <v>everyone</v>
      </c>
      <c r="E274" s="9">
        <v>273</v>
      </c>
      <c r="F274" s="9">
        <v>345</v>
      </c>
      <c r="G274" s="10" t="str">
        <f>IF(I274="unit",VLOOKUP(F274,[2]characters!$A:$C,3,FALSE),"-")</f>
        <v>雷のメタルチック</v>
      </c>
      <c r="H274" s="9">
        <v>42</v>
      </c>
      <c r="I274" s="9" t="s">
        <v>36</v>
      </c>
      <c r="J274" s="9">
        <v>1</v>
      </c>
      <c r="K274" s="9">
        <v>1</v>
      </c>
      <c r="L274" s="9">
        <v>1</v>
      </c>
      <c r="M274" s="9">
        <v>0</v>
      </c>
      <c r="N274" s="9">
        <v>0</v>
      </c>
      <c r="O274" s="9">
        <v>0</v>
      </c>
      <c r="P274" s="9">
        <v>0</v>
      </c>
      <c r="Q274" s="9">
        <v>1</v>
      </c>
      <c r="R274" s="9" t="s">
        <v>27</v>
      </c>
      <c r="S274" s="9" t="s">
        <v>28</v>
      </c>
    </row>
    <row r="275" spans="1:19" x14ac:dyDescent="0.15">
      <c r="A275" s="9">
        <v>20010</v>
      </c>
      <c r="B275" s="9">
        <v>1</v>
      </c>
      <c r="C275" s="9" t="str">
        <f t="shared" si="31"/>
        <v>20010_1</v>
      </c>
      <c r="D275" s="9" t="str">
        <f>VLOOKUP(C275,[1]stages!$A:$AE,31,FALSE)</f>
        <v>everyone</v>
      </c>
      <c r="E275" s="9">
        <v>274</v>
      </c>
      <c r="F275" s="9">
        <v>121</v>
      </c>
      <c r="G275" s="10" t="str">
        <f>IF(I275="unit",VLOOKUP(F275,[2]characters!$A:$C,3,FALSE),"-")</f>
        <v>攻めの果実</v>
      </c>
      <c r="H275" s="9">
        <v>50</v>
      </c>
      <c r="I275" s="9" t="s">
        <v>36</v>
      </c>
      <c r="J275" s="9">
        <v>1</v>
      </c>
      <c r="K275" s="9">
        <v>1</v>
      </c>
      <c r="L275" s="9">
        <v>1</v>
      </c>
      <c r="M275" s="9">
        <v>0</v>
      </c>
      <c r="N275" s="9">
        <v>0</v>
      </c>
      <c r="O275" s="9">
        <v>0</v>
      </c>
      <c r="P275" s="9">
        <v>0</v>
      </c>
      <c r="Q275" s="9">
        <v>1</v>
      </c>
      <c r="R275" s="9" t="s">
        <v>27</v>
      </c>
      <c r="S275" s="9" t="s">
        <v>28</v>
      </c>
    </row>
    <row r="276" spans="1:19" x14ac:dyDescent="0.15">
      <c r="A276" s="9">
        <v>20010</v>
      </c>
      <c r="B276" s="9">
        <v>1</v>
      </c>
      <c r="C276" s="9" t="str">
        <f t="shared" si="31"/>
        <v>20010_1</v>
      </c>
      <c r="D276" s="9" t="str">
        <f>VLOOKUP(C276,[1]stages!$A:$AE,31,FALSE)</f>
        <v>everyone</v>
      </c>
      <c r="E276" s="9">
        <v>275</v>
      </c>
      <c r="F276" s="9">
        <v>122</v>
      </c>
      <c r="G276" s="10" t="str">
        <f>IF(I276="unit",VLOOKUP(F276,[2]characters!$A:$C,3,FALSE),"-")</f>
        <v>生命の果実</v>
      </c>
      <c r="H276" s="9">
        <v>50</v>
      </c>
      <c r="I276" s="9" t="s">
        <v>36</v>
      </c>
      <c r="J276" s="9">
        <v>1</v>
      </c>
      <c r="K276" s="9">
        <v>1</v>
      </c>
      <c r="L276" s="9">
        <v>1</v>
      </c>
      <c r="M276" s="9">
        <v>0</v>
      </c>
      <c r="N276" s="9">
        <v>0</v>
      </c>
      <c r="O276" s="9">
        <v>0</v>
      </c>
      <c r="P276" s="9">
        <v>0</v>
      </c>
      <c r="Q276" s="9">
        <v>1</v>
      </c>
      <c r="R276" s="9" t="s">
        <v>27</v>
      </c>
      <c r="S276" s="9" t="s">
        <v>28</v>
      </c>
    </row>
    <row r="277" spans="1:19" x14ac:dyDescent="0.15">
      <c r="A277" s="9">
        <v>20010</v>
      </c>
      <c r="B277" s="9">
        <v>1</v>
      </c>
      <c r="C277" s="9" t="str">
        <f t="shared" si="31"/>
        <v>20010_1</v>
      </c>
      <c r="D277" s="9" t="str">
        <f>VLOOKUP(C277,[1]stages!$A:$AE,31,FALSE)</f>
        <v>everyone</v>
      </c>
      <c r="E277" s="9">
        <v>276</v>
      </c>
      <c r="F277" s="9">
        <v>123</v>
      </c>
      <c r="G277" s="10" t="str">
        <f>IF(I277="unit",VLOOKUP(F277,[2]characters!$A:$C,3,FALSE),"-")</f>
        <v>癒しの果実</v>
      </c>
      <c r="H277" s="9">
        <v>50</v>
      </c>
      <c r="I277" s="9" t="s">
        <v>36</v>
      </c>
      <c r="J277" s="9">
        <v>1</v>
      </c>
      <c r="K277" s="9">
        <v>1</v>
      </c>
      <c r="L277" s="9">
        <v>1</v>
      </c>
      <c r="M277" s="9">
        <v>0</v>
      </c>
      <c r="N277" s="9">
        <v>0</v>
      </c>
      <c r="O277" s="9">
        <v>0</v>
      </c>
      <c r="P277" s="9">
        <v>0</v>
      </c>
      <c r="Q277" s="9">
        <v>1</v>
      </c>
      <c r="R277" s="9" t="s">
        <v>27</v>
      </c>
      <c r="S277" s="9" t="s">
        <v>28</v>
      </c>
    </row>
    <row r="278" spans="1:19" x14ac:dyDescent="0.15">
      <c r="A278" s="9">
        <v>20010</v>
      </c>
      <c r="B278" s="9">
        <v>1</v>
      </c>
      <c r="C278" s="9" t="str">
        <f t="shared" si="31"/>
        <v>20010_1</v>
      </c>
      <c r="D278" s="9" t="str">
        <f>VLOOKUP(C278,[1]stages!$A:$AE,31,FALSE)</f>
        <v>everyone</v>
      </c>
      <c r="E278" s="9">
        <v>277</v>
      </c>
      <c r="F278" s="9">
        <v>125</v>
      </c>
      <c r="G278" s="10" t="str">
        <f>IF(I278="unit",VLOOKUP(F278,[2]characters!$A:$C,3,FALSE),"-")</f>
        <v>秘術の果実</v>
      </c>
      <c r="H278" s="9">
        <v>10</v>
      </c>
      <c r="I278" s="9" t="s">
        <v>36</v>
      </c>
      <c r="J278" s="9">
        <v>1</v>
      </c>
      <c r="K278" s="9">
        <v>1</v>
      </c>
      <c r="L278" s="9">
        <v>1</v>
      </c>
      <c r="M278" s="9">
        <v>0</v>
      </c>
      <c r="N278" s="9">
        <v>0</v>
      </c>
      <c r="O278" s="9">
        <v>0</v>
      </c>
      <c r="P278" s="9">
        <v>0</v>
      </c>
      <c r="Q278" s="9">
        <v>1</v>
      </c>
      <c r="R278" s="9" t="s">
        <v>27</v>
      </c>
      <c r="S278" s="9" t="s">
        <v>28</v>
      </c>
    </row>
    <row r="279" spans="1:19" x14ac:dyDescent="0.15">
      <c r="A279" s="9">
        <v>20010</v>
      </c>
      <c r="B279" s="9">
        <v>1</v>
      </c>
      <c r="C279" s="9" t="str">
        <f t="shared" si="31"/>
        <v>20010_1</v>
      </c>
      <c r="D279" s="9" t="str">
        <f>VLOOKUP(C279,[1]stages!$A:$AE,31,FALSE)</f>
        <v>everyone</v>
      </c>
      <c r="E279" s="9">
        <v>278</v>
      </c>
      <c r="F279" s="9">
        <v>304</v>
      </c>
      <c r="G279" s="10" t="str">
        <f>IF(I279="unit",VLOOKUP(F279,[2]characters!$A:$C,3,FALSE),"-")</f>
        <v>電殺のチエミ</v>
      </c>
      <c r="H279" s="9">
        <v>200</v>
      </c>
      <c r="I279" s="9" t="s">
        <v>36</v>
      </c>
      <c r="J279" s="9">
        <v>1</v>
      </c>
      <c r="K279" s="9">
        <v>1</v>
      </c>
      <c r="L279" s="9">
        <v>1</v>
      </c>
      <c r="M279" s="9">
        <v>0</v>
      </c>
      <c r="N279" s="9">
        <v>0</v>
      </c>
      <c r="O279" s="9">
        <v>0</v>
      </c>
      <c r="P279" s="9">
        <v>0</v>
      </c>
      <c r="Q279" s="9">
        <v>1</v>
      </c>
      <c r="R279" s="9" t="s">
        <v>27</v>
      </c>
      <c r="S279" s="9" t="s">
        <v>28</v>
      </c>
    </row>
    <row r="280" spans="1:19" x14ac:dyDescent="0.15">
      <c r="A280" s="9">
        <v>20010</v>
      </c>
      <c r="B280" s="9">
        <v>1</v>
      </c>
      <c r="C280" s="9" t="str">
        <f t="shared" si="31"/>
        <v>20010_1</v>
      </c>
      <c r="D280" s="9" t="str">
        <f>VLOOKUP(C280,[1]stages!$A:$AE,31,FALSE)</f>
        <v>everyone</v>
      </c>
      <c r="E280" s="9">
        <v>279</v>
      </c>
      <c r="F280" s="9">
        <v>354</v>
      </c>
      <c r="G280" s="10" t="str">
        <f>IF(I280="unit",VLOOKUP(F280,[2]characters!$A:$C,3,FALSE),"-")</f>
        <v>雷のケロケロ</v>
      </c>
      <c r="H280" s="9">
        <v>100</v>
      </c>
      <c r="I280" s="9" t="s">
        <v>36</v>
      </c>
      <c r="J280" s="9">
        <v>1</v>
      </c>
      <c r="K280" s="9">
        <v>1</v>
      </c>
      <c r="L280" s="9">
        <v>1</v>
      </c>
      <c r="M280" s="9">
        <v>0</v>
      </c>
      <c r="N280" s="9">
        <v>0</v>
      </c>
      <c r="O280" s="9">
        <v>0</v>
      </c>
      <c r="P280" s="9">
        <v>0</v>
      </c>
      <c r="Q280" s="9">
        <v>1</v>
      </c>
      <c r="R280" s="9" t="s">
        <v>27</v>
      </c>
      <c r="S280" s="9" t="s">
        <v>28</v>
      </c>
    </row>
    <row r="281" spans="1:19" x14ac:dyDescent="0.15">
      <c r="A281" s="9">
        <v>20010</v>
      </c>
      <c r="B281" s="9">
        <v>2</v>
      </c>
      <c r="C281" s="9" t="str">
        <f>A281&amp; "_"&amp;B281</f>
        <v>20010_2</v>
      </c>
      <c r="D281" s="9" t="str">
        <f>VLOOKUP(C281,[1]stages!$A:$AE,31,FALSE)</f>
        <v>everyone</v>
      </c>
      <c r="E281" s="9">
        <v>280</v>
      </c>
      <c r="F281" s="9">
        <v>3200</v>
      </c>
      <c r="G281" s="10" t="str">
        <f>IF(I281="unit",VLOOKUP(F281,[2]characters!$A:$C,3,FALSE),"-")</f>
        <v>-</v>
      </c>
      <c r="H281" s="9">
        <v>200</v>
      </c>
      <c r="I281" s="9" t="s">
        <v>32</v>
      </c>
      <c r="J281" s="9" t="s">
        <v>33</v>
      </c>
      <c r="K281" s="9">
        <v>1</v>
      </c>
      <c r="L281" s="9">
        <v>1</v>
      </c>
      <c r="M281" s="9">
        <v>0</v>
      </c>
      <c r="N281" s="9">
        <v>0</v>
      </c>
      <c r="O281" s="9">
        <v>0</v>
      </c>
      <c r="P281" s="9">
        <v>0</v>
      </c>
      <c r="Q281" s="9">
        <v>1</v>
      </c>
      <c r="R281" s="9" t="s">
        <v>27</v>
      </c>
      <c r="S281" s="9" t="s">
        <v>28</v>
      </c>
    </row>
    <row r="282" spans="1:19" x14ac:dyDescent="0.15">
      <c r="A282" s="9">
        <v>20010</v>
      </c>
      <c r="B282" s="9">
        <v>2</v>
      </c>
      <c r="C282" s="9" t="str">
        <f t="shared" ref="C282:C290" si="32">A282&amp; "_"&amp;B282</f>
        <v>20010_2</v>
      </c>
      <c r="D282" s="9" t="str">
        <f>VLOOKUP(C282,[1]stages!$A:$AE,31,FALSE)</f>
        <v>everyone</v>
      </c>
      <c r="E282" s="9">
        <v>281</v>
      </c>
      <c r="F282" s="9">
        <v>20</v>
      </c>
      <c r="G282" s="10" t="str">
        <f>IF(I282="unit",VLOOKUP(F282,[2]characters!$A:$C,3,FALSE),"-")</f>
        <v>-</v>
      </c>
      <c r="H282" s="9">
        <v>150</v>
      </c>
      <c r="I282" s="9" t="s">
        <v>35</v>
      </c>
      <c r="J282" s="9" t="s">
        <v>33</v>
      </c>
      <c r="K282" s="9">
        <v>1</v>
      </c>
      <c r="L282" s="9">
        <v>1</v>
      </c>
      <c r="M282" s="9">
        <v>0</v>
      </c>
      <c r="N282" s="9">
        <v>0</v>
      </c>
      <c r="O282" s="9">
        <v>0</v>
      </c>
      <c r="P282" s="9">
        <v>0</v>
      </c>
      <c r="Q282" s="9">
        <v>1</v>
      </c>
      <c r="R282" s="9" t="s">
        <v>27</v>
      </c>
      <c r="S282" s="9" t="s">
        <v>28</v>
      </c>
    </row>
    <row r="283" spans="1:19" x14ac:dyDescent="0.15">
      <c r="A283" s="9">
        <v>20010</v>
      </c>
      <c r="B283" s="9">
        <v>2</v>
      </c>
      <c r="C283" s="9" t="str">
        <f t="shared" si="32"/>
        <v>20010_2</v>
      </c>
      <c r="D283" s="9" t="str">
        <f>VLOOKUP(C283,[1]stages!$A:$AE,31,FALSE)</f>
        <v>everyone</v>
      </c>
      <c r="E283" s="9">
        <v>282</v>
      </c>
      <c r="F283" s="9">
        <v>344</v>
      </c>
      <c r="G283" s="10" t="str">
        <f>IF(I283="unit",VLOOKUP(F283,[2]characters!$A:$C,3,FALSE),"-")</f>
        <v>雷のメタルピヨピヨ</v>
      </c>
      <c r="H283" s="9">
        <v>70</v>
      </c>
      <c r="I283" s="9" t="s">
        <v>36</v>
      </c>
      <c r="J283" s="9">
        <v>1</v>
      </c>
      <c r="K283" s="9">
        <v>1</v>
      </c>
      <c r="L283" s="9">
        <v>1</v>
      </c>
      <c r="M283" s="9">
        <v>0</v>
      </c>
      <c r="N283" s="9">
        <v>0</v>
      </c>
      <c r="O283" s="9">
        <v>0</v>
      </c>
      <c r="P283" s="9">
        <v>0</v>
      </c>
      <c r="Q283" s="9">
        <v>1</v>
      </c>
      <c r="R283" s="9" t="s">
        <v>27</v>
      </c>
      <c r="S283" s="9" t="s">
        <v>28</v>
      </c>
    </row>
    <row r="284" spans="1:19" x14ac:dyDescent="0.15">
      <c r="A284" s="9">
        <v>20010</v>
      </c>
      <c r="B284" s="9">
        <v>2</v>
      </c>
      <c r="C284" s="9" t="str">
        <f t="shared" si="32"/>
        <v>20010_2</v>
      </c>
      <c r="D284" s="9" t="str">
        <f>VLOOKUP(C284,[1]stages!$A:$AE,31,FALSE)</f>
        <v>everyone</v>
      </c>
      <c r="E284" s="9">
        <v>283</v>
      </c>
      <c r="F284" s="9">
        <v>345</v>
      </c>
      <c r="G284" s="10" t="str">
        <f>IF(I284="unit",VLOOKUP(F284,[2]characters!$A:$C,3,FALSE),"-")</f>
        <v>雷のメタルチック</v>
      </c>
      <c r="H284" s="9">
        <v>70</v>
      </c>
      <c r="I284" s="9" t="s">
        <v>36</v>
      </c>
      <c r="J284" s="9">
        <v>1</v>
      </c>
      <c r="K284" s="9">
        <v>1</v>
      </c>
      <c r="L284" s="9">
        <v>1</v>
      </c>
      <c r="M284" s="9">
        <v>0</v>
      </c>
      <c r="N284" s="9">
        <v>0</v>
      </c>
      <c r="O284" s="9">
        <v>0</v>
      </c>
      <c r="P284" s="9">
        <v>0</v>
      </c>
      <c r="Q284" s="9">
        <v>1</v>
      </c>
      <c r="R284" s="9" t="s">
        <v>27</v>
      </c>
      <c r="S284" s="9" t="s">
        <v>28</v>
      </c>
    </row>
    <row r="285" spans="1:19" x14ac:dyDescent="0.15">
      <c r="A285" s="9">
        <v>20010</v>
      </c>
      <c r="B285" s="9">
        <v>2</v>
      </c>
      <c r="C285" s="9" t="str">
        <f t="shared" si="32"/>
        <v>20010_2</v>
      </c>
      <c r="D285" s="9" t="str">
        <f>VLOOKUP(C285,[1]stages!$A:$AE,31,FALSE)</f>
        <v>everyone</v>
      </c>
      <c r="E285" s="9">
        <v>284</v>
      </c>
      <c r="F285" s="9">
        <v>121</v>
      </c>
      <c r="G285" s="10" t="str">
        <f>IF(I285="unit",VLOOKUP(F285,[2]characters!$A:$C,3,FALSE),"-")</f>
        <v>攻めの果実</v>
      </c>
      <c r="H285" s="9">
        <v>50</v>
      </c>
      <c r="I285" s="9" t="s">
        <v>36</v>
      </c>
      <c r="J285" s="9">
        <v>1</v>
      </c>
      <c r="K285" s="9">
        <v>1</v>
      </c>
      <c r="L285" s="9">
        <v>1</v>
      </c>
      <c r="M285" s="9">
        <v>0</v>
      </c>
      <c r="N285" s="9">
        <v>0</v>
      </c>
      <c r="O285" s="9">
        <v>0</v>
      </c>
      <c r="P285" s="9">
        <v>0</v>
      </c>
      <c r="Q285" s="9">
        <v>1</v>
      </c>
      <c r="R285" s="9" t="s">
        <v>27</v>
      </c>
      <c r="S285" s="9" t="s">
        <v>28</v>
      </c>
    </row>
    <row r="286" spans="1:19" x14ac:dyDescent="0.15">
      <c r="A286" s="9">
        <v>20010</v>
      </c>
      <c r="B286" s="9">
        <v>2</v>
      </c>
      <c r="C286" s="9" t="str">
        <f t="shared" si="32"/>
        <v>20010_2</v>
      </c>
      <c r="D286" s="9" t="str">
        <f>VLOOKUP(C286,[1]stages!$A:$AE,31,FALSE)</f>
        <v>everyone</v>
      </c>
      <c r="E286" s="9">
        <v>285</v>
      </c>
      <c r="F286" s="9">
        <v>122</v>
      </c>
      <c r="G286" s="10" t="str">
        <f>IF(I286="unit",VLOOKUP(F286,[2]characters!$A:$C,3,FALSE),"-")</f>
        <v>生命の果実</v>
      </c>
      <c r="H286" s="9">
        <v>50</v>
      </c>
      <c r="I286" s="9" t="s">
        <v>36</v>
      </c>
      <c r="J286" s="9">
        <v>1</v>
      </c>
      <c r="K286" s="9">
        <v>1</v>
      </c>
      <c r="L286" s="9">
        <v>1</v>
      </c>
      <c r="M286" s="9">
        <v>0</v>
      </c>
      <c r="N286" s="9">
        <v>0</v>
      </c>
      <c r="O286" s="9">
        <v>0</v>
      </c>
      <c r="P286" s="9">
        <v>0</v>
      </c>
      <c r="Q286" s="9">
        <v>1</v>
      </c>
      <c r="R286" s="9" t="s">
        <v>27</v>
      </c>
      <c r="S286" s="9" t="s">
        <v>28</v>
      </c>
    </row>
    <row r="287" spans="1:19" x14ac:dyDescent="0.15">
      <c r="A287" s="9">
        <v>20010</v>
      </c>
      <c r="B287" s="9">
        <v>2</v>
      </c>
      <c r="C287" s="9" t="str">
        <f t="shared" si="32"/>
        <v>20010_2</v>
      </c>
      <c r="D287" s="9" t="str">
        <f>VLOOKUP(C287,[1]stages!$A:$AE,31,FALSE)</f>
        <v>everyone</v>
      </c>
      <c r="E287" s="9">
        <v>286</v>
      </c>
      <c r="F287" s="9">
        <v>123</v>
      </c>
      <c r="G287" s="10" t="str">
        <f>IF(I287="unit",VLOOKUP(F287,[2]characters!$A:$C,3,FALSE),"-")</f>
        <v>癒しの果実</v>
      </c>
      <c r="H287" s="9">
        <v>50</v>
      </c>
      <c r="I287" s="9" t="s">
        <v>36</v>
      </c>
      <c r="J287" s="9">
        <v>1</v>
      </c>
      <c r="K287" s="9">
        <v>1</v>
      </c>
      <c r="L287" s="9">
        <v>1</v>
      </c>
      <c r="M287" s="9">
        <v>0</v>
      </c>
      <c r="N287" s="9">
        <v>0</v>
      </c>
      <c r="O287" s="9">
        <v>0</v>
      </c>
      <c r="P287" s="9">
        <v>0</v>
      </c>
      <c r="Q287" s="9">
        <v>1</v>
      </c>
      <c r="R287" s="9" t="s">
        <v>27</v>
      </c>
      <c r="S287" s="9" t="s">
        <v>28</v>
      </c>
    </row>
    <row r="288" spans="1:19" x14ac:dyDescent="0.15">
      <c r="A288" s="9">
        <v>20010</v>
      </c>
      <c r="B288" s="9">
        <v>2</v>
      </c>
      <c r="C288" s="9" t="str">
        <f t="shared" si="32"/>
        <v>20010_2</v>
      </c>
      <c r="D288" s="9" t="str">
        <f>VLOOKUP(C288,[1]stages!$A:$AE,31,FALSE)</f>
        <v>everyone</v>
      </c>
      <c r="E288" s="9">
        <v>287</v>
      </c>
      <c r="F288" s="9">
        <v>125</v>
      </c>
      <c r="G288" s="10" t="str">
        <f>IF(I288="unit",VLOOKUP(F288,[2]characters!$A:$C,3,FALSE),"-")</f>
        <v>秘術の果実</v>
      </c>
      <c r="H288" s="9">
        <v>10</v>
      </c>
      <c r="I288" s="9" t="s">
        <v>36</v>
      </c>
      <c r="J288" s="9">
        <v>1</v>
      </c>
      <c r="K288" s="9">
        <v>1</v>
      </c>
      <c r="L288" s="9">
        <v>1</v>
      </c>
      <c r="M288" s="9">
        <v>0</v>
      </c>
      <c r="N288" s="9">
        <v>0</v>
      </c>
      <c r="O288" s="9">
        <v>0</v>
      </c>
      <c r="P288" s="9">
        <v>0</v>
      </c>
      <c r="Q288" s="9">
        <v>1</v>
      </c>
      <c r="R288" s="9" t="s">
        <v>27</v>
      </c>
      <c r="S288" s="9" t="s">
        <v>28</v>
      </c>
    </row>
    <row r="289" spans="1:19" x14ac:dyDescent="0.15">
      <c r="A289" s="9">
        <v>20010</v>
      </c>
      <c r="B289" s="9">
        <v>2</v>
      </c>
      <c r="C289" s="9" t="str">
        <f t="shared" si="32"/>
        <v>20010_2</v>
      </c>
      <c r="D289" s="9" t="str">
        <f>VLOOKUP(C289,[1]stages!$A:$AE,31,FALSE)</f>
        <v>everyone</v>
      </c>
      <c r="E289" s="9">
        <v>288</v>
      </c>
      <c r="F289" s="9">
        <v>304</v>
      </c>
      <c r="G289" s="10" t="str">
        <f>IF(I289="unit",VLOOKUP(F289,[2]characters!$A:$C,3,FALSE),"-")</f>
        <v>電殺のチエミ</v>
      </c>
      <c r="H289" s="9">
        <v>250</v>
      </c>
      <c r="I289" s="9" t="s">
        <v>36</v>
      </c>
      <c r="J289" s="9">
        <v>1</v>
      </c>
      <c r="K289" s="9">
        <v>1</v>
      </c>
      <c r="L289" s="9">
        <v>1</v>
      </c>
      <c r="M289" s="9">
        <v>0</v>
      </c>
      <c r="N289" s="9">
        <v>0</v>
      </c>
      <c r="O289" s="9">
        <v>0</v>
      </c>
      <c r="P289" s="9">
        <v>0</v>
      </c>
      <c r="Q289" s="9">
        <v>1</v>
      </c>
      <c r="R289" s="9" t="s">
        <v>27</v>
      </c>
      <c r="S289" s="9" t="s">
        <v>28</v>
      </c>
    </row>
    <row r="290" spans="1:19" x14ac:dyDescent="0.15">
      <c r="A290" s="9">
        <v>20010</v>
      </c>
      <c r="B290" s="9">
        <v>2</v>
      </c>
      <c r="C290" s="9" t="str">
        <f t="shared" si="32"/>
        <v>20010_2</v>
      </c>
      <c r="D290" s="9" t="str">
        <f>VLOOKUP(C290,[1]stages!$A:$AE,31,FALSE)</f>
        <v>everyone</v>
      </c>
      <c r="E290" s="9">
        <v>289</v>
      </c>
      <c r="F290" s="9">
        <v>354</v>
      </c>
      <c r="G290" s="10" t="str">
        <f>IF(I290="unit",VLOOKUP(F290,[2]characters!$A:$C,3,FALSE),"-")</f>
        <v>雷のケロケロ</v>
      </c>
      <c r="H290" s="9">
        <v>100</v>
      </c>
      <c r="I290" s="9" t="s">
        <v>36</v>
      </c>
      <c r="J290" s="9">
        <v>1</v>
      </c>
      <c r="K290" s="9">
        <v>1</v>
      </c>
      <c r="L290" s="9">
        <v>1</v>
      </c>
      <c r="M290" s="9">
        <v>0</v>
      </c>
      <c r="N290" s="9">
        <v>0</v>
      </c>
      <c r="O290" s="9">
        <v>0</v>
      </c>
      <c r="P290" s="9">
        <v>0</v>
      </c>
      <c r="Q290" s="9">
        <v>1</v>
      </c>
      <c r="R290" s="9" t="s">
        <v>27</v>
      </c>
      <c r="S290" s="9" t="s">
        <v>28</v>
      </c>
    </row>
    <row r="291" spans="1:19" x14ac:dyDescent="0.15">
      <c r="A291" s="9">
        <v>20010</v>
      </c>
      <c r="B291" s="9">
        <v>3</v>
      </c>
      <c r="C291" s="9" t="str">
        <f>A291&amp; "_"&amp;B291</f>
        <v>20010_3</v>
      </c>
      <c r="D291" s="9" t="str">
        <f>VLOOKUP(C291,[1]stages!$A:$AE,31,FALSE)</f>
        <v>everyone</v>
      </c>
      <c r="E291" s="9">
        <v>290</v>
      </c>
      <c r="F291" s="9">
        <v>5000</v>
      </c>
      <c r="G291" s="10" t="str">
        <f>IF(I291="unit",VLOOKUP(F291,[2]characters!$A:$C,3,FALSE),"-")</f>
        <v>-</v>
      </c>
      <c r="H291" s="9">
        <v>100</v>
      </c>
      <c r="I291" s="9" t="s">
        <v>32</v>
      </c>
      <c r="J291" s="9" t="s">
        <v>33</v>
      </c>
      <c r="K291" s="9">
        <v>1</v>
      </c>
      <c r="L291" s="9">
        <v>1</v>
      </c>
      <c r="M291" s="9">
        <v>0</v>
      </c>
      <c r="N291" s="9">
        <v>0</v>
      </c>
      <c r="O291" s="9">
        <v>0</v>
      </c>
      <c r="P291" s="9">
        <v>0</v>
      </c>
      <c r="Q291" s="9">
        <v>1</v>
      </c>
      <c r="R291" s="9" t="s">
        <v>27</v>
      </c>
      <c r="S291" s="9" t="s">
        <v>28</v>
      </c>
    </row>
    <row r="292" spans="1:19" x14ac:dyDescent="0.15">
      <c r="A292" s="9">
        <v>20010</v>
      </c>
      <c r="B292" s="9">
        <v>3</v>
      </c>
      <c r="C292" s="9" t="str">
        <f t="shared" ref="C292:C301" si="33">A292&amp; "_"&amp;B292</f>
        <v>20010_3</v>
      </c>
      <c r="D292" s="9" t="str">
        <f>VLOOKUP(C292,[1]stages!$A:$AE,31,FALSE)</f>
        <v>everyone</v>
      </c>
      <c r="E292" s="9">
        <v>291</v>
      </c>
      <c r="F292" s="9">
        <v>25</v>
      </c>
      <c r="G292" s="10" t="str">
        <f>IF(I292="unit",VLOOKUP(F292,[2]characters!$A:$C,3,FALSE),"-")</f>
        <v>-</v>
      </c>
      <c r="H292" s="9">
        <v>100</v>
      </c>
      <c r="I292" s="9" t="s">
        <v>35</v>
      </c>
      <c r="J292" s="9" t="s">
        <v>33</v>
      </c>
      <c r="K292" s="9">
        <v>1</v>
      </c>
      <c r="L292" s="9">
        <v>1</v>
      </c>
      <c r="M292" s="9">
        <v>0</v>
      </c>
      <c r="N292" s="9">
        <v>0</v>
      </c>
      <c r="O292" s="9">
        <v>0</v>
      </c>
      <c r="P292" s="9">
        <v>0</v>
      </c>
      <c r="Q292" s="9">
        <v>1</v>
      </c>
      <c r="R292" s="9" t="s">
        <v>27</v>
      </c>
      <c r="S292" s="9" t="s">
        <v>28</v>
      </c>
    </row>
    <row r="293" spans="1:19" x14ac:dyDescent="0.15">
      <c r="A293" s="9">
        <v>20010</v>
      </c>
      <c r="B293" s="9">
        <v>3</v>
      </c>
      <c r="C293" s="9" t="str">
        <f t="shared" si="33"/>
        <v>20010_3</v>
      </c>
      <c r="D293" s="9" t="str">
        <f>VLOOKUP(C293,[1]stages!$A:$AE,31,FALSE)</f>
        <v>everyone</v>
      </c>
      <c r="E293" s="9">
        <v>292</v>
      </c>
      <c r="F293" s="9">
        <v>344</v>
      </c>
      <c r="G293" s="10" t="str">
        <f>IF(I293="unit",VLOOKUP(F293,[2]characters!$A:$C,3,FALSE),"-")</f>
        <v>雷のメタルピヨピヨ</v>
      </c>
      <c r="H293" s="9">
        <v>56</v>
      </c>
      <c r="I293" s="9" t="s">
        <v>36</v>
      </c>
      <c r="J293" s="9">
        <v>1</v>
      </c>
      <c r="K293" s="9">
        <v>1</v>
      </c>
      <c r="L293" s="9">
        <v>1</v>
      </c>
      <c r="M293" s="9">
        <v>0</v>
      </c>
      <c r="N293" s="9">
        <v>0</v>
      </c>
      <c r="O293" s="9">
        <v>0</v>
      </c>
      <c r="P293" s="9">
        <v>0</v>
      </c>
      <c r="Q293" s="9">
        <v>1</v>
      </c>
      <c r="R293" s="9" t="s">
        <v>27</v>
      </c>
      <c r="S293" s="9" t="s">
        <v>28</v>
      </c>
    </row>
    <row r="294" spans="1:19" x14ac:dyDescent="0.15">
      <c r="A294" s="9">
        <v>20010</v>
      </c>
      <c r="B294" s="9">
        <v>3</v>
      </c>
      <c r="C294" s="9" t="str">
        <f t="shared" si="33"/>
        <v>20010_3</v>
      </c>
      <c r="D294" s="9" t="str">
        <f>VLOOKUP(C294,[1]stages!$A:$AE,31,FALSE)</f>
        <v>everyone</v>
      </c>
      <c r="E294" s="9">
        <v>293</v>
      </c>
      <c r="F294" s="9">
        <v>345</v>
      </c>
      <c r="G294" s="10" t="str">
        <f>IF(I294="unit",VLOOKUP(F294,[2]characters!$A:$C,3,FALSE),"-")</f>
        <v>雷のメタルチック</v>
      </c>
      <c r="H294" s="9">
        <v>56</v>
      </c>
      <c r="I294" s="9" t="s">
        <v>36</v>
      </c>
      <c r="J294" s="9">
        <v>1</v>
      </c>
      <c r="K294" s="9">
        <v>1</v>
      </c>
      <c r="L294" s="9">
        <v>1</v>
      </c>
      <c r="M294" s="9">
        <v>0</v>
      </c>
      <c r="N294" s="9">
        <v>0</v>
      </c>
      <c r="O294" s="9">
        <v>0</v>
      </c>
      <c r="P294" s="9">
        <v>0</v>
      </c>
      <c r="Q294" s="9">
        <v>1</v>
      </c>
      <c r="R294" s="9" t="s">
        <v>27</v>
      </c>
      <c r="S294" s="9" t="s">
        <v>28</v>
      </c>
    </row>
    <row r="295" spans="1:19" x14ac:dyDescent="0.15">
      <c r="A295" s="9">
        <v>20010</v>
      </c>
      <c r="B295" s="9">
        <v>3</v>
      </c>
      <c r="C295" s="9" t="str">
        <f t="shared" si="33"/>
        <v>20010_3</v>
      </c>
      <c r="D295" s="9" t="str">
        <f>VLOOKUP(C295,[1]stages!$A:$AE,31,FALSE)</f>
        <v>everyone</v>
      </c>
      <c r="E295" s="9">
        <v>294</v>
      </c>
      <c r="F295" s="9">
        <v>346</v>
      </c>
      <c r="G295" s="10" t="str">
        <f>IF(I295="unit",VLOOKUP(F295,[2]characters!$A:$C,3,FALSE),"-")</f>
        <v>雷のメタルダック</v>
      </c>
      <c r="H295" s="9">
        <v>28</v>
      </c>
      <c r="I295" s="9" t="s">
        <v>36</v>
      </c>
      <c r="J295" s="9">
        <v>1</v>
      </c>
      <c r="K295" s="9">
        <v>1</v>
      </c>
      <c r="L295" s="9">
        <v>1</v>
      </c>
      <c r="M295" s="9">
        <v>0</v>
      </c>
      <c r="N295" s="9">
        <v>0</v>
      </c>
      <c r="O295" s="9">
        <v>0</v>
      </c>
      <c r="P295" s="9">
        <v>0</v>
      </c>
      <c r="Q295" s="9">
        <v>1</v>
      </c>
      <c r="R295" s="9" t="s">
        <v>27</v>
      </c>
      <c r="S295" s="9" t="s">
        <v>28</v>
      </c>
    </row>
    <row r="296" spans="1:19" x14ac:dyDescent="0.15">
      <c r="A296" s="9">
        <v>20010</v>
      </c>
      <c r="B296" s="9">
        <v>3</v>
      </c>
      <c r="C296" s="9" t="str">
        <f t="shared" si="33"/>
        <v>20010_3</v>
      </c>
      <c r="D296" s="9" t="str">
        <f>VLOOKUP(C296,[1]stages!$A:$AE,31,FALSE)</f>
        <v>everyone</v>
      </c>
      <c r="E296" s="9">
        <v>295</v>
      </c>
      <c r="F296" s="9">
        <v>121</v>
      </c>
      <c r="G296" s="10" t="str">
        <f>IF(I296="unit",VLOOKUP(F296,[2]characters!$A:$C,3,FALSE),"-")</f>
        <v>攻めの果実</v>
      </c>
      <c r="H296" s="9">
        <v>50</v>
      </c>
      <c r="I296" s="9" t="s">
        <v>36</v>
      </c>
      <c r="J296" s="9">
        <v>1</v>
      </c>
      <c r="K296" s="9">
        <v>1</v>
      </c>
      <c r="L296" s="9">
        <v>1</v>
      </c>
      <c r="M296" s="9">
        <v>0</v>
      </c>
      <c r="N296" s="9">
        <v>0</v>
      </c>
      <c r="O296" s="9">
        <v>0</v>
      </c>
      <c r="P296" s="9">
        <v>0</v>
      </c>
      <c r="Q296" s="9">
        <v>1</v>
      </c>
      <c r="R296" s="9" t="s">
        <v>27</v>
      </c>
      <c r="S296" s="9" t="s">
        <v>28</v>
      </c>
    </row>
    <row r="297" spans="1:19" x14ac:dyDescent="0.15">
      <c r="A297" s="9">
        <v>20010</v>
      </c>
      <c r="B297" s="9">
        <v>3</v>
      </c>
      <c r="C297" s="9" t="str">
        <f t="shared" si="33"/>
        <v>20010_3</v>
      </c>
      <c r="D297" s="9" t="str">
        <f>VLOOKUP(C297,[1]stages!$A:$AE,31,FALSE)</f>
        <v>everyone</v>
      </c>
      <c r="E297" s="9">
        <v>296</v>
      </c>
      <c r="F297" s="9">
        <v>122</v>
      </c>
      <c r="G297" s="10" t="str">
        <f>IF(I297="unit",VLOOKUP(F297,[2]characters!$A:$C,3,FALSE),"-")</f>
        <v>生命の果実</v>
      </c>
      <c r="H297" s="9">
        <v>50</v>
      </c>
      <c r="I297" s="9" t="s">
        <v>36</v>
      </c>
      <c r="J297" s="9">
        <v>1</v>
      </c>
      <c r="K297" s="9">
        <v>1</v>
      </c>
      <c r="L297" s="9">
        <v>1</v>
      </c>
      <c r="M297" s="9">
        <v>0</v>
      </c>
      <c r="N297" s="9">
        <v>0</v>
      </c>
      <c r="O297" s="9">
        <v>0</v>
      </c>
      <c r="P297" s="9">
        <v>0</v>
      </c>
      <c r="Q297" s="9">
        <v>1</v>
      </c>
      <c r="R297" s="9" t="s">
        <v>27</v>
      </c>
      <c r="S297" s="9" t="s">
        <v>28</v>
      </c>
    </row>
    <row r="298" spans="1:19" x14ac:dyDescent="0.15">
      <c r="A298" s="9">
        <v>20010</v>
      </c>
      <c r="B298" s="9">
        <v>3</v>
      </c>
      <c r="C298" s="9" t="str">
        <f t="shared" si="33"/>
        <v>20010_3</v>
      </c>
      <c r="D298" s="9" t="str">
        <f>VLOOKUP(C298,[1]stages!$A:$AE,31,FALSE)</f>
        <v>everyone</v>
      </c>
      <c r="E298" s="9">
        <v>297</v>
      </c>
      <c r="F298" s="9">
        <v>123</v>
      </c>
      <c r="G298" s="10" t="str">
        <f>IF(I298="unit",VLOOKUP(F298,[2]characters!$A:$C,3,FALSE),"-")</f>
        <v>癒しの果実</v>
      </c>
      <c r="H298" s="9">
        <v>50</v>
      </c>
      <c r="I298" s="9" t="s">
        <v>36</v>
      </c>
      <c r="J298" s="9">
        <v>1</v>
      </c>
      <c r="K298" s="9">
        <v>1</v>
      </c>
      <c r="L298" s="9">
        <v>1</v>
      </c>
      <c r="M298" s="9">
        <v>0</v>
      </c>
      <c r="N298" s="9">
        <v>0</v>
      </c>
      <c r="O298" s="9">
        <v>0</v>
      </c>
      <c r="P298" s="9">
        <v>0</v>
      </c>
      <c r="Q298" s="9">
        <v>1</v>
      </c>
      <c r="R298" s="9" t="s">
        <v>27</v>
      </c>
      <c r="S298" s="9" t="s">
        <v>28</v>
      </c>
    </row>
    <row r="299" spans="1:19" x14ac:dyDescent="0.15">
      <c r="A299" s="9">
        <v>20010</v>
      </c>
      <c r="B299" s="9">
        <v>3</v>
      </c>
      <c r="C299" s="9" t="str">
        <f t="shared" si="33"/>
        <v>20010_3</v>
      </c>
      <c r="D299" s="9" t="str">
        <f>VLOOKUP(C299,[1]stages!$A:$AE,31,FALSE)</f>
        <v>everyone</v>
      </c>
      <c r="E299" s="9">
        <v>298</v>
      </c>
      <c r="F299" s="9">
        <v>125</v>
      </c>
      <c r="G299" s="10" t="str">
        <f>IF(I299="unit",VLOOKUP(F299,[2]characters!$A:$C,3,FALSE),"-")</f>
        <v>秘術の果実</v>
      </c>
      <c r="H299" s="9">
        <v>10</v>
      </c>
      <c r="I299" s="9" t="s">
        <v>36</v>
      </c>
      <c r="J299" s="9">
        <v>1</v>
      </c>
      <c r="K299" s="9">
        <v>1</v>
      </c>
      <c r="L299" s="9">
        <v>1</v>
      </c>
      <c r="M299" s="9">
        <v>0</v>
      </c>
      <c r="N299" s="9">
        <v>0</v>
      </c>
      <c r="O299" s="9">
        <v>0</v>
      </c>
      <c r="P299" s="9">
        <v>0</v>
      </c>
      <c r="Q299" s="9">
        <v>1</v>
      </c>
      <c r="R299" s="9" t="s">
        <v>27</v>
      </c>
      <c r="S299" s="9" t="s">
        <v>28</v>
      </c>
    </row>
    <row r="300" spans="1:19" x14ac:dyDescent="0.15">
      <c r="A300" s="9">
        <v>20010</v>
      </c>
      <c r="B300" s="9">
        <v>3</v>
      </c>
      <c r="C300" s="9" t="str">
        <f t="shared" si="33"/>
        <v>20010_3</v>
      </c>
      <c r="D300" s="9" t="str">
        <f>VLOOKUP(C300,[1]stages!$A:$AE,31,FALSE)</f>
        <v>everyone</v>
      </c>
      <c r="E300" s="9">
        <v>299</v>
      </c>
      <c r="F300" s="9">
        <v>304</v>
      </c>
      <c r="G300" s="10" t="str">
        <f>IF(I300="unit",VLOOKUP(F300,[2]characters!$A:$C,3,FALSE),"-")</f>
        <v>電殺のチエミ</v>
      </c>
      <c r="H300" s="9">
        <v>400</v>
      </c>
      <c r="I300" s="9" t="s">
        <v>36</v>
      </c>
      <c r="J300" s="9">
        <v>1</v>
      </c>
      <c r="K300" s="9">
        <v>1</v>
      </c>
      <c r="L300" s="9">
        <v>1</v>
      </c>
      <c r="M300" s="9">
        <v>0</v>
      </c>
      <c r="N300" s="9">
        <v>0</v>
      </c>
      <c r="O300" s="9">
        <v>0</v>
      </c>
      <c r="P300" s="9">
        <v>0</v>
      </c>
      <c r="Q300" s="9">
        <v>1</v>
      </c>
      <c r="R300" s="9" t="s">
        <v>27</v>
      </c>
      <c r="S300" s="9" t="s">
        <v>28</v>
      </c>
    </row>
    <row r="301" spans="1:19" x14ac:dyDescent="0.15">
      <c r="A301" s="9">
        <v>20010</v>
      </c>
      <c r="B301" s="9">
        <v>3</v>
      </c>
      <c r="C301" s="9" t="str">
        <f t="shared" si="33"/>
        <v>20010_3</v>
      </c>
      <c r="D301" s="9" t="str">
        <f>VLOOKUP(C301,[1]stages!$A:$AE,31,FALSE)</f>
        <v>everyone</v>
      </c>
      <c r="E301" s="9">
        <v>300</v>
      </c>
      <c r="F301" s="9">
        <v>354</v>
      </c>
      <c r="G301" s="10" t="str">
        <f>IF(I301="unit",VLOOKUP(F301,[2]characters!$A:$C,3,FALSE),"-")</f>
        <v>雷のケロケロ</v>
      </c>
      <c r="H301" s="9">
        <v>100</v>
      </c>
      <c r="I301" s="9" t="s">
        <v>36</v>
      </c>
      <c r="J301" s="9">
        <v>1</v>
      </c>
      <c r="K301" s="9">
        <v>1</v>
      </c>
      <c r="L301" s="9">
        <v>1</v>
      </c>
      <c r="M301" s="9">
        <v>0</v>
      </c>
      <c r="N301" s="9">
        <v>0</v>
      </c>
      <c r="O301" s="9">
        <v>0</v>
      </c>
      <c r="P301" s="9">
        <v>0</v>
      </c>
      <c r="Q301" s="9">
        <v>1</v>
      </c>
      <c r="R301" s="9" t="s">
        <v>27</v>
      </c>
      <c r="S301" s="9" t="s">
        <v>28</v>
      </c>
    </row>
    <row r="302" spans="1:19" x14ac:dyDescent="0.15">
      <c r="A302" s="10">
        <v>20011</v>
      </c>
      <c r="B302" s="10">
        <v>1</v>
      </c>
      <c r="C302" s="10" t="str">
        <f>A302&amp; "_"&amp;B302</f>
        <v>20011_1</v>
      </c>
      <c r="D302" s="10" t="str">
        <f>VLOOKUP(C302,[1]stages!$A:$AE,31,FALSE)</f>
        <v>everyone</v>
      </c>
      <c r="E302" s="10">
        <v>301</v>
      </c>
      <c r="F302" s="10">
        <v>1700</v>
      </c>
      <c r="G302" s="10" t="str">
        <f>IF(I302="unit",VLOOKUP(F302,[2]characters!$A:$C,3,FALSE),"-")</f>
        <v>-</v>
      </c>
      <c r="H302" s="10">
        <v>200</v>
      </c>
      <c r="I302" s="10" t="s">
        <v>32</v>
      </c>
      <c r="J302" s="10" t="s">
        <v>33</v>
      </c>
      <c r="K302" s="10">
        <v>1</v>
      </c>
      <c r="L302" s="10">
        <v>1</v>
      </c>
      <c r="M302" s="10">
        <v>0</v>
      </c>
      <c r="N302" s="10">
        <v>0</v>
      </c>
      <c r="O302" s="10">
        <v>0</v>
      </c>
      <c r="P302" s="10">
        <v>0</v>
      </c>
      <c r="Q302" s="10">
        <v>1</v>
      </c>
      <c r="R302" s="10" t="s">
        <v>27</v>
      </c>
      <c r="S302" s="10" t="s">
        <v>28</v>
      </c>
    </row>
    <row r="303" spans="1:19" x14ac:dyDescent="0.15">
      <c r="A303" s="10">
        <v>20011</v>
      </c>
      <c r="B303" s="10">
        <v>1</v>
      </c>
      <c r="C303" s="10" t="str">
        <f t="shared" ref="C303:C311" si="34">A303&amp; "_"&amp;B303</f>
        <v>20011_1</v>
      </c>
      <c r="D303" s="10" t="str">
        <f>VLOOKUP(C303,[1]stages!$A:$AE,31,FALSE)</f>
        <v>everyone</v>
      </c>
      <c r="E303" s="10">
        <v>302</v>
      </c>
      <c r="F303" s="10">
        <v>20</v>
      </c>
      <c r="G303" s="10" t="str">
        <f>IF(I303="unit",VLOOKUP(F303,[2]characters!$A:$C,3,FALSE),"-")</f>
        <v>-</v>
      </c>
      <c r="H303" s="10">
        <v>200</v>
      </c>
      <c r="I303" s="10" t="s">
        <v>35</v>
      </c>
      <c r="J303" s="10" t="s">
        <v>33</v>
      </c>
      <c r="K303" s="10">
        <v>1</v>
      </c>
      <c r="L303" s="10">
        <v>1</v>
      </c>
      <c r="M303" s="10">
        <v>0</v>
      </c>
      <c r="N303" s="10">
        <v>0</v>
      </c>
      <c r="O303" s="10">
        <v>0</v>
      </c>
      <c r="P303" s="10">
        <v>0</v>
      </c>
      <c r="Q303" s="10">
        <v>1</v>
      </c>
      <c r="R303" s="10" t="s">
        <v>27</v>
      </c>
      <c r="S303" s="10" t="s">
        <v>28</v>
      </c>
    </row>
    <row r="304" spans="1:19" x14ac:dyDescent="0.15">
      <c r="A304" s="10">
        <v>20011</v>
      </c>
      <c r="B304" s="10">
        <v>1</v>
      </c>
      <c r="C304" s="10" t="str">
        <f t="shared" si="34"/>
        <v>20011_1</v>
      </c>
      <c r="D304" s="10" t="str">
        <f>VLOOKUP(C304,[1]stages!$A:$AE,31,FALSE)</f>
        <v>everyone</v>
      </c>
      <c r="E304" s="10">
        <v>303</v>
      </c>
      <c r="F304" s="10">
        <v>332</v>
      </c>
      <c r="G304" s="10" t="str">
        <f>IF(I304="unit",VLOOKUP(F304,[2]characters!$A:$C,3,FALSE),"-")</f>
        <v>炎のメタルピヨピヨ</v>
      </c>
      <c r="H304" s="10">
        <v>98</v>
      </c>
      <c r="I304" s="10" t="s">
        <v>36</v>
      </c>
      <c r="J304" s="10">
        <v>1</v>
      </c>
      <c r="K304" s="10">
        <v>1</v>
      </c>
      <c r="L304" s="10">
        <v>1</v>
      </c>
      <c r="M304" s="10">
        <v>0</v>
      </c>
      <c r="N304" s="10">
        <v>0</v>
      </c>
      <c r="O304" s="10">
        <v>0</v>
      </c>
      <c r="P304" s="10">
        <v>0</v>
      </c>
      <c r="Q304" s="10">
        <v>1</v>
      </c>
      <c r="R304" s="10" t="s">
        <v>27</v>
      </c>
      <c r="S304" s="10" t="s">
        <v>28</v>
      </c>
    </row>
    <row r="305" spans="1:19" x14ac:dyDescent="0.15">
      <c r="A305" s="10">
        <v>20011</v>
      </c>
      <c r="B305" s="10">
        <v>1</v>
      </c>
      <c r="C305" s="10" t="str">
        <f t="shared" si="34"/>
        <v>20011_1</v>
      </c>
      <c r="D305" s="10" t="str">
        <f>VLOOKUP(C305,[1]stages!$A:$AE,31,FALSE)</f>
        <v>everyone</v>
      </c>
      <c r="E305" s="10">
        <v>304</v>
      </c>
      <c r="F305" s="10">
        <v>333</v>
      </c>
      <c r="G305" s="10" t="str">
        <f>IF(I305="unit",VLOOKUP(F305,[2]characters!$A:$C,3,FALSE),"-")</f>
        <v>炎のメタルチック</v>
      </c>
      <c r="H305" s="10">
        <v>42</v>
      </c>
      <c r="I305" s="10" t="s">
        <v>36</v>
      </c>
      <c r="J305" s="10">
        <v>1</v>
      </c>
      <c r="K305" s="10">
        <v>1</v>
      </c>
      <c r="L305" s="10">
        <v>1</v>
      </c>
      <c r="M305" s="10">
        <v>0</v>
      </c>
      <c r="N305" s="10">
        <v>0</v>
      </c>
      <c r="O305" s="10">
        <v>0</v>
      </c>
      <c r="P305" s="10">
        <v>0</v>
      </c>
      <c r="Q305" s="10">
        <v>1</v>
      </c>
      <c r="R305" s="10" t="s">
        <v>27</v>
      </c>
      <c r="S305" s="10" t="s">
        <v>28</v>
      </c>
    </row>
    <row r="306" spans="1:19" x14ac:dyDescent="0.15">
      <c r="A306" s="10">
        <v>20011</v>
      </c>
      <c r="B306" s="10">
        <v>1</v>
      </c>
      <c r="C306" s="10" t="str">
        <f t="shared" si="34"/>
        <v>20011_1</v>
      </c>
      <c r="D306" s="10" t="str">
        <f>VLOOKUP(C306,[1]stages!$A:$AE,31,FALSE)</f>
        <v>everyone</v>
      </c>
      <c r="E306" s="10">
        <v>305</v>
      </c>
      <c r="F306" s="10">
        <v>121</v>
      </c>
      <c r="G306" s="10" t="str">
        <f>IF(I306="unit",VLOOKUP(F306,[2]characters!$A:$C,3,FALSE),"-")</f>
        <v>攻めの果実</v>
      </c>
      <c r="H306" s="10">
        <v>50</v>
      </c>
      <c r="I306" s="10" t="s">
        <v>36</v>
      </c>
      <c r="J306" s="10">
        <v>1</v>
      </c>
      <c r="K306" s="10">
        <v>1</v>
      </c>
      <c r="L306" s="10">
        <v>1</v>
      </c>
      <c r="M306" s="10">
        <v>0</v>
      </c>
      <c r="N306" s="10">
        <v>0</v>
      </c>
      <c r="O306" s="10">
        <v>0</v>
      </c>
      <c r="P306" s="10">
        <v>0</v>
      </c>
      <c r="Q306" s="10">
        <v>1</v>
      </c>
      <c r="R306" s="10" t="s">
        <v>27</v>
      </c>
      <c r="S306" s="10" t="s">
        <v>28</v>
      </c>
    </row>
    <row r="307" spans="1:19" x14ac:dyDescent="0.15">
      <c r="A307" s="10">
        <v>20011</v>
      </c>
      <c r="B307" s="10">
        <v>1</v>
      </c>
      <c r="C307" s="10" t="str">
        <f t="shared" si="34"/>
        <v>20011_1</v>
      </c>
      <c r="D307" s="10" t="str">
        <f>VLOOKUP(C307,[1]stages!$A:$AE,31,FALSE)</f>
        <v>everyone</v>
      </c>
      <c r="E307" s="10">
        <v>306</v>
      </c>
      <c r="F307" s="10">
        <v>122</v>
      </c>
      <c r="G307" s="10" t="str">
        <f>IF(I307="unit",VLOOKUP(F307,[2]characters!$A:$C,3,FALSE),"-")</f>
        <v>生命の果実</v>
      </c>
      <c r="H307" s="10">
        <v>50</v>
      </c>
      <c r="I307" s="10" t="s">
        <v>36</v>
      </c>
      <c r="J307" s="10">
        <v>1</v>
      </c>
      <c r="K307" s="10">
        <v>1</v>
      </c>
      <c r="L307" s="10">
        <v>1</v>
      </c>
      <c r="M307" s="10">
        <v>0</v>
      </c>
      <c r="N307" s="10">
        <v>0</v>
      </c>
      <c r="O307" s="10">
        <v>0</v>
      </c>
      <c r="P307" s="10">
        <v>0</v>
      </c>
      <c r="Q307" s="10">
        <v>1</v>
      </c>
      <c r="R307" s="10" t="s">
        <v>27</v>
      </c>
      <c r="S307" s="10" t="s">
        <v>28</v>
      </c>
    </row>
    <row r="308" spans="1:19" x14ac:dyDescent="0.15">
      <c r="A308" s="10">
        <v>20011</v>
      </c>
      <c r="B308" s="10">
        <v>1</v>
      </c>
      <c r="C308" s="10" t="str">
        <f t="shared" si="34"/>
        <v>20011_1</v>
      </c>
      <c r="D308" s="10" t="str">
        <f>VLOOKUP(C308,[1]stages!$A:$AE,31,FALSE)</f>
        <v>everyone</v>
      </c>
      <c r="E308" s="10">
        <v>307</v>
      </c>
      <c r="F308" s="10">
        <v>123</v>
      </c>
      <c r="G308" s="10" t="str">
        <f>IF(I308="unit",VLOOKUP(F308,[2]characters!$A:$C,3,FALSE),"-")</f>
        <v>癒しの果実</v>
      </c>
      <c r="H308" s="10">
        <v>50</v>
      </c>
      <c r="I308" s="10" t="s">
        <v>36</v>
      </c>
      <c r="J308" s="10">
        <v>1</v>
      </c>
      <c r="K308" s="10">
        <v>1</v>
      </c>
      <c r="L308" s="10">
        <v>1</v>
      </c>
      <c r="M308" s="10">
        <v>0</v>
      </c>
      <c r="N308" s="10">
        <v>0</v>
      </c>
      <c r="O308" s="10">
        <v>0</v>
      </c>
      <c r="P308" s="10">
        <v>0</v>
      </c>
      <c r="Q308" s="10">
        <v>1</v>
      </c>
      <c r="R308" s="10" t="s">
        <v>27</v>
      </c>
      <c r="S308" s="10" t="s">
        <v>28</v>
      </c>
    </row>
    <row r="309" spans="1:19" x14ac:dyDescent="0.15">
      <c r="A309" s="10">
        <v>20011</v>
      </c>
      <c r="B309" s="10">
        <v>1</v>
      </c>
      <c r="C309" s="10" t="str">
        <f t="shared" si="34"/>
        <v>20011_1</v>
      </c>
      <c r="D309" s="10" t="str">
        <f>VLOOKUP(C309,[1]stages!$A:$AE,31,FALSE)</f>
        <v>everyone</v>
      </c>
      <c r="E309" s="10">
        <v>308</v>
      </c>
      <c r="F309" s="10">
        <v>125</v>
      </c>
      <c r="G309" s="10" t="str">
        <f>IF(I309="unit",VLOOKUP(F309,[2]characters!$A:$C,3,FALSE),"-")</f>
        <v>秘術の果実</v>
      </c>
      <c r="H309" s="10">
        <v>10</v>
      </c>
      <c r="I309" s="10" t="s">
        <v>36</v>
      </c>
      <c r="J309" s="10">
        <v>1</v>
      </c>
      <c r="K309" s="10">
        <v>1</v>
      </c>
      <c r="L309" s="10">
        <v>1</v>
      </c>
      <c r="M309" s="10">
        <v>0</v>
      </c>
      <c r="N309" s="10">
        <v>0</v>
      </c>
      <c r="O309" s="10">
        <v>0</v>
      </c>
      <c r="P309" s="10">
        <v>0</v>
      </c>
      <c r="Q309" s="10">
        <v>1</v>
      </c>
      <c r="R309" s="10" t="s">
        <v>27</v>
      </c>
      <c r="S309" s="10" t="s">
        <v>28</v>
      </c>
    </row>
    <row r="310" spans="1:19" x14ac:dyDescent="0.15">
      <c r="A310" s="10">
        <v>20011</v>
      </c>
      <c r="B310" s="10">
        <v>1</v>
      </c>
      <c r="C310" s="10" t="str">
        <f t="shared" si="34"/>
        <v>20011_1</v>
      </c>
      <c r="D310" s="10" t="str">
        <f>VLOOKUP(C310,[1]stages!$A:$AE,31,FALSE)</f>
        <v>everyone</v>
      </c>
      <c r="E310" s="10">
        <v>309</v>
      </c>
      <c r="F310" s="10">
        <v>298</v>
      </c>
      <c r="G310" s="10" t="str">
        <f>IF(I310="unit",VLOOKUP(F310,[2]characters!$A:$C,3,FALSE),"-")</f>
        <v>炎殺のミサコ</v>
      </c>
      <c r="H310" s="10">
        <v>200</v>
      </c>
      <c r="I310" s="10" t="s">
        <v>36</v>
      </c>
      <c r="J310" s="10">
        <v>1</v>
      </c>
      <c r="K310" s="10">
        <v>1</v>
      </c>
      <c r="L310" s="10">
        <v>1</v>
      </c>
      <c r="M310" s="10">
        <v>0</v>
      </c>
      <c r="N310" s="10">
        <v>0</v>
      </c>
      <c r="O310" s="10">
        <v>0</v>
      </c>
      <c r="P310" s="10">
        <v>0</v>
      </c>
      <c r="Q310" s="10">
        <v>1</v>
      </c>
      <c r="R310" s="10" t="s">
        <v>27</v>
      </c>
      <c r="S310" s="10" t="s">
        <v>28</v>
      </c>
    </row>
    <row r="311" spans="1:19" x14ac:dyDescent="0.15">
      <c r="A311" s="10">
        <v>20011</v>
      </c>
      <c r="B311" s="10">
        <v>1</v>
      </c>
      <c r="C311" s="10" t="str">
        <f t="shared" si="34"/>
        <v>20011_1</v>
      </c>
      <c r="D311" s="10" t="str">
        <f>VLOOKUP(C311,[1]stages!$A:$AE,31,FALSE)</f>
        <v>everyone</v>
      </c>
      <c r="E311" s="10">
        <v>310</v>
      </c>
      <c r="F311" s="10">
        <v>348</v>
      </c>
      <c r="G311" s="10" t="str">
        <f>IF(I311="unit",VLOOKUP(F311,[2]characters!$A:$C,3,FALSE),"-")</f>
        <v>炎のケロケロ</v>
      </c>
      <c r="H311" s="10">
        <v>100</v>
      </c>
      <c r="I311" s="10" t="s">
        <v>36</v>
      </c>
      <c r="J311" s="10">
        <v>1</v>
      </c>
      <c r="K311" s="10">
        <v>1</v>
      </c>
      <c r="L311" s="10">
        <v>1</v>
      </c>
      <c r="M311" s="10">
        <v>0</v>
      </c>
      <c r="N311" s="10">
        <v>0</v>
      </c>
      <c r="O311" s="10">
        <v>0</v>
      </c>
      <c r="P311" s="10">
        <v>0</v>
      </c>
      <c r="Q311" s="10">
        <v>1</v>
      </c>
      <c r="R311" s="10" t="s">
        <v>27</v>
      </c>
      <c r="S311" s="10" t="s">
        <v>28</v>
      </c>
    </row>
    <row r="312" spans="1:19" x14ac:dyDescent="0.15">
      <c r="A312" s="10">
        <v>20011</v>
      </c>
      <c r="B312" s="10">
        <v>2</v>
      </c>
      <c r="C312" s="10" t="str">
        <f>A312&amp; "_"&amp;B312</f>
        <v>20011_2</v>
      </c>
      <c r="D312" s="10" t="str">
        <f>VLOOKUP(C312,[1]stages!$A:$AE,31,FALSE)</f>
        <v>everyone</v>
      </c>
      <c r="E312" s="10">
        <v>311</v>
      </c>
      <c r="F312" s="10">
        <v>3200</v>
      </c>
      <c r="G312" s="10" t="str">
        <f>IF(I312="unit",VLOOKUP(F312,[2]characters!$A:$C,3,FALSE),"-")</f>
        <v>-</v>
      </c>
      <c r="H312" s="10">
        <v>200</v>
      </c>
      <c r="I312" s="10" t="s">
        <v>32</v>
      </c>
      <c r="J312" s="10" t="s">
        <v>33</v>
      </c>
      <c r="K312" s="10">
        <v>1</v>
      </c>
      <c r="L312" s="10">
        <v>1</v>
      </c>
      <c r="M312" s="10">
        <v>0</v>
      </c>
      <c r="N312" s="10">
        <v>0</v>
      </c>
      <c r="O312" s="10">
        <v>0</v>
      </c>
      <c r="P312" s="10">
        <v>0</v>
      </c>
      <c r="Q312" s="10">
        <v>1</v>
      </c>
      <c r="R312" s="10" t="s">
        <v>27</v>
      </c>
      <c r="S312" s="10" t="s">
        <v>28</v>
      </c>
    </row>
    <row r="313" spans="1:19" x14ac:dyDescent="0.15">
      <c r="A313" s="10">
        <v>20011</v>
      </c>
      <c r="B313" s="10">
        <v>2</v>
      </c>
      <c r="C313" s="10" t="str">
        <f t="shared" ref="C313:C321" si="35">A313&amp; "_"&amp;B313</f>
        <v>20011_2</v>
      </c>
      <c r="D313" s="10" t="str">
        <f>VLOOKUP(C313,[1]stages!$A:$AE,31,FALSE)</f>
        <v>everyone</v>
      </c>
      <c r="E313" s="10">
        <v>312</v>
      </c>
      <c r="F313" s="10">
        <v>20</v>
      </c>
      <c r="G313" s="10" t="str">
        <f>IF(I313="unit",VLOOKUP(F313,[2]characters!$A:$C,3,FALSE),"-")</f>
        <v>-</v>
      </c>
      <c r="H313" s="10">
        <v>150</v>
      </c>
      <c r="I313" s="10" t="s">
        <v>35</v>
      </c>
      <c r="J313" s="10" t="s">
        <v>33</v>
      </c>
      <c r="K313" s="10">
        <v>1</v>
      </c>
      <c r="L313" s="10">
        <v>1</v>
      </c>
      <c r="M313" s="10">
        <v>0</v>
      </c>
      <c r="N313" s="10">
        <v>0</v>
      </c>
      <c r="O313" s="10">
        <v>0</v>
      </c>
      <c r="P313" s="10">
        <v>0</v>
      </c>
      <c r="Q313" s="10">
        <v>1</v>
      </c>
      <c r="R313" s="10" t="s">
        <v>27</v>
      </c>
      <c r="S313" s="10" t="s">
        <v>28</v>
      </c>
    </row>
    <row r="314" spans="1:19" x14ac:dyDescent="0.15">
      <c r="A314" s="10">
        <v>20011</v>
      </c>
      <c r="B314" s="10">
        <v>2</v>
      </c>
      <c r="C314" s="10" t="str">
        <f t="shared" si="35"/>
        <v>20011_2</v>
      </c>
      <c r="D314" s="10" t="str">
        <f>VLOOKUP(C314,[1]stages!$A:$AE,31,FALSE)</f>
        <v>everyone</v>
      </c>
      <c r="E314" s="10">
        <v>313</v>
      </c>
      <c r="F314" s="10">
        <v>332</v>
      </c>
      <c r="G314" s="10" t="str">
        <f>IF(I314="unit",VLOOKUP(F314,[2]characters!$A:$C,3,FALSE),"-")</f>
        <v>炎のメタルピヨピヨ</v>
      </c>
      <c r="H314" s="10">
        <v>70</v>
      </c>
      <c r="I314" s="10" t="s">
        <v>36</v>
      </c>
      <c r="J314" s="10">
        <v>1</v>
      </c>
      <c r="K314" s="10">
        <v>1</v>
      </c>
      <c r="L314" s="10">
        <v>1</v>
      </c>
      <c r="M314" s="10">
        <v>0</v>
      </c>
      <c r="N314" s="10">
        <v>0</v>
      </c>
      <c r="O314" s="10">
        <v>0</v>
      </c>
      <c r="P314" s="10">
        <v>0</v>
      </c>
      <c r="Q314" s="10">
        <v>1</v>
      </c>
      <c r="R314" s="10" t="s">
        <v>27</v>
      </c>
      <c r="S314" s="10" t="s">
        <v>28</v>
      </c>
    </row>
    <row r="315" spans="1:19" x14ac:dyDescent="0.15">
      <c r="A315" s="10">
        <v>20011</v>
      </c>
      <c r="B315" s="10">
        <v>2</v>
      </c>
      <c r="C315" s="10" t="str">
        <f t="shared" si="35"/>
        <v>20011_2</v>
      </c>
      <c r="D315" s="10" t="str">
        <f>VLOOKUP(C315,[1]stages!$A:$AE,31,FALSE)</f>
        <v>everyone</v>
      </c>
      <c r="E315" s="10">
        <v>314</v>
      </c>
      <c r="F315" s="10">
        <v>333</v>
      </c>
      <c r="G315" s="10" t="str">
        <f>IF(I315="unit",VLOOKUP(F315,[2]characters!$A:$C,3,FALSE),"-")</f>
        <v>炎のメタルチック</v>
      </c>
      <c r="H315" s="10">
        <v>70</v>
      </c>
      <c r="I315" s="10" t="s">
        <v>36</v>
      </c>
      <c r="J315" s="10">
        <v>1</v>
      </c>
      <c r="K315" s="10">
        <v>1</v>
      </c>
      <c r="L315" s="10">
        <v>1</v>
      </c>
      <c r="M315" s="10">
        <v>0</v>
      </c>
      <c r="N315" s="10">
        <v>0</v>
      </c>
      <c r="O315" s="10">
        <v>0</v>
      </c>
      <c r="P315" s="10">
        <v>0</v>
      </c>
      <c r="Q315" s="10">
        <v>1</v>
      </c>
      <c r="R315" s="10" t="s">
        <v>27</v>
      </c>
      <c r="S315" s="10" t="s">
        <v>28</v>
      </c>
    </row>
    <row r="316" spans="1:19" x14ac:dyDescent="0.15">
      <c r="A316" s="10">
        <v>20011</v>
      </c>
      <c r="B316" s="10">
        <v>2</v>
      </c>
      <c r="C316" s="10" t="str">
        <f t="shared" si="35"/>
        <v>20011_2</v>
      </c>
      <c r="D316" s="10" t="str">
        <f>VLOOKUP(C316,[1]stages!$A:$AE,31,FALSE)</f>
        <v>everyone</v>
      </c>
      <c r="E316" s="10">
        <v>315</v>
      </c>
      <c r="F316" s="10">
        <v>121</v>
      </c>
      <c r="G316" s="10" t="str">
        <f>IF(I316="unit",VLOOKUP(F316,[2]characters!$A:$C,3,FALSE),"-")</f>
        <v>攻めの果実</v>
      </c>
      <c r="H316" s="10">
        <v>50</v>
      </c>
      <c r="I316" s="10" t="s">
        <v>36</v>
      </c>
      <c r="J316" s="10">
        <v>1</v>
      </c>
      <c r="K316" s="10">
        <v>1</v>
      </c>
      <c r="L316" s="10">
        <v>1</v>
      </c>
      <c r="M316" s="10">
        <v>0</v>
      </c>
      <c r="N316" s="10">
        <v>0</v>
      </c>
      <c r="O316" s="10">
        <v>0</v>
      </c>
      <c r="P316" s="10">
        <v>0</v>
      </c>
      <c r="Q316" s="10">
        <v>1</v>
      </c>
      <c r="R316" s="10" t="s">
        <v>27</v>
      </c>
      <c r="S316" s="10" t="s">
        <v>28</v>
      </c>
    </row>
    <row r="317" spans="1:19" x14ac:dyDescent="0.15">
      <c r="A317" s="10">
        <v>20011</v>
      </c>
      <c r="B317" s="10">
        <v>2</v>
      </c>
      <c r="C317" s="10" t="str">
        <f t="shared" si="35"/>
        <v>20011_2</v>
      </c>
      <c r="D317" s="10" t="str">
        <f>VLOOKUP(C317,[1]stages!$A:$AE,31,FALSE)</f>
        <v>everyone</v>
      </c>
      <c r="E317" s="10">
        <v>316</v>
      </c>
      <c r="F317" s="10">
        <v>122</v>
      </c>
      <c r="G317" s="10" t="str">
        <f>IF(I317="unit",VLOOKUP(F317,[2]characters!$A:$C,3,FALSE),"-")</f>
        <v>生命の果実</v>
      </c>
      <c r="H317" s="10">
        <v>50</v>
      </c>
      <c r="I317" s="10" t="s">
        <v>36</v>
      </c>
      <c r="J317" s="10">
        <v>1</v>
      </c>
      <c r="K317" s="10">
        <v>1</v>
      </c>
      <c r="L317" s="10">
        <v>1</v>
      </c>
      <c r="M317" s="10">
        <v>0</v>
      </c>
      <c r="N317" s="10">
        <v>0</v>
      </c>
      <c r="O317" s="10">
        <v>0</v>
      </c>
      <c r="P317" s="10">
        <v>0</v>
      </c>
      <c r="Q317" s="10">
        <v>1</v>
      </c>
      <c r="R317" s="10" t="s">
        <v>27</v>
      </c>
      <c r="S317" s="10" t="s">
        <v>28</v>
      </c>
    </row>
    <row r="318" spans="1:19" x14ac:dyDescent="0.15">
      <c r="A318" s="10">
        <v>20011</v>
      </c>
      <c r="B318" s="10">
        <v>2</v>
      </c>
      <c r="C318" s="10" t="str">
        <f t="shared" si="35"/>
        <v>20011_2</v>
      </c>
      <c r="D318" s="10" t="str">
        <f>VLOOKUP(C318,[1]stages!$A:$AE,31,FALSE)</f>
        <v>everyone</v>
      </c>
      <c r="E318" s="10">
        <v>317</v>
      </c>
      <c r="F318" s="10">
        <v>123</v>
      </c>
      <c r="G318" s="10" t="str">
        <f>IF(I318="unit",VLOOKUP(F318,[2]characters!$A:$C,3,FALSE),"-")</f>
        <v>癒しの果実</v>
      </c>
      <c r="H318" s="10">
        <v>50</v>
      </c>
      <c r="I318" s="10" t="s">
        <v>36</v>
      </c>
      <c r="J318" s="10">
        <v>1</v>
      </c>
      <c r="K318" s="10">
        <v>1</v>
      </c>
      <c r="L318" s="10">
        <v>1</v>
      </c>
      <c r="M318" s="10">
        <v>0</v>
      </c>
      <c r="N318" s="10">
        <v>0</v>
      </c>
      <c r="O318" s="10">
        <v>0</v>
      </c>
      <c r="P318" s="10">
        <v>0</v>
      </c>
      <c r="Q318" s="10">
        <v>1</v>
      </c>
      <c r="R318" s="10" t="s">
        <v>27</v>
      </c>
      <c r="S318" s="10" t="s">
        <v>28</v>
      </c>
    </row>
    <row r="319" spans="1:19" x14ac:dyDescent="0.15">
      <c r="A319" s="10">
        <v>20011</v>
      </c>
      <c r="B319" s="10">
        <v>2</v>
      </c>
      <c r="C319" s="10" t="str">
        <f t="shared" si="35"/>
        <v>20011_2</v>
      </c>
      <c r="D319" s="10" t="str">
        <f>VLOOKUP(C319,[1]stages!$A:$AE,31,FALSE)</f>
        <v>everyone</v>
      </c>
      <c r="E319" s="10">
        <v>318</v>
      </c>
      <c r="F319" s="10">
        <v>125</v>
      </c>
      <c r="G319" s="10" t="str">
        <f>IF(I319="unit",VLOOKUP(F319,[2]characters!$A:$C,3,FALSE),"-")</f>
        <v>秘術の果実</v>
      </c>
      <c r="H319" s="10">
        <v>10</v>
      </c>
      <c r="I319" s="10" t="s">
        <v>36</v>
      </c>
      <c r="J319" s="10">
        <v>1</v>
      </c>
      <c r="K319" s="10">
        <v>1</v>
      </c>
      <c r="L319" s="10">
        <v>1</v>
      </c>
      <c r="M319" s="10">
        <v>0</v>
      </c>
      <c r="N319" s="10">
        <v>0</v>
      </c>
      <c r="O319" s="10">
        <v>0</v>
      </c>
      <c r="P319" s="10">
        <v>0</v>
      </c>
      <c r="Q319" s="10">
        <v>1</v>
      </c>
      <c r="R319" s="10" t="s">
        <v>27</v>
      </c>
      <c r="S319" s="10" t="s">
        <v>28</v>
      </c>
    </row>
    <row r="320" spans="1:19" x14ac:dyDescent="0.15">
      <c r="A320" s="10">
        <v>20011</v>
      </c>
      <c r="B320" s="10">
        <v>2</v>
      </c>
      <c r="C320" s="10" t="str">
        <f t="shared" si="35"/>
        <v>20011_2</v>
      </c>
      <c r="D320" s="10" t="str">
        <f>VLOOKUP(C320,[1]stages!$A:$AE,31,FALSE)</f>
        <v>everyone</v>
      </c>
      <c r="E320" s="10">
        <v>319</v>
      </c>
      <c r="F320" s="10">
        <v>298</v>
      </c>
      <c r="G320" s="10" t="str">
        <f>IF(I320="unit",VLOOKUP(F320,[2]characters!$A:$C,3,FALSE),"-")</f>
        <v>炎殺のミサコ</v>
      </c>
      <c r="H320" s="10">
        <v>250</v>
      </c>
      <c r="I320" s="10" t="s">
        <v>36</v>
      </c>
      <c r="J320" s="10">
        <v>1</v>
      </c>
      <c r="K320" s="10">
        <v>1</v>
      </c>
      <c r="L320" s="10">
        <v>1</v>
      </c>
      <c r="M320" s="10">
        <v>0</v>
      </c>
      <c r="N320" s="10">
        <v>0</v>
      </c>
      <c r="O320" s="10">
        <v>0</v>
      </c>
      <c r="P320" s="10">
        <v>0</v>
      </c>
      <c r="Q320" s="10">
        <v>1</v>
      </c>
      <c r="R320" s="10" t="s">
        <v>27</v>
      </c>
      <c r="S320" s="10" t="s">
        <v>28</v>
      </c>
    </row>
    <row r="321" spans="1:19" x14ac:dyDescent="0.15">
      <c r="A321" s="10">
        <v>20011</v>
      </c>
      <c r="B321" s="10">
        <v>2</v>
      </c>
      <c r="C321" s="10" t="str">
        <f t="shared" si="35"/>
        <v>20011_2</v>
      </c>
      <c r="D321" s="10" t="str">
        <f>VLOOKUP(C321,[1]stages!$A:$AE,31,FALSE)</f>
        <v>everyone</v>
      </c>
      <c r="E321" s="10">
        <v>320</v>
      </c>
      <c r="F321" s="10">
        <v>348</v>
      </c>
      <c r="G321" s="10" t="str">
        <f>IF(I321="unit",VLOOKUP(F321,[2]characters!$A:$C,3,FALSE),"-")</f>
        <v>炎のケロケロ</v>
      </c>
      <c r="H321" s="10">
        <v>100</v>
      </c>
      <c r="I321" s="10" t="s">
        <v>36</v>
      </c>
      <c r="J321" s="10">
        <v>1</v>
      </c>
      <c r="K321" s="10">
        <v>1</v>
      </c>
      <c r="L321" s="10">
        <v>1</v>
      </c>
      <c r="M321" s="10">
        <v>0</v>
      </c>
      <c r="N321" s="10">
        <v>0</v>
      </c>
      <c r="O321" s="10">
        <v>0</v>
      </c>
      <c r="P321" s="10">
        <v>0</v>
      </c>
      <c r="Q321" s="10">
        <v>1</v>
      </c>
      <c r="R321" s="10" t="s">
        <v>27</v>
      </c>
      <c r="S321" s="10" t="s">
        <v>28</v>
      </c>
    </row>
    <row r="322" spans="1:19" x14ac:dyDescent="0.15">
      <c r="A322" s="10">
        <v>20011</v>
      </c>
      <c r="B322" s="10">
        <v>3</v>
      </c>
      <c r="C322" s="10" t="str">
        <f>A322&amp; "_"&amp;B322</f>
        <v>20011_3</v>
      </c>
      <c r="D322" s="10" t="str">
        <f>VLOOKUP(C322,[1]stages!$A:$AE,31,FALSE)</f>
        <v>everyone</v>
      </c>
      <c r="E322" s="10">
        <v>321</v>
      </c>
      <c r="F322" s="10">
        <v>5000</v>
      </c>
      <c r="G322" s="10" t="str">
        <f>IF(I322="unit",VLOOKUP(F322,[2]characters!$A:$C,3,FALSE),"-")</f>
        <v>-</v>
      </c>
      <c r="H322" s="10">
        <v>100</v>
      </c>
      <c r="I322" s="10" t="s">
        <v>32</v>
      </c>
      <c r="J322" s="10" t="s">
        <v>33</v>
      </c>
      <c r="K322" s="10">
        <v>1</v>
      </c>
      <c r="L322" s="10">
        <v>1</v>
      </c>
      <c r="M322" s="10">
        <v>0</v>
      </c>
      <c r="N322" s="10">
        <v>0</v>
      </c>
      <c r="O322" s="10">
        <v>0</v>
      </c>
      <c r="P322" s="10">
        <v>0</v>
      </c>
      <c r="Q322" s="10">
        <v>1</v>
      </c>
      <c r="R322" s="10" t="s">
        <v>27</v>
      </c>
      <c r="S322" s="10" t="s">
        <v>28</v>
      </c>
    </row>
    <row r="323" spans="1:19" x14ac:dyDescent="0.15">
      <c r="A323" s="10">
        <v>20011</v>
      </c>
      <c r="B323" s="10">
        <v>3</v>
      </c>
      <c r="C323" s="10" t="str">
        <f t="shared" ref="C323:C332" si="36">A323&amp; "_"&amp;B323</f>
        <v>20011_3</v>
      </c>
      <c r="D323" s="10" t="str">
        <f>VLOOKUP(C323,[1]stages!$A:$AE,31,FALSE)</f>
        <v>everyone</v>
      </c>
      <c r="E323" s="10">
        <v>322</v>
      </c>
      <c r="F323" s="10">
        <v>25</v>
      </c>
      <c r="G323" s="10" t="str">
        <f>IF(I323="unit",VLOOKUP(F323,[2]characters!$A:$C,3,FALSE),"-")</f>
        <v>-</v>
      </c>
      <c r="H323" s="10">
        <v>100</v>
      </c>
      <c r="I323" s="10" t="s">
        <v>35</v>
      </c>
      <c r="J323" s="10" t="s">
        <v>33</v>
      </c>
      <c r="K323" s="10">
        <v>1</v>
      </c>
      <c r="L323" s="10">
        <v>1</v>
      </c>
      <c r="M323" s="10">
        <v>0</v>
      </c>
      <c r="N323" s="10">
        <v>0</v>
      </c>
      <c r="O323" s="10">
        <v>0</v>
      </c>
      <c r="P323" s="10">
        <v>0</v>
      </c>
      <c r="Q323" s="10">
        <v>1</v>
      </c>
      <c r="R323" s="10" t="s">
        <v>27</v>
      </c>
      <c r="S323" s="10" t="s">
        <v>28</v>
      </c>
    </row>
    <row r="324" spans="1:19" x14ac:dyDescent="0.15">
      <c r="A324" s="10">
        <v>20011</v>
      </c>
      <c r="B324" s="10">
        <v>3</v>
      </c>
      <c r="C324" s="10" t="str">
        <f t="shared" si="36"/>
        <v>20011_3</v>
      </c>
      <c r="D324" s="10" t="str">
        <f>VLOOKUP(C324,[1]stages!$A:$AE,31,FALSE)</f>
        <v>everyone</v>
      </c>
      <c r="E324" s="10">
        <v>323</v>
      </c>
      <c r="F324" s="10">
        <v>332</v>
      </c>
      <c r="G324" s="10" t="str">
        <f>IF(I324="unit",VLOOKUP(F324,[2]characters!$A:$C,3,FALSE),"-")</f>
        <v>炎のメタルピヨピヨ</v>
      </c>
      <c r="H324" s="10">
        <v>56</v>
      </c>
      <c r="I324" s="10" t="s">
        <v>36</v>
      </c>
      <c r="J324" s="10">
        <v>1</v>
      </c>
      <c r="K324" s="10">
        <v>1</v>
      </c>
      <c r="L324" s="10">
        <v>1</v>
      </c>
      <c r="M324" s="10">
        <v>0</v>
      </c>
      <c r="N324" s="10">
        <v>0</v>
      </c>
      <c r="O324" s="10">
        <v>0</v>
      </c>
      <c r="P324" s="10">
        <v>0</v>
      </c>
      <c r="Q324" s="10">
        <v>1</v>
      </c>
      <c r="R324" s="10" t="s">
        <v>27</v>
      </c>
      <c r="S324" s="10" t="s">
        <v>28</v>
      </c>
    </row>
    <row r="325" spans="1:19" x14ac:dyDescent="0.15">
      <c r="A325" s="10">
        <v>20011</v>
      </c>
      <c r="B325" s="10">
        <v>3</v>
      </c>
      <c r="C325" s="10" t="str">
        <f t="shared" si="36"/>
        <v>20011_3</v>
      </c>
      <c r="D325" s="10" t="str">
        <f>VLOOKUP(C325,[1]stages!$A:$AE,31,FALSE)</f>
        <v>everyone</v>
      </c>
      <c r="E325" s="10">
        <v>324</v>
      </c>
      <c r="F325" s="10">
        <v>333</v>
      </c>
      <c r="G325" s="10" t="str">
        <f>IF(I325="unit",VLOOKUP(F325,[2]characters!$A:$C,3,FALSE),"-")</f>
        <v>炎のメタルチック</v>
      </c>
      <c r="H325" s="10">
        <v>56</v>
      </c>
      <c r="I325" s="10" t="s">
        <v>36</v>
      </c>
      <c r="J325" s="10">
        <v>1</v>
      </c>
      <c r="K325" s="10">
        <v>1</v>
      </c>
      <c r="L325" s="10">
        <v>1</v>
      </c>
      <c r="M325" s="10">
        <v>0</v>
      </c>
      <c r="N325" s="10">
        <v>0</v>
      </c>
      <c r="O325" s="10">
        <v>0</v>
      </c>
      <c r="P325" s="10">
        <v>0</v>
      </c>
      <c r="Q325" s="10">
        <v>1</v>
      </c>
      <c r="R325" s="10" t="s">
        <v>27</v>
      </c>
      <c r="S325" s="10" t="s">
        <v>28</v>
      </c>
    </row>
    <row r="326" spans="1:19" x14ac:dyDescent="0.15">
      <c r="A326" s="10">
        <v>20011</v>
      </c>
      <c r="B326" s="10">
        <v>3</v>
      </c>
      <c r="C326" s="10" t="str">
        <f t="shared" si="36"/>
        <v>20011_3</v>
      </c>
      <c r="D326" s="10" t="str">
        <f>VLOOKUP(C326,[1]stages!$A:$AE,31,FALSE)</f>
        <v>everyone</v>
      </c>
      <c r="E326" s="10">
        <v>325</v>
      </c>
      <c r="F326" s="10">
        <v>334</v>
      </c>
      <c r="G326" s="10" t="str">
        <f>IF(I326="unit",VLOOKUP(F326,[2]characters!$A:$C,3,FALSE),"-")</f>
        <v>炎のメタルダック</v>
      </c>
      <c r="H326" s="10">
        <v>28</v>
      </c>
      <c r="I326" s="10" t="s">
        <v>36</v>
      </c>
      <c r="J326" s="10">
        <v>1</v>
      </c>
      <c r="K326" s="10">
        <v>1</v>
      </c>
      <c r="L326" s="10">
        <v>1</v>
      </c>
      <c r="M326" s="10">
        <v>0</v>
      </c>
      <c r="N326" s="10">
        <v>0</v>
      </c>
      <c r="O326" s="10">
        <v>0</v>
      </c>
      <c r="P326" s="10">
        <v>0</v>
      </c>
      <c r="Q326" s="10">
        <v>1</v>
      </c>
      <c r="R326" s="10" t="s">
        <v>27</v>
      </c>
      <c r="S326" s="10" t="s">
        <v>28</v>
      </c>
    </row>
    <row r="327" spans="1:19" x14ac:dyDescent="0.15">
      <c r="A327" s="10">
        <v>20011</v>
      </c>
      <c r="B327" s="10">
        <v>3</v>
      </c>
      <c r="C327" s="10" t="str">
        <f t="shared" si="36"/>
        <v>20011_3</v>
      </c>
      <c r="D327" s="10" t="str">
        <f>VLOOKUP(C327,[1]stages!$A:$AE,31,FALSE)</f>
        <v>everyone</v>
      </c>
      <c r="E327" s="10">
        <v>326</v>
      </c>
      <c r="F327" s="10">
        <v>121</v>
      </c>
      <c r="G327" s="10" t="str">
        <f>IF(I327="unit",VLOOKUP(F327,[2]characters!$A:$C,3,FALSE),"-")</f>
        <v>攻めの果実</v>
      </c>
      <c r="H327" s="10">
        <v>50</v>
      </c>
      <c r="I327" s="10" t="s">
        <v>36</v>
      </c>
      <c r="J327" s="10">
        <v>1</v>
      </c>
      <c r="K327" s="10">
        <v>1</v>
      </c>
      <c r="L327" s="10">
        <v>1</v>
      </c>
      <c r="M327" s="10">
        <v>0</v>
      </c>
      <c r="N327" s="10">
        <v>0</v>
      </c>
      <c r="O327" s="10">
        <v>0</v>
      </c>
      <c r="P327" s="10">
        <v>0</v>
      </c>
      <c r="Q327" s="10">
        <v>1</v>
      </c>
      <c r="R327" s="10" t="s">
        <v>27</v>
      </c>
      <c r="S327" s="10" t="s">
        <v>28</v>
      </c>
    </row>
    <row r="328" spans="1:19" x14ac:dyDescent="0.15">
      <c r="A328" s="10">
        <v>20011</v>
      </c>
      <c r="B328" s="10">
        <v>3</v>
      </c>
      <c r="C328" s="10" t="str">
        <f t="shared" si="36"/>
        <v>20011_3</v>
      </c>
      <c r="D328" s="10" t="str">
        <f>VLOOKUP(C328,[1]stages!$A:$AE,31,FALSE)</f>
        <v>everyone</v>
      </c>
      <c r="E328" s="10">
        <v>327</v>
      </c>
      <c r="F328" s="10">
        <v>122</v>
      </c>
      <c r="G328" s="10" t="str">
        <f>IF(I328="unit",VLOOKUP(F328,[2]characters!$A:$C,3,FALSE),"-")</f>
        <v>生命の果実</v>
      </c>
      <c r="H328" s="10">
        <v>50</v>
      </c>
      <c r="I328" s="10" t="s">
        <v>36</v>
      </c>
      <c r="J328" s="10">
        <v>1</v>
      </c>
      <c r="K328" s="10">
        <v>1</v>
      </c>
      <c r="L328" s="10">
        <v>1</v>
      </c>
      <c r="M328" s="10">
        <v>0</v>
      </c>
      <c r="N328" s="10">
        <v>0</v>
      </c>
      <c r="O328" s="10">
        <v>0</v>
      </c>
      <c r="P328" s="10">
        <v>0</v>
      </c>
      <c r="Q328" s="10">
        <v>1</v>
      </c>
      <c r="R328" s="10" t="s">
        <v>27</v>
      </c>
      <c r="S328" s="10" t="s">
        <v>28</v>
      </c>
    </row>
    <row r="329" spans="1:19" x14ac:dyDescent="0.15">
      <c r="A329" s="10">
        <v>20011</v>
      </c>
      <c r="B329" s="10">
        <v>3</v>
      </c>
      <c r="C329" s="10" t="str">
        <f t="shared" si="36"/>
        <v>20011_3</v>
      </c>
      <c r="D329" s="10" t="str">
        <f>VLOOKUP(C329,[1]stages!$A:$AE,31,FALSE)</f>
        <v>everyone</v>
      </c>
      <c r="E329" s="10">
        <v>328</v>
      </c>
      <c r="F329" s="10">
        <v>123</v>
      </c>
      <c r="G329" s="10" t="str">
        <f>IF(I329="unit",VLOOKUP(F329,[2]characters!$A:$C,3,FALSE),"-")</f>
        <v>癒しの果実</v>
      </c>
      <c r="H329" s="10">
        <v>50</v>
      </c>
      <c r="I329" s="10" t="s">
        <v>36</v>
      </c>
      <c r="J329" s="10">
        <v>1</v>
      </c>
      <c r="K329" s="10">
        <v>1</v>
      </c>
      <c r="L329" s="10">
        <v>1</v>
      </c>
      <c r="M329" s="10">
        <v>0</v>
      </c>
      <c r="N329" s="10">
        <v>0</v>
      </c>
      <c r="O329" s="10">
        <v>0</v>
      </c>
      <c r="P329" s="10">
        <v>0</v>
      </c>
      <c r="Q329" s="10">
        <v>1</v>
      </c>
      <c r="R329" s="10" t="s">
        <v>27</v>
      </c>
      <c r="S329" s="10" t="s">
        <v>28</v>
      </c>
    </row>
    <row r="330" spans="1:19" x14ac:dyDescent="0.15">
      <c r="A330" s="10">
        <v>20011</v>
      </c>
      <c r="B330" s="10">
        <v>3</v>
      </c>
      <c r="C330" s="10" t="str">
        <f t="shared" si="36"/>
        <v>20011_3</v>
      </c>
      <c r="D330" s="10" t="str">
        <f>VLOOKUP(C330,[1]stages!$A:$AE,31,FALSE)</f>
        <v>everyone</v>
      </c>
      <c r="E330" s="10">
        <v>329</v>
      </c>
      <c r="F330" s="10">
        <v>125</v>
      </c>
      <c r="G330" s="10" t="str">
        <f>IF(I330="unit",VLOOKUP(F330,[2]characters!$A:$C,3,FALSE),"-")</f>
        <v>秘術の果実</v>
      </c>
      <c r="H330" s="10">
        <v>10</v>
      </c>
      <c r="I330" s="10" t="s">
        <v>36</v>
      </c>
      <c r="J330" s="10">
        <v>1</v>
      </c>
      <c r="K330" s="10">
        <v>1</v>
      </c>
      <c r="L330" s="10">
        <v>1</v>
      </c>
      <c r="M330" s="10">
        <v>0</v>
      </c>
      <c r="N330" s="10">
        <v>0</v>
      </c>
      <c r="O330" s="10">
        <v>0</v>
      </c>
      <c r="P330" s="10">
        <v>0</v>
      </c>
      <c r="Q330" s="10">
        <v>1</v>
      </c>
      <c r="R330" s="10" t="s">
        <v>27</v>
      </c>
      <c r="S330" s="10" t="s">
        <v>28</v>
      </c>
    </row>
    <row r="331" spans="1:19" x14ac:dyDescent="0.15">
      <c r="A331" s="10">
        <v>20011</v>
      </c>
      <c r="B331" s="10">
        <v>3</v>
      </c>
      <c r="C331" s="10" t="str">
        <f t="shared" si="36"/>
        <v>20011_3</v>
      </c>
      <c r="D331" s="10" t="str">
        <f>VLOOKUP(C331,[1]stages!$A:$AE,31,FALSE)</f>
        <v>everyone</v>
      </c>
      <c r="E331" s="10">
        <v>330</v>
      </c>
      <c r="F331" s="10">
        <v>298</v>
      </c>
      <c r="G331" s="10" t="str">
        <f>IF(I331="unit",VLOOKUP(F331,[2]characters!$A:$C,3,FALSE),"-")</f>
        <v>炎殺のミサコ</v>
      </c>
      <c r="H331" s="10">
        <v>400</v>
      </c>
      <c r="I331" s="10" t="s">
        <v>36</v>
      </c>
      <c r="J331" s="10">
        <v>1</v>
      </c>
      <c r="K331" s="10">
        <v>1</v>
      </c>
      <c r="L331" s="10">
        <v>1</v>
      </c>
      <c r="M331" s="10">
        <v>0</v>
      </c>
      <c r="N331" s="10">
        <v>0</v>
      </c>
      <c r="O331" s="10">
        <v>0</v>
      </c>
      <c r="P331" s="10">
        <v>0</v>
      </c>
      <c r="Q331" s="10">
        <v>1</v>
      </c>
      <c r="R331" s="10" t="s">
        <v>27</v>
      </c>
      <c r="S331" s="10" t="s">
        <v>28</v>
      </c>
    </row>
    <row r="332" spans="1:19" x14ac:dyDescent="0.15">
      <c r="A332" s="10">
        <v>20011</v>
      </c>
      <c r="B332" s="10">
        <v>3</v>
      </c>
      <c r="C332" s="10" t="str">
        <f t="shared" si="36"/>
        <v>20011_3</v>
      </c>
      <c r="D332" s="10" t="str">
        <f>VLOOKUP(C332,[1]stages!$A:$AE,31,FALSE)</f>
        <v>everyone</v>
      </c>
      <c r="E332" s="10">
        <v>331</v>
      </c>
      <c r="F332" s="10">
        <v>348</v>
      </c>
      <c r="G332" s="10" t="str">
        <f>IF(I332="unit",VLOOKUP(F332,[2]characters!$A:$C,3,FALSE),"-")</f>
        <v>炎のケロケロ</v>
      </c>
      <c r="H332" s="10">
        <v>100</v>
      </c>
      <c r="I332" s="10" t="s">
        <v>36</v>
      </c>
      <c r="J332" s="10">
        <v>1</v>
      </c>
      <c r="K332" s="10">
        <v>1</v>
      </c>
      <c r="L332" s="10">
        <v>1</v>
      </c>
      <c r="M332" s="10">
        <v>0</v>
      </c>
      <c r="N332" s="10">
        <v>0</v>
      </c>
      <c r="O332" s="10">
        <v>0</v>
      </c>
      <c r="P332" s="10">
        <v>0</v>
      </c>
      <c r="Q332" s="10">
        <v>1</v>
      </c>
      <c r="R332" s="10" t="s">
        <v>27</v>
      </c>
      <c r="S332" s="10" t="s">
        <v>28</v>
      </c>
    </row>
    <row r="333" spans="1:19" x14ac:dyDescent="0.15">
      <c r="A333" s="11">
        <v>20012</v>
      </c>
      <c r="B333" s="11">
        <v>1</v>
      </c>
      <c r="C333" s="11" t="str">
        <f>A333&amp; "_"&amp;B333</f>
        <v>20012_1</v>
      </c>
      <c r="D333" s="11" t="str">
        <f>VLOOKUP(C333,[1]stages!$A:$AE,31,FALSE)</f>
        <v>everyone</v>
      </c>
      <c r="E333" s="11">
        <v>332</v>
      </c>
      <c r="F333" s="11">
        <v>1700</v>
      </c>
      <c r="G333" s="10" t="str">
        <f>IF(I333="unit",VLOOKUP(F333,[2]characters!$A:$C,3,FALSE),"-")</f>
        <v>-</v>
      </c>
      <c r="H333" s="11">
        <v>200</v>
      </c>
      <c r="I333" s="11" t="s">
        <v>32</v>
      </c>
      <c r="J333" s="11" t="s">
        <v>33</v>
      </c>
      <c r="K333" s="11">
        <v>1</v>
      </c>
      <c r="L333" s="11">
        <v>1</v>
      </c>
      <c r="M333" s="11">
        <v>0</v>
      </c>
      <c r="N333" s="11">
        <v>0</v>
      </c>
      <c r="O333" s="11">
        <v>0</v>
      </c>
      <c r="P333" s="11">
        <v>0</v>
      </c>
      <c r="Q333" s="11">
        <v>1</v>
      </c>
      <c r="R333" s="11" t="s">
        <v>27</v>
      </c>
      <c r="S333" s="11" t="s">
        <v>28</v>
      </c>
    </row>
    <row r="334" spans="1:19" x14ac:dyDescent="0.15">
      <c r="A334" s="11">
        <v>20012</v>
      </c>
      <c r="B334" s="11">
        <v>1</v>
      </c>
      <c r="C334" s="11" t="str">
        <f t="shared" ref="C334:C342" si="37">A334&amp; "_"&amp;B334</f>
        <v>20012_1</v>
      </c>
      <c r="D334" s="11" t="str">
        <f>VLOOKUP(C334,[1]stages!$A:$AE,31,FALSE)</f>
        <v>everyone</v>
      </c>
      <c r="E334" s="11">
        <v>333</v>
      </c>
      <c r="F334" s="11">
        <v>20</v>
      </c>
      <c r="G334" s="10" t="str">
        <f>IF(I334="unit",VLOOKUP(F334,[2]characters!$A:$C,3,FALSE),"-")</f>
        <v>-</v>
      </c>
      <c r="H334" s="11">
        <v>200</v>
      </c>
      <c r="I334" s="11" t="s">
        <v>35</v>
      </c>
      <c r="J334" s="11" t="s">
        <v>33</v>
      </c>
      <c r="K334" s="11">
        <v>1</v>
      </c>
      <c r="L334" s="11">
        <v>1</v>
      </c>
      <c r="M334" s="11">
        <v>0</v>
      </c>
      <c r="N334" s="11">
        <v>0</v>
      </c>
      <c r="O334" s="11">
        <v>0</v>
      </c>
      <c r="P334" s="11">
        <v>0</v>
      </c>
      <c r="Q334" s="11">
        <v>1</v>
      </c>
      <c r="R334" s="11" t="s">
        <v>27</v>
      </c>
      <c r="S334" s="11" t="s">
        <v>28</v>
      </c>
    </row>
    <row r="335" spans="1:19" x14ac:dyDescent="0.15">
      <c r="A335" s="11">
        <v>20012</v>
      </c>
      <c r="B335" s="11">
        <v>1</v>
      </c>
      <c r="C335" s="11" t="str">
        <f t="shared" si="37"/>
        <v>20012_1</v>
      </c>
      <c r="D335" s="11" t="str">
        <f>VLOOKUP(C335,[1]stages!$A:$AE,31,FALSE)</f>
        <v>everyone</v>
      </c>
      <c r="E335" s="11">
        <v>334</v>
      </c>
      <c r="F335" s="11">
        <v>336</v>
      </c>
      <c r="G335" s="10" t="str">
        <f>IF(I335="unit",VLOOKUP(F335,[2]characters!$A:$C,3,FALSE),"-")</f>
        <v>森のメタルピヨピヨ</v>
      </c>
      <c r="H335" s="11">
        <v>98</v>
      </c>
      <c r="I335" s="11" t="s">
        <v>36</v>
      </c>
      <c r="J335" s="11">
        <v>1</v>
      </c>
      <c r="K335" s="11">
        <v>1</v>
      </c>
      <c r="L335" s="11">
        <v>1</v>
      </c>
      <c r="M335" s="11">
        <v>0</v>
      </c>
      <c r="N335" s="11">
        <v>0</v>
      </c>
      <c r="O335" s="11">
        <v>0</v>
      </c>
      <c r="P335" s="11">
        <v>0</v>
      </c>
      <c r="Q335" s="11">
        <v>1</v>
      </c>
      <c r="R335" s="11" t="s">
        <v>27</v>
      </c>
      <c r="S335" s="11" t="s">
        <v>28</v>
      </c>
    </row>
    <row r="336" spans="1:19" x14ac:dyDescent="0.15">
      <c r="A336" s="11">
        <v>20012</v>
      </c>
      <c r="B336" s="11">
        <v>1</v>
      </c>
      <c r="C336" s="11" t="str">
        <f t="shared" si="37"/>
        <v>20012_1</v>
      </c>
      <c r="D336" s="11" t="str">
        <f>VLOOKUP(C336,[1]stages!$A:$AE,31,FALSE)</f>
        <v>everyone</v>
      </c>
      <c r="E336" s="11">
        <v>335</v>
      </c>
      <c r="F336" s="11">
        <v>337</v>
      </c>
      <c r="G336" s="10" t="str">
        <f>IF(I336="unit",VLOOKUP(F336,[2]characters!$A:$C,3,FALSE),"-")</f>
        <v>森のメタルチック</v>
      </c>
      <c r="H336" s="11">
        <v>42</v>
      </c>
      <c r="I336" s="11" t="s">
        <v>36</v>
      </c>
      <c r="J336" s="11">
        <v>1</v>
      </c>
      <c r="K336" s="11">
        <v>1</v>
      </c>
      <c r="L336" s="11">
        <v>1</v>
      </c>
      <c r="M336" s="11">
        <v>0</v>
      </c>
      <c r="N336" s="11">
        <v>0</v>
      </c>
      <c r="O336" s="11">
        <v>0</v>
      </c>
      <c r="P336" s="11">
        <v>0</v>
      </c>
      <c r="Q336" s="11">
        <v>1</v>
      </c>
      <c r="R336" s="11" t="s">
        <v>27</v>
      </c>
      <c r="S336" s="11" t="s">
        <v>28</v>
      </c>
    </row>
    <row r="337" spans="1:19" x14ac:dyDescent="0.15">
      <c r="A337" s="11">
        <v>20012</v>
      </c>
      <c r="B337" s="11">
        <v>1</v>
      </c>
      <c r="C337" s="11" t="str">
        <f t="shared" si="37"/>
        <v>20012_1</v>
      </c>
      <c r="D337" s="11" t="str">
        <f>VLOOKUP(C337,[1]stages!$A:$AE,31,FALSE)</f>
        <v>everyone</v>
      </c>
      <c r="E337" s="11">
        <v>336</v>
      </c>
      <c r="F337" s="11">
        <v>121</v>
      </c>
      <c r="G337" s="10" t="str">
        <f>IF(I337="unit",VLOOKUP(F337,[2]characters!$A:$C,3,FALSE),"-")</f>
        <v>攻めの果実</v>
      </c>
      <c r="H337" s="11">
        <v>50</v>
      </c>
      <c r="I337" s="11" t="s">
        <v>36</v>
      </c>
      <c r="J337" s="11">
        <v>1</v>
      </c>
      <c r="K337" s="11">
        <v>1</v>
      </c>
      <c r="L337" s="11">
        <v>1</v>
      </c>
      <c r="M337" s="11">
        <v>0</v>
      </c>
      <c r="N337" s="11">
        <v>0</v>
      </c>
      <c r="O337" s="11">
        <v>0</v>
      </c>
      <c r="P337" s="11">
        <v>0</v>
      </c>
      <c r="Q337" s="11">
        <v>1</v>
      </c>
      <c r="R337" s="11" t="s">
        <v>27</v>
      </c>
      <c r="S337" s="11" t="s">
        <v>28</v>
      </c>
    </row>
    <row r="338" spans="1:19" x14ac:dyDescent="0.15">
      <c r="A338" s="11">
        <v>20012</v>
      </c>
      <c r="B338" s="11">
        <v>1</v>
      </c>
      <c r="C338" s="11" t="str">
        <f t="shared" si="37"/>
        <v>20012_1</v>
      </c>
      <c r="D338" s="11" t="str">
        <f>VLOOKUP(C338,[1]stages!$A:$AE,31,FALSE)</f>
        <v>everyone</v>
      </c>
      <c r="E338" s="11">
        <v>337</v>
      </c>
      <c r="F338" s="11">
        <v>122</v>
      </c>
      <c r="G338" s="10" t="str">
        <f>IF(I338="unit",VLOOKUP(F338,[2]characters!$A:$C,3,FALSE),"-")</f>
        <v>生命の果実</v>
      </c>
      <c r="H338" s="11">
        <v>50</v>
      </c>
      <c r="I338" s="11" t="s">
        <v>36</v>
      </c>
      <c r="J338" s="11">
        <v>1</v>
      </c>
      <c r="K338" s="11">
        <v>1</v>
      </c>
      <c r="L338" s="11">
        <v>1</v>
      </c>
      <c r="M338" s="11">
        <v>0</v>
      </c>
      <c r="N338" s="11">
        <v>0</v>
      </c>
      <c r="O338" s="11">
        <v>0</v>
      </c>
      <c r="P338" s="11">
        <v>0</v>
      </c>
      <c r="Q338" s="11">
        <v>1</v>
      </c>
      <c r="R338" s="11" t="s">
        <v>27</v>
      </c>
      <c r="S338" s="11" t="s">
        <v>28</v>
      </c>
    </row>
    <row r="339" spans="1:19" x14ac:dyDescent="0.15">
      <c r="A339" s="11">
        <v>20012</v>
      </c>
      <c r="B339" s="11">
        <v>1</v>
      </c>
      <c r="C339" s="11" t="str">
        <f t="shared" si="37"/>
        <v>20012_1</v>
      </c>
      <c r="D339" s="11" t="str">
        <f>VLOOKUP(C339,[1]stages!$A:$AE,31,FALSE)</f>
        <v>everyone</v>
      </c>
      <c r="E339" s="11">
        <v>338</v>
      </c>
      <c r="F339" s="11">
        <v>123</v>
      </c>
      <c r="G339" s="10" t="str">
        <f>IF(I339="unit",VLOOKUP(F339,[2]characters!$A:$C,3,FALSE),"-")</f>
        <v>癒しの果実</v>
      </c>
      <c r="H339" s="11">
        <v>50</v>
      </c>
      <c r="I339" s="11" t="s">
        <v>36</v>
      </c>
      <c r="J339" s="11">
        <v>1</v>
      </c>
      <c r="K339" s="11">
        <v>1</v>
      </c>
      <c r="L339" s="11">
        <v>1</v>
      </c>
      <c r="M339" s="11">
        <v>0</v>
      </c>
      <c r="N339" s="11">
        <v>0</v>
      </c>
      <c r="O339" s="11">
        <v>0</v>
      </c>
      <c r="P339" s="11">
        <v>0</v>
      </c>
      <c r="Q339" s="11">
        <v>1</v>
      </c>
      <c r="R339" s="11" t="s">
        <v>27</v>
      </c>
      <c r="S339" s="11" t="s">
        <v>28</v>
      </c>
    </row>
    <row r="340" spans="1:19" x14ac:dyDescent="0.15">
      <c r="A340" s="11">
        <v>20012</v>
      </c>
      <c r="B340" s="11">
        <v>1</v>
      </c>
      <c r="C340" s="11" t="str">
        <f t="shared" si="37"/>
        <v>20012_1</v>
      </c>
      <c r="D340" s="11" t="str">
        <f>VLOOKUP(C340,[1]stages!$A:$AE,31,FALSE)</f>
        <v>everyone</v>
      </c>
      <c r="E340" s="11">
        <v>339</v>
      </c>
      <c r="F340" s="11">
        <v>125</v>
      </c>
      <c r="G340" s="10" t="str">
        <f>IF(I340="unit",VLOOKUP(F340,[2]characters!$A:$C,3,FALSE),"-")</f>
        <v>秘術の果実</v>
      </c>
      <c r="H340" s="11">
        <v>10</v>
      </c>
      <c r="I340" s="11" t="s">
        <v>36</v>
      </c>
      <c r="J340" s="11">
        <v>1</v>
      </c>
      <c r="K340" s="11">
        <v>1</v>
      </c>
      <c r="L340" s="11">
        <v>1</v>
      </c>
      <c r="M340" s="11">
        <v>0</v>
      </c>
      <c r="N340" s="11">
        <v>0</v>
      </c>
      <c r="O340" s="11">
        <v>0</v>
      </c>
      <c r="P340" s="11">
        <v>0</v>
      </c>
      <c r="Q340" s="11">
        <v>1</v>
      </c>
      <c r="R340" s="11" t="s">
        <v>27</v>
      </c>
      <c r="S340" s="11" t="s">
        <v>28</v>
      </c>
    </row>
    <row r="341" spans="1:19" x14ac:dyDescent="0.15">
      <c r="A341" s="11">
        <v>20012</v>
      </c>
      <c r="B341" s="11">
        <v>1</v>
      </c>
      <c r="C341" s="11" t="str">
        <f t="shared" si="37"/>
        <v>20012_1</v>
      </c>
      <c r="D341" s="11" t="str">
        <f>VLOOKUP(C341,[1]stages!$A:$AE,31,FALSE)</f>
        <v>everyone</v>
      </c>
      <c r="E341" s="11">
        <v>340</v>
      </c>
      <c r="F341" s="11">
        <v>300</v>
      </c>
      <c r="G341" s="10" t="str">
        <f>IF(I341="unit",VLOOKUP(F341,[2]characters!$A:$C,3,FALSE),"-")</f>
        <v>毒殺のチカ</v>
      </c>
      <c r="H341" s="11">
        <v>200</v>
      </c>
      <c r="I341" s="11" t="s">
        <v>36</v>
      </c>
      <c r="J341" s="11">
        <v>1</v>
      </c>
      <c r="K341" s="11">
        <v>1</v>
      </c>
      <c r="L341" s="11">
        <v>1</v>
      </c>
      <c r="M341" s="11">
        <v>0</v>
      </c>
      <c r="N341" s="11">
        <v>0</v>
      </c>
      <c r="O341" s="11">
        <v>0</v>
      </c>
      <c r="P341" s="11">
        <v>0</v>
      </c>
      <c r="Q341" s="11">
        <v>1</v>
      </c>
      <c r="R341" s="11" t="s">
        <v>27</v>
      </c>
      <c r="S341" s="11" t="s">
        <v>28</v>
      </c>
    </row>
    <row r="342" spans="1:19" x14ac:dyDescent="0.15">
      <c r="A342" s="11">
        <v>20012</v>
      </c>
      <c r="B342" s="11">
        <v>1</v>
      </c>
      <c r="C342" s="11" t="str">
        <f t="shared" si="37"/>
        <v>20012_1</v>
      </c>
      <c r="D342" s="11" t="str">
        <f>VLOOKUP(C342,[1]stages!$A:$AE,31,FALSE)</f>
        <v>everyone</v>
      </c>
      <c r="E342" s="11">
        <v>341</v>
      </c>
      <c r="F342" s="11">
        <v>350</v>
      </c>
      <c r="G342" s="10" t="str">
        <f>IF(I342="unit",VLOOKUP(F342,[2]characters!$A:$C,3,FALSE),"-")</f>
        <v>森のケロケロ</v>
      </c>
      <c r="H342" s="11">
        <v>100</v>
      </c>
      <c r="I342" s="11" t="s">
        <v>36</v>
      </c>
      <c r="J342" s="11">
        <v>1</v>
      </c>
      <c r="K342" s="11">
        <v>1</v>
      </c>
      <c r="L342" s="11">
        <v>1</v>
      </c>
      <c r="M342" s="11">
        <v>0</v>
      </c>
      <c r="N342" s="11">
        <v>0</v>
      </c>
      <c r="O342" s="11">
        <v>0</v>
      </c>
      <c r="P342" s="11">
        <v>0</v>
      </c>
      <c r="Q342" s="11">
        <v>1</v>
      </c>
      <c r="R342" s="11" t="s">
        <v>27</v>
      </c>
      <c r="S342" s="11" t="s">
        <v>28</v>
      </c>
    </row>
    <row r="343" spans="1:19" x14ac:dyDescent="0.15">
      <c r="A343" s="11">
        <v>20012</v>
      </c>
      <c r="B343" s="11">
        <v>2</v>
      </c>
      <c r="C343" s="11" t="str">
        <f>A343&amp; "_"&amp;B343</f>
        <v>20012_2</v>
      </c>
      <c r="D343" s="11" t="str">
        <f>VLOOKUP(C343,[1]stages!$A:$AE,31,FALSE)</f>
        <v>everyone</v>
      </c>
      <c r="E343" s="11">
        <v>342</v>
      </c>
      <c r="F343" s="11">
        <v>3200</v>
      </c>
      <c r="G343" s="10" t="str">
        <f>IF(I343="unit",VLOOKUP(F343,[2]characters!$A:$C,3,FALSE),"-")</f>
        <v>-</v>
      </c>
      <c r="H343" s="11">
        <v>200</v>
      </c>
      <c r="I343" s="11" t="s">
        <v>32</v>
      </c>
      <c r="J343" s="11" t="s">
        <v>33</v>
      </c>
      <c r="K343" s="11">
        <v>1</v>
      </c>
      <c r="L343" s="11">
        <v>1</v>
      </c>
      <c r="M343" s="11">
        <v>0</v>
      </c>
      <c r="N343" s="11">
        <v>0</v>
      </c>
      <c r="O343" s="11">
        <v>0</v>
      </c>
      <c r="P343" s="11">
        <v>0</v>
      </c>
      <c r="Q343" s="11">
        <v>1</v>
      </c>
      <c r="R343" s="11" t="s">
        <v>27</v>
      </c>
      <c r="S343" s="11" t="s">
        <v>28</v>
      </c>
    </row>
    <row r="344" spans="1:19" x14ac:dyDescent="0.15">
      <c r="A344" s="11">
        <v>20012</v>
      </c>
      <c r="B344" s="11">
        <v>2</v>
      </c>
      <c r="C344" s="11" t="str">
        <f t="shared" ref="C344:C352" si="38">A344&amp; "_"&amp;B344</f>
        <v>20012_2</v>
      </c>
      <c r="D344" s="11" t="str">
        <f>VLOOKUP(C344,[1]stages!$A:$AE,31,FALSE)</f>
        <v>everyone</v>
      </c>
      <c r="E344" s="11">
        <v>343</v>
      </c>
      <c r="F344" s="11">
        <v>20</v>
      </c>
      <c r="G344" s="10" t="str">
        <f>IF(I344="unit",VLOOKUP(F344,[2]characters!$A:$C,3,FALSE),"-")</f>
        <v>-</v>
      </c>
      <c r="H344" s="11">
        <v>150</v>
      </c>
      <c r="I344" s="11" t="s">
        <v>35</v>
      </c>
      <c r="J344" s="11" t="s">
        <v>33</v>
      </c>
      <c r="K344" s="11">
        <v>1</v>
      </c>
      <c r="L344" s="11">
        <v>1</v>
      </c>
      <c r="M344" s="11">
        <v>0</v>
      </c>
      <c r="N344" s="11">
        <v>0</v>
      </c>
      <c r="O344" s="11">
        <v>0</v>
      </c>
      <c r="P344" s="11">
        <v>0</v>
      </c>
      <c r="Q344" s="11">
        <v>1</v>
      </c>
      <c r="R344" s="11" t="s">
        <v>27</v>
      </c>
      <c r="S344" s="11" t="s">
        <v>28</v>
      </c>
    </row>
    <row r="345" spans="1:19" x14ac:dyDescent="0.15">
      <c r="A345" s="11">
        <v>20012</v>
      </c>
      <c r="B345" s="11">
        <v>2</v>
      </c>
      <c r="C345" s="11" t="str">
        <f t="shared" si="38"/>
        <v>20012_2</v>
      </c>
      <c r="D345" s="11" t="str">
        <f>VLOOKUP(C345,[1]stages!$A:$AE,31,FALSE)</f>
        <v>everyone</v>
      </c>
      <c r="E345" s="11">
        <v>344</v>
      </c>
      <c r="F345" s="11">
        <v>336</v>
      </c>
      <c r="G345" s="10" t="str">
        <f>IF(I345="unit",VLOOKUP(F345,[2]characters!$A:$C,3,FALSE),"-")</f>
        <v>森のメタルピヨピヨ</v>
      </c>
      <c r="H345" s="11">
        <v>70</v>
      </c>
      <c r="I345" s="11" t="s">
        <v>36</v>
      </c>
      <c r="J345" s="11">
        <v>1</v>
      </c>
      <c r="K345" s="11">
        <v>1</v>
      </c>
      <c r="L345" s="11">
        <v>1</v>
      </c>
      <c r="M345" s="11">
        <v>0</v>
      </c>
      <c r="N345" s="11">
        <v>0</v>
      </c>
      <c r="O345" s="11">
        <v>0</v>
      </c>
      <c r="P345" s="11">
        <v>0</v>
      </c>
      <c r="Q345" s="11">
        <v>1</v>
      </c>
      <c r="R345" s="11" t="s">
        <v>27</v>
      </c>
      <c r="S345" s="11" t="s">
        <v>28</v>
      </c>
    </row>
    <row r="346" spans="1:19" x14ac:dyDescent="0.15">
      <c r="A346" s="11">
        <v>20012</v>
      </c>
      <c r="B346" s="11">
        <v>2</v>
      </c>
      <c r="C346" s="11" t="str">
        <f t="shared" si="38"/>
        <v>20012_2</v>
      </c>
      <c r="D346" s="11" t="str">
        <f>VLOOKUP(C346,[1]stages!$A:$AE,31,FALSE)</f>
        <v>everyone</v>
      </c>
      <c r="E346" s="11">
        <v>345</v>
      </c>
      <c r="F346" s="11">
        <v>337</v>
      </c>
      <c r="G346" s="10" t="str">
        <f>IF(I346="unit",VLOOKUP(F346,[2]characters!$A:$C,3,FALSE),"-")</f>
        <v>森のメタルチック</v>
      </c>
      <c r="H346" s="11">
        <v>70</v>
      </c>
      <c r="I346" s="11" t="s">
        <v>36</v>
      </c>
      <c r="J346" s="11">
        <v>1</v>
      </c>
      <c r="K346" s="11">
        <v>1</v>
      </c>
      <c r="L346" s="11">
        <v>1</v>
      </c>
      <c r="M346" s="11">
        <v>0</v>
      </c>
      <c r="N346" s="11">
        <v>0</v>
      </c>
      <c r="O346" s="11">
        <v>0</v>
      </c>
      <c r="P346" s="11">
        <v>0</v>
      </c>
      <c r="Q346" s="11">
        <v>1</v>
      </c>
      <c r="R346" s="11" t="s">
        <v>27</v>
      </c>
      <c r="S346" s="11" t="s">
        <v>28</v>
      </c>
    </row>
    <row r="347" spans="1:19" x14ac:dyDescent="0.15">
      <c r="A347" s="11">
        <v>20012</v>
      </c>
      <c r="B347" s="11">
        <v>2</v>
      </c>
      <c r="C347" s="11" t="str">
        <f t="shared" si="38"/>
        <v>20012_2</v>
      </c>
      <c r="D347" s="11" t="str">
        <f>VLOOKUP(C347,[1]stages!$A:$AE,31,FALSE)</f>
        <v>everyone</v>
      </c>
      <c r="E347" s="11">
        <v>346</v>
      </c>
      <c r="F347" s="11">
        <v>121</v>
      </c>
      <c r="G347" s="10" t="str">
        <f>IF(I347="unit",VLOOKUP(F347,[2]characters!$A:$C,3,FALSE),"-")</f>
        <v>攻めの果実</v>
      </c>
      <c r="H347" s="11">
        <v>50</v>
      </c>
      <c r="I347" s="11" t="s">
        <v>36</v>
      </c>
      <c r="J347" s="11">
        <v>1</v>
      </c>
      <c r="K347" s="11">
        <v>1</v>
      </c>
      <c r="L347" s="11">
        <v>1</v>
      </c>
      <c r="M347" s="11">
        <v>0</v>
      </c>
      <c r="N347" s="11">
        <v>0</v>
      </c>
      <c r="O347" s="11">
        <v>0</v>
      </c>
      <c r="P347" s="11">
        <v>0</v>
      </c>
      <c r="Q347" s="11">
        <v>1</v>
      </c>
      <c r="R347" s="11" t="s">
        <v>27</v>
      </c>
      <c r="S347" s="11" t="s">
        <v>28</v>
      </c>
    </row>
    <row r="348" spans="1:19" x14ac:dyDescent="0.15">
      <c r="A348" s="11">
        <v>20012</v>
      </c>
      <c r="B348" s="11">
        <v>2</v>
      </c>
      <c r="C348" s="11" t="str">
        <f t="shared" si="38"/>
        <v>20012_2</v>
      </c>
      <c r="D348" s="11" t="str">
        <f>VLOOKUP(C348,[1]stages!$A:$AE,31,FALSE)</f>
        <v>everyone</v>
      </c>
      <c r="E348" s="11">
        <v>347</v>
      </c>
      <c r="F348" s="11">
        <v>122</v>
      </c>
      <c r="G348" s="10" t="str">
        <f>IF(I348="unit",VLOOKUP(F348,[2]characters!$A:$C,3,FALSE),"-")</f>
        <v>生命の果実</v>
      </c>
      <c r="H348" s="11">
        <v>50</v>
      </c>
      <c r="I348" s="11" t="s">
        <v>36</v>
      </c>
      <c r="J348" s="11">
        <v>1</v>
      </c>
      <c r="K348" s="11">
        <v>1</v>
      </c>
      <c r="L348" s="11">
        <v>1</v>
      </c>
      <c r="M348" s="11">
        <v>0</v>
      </c>
      <c r="N348" s="11">
        <v>0</v>
      </c>
      <c r="O348" s="11">
        <v>0</v>
      </c>
      <c r="P348" s="11">
        <v>0</v>
      </c>
      <c r="Q348" s="11">
        <v>1</v>
      </c>
      <c r="R348" s="11" t="s">
        <v>27</v>
      </c>
      <c r="S348" s="11" t="s">
        <v>28</v>
      </c>
    </row>
    <row r="349" spans="1:19" x14ac:dyDescent="0.15">
      <c r="A349" s="11">
        <v>20012</v>
      </c>
      <c r="B349" s="11">
        <v>2</v>
      </c>
      <c r="C349" s="11" t="str">
        <f t="shared" si="38"/>
        <v>20012_2</v>
      </c>
      <c r="D349" s="11" t="str">
        <f>VLOOKUP(C349,[1]stages!$A:$AE,31,FALSE)</f>
        <v>everyone</v>
      </c>
      <c r="E349" s="11">
        <v>348</v>
      </c>
      <c r="F349" s="11">
        <v>123</v>
      </c>
      <c r="G349" s="10" t="str">
        <f>IF(I349="unit",VLOOKUP(F349,[2]characters!$A:$C,3,FALSE),"-")</f>
        <v>癒しの果実</v>
      </c>
      <c r="H349" s="11">
        <v>50</v>
      </c>
      <c r="I349" s="11" t="s">
        <v>36</v>
      </c>
      <c r="J349" s="11">
        <v>1</v>
      </c>
      <c r="K349" s="11">
        <v>1</v>
      </c>
      <c r="L349" s="11">
        <v>1</v>
      </c>
      <c r="M349" s="11">
        <v>0</v>
      </c>
      <c r="N349" s="11">
        <v>0</v>
      </c>
      <c r="O349" s="11">
        <v>0</v>
      </c>
      <c r="P349" s="11">
        <v>0</v>
      </c>
      <c r="Q349" s="11">
        <v>1</v>
      </c>
      <c r="R349" s="11" t="s">
        <v>27</v>
      </c>
      <c r="S349" s="11" t="s">
        <v>28</v>
      </c>
    </row>
    <row r="350" spans="1:19" x14ac:dyDescent="0.15">
      <c r="A350" s="11">
        <v>20012</v>
      </c>
      <c r="B350" s="11">
        <v>2</v>
      </c>
      <c r="C350" s="11" t="str">
        <f t="shared" si="38"/>
        <v>20012_2</v>
      </c>
      <c r="D350" s="11" t="str">
        <f>VLOOKUP(C350,[1]stages!$A:$AE,31,FALSE)</f>
        <v>everyone</v>
      </c>
      <c r="E350" s="11">
        <v>349</v>
      </c>
      <c r="F350" s="11">
        <v>125</v>
      </c>
      <c r="G350" s="10" t="str">
        <f>IF(I350="unit",VLOOKUP(F350,[2]characters!$A:$C,3,FALSE),"-")</f>
        <v>秘術の果実</v>
      </c>
      <c r="H350" s="11">
        <v>10</v>
      </c>
      <c r="I350" s="11" t="s">
        <v>36</v>
      </c>
      <c r="J350" s="11">
        <v>1</v>
      </c>
      <c r="K350" s="11">
        <v>1</v>
      </c>
      <c r="L350" s="11">
        <v>1</v>
      </c>
      <c r="M350" s="11">
        <v>0</v>
      </c>
      <c r="N350" s="11">
        <v>0</v>
      </c>
      <c r="O350" s="11">
        <v>0</v>
      </c>
      <c r="P350" s="11">
        <v>0</v>
      </c>
      <c r="Q350" s="11">
        <v>1</v>
      </c>
      <c r="R350" s="11" t="s">
        <v>27</v>
      </c>
      <c r="S350" s="11" t="s">
        <v>28</v>
      </c>
    </row>
    <row r="351" spans="1:19" x14ac:dyDescent="0.15">
      <c r="A351" s="11">
        <v>20012</v>
      </c>
      <c r="B351" s="11">
        <v>2</v>
      </c>
      <c r="C351" s="11" t="str">
        <f t="shared" si="38"/>
        <v>20012_2</v>
      </c>
      <c r="D351" s="11" t="str">
        <f>VLOOKUP(C351,[1]stages!$A:$AE,31,FALSE)</f>
        <v>everyone</v>
      </c>
      <c r="E351" s="11">
        <v>350</v>
      </c>
      <c r="F351" s="11">
        <v>300</v>
      </c>
      <c r="G351" s="10" t="str">
        <f>IF(I351="unit",VLOOKUP(F351,[2]characters!$A:$C,3,FALSE),"-")</f>
        <v>毒殺のチカ</v>
      </c>
      <c r="H351" s="11">
        <v>250</v>
      </c>
      <c r="I351" s="11" t="s">
        <v>36</v>
      </c>
      <c r="J351" s="11">
        <v>1</v>
      </c>
      <c r="K351" s="11">
        <v>1</v>
      </c>
      <c r="L351" s="11">
        <v>1</v>
      </c>
      <c r="M351" s="11">
        <v>0</v>
      </c>
      <c r="N351" s="11">
        <v>0</v>
      </c>
      <c r="O351" s="11">
        <v>0</v>
      </c>
      <c r="P351" s="11">
        <v>0</v>
      </c>
      <c r="Q351" s="11">
        <v>1</v>
      </c>
      <c r="R351" s="11" t="s">
        <v>27</v>
      </c>
      <c r="S351" s="11" t="s">
        <v>28</v>
      </c>
    </row>
    <row r="352" spans="1:19" x14ac:dyDescent="0.15">
      <c r="A352" s="11">
        <v>20012</v>
      </c>
      <c r="B352" s="11">
        <v>2</v>
      </c>
      <c r="C352" s="11" t="str">
        <f t="shared" si="38"/>
        <v>20012_2</v>
      </c>
      <c r="D352" s="11" t="str">
        <f>VLOOKUP(C352,[1]stages!$A:$AE,31,FALSE)</f>
        <v>everyone</v>
      </c>
      <c r="E352" s="11">
        <v>351</v>
      </c>
      <c r="F352" s="11">
        <v>350</v>
      </c>
      <c r="G352" s="10" t="str">
        <f>IF(I352="unit",VLOOKUP(F352,[2]characters!$A:$C,3,FALSE),"-")</f>
        <v>森のケロケロ</v>
      </c>
      <c r="H352" s="11">
        <v>100</v>
      </c>
      <c r="I352" s="11" t="s">
        <v>36</v>
      </c>
      <c r="J352" s="11">
        <v>1</v>
      </c>
      <c r="K352" s="11">
        <v>1</v>
      </c>
      <c r="L352" s="11">
        <v>1</v>
      </c>
      <c r="M352" s="11">
        <v>0</v>
      </c>
      <c r="N352" s="11">
        <v>0</v>
      </c>
      <c r="O352" s="11">
        <v>0</v>
      </c>
      <c r="P352" s="11">
        <v>0</v>
      </c>
      <c r="Q352" s="11">
        <v>1</v>
      </c>
      <c r="R352" s="11" t="s">
        <v>27</v>
      </c>
      <c r="S352" s="11" t="s">
        <v>28</v>
      </c>
    </row>
    <row r="353" spans="1:19" x14ac:dyDescent="0.15">
      <c r="A353" s="11">
        <v>20012</v>
      </c>
      <c r="B353" s="11">
        <v>3</v>
      </c>
      <c r="C353" s="11" t="str">
        <f>A353&amp; "_"&amp;B353</f>
        <v>20012_3</v>
      </c>
      <c r="D353" s="11" t="str">
        <f>VLOOKUP(C353,[1]stages!$A:$AE,31,FALSE)</f>
        <v>everyone</v>
      </c>
      <c r="E353" s="11">
        <v>352</v>
      </c>
      <c r="F353" s="11">
        <v>5000</v>
      </c>
      <c r="G353" s="10" t="str">
        <f>IF(I353="unit",VLOOKUP(F353,[2]characters!$A:$C,3,FALSE),"-")</f>
        <v>-</v>
      </c>
      <c r="H353" s="11">
        <v>100</v>
      </c>
      <c r="I353" s="11" t="s">
        <v>32</v>
      </c>
      <c r="J353" s="11" t="s">
        <v>33</v>
      </c>
      <c r="K353" s="11">
        <v>1</v>
      </c>
      <c r="L353" s="11">
        <v>1</v>
      </c>
      <c r="M353" s="11">
        <v>0</v>
      </c>
      <c r="N353" s="11">
        <v>0</v>
      </c>
      <c r="O353" s="11">
        <v>0</v>
      </c>
      <c r="P353" s="11">
        <v>0</v>
      </c>
      <c r="Q353" s="11">
        <v>1</v>
      </c>
      <c r="R353" s="11" t="s">
        <v>27</v>
      </c>
      <c r="S353" s="11" t="s">
        <v>28</v>
      </c>
    </row>
    <row r="354" spans="1:19" x14ac:dyDescent="0.15">
      <c r="A354" s="11">
        <v>20012</v>
      </c>
      <c r="B354" s="11">
        <v>3</v>
      </c>
      <c r="C354" s="11" t="str">
        <f t="shared" ref="C354:C363" si="39">A354&amp; "_"&amp;B354</f>
        <v>20012_3</v>
      </c>
      <c r="D354" s="11" t="str">
        <f>VLOOKUP(C354,[1]stages!$A:$AE,31,FALSE)</f>
        <v>everyone</v>
      </c>
      <c r="E354" s="11">
        <v>353</v>
      </c>
      <c r="F354" s="11">
        <v>25</v>
      </c>
      <c r="G354" s="10" t="str">
        <f>IF(I354="unit",VLOOKUP(F354,[2]characters!$A:$C,3,FALSE),"-")</f>
        <v>-</v>
      </c>
      <c r="H354" s="11">
        <v>100</v>
      </c>
      <c r="I354" s="11" t="s">
        <v>35</v>
      </c>
      <c r="J354" s="11" t="s">
        <v>33</v>
      </c>
      <c r="K354" s="11">
        <v>1</v>
      </c>
      <c r="L354" s="11">
        <v>1</v>
      </c>
      <c r="M354" s="11">
        <v>0</v>
      </c>
      <c r="N354" s="11">
        <v>0</v>
      </c>
      <c r="O354" s="11">
        <v>0</v>
      </c>
      <c r="P354" s="11">
        <v>0</v>
      </c>
      <c r="Q354" s="11">
        <v>1</v>
      </c>
      <c r="R354" s="11" t="s">
        <v>27</v>
      </c>
      <c r="S354" s="11" t="s">
        <v>28</v>
      </c>
    </row>
    <row r="355" spans="1:19" x14ac:dyDescent="0.15">
      <c r="A355" s="11">
        <v>20012</v>
      </c>
      <c r="B355" s="11">
        <v>3</v>
      </c>
      <c r="C355" s="11" t="str">
        <f t="shared" si="39"/>
        <v>20012_3</v>
      </c>
      <c r="D355" s="11" t="str">
        <f>VLOOKUP(C355,[1]stages!$A:$AE,31,FALSE)</f>
        <v>everyone</v>
      </c>
      <c r="E355" s="11">
        <v>354</v>
      </c>
      <c r="F355" s="11">
        <v>336</v>
      </c>
      <c r="G355" s="10" t="str">
        <f>IF(I355="unit",VLOOKUP(F355,[2]characters!$A:$C,3,FALSE),"-")</f>
        <v>森のメタルピヨピヨ</v>
      </c>
      <c r="H355" s="11">
        <v>56</v>
      </c>
      <c r="I355" s="11" t="s">
        <v>36</v>
      </c>
      <c r="J355" s="11">
        <v>1</v>
      </c>
      <c r="K355" s="11">
        <v>1</v>
      </c>
      <c r="L355" s="11">
        <v>1</v>
      </c>
      <c r="M355" s="11">
        <v>0</v>
      </c>
      <c r="N355" s="11">
        <v>0</v>
      </c>
      <c r="O355" s="11">
        <v>0</v>
      </c>
      <c r="P355" s="11">
        <v>0</v>
      </c>
      <c r="Q355" s="11">
        <v>1</v>
      </c>
      <c r="R355" s="11" t="s">
        <v>27</v>
      </c>
      <c r="S355" s="11" t="s">
        <v>28</v>
      </c>
    </row>
    <row r="356" spans="1:19" x14ac:dyDescent="0.15">
      <c r="A356" s="11">
        <v>20012</v>
      </c>
      <c r="B356" s="11">
        <v>3</v>
      </c>
      <c r="C356" s="11" t="str">
        <f t="shared" si="39"/>
        <v>20012_3</v>
      </c>
      <c r="D356" s="11" t="str">
        <f>VLOOKUP(C356,[1]stages!$A:$AE,31,FALSE)</f>
        <v>everyone</v>
      </c>
      <c r="E356" s="11">
        <v>355</v>
      </c>
      <c r="F356" s="11">
        <v>337</v>
      </c>
      <c r="G356" s="10" t="str">
        <f>IF(I356="unit",VLOOKUP(F356,[2]characters!$A:$C,3,FALSE),"-")</f>
        <v>森のメタルチック</v>
      </c>
      <c r="H356" s="11">
        <v>56</v>
      </c>
      <c r="I356" s="11" t="s">
        <v>36</v>
      </c>
      <c r="J356" s="11">
        <v>1</v>
      </c>
      <c r="K356" s="11">
        <v>1</v>
      </c>
      <c r="L356" s="11">
        <v>1</v>
      </c>
      <c r="M356" s="11">
        <v>0</v>
      </c>
      <c r="N356" s="11">
        <v>0</v>
      </c>
      <c r="O356" s="11">
        <v>0</v>
      </c>
      <c r="P356" s="11">
        <v>0</v>
      </c>
      <c r="Q356" s="11">
        <v>1</v>
      </c>
      <c r="R356" s="11" t="s">
        <v>27</v>
      </c>
      <c r="S356" s="11" t="s">
        <v>28</v>
      </c>
    </row>
    <row r="357" spans="1:19" x14ac:dyDescent="0.15">
      <c r="A357" s="11">
        <v>20012</v>
      </c>
      <c r="B357" s="11">
        <v>3</v>
      </c>
      <c r="C357" s="11" t="str">
        <f t="shared" si="39"/>
        <v>20012_3</v>
      </c>
      <c r="D357" s="11" t="str">
        <f>VLOOKUP(C357,[1]stages!$A:$AE,31,FALSE)</f>
        <v>everyone</v>
      </c>
      <c r="E357" s="11">
        <v>356</v>
      </c>
      <c r="F357" s="11">
        <v>338</v>
      </c>
      <c r="G357" s="10" t="str">
        <f>IF(I357="unit",VLOOKUP(F357,[2]characters!$A:$C,3,FALSE),"-")</f>
        <v>森のメタルダック</v>
      </c>
      <c r="H357" s="11">
        <v>28</v>
      </c>
      <c r="I357" s="11" t="s">
        <v>36</v>
      </c>
      <c r="J357" s="11">
        <v>1</v>
      </c>
      <c r="K357" s="11">
        <v>1</v>
      </c>
      <c r="L357" s="11">
        <v>1</v>
      </c>
      <c r="M357" s="11">
        <v>0</v>
      </c>
      <c r="N357" s="11">
        <v>0</v>
      </c>
      <c r="O357" s="11">
        <v>0</v>
      </c>
      <c r="P357" s="11">
        <v>0</v>
      </c>
      <c r="Q357" s="11">
        <v>1</v>
      </c>
      <c r="R357" s="11" t="s">
        <v>27</v>
      </c>
      <c r="S357" s="11" t="s">
        <v>28</v>
      </c>
    </row>
    <row r="358" spans="1:19" x14ac:dyDescent="0.15">
      <c r="A358" s="11">
        <v>20012</v>
      </c>
      <c r="B358" s="11">
        <v>3</v>
      </c>
      <c r="C358" s="11" t="str">
        <f t="shared" si="39"/>
        <v>20012_3</v>
      </c>
      <c r="D358" s="11" t="str">
        <f>VLOOKUP(C358,[1]stages!$A:$AE,31,FALSE)</f>
        <v>everyone</v>
      </c>
      <c r="E358" s="11">
        <v>357</v>
      </c>
      <c r="F358" s="11">
        <v>121</v>
      </c>
      <c r="G358" s="10" t="str">
        <f>IF(I358="unit",VLOOKUP(F358,[2]characters!$A:$C,3,FALSE),"-")</f>
        <v>攻めの果実</v>
      </c>
      <c r="H358" s="11">
        <v>50</v>
      </c>
      <c r="I358" s="11" t="s">
        <v>36</v>
      </c>
      <c r="J358" s="11">
        <v>1</v>
      </c>
      <c r="K358" s="11">
        <v>1</v>
      </c>
      <c r="L358" s="11">
        <v>1</v>
      </c>
      <c r="M358" s="11">
        <v>0</v>
      </c>
      <c r="N358" s="11">
        <v>0</v>
      </c>
      <c r="O358" s="11">
        <v>0</v>
      </c>
      <c r="P358" s="11">
        <v>0</v>
      </c>
      <c r="Q358" s="11">
        <v>1</v>
      </c>
      <c r="R358" s="11" t="s">
        <v>27</v>
      </c>
      <c r="S358" s="11" t="s">
        <v>28</v>
      </c>
    </row>
    <row r="359" spans="1:19" x14ac:dyDescent="0.15">
      <c r="A359" s="11">
        <v>20012</v>
      </c>
      <c r="B359" s="11">
        <v>3</v>
      </c>
      <c r="C359" s="11" t="str">
        <f t="shared" si="39"/>
        <v>20012_3</v>
      </c>
      <c r="D359" s="11" t="str">
        <f>VLOOKUP(C359,[1]stages!$A:$AE,31,FALSE)</f>
        <v>everyone</v>
      </c>
      <c r="E359" s="11">
        <v>358</v>
      </c>
      <c r="F359" s="11">
        <v>122</v>
      </c>
      <c r="G359" s="10" t="str">
        <f>IF(I359="unit",VLOOKUP(F359,[2]characters!$A:$C,3,FALSE),"-")</f>
        <v>生命の果実</v>
      </c>
      <c r="H359" s="11">
        <v>50</v>
      </c>
      <c r="I359" s="11" t="s">
        <v>36</v>
      </c>
      <c r="J359" s="11">
        <v>1</v>
      </c>
      <c r="K359" s="11">
        <v>1</v>
      </c>
      <c r="L359" s="11">
        <v>1</v>
      </c>
      <c r="M359" s="11">
        <v>0</v>
      </c>
      <c r="N359" s="11">
        <v>0</v>
      </c>
      <c r="O359" s="11">
        <v>0</v>
      </c>
      <c r="P359" s="11">
        <v>0</v>
      </c>
      <c r="Q359" s="11">
        <v>1</v>
      </c>
      <c r="R359" s="11" t="s">
        <v>27</v>
      </c>
      <c r="S359" s="11" t="s">
        <v>28</v>
      </c>
    </row>
    <row r="360" spans="1:19" x14ac:dyDescent="0.15">
      <c r="A360" s="11">
        <v>20012</v>
      </c>
      <c r="B360" s="11">
        <v>3</v>
      </c>
      <c r="C360" s="11" t="str">
        <f t="shared" si="39"/>
        <v>20012_3</v>
      </c>
      <c r="D360" s="11" t="str">
        <f>VLOOKUP(C360,[1]stages!$A:$AE,31,FALSE)</f>
        <v>everyone</v>
      </c>
      <c r="E360" s="11">
        <v>359</v>
      </c>
      <c r="F360" s="11">
        <v>123</v>
      </c>
      <c r="G360" s="10" t="str">
        <f>IF(I360="unit",VLOOKUP(F360,[2]characters!$A:$C,3,FALSE),"-")</f>
        <v>癒しの果実</v>
      </c>
      <c r="H360" s="11">
        <v>50</v>
      </c>
      <c r="I360" s="11" t="s">
        <v>36</v>
      </c>
      <c r="J360" s="11">
        <v>1</v>
      </c>
      <c r="K360" s="11">
        <v>1</v>
      </c>
      <c r="L360" s="11">
        <v>1</v>
      </c>
      <c r="M360" s="11">
        <v>0</v>
      </c>
      <c r="N360" s="11">
        <v>0</v>
      </c>
      <c r="O360" s="11">
        <v>0</v>
      </c>
      <c r="P360" s="11">
        <v>0</v>
      </c>
      <c r="Q360" s="11">
        <v>1</v>
      </c>
      <c r="R360" s="11" t="s">
        <v>27</v>
      </c>
      <c r="S360" s="11" t="s">
        <v>28</v>
      </c>
    </row>
    <row r="361" spans="1:19" x14ac:dyDescent="0.15">
      <c r="A361" s="11">
        <v>20012</v>
      </c>
      <c r="B361" s="11">
        <v>3</v>
      </c>
      <c r="C361" s="11" t="str">
        <f t="shared" si="39"/>
        <v>20012_3</v>
      </c>
      <c r="D361" s="11" t="str">
        <f>VLOOKUP(C361,[1]stages!$A:$AE,31,FALSE)</f>
        <v>everyone</v>
      </c>
      <c r="E361" s="11">
        <v>360</v>
      </c>
      <c r="F361" s="11">
        <v>125</v>
      </c>
      <c r="G361" s="10" t="str">
        <f>IF(I361="unit",VLOOKUP(F361,[2]characters!$A:$C,3,FALSE),"-")</f>
        <v>秘術の果実</v>
      </c>
      <c r="H361" s="11">
        <v>10</v>
      </c>
      <c r="I361" s="11" t="s">
        <v>36</v>
      </c>
      <c r="J361" s="11">
        <v>1</v>
      </c>
      <c r="K361" s="11">
        <v>1</v>
      </c>
      <c r="L361" s="11">
        <v>1</v>
      </c>
      <c r="M361" s="11">
        <v>0</v>
      </c>
      <c r="N361" s="11">
        <v>0</v>
      </c>
      <c r="O361" s="11">
        <v>0</v>
      </c>
      <c r="P361" s="11">
        <v>0</v>
      </c>
      <c r="Q361" s="11">
        <v>1</v>
      </c>
      <c r="R361" s="11" t="s">
        <v>27</v>
      </c>
      <c r="S361" s="11" t="s">
        <v>28</v>
      </c>
    </row>
    <row r="362" spans="1:19" x14ac:dyDescent="0.15">
      <c r="A362" s="11">
        <v>20012</v>
      </c>
      <c r="B362" s="11">
        <v>3</v>
      </c>
      <c r="C362" s="11" t="str">
        <f t="shared" si="39"/>
        <v>20012_3</v>
      </c>
      <c r="D362" s="11" t="str">
        <f>VLOOKUP(C362,[1]stages!$A:$AE,31,FALSE)</f>
        <v>everyone</v>
      </c>
      <c r="E362" s="11">
        <v>361</v>
      </c>
      <c r="F362" s="11">
        <v>300</v>
      </c>
      <c r="G362" s="10" t="str">
        <f>IF(I362="unit",VLOOKUP(F362,[2]characters!$A:$C,3,FALSE),"-")</f>
        <v>毒殺のチカ</v>
      </c>
      <c r="H362" s="11">
        <v>400</v>
      </c>
      <c r="I362" s="11" t="s">
        <v>36</v>
      </c>
      <c r="J362" s="11">
        <v>1</v>
      </c>
      <c r="K362" s="11">
        <v>1</v>
      </c>
      <c r="L362" s="11">
        <v>1</v>
      </c>
      <c r="M362" s="11">
        <v>0</v>
      </c>
      <c r="N362" s="11">
        <v>0</v>
      </c>
      <c r="O362" s="11">
        <v>0</v>
      </c>
      <c r="P362" s="11">
        <v>0</v>
      </c>
      <c r="Q362" s="11">
        <v>1</v>
      </c>
      <c r="R362" s="11" t="s">
        <v>27</v>
      </c>
      <c r="S362" s="11" t="s">
        <v>28</v>
      </c>
    </row>
    <row r="363" spans="1:19" x14ac:dyDescent="0.15">
      <c r="A363" s="11">
        <v>20012</v>
      </c>
      <c r="B363" s="11">
        <v>3</v>
      </c>
      <c r="C363" s="11" t="str">
        <f t="shared" si="39"/>
        <v>20012_3</v>
      </c>
      <c r="D363" s="11" t="str">
        <f>VLOOKUP(C363,[1]stages!$A:$AE,31,FALSE)</f>
        <v>everyone</v>
      </c>
      <c r="E363" s="11">
        <v>362</v>
      </c>
      <c r="F363" s="11">
        <v>350</v>
      </c>
      <c r="G363" s="10" t="str">
        <f>IF(I363="unit",VLOOKUP(F363,[2]characters!$A:$C,3,FALSE),"-")</f>
        <v>森のケロケロ</v>
      </c>
      <c r="H363" s="11">
        <v>100</v>
      </c>
      <c r="I363" s="11" t="s">
        <v>36</v>
      </c>
      <c r="J363" s="11">
        <v>1</v>
      </c>
      <c r="K363" s="11">
        <v>1</v>
      </c>
      <c r="L363" s="11">
        <v>1</v>
      </c>
      <c r="M363" s="11">
        <v>0</v>
      </c>
      <c r="N363" s="11">
        <v>0</v>
      </c>
      <c r="O363" s="11">
        <v>0</v>
      </c>
      <c r="P363" s="11">
        <v>0</v>
      </c>
      <c r="Q363" s="11">
        <v>1</v>
      </c>
      <c r="R363" s="11" t="s">
        <v>27</v>
      </c>
      <c r="S363" s="11" t="s">
        <v>28</v>
      </c>
    </row>
    <row r="364" spans="1:19" x14ac:dyDescent="0.15">
      <c r="A364" s="11">
        <v>30001</v>
      </c>
      <c r="B364" s="11">
        <v>1</v>
      </c>
      <c r="C364" s="11" t="str">
        <f>A364&amp; "_"&amp;B364</f>
        <v>30001_1</v>
      </c>
      <c r="D364" s="11" t="str">
        <f>VLOOKUP(C364,[1]stages!$A:$AE,31,FALSE)</f>
        <v>everyone</v>
      </c>
      <c r="E364" s="11">
        <v>363</v>
      </c>
      <c r="F364" s="11">
        <v>3200</v>
      </c>
      <c r="G364" s="10" t="str">
        <f>IF(I364="unit",VLOOKUP(F364,[2]characters!$A:$C,3,FALSE),"-")</f>
        <v>-</v>
      </c>
      <c r="H364" s="11">
        <v>200</v>
      </c>
      <c r="I364" s="11" t="s">
        <v>32</v>
      </c>
      <c r="J364" s="11" t="s">
        <v>33</v>
      </c>
      <c r="K364" s="11">
        <v>1</v>
      </c>
      <c r="L364" s="11">
        <v>1</v>
      </c>
      <c r="M364" s="11">
        <v>0</v>
      </c>
      <c r="N364" s="11">
        <v>0</v>
      </c>
      <c r="O364" s="11">
        <v>0</v>
      </c>
      <c r="P364" s="11">
        <v>0</v>
      </c>
      <c r="Q364" s="11">
        <v>1</v>
      </c>
      <c r="R364" s="11" t="s">
        <v>27</v>
      </c>
      <c r="S364" s="11" t="s">
        <v>28</v>
      </c>
    </row>
    <row r="365" spans="1:19" x14ac:dyDescent="0.15">
      <c r="A365" s="11">
        <v>30001</v>
      </c>
      <c r="B365" s="11">
        <v>1</v>
      </c>
      <c r="C365" s="11" t="str">
        <f t="shared" ref="C365:C373" si="40">A365&amp; "_"&amp;B365</f>
        <v>30001_1</v>
      </c>
      <c r="D365" s="11" t="str">
        <f>VLOOKUP(C365,[1]stages!$A:$AE,31,FALSE)</f>
        <v>everyone</v>
      </c>
      <c r="E365" s="11">
        <v>364</v>
      </c>
      <c r="F365" s="11">
        <v>20</v>
      </c>
      <c r="G365" s="10" t="str">
        <f>IF(I365="unit",VLOOKUP(F365,[2]characters!$A:$C,3,FALSE),"-")</f>
        <v>-</v>
      </c>
      <c r="H365" s="11">
        <v>200</v>
      </c>
      <c r="I365" s="11" t="s">
        <v>35</v>
      </c>
      <c r="J365" s="11" t="s">
        <v>33</v>
      </c>
      <c r="K365" s="11">
        <v>1</v>
      </c>
      <c r="L365" s="11">
        <v>1</v>
      </c>
      <c r="M365" s="11">
        <v>0</v>
      </c>
      <c r="N365" s="11">
        <v>0</v>
      </c>
      <c r="O365" s="11">
        <v>0</v>
      </c>
      <c r="P365" s="11">
        <v>0</v>
      </c>
      <c r="Q365" s="11">
        <v>1</v>
      </c>
      <c r="R365" s="11" t="s">
        <v>27</v>
      </c>
      <c r="S365" s="11" t="s">
        <v>28</v>
      </c>
    </row>
    <row r="366" spans="1:19" x14ac:dyDescent="0.15">
      <c r="A366" s="11">
        <v>30001</v>
      </c>
      <c r="B366" s="11">
        <v>1</v>
      </c>
      <c r="C366" s="11" t="str">
        <f t="shared" si="40"/>
        <v>30001_1</v>
      </c>
      <c r="D366" s="11" t="str">
        <f>VLOOKUP(C366,[1]stages!$A:$AE,31,FALSE)</f>
        <v>everyone</v>
      </c>
      <c r="E366" s="11">
        <v>365</v>
      </c>
      <c r="F366" s="11">
        <v>336</v>
      </c>
      <c r="G366" s="10" t="str">
        <f>IF(I366="unit",VLOOKUP(F366,[2]characters!$A:$C,3,FALSE),"-")</f>
        <v>森のメタルピヨピヨ</v>
      </c>
      <c r="H366" s="11">
        <v>70</v>
      </c>
      <c r="I366" s="11" t="s">
        <v>36</v>
      </c>
      <c r="J366" s="11">
        <v>1</v>
      </c>
      <c r="K366" s="11">
        <v>1</v>
      </c>
      <c r="L366" s="11">
        <v>1</v>
      </c>
      <c r="M366" s="11">
        <v>0</v>
      </c>
      <c r="N366" s="11">
        <v>0</v>
      </c>
      <c r="O366" s="11">
        <v>0</v>
      </c>
      <c r="P366" s="11">
        <v>0</v>
      </c>
      <c r="Q366" s="11">
        <v>1</v>
      </c>
      <c r="R366" s="11" t="s">
        <v>27</v>
      </c>
      <c r="S366" s="11" t="s">
        <v>28</v>
      </c>
    </row>
    <row r="367" spans="1:19" x14ac:dyDescent="0.15">
      <c r="A367" s="11">
        <v>30001</v>
      </c>
      <c r="B367" s="11">
        <v>1</v>
      </c>
      <c r="C367" s="11" t="str">
        <f t="shared" si="40"/>
        <v>30001_1</v>
      </c>
      <c r="D367" s="11" t="str">
        <f>VLOOKUP(C367,[1]stages!$A:$AE,31,FALSE)</f>
        <v>everyone</v>
      </c>
      <c r="E367" s="11">
        <v>366</v>
      </c>
      <c r="F367" s="11">
        <v>337</v>
      </c>
      <c r="G367" s="10" t="str">
        <f>IF(I367="unit",VLOOKUP(F367,[2]characters!$A:$C,3,FALSE),"-")</f>
        <v>森のメタルチック</v>
      </c>
      <c r="H367" s="11">
        <v>70</v>
      </c>
      <c r="I367" s="11" t="s">
        <v>36</v>
      </c>
      <c r="J367" s="11">
        <v>1</v>
      </c>
      <c r="K367" s="11">
        <v>1</v>
      </c>
      <c r="L367" s="11">
        <v>1</v>
      </c>
      <c r="M367" s="11">
        <v>0</v>
      </c>
      <c r="N367" s="11">
        <v>0</v>
      </c>
      <c r="O367" s="11">
        <v>0</v>
      </c>
      <c r="P367" s="11">
        <v>0</v>
      </c>
      <c r="Q367" s="11">
        <v>1</v>
      </c>
      <c r="R367" s="11" t="s">
        <v>27</v>
      </c>
      <c r="S367" s="11" t="s">
        <v>28</v>
      </c>
    </row>
    <row r="368" spans="1:19" x14ac:dyDescent="0.15">
      <c r="A368" s="11">
        <v>30001</v>
      </c>
      <c r="B368" s="11">
        <v>1</v>
      </c>
      <c r="C368" s="11" t="str">
        <f t="shared" si="40"/>
        <v>30001_1</v>
      </c>
      <c r="D368" s="11" t="str">
        <f>VLOOKUP(C368,[1]stages!$A:$AE,31,FALSE)</f>
        <v>everyone</v>
      </c>
      <c r="E368" s="11">
        <v>367</v>
      </c>
      <c r="F368" s="11">
        <v>121</v>
      </c>
      <c r="G368" s="10" t="str">
        <f>IF(I368="unit",VLOOKUP(F368,[2]characters!$A:$C,3,FALSE),"-")</f>
        <v>攻めの果実</v>
      </c>
      <c r="H368" s="11">
        <v>50</v>
      </c>
      <c r="I368" s="11" t="s">
        <v>36</v>
      </c>
      <c r="J368" s="11">
        <v>1</v>
      </c>
      <c r="K368" s="11">
        <v>1</v>
      </c>
      <c r="L368" s="11">
        <v>1</v>
      </c>
      <c r="M368" s="11">
        <v>0</v>
      </c>
      <c r="N368" s="11">
        <v>0</v>
      </c>
      <c r="O368" s="11">
        <v>0</v>
      </c>
      <c r="P368" s="11">
        <v>0</v>
      </c>
      <c r="Q368" s="11">
        <v>1</v>
      </c>
      <c r="R368" s="11" t="s">
        <v>27</v>
      </c>
      <c r="S368" s="11" t="s">
        <v>28</v>
      </c>
    </row>
    <row r="369" spans="1:19" x14ac:dyDescent="0.15">
      <c r="A369" s="11">
        <v>30001</v>
      </c>
      <c r="B369" s="11">
        <v>1</v>
      </c>
      <c r="C369" s="11" t="str">
        <f t="shared" si="40"/>
        <v>30001_1</v>
      </c>
      <c r="D369" s="11" t="str">
        <f>VLOOKUP(C369,[1]stages!$A:$AE,31,FALSE)</f>
        <v>everyone</v>
      </c>
      <c r="E369" s="11">
        <v>368</v>
      </c>
      <c r="F369" s="11">
        <v>122</v>
      </c>
      <c r="G369" s="10" t="str">
        <f>IF(I369="unit",VLOOKUP(F369,[2]characters!$A:$C,3,FALSE),"-")</f>
        <v>生命の果実</v>
      </c>
      <c r="H369" s="11">
        <v>50</v>
      </c>
      <c r="I369" s="11" t="s">
        <v>36</v>
      </c>
      <c r="J369" s="11">
        <v>1</v>
      </c>
      <c r="K369" s="11">
        <v>1</v>
      </c>
      <c r="L369" s="11">
        <v>1</v>
      </c>
      <c r="M369" s="11">
        <v>0</v>
      </c>
      <c r="N369" s="11">
        <v>0</v>
      </c>
      <c r="O369" s="11">
        <v>0</v>
      </c>
      <c r="P369" s="11">
        <v>0</v>
      </c>
      <c r="Q369" s="11">
        <v>1</v>
      </c>
      <c r="R369" s="11" t="s">
        <v>27</v>
      </c>
      <c r="S369" s="11" t="s">
        <v>28</v>
      </c>
    </row>
    <row r="370" spans="1:19" x14ac:dyDescent="0.15">
      <c r="A370" s="11">
        <v>30001</v>
      </c>
      <c r="B370" s="11">
        <v>1</v>
      </c>
      <c r="C370" s="11" t="str">
        <f t="shared" si="40"/>
        <v>30001_1</v>
      </c>
      <c r="D370" s="11" t="str">
        <f>VLOOKUP(C370,[1]stages!$A:$AE,31,FALSE)</f>
        <v>everyone</v>
      </c>
      <c r="E370" s="11">
        <v>369</v>
      </c>
      <c r="F370" s="11">
        <v>123</v>
      </c>
      <c r="G370" s="10" t="str">
        <f>IF(I370="unit",VLOOKUP(F370,[2]characters!$A:$C,3,FALSE),"-")</f>
        <v>癒しの果実</v>
      </c>
      <c r="H370" s="11">
        <v>50</v>
      </c>
      <c r="I370" s="11" t="s">
        <v>36</v>
      </c>
      <c r="J370" s="11">
        <v>1</v>
      </c>
      <c r="K370" s="11">
        <v>1</v>
      </c>
      <c r="L370" s="11">
        <v>1</v>
      </c>
      <c r="M370" s="11">
        <v>0</v>
      </c>
      <c r="N370" s="11">
        <v>0</v>
      </c>
      <c r="O370" s="11">
        <v>0</v>
      </c>
      <c r="P370" s="11">
        <v>0</v>
      </c>
      <c r="Q370" s="11">
        <v>1</v>
      </c>
      <c r="R370" s="11" t="s">
        <v>27</v>
      </c>
      <c r="S370" s="11" t="s">
        <v>28</v>
      </c>
    </row>
    <row r="371" spans="1:19" x14ac:dyDescent="0.15">
      <c r="A371" s="11">
        <v>30001</v>
      </c>
      <c r="B371" s="11">
        <v>1</v>
      </c>
      <c r="C371" s="11" t="str">
        <f t="shared" si="40"/>
        <v>30001_1</v>
      </c>
      <c r="D371" s="11" t="str">
        <f>VLOOKUP(C371,[1]stages!$A:$AE,31,FALSE)</f>
        <v>everyone</v>
      </c>
      <c r="E371" s="11">
        <v>370</v>
      </c>
      <c r="F371" s="11">
        <v>125</v>
      </c>
      <c r="G371" s="10" t="str">
        <f>IF(I371="unit",VLOOKUP(F371,[2]characters!$A:$C,3,FALSE),"-")</f>
        <v>秘術の果実</v>
      </c>
      <c r="H371" s="11">
        <v>10</v>
      </c>
      <c r="I371" s="11" t="s">
        <v>36</v>
      </c>
      <c r="J371" s="11">
        <v>1</v>
      </c>
      <c r="K371" s="11">
        <v>1</v>
      </c>
      <c r="L371" s="11">
        <v>1</v>
      </c>
      <c r="M371" s="11">
        <v>0</v>
      </c>
      <c r="N371" s="11">
        <v>0</v>
      </c>
      <c r="O371" s="11">
        <v>0</v>
      </c>
      <c r="P371" s="11">
        <v>0</v>
      </c>
      <c r="Q371" s="11">
        <v>1</v>
      </c>
      <c r="R371" s="11" t="s">
        <v>27</v>
      </c>
      <c r="S371" s="11" t="s">
        <v>28</v>
      </c>
    </row>
    <row r="372" spans="1:19" x14ac:dyDescent="0.15">
      <c r="A372" s="11">
        <v>30001</v>
      </c>
      <c r="B372" s="11">
        <v>1</v>
      </c>
      <c r="C372" s="11" t="str">
        <f t="shared" si="40"/>
        <v>30001_1</v>
      </c>
      <c r="D372" s="11" t="str">
        <f>VLOOKUP(C372,[1]stages!$A:$AE,31,FALSE)</f>
        <v>everyone</v>
      </c>
      <c r="E372" s="11">
        <v>371</v>
      </c>
      <c r="F372" s="11">
        <v>270</v>
      </c>
      <c r="G372" s="10" t="str">
        <f>IF(I372="unit",VLOOKUP(F372,[2]characters!$A:$C,3,FALSE),"-")</f>
        <v>風爪のミリー</v>
      </c>
      <c r="H372" s="11">
        <v>200</v>
      </c>
      <c r="I372" s="11" t="s">
        <v>36</v>
      </c>
      <c r="J372" s="11">
        <v>1</v>
      </c>
      <c r="K372" s="11">
        <v>1</v>
      </c>
      <c r="L372" s="11">
        <v>1</v>
      </c>
      <c r="M372" s="11">
        <v>0</v>
      </c>
      <c r="N372" s="11">
        <v>0</v>
      </c>
      <c r="O372" s="11">
        <v>0</v>
      </c>
      <c r="P372" s="11">
        <v>0</v>
      </c>
      <c r="Q372" s="11">
        <v>1</v>
      </c>
      <c r="R372" s="11" t="s">
        <v>27</v>
      </c>
      <c r="S372" s="11" t="s">
        <v>28</v>
      </c>
    </row>
    <row r="373" spans="1:19" x14ac:dyDescent="0.15">
      <c r="A373" s="11">
        <v>30001</v>
      </c>
      <c r="B373" s="11">
        <v>1</v>
      </c>
      <c r="C373" s="11" t="str">
        <f t="shared" si="40"/>
        <v>30001_1</v>
      </c>
      <c r="D373" s="11" t="str">
        <f>VLOOKUP(C373,[1]stages!$A:$AE,31,FALSE)</f>
        <v>everyone</v>
      </c>
      <c r="E373" s="11">
        <v>372</v>
      </c>
      <c r="F373" s="11">
        <v>350</v>
      </c>
      <c r="G373" s="10" t="str">
        <f>IF(I373="unit",VLOOKUP(F373,[2]characters!$A:$C,3,FALSE),"-")</f>
        <v>森のケロケロ</v>
      </c>
      <c r="H373" s="11">
        <v>100</v>
      </c>
      <c r="I373" s="11" t="s">
        <v>36</v>
      </c>
      <c r="J373" s="11">
        <v>1</v>
      </c>
      <c r="K373" s="11">
        <v>1</v>
      </c>
      <c r="L373" s="11">
        <v>1</v>
      </c>
      <c r="M373" s="11">
        <v>0</v>
      </c>
      <c r="N373" s="11">
        <v>0</v>
      </c>
      <c r="O373" s="11">
        <v>0</v>
      </c>
      <c r="P373" s="11">
        <v>0</v>
      </c>
      <c r="Q373" s="11">
        <v>1</v>
      </c>
      <c r="R373" s="11" t="s">
        <v>27</v>
      </c>
      <c r="S373" s="11" t="s">
        <v>28</v>
      </c>
    </row>
    <row r="374" spans="1:19" x14ac:dyDescent="0.15">
      <c r="A374" s="11">
        <v>30001</v>
      </c>
      <c r="B374" s="11">
        <v>2</v>
      </c>
      <c r="C374" s="11" t="str">
        <f>A374&amp; "_"&amp;B374</f>
        <v>30001_2</v>
      </c>
      <c r="D374" s="11" t="str">
        <f>VLOOKUP(C374,[1]stages!$A:$AE,31,FALSE)</f>
        <v>everyone</v>
      </c>
      <c r="E374" s="11">
        <v>373</v>
      </c>
      <c r="F374" s="11">
        <v>5000</v>
      </c>
      <c r="G374" s="10" t="str">
        <f>IF(I374="unit",VLOOKUP(F374,[2]characters!$A:$C,3,FALSE),"-")</f>
        <v>-</v>
      </c>
      <c r="H374" s="11">
        <v>200</v>
      </c>
      <c r="I374" s="11" t="s">
        <v>32</v>
      </c>
      <c r="J374" s="11" t="s">
        <v>33</v>
      </c>
      <c r="K374" s="11">
        <v>1</v>
      </c>
      <c r="L374" s="11">
        <v>1</v>
      </c>
      <c r="M374" s="11">
        <v>0</v>
      </c>
      <c r="N374" s="11">
        <v>0</v>
      </c>
      <c r="O374" s="11">
        <v>0</v>
      </c>
      <c r="P374" s="11">
        <v>0</v>
      </c>
      <c r="Q374" s="11">
        <v>1</v>
      </c>
      <c r="R374" s="11" t="s">
        <v>27</v>
      </c>
      <c r="S374" s="11" t="s">
        <v>28</v>
      </c>
    </row>
    <row r="375" spans="1:19" x14ac:dyDescent="0.15">
      <c r="A375" s="11">
        <v>30001</v>
      </c>
      <c r="B375" s="11">
        <v>2</v>
      </c>
      <c r="C375" s="11" t="str">
        <f t="shared" ref="C375:C384" si="41">A375&amp; "_"&amp;B375</f>
        <v>30001_2</v>
      </c>
      <c r="D375" s="11" t="str">
        <f>VLOOKUP(C375,[1]stages!$A:$AE,31,FALSE)</f>
        <v>everyone</v>
      </c>
      <c r="E375" s="11">
        <v>374</v>
      </c>
      <c r="F375" s="11">
        <v>25</v>
      </c>
      <c r="G375" s="10" t="str">
        <f>IF(I375="unit",VLOOKUP(F375,[2]characters!$A:$C,3,FALSE),"-")</f>
        <v>-</v>
      </c>
      <c r="H375" s="11">
        <v>150</v>
      </c>
      <c r="I375" s="11" t="s">
        <v>35</v>
      </c>
      <c r="J375" s="11" t="s">
        <v>33</v>
      </c>
      <c r="K375" s="11">
        <v>1</v>
      </c>
      <c r="L375" s="11">
        <v>1</v>
      </c>
      <c r="M375" s="11">
        <v>0</v>
      </c>
      <c r="N375" s="11">
        <v>0</v>
      </c>
      <c r="O375" s="11">
        <v>0</v>
      </c>
      <c r="P375" s="11">
        <v>0</v>
      </c>
      <c r="Q375" s="11">
        <v>1</v>
      </c>
      <c r="R375" s="11" t="s">
        <v>27</v>
      </c>
      <c r="S375" s="11" t="s">
        <v>28</v>
      </c>
    </row>
    <row r="376" spans="1:19" x14ac:dyDescent="0.15">
      <c r="A376" s="11">
        <v>30001</v>
      </c>
      <c r="B376" s="11">
        <v>2</v>
      </c>
      <c r="C376" s="11" t="str">
        <f t="shared" si="41"/>
        <v>30001_2</v>
      </c>
      <c r="D376" s="11" t="str">
        <f>VLOOKUP(C376,[1]stages!$A:$AE,31,FALSE)</f>
        <v>everyone</v>
      </c>
      <c r="E376" s="11">
        <v>375</v>
      </c>
      <c r="F376" s="11">
        <v>336</v>
      </c>
      <c r="G376" s="10" t="str">
        <f>IF(I376="unit",VLOOKUP(F376,[2]characters!$A:$C,3,FALSE),"-")</f>
        <v>森のメタルピヨピヨ</v>
      </c>
      <c r="H376" s="11">
        <v>56</v>
      </c>
      <c r="I376" s="11" t="s">
        <v>36</v>
      </c>
      <c r="J376" s="11">
        <v>1</v>
      </c>
      <c r="K376" s="11">
        <v>1</v>
      </c>
      <c r="L376" s="11">
        <v>1</v>
      </c>
      <c r="M376" s="11">
        <v>0</v>
      </c>
      <c r="N376" s="11">
        <v>0</v>
      </c>
      <c r="O376" s="11">
        <v>0</v>
      </c>
      <c r="P376" s="11">
        <v>0</v>
      </c>
      <c r="Q376" s="11">
        <v>1</v>
      </c>
      <c r="R376" s="11" t="s">
        <v>27</v>
      </c>
      <c r="S376" s="11" t="s">
        <v>28</v>
      </c>
    </row>
    <row r="377" spans="1:19" x14ac:dyDescent="0.15">
      <c r="A377" s="11">
        <v>30001</v>
      </c>
      <c r="B377" s="11">
        <v>2</v>
      </c>
      <c r="C377" s="11" t="str">
        <f t="shared" si="41"/>
        <v>30001_2</v>
      </c>
      <c r="D377" s="11" t="str">
        <f>VLOOKUP(C377,[1]stages!$A:$AE,31,FALSE)</f>
        <v>everyone</v>
      </c>
      <c r="E377" s="11">
        <v>376</v>
      </c>
      <c r="F377" s="11">
        <v>337</v>
      </c>
      <c r="G377" s="10" t="str">
        <f>IF(I377="unit",VLOOKUP(F377,[2]characters!$A:$C,3,FALSE),"-")</f>
        <v>森のメタルチック</v>
      </c>
      <c r="H377" s="11">
        <v>56</v>
      </c>
      <c r="I377" s="11" t="s">
        <v>36</v>
      </c>
      <c r="J377" s="11">
        <v>1</v>
      </c>
      <c r="K377" s="11">
        <v>1</v>
      </c>
      <c r="L377" s="11">
        <v>1</v>
      </c>
      <c r="M377" s="11">
        <v>0</v>
      </c>
      <c r="N377" s="11">
        <v>0</v>
      </c>
      <c r="O377" s="11">
        <v>0</v>
      </c>
      <c r="P377" s="11">
        <v>0</v>
      </c>
      <c r="Q377" s="11">
        <v>1</v>
      </c>
      <c r="R377" s="11" t="s">
        <v>27</v>
      </c>
      <c r="S377" s="11" t="s">
        <v>28</v>
      </c>
    </row>
    <row r="378" spans="1:19" x14ac:dyDescent="0.15">
      <c r="A378" s="11">
        <v>30001</v>
      </c>
      <c r="B378" s="11">
        <v>2</v>
      </c>
      <c r="C378" s="11" t="str">
        <f t="shared" si="41"/>
        <v>30001_2</v>
      </c>
      <c r="D378" s="11" t="str">
        <f>VLOOKUP(C378,[1]stages!$A:$AE,31,FALSE)</f>
        <v>everyone</v>
      </c>
      <c r="E378" s="11">
        <v>377</v>
      </c>
      <c r="F378" s="11">
        <v>338</v>
      </c>
      <c r="G378" s="10" t="str">
        <f>IF(I378="unit",VLOOKUP(F378,[2]characters!$A:$C,3,FALSE),"-")</f>
        <v>森のメタルダック</v>
      </c>
      <c r="H378" s="11">
        <v>28</v>
      </c>
      <c r="I378" s="11" t="s">
        <v>36</v>
      </c>
      <c r="J378" s="11">
        <v>1</v>
      </c>
      <c r="K378" s="11">
        <v>1</v>
      </c>
      <c r="L378" s="11">
        <v>1</v>
      </c>
      <c r="M378" s="11">
        <v>0</v>
      </c>
      <c r="N378" s="11">
        <v>0</v>
      </c>
      <c r="O378" s="11">
        <v>0</v>
      </c>
      <c r="P378" s="11">
        <v>0</v>
      </c>
      <c r="Q378" s="11">
        <v>1</v>
      </c>
      <c r="R378" s="11" t="s">
        <v>27</v>
      </c>
      <c r="S378" s="11" t="s">
        <v>28</v>
      </c>
    </row>
    <row r="379" spans="1:19" x14ac:dyDescent="0.15">
      <c r="A379" s="11">
        <v>30001</v>
      </c>
      <c r="B379" s="11">
        <v>2</v>
      </c>
      <c r="C379" s="11" t="str">
        <f t="shared" si="41"/>
        <v>30001_2</v>
      </c>
      <c r="D379" s="11" t="str">
        <f>VLOOKUP(C379,[1]stages!$A:$AE,31,FALSE)</f>
        <v>everyone</v>
      </c>
      <c r="E379" s="11">
        <v>378</v>
      </c>
      <c r="F379" s="11">
        <v>121</v>
      </c>
      <c r="G379" s="10" t="str">
        <f>IF(I379="unit",VLOOKUP(F379,[2]characters!$A:$C,3,FALSE),"-")</f>
        <v>攻めの果実</v>
      </c>
      <c r="H379" s="11">
        <v>50</v>
      </c>
      <c r="I379" s="11" t="s">
        <v>36</v>
      </c>
      <c r="J379" s="11">
        <v>1</v>
      </c>
      <c r="K379" s="11">
        <v>1</v>
      </c>
      <c r="L379" s="11">
        <v>1</v>
      </c>
      <c r="M379" s="11">
        <v>0</v>
      </c>
      <c r="N379" s="11">
        <v>0</v>
      </c>
      <c r="O379" s="11">
        <v>0</v>
      </c>
      <c r="P379" s="11">
        <v>0</v>
      </c>
      <c r="Q379" s="11">
        <v>1</v>
      </c>
      <c r="R379" s="11" t="s">
        <v>27</v>
      </c>
      <c r="S379" s="11" t="s">
        <v>28</v>
      </c>
    </row>
    <row r="380" spans="1:19" x14ac:dyDescent="0.15">
      <c r="A380" s="11">
        <v>30001</v>
      </c>
      <c r="B380" s="11">
        <v>2</v>
      </c>
      <c r="C380" s="11" t="str">
        <f t="shared" si="41"/>
        <v>30001_2</v>
      </c>
      <c r="D380" s="11" t="str">
        <f>VLOOKUP(C380,[1]stages!$A:$AE,31,FALSE)</f>
        <v>everyone</v>
      </c>
      <c r="E380" s="11">
        <v>379</v>
      </c>
      <c r="F380" s="11">
        <v>122</v>
      </c>
      <c r="G380" s="10" t="str">
        <f>IF(I380="unit",VLOOKUP(F380,[2]characters!$A:$C,3,FALSE),"-")</f>
        <v>生命の果実</v>
      </c>
      <c r="H380" s="11">
        <v>50</v>
      </c>
      <c r="I380" s="11" t="s">
        <v>36</v>
      </c>
      <c r="J380" s="11">
        <v>1</v>
      </c>
      <c r="K380" s="11">
        <v>1</v>
      </c>
      <c r="L380" s="11">
        <v>1</v>
      </c>
      <c r="M380" s="11">
        <v>0</v>
      </c>
      <c r="N380" s="11">
        <v>0</v>
      </c>
      <c r="O380" s="11">
        <v>0</v>
      </c>
      <c r="P380" s="11">
        <v>0</v>
      </c>
      <c r="Q380" s="11">
        <v>1</v>
      </c>
      <c r="R380" s="11" t="s">
        <v>27</v>
      </c>
      <c r="S380" s="11" t="s">
        <v>28</v>
      </c>
    </row>
    <row r="381" spans="1:19" x14ac:dyDescent="0.15">
      <c r="A381" s="11">
        <v>30001</v>
      </c>
      <c r="B381" s="11">
        <v>2</v>
      </c>
      <c r="C381" s="11" t="str">
        <f t="shared" si="41"/>
        <v>30001_2</v>
      </c>
      <c r="D381" s="11" t="str">
        <f>VLOOKUP(C381,[1]stages!$A:$AE,31,FALSE)</f>
        <v>everyone</v>
      </c>
      <c r="E381" s="11">
        <v>380</v>
      </c>
      <c r="F381" s="11">
        <v>123</v>
      </c>
      <c r="G381" s="10" t="str">
        <f>IF(I381="unit",VLOOKUP(F381,[2]characters!$A:$C,3,FALSE),"-")</f>
        <v>癒しの果実</v>
      </c>
      <c r="H381" s="11">
        <v>50</v>
      </c>
      <c r="I381" s="11" t="s">
        <v>36</v>
      </c>
      <c r="J381" s="11">
        <v>1</v>
      </c>
      <c r="K381" s="11">
        <v>1</v>
      </c>
      <c r="L381" s="11">
        <v>1</v>
      </c>
      <c r="M381" s="11">
        <v>0</v>
      </c>
      <c r="N381" s="11">
        <v>0</v>
      </c>
      <c r="O381" s="11">
        <v>0</v>
      </c>
      <c r="P381" s="11">
        <v>0</v>
      </c>
      <c r="Q381" s="11">
        <v>1</v>
      </c>
      <c r="R381" s="11" t="s">
        <v>27</v>
      </c>
      <c r="S381" s="11" t="s">
        <v>28</v>
      </c>
    </row>
    <row r="382" spans="1:19" x14ac:dyDescent="0.15">
      <c r="A382" s="11">
        <v>30001</v>
      </c>
      <c r="B382" s="11">
        <v>2</v>
      </c>
      <c r="C382" s="11" t="str">
        <f t="shared" si="41"/>
        <v>30001_2</v>
      </c>
      <c r="D382" s="11" t="str">
        <f>VLOOKUP(C382,[1]stages!$A:$AE,31,FALSE)</f>
        <v>everyone</v>
      </c>
      <c r="E382" s="11">
        <v>381</v>
      </c>
      <c r="F382" s="11">
        <v>125</v>
      </c>
      <c r="G382" s="10" t="str">
        <f>IF(I382="unit",VLOOKUP(F382,[2]characters!$A:$C,3,FALSE),"-")</f>
        <v>秘術の果実</v>
      </c>
      <c r="H382" s="11">
        <v>10</v>
      </c>
      <c r="I382" s="11" t="s">
        <v>36</v>
      </c>
      <c r="J382" s="11">
        <v>1</v>
      </c>
      <c r="K382" s="11">
        <v>1</v>
      </c>
      <c r="L382" s="11">
        <v>1</v>
      </c>
      <c r="M382" s="11">
        <v>0</v>
      </c>
      <c r="N382" s="11">
        <v>0</v>
      </c>
      <c r="O382" s="11">
        <v>0</v>
      </c>
      <c r="P382" s="11">
        <v>0</v>
      </c>
      <c r="Q382" s="11">
        <v>1</v>
      </c>
      <c r="R382" s="11" t="s">
        <v>27</v>
      </c>
      <c r="S382" s="11" t="s">
        <v>28</v>
      </c>
    </row>
    <row r="383" spans="1:19" x14ac:dyDescent="0.15">
      <c r="A383" s="11">
        <v>30001</v>
      </c>
      <c r="B383" s="11">
        <v>2</v>
      </c>
      <c r="C383" s="11" t="str">
        <f t="shared" si="41"/>
        <v>30001_2</v>
      </c>
      <c r="D383" s="11" t="str">
        <f>VLOOKUP(C383,[1]stages!$A:$AE,31,FALSE)</f>
        <v>everyone</v>
      </c>
      <c r="E383" s="11">
        <v>382</v>
      </c>
      <c r="F383" s="11">
        <v>270</v>
      </c>
      <c r="G383" s="10" t="str">
        <f>IF(I383="unit",VLOOKUP(F383,[2]characters!$A:$C,3,FALSE),"-")</f>
        <v>風爪のミリー</v>
      </c>
      <c r="H383" s="11">
        <v>250</v>
      </c>
      <c r="I383" s="11" t="s">
        <v>36</v>
      </c>
      <c r="J383" s="11">
        <v>1</v>
      </c>
      <c r="K383" s="11">
        <v>1</v>
      </c>
      <c r="L383" s="11">
        <v>1</v>
      </c>
      <c r="M383" s="11">
        <v>0</v>
      </c>
      <c r="N383" s="11">
        <v>0</v>
      </c>
      <c r="O383" s="11">
        <v>0</v>
      </c>
      <c r="P383" s="11">
        <v>0</v>
      </c>
      <c r="Q383" s="11">
        <v>1</v>
      </c>
      <c r="R383" s="11" t="s">
        <v>27</v>
      </c>
      <c r="S383" s="11" t="s">
        <v>28</v>
      </c>
    </row>
    <row r="384" spans="1:19" x14ac:dyDescent="0.15">
      <c r="A384" s="11">
        <v>30001</v>
      </c>
      <c r="B384" s="11">
        <v>2</v>
      </c>
      <c r="C384" s="11" t="str">
        <f t="shared" si="41"/>
        <v>30001_2</v>
      </c>
      <c r="D384" s="11" t="str">
        <f>VLOOKUP(C384,[1]stages!$A:$AE,31,FALSE)</f>
        <v>everyone</v>
      </c>
      <c r="E384" s="11">
        <v>383</v>
      </c>
      <c r="F384" s="11">
        <v>350</v>
      </c>
      <c r="G384" s="10" t="str">
        <f>IF(I384="unit",VLOOKUP(F384,[2]characters!$A:$C,3,FALSE),"-")</f>
        <v>森のケロケロ</v>
      </c>
      <c r="H384" s="11">
        <v>100</v>
      </c>
      <c r="I384" s="11" t="s">
        <v>36</v>
      </c>
      <c r="J384" s="11">
        <v>1</v>
      </c>
      <c r="K384" s="11">
        <v>1</v>
      </c>
      <c r="L384" s="11">
        <v>1</v>
      </c>
      <c r="M384" s="11">
        <v>0</v>
      </c>
      <c r="N384" s="11">
        <v>0</v>
      </c>
      <c r="O384" s="11">
        <v>0</v>
      </c>
      <c r="P384" s="11">
        <v>0</v>
      </c>
      <c r="Q384" s="11">
        <v>1</v>
      </c>
      <c r="R384" s="11" t="s">
        <v>27</v>
      </c>
      <c r="S384" s="11" t="s">
        <v>28</v>
      </c>
    </row>
    <row r="385" spans="1:19" x14ac:dyDescent="0.15">
      <c r="A385" s="11">
        <v>30001</v>
      </c>
      <c r="B385" s="11">
        <v>3</v>
      </c>
      <c r="C385" s="11" t="str">
        <f>A385&amp; "_"&amp;B385</f>
        <v>30001_3</v>
      </c>
      <c r="D385" s="11" t="str">
        <f>VLOOKUP(C385,[1]stages!$A:$AE,31,FALSE)</f>
        <v>everyone</v>
      </c>
      <c r="E385" s="11">
        <v>384</v>
      </c>
      <c r="F385" s="11">
        <v>6500</v>
      </c>
      <c r="G385" s="10" t="str">
        <f>IF(I385="unit",VLOOKUP(F385,[2]characters!$A:$C,3,FALSE),"-")</f>
        <v>-</v>
      </c>
      <c r="H385" s="11">
        <v>100</v>
      </c>
      <c r="I385" s="11" t="s">
        <v>32</v>
      </c>
      <c r="J385" s="11" t="s">
        <v>33</v>
      </c>
      <c r="K385" s="11">
        <v>1</v>
      </c>
      <c r="L385" s="11">
        <v>1</v>
      </c>
      <c r="M385" s="11">
        <v>0</v>
      </c>
      <c r="N385" s="11">
        <v>0</v>
      </c>
      <c r="O385" s="11">
        <v>0</v>
      </c>
      <c r="P385" s="11">
        <v>0</v>
      </c>
      <c r="Q385" s="11">
        <v>1</v>
      </c>
      <c r="R385" s="11" t="s">
        <v>27</v>
      </c>
      <c r="S385" s="11" t="s">
        <v>28</v>
      </c>
    </row>
    <row r="386" spans="1:19" x14ac:dyDescent="0.15">
      <c r="A386" s="11">
        <v>30001</v>
      </c>
      <c r="B386" s="11">
        <v>3</v>
      </c>
      <c r="C386" s="11" t="str">
        <f t="shared" ref="C386:C395" si="42">A386&amp; "_"&amp;B386</f>
        <v>30001_3</v>
      </c>
      <c r="D386" s="11" t="str">
        <f>VLOOKUP(C386,[1]stages!$A:$AE,31,FALSE)</f>
        <v>everyone</v>
      </c>
      <c r="E386" s="11">
        <v>385</v>
      </c>
      <c r="F386" s="11">
        <v>25</v>
      </c>
      <c r="G386" s="10" t="str">
        <f>IF(I386="unit",VLOOKUP(F386,[2]characters!$A:$C,3,FALSE),"-")</f>
        <v>-</v>
      </c>
      <c r="H386" s="11">
        <v>100</v>
      </c>
      <c r="I386" s="11" t="s">
        <v>35</v>
      </c>
      <c r="J386" s="11" t="s">
        <v>33</v>
      </c>
      <c r="K386" s="11">
        <v>1</v>
      </c>
      <c r="L386" s="11">
        <v>1</v>
      </c>
      <c r="M386" s="11">
        <v>0</v>
      </c>
      <c r="N386" s="11">
        <v>0</v>
      </c>
      <c r="O386" s="11">
        <v>0</v>
      </c>
      <c r="P386" s="11">
        <v>0</v>
      </c>
      <c r="Q386" s="11">
        <v>1</v>
      </c>
      <c r="R386" s="11" t="s">
        <v>27</v>
      </c>
      <c r="S386" s="11" t="s">
        <v>28</v>
      </c>
    </row>
    <row r="387" spans="1:19" x14ac:dyDescent="0.15">
      <c r="A387" s="11">
        <v>30001</v>
      </c>
      <c r="B387" s="11">
        <v>3</v>
      </c>
      <c r="C387" s="11" t="str">
        <f t="shared" si="42"/>
        <v>30001_3</v>
      </c>
      <c r="D387" s="11" t="str">
        <f>VLOOKUP(C387,[1]stages!$A:$AE,31,FALSE)</f>
        <v>everyone</v>
      </c>
      <c r="E387" s="11">
        <v>386</v>
      </c>
      <c r="F387" s="11">
        <v>336</v>
      </c>
      <c r="G387" s="10" t="str">
        <f>IF(I387="unit",VLOOKUP(F387,[2]characters!$A:$C,3,FALSE),"-")</f>
        <v>森のメタルピヨピヨ</v>
      </c>
      <c r="H387" s="11">
        <v>28</v>
      </c>
      <c r="I387" s="11" t="s">
        <v>36</v>
      </c>
      <c r="J387" s="11">
        <v>1</v>
      </c>
      <c r="K387" s="11">
        <v>1</v>
      </c>
      <c r="L387" s="11">
        <v>1</v>
      </c>
      <c r="M387" s="11">
        <v>0</v>
      </c>
      <c r="N387" s="11">
        <v>0</v>
      </c>
      <c r="O387" s="11">
        <v>0</v>
      </c>
      <c r="P387" s="11">
        <v>0</v>
      </c>
      <c r="Q387" s="11">
        <v>1</v>
      </c>
      <c r="R387" s="11" t="s">
        <v>27</v>
      </c>
      <c r="S387" s="11" t="s">
        <v>28</v>
      </c>
    </row>
    <row r="388" spans="1:19" x14ac:dyDescent="0.15">
      <c r="A388" s="11">
        <v>30001</v>
      </c>
      <c r="B388" s="11">
        <v>3</v>
      </c>
      <c r="C388" s="11" t="str">
        <f t="shared" si="42"/>
        <v>30001_3</v>
      </c>
      <c r="D388" s="11" t="str">
        <f>VLOOKUP(C388,[1]stages!$A:$AE,31,FALSE)</f>
        <v>everyone</v>
      </c>
      <c r="E388" s="11">
        <v>387</v>
      </c>
      <c r="F388" s="11">
        <v>337</v>
      </c>
      <c r="G388" s="10" t="str">
        <f>IF(I388="unit",VLOOKUP(F388,[2]characters!$A:$C,3,FALSE),"-")</f>
        <v>森のメタルチック</v>
      </c>
      <c r="H388" s="11">
        <v>56</v>
      </c>
      <c r="I388" s="11" t="s">
        <v>36</v>
      </c>
      <c r="J388" s="11">
        <v>1</v>
      </c>
      <c r="K388" s="11">
        <v>1</v>
      </c>
      <c r="L388" s="11">
        <v>1</v>
      </c>
      <c r="M388" s="11">
        <v>0</v>
      </c>
      <c r="N388" s="11">
        <v>0</v>
      </c>
      <c r="O388" s="11">
        <v>0</v>
      </c>
      <c r="P388" s="11">
        <v>0</v>
      </c>
      <c r="Q388" s="11">
        <v>1</v>
      </c>
      <c r="R388" s="11" t="s">
        <v>27</v>
      </c>
      <c r="S388" s="11" t="s">
        <v>28</v>
      </c>
    </row>
    <row r="389" spans="1:19" x14ac:dyDescent="0.15">
      <c r="A389" s="11">
        <v>30001</v>
      </c>
      <c r="B389" s="11">
        <v>3</v>
      </c>
      <c r="C389" s="11" t="str">
        <f t="shared" si="42"/>
        <v>30001_3</v>
      </c>
      <c r="D389" s="11" t="str">
        <f>VLOOKUP(C389,[1]stages!$A:$AE,31,FALSE)</f>
        <v>everyone</v>
      </c>
      <c r="E389" s="11">
        <v>388</v>
      </c>
      <c r="F389" s="11">
        <v>338</v>
      </c>
      <c r="G389" s="10" t="str">
        <f>IF(I389="unit",VLOOKUP(F389,[2]characters!$A:$C,3,FALSE),"-")</f>
        <v>森のメタルダック</v>
      </c>
      <c r="H389" s="11">
        <v>56</v>
      </c>
      <c r="I389" s="11" t="s">
        <v>36</v>
      </c>
      <c r="J389" s="11">
        <v>1</v>
      </c>
      <c r="K389" s="11">
        <v>1</v>
      </c>
      <c r="L389" s="11">
        <v>1</v>
      </c>
      <c r="M389" s="11">
        <v>0</v>
      </c>
      <c r="N389" s="11">
        <v>0</v>
      </c>
      <c r="O389" s="11">
        <v>0</v>
      </c>
      <c r="P389" s="11">
        <v>0</v>
      </c>
      <c r="Q389" s="11">
        <v>1</v>
      </c>
      <c r="R389" s="11" t="s">
        <v>27</v>
      </c>
      <c r="S389" s="11" t="s">
        <v>28</v>
      </c>
    </row>
    <row r="390" spans="1:19" x14ac:dyDescent="0.15">
      <c r="A390" s="11">
        <v>30001</v>
      </c>
      <c r="B390" s="11">
        <v>3</v>
      </c>
      <c r="C390" s="11" t="str">
        <f t="shared" si="42"/>
        <v>30001_3</v>
      </c>
      <c r="D390" s="11" t="str">
        <f>VLOOKUP(C390,[1]stages!$A:$AE,31,FALSE)</f>
        <v>everyone</v>
      </c>
      <c r="E390" s="11">
        <v>389</v>
      </c>
      <c r="F390" s="11">
        <v>121</v>
      </c>
      <c r="G390" s="10" t="str">
        <f>IF(I390="unit",VLOOKUP(F390,[2]characters!$A:$C,3,FALSE),"-")</f>
        <v>攻めの果実</v>
      </c>
      <c r="H390" s="11">
        <v>50</v>
      </c>
      <c r="I390" s="11" t="s">
        <v>36</v>
      </c>
      <c r="J390" s="11">
        <v>1</v>
      </c>
      <c r="K390" s="11">
        <v>1</v>
      </c>
      <c r="L390" s="11">
        <v>1</v>
      </c>
      <c r="M390" s="11">
        <v>0</v>
      </c>
      <c r="N390" s="11">
        <v>0</v>
      </c>
      <c r="O390" s="11">
        <v>0</v>
      </c>
      <c r="P390" s="11">
        <v>0</v>
      </c>
      <c r="Q390" s="11">
        <v>1</v>
      </c>
      <c r="R390" s="11" t="s">
        <v>27</v>
      </c>
      <c r="S390" s="11" t="s">
        <v>28</v>
      </c>
    </row>
    <row r="391" spans="1:19" x14ac:dyDescent="0.15">
      <c r="A391" s="11">
        <v>30001</v>
      </c>
      <c r="B391" s="11">
        <v>3</v>
      </c>
      <c r="C391" s="11" t="str">
        <f t="shared" si="42"/>
        <v>30001_3</v>
      </c>
      <c r="D391" s="11" t="str">
        <f>VLOOKUP(C391,[1]stages!$A:$AE,31,FALSE)</f>
        <v>everyone</v>
      </c>
      <c r="E391" s="11">
        <v>390</v>
      </c>
      <c r="F391" s="11">
        <v>122</v>
      </c>
      <c r="G391" s="10" t="str">
        <f>IF(I391="unit",VLOOKUP(F391,[2]characters!$A:$C,3,FALSE),"-")</f>
        <v>生命の果実</v>
      </c>
      <c r="H391" s="11">
        <v>50</v>
      </c>
      <c r="I391" s="11" t="s">
        <v>36</v>
      </c>
      <c r="J391" s="11">
        <v>1</v>
      </c>
      <c r="K391" s="11">
        <v>1</v>
      </c>
      <c r="L391" s="11">
        <v>1</v>
      </c>
      <c r="M391" s="11">
        <v>0</v>
      </c>
      <c r="N391" s="11">
        <v>0</v>
      </c>
      <c r="O391" s="11">
        <v>0</v>
      </c>
      <c r="P391" s="11">
        <v>0</v>
      </c>
      <c r="Q391" s="11">
        <v>1</v>
      </c>
      <c r="R391" s="11" t="s">
        <v>27</v>
      </c>
      <c r="S391" s="11" t="s">
        <v>28</v>
      </c>
    </row>
    <row r="392" spans="1:19" x14ac:dyDescent="0.15">
      <c r="A392" s="11">
        <v>30001</v>
      </c>
      <c r="B392" s="11">
        <v>3</v>
      </c>
      <c r="C392" s="11" t="str">
        <f t="shared" si="42"/>
        <v>30001_3</v>
      </c>
      <c r="D392" s="11" t="str">
        <f>VLOOKUP(C392,[1]stages!$A:$AE,31,FALSE)</f>
        <v>everyone</v>
      </c>
      <c r="E392" s="11">
        <v>391</v>
      </c>
      <c r="F392" s="11">
        <v>123</v>
      </c>
      <c r="G392" s="10" t="str">
        <f>IF(I392="unit",VLOOKUP(F392,[2]characters!$A:$C,3,FALSE),"-")</f>
        <v>癒しの果実</v>
      </c>
      <c r="H392" s="11">
        <v>50</v>
      </c>
      <c r="I392" s="11" t="s">
        <v>36</v>
      </c>
      <c r="J392" s="11">
        <v>1</v>
      </c>
      <c r="K392" s="11">
        <v>1</v>
      </c>
      <c r="L392" s="11">
        <v>1</v>
      </c>
      <c r="M392" s="11">
        <v>0</v>
      </c>
      <c r="N392" s="11">
        <v>0</v>
      </c>
      <c r="O392" s="11">
        <v>0</v>
      </c>
      <c r="P392" s="11">
        <v>0</v>
      </c>
      <c r="Q392" s="11">
        <v>1</v>
      </c>
      <c r="R392" s="11" t="s">
        <v>27</v>
      </c>
      <c r="S392" s="11" t="s">
        <v>28</v>
      </c>
    </row>
    <row r="393" spans="1:19" x14ac:dyDescent="0.15">
      <c r="A393" s="11">
        <v>30001</v>
      </c>
      <c r="B393" s="11">
        <v>3</v>
      </c>
      <c r="C393" s="11" t="str">
        <f t="shared" si="42"/>
        <v>30001_3</v>
      </c>
      <c r="D393" s="11" t="str">
        <f>VLOOKUP(C393,[1]stages!$A:$AE,31,FALSE)</f>
        <v>everyone</v>
      </c>
      <c r="E393" s="11">
        <v>392</v>
      </c>
      <c r="F393" s="11">
        <v>125</v>
      </c>
      <c r="G393" s="10" t="str">
        <f>IF(I393="unit",VLOOKUP(F393,[2]characters!$A:$C,3,FALSE),"-")</f>
        <v>秘術の果実</v>
      </c>
      <c r="H393" s="11">
        <v>10</v>
      </c>
      <c r="I393" s="11" t="s">
        <v>36</v>
      </c>
      <c r="J393" s="11">
        <v>1</v>
      </c>
      <c r="K393" s="11">
        <v>1</v>
      </c>
      <c r="L393" s="11">
        <v>1</v>
      </c>
      <c r="M393" s="11">
        <v>0</v>
      </c>
      <c r="N393" s="11">
        <v>0</v>
      </c>
      <c r="O393" s="11">
        <v>0</v>
      </c>
      <c r="P393" s="11">
        <v>0</v>
      </c>
      <c r="Q393" s="11">
        <v>1</v>
      </c>
      <c r="R393" s="11" t="s">
        <v>27</v>
      </c>
      <c r="S393" s="11" t="s">
        <v>28</v>
      </c>
    </row>
    <row r="394" spans="1:19" x14ac:dyDescent="0.15">
      <c r="A394" s="11">
        <v>30001</v>
      </c>
      <c r="B394" s="11">
        <v>3</v>
      </c>
      <c r="C394" s="11" t="str">
        <f t="shared" si="42"/>
        <v>30001_3</v>
      </c>
      <c r="D394" s="11" t="str">
        <f>VLOOKUP(C394,[1]stages!$A:$AE,31,FALSE)</f>
        <v>everyone</v>
      </c>
      <c r="E394" s="11">
        <v>393</v>
      </c>
      <c r="F394" s="11">
        <v>270</v>
      </c>
      <c r="G394" s="10" t="str">
        <f>IF(I394="unit",VLOOKUP(F394,[2]characters!$A:$C,3,FALSE),"-")</f>
        <v>風爪のミリー</v>
      </c>
      <c r="H394" s="11">
        <v>400</v>
      </c>
      <c r="I394" s="11" t="s">
        <v>36</v>
      </c>
      <c r="J394" s="11">
        <v>1</v>
      </c>
      <c r="K394" s="11">
        <v>1</v>
      </c>
      <c r="L394" s="11">
        <v>1</v>
      </c>
      <c r="M394" s="11">
        <v>0</v>
      </c>
      <c r="N394" s="11">
        <v>0</v>
      </c>
      <c r="O394" s="11">
        <v>0</v>
      </c>
      <c r="P394" s="11">
        <v>0</v>
      </c>
      <c r="Q394" s="11">
        <v>1</v>
      </c>
      <c r="R394" s="11" t="s">
        <v>27</v>
      </c>
      <c r="S394" s="11" t="s">
        <v>28</v>
      </c>
    </row>
    <row r="395" spans="1:19" x14ac:dyDescent="0.15">
      <c r="A395" s="11">
        <v>30001</v>
      </c>
      <c r="B395" s="11">
        <v>3</v>
      </c>
      <c r="C395" s="11" t="str">
        <f t="shared" si="42"/>
        <v>30001_3</v>
      </c>
      <c r="D395" s="11" t="str">
        <f>VLOOKUP(C395,[1]stages!$A:$AE,31,FALSE)</f>
        <v>everyone</v>
      </c>
      <c r="E395" s="11">
        <v>394</v>
      </c>
      <c r="F395" s="11">
        <v>350</v>
      </c>
      <c r="G395" s="10" t="str">
        <f>IF(I395="unit",VLOOKUP(F395,[2]characters!$A:$C,3,FALSE),"-")</f>
        <v>森のケロケロ</v>
      </c>
      <c r="H395" s="11">
        <v>100</v>
      </c>
      <c r="I395" s="11" t="s">
        <v>36</v>
      </c>
      <c r="J395" s="11">
        <v>1</v>
      </c>
      <c r="K395" s="11">
        <v>1</v>
      </c>
      <c r="L395" s="11">
        <v>1</v>
      </c>
      <c r="M395" s="11">
        <v>0</v>
      </c>
      <c r="N395" s="11">
        <v>0</v>
      </c>
      <c r="O395" s="11">
        <v>0</v>
      </c>
      <c r="P395" s="11">
        <v>0</v>
      </c>
      <c r="Q395" s="11">
        <v>1</v>
      </c>
      <c r="R395" s="11" t="s">
        <v>27</v>
      </c>
      <c r="S395" s="11" t="s">
        <v>28</v>
      </c>
    </row>
    <row r="396" spans="1:19" x14ac:dyDescent="0.15">
      <c r="A396" s="12">
        <v>30002</v>
      </c>
      <c r="B396" s="12">
        <v>1</v>
      </c>
      <c r="C396" s="12" t="str">
        <f>A396&amp; "_"&amp;B396</f>
        <v>30002_1</v>
      </c>
      <c r="D396" s="12" t="str">
        <f>VLOOKUP(C396,[1]stages!$A:$AE,31,FALSE)</f>
        <v>everyone</v>
      </c>
      <c r="E396" s="12">
        <v>395</v>
      </c>
      <c r="F396" s="12">
        <v>3200</v>
      </c>
      <c r="G396" s="10" t="str">
        <f>IF(I396="unit",VLOOKUP(F396,[2]characters!$A:$C,3,FALSE),"-")</f>
        <v>-</v>
      </c>
      <c r="H396" s="12">
        <v>200</v>
      </c>
      <c r="I396" s="12" t="s">
        <v>32</v>
      </c>
      <c r="J396" s="12" t="s">
        <v>33</v>
      </c>
      <c r="K396" s="12">
        <v>1</v>
      </c>
      <c r="L396" s="12">
        <v>1</v>
      </c>
      <c r="M396" s="12">
        <v>0</v>
      </c>
      <c r="N396" s="12">
        <v>0</v>
      </c>
      <c r="O396" s="12">
        <v>0</v>
      </c>
      <c r="P396" s="12">
        <v>0</v>
      </c>
      <c r="Q396" s="12">
        <v>1</v>
      </c>
      <c r="R396" s="12" t="s">
        <v>27</v>
      </c>
      <c r="S396" s="12" t="s">
        <v>28</v>
      </c>
    </row>
    <row r="397" spans="1:19" x14ac:dyDescent="0.15">
      <c r="A397" s="12">
        <v>30002</v>
      </c>
      <c r="B397" s="12">
        <v>1</v>
      </c>
      <c r="C397" s="12" t="str">
        <f t="shared" ref="C397:C405" si="43">A397&amp; "_"&amp;B397</f>
        <v>30002_1</v>
      </c>
      <c r="D397" s="12" t="str">
        <f>VLOOKUP(C397,[1]stages!$A:$AE,31,FALSE)</f>
        <v>everyone</v>
      </c>
      <c r="E397" s="12">
        <v>396</v>
      </c>
      <c r="F397" s="12">
        <v>20</v>
      </c>
      <c r="G397" s="10" t="str">
        <f>IF(I397="unit",VLOOKUP(F397,[2]characters!$A:$C,3,FALSE),"-")</f>
        <v>-</v>
      </c>
      <c r="H397" s="12">
        <v>200</v>
      </c>
      <c r="I397" s="12" t="s">
        <v>35</v>
      </c>
      <c r="J397" s="12" t="s">
        <v>33</v>
      </c>
      <c r="K397" s="12">
        <v>1</v>
      </c>
      <c r="L397" s="12">
        <v>1</v>
      </c>
      <c r="M397" s="12">
        <v>0</v>
      </c>
      <c r="N397" s="12">
        <v>0</v>
      </c>
      <c r="O397" s="12">
        <v>0</v>
      </c>
      <c r="P397" s="12">
        <v>0</v>
      </c>
      <c r="Q397" s="12">
        <v>1</v>
      </c>
      <c r="R397" s="12" t="s">
        <v>27</v>
      </c>
      <c r="S397" s="12" t="s">
        <v>28</v>
      </c>
    </row>
    <row r="398" spans="1:19" x14ac:dyDescent="0.15">
      <c r="A398" s="12">
        <v>30002</v>
      </c>
      <c r="B398" s="12">
        <v>1</v>
      </c>
      <c r="C398" s="12" t="str">
        <f t="shared" si="43"/>
        <v>30002_1</v>
      </c>
      <c r="D398" s="12" t="str">
        <f>VLOOKUP(C398,[1]stages!$A:$AE,31,FALSE)</f>
        <v>everyone</v>
      </c>
      <c r="E398" s="12">
        <v>397</v>
      </c>
      <c r="F398" s="12">
        <v>340</v>
      </c>
      <c r="G398" s="10" t="str">
        <f>IF(I398="unit",VLOOKUP(F398,[2]characters!$A:$C,3,FALSE),"-")</f>
        <v>水のメタルピヨピヨ</v>
      </c>
      <c r="H398" s="12">
        <v>70</v>
      </c>
      <c r="I398" s="12" t="s">
        <v>36</v>
      </c>
      <c r="J398" s="12">
        <v>1</v>
      </c>
      <c r="K398" s="12">
        <v>1</v>
      </c>
      <c r="L398" s="12">
        <v>1</v>
      </c>
      <c r="M398" s="12">
        <v>0</v>
      </c>
      <c r="N398" s="12">
        <v>0</v>
      </c>
      <c r="O398" s="12">
        <v>0</v>
      </c>
      <c r="P398" s="12">
        <v>0</v>
      </c>
      <c r="Q398" s="12">
        <v>1</v>
      </c>
      <c r="R398" s="12" t="s">
        <v>27</v>
      </c>
      <c r="S398" s="12" t="s">
        <v>28</v>
      </c>
    </row>
    <row r="399" spans="1:19" x14ac:dyDescent="0.15">
      <c r="A399" s="12">
        <v>30002</v>
      </c>
      <c r="B399" s="12">
        <v>1</v>
      </c>
      <c r="C399" s="12" t="str">
        <f t="shared" si="43"/>
        <v>30002_1</v>
      </c>
      <c r="D399" s="12" t="str">
        <f>VLOOKUP(C399,[1]stages!$A:$AE,31,FALSE)</f>
        <v>everyone</v>
      </c>
      <c r="E399" s="12">
        <v>398</v>
      </c>
      <c r="F399" s="12">
        <v>341</v>
      </c>
      <c r="G399" s="10" t="str">
        <f>IF(I399="unit",VLOOKUP(F399,[2]characters!$A:$C,3,FALSE),"-")</f>
        <v>水のメタルチック</v>
      </c>
      <c r="H399" s="12">
        <v>70</v>
      </c>
      <c r="I399" s="12" t="s">
        <v>36</v>
      </c>
      <c r="J399" s="12">
        <v>1</v>
      </c>
      <c r="K399" s="12">
        <v>1</v>
      </c>
      <c r="L399" s="12">
        <v>1</v>
      </c>
      <c r="M399" s="12">
        <v>0</v>
      </c>
      <c r="N399" s="12">
        <v>0</v>
      </c>
      <c r="O399" s="12">
        <v>0</v>
      </c>
      <c r="P399" s="12">
        <v>0</v>
      </c>
      <c r="Q399" s="12">
        <v>1</v>
      </c>
      <c r="R399" s="12" t="s">
        <v>27</v>
      </c>
      <c r="S399" s="12" t="s">
        <v>28</v>
      </c>
    </row>
    <row r="400" spans="1:19" x14ac:dyDescent="0.15">
      <c r="A400" s="12">
        <v>30002</v>
      </c>
      <c r="B400" s="12">
        <v>1</v>
      </c>
      <c r="C400" s="12" t="str">
        <f t="shared" si="43"/>
        <v>30002_1</v>
      </c>
      <c r="D400" s="12" t="str">
        <f>VLOOKUP(C400,[1]stages!$A:$AE,31,FALSE)</f>
        <v>everyone</v>
      </c>
      <c r="E400" s="12">
        <v>399</v>
      </c>
      <c r="F400" s="12">
        <v>121</v>
      </c>
      <c r="G400" s="10" t="str">
        <f>IF(I400="unit",VLOOKUP(F400,[2]characters!$A:$C,3,FALSE),"-")</f>
        <v>攻めの果実</v>
      </c>
      <c r="H400" s="12">
        <v>50</v>
      </c>
      <c r="I400" s="12" t="s">
        <v>36</v>
      </c>
      <c r="J400" s="12">
        <v>1</v>
      </c>
      <c r="K400" s="12">
        <v>1</v>
      </c>
      <c r="L400" s="12">
        <v>1</v>
      </c>
      <c r="M400" s="12">
        <v>0</v>
      </c>
      <c r="N400" s="12">
        <v>0</v>
      </c>
      <c r="O400" s="12">
        <v>0</v>
      </c>
      <c r="P400" s="12">
        <v>0</v>
      </c>
      <c r="Q400" s="12">
        <v>1</v>
      </c>
      <c r="R400" s="12" t="s">
        <v>27</v>
      </c>
      <c r="S400" s="12" t="s">
        <v>28</v>
      </c>
    </row>
    <row r="401" spans="1:19" x14ac:dyDescent="0.15">
      <c r="A401" s="12">
        <v>30002</v>
      </c>
      <c r="B401" s="12">
        <v>1</v>
      </c>
      <c r="C401" s="12" t="str">
        <f t="shared" si="43"/>
        <v>30002_1</v>
      </c>
      <c r="D401" s="12" t="str">
        <f>VLOOKUP(C401,[1]stages!$A:$AE,31,FALSE)</f>
        <v>everyone</v>
      </c>
      <c r="E401" s="12">
        <v>400</v>
      </c>
      <c r="F401" s="12">
        <v>122</v>
      </c>
      <c r="G401" s="10" t="str">
        <f>IF(I401="unit",VLOOKUP(F401,[2]characters!$A:$C,3,FALSE),"-")</f>
        <v>生命の果実</v>
      </c>
      <c r="H401" s="12">
        <v>50</v>
      </c>
      <c r="I401" s="12" t="s">
        <v>36</v>
      </c>
      <c r="J401" s="12">
        <v>1</v>
      </c>
      <c r="K401" s="12">
        <v>1</v>
      </c>
      <c r="L401" s="12">
        <v>1</v>
      </c>
      <c r="M401" s="12">
        <v>0</v>
      </c>
      <c r="N401" s="12">
        <v>0</v>
      </c>
      <c r="O401" s="12">
        <v>0</v>
      </c>
      <c r="P401" s="12">
        <v>0</v>
      </c>
      <c r="Q401" s="12">
        <v>1</v>
      </c>
      <c r="R401" s="12" t="s">
        <v>27</v>
      </c>
      <c r="S401" s="12" t="s">
        <v>28</v>
      </c>
    </row>
    <row r="402" spans="1:19" x14ac:dyDescent="0.15">
      <c r="A402" s="12">
        <v>30002</v>
      </c>
      <c r="B402" s="12">
        <v>1</v>
      </c>
      <c r="C402" s="12" t="str">
        <f t="shared" si="43"/>
        <v>30002_1</v>
      </c>
      <c r="D402" s="12" t="str">
        <f>VLOOKUP(C402,[1]stages!$A:$AE,31,FALSE)</f>
        <v>everyone</v>
      </c>
      <c r="E402" s="12">
        <v>401</v>
      </c>
      <c r="F402" s="12">
        <v>123</v>
      </c>
      <c r="G402" s="10" t="str">
        <f>IF(I402="unit",VLOOKUP(F402,[2]characters!$A:$C,3,FALSE),"-")</f>
        <v>癒しの果実</v>
      </c>
      <c r="H402" s="12">
        <v>50</v>
      </c>
      <c r="I402" s="12" t="s">
        <v>36</v>
      </c>
      <c r="J402" s="12">
        <v>1</v>
      </c>
      <c r="K402" s="12">
        <v>1</v>
      </c>
      <c r="L402" s="12">
        <v>1</v>
      </c>
      <c r="M402" s="12">
        <v>0</v>
      </c>
      <c r="N402" s="12">
        <v>0</v>
      </c>
      <c r="O402" s="12">
        <v>0</v>
      </c>
      <c r="P402" s="12">
        <v>0</v>
      </c>
      <c r="Q402" s="12">
        <v>1</v>
      </c>
      <c r="R402" s="12" t="s">
        <v>27</v>
      </c>
      <c r="S402" s="12" t="s">
        <v>28</v>
      </c>
    </row>
    <row r="403" spans="1:19" x14ac:dyDescent="0.15">
      <c r="A403" s="12">
        <v>30002</v>
      </c>
      <c r="B403" s="12">
        <v>1</v>
      </c>
      <c r="C403" s="12" t="str">
        <f t="shared" si="43"/>
        <v>30002_1</v>
      </c>
      <c r="D403" s="12" t="str">
        <f>VLOOKUP(C403,[1]stages!$A:$AE,31,FALSE)</f>
        <v>everyone</v>
      </c>
      <c r="E403" s="12">
        <v>402</v>
      </c>
      <c r="F403" s="12">
        <v>125</v>
      </c>
      <c r="G403" s="10" t="str">
        <f>IF(I403="unit",VLOOKUP(F403,[2]characters!$A:$C,3,FALSE),"-")</f>
        <v>秘術の果実</v>
      </c>
      <c r="H403" s="12">
        <v>10</v>
      </c>
      <c r="I403" s="12" t="s">
        <v>36</v>
      </c>
      <c r="J403" s="12">
        <v>1</v>
      </c>
      <c r="K403" s="12">
        <v>1</v>
      </c>
      <c r="L403" s="12">
        <v>1</v>
      </c>
      <c r="M403" s="12">
        <v>0</v>
      </c>
      <c r="N403" s="12">
        <v>0</v>
      </c>
      <c r="O403" s="12">
        <v>0</v>
      </c>
      <c r="P403" s="12">
        <v>0</v>
      </c>
      <c r="Q403" s="12">
        <v>1</v>
      </c>
      <c r="R403" s="12" t="s">
        <v>27</v>
      </c>
      <c r="S403" s="12" t="s">
        <v>28</v>
      </c>
    </row>
    <row r="404" spans="1:19" x14ac:dyDescent="0.15">
      <c r="A404" s="12">
        <v>30002</v>
      </c>
      <c r="B404" s="12">
        <v>1</v>
      </c>
      <c r="C404" s="12" t="str">
        <f t="shared" si="43"/>
        <v>30002_1</v>
      </c>
      <c r="D404" s="12" t="str">
        <f>VLOOKUP(C404,[1]stages!$A:$AE,31,FALSE)</f>
        <v>everyone</v>
      </c>
      <c r="E404" s="12">
        <v>403</v>
      </c>
      <c r="F404" s="12">
        <v>272</v>
      </c>
      <c r="G404" s="10" t="str">
        <f>IF(I404="unit",VLOOKUP(F404,[2]characters!$A:$C,3,FALSE),"-")</f>
        <v>魔札のシルベール</v>
      </c>
      <c r="H404" s="12">
        <v>200</v>
      </c>
      <c r="I404" s="12" t="s">
        <v>36</v>
      </c>
      <c r="J404" s="12">
        <v>1</v>
      </c>
      <c r="K404" s="12">
        <v>1</v>
      </c>
      <c r="L404" s="12">
        <v>1</v>
      </c>
      <c r="M404" s="12">
        <v>0</v>
      </c>
      <c r="N404" s="12">
        <v>0</v>
      </c>
      <c r="O404" s="12">
        <v>0</v>
      </c>
      <c r="P404" s="12">
        <v>0</v>
      </c>
      <c r="Q404" s="12">
        <v>1</v>
      </c>
      <c r="R404" s="12" t="s">
        <v>27</v>
      </c>
      <c r="S404" s="12" t="s">
        <v>28</v>
      </c>
    </row>
    <row r="405" spans="1:19" x14ac:dyDescent="0.15">
      <c r="A405" s="12">
        <v>30002</v>
      </c>
      <c r="B405" s="12">
        <v>1</v>
      </c>
      <c r="C405" s="12" t="str">
        <f t="shared" si="43"/>
        <v>30002_1</v>
      </c>
      <c r="D405" s="12" t="str">
        <f>VLOOKUP(C405,[1]stages!$A:$AE,31,FALSE)</f>
        <v>everyone</v>
      </c>
      <c r="E405" s="12">
        <v>404</v>
      </c>
      <c r="F405" s="12">
        <v>352</v>
      </c>
      <c r="G405" s="10" t="str">
        <f>IF(I405="unit",VLOOKUP(F405,[2]characters!$A:$C,3,FALSE),"-")</f>
        <v>水のケロケロ</v>
      </c>
      <c r="H405" s="12">
        <v>100</v>
      </c>
      <c r="I405" s="12" t="s">
        <v>36</v>
      </c>
      <c r="J405" s="12">
        <v>1</v>
      </c>
      <c r="K405" s="12">
        <v>1</v>
      </c>
      <c r="L405" s="12">
        <v>1</v>
      </c>
      <c r="M405" s="12">
        <v>0</v>
      </c>
      <c r="N405" s="12">
        <v>0</v>
      </c>
      <c r="O405" s="12">
        <v>0</v>
      </c>
      <c r="P405" s="12">
        <v>0</v>
      </c>
      <c r="Q405" s="12">
        <v>1</v>
      </c>
      <c r="R405" s="12" t="s">
        <v>27</v>
      </c>
      <c r="S405" s="12" t="s">
        <v>28</v>
      </c>
    </row>
    <row r="406" spans="1:19" x14ac:dyDescent="0.15">
      <c r="A406" s="12">
        <v>30002</v>
      </c>
      <c r="B406" s="12">
        <v>2</v>
      </c>
      <c r="C406" s="12" t="str">
        <f>A406&amp; "_"&amp;B406</f>
        <v>30002_2</v>
      </c>
      <c r="D406" s="12" t="str">
        <f>VLOOKUP(C406,[1]stages!$A:$AE,31,FALSE)</f>
        <v>everyone</v>
      </c>
      <c r="E406" s="12">
        <v>405</v>
      </c>
      <c r="F406" s="12">
        <v>5000</v>
      </c>
      <c r="G406" s="10" t="str">
        <f>IF(I406="unit",VLOOKUP(F406,[2]characters!$A:$C,3,FALSE),"-")</f>
        <v>-</v>
      </c>
      <c r="H406" s="12">
        <v>200</v>
      </c>
      <c r="I406" s="12" t="s">
        <v>32</v>
      </c>
      <c r="J406" s="12" t="s">
        <v>33</v>
      </c>
      <c r="K406" s="12">
        <v>1</v>
      </c>
      <c r="L406" s="12">
        <v>1</v>
      </c>
      <c r="M406" s="12">
        <v>0</v>
      </c>
      <c r="N406" s="12">
        <v>0</v>
      </c>
      <c r="O406" s="12">
        <v>0</v>
      </c>
      <c r="P406" s="12">
        <v>0</v>
      </c>
      <c r="Q406" s="12">
        <v>1</v>
      </c>
      <c r="R406" s="12" t="s">
        <v>27</v>
      </c>
      <c r="S406" s="12" t="s">
        <v>28</v>
      </c>
    </row>
    <row r="407" spans="1:19" x14ac:dyDescent="0.15">
      <c r="A407" s="12">
        <v>30002</v>
      </c>
      <c r="B407" s="12">
        <v>2</v>
      </c>
      <c r="C407" s="12" t="str">
        <f t="shared" ref="C407:C416" si="44">A407&amp; "_"&amp;B407</f>
        <v>30002_2</v>
      </c>
      <c r="D407" s="12" t="str">
        <f>VLOOKUP(C407,[1]stages!$A:$AE,31,FALSE)</f>
        <v>everyone</v>
      </c>
      <c r="E407" s="12">
        <v>406</v>
      </c>
      <c r="F407" s="12">
        <v>25</v>
      </c>
      <c r="G407" s="10" t="str">
        <f>IF(I407="unit",VLOOKUP(F407,[2]characters!$A:$C,3,FALSE),"-")</f>
        <v>-</v>
      </c>
      <c r="H407" s="12">
        <v>150</v>
      </c>
      <c r="I407" s="12" t="s">
        <v>35</v>
      </c>
      <c r="J407" s="12" t="s">
        <v>33</v>
      </c>
      <c r="K407" s="12">
        <v>1</v>
      </c>
      <c r="L407" s="12">
        <v>1</v>
      </c>
      <c r="M407" s="12">
        <v>0</v>
      </c>
      <c r="N407" s="12">
        <v>0</v>
      </c>
      <c r="O407" s="12">
        <v>0</v>
      </c>
      <c r="P407" s="12">
        <v>0</v>
      </c>
      <c r="Q407" s="12">
        <v>1</v>
      </c>
      <c r="R407" s="12" t="s">
        <v>27</v>
      </c>
      <c r="S407" s="12" t="s">
        <v>28</v>
      </c>
    </row>
    <row r="408" spans="1:19" x14ac:dyDescent="0.15">
      <c r="A408" s="12">
        <v>30002</v>
      </c>
      <c r="B408" s="12">
        <v>2</v>
      </c>
      <c r="C408" s="12" t="str">
        <f t="shared" si="44"/>
        <v>30002_2</v>
      </c>
      <c r="D408" s="12" t="str">
        <f>VLOOKUP(C408,[1]stages!$A:$AE,31,FALSE)</f>
        <v>everyone</v>
      </c>
      <c r="E408" s="12">
        <v>407</v>
      </c>
      <c r="F408" s="12">
        <v>340</v>
      </c>
      <c r="G408" s="10" t="str">
        <f>IF(I408="unit",VLOOKUP(F408,[2]characters!$A:$C,3,FALSE),"-")</f>
        <v>水のメタルピヨピヨ</v>
      </c>
      <c r="H408" s="12">
        <v>56</v>
      </c>
      <c r="I408" s="12" t="s">
        <v>36</v>
      </c>
      <c r="J408" s="12">
        <v>1</v>
      </c>
      <c r="K408" s="12">
        <v>1</v>
      </c>
      <c r="L408" s="12">
        <v>1</v>
      </c>
      <c r="M408" s="12">
        <v>0</v>
      </c>
      <c r="N408" s="12">
        <v>0</v>
      </c>
      <c r="O408" s="12">
        <v>0</v>
      </c>
      <c r="P408" s="12">
        <v>0</v>
      </c>
      <c r="Q408" s="12">
        <v>1</v>
      </c>
      <c r="R408" s="12" t="s">
        <v>27</v>
      </c>
      <c r="S408" s="12" t="s">
        <v>28</v>
      </c>
    </row>
    <row r="409" spans="1:19" x14ac:dyDescent="0.15">
      <c r="A409" s="12">
        <v>30002</v>
      </c>
      <c r="B409" s="12">
        <v>2</v>
      </c>
      <c r="C409" s="12" t="str">
        <f t="shared" si="44"/>
        <v>30002_2</v>
      </c>
      <c r="D409" s="12" t="str">
        <f>VLOOKUP(C409,[1]stages!$A:$AE,31,FALSE)</f>
        <v>everyone</v>
      </c>
      <c r="E409" s="12">
        <v>408</v>
      </c>
      <c r="F409" s="12">
        <v>341</v>
      </c>
      <c r="G409" s="10" t="str">
        <f>IF(I409="unit",VLOOKUP(F409,[2]characters!$A:$C,3,FALSE),"-")</f>
        <v>水のメタルチック</v>
      </c>
      <c r="H409" s="12">
        <v>56</v>
      </c>
      <c r="I409" s="12" t="s">
        <v>36</v>
      </c>
      <c r="J409" s="12">
        <v>1</v>
      </c>
      <c r="K409" s="12">
        <v>1</v>
      </c>
      <c r="L409" s="12">
        <v>1</v>
      </c>
      <c r="M409" s="12">
        <v>0</v>
      </c>
      <c r="N409" s="12">
        <v>0</v>
      </c>
      <c r="O409" s="12">
        <v>0</v>
      </c>
      <c r="P409" s="12">
        <v>0</v>
      </c>
      <c r="Q409" s="12">
        <v>1</v>
      </c>
      <c r="R409" s="12" t="s">
        <v>27</v>
      </c>
      <c r="S409" s="12" t="s">
        <v>28</v>
      </c>
    </row>
    <row r="410" spans="1:19" x14ac:dyDescent="0.15">
      <c r="A410" s="12">
        <v>30002</v>
      </c>
      <c r="B410" s="12">
        <v>2</v>
      </c>
      <c r="C410" s="12" t="str">
        <f t="shared" si="44"/>
        <v>30002_2</v>
      </c>
      <c r="D410" s="12" t="str">
        <f>VLOOKUP(C410,[1]stages!$A:$AE,31,FALSE)</f>
        <v>everyone</v>
      </c>
      <c r="E410" s="12">
        <v>409</v>
      </c>
      <c r="F410" s="12">
        <v>342</v>
      </c>
      <c r="G410" s="10" t="str">
        <f>IF(I410="unit",VLOOKUP(F410,[2]characters!$A:$C,3,FALSE),"-")</f>
        <v>水のメタルダック</v>
      </c>
      <c r="H410" s="12">
        <v>28</v>
      </c>
      <c r="I410" s="12" t="s">
        <v>36</v>
      </c>
      <c r="J410" s="12">
        <v>1</v>
      </c>
      <c r="K410" s="12">
        <v>1</v>
      </c>
      <c r="L410" s="12">
        <v>1</v>
      </c>
      <c r="M410" s="12">
        <v>0</v>
      </c>
      <c r="N410" s="12">
        <v>0</v>
      </c>
      <c r="O410" s="12">
        <v>0</v>
      </c>
      <c r="P410" s="12">
        <v>0</v>
      </c>
      <c r="Q410" s="12">
        <v>1</v>
      </c>
      <c r="R410" s="12" t="s">
        <v>27</v>
      </c>
      <c r="S410" s="12" t="s">
        <v>28</v>
      </c>
    </row>
    <row r="411" spans="1:19" x14ac:dyDescent="0.15">
      <c r="A411" s="12">
        <v>30002</v>
      </c>
      <c r="B411" s="12">
        <v>2</v>
      </c>
      <c r="C411" s="12" t="str">
        <f t="shared" si="44"/>
        <v>30002_2</v>
      </c>
      <c r="D411" s="12" t="str">
        <f>VLOOKUP(C411,[1]stages!$A:$AE,31,FALSE)</f>
        <v>everyone</v>
      </c>
      <c r="E411" s="12">
        <v>410</v>
      </c>
      <c r="F411" s="12">
        <v>121</v>
      </c>
      <c r="G411" s="10" t="str">
        <f>IF(I411="unit",VLOOKUP(F411,[2]characters!$A:$C,3,FALSE),"-")</f>
        <v>攻めの果実</v>
      </c>
      <c r="H411" s="12">
        <v>50</v>
      </c>
      <c r="I411" s="12" t="s">
        <v>36</v>
      </c>
      <c r="J411" s="12">
        <v>1</v>
      </c>
      <c r="K411" s="12">
        <v>1</v>
      </c>
      <c r="L411" s="12">
        <v>1</v>
      </c>
      <c r="M411" s="12">
        <v>0</v>
      </c>
      <c r="N411" s="12">
        <v>0</v>
      </c>
      <c r="O411" s="12">
        <v>0</v>
      </c>
      <c r="P411" s="12">
        <v>0</v>
      </c>
      <c r="Q411" s="12">
        <v>1</v>
      </c>
      <c r="R411" s="12" t="s">
        <v>27</v>
      </c>
      <c r="S411" s="12" t="s">
        <v>28</v>
      </c>
    </row>
    <row r="412" spans="1:19" x14ac:dyDescent="0.15">
      <c r="A412" s="12">
        <v>30002</v>
      </c>
      <c r="B412" s="12">
        <v>2</v>
      </c>
      <c r="C412" s="12" t="str">
        <f t="shared" si="44"/>
        <v>30002_2</v>
      </c>
      <c r="D412" s="12" t="str">
        <f>VLOOKUP(C412,[1]stages!$A:$AE,31,FALSE)</f>
        <v>everyone</v>
      </c>
      <c r="E412" s="12">
        <v>411</v>
      </c>
      <c r="F412" s="12">
        <v>122</v>
      </c>
      <c r="G412" s="10" t="str">
        <f>IF(I412="unit",VLOOKUP(F412,[2]characters!$A:$C,3,FALSE),"-")</f>
        <v>生命の果実</v>
      </c>
      <c r="H412" s="12">
        <v>50</v>
      </c>
      <c r="I412" s="12" t="s">
        <v>36</v>
      </c>
      <c r="J412" s="12">
        <v>1</v>
      </c>
      <c r="K412" s="12">
        <v>1</v>
      </c>
      <c r="L412" s="12">
        <v>1</v>
      </c>
      <c r="M412" s="12">
        <v>0</v>
      </c>
      <c r="N412" s="12">
        <v>0</v>
      </c>
      <c r="O412" s="12">
        <v>0</v>
      </c>
      <c r="P412" s="12">
        <v>0</v>
      </c>
      <c r="Q412" s="12">
        <v>1</v>
      </c>
      <c r="R412" s="12" t="s">
        <v>27</v>
      </c>
      <c r="S412" s="12" t="s">
        <v>28</v>
      </c>
    </row>
    <row r="413" spans="1:19" x14ac:dyDescent="0.15">
      <c r="A413" s="12">
        <v>30002</v>
      </c>
      <c r="B413" s="12">
        <v>2</v>
      </c>
      <c r="C413" s="12" t="str">
        <f t="shared" si="44"/>
        <v>30002_2</v>
      </c>
      <c r="D413" s="12" t="str">
        <f>VLOOKUP(C413,[1]stages!$A:$AE,31,FALSE)</f>
        <v>everyone</v>
      </c>
      <c r="E413" s="12">
        <v>412</v>
      </c>
      <c r="F413" s="12">
        <v>123</v>
      </c>
      <c r="G413" s="10" t="str">
        <f>IF(I413="unit",VLOOKUP(F413,[2]characters!$A:$C,3,FALSE),"-")</f>
        <v>癒しの果実</v>
      </c>
      <c r="H413" s="12">
        <v>50</v>
      </c>
      <c r="I413" s="12" t="s">
        <v>36</v>
      </c>
      <c r="J413" s="12">
        <v>1</v>
      </c>
      <c r="K413" s="12">
        <v>1</v>
      </c>
      <c r="L413" s="12">
        <v>1</v>
      </c>
      <c r="M413" s="12">
        <v>0</v>
      </c>
      <c r="N413" s="12">
        <v>0</v>
      </c>
      <c r="O413" s="12">
        <v>0</v>
      </c>
      <c r="P413" s="12">
        <v>0</v>
      </c>
      <c r="Q413" s="12">
        <v>1</v>
      </c>
      <c r="R413" s="12" t="s">
        <v>27</v>
      </c>
      <c r="S413" s="12" t="s">
        <v>28</v>
      </c>
    </row>
    <row r="414" spans="1:19" x14ac:dyDescent="0.15">
      <c r="A414" s="12">
        <v>30002</v>
      </c>
      <c r="B414" s="12">
        <v>2</v>
      </c>
      <c r="C414" s="12" t="str">
        <f t="shared" si="44"/>
        <v>30002_2</v>
      </c>
      <c r="D414" s="12" t="str">
        <f>VLOOKUP(C414,[1]stages!$A:$AE,31,FALSE)</f>
        <v>everyone</v>
      </c>
      <c r="E414" s="12">
        <v>413</v>
      </c>
      <c r="F414" s="12">
        <v>125</v>
      </c>
      <c r="G414" s="10" t="str">
        <f>IF(I414="unit",VLOOKUP(F414,[2]characters!$A:$C,3,FALSE),"-")</f>
        <v>秘術の果実</v>
      </c>
      <c r="H414" s="12">
        <v>10</v>
      </c>
      <c r="I414" s="12" t="s">
        <v>36</v>
      </c>
      <c r="J414" s="12">
        <v>1</v>
      </c>
      <c r="K414" s="12">
        <v>1</v>
      </c>
      <c r="L414" s="12">
        <v>1</v>
      </c>
      <c r="M414" s="12">
        <v>0</v>
      </c>
      <c r="N414" s="12">
        <v>0</v>
      </c>
      <c r="O414" s="12">
        <v>0</v>
      </c>
      <c r="P414" s="12">
        <v>0</v>
      </c>
      <c r="Q414" s="12">
        <v>1</v>
      </c>
      <c r="R414" s="12" t="s">
        <v>27</v>
      </c>
      <c r="S414" s="12" t="s">
        <v>28</v>
      </c>
    </row>
    <row r="415" spans="1:19" x14ac:dyDescent="0.15">
      <c r="A415" s="12">
        <v>30002</v>
      </c>
      <c r="B415" s="12">
        <v>2</v>
      </c>
      <c r="C415" s="12" t="str">
        <f t="shared" si="44"/>
        <v>30002_2</v>
      </c>
      <c r="D415" s="12" t="str">
        <f>VLOOKUP(C415,[1]stages!$A:$AE,31,FALSE)</f>
        <v>everyone</v>
      </c>
      <c r="E415" s="12">
        <v>414</v>
      </c>
      <c r="F415" s="12">
        <v>272</v>
      </c>
      <c r="G415" s="10" t="str">
        <f>IF(I415="unit",VLOOKUP(F415,[2]characters!$A:$C,3,FALSE),"-")</f>
        <v>魔札のシルベール</v>
      </c>
      <c r="H415" s="12">
        <v>250</v>
      </c>
      <c r="I415" s="12" t="s">
        <v>36</v>
      </c>
      <c r="J415" s="12">
        <v>1</v>
      </c>
      <c r="K415" s="12">
        <v>1</v>
      </c>
      <c r="L415" s="12">
        <v>1</v>
      </c>
      <c r="M415" s="12">
        <v>0</v>
      </c>
      <c r="N415" s="12">
        <v>0</v>
      </c>
      <c r="O415" s="12">
        <v>0</v>
      </c>
      <c r="P415" s="12">
        <v>0</v>
      </c>
      <c r="Q415" s="12">
        <v>1</v>
      </c>
      <c r="R415" s="12" t="s">
        <v>27</v>
      </c>
      <c r="S415" s="12" t="s">
        <v>28</v>
      </c>
    </row>
    <row r="416" spans="1:19" x14ac:dyDescent="0.15">
      <c r="A416" s="12">
        <v>30002</v>
      </c>
      <c r="B416" s="12">
        <v>2</v>
      </c>
      <c r="C416" s="12" t="str">
        <f t="shared" si="44"/>
        <v>30002_2</v>
      </c>
      <c r="D416" s="12" t="str">
        <f>VLOOKUP(C416,[1]stages!$A:$AE,31,FALSE)</f>
        <v>everyone</v>
      </c>
      <c r="E416" s="12">
        <v>415</v>
      </c>
      <c r="F416" s="12">
        <v>352</v>
      </c>
      <c r="G416" s="10" t="str">
        <f>IF(I416="unit",VLOOKUP(F416,[2]characters!$A:$C,3,FALSE),"-")</f>
        <v>水のケロケロ</v>
      </c>
      <c r="H416" s="12">
        <v>100</v>
      </c>
      <c r="I416" s="12" t="s">
        <v>36</v>
      </c>
      <c r="J416" s="12">
        <v>1</v>
      </c>
      <c r="K416" s="12">
        <v>1</v>
      </c>
      <c r="L416" s="12">
        <v>1</v>
      </c>
      <c r="M416" s="12">
        <v>0</v>
      </c>
      <c r="N416" s="12">
        <v>0</v>
      </c>
      <c r="O416" s="12">
        <v>0</v>
      </c>
      <c r="P416" s="12">
        <v>0</v>
      </c>
      <c r="Q416" s="12">
        <v>1</v>
      </c>
      <c r="R416" s="12" t="s">
        <v>27</v>
      </c>
      <c r="S416" s="12" t="s">
        <v>28</v>
      </c>
    </row>
    <row r="417" spans="1:19" x14ac:dyDescent="0.15">
      <c r="A417" s="12">
        <v>30002</v>
      </c>
      <c r="B417" s="12">
        <v>3</v>
      </c>
      <c r="C417" s="12" t="str">
        <f>A417&amp; "_"&amp;B417</f>
        <v>30002_3</v>
      </c>
      <c r="D417" s="12" t="str">
        <f>VLOOKUP(C417,[1]stages!$A:$AE,31,FALSE)</f>
        <v>everyone</v>
      </c>
      <c r="E417" s="12">
        <v>416</v>
      </c>
      <c r="F417" s="12">
        <v>6500</v>
      </c>
      <c r="G417" s="10" t="str">
        <f>IF(I417="unit",VLOOKUP(F417,[2]characters!$A:$C,3,FALSE),"-")</f>
        <v>-</v>
      </c>
      <c r="H417" s="12">
        <v>100</v>
      </c>
      <c r="I417" s="12" t="s">
        <v>32</v>
      </c>
      <c r="J417" s="12" t="s">
        <v>33</v>
      </c>
      <c r="K417" s="12">
        <v>1</v>
      </c>
      <c r="L417" s="12">
        <v>1</v>
      </c>
      <c r="M417" s="12">
        <v>0</v>
      </c>
      <c r="N417" s="12">
        <v>0</v>
      </c>
      <c r="O417" s="12">
        <v>0</v>
      </c>
      <c r="P417" s="12">
        <v>0</v>
      </c>
      <c r="Q417" s="12">
        <v>1</v>
      </c>
      <c r="R417" s="12" t="s">
        <v>27</v>
      </c>
      <c r="S417" s="12" t="s">
        <v>28</v>
      </c>
    </row>
    <row r="418" spans="1:19" x14ac:dyDescent="0.15">
      <c r="A418" s="12">
        <v>30002</v>
      </c>
      <c r="B418" s="12">
        <v>3</v>
      </c>
      <c r="C418" s="12" t="str">
        <f t="shared" ref="C418:C427" si="45">A418&amp; "_"&amp;B418</f>
        <v>30002_3</v>
      </c>
      <c r="D418" s="12" t="str">
        <f>VLOOKUP(C418,[1]stages!$A:$AE,31,FALSE)</f>
        <v>everyone</v>
      </c>
      <c r="E418" s="12">
        <v>417</v>
      </c>
      <c r="F418" s="12">
        <v>25</v>
      </c>
      <c r="G418" s="10" t="str">
        <f>IF(I418="unit",VLOOKUP(F418,[2]characters!$A:$C,3,FALSE),"-")</f>
        <v>-</v>
      </c>
      <c r="H418" s="12">
        <v>100</v>
      </c>
      <c r="I418" s="12" t="s">
        <v>35</v>
      </c>
      <c r="J418" s="12" t="s">
        <v>33</v>
      </c>
      <c r="K418" s="12">
        <v>1</v>
      </c>
      <c r="L418" s="12">
        <v>1</v>
      </c>
      <c r="M418" s="12">
        <v>0</v>
      </c>
      <c r="N418" s="12">
        <v>0</v>
      </c>
      <c r="O418" s="12">
        <v>0</v>
      </c>
      <c r="P418" s="12">
        <v>0</v>
      </c>
      <c r="Q418" s="12">
        <v>1</v>
      </c>
      <c r="R418" s="12" t="s">
        <v>27</v>
      </c>
      <c r="S418" s="12" t="s">
        <v>28</v>
      </c>
    </row>
    <row r="419" spans="1:19" x14ac:dyDescent="0.15">
      <c r="A419" s="12">
        <v>30002</v>
      </c>
      <c r="B419" s="12">
        <v>3</v>
      </c>
      <c r="C419" s="12" t="str">
        <f t="shared" si="45"/>
        <v>30002_3</v>
      </c>
      <c r="D419" s="12" t="str">
        <f>VLOOKUP(C419,[1]stages!$A:$AE,31,FALSE)</f>
        <v>everyone</v>
      </c>
      <c r="E419" s="12">
        <v>418</v>
      </c>
      <c r="F419" s="12">
        <v>340</v>
      </c>
      <c r="G419" s="10" t="str">
        <f>IF(I419="unit",VLOOKUP(F419,[2]characters!$A:$C,3,FALSE),"-")</f>
        <v>水のメタルピヨピヨ</v>
      </c>
      <c r="H419" s="12">
        <v>28</v>
      </c>
      <c r="I419" s="12" t="s">
        <v>36</v>
      </c>
      <c r="J419" s="12">
        <v>1</v>
      </c>
      <c r="K419" s="12">
        <v>1</v>
      </c>
      <c r="L419" s="12">
        <v>1</v>
      </c>
      <c r="M419" s="12">
        <v>0</v>
      </c>
      <c r="N419" s="12">
        <v>0</v>
      </c>
      <c r="O419" s="12">
        <v>0</v>
      </c>
      <c r="P419" s="12">
        <v>0</v>
      </c>
      <c r="Q419" s="12">
        <v>1</v>
      </c>
      <c r="R419" s="12" t="s">
        <v>27</v>
      </c>
      <c r="S419" s="12" t="s">
        <v>28</v>
      </c>
    </row>
    <row r="420" spans="1:19" x14ac:dyDescent="0.15">
      <c r="A420" s="12">
        <v>30002</v>
      </c>
      <c r="B420" s="12">
        <v>3</v>
      </c>
      <c r="C420" s="12" t="str">
        <f t="shared" si="45"/>
        <v>30002_3</v>
      </c>
      <c r="D420" s="12" t="str">
        <f>VLOOKUP(C420,[1]stages!$A:$AE,31,FALSE)</f>
        <v>everyone</v>
      </c>
      <c r="E420" s="12">
        <v>419</v>
      </c>
      <c r="F420" s="12">
        <v>341</v>
      </c>
      <c r="G420" s="10" t="str">
        <f>IF(I420="unit",VLOOKUP(F420,[2]characters!$A:$C,3,FALSE),"-")</f>
        <v>水のメタルチック</v>
      </c>
      <c r="H420" s="12">
        <v>56</v>
      </c>
      <c r="I420" s="12" t="s">
        <v>36</v>
      </c>
      <c r="J420" s="12">
        <v>1</v>
      </c>
      <c r="K420" s="12">
        <v>1</v>
      </c>
      <c r="L420" s="12">
        <v>1</v>
      </c>
      <c r="M420" s="12">
        <v>0</v>
      </c>
      <c r="N420" s="12">
        <v>0</v>
      </c>
      <c r="O420" s="12">
        <v>0</v>
      </c>
      <c r="P420" s="12">
        <v>0</v>
      </c>
      <c r="Q420" s="12">
        <v>1</v>
      </c>
      <c r="R420" s="12" t="s">
        <v>27</v>
      </c>
      <c r="S420" s="12" t="s">
        <v>28</v>
      </c>
    </row>
    <row r="421" spans="1:19" x14ac:dyDescent="0.15">
      <c r="A421" s="12">
        <v>30002</v>
      </c>
      <c r="B421" s="12">
        <v>3</v>
      </c>
      <c r="C421" s="12" t="str">
        <f t="shared" si="45"/>
        <v>30002_3</v>
      </c>
      <c r="D421" s="12" t="str">
        <f>VLOOKUP(C421,[1]stages!$A:$AE,31,FALSE)</f>
        <v>everyone</v>
      </c>
      <c r="E421" s="12">
        <v>420</v>
      </c>
      <c r="F421" s="12">
        <v>342</v>
      </c>
      <c r="G421" s="10" t="str">
        <f>IF(I421="unit",VLOOKUP(F421,[2]characters!$A:$C,3,FALSE),"-")</f>
        <v>水のメタルダック</v>
      </c>
      <c r="H421" s="12">
        <v>56</v>
      </c>
      <c r="I421" s="12" t="s">
        <v>36</v>
      </c>
      <c r="J421" s="12">
        <v>1</v>
      </c>
      <c r="K421" s="12">
        <v>1</v>
      </c>
      <c r="L421" s="12">
        <v>1</v>
      </c>
      <c r="M421" s="12">
        <v>0</v>
      </c>
      <c r="N421" s="12">
        <v>0</v>
      </c>
      <c r="O421" s="12">
        <v>0</v>
      </c>
      <c r="P421" s="12">
        <v>0</v>
      </c>
      <c r="Q421" s="12">
        <v>1</v>
      </c>
      <c r="R421" s="12" t="s">
        <v>27</v>
      </c>
      <c r="S421" s="12" t="s">
        <v>28</v>
      </c>
    </row>
    <row r="422" spans="1:19" x14ac:dyDescent="0.15">
      <c r="A422" s="12">
        <v>30002</v>
      </c>
      <c r="B422" s="12">
        <v>3</v>
      </c>
      <c r="C422" s="12" t="str">
        <f t="shared" si="45"/>
        <v>30002_3</v>
      </c>
      <c r="D422" s="12" t="str">
        <f>VLOOKUP(C422,[1]stages!$A:$AE,31,FALSE)</f>
        <v>everyone</v>
      </c>
      <c r="E422" s="12">
        <v>421</v>
      </c>
      <c r="F422" s="12">
        <v>121</v>
      </c>
      <c r="G422" s="10" t="str">
        <f>IF(I422="unit",VLOOKUP(F422,[2]characters!$A:$C,3,FALSE),"-")</f>
        <v>攻めの果実</v>
      </c>
      <c r="H422" s="12">
        <v>50</v>
      </c>
      <c r="I422" s="12" t="s">
        <v>36</v>
      </c>
      <c r="J422" s="12">
        <v>1</v>
      </c>
      <c r="K422" s="12">
        <v>1</v>
      </c>
      <c r="L422" s="12">
        <v>1</v>
      </c>
      <c r="M422" s="12">
        <v>0</v>
      </c>
      <c r="N422" s="12">
        <v>0</v>
      </c>
      <c r="O422" s="12">
        <v>0</v>
      </c>
      <c r="P422" s="12">
        <v>0</v>
      </c>
      <c r="Q422" s="12">
        <v>1</v>
      </c>
      <c r="R422" s="12" t="s">
        <v>27</v>
      </c>
      <c r="S422" s="12" t="s">
        <v>28</v>
      </c>
    </row>
    <row r="423" spans="1:19" x14ac:dyDescent="0.15">
      <c r="A423" s="12">
        <v>30002</v>
      </c>
      <c r="B423" s="12">
        <v>3</v>
      </c>
      <c r="C423" s="12" t="str">
        <f t="shared" si="45"/>
        <v>30002_3</v>
      </c>
      <c r="D423" s="12" t="str">
        <f>VLOOKUP(C423,[1]stages!$A:$AE,31,FALSE)</f>
        <v>everyone</v>
      </c>
      <c r="E423" s="12">
        <v>422</v>
      </c>
      <c r="F423" s="12">
        <v>122</v>
      </c>
      <c r="G423" s="10" t="str">
        <f>IF(I423="unit",VLOOKUP(F423,[2]characters!$A:$C,3,FALSE),"-")</f>
        <v>生命の果実</v>
      </c>
      <c r="H423" s="12">
        <v>50</v>
      </c>
      <c r="I423" s="12" t="s">
        <v>36</v>
      </c>
      <c r="J423" s="12">
        <v>1</v>
      </c>
      <c r="K423" s="12">
        <v>1</v>
      </c>
      <c r="L423" s="12">
        <v>1</v>
      </c>
      <c r="M423" s="12">
        <v>0</v>
      </c>
      <c r="N423" s="12">
        <v>0</v>
      </c>
      <c r="O423" s="12">
        <v>0</v>
      </c>
      <c r="P423" s="12">
        <v>0</v>
      </c>
      <c r="Q423" s="12">
        <v>1</v>
      </c>
      <c r="R423" s="12" t="s">
        <v>27</v>
      </c>
      <c r="S423" s="12" t="s">
        <v>28</v>
      </c>
    </row>
    <row r="424" spans="1:19" x14ac:dyDescent="0.15">
      <c r="A424" s="12">
        <v>30002</v>
      </c>
      <c r="B424" s="12">
        <v>3</v>
      </c>
      <c r="C424" s="12" t="str">
        <f t="shared" si="45"/>
        <v>30002_3</v>
      </c>
      <c r="D424" s="12" t="str">
        <f>VLOOKUP(C424,[1]stages!$A:$AE,31,FALSE)</f>
        <v>everyone</v>
      </c>
      <c r="E424" s="12">
        <v>423</v>
      </c>
      <c r="F424" s="12">
        <v>123</v>
      </c>
      <c r="G424" s="10" t="str">
        <f>IF(I424="unit",VLOOKUP(F424,[2]characters!$A:$C,3,FALSE),"-")</f>
        <v>癒しの果実</v>
      </c>
      <c r="H424" s="12">
        <v>50</v>
      </c>
      <c r="I424" s="12" t="s">
        <v>36</v>
      </c>
      <c r="J424" s="12">
        <v>1</v>
      </c>
      <c r="K424" s="12">
        <v>1</v>
      </c>
      <c r="L424" s="12">
        <v>1</v>
      </c>
      <c r="M424" s="12">
        <v>0</v>
      </c>
      <c r="N424" s="12">
        <v>0</v>
      </c>
      <c r="O424" s="12">
        <v>0</v>
      </c>
      <c r="P424" s="12">
        <v>0</v>
      </c>
      <c r="Q424" s="12">
        <v>1</v>
      </c>
      <c r="R424" s="12" t="s">
        <v>27</v>
      </c>
      <c r="S424" s="12" t="s">
        <v>28</v>
      </c>
    </row>
    <row r="425" spans="1:19" x14ac:dyDescent="0.15">
      <c r="A425" s="12">
        <v>30002</v>
      </c>
      <c r="B425" s="12">
        <v>3</v>
      </c>
      <c r="C425" s="12" t="str">
        <f t="shared" si="45"/>
        <v>30002_3</v>
      </c>
      <c r="D425" s="12" t="str">
        <f>VLOOKUP(C425,[1]stages!$A:$AE,31,FALSE)</f>
        <v>everyone</v>
      </c>
      <c r="E425" s="12">
        <v>424</v>
      </c>
      <c r="F425" s="12">
        <v>125</v>
      </c>
      <c r="G425" s="10" t="str">
        <f>IF(I425="unit",VLOOKUP(F425,[2]characters!$A:$C,3,FALSE),"-")</f>
        <v>秘術の果実</v>
      </c>
      <c r="H425" s="12">
        <v>10</v>
      </c>
      <c r="I425" s="12" t="s">
        <v>36</v>
      </c>
      <c r="J425" s="12">
        <v>1</v>
      </c>
      <c r="K425" s="12">
        <v>1</v>
      </c>
      <c r="L425" s="12">
        <v>1</v>
      </c>
      <c r="M425" s="12">
        <v>0</v>
      </c>
      <c r="N425" s="12">
        <v>0</v>
      </c>
      <c r="O425" s="12">
        <v>0</v>
      </c>
      <c r="P425" s="12">
        <v>0</v>
      </c>
      <c r="Q425" s="12">
        <v>1</v>
      </c>
      <c r="R425" s="12" t="s">
        <v>27</v>
      </c>
      <c r="S425" s="12" t="s">
        <v>28</v>
      </c>
    </row>
    <row r="426" spans="1:19" x14ac:dyDescent="0.15">
      <c r="A426" s="12">
        <v>30002</v>
      </c>
      <c r="B426" s="12">
        <v>3</v>
      </c>
      <c r="C426" s="12" t="str">
        <f t="shared" si="45"/>
        <v>30002_3</v>
      </c>
      <c r="D426" s="12" t="str">
        <f>VLOOKUP(C426,[1]stages!$A:$AE,31,FALSE)</f>
        <v>everyone</v>
      </c>
      <c r="E426" s="12">
        <v>425</v>
      </c>
      <c r="F426" s="12">
        <v>272</v>
      </c>
      <c r="G426" s="10" t="str">
        <f>IF(I426="unit",VLOOKUP(F426,[2]characters!$A:$C,3,FALSE),"-")</f>
        <v>魔札のシルベール</v>
      </c>
      <c r="H426" s="12">
        <v>400</v>
      </c>
      <c r="I426" s="12" t="s">
        <v>36</v>
      </c>
      <c r="J426" s="12">
        <v>1</v>
      </c>
      <c r="K426" s="12">
        <v>1</v>
      </c>
      <c r="L426" s="12">
        <v>1</v>
      </c>
      <c r="M426" s="12">
        <v>0</v>
      </c>
      <c r="N426" s="12">
        <v>0</v>
      </c>
      <c r="O426" s="12">
        <v>0</v>
      </c>
      <c r="P426" s="12">
        <v>0</v>
      </c>
      <c r="Q426" s="12">
        <v>1</v>
      </c>
      <c r="R426" s="12" t="s">
        <v>27</v>
      </c>
      <c r="S426" s="12" t="s">
        <v>28</v>
      </c>
    </row>
    <row r="427" spans="1:19" x14ac:dyDescent="0.15">
      <c r="A427" s="12">
        <v>30002</v>
      </c>
      <c r="B427" s="12">
        <v>3</v>
      </c>
      <c r="C427" s="12" t="str">
        <f t="shared" si="45"/>
        <v>30002_3</v>
      </c>
      <c r="D427" s="12" t="str">
        <f>VLOOKUP(C427,[1]stages!$A:$AE,31,FALSE)</f>
        <v>everyone</v>
      </c>
      <c r="E427" s="12">
        <v>426</v>
      </c>
      <c r="F427" s="12">
        <v>352</v>
      </c>
      <c r="G427" s="10" t="str">
        <f>IF(I427="unit",VLOOKUP(F427,[2]characters!$A:$C,3,FALSE),"-")</f>
        <v>水のケロケロ</v>
      </c>
      <c r="H427" s="12">
        <v>100</v>
      </c>
      <c r="I427" s="12" t="s">
        <v>36</v>
      </c>
      <c r="J427" s="12">
        <v>1</v>
      </c>
      <c r="K427" s="12">
        <v>1</v>
      </c>
      <c r="L427" s="12">
        <v>1</v>
      </c>
      <c r="M427" s="12">
        <v>0</v>
      </c>
      <c r="N427" s="12">
        <v>0</v>
      </c>
      <c r="O427" s="12">
        <v>0</v>
      </c>
      <c r="P427" s="12">
        <v>0</v>
      </c>
      <c r="Q427" s="12">
        <v>1</v>
      </c>
      <c r="R427" s="12" t="s">
        <v>27</v>
      </c>
      <c r="S427" s="12" t="s">
        <v>28</v>
      </c>
    </row>
    <row r="428" spans="1:19" x14ac:dyDescent="0.15">
      <c r="A428" s="9">
        <v>30003</v>
      </c>
      <c r="B428" s="9">
        <v>1</v>
      </c>
      <c r="C428" s="9" t="str">
        <f>A428&amp; "_"&amp;B428</f>
        <v>30003_1</v>
      </c>
      <c r="D428" s="9" t="str">
        <f>VLOOKUP(C428,[1]stages!$A:$AE,31,FALSE)</f>
        <v>everyone</v>
      </c>
      <c r="E428" s="9">
        <v>427</v>
      </c>
      <c r="F428" s="9">
        <v>3200</v>
      </c>
      <c r="G428" s="10" t="str">
        <f>IF(I428="unit",VLOOKUP(F428,[2]characters!$A:$C,3,FALSE),"-")</f>
        <v>-</v>
      </c>
      <c r="H428" s="9">
        <v>200</v>
      </c>
      <c r="I428" s="9" t="s">
        <v>32</v>
      </c>
      <c r="J428" s="9" t="s">
        <v>33</v>
      </c>
      <c r="K428" s="9">
        <v>1</v>
      </c>
      <c r="L428" s="9">
        <v>1</v>
      </c>
      <c r="M428" s="9">
        <v>0</v>
      </c>
      <c r="N428" s="9">
        <v>0</v>
      </c>
      <c r="O428" s="9">
        <v>0</v>
      </c>
      <c r="P428" s="9">
        <v>0</v>
      </c>
      <c r="Q428" s="9">
        <v>1</v>
      </c>
      <c r="R428" s="9" t="s">
        <v>27</v>
      </c>
      <c r="S428" s="9" t="s">
        <v>28</v>
      </c>
    </row>
    <row r="429" spans="1:19" x14ac:dyDescent="0.15">
      <c r="A429" s="9">
        <v>30003</v>
      </c>
      <c r="B429" s="9">
        <v>1</v>
      </c>
      <c r="C429" s="9" t="str">
        <f t="shared" ref="C429:C437" si="46">A429&amp; "_"&amp;B429</f>
        <v>30003_1</v>
      </c>
      <c r="D429" s="9" t="str">
        <f>VLOOKUP(C429,[1]stages!$A:$AE,31,FALSE)</f>
        <v>everyone</v>
      </c>
      <c r="E429" s="9">
        <v>428</v>
      </c>
      <c r="F429" s="9">
        <v>20</v>
      </c>
      <c r="G429" s="10" t="str">
        <f>IF(I429="unit",VLOOKUP(F429,[2]characters!$A:$C,3,FALSE),"-")</f>
        <v>-</v>
      </c>
      <c r="H429" s="9">
        <v>200</v>
      </c>
      <c r="I429" s="9" t="s">
        <v>35</v>
      </c>
      <c r="J429" s="9" t="s">
        <v>33</v>
      </c>
      <c r="K429" s="9">
        <v>1</v>
      </c>
      <c r="L429" s="9">
        <v>1</v>
      </c>
      <c r="M429" s="9">
        <v>0</v>
      </c>
      <c r="N429" s="9">
        <v>0</v>
      </c>
      <c r="O429" s="9">
        <v>0</v>
      </c>
      <c r="P429" s="9">
        <v>0</v>
      </c>
      <c r="Q429" s="9">
        <v>1</v>
      </c>
      <c r="R429" s="9" t="s">
        <v>27</v>
      </c>
      <c r="S429" s="9" t="s">
        <v>28</v>
      </c>
    </row>
    <row r="430" spans="1:19" x14ac:dyDescent="0.15">
      <c r="A430" s="9">
        <v>30003</v>
      </c>
      <c r="B430" s="9">
        <v>1</v>
      </c>
      <c r="C430" s="9" t="str">
        <f t="shared" si="46"/>
        <v>30003_1</v>
      </c>
      <c r="D430" s="9" t="str">
        <f>VLOOKUP(C430,[1]stages!$A:$AE,31,FALSE)</f>
        <v>everyone</v>
      </c>
      <c r="E430" s="9">
        <v>429</v>
      </c>
      <c r="F430" s="9">
        <v>344</v>
      </c>
      <c r="G430" s="10" t="str">
        <f>IF(I430="unit",VLOOKUP(F430,[2]characters!$A:$C,3,FALSE),"-")</f>
        <v>雷のメタルピヨピヨ</v>
      </c>
      <c r="H430" s="9">
        <v>70</v>
      </c>
      <c r="I430" s="9" t="s">
        <v>36</v>
      </c>
      <c r="J430" s="9">
        <v>1</v>
      </c>
      <c r="K430" s="9">
        <v>1</v>
      </c>
      <c r="L430" s="9">
        <v>1</v>
      </c>
      <c r="M430" s="9">
        <v>0</v>
      </c>
      <c r="N430" s="9">
        <v>0</v>
      </c>
      <c r="O430" s="9">
        <v>0</v>
      </c>
      <c r="P430" s="9">
        <v>0</v>
      </c>
      <c r="Q430" s="9">
        <v>1</v>
      </c>
      <c r="R430" s="9" t="s">
        <v>27</v>
      </c>
      <c r="S430" s="9" t="s">
        <v>28</v>
      </c>
    </row>
    <row r="431" spans="1:19" x14ac:dyDescent="0.15">
      <c r="A431" s="9">
        <v>30003</v>
      </c>
      <c r="B431" s="9">
        <v>1</v>
      </c>
      <c r="C431" s="9" t="str">
        <f t="shared" si="46"/>
        <v>30003_1</v>
      </c>
      <c r="D431" s="9" t="str">
        <f>VLOOKUP(C431,[1]stages!$A:$AE,31,FALSE)</f>
        <v>everyone</v>
      </c>
      <c r="E431" s="9">
        <v>430</v>
      </c>
      <c r="F431" s="9">
        <v>345</v>
      </c>
      <c r="G431" s="10" t="str">
        <f>IF(I431="unit",VLOOKUP(F431,[2]characters!$A:$C,3,FALSE),"-")</f>
        <v>雷のメタルチック</v>
      </c>
      <c r="H431" s="9">
        <v>70</v>
      </c>
      <c r="I431" s="9" t="s">
        <v>36</v>
      </c>
      <c r="J431" s="9">
        <v>1</v>
      </c>
      <c r="K431" s="9">
        <v>1</v>
      </c>
      <c r="L431" s="9">
        <v>1</v>
      </c>
      <c r="M431" s="9">
        <v>0</v>
      </c>
      <c r="N431" s="9">
        <v>0</v>
      </c>
      <c r="O431" s="9">
        <v>0</v>
      </c>
      <c r="P431" s="9">
        <v>0</v>
      </c>
      <c r="Q431" s="9">
        <v>1</v>
      </c>
      <c r="R431" s="9" t="s">
        <v>27</v>
      </c>
      <c r="S431" s="9" t="s">
        <v>28</v>
      </c>
    </row>
    <row r="432" spans="1:19" x14ac:dyDescent="0.15">
      <c r="A432" s="9">
        <v>30003</v>
      </c>
      <c r="B432" s="9">
        <v>1</v>
      </c>
      <c r="C432" s="9" t="str">
        <f t="shared" si="46"/>
        <v>30003_1</v>
      </c>
      <c r="D432" s="9" t="str">
        <f>VLOOKUP(C432,[1]stages!$A:$AE,31,FALSE)</f>
        <v>everyone</v>
      </c>
      <c r="E432" s="9">
        <v>431</v>
      </c>
      <c r="F432" s="9">
        <v>121</v>
      </c>
      <c r="G432" s="10" t="str">
        <f>IF(I432="unit",VLOOKUP(F432,[2]characters!$A:$C,3,FALSE),"-")</f>
        <v>攻めの果実</v>
      </c>
      <c r="H432" s="9">
        <v>50</v>
      </c>
      <c r="I432" s="9" t="s">
        <v>36</v>
      </c>
      <c r="J432" s="9">
        <v>1</v>
      </c>
      <c r="K432" s="9">
        <v>1</v>
      </c>
      <c r="L432" s="9">
        <v>1</v>
      </c>
      <c r="M432" s="9">
        <v>0</v>
      </c>
      <c r="N432" s="9">
        <v>0</v>
      </c>
      <c r="O432" s="9">
        <v>0</v>
      </c>
      <c r="P432" s="9">
        <v>0</v>
      </c>
      <c r="Q432" s="9">
        <v>1</v>
      </c>
      <c r="R432" s="9" t="s">
        <v>27</v>
      </c>
      <c r="S432" s="9" t="s">
        <v>28</v>
      </c>
    </row>
    <row r="433" spans="1:19" x14ac:dyDescent="0.15">
      <c r="A433" s="9">
        <v>30003</v>
      </c>
      <c r="B433" s="9">
        <v>1</v>
      </c>
      <c r="C433" s="9" t="str">
        <f t="shared" si="46"/>
        <v>30003_1</v>
      </c>
      <c r="D433" s="9" t="str">
        <f>VLOOKUP(C433,[1]stages!$A:$AE,31,FALSE)</f>
        <v>everyone</v>
      </c>
      <c r="E433" s="9">
        <v>432</v>
      </c>
      <c r="F433" s="9">
        <v>122</v>
      </c>
      <c r="G433" s="10" t="str">
        <f>IF(I433="unit",VLOOKUP(F433,[2]characters!$A:$C,3,FALSE),"-")</f>
        <v>生命の果実</v>
      </c>
      <c r="H433" s="9">
        <v>50</v>
      </c>
      <c r="I433" s="9" t="s">
        <v>36</v>
      </c>
      <c r="J433" s="9">
        <v>1</v>
      </c>
      <c r="K433" s="9">
        <v>1</v>
      </c>
      <c r="L433" s="9">
        <v>1</v>
      </c>
      <c r="M433" s="9">
        <v>0</v>
      </c>
      <c r="N433" s="9">
        <v>0</v>
      </c>
      <c r="O433" s="9">
        <v>0</v>
      </c>
      <c r="P433" s="9">
        <v>0</v>
      </c>
      <c r="Q433" s="9">
        <v>1</v>
      </c>
      <c r="R433" s="9" t="s">
        <v>27</v>
      </c>
      <c r="S433" s="9" t="s">
        <v>28</v>
      </c>
    </row>
    <row r="434" spans="1:19" x14ac:dyDescent="0.15">
      <c r="A434" s="9">
        <v>30003</v>
      </c>
      <c r="B434" s="9">
        <v>1</v>
      </c>
      <c r="C434" s="9" t="str">
        <f t="shared" si="46"/>
        <v>30003_1</v>
      </c>
      <c r="D434" s="9" t="str">
        <f>VLOOKUP(C434,[1]stages!$A:$AE,31,FALSE)</f>
        <v>everyone</v>
      </c>
      <c r="E434" s="9">
        <v>433</v>
      </c>
      <c r="F434" s="9">
        <v>123</v>
      </c>
      <c r="G434" s="10" t="str">
        <f>IF(I434="unit",VLOOKUP(F434,[2]characters!$A:$C,3,FALSE),"-")</f>
        <v>癒しの果実</v>
      </c>
      <c r="H434" s="9">
        <v>50</v>
      </c>
      <c r="I434" s="9" t="s">
        <v>36</v>
      </c>
      <c r="J434" s="9">
        <v>1</v>
      </c>
      <c r="K434" s="9">
        <v>1</v>
      </c>
      <c r="L434" s="9">
        <v>1</v>
      </c>
      <c r="M434" s="9">
        <v>0</v>
      </c>
      <c r="N434" s="9">
        <v>0</v>
      </c>
      <c r="O434" s="9">
        <v>0</v>
      </c>
      <c r="P434" s="9">
        <v>0</v>
      </c>
      <c r="Q434" s="9">
        <v>1</v>
      </c>
      <c r="R434" s="9" t="s">
        <v>27</v>
      </c>
      <c r="S434" s="9" t="s">
        <v>28</v>
      </c>
    </row>
    <row r="435" spans="1:19" x14ac:dyDescent="0.15">
      <c r="A435" s="9">
        <v>30003</v>
      </c>
      <c r="B435" s="9">
        <v>1</v>
      </c>
      <c r="C435" s="9" t="str">
        <f t="shared" si="46"/>
        <v>30003_1</v>
      </c>
      <c r="D435" s="9" t="str">
        <f>VLOOKUP(C435,[1]stages!$A:$AE,31,FALSE)</f>
        <v>everyone</v>
      </c>
      <c r="E435" s="9">
        <v>434</v>
      </c>
      <c r="F435" s="9">
        <v>125</v>
      </c>
      <c r="G435" s="10" t="str">
        <f>IF(I435="unit",VLOOKUP(F435,[2]characters!$A:$C,3,FALSE),"-")</f>
        <v>秘術の果実</v>
      </c>
      <c r="H435" s="9">
        <v>10</v>
      </c>
      <c r="I435" s="9" t="s">
        <v>36</v>
      </c>
      <c r="J435" s="9">
        <v>1</v>
      </c>
      <c r="K435" s="9">
        <v>1</v>
      </c>
      <c r="L435" s="9">
        <v>1</v>
      </c>
      <c r="M435" s="9">
        <v>0</v>
      </c>
      <c r="N435" s="9">
        <v>0</v>
      </c>
      <c r="O435" s="9">
        <v>0</v>
      </c>
      <c r="P435" s="9">
        <v>0</v>
      </c>
      <c r="Q435" s="9">
        <v>1</v>
      </c>
      <c r="R435" s="9" t="s">
        <v>27</v>
      </c>
      <c r="S435" s="9" t="s">
        <v>28</v>
      </c>
    </row>
    <row r="436" spans="1:19" x14ac:dyDescent="0.15">
      <c r="A436" s="9">
        <v>30003</v>
      </c>
      <c r="B436" s="9">
        <v>1</v>
      </c>
      <c r="C436" s="9" t="str">
        <f t="shared" si="46"/>
        <v>30003_1</v>
      </c>
      <c r="D436" s="9" t="str">
        <f>VLOOKUP(C436,[1]stages!$A:$AE,31,FALSE)</f>
        <v>everyone</v>
      </c>
      <c r="E436" s="9">
        <v>435</v>
      </c>
      <c r="F436" s="9">
        <v>274</v>
      </c>
      <c r="G436" s="10" t="str">
        <f>IF(I436="unit",VLOOKUP(F436,[2]characters!$A:$C,3,FALSE),"-")</f>
        <v>砕棒のガエル</v>
      </c>
      <c r="H436" s="9">
        <v>200</v>
      </c>
      <c r="I436" s="9" t="s">
        <v>36</v>
      </c>
      <c r="J436" s="9">
        <v>1</v>
      </c>
      <c r="K436" s="9">
        <v>1</v>
      </c>
      <c r="L436" s="9">
        <v>1</v>
      </c>
      <c r="M436" s="9">
        <v>0</v>
      </c>
      <c r="N436" s="9">
        <v>0</v>
      </c>
      <c r="O436" s="9">
        <v>0</v>
      </c>
      <c r="P436" s="9">
        <v>0</v>
      </c>
      <c r="Q436" s="9">
        <v>1</v>
      </c>
      <c r="R436" s="9" t="s">
        <v>27</v>
      </c>
      <c r="S436" s="9" t="s">
        <v>28</v>
      </c>
    </row>
    <row r="437" spans="1:19" x14ac:dyDescent="0.15">
      <c r="A437" s="9">
        <v>30003</v>
      </c>
      <c r="B437" s="9">
        <v>1</v>
      </c>
      <c r="C437" s="9" t="str">
        <f t="shared" si="46"/>
        <v>30003_1</v>
      </c>
      <c r="D437" s="9" t="str">
        <f>VLOOKUP(C437,[1]stages!$A:$AE,31,FALSE)</f>
        <v>everyone</v>
      </c>
      <c r="E437" s="9">
        <v>436</v>
      </c>
      <c r="F437" s="9">
        <v>354</v>
      </c>
      <c r="G437" s="10" t="str">
        <f>IF(I437="unit",VLOOKUP(F437,[2]characters!$A:$C,3,FALSE),"-")</f>
        <v>雷のケロケロ</v>
      </c>
      <c r="H437" s="9">
        <v>100</v>
      </c>
      <c r="I437" s="9" t="s">
        <v>36</v>
      </c>
      <c r="J437" s="9">
        <v>1</v>
      </c>
      <c r="K437" s="9">
        <v>1</v>
      </c>
      <c r="L437" s="9">
        <v>1</v>
      </c>
      <c r="M437" s="9">
        <v>0</v>
      </c>
      <c r="N437" s="9">
        <v>0</v>
      </c>
      <c r="O437" s="9">
        <v>0</v>
      </c>
      <c r="P437" s="9">
        <v>0</v>
      </c>
      <c r="Q437" s="9">
        <v>1</v>
      </c>
      <c r="R437" s="9" t="s">
        <v>27</v>
      </c>
      <c r="S437" s="9" t="s">
        <v>28</v>
      </c>
    </row>
    <row r="438" spans="1:19" x14ac:dyDescent="0.15">
      <c r="A438" s="9">
        <v>30003</v>
      </c>
      <c r="B438" s="9">
        <v>2</v>
      </c>
      <c r="C438" s="9" t="str">
        <f>A438&amp; "_"&amp;B438</f>
        <v>30003_2</v>
      </c>
      <c r="D438" s="9" t="str">
        <f>VLOOKUP(C438,[1]stages!$A:$AE,31,FALSE)</f>
        <v>everyone</v>
      </c>
      <c r="E438" s="9">
        <v>437</v>
      </c>
      <c r="F438" s="9">
        <v>5000</v>
      </c>
      <c r="G438" s="10" t="str">
        <f>IF(I438="unit",VLOOKUP(F438,[2]characters!$A:$C,3,FALSE),"-")</f>
        <v>-</v>
      </c>
      <c r="H438" s="9">
        <v>200</v>
      </c>
      <c r="I438" s="9" t="s">
        <v>32</v>
      </c>
      <c r="J438" s="9" t="s">
        <v>33</v>
      </c>
      <c r="K438" s="9">
        <v>1</v>
      </c>
      <c r="L438" s="9">
        <v>1</v>
      </c>
      <c r="M438" s="9">
        <v>0</v>
      </c>
      <c r="N438" s="9">
        <v>0</v>
      </c>
      <c r="O438" s="9">
        <v>0</v>
      </c>
      <c r="P438" s="9">
        <v>0</v>
      </c>
      <c r="Q438" s="9">
        <v>1</v>
      </c>
      <c r="R438" s="9" t="s">
        <v>27</v>
      </c>
      <c r="S438" s="9" t="s">
        <v>28</v>
      </c>
    </row>
    <row r="439" spans="1:19" x14ac:dyDescent="0.15">
      <c r="A439" s="9">
        <v>30003</v>
      </c>
      <c r="B439" s="9">
        <v>2</v>
      </c>
      <c r="C439" s="9" t="str">
        <f t="shared" ref="C439:C448" si="47">A439&amp; "_"&amp;B439</f>
        <v>30003_2</v>
      </c>
      <c r="D439" s="9" t="str">
        <f>VLOOKUP(C439,[1]stages!$A:$AE,31,FALSE)</f>
        <v>everyone</v>
      </c>
      <c r="E439" s="9">
        <v>438</v>
      </c>
      <c r="F439" s="9">
        <v>25</v>
      </c>
      <c r="G439" s="10" t="str">
        <f>IF(I439="unit",VLOOKUP(F439,[2]characters!$A:$C,3,FALSE),"-")</f>
        <v>-</v>
      </c>
      <c r="H439" s="9">
        <v>150</v>
      </c>
      <c r="I439" s="9" t="s">
        <v>35</v>
      </c>
      <c r="J439" s="9" t="s">
        <v>33</v>
      </c>
      <c r="K439" s="9">
        <v>1</v>
      </c>
      <c r="L439" s="9">
        <v>1</v>
      </c>
      <c r="M439" s="9">
        <v>0</v>
      </c>
      <c r="N439" s="9">
        <v>0</v>
      </c>
      <c r="O439" s="9">
        <v>0</v>
      </c>
      <c r="P439" s="9">
        <v>0</v>
      </c>
      <c r="Q439" s="9">
        <v>1</v>
      </c>
      <c r="R439" s="9" t="s">
        <v>27</v>
      </c>
      <c r="S439" s="9" t="s">
        <v>28</v>
      </c>
    </row>
    <row r="440" spans="1:19" x14ac:dyDescent="0.15">
      <c r="A440" s="9">
        <v>30003</v>
      </c>
      <c r="B440" s="9">
        <v>2</v>
      </c>
      <c r="C440" s="9" t="str">
        <f t="shared" si="47"/>
        <v>30003_2</v>
      </c>
      <c r="D440" s="9" t="str">
        <f>VLOOKUP(C440,[1]stages!$A:$AE,31,FALSE)</f>
        <v>everyone</v>
      </c>
      <c r="E440" s="9">
        <v>439</v>
      </c>
      <c r="F440" s="9">
        <v>344</v>
      </c>
      <c r="G440" s="10" t="str">
        <f>IF(I440="unit",VLOOKUP(F440,[2]characters!$A:$C,3,FALSE),"-")</f>
        <v>雷のメタルピヨピヨ</v>
      </c>
      <c r="H440" s="9">
        <v>56</v>
      </c>
      <c r="I440" s="9" t="s">
        <v>36</v>
      </c>
      <c r="J440" s="9">
        <v>1</v>
      </c>
      <c r="K440" s="9">
        <v>1</v>
      </c>
      <c r="L440" s="9">
        <v>1</v>
      </c>
      <c r="M440" s="9">
        <v>0</v>
      </c>
      <c r="N440" s="9">
        <v>0</v>
      </c>
      <c r="O440" s="9">
        <v>0</v>
      </c>
      <c r="P440" s="9">
        <v>0</v>
      </c>
      <c r="Q440" s="9">
        <v>1</v>
      </c>
      <c r="R440" s="9" t="s">
        <v>27</v>
      </c>
      <c r="S440" s="9" t="s">
        <v>28</v>
      </c>
    </row>
    <row r="441" spans="1:19" x14ac:dyDescent="0.15">
      <c r="A441" s="9">
        <v>30003</v>
      </c>
      <c r="B441" s="9">
        <v>2</v>
      </c>
      <c r="C441" s="9" t="str">
        <f t="shared" si="47"/>
        <v>30003_2</v>
      </c>
      <c r="D441" s="9" t="str">
        <f>VLOOKUP(C441,[1]stages!$A:$AE,31,FALSE)</f>
        <v>everyone</v>
      </c>
      <c r="E441" s="9">
        <v>440</v>
      </c>
      <c r="F441" s="9">
        <v>345</v>
      </c>
      <c r="G441" s="10" t="str">
        <f>IF(I441="unit",VLOOKUP(F441,[2]characters!$A:$C,3,FALSE),"-")</f>
        <v>雷のメタルチック</v>
      </c>
      <c r="H441" s="9">
        <v>56</v>
      </c>
      <c r="I441" s="9" t="s">
        <v>36</v>
      </c>
      <c r="J441" s="9">
        <v>1</v>
      </c>
      <c r="K441" s="9">
        <v>1</v>
      </c>
      <c r="L441" s="9">
        <v>1</v>
      </c>
      <c r="M441" s="9">
        <v>0</v>
      </c>
      <c r="N441" s="9">
        <v>0</v>
      </c>
      <c r="O441" s="9">
        <v>0</v>
      </c>
      <c r="P441" s="9">
        <v>0</v>
      </c>
      <c r="Q441" s="9">
        <v>1</v>
      </c>
      <c r="R441" s="9" t="s">
        <v>27</v>
      </c>
      <c r="S441" s="9" t="s">
        <v>28</v>
      </c>
    </row>
    <row r="442" spans="1:19" x14ac:dyDescent="0.15">
      <c r="A442" s="9">
        <v>30003</v>
      </c>
      <c r="B442" s="9">
        <v>2</v>
      </c>
      <c r="C442" s="9" t="str">
        <f t="shared" si="47"/>
        <v>30003_2</v>
      </c>
      <c r="D442" s="9" t="str">
        <f>VLOOKUP(C442,[1]stages!$A:$AE,31,FALSE)</f>
        <v>everyone</v>
      </c>
      <c r="E442" s="9">
        <v>441</v>
      </c>
      <c r="F442" s="9">
        <v>346</v>
      </c>
      <c r="G442" s="10" t="str">
        <f>IF(I442="unit",VLOOKUP(F442,[2]characters!$A:$C,3,FALSE),"-")</f>
        <v>雷のメタルダック</v>
      </c>
      <c r="H442" s="9">
        <v>28</v>
      </c>
      <c r="I442" s="9" t="s">
        <v>36</v>
      </c>
      <c r="J442" s="9">
        <v>1</v>
      </c>
      <c r="K442" s="9">
        <v>1</v>
      </c>
      <c r="L442" s="9">
        <v>1</v>
      </c>
      <c r="M442" s="9">
        <v>0</v>
      </c>
      <c r="N442" s="9">
        <v>0</v>
      </c>
      <c r="O442" s="9">
        <v>0</v>
      </c>
      <c r="P442" s="9">
        <v>0</v>
      </c>
      <c r="Q442" s="9">
        <v>1</v>
      </c>
      <c r="R442" s="9" t="s">
        <v>27</v>
      </c>
      <c r="S442" s="9" t="s">
        <v>28</v>
      </c>
    </row>
    <row r="443" spans="1:19" x14ac:dyDescent="0.15">
      <c r="A443" s="9">
        <v>30003</v>
      </c>
      <c r="B443" s="9">
        <v>2</v>
      </c>
      <c r="C443" s="9" t="str">
        <f t="shared" si="47"/>
        <v>30003_2</v>
      </c>
      <c r="D443" s="9" t="str">
        <f>VLOOKUP(C443,[1]stages!$A:$AE,31,FALSE)</f>
        <v>everyone</v>
      </c>
      <c r="E443" s="9">
        <v>442</v>
      </c>
      <c r="F443" s="9">
        <v>121</v>
      </c>
      <c r="G443" s="10" t="str">
        <f>IF(I443="unit",VLOOKUP(F443,[2]characters!$A:$C,3,FALSE),"-")</f>
        <v>攻めの果実</v>
      </c>
      <c r="H443" s="9">
        <v>50</v>
      </c>
      <c r="I443" s="9" t="s">
        <v>36</v>
      </c>
      <c r="J443" s="9">
        <v>1</v>
      </c>
      <c r="K443" s="9">
        <v>1</v>
      </c>
      <c r="L443" s="9">
        <v>1</v>
      </c>
      <c r="M443" s="9">
        <v>0</v>
      </c>
      <c r="N443" s="9">
        <v>0</v>
      </c>
      <c r="O443" s="9">
        <v>0</v>
      </c>
      <c r="P443" s="9">
        <v>0</v>
      </c>
      <c r="Q443" s="9">
        <v>1</v>
      </c>
      <c r="R443" s="9" t="s">
        <v>27</v>
      </c>
      <c r="S443" s="9" t="s">
        <v>28</v>
      </c>
    </row>
    <row r="444" spans="1:19" x14ac:dyDescent="0.15">
      <c r="A444" s="9">
        <v>30003</v>
      </c>
      <c r="B444" s="9">
        <v>2</v>
      </c>
      <c r="C444" s="9" t="str">
        <f t="shared" si="47"/>
        <v>30003_2</v>
      </c>
      <c r="D444" s="9" t="str">
        <f>VLOOKUP(C444,[1]stages!$A:$AE,31,FALSE)</f>
        <v>everyone</v>
      </c>
      <c r="E444" s="9">
        <v>443</v>
      </c>
      <c r="F444" s="9">
        <v>122</v>
      </c>
      <c r="G444" s="10" t="str">
        <f>IF(I444="unit",VLOOKUP(F444,[2]characters!$A:$C,3,FALSE),"-")</f>
        <v>生命の果実</v>
      </c>
      <c r="H444" s="9">
        <v>50</v>
      </c>
      <c r="I444" s="9" t="s">
        <v>36</v>
      </c>
      <c r="J444" s="9">
        <v>1</v>
      </c>
      <c r="K444" s="9">
        <v>1</v>
      </c>
      <c r="L444" s="9">
        <v>1</v>
      </c>
      <c r="M444" s="9">
        <v>0</v>
      </c>
      <c r="N444" s="9">
        <v>0</v>
      </c>
      <c r="O444" s="9">
        <v>0</v>
      </c>
      <c r="P444" s="9">
        <v>0</v>
      </c>
      <c r="Q444" s="9">
        <v>1</v>
      </c>
      <c r="R444" s="9" t="s">
        <v>27</v>
      </c>
      <c r="S444" s="9" t="s">
        <v>28</v>
      </c>
    </row>
    <row r="445" spans="1:19" x14ac:dyDescent="0.15">
      <c r="A445" s="9">
        <v>30003</v>
      </c>
      <c r="B445" s="9">
        <v>2</v>
      </c>
      <c r="C445" s="9" t="str">
        <f t="shared" si="47"/>
        <v>30003_2</v>
      </c>
      <c r="D445" s="9" t="str">
        <f>VLOOKUP(C445,[1]stages!$A:$AE,31,FALSE)</f>
        <v>everyone</v>
      </c>
      <c r="E445" s="9">
        <v>444</v>
      </c>
      <c r="F445" s="9">
        <v>123</v>
      </c>
      <c r="G445" s="10" t="str">
        <f>IF(I445="unit",VLOOKUP(F445,[2]characters!$A:$C,3,FALSE),"-")</f>
        <v>癒しの果実</v>
      </c>
      <c r="H445" s="9">
        <v>50</v>
      </c>
      <c r="I445" s="9" t="s">
        <v>36</v>
      </c>
      <c r="J445" s="9">
        <v>1</v>
      </c>
      <c r="K445" s="9">
        <v>1</v>
      </c>
      <c r="L445" s="9">
        <v>1</v>
      </c>
      <c r="M445" s="9">
        <v>0</v>
      </c>
      <c r="N445" s="9">
        <v>0</v>
      </c>
      <c r="O445" s="9">
        <v>0</v>
      </c>
      <c r="P445" s="9">
        <v>0</v>
      </c>
      <c r="Q445" s="9">
        <v>1</v>
      </c>
      <c r="R445" s="9" t="s">
        <v>27</v>
      </c>
      <c r="S445" s="9" t="s">
        <v>28</v>
      </c>
    </row>
    <row r="446" spans="1:19" x14ac:dyDescent="0.15">
      <c r="A446" s="9">
        <v>30003</v>
      </c>
      <c r="B446" s="9">
        <v>2</v>
      </c>
      <c r="C446" s="9" t="str">
        <f t="shared" si="47"/>
        <v>30003_2</v>
      </c>
      <c r="D446" s="9" t="str">
        <f>VLOOKUP(C446,[1]stages!$A:$AE,31,FALSE)</f>
        <v>everyone</v>
      </c>
      <c r="E446" s="9">
        <v>445</v>
      </c>
      <c r="F446" s="9">
        <v>125</v>
      </c>
      <c r="G446" s="10" t="str">
        <f>IF(I446="unit",VLOOKUP(F446,[2]characters!$A:$C,3,FALSE),"-")</f>
        <v>秘術の果実</v>
      </c>
      <c r="H446" s="9">
        <v>10</v>
      </c>
      <c r="I446" s="9" t="s">
        <v>36</v>
      </c>
      <c r="J446" s="9">
        <v>1</v>
      </c>
      <c r="K446" s="9">
        <v>1</v>
      </c>
      <c r="L446" s="9">
        <v>1</v>
      </c>
      <c r="M446" s="9">
        <v>0</v>
      </c>
      <c r="N446" s="9">
        <v>0</v>
      </c>
      <c r="O446" s="9">
        <v>0</v>
      </c>
      <c r="P446" s="9">
        <v>0</v>
      </c>
      <c r="Q446" s="9">
        <v>1</v>
      </c>
      <c r="R446" s="9" t="s">
        <v>27</v>
      </c>
      <c r="S446" s="9" t="s">
        <v>28</v>
      </c>
    </row>
    <row r="447" spans="1:19" x14ac:dyDescent="0.15">
      <c r="A447" s="9">
        <v>30003</v>
      </c>
      <c r="B447" s="9">
        <v>2</v>
      </c>
      <c r="C447" s="9" t="str">
        <f t="shared" si="47"/>
        <v>30003_2</v>
      </c>
      <c r="D447" s="9" t="str">
        <f>VLOOKUP(C447,[1]stages!$A:$AE,31,FALSE)</f>
        <v>everyone</v>
      </c>
      <c r="E447" s="9">
        <v>446</v>
      </c>
      <c r="F447" s="9">
        <v>274</v>
      </c>
      <c r="G447" s="10" t="str">
        <f>IF(I447="unit",VLOOKUP(F447,[2]characters!$A:$C,3,FALSE),"-")</f>
        <v>砕棒のガエル</v>
      </c>
      <c r="H447" s="9">
        <v>250</v>
      </c>
      <c r="I447" s="9" t="s">
        <v>36</v>
      </c>
      <c r="J447" s="9">
        <v>1</v>
      </c>
      <c r="K447" s="9">
        <v>1</v>
      </c>
      <c r="L447" s="9">
        <v>1</v>
      </c>
      <c r="M447" s="9">
        <v>0</v>
      </c>
      <c r="N447" s="9">
        <v>0</v>
      </c>
      <c r="O447" s="9">
        <v>0</v>
      </c>
      <c r="P447" s="9">
        <v>0</v>
      </c>
      <c r="Q447" s="9">
        <v>1</v>
      </c>
      <c r="R447" s="9" t="s">
        <v>27</v>
      </c>
      <c r="S447" s="9" t="s">
        <v>28</v>
      </c>
    </row>
    <row r="448" spans="1:19" x14ac:dyDescent="0.15">
      <c r="A448" s="9">
        <v>30003</v>
      </c>
      <c r="B448" s="9">
        <v>2</v>
      </c>
      <c r="C448" s="9" t="str">
        <f t="shared" si="47"/>
        <v>30003_2</v>
      </c>
      <c r="D448" s="9" t="str">
        <f>VLOOKUP(C448,[1]stages!$A:$AE,31,FALSE)</f>
        <v>everyone</v>
      </c>
      <c r="E448" s="9">
        <v>447</v>
      </c>
      <c r="F448" s="9">
        <v>354</v>
      </c>
      <c r="G448" s="10" t="str">
        <f>IF(I448="unit",VLOOKUP(F448,[2]characters!$A:$C,3,FALSE),"-")</f>
        <v>雷のケロケロ</v>
      </c>
      <c r="H448" s="9">
        <v>100</v>
      </c>
      <c r="I448" s="9" t="s">
        <v>36</v>
      </c>
      <c r="J448" s="9">
        <v>1</v>
      </c>
      <c r="K448" s="9">
        <v>1</v>
      </c>
      <c r="L448" s="9">
        <v>1</v>
      </c>
      <c r="M448" s="9">
        <v>0</v>
      </c>
      <c r="N448" s="9">
        <v>0</v>
      </c>
      <c r="O448" s="9">
        <v>0</v>
      </c>
      <c r="P448" s="9">
        <v>0</v>
      </c>
      <c r="Q448" s="9">
        <v>1</v>
      </c>
      <c r="R448" s="9" t="s">
        <v>27</v>
      </c>
      <c r="S448" s="9" t="s">
        <v>28</v>
      </c>
    </row>
    <row r="449" spans="1:19" x14ac:dyDescent="0.15">
      <c r="A449" s="9">
        <v>30003</v>
      </c>
      <c r="B449" s="9">
        <v>3</v>
      </c>
      <c r="C449" s="9" t="str">
        <f>A449&amp; "_"&amp;B449</f>
        <v>30003_3</v>
      </c>
      <c r="D449" s="9" t="str">
        <f>VLOOKUP(C449,[1]stages!$A:$AE,31,FALSE)</f>
        <v>everyone</v>
      </c>
      <c r="E449" s="9">
        <v>448</v>
      </c>
      <c r="F449" s="9">
        <v>6500</v>
      </c>
      <c r="G449" s="10" t="str">
        <f>IF(I449="unit",VLOOKUP(F449,[2]characters!$A:$C,3,FALSE),"-")</f>
        <v>-</v>
      </c>
      <c r="H449" s="9">
        <v>100</v>
      </c>
      <c r="I449" s="9" t="s">
        <v>32</v>
      </c>
      <c r="J449" s="9" t="s">
        <v>33</v>
      </c>
      <c r="K449" s="9">
        <v>1</v>
      </c>
      <c r="L449" s="9">
        <v>1</v>
      </c>
      <c r="M449" s="9">
        <v>0</v>
      </c>
      <c r="N449" s="9">
        <v>0</v>
      </c>
      <c r="O449" s="9">
        <v>0</v>
      </c>
      <c r="P449" s="9">
        <v>0</v>
      </c>
      <c r="Q449" s="9">
        <v>1</v>
      </c>
      <c r="R449" s="9" t="s">
        <v>27</v>
      </c>
      <c r="S449" s="9" t="s">
        <v>28</v>
      </c>
    </row>
    <row r="450" spans="1:19" x14ac:dyDescent="0.15">
      <c r="A450" s="9">
        <v>30003</v>
      </c>
      <c r="B450" s="9">
        <v>3</v>
      </c>
      <c r="C450" s="9" t="str">
        <f t="shared" ref="C450:C459" si="48">A450&amp; "_"&amp;B450</f>
        <v>30003_3</v>
      </c>
      <c r="D450" s="9" t="str">
        <f>VLOOKUP(C450,[1]stages!$A:$AE,31,FALSE)</f>
        <v>everyone</v>
      </c>
      <c r="E450" s="9">
        <v>449</v>
      </c>
      <c r="F450" s="9">
        <v>25</v>
      </c>
      <c r="G450" s="10" t="str">
        <f>IF(I450="unit",VLOOKUP(F450,[2]characters!$A:$C,3,FALSE),"-")</f>
        <v>-</v>
      </c>
      <c r="H450" s="9">
        <v>100</v>
      </c>
      <c r="I450" s="9" t="s">
        <v>35</v>
      </c>
      <c r="J450" s="9" t="s">
        <v>33</v>
      </c>
      <c r="K450" s="9">
        <v>1</v>
      </c>
      <c r="L450" s="9">
        <v>1</v>
      </c>
      <c r="M450" s="9">
        <v>0</v>
      </c>
      <c r="N450" s="9">
        <v>0</v>
      </c>
      <c r="O450" s="9">
        <v>0</v>
      </c>
      <c r="P450" s="9">
        <v>0</v>
      </c>
      <c r="Q450" s="9">
        <v>1</v>
      </c>
      <c r="R450" s="9" t="s">
        <v>27</v>
      </c>
      <c r="S450" s="9" t="s">
        <v>28</v>
      </c>
    </row>
    <row r="451" spans="1:19" x14ac:dyDescent="0.15">
      <c r="A451" s="9">
        <v>30003</v>
      </c>
      <c r="B451" s="9">
        <v>3</v>
      </c>
      <c r="C451" s="9" t="str">
        <f t="shared" si="48"/>
        <v>30003_3</v>
      </c>
      <c r="D451" s="9" t="str">
        <f>VLOOKUP(C451,[1]stages!$A:$AE,31,FALSE)</f>
        <v>everyone</v>
      </c>
      <c r="E451" s="9">
        <v>450</v>
      </c>
      <c r="F451" s="9">
        <v>344</v>
      </c>
      <c r="G451" s="10" t="str">
        <f>IF(I451="unit",VLOOKUP(F451,[2]characters!$A:$C,3,FALSE),"-")</f>
        <v>雷のメタルピヨピヨ</v>
      </c>
      <c r="H451" s="9">
        <v>28</v>
      </c>
      <c r="I451" s="9" t="s">
        <v>36</v>
      </c>
      <c r="J451" s="9">
        <v>1</v>
      </c>
      <c r="K451" s="9">
        <v>1</v>
      </c>
      <c r="L451" s="9">
        <v>1</v>
      </c>
      <c r="M451" s="9">
        <v>0</v>
      </c>
      <c r="N451" s="9">
        <v>0</v>
      </c>
      <c r="O451" s="9">
        <v>0</v>
      </c>
      <c r="P451" s="9">
        <v>0</v>
      </c>
      <c r="Q451" s="9">
        <v>1</v>
      </c>
      <c r="R451" s="9" t="s">
        <v>27</v>
      </c>
      <c r="S451" s="9" t="s">
        <v>28</v>
      </c>
    </row>
    <row r="452" spans="1:19" x14ac:dyDescent="0.15">
      <c r="A452" s="9">
        <v>30003</v>
      </c>
      <c r="B452" s="9">
        <v>3</v>
      </c>
      <c r="C452" s="9" t="str">
        <f t="shared" si="48"/>
        <v>30003_3</v>
      </c>
      <c r="D452" s="9" t="str">
        <f>VLOOKUP(C452,[1]stages!$A:$AE,31,FALSE)</f>
        <v>everyone</v>
      </c>
      <c r="E452" s="9">
        <v>451</v>
      </c>
      <c r="F452" s="9">
        <v>345</v>
      </c>
      <c r="G452" s="10" t="str">
        <f>IF(I452="unit",VLOOKUP(F452,[2]characters!$A:$C,3,FALSE),"-")</f>
        <v>雷のメタルチック</v>
      </c>
      <c r="H452" s="9">
        <v>56</v>
      </c>
      <c r="I452" s="9" t="s">
        <v>36</v>
      </c>
      <c r="J452" s="9">
        <v>1</v>
      </c>
      <c r="K452" s="9">
        <v>1</v>
      </c>
      <c r="L452" s="9">
        <v>1</v>
      </c>
      <c r="M452" s="9">
        <v>0</v>
      </c>
      <c r="N452" s="9">
        <v>0</v>
      </c>
      <c r="O452" s="9">
        <v>0</v>
      </c>
      <c r="P452" s="9">
        <v>0</v>
      </c>
      <c r="Q452" s="9">
        <v>1</v>
      </c>
      <c r="R452" s="9" t="s">
        <v>27</v>
      </c>
      <c r="S452" s="9" t="s">
        <v>28</v>
      </c>
    </row>
    <row r="453" spans="1:19" x14ac:dyDescent="0.15">
      <c r="A453" s="9">
        <v>30003</v>
      </c>
      <c r="B453" s="9">
        <v>3</v>
      </c>
      <c r="C453" s="9" t="str">
        <f t="shared" si="48"/>
        <v>30003_3</v>
      </c>
      <c r="D453" s="9" t="str">
        <f>VLOOKUP(C453,[1]stages!$A:$AE,31,FALSE)</f>
        <v>everyone</v>
      </c>
      <c r="E453" s="9">
        <v>452</v>
      </c>
      <c r="F453" s="9">
        <v>346</v>
      </c>
      <c r="G453" s="10" t="str">
        <f>IF(I453="unit",VLOOKUP(F453,[2]characters!$A:$C,3,FALSE),"-")</f>
        <v>雷のメタルダック</v>
      </c>
      <c r="H453" s="9">
        <v>56</v>
      </c>
      <c r="I453" s="9" t="s">
        <v>36</v>
      </c>
      <c r="J453" s="9">
        <v>1</v>
      </c>
      <c r="K453" s="9">
        <v>1</v>
      </c>
      <c r="L453" s="9">
        <v>1</v>
      </c>
      <c r="M453" s="9">
        <v>0</v>
      </c>
      <c r="N453" s="9">
        <v>0</v>
      </c>
      <c r="O453" s="9">
        <v>0</v>
      </c>
      <c r="P453" s="9">
        <v>0</v>
      </c>
      <c r="Q453" s="9">
        <v>1</v>
      </c>
      <c r="R453" s="9" t="s">
        <v>27</v>
      </c>
      <c r="S453" s="9" t="s">
        <v>28</v>
      </c>
    </row>
    <row r="454" spans="1:19" x14ac:dyDescent="0.15">
      <c r="A454" s="9">
        <v>30003</v>
      </c>
      <c r="B454" s="9">
        <v>3</v>
      </c>
      <c r="C454" s="9" t="str">
        <f t="shared" si="48"/>
        <v>30003_3</v>
      </c>
      <c r="D454" s="9" t="str">
        <f>VLOOKUP(C454,[1]stages!$A:$AE,31,FALSE)</f>
        <v>everyone</v>
      </c>
      <c r="E454" s="9">
        <v>453</v>
      </c>
      <c r="F454" s="9">
        <v>121</v>
      </c>
      <c r="G454" s="10" t="str">
        <f>IF(I454="unit",VLOOKUP(F454,[2]characters!$A:$C,3,FALSE),"-")</f>
        <v>攻めの果実</v>
      </c>
      <c r="H454" s="9">
        <v>50</v>
      </c>
      <c r="I454" s="9" t="s">
        <v>36</v>
      </c>
      <c r="J454" s="9">
        <v>1</v>
      </c>
      <c r="K454" s="9">
        <v>1</v>
      </c>
      <c r="L454" s="9">
        <v>1</v>
      </c>
      <c r="M454" s="9">
        <v>0</v>
      </c>
      <c r="N454" s="9">
        <v>0</v>
      </c>
      <c r="O454" s="9">
        <v>0</v>
      </c>
      <c r="P454" s="9">
        <v>0</v>
      </c>
      <c r="Q454" s="9">
        <v>1</v>
      </c>
      <c r="R454" s="9" t="s">
        <v>27</v>
      </c>
      <c r="S454" s="9" t="s">
        <v>28</v>
      </c>
    </row>
    <row r="455" spans="1:19" x14ac:dyDescent="0.15">
      <c r="A455" s="9">
        <v>30003</v>
      </c>
      <c r="B455" s="9">
        <v>3</v>
      </c>
      <c r="C455" s="9" t="str">
        <f t="shared" si="48"/>
        <v>30003_3</v>
      </c>
      <c r="D455" s="9" t="str">
        <f>VLOOKUP(C455,[1]stages!$A:$AE,31,FALSE)</f>
        <v>everyone</v>
      </c>
      <c r="E455" s="9">
        <v>454</v>
      </c>
      <c r="F455" s="9">
        <v>122</v>
      </c>
      <c r="G455" s="10" t="str">
        <f>IF(I455="unit",VLOOKUP(F455,[2]characters!$A:$C,3,FALSE),"-")</f>
        <v>生命の果実</v>
      </c>
      <c r="H455" s="9">
        <v>50</v>
      </c>
      <c r="I455" s="9" t="s">
        <v>36</v>
      </c>
      <c r="J455" s="9">
        <v>1</v>
      </c>
      <c r="K455" s="9">
        <v>1</v>
      </c>
      <c r="L455" s="9">
        <v>1</v>
      </c>
      <c r="M455" s="9">
        <v>0</v>
      </c>
      <c r="N455" s="9">
        <v>0</v>
      </c>
      <c r="O455" s="9">
        <v>0</v>
      </c>
      <c r="P455" s="9">
        <v>0</v>
      </c>
      <c r="Q455" s="9">
        <v>1</v>
      </c>
      <c r="R455" s="9" t="s">
        <v>27</v>
      </c>
      <c r="S455" s="9" t="s">
        <v>28</v>
      </c>
    </row>
    <row r="456" spans="1:19" x14ac:dyDescent="0.15">
      <c r="A456" s="9">
        <v>30003</v>
      </c>
      <c r="B456" s="9">
        <v>3</v>
      </c>
      <c r="C456" s="9" t="str">
        <f t="shared" si="48"/>
        <v>30003_3</v>
      </c>
      <c r="D456" s="9" t="str">
        <f>VLOOKUP(C456,[1]stages!$A:$AE,31,FALSE)</f>
        <v>everyone</v>
      </c>
      <c r="E456" s="9">
        <v>455</v>
      </c>
      <c r="F456" s="9">
        <v>123</v>
      </c>
      <c r="G456" s="10" t="str">
        <f>IF(I456="unit",VLOOKUP(F456,[2]characters!$A:$C,3,FALSE),"-")</f>
        <v>癒しの果実</v>
      </c>
      <c r="H456" s="9">
        <v>50</v>
      </c>
      <c r="I456" s="9" t="s">
        <v>36</v>
      </c>
      <c r="J456" s="9">
        <v>1</v>
      </c>
      <c r="K456" s="9">
        <v>1</v>
      </c>
      <c r="L456" s="9">
        <v>1</v>
      </c>
      <c r="M456" s="9">
        <v>0</v>
      </c>
      <c r="N456" s="9">
        <v>0</v>
      </c>
      <c r="O456" s="9">
        <v>0</v>
      </c>
      <c r="P456" s="9">
        <v>0</v>
      </c>
      <c r="Q456" s="9">
        <v>1</v>
      </c>
      <c r="R456" s="9" t="s">
        <v>27</v>
      </c>
      <c r="S456" s="9" t="s">
        <v>28</v>
      </c>
    </row>
    <row r="457" spans="1:19" x14ac:dyDescent="0.15">
      <c r="A457" s="9">
        <v>30003</v>
      </c>
      <c r="B457" s="9">
        <v>3</v>
      </c>
      <c r="C457" s="9" t="str">
        <f t="shared" si="48"/>
        <v>30003_3</v>
      </c>
      <c r="D457" s="9" t="str">
        <f>VLOOKUP(C457,[1]stages!$A:$AE,31,FALSE)</f>
        <v>everyone</v>
      </c>
      <c r="E457" s="9">
        <v>456</v>
      </c>
      <c r="F457" s="9">
        <v>125</v>
      </c>
      <c r="G457" s="10" t="str">
        <f>IF(I457="unit",VLOOKUP(F457,[2]characters!$A:$C,3,FALSE),"-")</f>
        <v>秘術の果実</v>
      </c>
      <c r="H457" s="9">
        <v>10</v>
      </c>
      <c r="I457" s="9" t="s">
        <v>36</v>
      </c>
      <c r="J457" s="9">
        <v>1</v>
      </c>
      <c r="K457" s="9">
        <v>1</v>
      </c>
      <c r="L457" s="9">
        <v>1</v>
      </c>
      <c r="M457" s="9">
        <v>0</v>
      </c>
      <c r="N457" s="9">
        <v>0</v>
      </c>
      <c r="O457" s="9">
        <v>0</v>
      </c>
      <c r="P457" s="9">
        <v>0</v>
      </c>
      <c r="Q457" s="9">
        <v>1</v>
      </c>
      <c r="R457" s="9" t="s">
        <v>27</v>
      </c>
      <c r="S457" s="9" t="s">
        <v>28</v>
      </c>
    </row>
    <row r="458" spans="1:19" x14ac:dyDescent="0.15">
      <c r="A458" s="9">
        <v>30003</v>
      </c>
      <c r="B458" s="9">
        <v>3</v>
      </c>
      <c r="C458" s="9" t="str">
        <f t="shared" si="48"/>
        <v>30003_3</v>
      </c>
      <c r="D458" s="9" t="str">
        <f>VLOOKUP(C458,[1]stages!$A:$AE,31,FALSE)</f>
        <v>everyone</v>
      </c>
      <c r="E458" s="9">
        <v>457</v>
      </c>
      <c r="F458" s="9">
        <v>274</v>
      </c>
      <c r="G458" s="10" t="str">
        <f>IF(I458="unit",VLOOKUP(F458,[2]characters!$A:$C,3,FALSE),"-")</f>
        <v>砕棒のガエル</v>
      </c>
      <c r="H458" s="9">
        <v>400</v>
      </c>
      <c r="I458" s="9" t="s">
        <v>36</v>
      </c>
      <c r="J458" s="9">
        <v>1</v>
      </c>
      <c r="K458" s="9">
        <v>1</v>
      </c>
      <c r="L458" s="9">
        <v>1</v>
      </c>
      <c r="M458" s="9">
        <v>0</v>
      </c>
      <c r="N458" s="9">
        <v>0</v>
      </c>
      <c r="O458" s="9">
        <v>0</v>
      </c>
      <c r="P458" s="9">
        <v>0</v>
      </c>
      <c r="Q458" s="9">
        <v>1</v>
      </c>
      <c r="R458" s="9" t="s">
        <v>27</v>
      </c>
      <c r="S458" s="9" t="s">
        <v>28</v>
      </c>
    </row>
    <row r="459" spans="1:19" x14ac:dyDescent="0.15">
      <c r="A459" s="9">
        <v>30003</v>
      </c>
      <c r="B459" s="9">
        <v>3</v>
      </c>
      <c r="C459" s="9" t="str">
        <f t="shared" si="48"/>
        <v>30003_3</v>
      </c>
      <c r="D459" s="9" t="str">
        <f>VLOOKUP(C459,[1]stages!$A:$AE,31,FALSE)</f>
        <v>everyone</v>
      </c>
      <c r="E459" s="9">
        <v>458</v>
      </c>
      <c r="F459" s="9">
        <v>354</v>
      </c>
      <c r="G459" s="10" t="str">
        <f>IF(I459="unit",VLOOKUP(F459,[2]characters!$A:$C,3,FALSE),"-")</f>
        <v>雷のケロケロ</v>
      </c>
      <c r="H459" s="9">
        <v>100</v>
      </c>
      <c r="I459" s="9" t="s">
        <v>36</v>
      </c>
      <c r="J459" s="9">
        <v>1</v>
      </c>
      <c r="K459" s="9">
        <v>1</v>
      </c>
      <c r="L459" s="9">
        <v>1</v>
      </c>
      <c r="M459" s="9">
        <v>0</v>
      </c>
      <c r="N459" s="9">
        <v>0</v>
      </c>
      <c r="O459" s="9">
        <v>0</v>
      </c>
      <c r="P459" s="9">
        <v>0</v>
      </c>
      <c r="Q459" s="9">
        <v>1</v>
      </c>
      <c r="R459" s="9" t="s">
        <v>27</v>
      </c>
      <c r="S459" s="9" t="s">
        <v>28</v>
      </c>
    </row>
    <row r="460" spans="1:19" x14ac:dyDescent="0.15">
      <c r="A460" s="10">
        <v>30004</v>
      </c>
      <c r="B460" s="10">
        <v>1</v>
      </c>
      <c r="C460" s="10" t="str">
        <f>A460&amp; "_"&amp;B460</f>
        <v>30004_1</v>
      </c>
      <c r="D460" s="10" t="str">
        <f>VLOOKUP(C460,[1]stages!$A:$AE,31,FALSE)</f>
        <v>everyone</v>
      </c>
      <c r="E460" s="10">
        <v>459</v>
      </c>
      <c r="F460" s="10">
        <v>3200</v>
      </c>
      <c r="G460" s="10" t="str">
        <f>IF(I460="unit",VLOOKUP(F460,[2]characters!$A:$C,3,FALSE),"-")</f>
        <v>-</v>
      </c>
      <c r="H460" s="10">
        <v>200</v>
      </c>
      <c r="I460" s="10" t="s">
        <v>32</v>
      </c>
      <c r="J460" s="10" t="s">
        <v>33</v>
      </c>
      <c r="K460" s="10">
        <v>1</v>
      </c>
      <c r="L460" s="10">
        <v>1</v>
      </c>
      <c r="M460" s="10">
        <v>0</v>
      </c>
      <c r="N460" s="10">
        <v>0</v>
      </c>
      <c r="O460" s="10">
        <v>0</v>
      </c>
      <c r="P460" s="10">
        <v>0</v>
      </c>
      <c r="Q460" s="10">
        <v>1</v>
      </c>
      <c r="R460" s="10" t="s">
        <v>27</v>
      </c>
      <c r="S460" s="10" t="s">
        <v>28</v>
      </c>
    </row>
    <row r="461" spans="1:19" x14ac:dyDescent="0.15">
      <c r="A461" s="10">
        <v>30004</v>
      </c>
      <c r="B461" s="10">
        <v>1</v>
      </c>
      <c r="C461" s="10" t="str">
        <f t="shared" ref="C461:C469" si="49">A461&amp; "_"&amp;B461</f>
        <v>30004_1</v>
      </c>
      <c r="D461" s="10" t="str">
        <f>VLOOKUP(C461,[1]stages!$A:$AE,31,FALSE)</f>
        <v>everyone</v>
      </c>
      <c r="E461" s="10">
        <v>460</v>
      </c>
      <c r="F461" s="10">
        <v>20</v>
      </c>
      <c r="G461" s="10" t="str">
        <f>IF(I461="unit",VLOOKUP(F461,[2]characters!$A:$C,3,FALSE),"-")</f>
        <v>-</v>
      </c>
      <c r="H461" s="10">
        <v>200</v>
      </c>
      <c r="I461" s="10" t="s">
        <v>35</v>
      </c>
      <c r="J461" s="10" t="s">
        <v>33</v>
      </c>
      <c r="K461" s="10">
        <v>1</v>
      </c>
      <c r="L461" s="10">
        <v>1</v>
      </c>
      <c r="M461" s="10">
        <v>0</v>
      </c>
      <c r="N461" s="10">
        <v>0</v>
      </c>
      <c r="O461" s="10">
        <v>0</v>
      </c>
      <c r="P461" s="10">
        <v>0</v>
      </c>
      <c r="Q461" s="10">
        <v>1</v>
      </c>
      <c r="R461" s="10" t="s">
        <v>27</v>
      </c>
      <c r="S461" s="10" t="s">
        <v>28</v>
      </c>
    </row>
    <row r="462" spans="1:19" x14ac:dyDescent="0.15">
      <c r="A462" s="10">
        <v>30004</v>
      </c>
      <c r="B462" s="10">
        <v>1</v>
      </c>
      <c r="C462" s="10" t="str">
        <f t="shared" si="49"/>
        <v>30004_1</v>
      </c>
      <c r="D462" s="10" t="str">
        <f>VLOOKUP(C462,[1]stages!$A:$AE,31,FALSE)</f>
        <v>everyone</v>
      </c>
      <c r="E462" s="10">
        <v>461</v>
      </c>
      <c r="F462" s="10">
        <v>332</v>
      </c>
      <c r="G462" s="10" t="str">
        <f>IF(I462="unit",VLOOKUP(F462,[2]characters!$A:$C,3,FALSE),"-")</f>
        <v>炎のメタルピヨピヨ</v>
      </c>
      <c r="H462" s="10">
        <v>70</v>
      </c>
      <c r="I462" s="10" t="s">
        <v>36</v>
      </c>
      <c r="J462" s="10">
        <v>1</v>
      </c>
      <c r="K462" s="10">
        <v>1</v>
      </c>
      <c r="L462" s="10">
        <v>1</v>
      </c>
      <c r="M462" s="10">
        <v>0</v>
      </c>
      <c r="N462" s="10">
        <v>0</v>
      </c>
      <c r="O462" s="10">
        <v>0</v>
      </c>
      <c r="P462" s="10">
        <v>0</v>
      </c>
      <c r="Q462" s="10">
        <v>1</v>
      </c>
      <c r="R462" s="10" t="s">
        <v>27</v>
      </c>
      <c r="S462" s="10" t="s">
        <v>28</v>
      </c>
    </row>
    <row r="463" spans="1:19" x14ac:dyDescent="0.15">
      <c r="A463" s="10">
        <v>30004</v>
      </c>
      <c r="B463" s="10">
        <v>1</v>
      </c>
      <c r="C463" s="10" t="str">
        <f t="shared" si="49"/>
        <v>30004_1</v>
      </c>
      <c r="D463" s="10" t="str">
        <f>VLOOKUP(C463,[1]stages!$A:$AE,31,FALSE)</f>
        <v>everyone</v>
      </c>
      <c r="E463" s="10">
        <v>462</v>
      </c>
      <c r="F463" s="10">
        <v>333</v>
      </c>
      <c r="G463" s="10" t="str">
        <f>IF(I463="unit",VLOOKUP(F463,[2]characters!$A:$C,3,FALSE),"-")</f>
        <v>炎のメタルチック</v>
      </c>
      <c r="H463" s="10">
        <v>70</v>
      </c>
      <c r="I463" s="10" t="s">
        <v>36</v>
      </c>
      <c r="J463" s="10">
        <v>1</v>
      </c>
      <c r="K463" s="10">
        <v>1</v>
      </c>
      <c r="L463" s="10">
        <v>1</v>
      </c>
      <c r="M463" s="10">
        <v>0</v>
      </c>
      <c r="N463" s="10">
        <v>0</v>
      </c>
      <c r="O463" s="10">
        <v>0</v>
      </c>
      <c r="P463" s="10">
        <v>0</v>
      </c>
      <c r="Q463" s="10">
        <v>1</v>
      </c>
      <c r="R463" s="10" t="s">
        <v>27</v>
      </c>
      <c r="S463" s="10" t="s">
        <v>28</v>
      </c>
    </row>
    <row r="464" spans="1:19" x14ac:dyDescent="0.15">
      <c r="A464" s="10">
        <v>30004</v>
      </c>
      <c r="B464" s="10">
        <v>1</v>
      </c>
      <c r="C464" s="10" t="str">
        <f t="shared" si="49"/>
        <v>30004_1</v>
      </c>
      <c r="D464" s="10" t="str">
        <f>VLOOKUP(C464,[1]stages!$A:$AE,31,FALSE)</f>
        <v>everyone</v>
      </c>
      <c r="E464" s="10">
        <v>463</v>
      </c>
      <c r="F464" s="10">
        <v>121</v>
      </c>
      <c r="G464" s="10" t="str">
        <f>IF(I464="unit",VLOOKUP(F464,[2]characters!$A:$C,3,FALSE),"-")</f>
        <v>攻めの果実</v>
      </c>
      <c r="H464" s="10">
        <v>50</v>
      </c>
      <c r="I464" s="10" t="s">
        <v>36</v>
      </c>
      <c r="J464" s="10">
        <v>1</v>
      </c>
      <c r="K464" s="10">
        <v>1</v>
      </c>
      <c r="L464" s="10">
        <v>1</v>
      </c>
      <c r="M464" s="10">
        <v>0</v>
      </c>
      <c r="N464" s="10">
        <v>0</v>
      </c>
      <c r="O464" s="10">
        <v>0</v>
      </c>
      <c r="P464" s="10">
        <v>0</v>
      </c>
      <c r="Q464" s="10">
        <v>1</v>
      </c>
      <c r="R464" s="10" t="s">
        <v>27</v>
      </c>
      <c r="S464" s="10" t="s">
        <v>28</v>
      </c>
    </row>
    <row r="465" spans="1:19" x14ac:dyDescent="0.15">
      <c r="A465" s="10">
        <v>30004</v>
      </c>
      <c r="B465" s="10">
        <v>1</v>
      </c>
      <c r="C465" s="10" t="str">
        <f t="shared" si="49"/>
        <v>30004_1</v>
      </c>
      <c r="D465" s="10" t="str">
        <f>VLOOKUP(C465,[1]stages!$A:$AE,31,FALSE)</f>
        <v>everyone</v>
      </c>
      <c r="E465" s="10">
        <v>464</v>
      </c>
      <c r="F465" s="10">
        <v>122</v>
      </c>
      <c r="G465" s="10" t="str">
        <f>IF(I465="unit",VLOOKUP(F465,[2]characters!$A:$C,3,FALSE),"-")</f>
        <v>生命の果実</v>
      </c>
      <c r="H465" s="10">
        <v>50</v>
      </c>
      <c r="I465" s="10" t="s">
        <v>36</v>
      </c>
      <c r="J465" s="10">
        <v>1</v>
      </c>
      <c r="K465" s="10">
        <v>1</v>
      </c>
      <c r="L465" s="10">
        <v>1</v>
      </c>
      <c r="M465" s="10">
        <v>0</v>
      </c>
      <c r="N465" s="10">
        <v>0</v>
      </c>
      <c r="O465" s="10">
        <v>0</v>
      </c>
      <c r="P465" s="10">
        <v>0</v>
      </c>
      <c r="Q465" s="10">
        <v>1</v>
      </c>
      <c r="R465" s="10" t="s">
        <v>27</v>
      </c>
      <c r="S465" s="10" t="s">
        <v>28</v>
      </c>
    </row>
    <row r="466" spans="1:19" x14ac:dyDescent="0.15">
      <c r="A466" s="10">
        <v>30004</v>
      </c>
      <c r="B466" s="10">
        <v>1</v>
      </c>
      <c r="C466" s="10" t="str">
        <f t="shared" si="49"/>
        <v>30004_1</v>
      </c>
      <c r="D466" s="10" t="str">
        <f>VLOOKUP(C466,[1]stages!$A:$AE,31,FALSE)</f>
        <v>everyone</v>
      </c>
      <c r="E466" s="10">
        <v>465</v>
      </c>
      <c r="F466" s="10">
        <v>123</v>
      </c>
      <c r="G466" s="10" t="str">
        <f>IF(I466="unit",VLOOKUP(F466,[2]characters!$A:$C,3,FALSE),"-")</f>
        <v>癒しの果実</v>
      </c>
      <c r="H466" s="10">
        <v>50</v>
      </c>
      <c r="I466" s="10" t="s">
        <v>36</v>
      </c>
      <c r="J466" s="10">
        <v>1</v>
      </c>
      <c r="K466" s="10">
        <v>1</v>
      </c>
      <c r="L466" s="10">
        <v>1</v>
      </c>
      <c r="M466" s="10">
        <v>0</v>
      </c>
      <c r="N466" s="10">
        <v>0</v>
      </c>
      <c r="O466" s="10">
        <v>0</v>
      </c>
      <c r="P466" s="10">
        <v>0</v>
      </c>
      <c r="Q466" s="10">
        <v>1</v>
      </c>
      <c r="R466" s="10" t="s">
        <v>27</v>
      </c>
      <c r="S466" s="10" t="s">
        <v>28</v>
      </c>
    </row>
    <row r="467" spans="1:19" x14ac:dyDescent="0.15">
      <c r="A467" s="10">
        <v>30004</v>
      </c>
      <c r="B467" s="10">
        <v>1</v>
      </c>
      <c r="C467" s="10" t="str">
        <f t="shared" si="49"/>
        <v>30004_1</v>
      </c>
      <c r="D467" s="10" t="str">
        <f>VLOOKUP(C467,[1]stages!$A:$AE,31,FALSE)</f>
        <v>everyone</v>
      </c>
      <c r="E467" s="10">
        <v>466</v>
      </c>
      <c r="F467" s="10">
        <v>125</v>
      </c>
      <c r="G467" s="10" t="str">
        <f>IF(I467="unit",VLOOKUP(F467,[2]characters!$A:$C,3,FALSE),"-")</f>
        <v>秘術の果実</v>
      </c>
      <c r="H467" s="10">
        <v>10</v>
      </c>
      <c r="I467" s="10" t="s">
        <v>36</v>
      </c>
      <c r="J467" s="10">
        <v>1</v>
      </c>
      <c r="K467" s="10">
        <v>1</v>
      </c>
      <c r="L467" s="10">
        <v>1</v>
      </c>
      <c r="M467" s="10">
        <v>0</v>
      </c>
      <c r="N467" s="10">
        <v>0</v>
      </c>
      <c r="O467" s="10">
        <v>0</v>
      </c>
      <c r="P467" s="10">
        <v>0</v>
      </c>
      <c r="Q467" s="10">
        <v>1</v>
      </c>
      <c r="R467" s="10" t="s">
        <v>27</v>
      </c>
      <c r="S467" s="10" t="s">
        <v>28</v>
      </c>
    </row>
    <row r="468" spans="1:19" x14ac:dyDescent="0.15">
      <c r="A468" s="10">
        <v>30004</v>
      </c>
      <c r="B468" s="10">
        <v>1</v>
      </c>
      <c r="C468" s="10" t="str">
        <f t="shared" si="49"/>
        <v>30004_1</v>
      </c>
      <c r="D468" s="10" t="str">
        <f>VLOOKUP(C468,[1]stages!$A:$AE,31,FALSE)</f>
        <v>everyone</v>
      </c>
      <c r="E468" s="10">
        <v>467</v>
      </c>
      <c r="F468" s="10">
        <v>276</v>
      </c>
      <c r="G468" s="10" t="str">
        <f>IF(I468="unit",VLOOKUP(F468,[2]characters!$A:$C,3,FALSE),"-")</f>
        <v>機拳のイリア</v>
      </c>
      <c r="H468" s="10">
        <v>200</v>
      </c>
      <c r="I468" s="10" t="s">
        <v>36</v>
      </c>
      <c r="J468" s="10">
        <v>1</v>
      </c>
      <c r="K468" s="10">
        <v>1</v>
      </c>
      <c r="L468" s="10">
        <v>1</v>
      </c>
      <c r="M468" s="10">
        <v>0</v>
      </c>
      <c r="N468" s="10">
        <v>0</v>
      </c>
      <c r="O468" s="10">
        <v>0</v>
      </c>
      <c r="P468" s="10">
        <v>0</v>
      </c>
      <c r="Q468" s="10">
        <v>1</v>
      </c>
      <c r="R468" s="10" t="s">
        <v>27</v>
      </c>
      <c r="S468" s="10" t="s">
        <v>28</v>
      </c>
    </row>
    <row r="469" spans="1:19" x14ac:dyDescent="0.15">
      <c r="A469" s="10">
        <v>30004</v>
      </c>
      <c r="B469" s="10">
        <v>1</v>
      </c>
      <c r="C469" s="10" t="str">
        <f t="shared" si="49"/>
        <v>30004_1</v>
      </c>
      <c r="D469" s="10" t="str">
        <f>VLOOKUP(C469,[1]stages!$A:$AE,31,FALSE)</f>
        <v>everyone</v>
      </c>
      <c r="E469" s="10">
        <v>468</v>
      </c>
      <c r="F469" s="10">
        <v>348</v>
      </c>
      <c r="G469" s="10" t="str">
        <f>IF(I469="unit",VLOOKUP(F469,[2]characters!$A:$C,3,FALSE),"-")</f>
        <v>炎のケロケロ</v>
      </c>
      <c r="H469" s="10">
        <v>100</v>
      </c>
      <c r="I469" s="10" t="s">
        <v>36</v>
      </c>
      <c r="J469" s="10">
        <v>1</v>
      </c>
      <c r="K469" s="10">
        <v>1</v>
      </c>
      <c r="L469" s="10">
        <v>1</v>
      </c>
      <c r="M469" s="10">
        <v>0</v>
      </c>
      <c r="N469" s="10">
        <v>0</v>
      </c>
      <c r="O469" s="10">
        <v>0</v>
      </c>
      <c r="P469" s="10">
        <v>0</v>
      </c>
      <c r="Q469" s="10">
        <v>1</v>
      </c>
      <c r="R469" s="10" t="s">
        <v>27</v>
      </c>
      <c r="S469" s="10" t="s">
        <v>28</v>
      </c>
    </row>
    <row r="470" spans="1:19" x14ac:dyDescent="0.15">
      <c r="A470" s="10">
        <v>30004</v>
      </c>
      <c r="B470" s="10">
        <v>2</v>
      </c>
      <c r="C470" s="10" t="str">
        <f>A470&amp; "_"&amp;B470</f>
        <v>30004_2</v>
      </c>
      <c r="D470" s="10" t="str">
        <f>VLOOKUP(C470,[1]stages!$A:$AE,31,FALSE)</f>
        <v>everyone</v>
      </c>
      <c r="E470" s="10">
        <v>469</v>
      </c>
      <c r="F470" s="10">
        <v>5000</v>
      </c>
      <c r="G470" s="10" t="str">
        <f>IF(I470="unit",VLOOKUP(F470,[2]characters!$A:$C,3,FALSE),"-")</f>
        <v>-</v>
      </c>
      <c r="H470" s="10">
        <v>200</v>
      </c>
      <c r="I470" s="10" t="s">
        <v>32</v>
      </c>
      <c r="J470" s="10" t="s">
        <v>33</v>
      </c>
      <c r="K470" s="10">
        <v>1</v>
      </c>
      <c r="L470" s="10">
        <v>1</v>
      </c>
      <c r="M470" s="10">
        <v>0</v>
      </c>
      <c r="N470" s="10">
        <v>0</v>
      </c>
      <c r="O470" s="10">
        <v>0</v>
      </c>
      <c r="P470" s="10">
        <v>0</v>
      </c>
      <c r="Q470" s="10">
        <v>1</v>
      </c>
      <c r="R470" s="10" t="s">
        <v>27</v>
      </c>
      <c r="S470" s="10" t="s">
        <v>28</v>
      </c>
    </row>
    <row r="471" spans="1:19" x14ac:dyDescent="0.15">
      <c r="A471" s="10">
        <v>30004</v>
      </c>
      <c r="B471" s="10">
        <v>2</v>
      </c>
      <c r="C471" s="10" t="str">
        <f t="shared" ref="C471:C480" si="50">A471&amp; "_"&amp;B471</f>
        <v>30004_2</v>
      </c>
      <c r="D471" s="10" t="str">
        <f>VLOOKUP(C471,[1]stages!$A:$AE,31,FALSE)</f>
        <v>everyone</v>
      </c>
      <c r="E471" s="10">
        <v>470</v>
      </c>
      <c r="F471" s="10">
        <v>25</v>
      </c>
      <c r="G471" s="10" t="str">
        <f>IF(I471="unit",VLOOKUP(F471,[2]characters!$A:$C,3,FALSE),"-")</f>
        <v>-</v>
      </c>
      <c r="H471" s="10">
        <v>150</v>
      </c>
      <c r="I471" s="10" t="s">
        <v>35</v>
      </c>
      <c r="J471" s="10" t="s">
        <v>33</v>
      </c>
      <c r="K471" s="10">
        <v>1</v>
      </c>
      <c r="L471" s="10">
        <v>1</v>
      </c>
      <c r="M471" s="10">
        <v>0</v>
      </c>
      <c r="N471" s="10">
        <v>0</v>
      </c>
      <c r="O471" s="10">
        <v>0</v>
      </c>
      <c r="P471" s="10">
        <v>0</v>
      </c>
      <c r="Q471" s="10">
        <v>1</v>
      </c>
      <c r="R471" s="10" t="s">
        <v>27</v>
      </c>
      <c r="S471" s="10" t="s">
        <v>28</v>
      </c>
    </row>
    <row r="472" spans="1:19" x14ac:dyDescent="0.15">
      <c r="A472" s="10">
        <v>30004</v>
      </c>
      <c r="B472" s="10">
        <v>2</v>
      </c>
      <c r="C472" s="10" t="str">
        <f t="shared" si="50"/>
        <v>30004_2</v>
      </c>
      <c r="D472" s="10" t="str">
        <f>VLOOKUP(C472,[1]stages!$A:$AE,31,FALSE)</f>
        <v>everyone</v>
      </c>
      <c r="E472" s="10">
        <v>471</v>
      </c>
      <c r="F472" s="10">
        <v>332</v>
      </c>
      <c r="G472" s="10" t="str">
        <f>IF(I472="unit",VLOOKUP(F472,[2]characters!$A:$C,3,FALSE),"-")</f>
        <v>炎のメタルピヨピヨ</v>
      </c>
      <c r="H472" s="10">
        <v>56</v>
      </c>
      <c r="I472" s="10" t="s">
        <v>36</v>
      </c>
      <c r="J472" s="10">
        <v>1</v>
      </c>
      <c r="K472" s="10">
        <v>1</v>
      </c>
      <c r="L472" s="10">
        <v>1</v>
      </c>
      <c r="M472" s="10">
        <v>0</v>
      </c>
      <c r="N472" s="10">
        <v>0</v>
      </c>
      <c r="O472" s="10">
        <v>0</v>
      </c>
      <c r="P472" s="10">
        <v>0</v>
      </c>
      <c r="Q472" s="10">
        <v>1</v>
      </c>
      <c r="R472" s="10" t="s">
        <v>27</v>
      </c>
      <c r="S472" s="10" t="s">
        <v>28</v>
      </c>
    </row>
    <row r="473" spans="1:19" x14ac:dyDescent="0.15">
      <c r="A473" s="10">
        <v>30004</v>
      </c>
      <c r="B473" s="10">
        <v>2</v>
      </c>
      <c r="C473" s="10" t="str">
        <f t="shared" si="50"/>
        <v>30004_2</v>
      </c>
      <c r="D473" s="10" t="str">
        <f>VLOOKUP(C473,[1]stages!$A:$AE,31,FALSE)</f>
        <v>everyone</v>
      </c>
      <c r="E473" s="10">
        <v>472</v>
      </c>
      <c r="F473" s="10">
        <v>333</v>
      </c>
      <c r="G473" s="10" t="str">
        <f>IF(I473="unit",VLOOKUP(F473,[2]characters!$A:$C,3,FALSE),"-")</f>
        <v>炎のメタルチック</v>
      </c>
      <c r="H473" s="10">
        <v>56</v>
      </c>
      <c r="I473" s="10" t="s">
        <v>36</v>
      </c>
      <c r="J473" s="10">
        <v>1</v>
      </c>
      <c r="K473" s="10">
        <v>1</v>
      </c>
      <c r="L473" s="10">
        <v>1</v>
      </c>
      <c r="M473" s="10">
        <v>0</v>
      </c>
      <c r="N473" s="10">
        <v>0</v>
      </c>
      <c r="O473" s="10">
        <v>0</v>
      </c>
      <c r="P473" s="10">
        <v>0</v>
      </c>
      <c r="Q473" s="10">
        <v>1</v>
      </c>
      <c r="R473" s="10" t="s">
        <v>27</v>
      </c>
      <c r="S473" s="10" t="s">
        <v>28</v>
      </c>
    </row>
    <row r="474" spans="1:19" x14ac:dyDescent="0.15">
      <c r="A474" s="10">
        <v>30004</v>
      </c>
      <c r="B474" s="10">
        <v>2</v>
      </c>
      <c r="C474" s="10" t="str">
        <f t="shared" si="50"/>
        <v>30004_2</v>
      </c>
      <c r="D474" s="10" t="str">
        <f>VLOOKUP(C474,[1]stages!$A:$AE,31,FALSE)</f>
        <v>everyone</v>
      </c>
      <c r="E474" s="10">
        <v>473</v>
      </c>
      <c r="F474" s="10">
        <v>334</v>
      </c>
      <c r="G474" s="10" t="str">
        <f>IF(I474="unit",VLOOKUP(F474,[2]characters!$A:$C,3,FALSE),"-")</f>
        <v>炎のメタルダック</v>
      </c>
      <c r="H474" s="10">
        <v>28</v>
      </c>
      <c r="I474" s="10" t="s">
        <v>36</v>
      </c>
      <c r="J474" s="10">
        <v>1</v>
      </c>
      <c r="K474" s="10">
        <v>1</v>
      </c>
      <c r="L474" s="10">
        <v>1</v>
      </c>
      <c r="M474" s="10">
        <v>0</v>
      </c>
      <c r="N474" s="10">
        <v>0</v>
      </c>
      <c r="O474" s="10">
        <v>0</v>
      </c>
      <c r="P474" s="10">
        <v>0</v>
      </c>
      <c r="Q474" s="10">
        <v>1</v>
      </c>
      <c r="R474" s="10" t="s">
        <v>27</v>
      </c>
      <c r="S474" s="10" t="s">
        <v>28</v>
      </c>
    </row>
    <row r="475" spans="1:19" x14ac:dyDescent="0.15">
      <c r="A475" s="10">
        <v>30004</v>
      </c>
      <c r="B475" s="10">
        <v>2</v>
      </c>
      <c r="C475" s="10" t="str">
        <f t="shared" si="50"/>
        <v>30004_2</v>
      </c>
      <c r="D475" s="10" t="str">
        <f>VLOOKUP(C475,[1]stages!$A:$AE,31,FALSE)</f>
        <v>everyone</v>
      </c>
      <c r="E475" s="10">
        <v>474</v>
      </c>
      <c r="F475" s="10">
        <v>121</v>
      </c>
      <c r="G475" s="10" t="str">
        <f>IF(I475="unit",VLOOKUP(F475,[2]characters!$A:$C,3,FALSE),"-")</f>
        <v>攻めの果実</v>
      </c>
      <c r="H475" s="10">
        <v>50</v>
      </c>
      <c r="I475" s="10" t="s">
        <v>36</v>
      </c>
      <c r="J475" s="10">
        <v>1</v>
      </c>
      <c r="K475" s="10">
        <v>1</v>
      </c>
      <c r="L475" s="10">
        <v>1</v>
      </c>
      <c r="M475" s="10">
        <v>0</v>
      </c>
      <c r="N475" s="10">
        <v>0</v>
      </c>
      <c r="O475" s="10">
        <v>0</v>
      </c>
      <c r="P475" s="10">
        <v>0</v>
      </c>
      <c r="Q475" s="10">
        <v>1</v>
      </c>
      <c r="R475" s="10" t="s">
        <v>27</v>
      </c>
      <c r="S475" s="10" t="s">
        <v>28</v>
      </c>
    </row>
    <row r="476" spans="1:19" x14ac:dyDescent="0.15">
      <c r="A476" s="10">
        <v>30004</v>
      </c>
      <c r="B476" s="10">
        <v>2</v>
      </c>
      <c r="C476" s="10" t="str">
        <f t="shared" si="50"/>
        <v>30004_2</v>
      </c>
      <c r="D476" s="10" t="str">
        <f>VLOOKUP(C476,[1]stages!$A:$AE,31,FALSE)</f>
        <v>everyone</v>
      </c>
      <c r="E476" s="10">
        <v>475</v>
      </c>
      <c r="F476" s="10">
        <v>122</v>
      </c>
      <c r="G476" s="10" t="str">
        <f>IF(I476="unit",VLOOKUP(F476,[2]characters!$A:$C,3,FALSE),"-")</f>
        <v>生命の果実</v>
      </c>
      <c r="H476" s="10">
        <v>50</v>
      </c>
      <c r="I476" s="10" t="s">
        <v>36</v>
      </c>
      <c r="J476" s="10">
        <v>1</v>
      </c>
      <c r="K476" s="10">
        <v>1</v>
      </c>
      <c r="L476" s="10">
        <v>1</v>
      </c>
      <c r="M476" s="10">
        <v>0</v>
      </c>
      <c r="N476" s="10">
        <v>0</v>
      </c>
      <c r="O476" s="10">
        <v>0</v>
      </c>
      <c r="P476" s="10">
        <v>0</v>
      </c>
      <c r="Q476" s="10">
        <v>1</v>
      </c>
      <c r="R476" s="10" t="s">
        <v>27</v>
      </c>
      <c r="S476" s="10" t="s">
        <v>28</v>
      </c>
    </row>
    <row r="477" spans="1:19" x14ac:dyDescent="0.15">
      <c r="A477" s="10">
        <v>30004</v>
      </c>
      <c r="B477" s="10">
        <v>2</v>
      </c>
      <c r="C477" s="10" t="str">
        <f t="shared" si="50"/>
        <v>30004_2</v>
      </c>
      <c r="D477" s="10" t="str">
        <f>VLOOKUP(C477,[1]stages!$A:$AE,31,FALSE)</f>
        <v>everyone</v>
      </c>
      <c r="E477" s="10">
        <v>476</v>
      </c>
      <c r="F477" s="10">
        <v>123</v>
      </c>
      <c r="G477" s="10" t="str">
        <f>IF(I477="unit",VLOOKUP(F477,[2]characters!$A:$C,3,FALSE),"-")</f>
        <v>癒しの果実</v>
      </c>
      <c r="H477" s="10">
        <v>50</v>
      </c>
      <c r="I477" s="10" t="s">
        <v>36</v>
      </c>
      <c r="J477" s="10">
        <v>1</v>
      </c>
      <c r="K477" s="10">
        <v>1</v>
      </c>
      <c r="L477" s="10">
        <v>1</v>
      </c>
      <c r="M477" s="10">
        <v>0</v>
      </c>
      <c r="N477" s="10">
        <v>0</v>
      </c>
      <c r="O477" s="10">
        <v>0</v>
      </c>
      <c r="P477" s="10">
        <v>0</v>
      </c>
      <c r="Q477" s="10">
        <v>1</v>
      </c>
      <c r="R477" s="10" t="s">
        <v>27</v>
      </c>
      <c r="S477" s="10" t="s">
        <v>28</v>
      </c>
    </row>
    <row r="478" spans="1:19" x14ac:dyDescent="0.15">
      <c r="A478" s="10">
        <v>30004</v>
      </c>
      <c r="B478" s="10">
        <v>2</v>
      </c>
      <c r="C478" s="10" t="str">
        <f t="shared" si="50"/>
        <v>30004_2</v>
      </c>
      <c r="D478" s="10" t="str">
        <f>VLOOKUP(C478,[1]stages!$A:$AE,31,FALSE)</f>
        <v>everyone</v>
      </c>
      <c r="E478" s="10">
        <v>477</v>
      </c>
      <c r="F478" s="10">
        <v>125</v>
      </c>
      <c r="G478" s="10" t="str">
        <f>IF(I478="unit",VLOOKUP(F478,[2]characters!$A:$C,3,FALSE),"-")</f>
        <v>秘術の果実</v>
      </c>
      <c r="H478" s="10">
        <v>10</v>
      </c>
      <c r="I478" s="10" t="s">
        <v>36</v>
      </c>
      <c r="J478" s="10">
        <v>1</v>
      </c>
      <c r="K478" s="10">
        <v>1</v>
      </c>
      <c r="L478" s="10">
        <v>1</v>
      </c>
      <c r="M478" s="10">
        <v>0</v>
      </c>
      <c r="N478" s="10">
        <v>0</v>
      </c>
      <c r="O478" s="10">
        <v>0</v>
      </c>
      <c r="P478" s="10">
        <v>0</v>
      </c>
      <c r="Q478" s="10">
        <v>1</v>
      </c>
      <c r="R478" s="10" t="s">
        <v>27</v>
      </c>
      <c r="S478" s="10" t="s">
        <v>28</v>
      </c>
    </row>
    <row r="479" spans="1:19" x14ac:dyDescent="0.15">
      <c r="A479" s="10">
        <v>30004</v>
      </c>
      <c r="B479" s="10">
        <v>2</v>
      </c>
      <c r="C479" s="10" t="str">
        <f t="shared" si="50"/>
        <v>30004_2</v>
      </c>
      <c r="D479" s="10" t="str">
        <f>VLOOKUP(C479,[1]stages!$A:$AE,31,FALSE)</f>
        <v>everyone</v>
      </c>
      <c r="E479" s="10">
        <v>478</v>
      </c>
      <c r="F479" s="10">
        <v>276</v>
      </c>
      <c r="G479" s="10" t="str">
        <f>IF(I479="unit",VLOOKUP(F479,[2]characters!$A:$C,3,FALSE),"-")</f>
        <v>機拳のイリア</v>
      </c>
      <c r="H479" s="10">
        <v>250</v>
      </c>
      <c r="I479" s="10" t="s">
        <v>36</v>
      </c>
      <c r="J479" s="10">
        <v>1</v>
      </c>
      <c r="K479" s="10">
        <v>1</v>
      </c>
      <c r="L479" s="10">
        <v>1</v>
      </c>
      <c r="M479" s="10">
        <v>0</v>
      </c>
      <c r="N479" s="10">
        <v>0</v>
      </c>
      <c r="O479" s="10">
        <v>0</v>
      </c>
      <c r="P479" s="10">
        <v>0</v>
      </c>
      <c r="Q479" s="10">
        <v>1</v>
      </c>
      <c r="R479" s="10" t="s">
        <v>27</v>
      </c>
      <c r="S479" s="10" t="s">
        <v>28</v>
      </c>
    </row>
    <row r="480" spans="1:19" x14ac:dyDescent="0.15">
      <c r="A480" s="10">
        <v>30004</v>
      </c>
      <c r="B480" s="10">
        <v>2</v>
      </c>
      <c r="C480" s="10" t="str">
        <f t="shared" si="50"/>
        <v>30004_2</v>
      </c>
      <c r="D480" s="10" t="str">
        <f>VLOOKUP(C480,[1]stages!$A:$AE,31,FALSE)</f>
        <v>everyone</v>
      </c>
      <c r="E480" s="10">
        <v>479</v>
      </c>
      <c r="F480" s="10">
        <v>348</v>
      </c>
      <c r="G480" s="10" t="str">
        <f>IF(I480="unit",VLOOKUP(F480,[2]characters!$A:$C,3,FALSE),"-")</f>
        <v>炎のケロケロ</v>
      </c>
      <c r="H480" s="10">
        <v>100</v>
      </c>
      <c r="I480" s="10" t="s">
        <v>36</v>
      </c>
      <c r="J480" s="10">
        <v>1</v>
      </c>
      <c r="K480" s="10">
        <v>1</v>
      </c>
      <c r="L480" s="10">
        <v>1</v>
      </c>
      <c r="M480" s="10">
        <v>0</v>
      </c>
      <c r="N480" s="10">
        <v>0</v>
      </c>
      <c r="O480" s="10">
        <v>0</v>
      </c>
      <c r="P480" s="10">
        <v>0</v>
      </c>
      <c r="Q480" s="10">
        <v>1</v>
      </c>
      <c r="R480" s="10" t="s">
        <v>27</v>
      </c>
      <c r="S480" s="10" t="s">
        <v>28</v>
      </c>
    </row>
    <row r="481" spans="1:19" x14ac:dyDescent="0.15">
      <c r="A481" s="10">
        <v>30004</v>
      </c>
      <c r="B481" s="10">
        <v>3</v>
      </c>
      <c r="C481" s="10" t="str">
        <f>A481&amp; "_"&amp;B481</f>
        <v>30004_3</v>
      </c>
      <c r="D481" s="10" t="str">
        <f>VLOOKUP(C481,[1]stages!$A:$AE,31,FALSE)</f>
        <v>everyone</v>
      </c>
      <c r="E481" s="10">
        <v>480</v>
      </c>
      <c r="F481" s="10">
        <v>6500</v>
      </c>
      <c r="G481" s="10" t="str">
        <f>IF(I481="unit",VLOOKUP(F481,[2]characters!$A:$C,3,FALSE),"-")</f>
        <v>-</v>
      </c>
      <c r="H481" s="10">
        <v>100</v>
      </c>
      <c r="I481" s="10" t="s">
        <v>32</v>
      </c>
      <c r="J481" s="10" t="s">
        <v>33</v>
      </c>
      <c r="K481" s="10">
        <v>1</v>
      </c>
      <c r="L481" s="10">
        <v>1</v>
      </c>
      <c r="M481" s="10">
        <v>0</v>
      </c>
      <c r="N481" s="10">
        <v>0</v>
      </c>
      <c r="O481" s="10">
        <v>0</v>
      </c>
      <c r="P481" s="10">
        <v>0</v>
      </c>
      <c r="Q481" s="10">
        <v>1</v>
      </c>
      <c r="R481" s="10" t="s">
        <v>27</v>
      </c>
      <c r="S481" s="10" t="s">
        <v>28</v>
      </c>
    </row>
    <row r="482" spans="1:19" x14ac:dyDescent="0.15">
      <c r="A482" s="10">
        <v>30004</v>
      </c>
      <c r="B482" s="10">
        <v>3</v>
      </c>
      <c r="C482" s="10" t="str">
        <f t="shared" ref="C482:C491" si="51">A482&amp; "_"&amp;B482</f>
        <v>30004_3</v>
      </c>
      <c r="D482" s="10" t="str">
        <f>VLOOKUP(C482,[1]stages!$A:$AE,31,FALSE)</f>
        <v>everyone</v>
      </c>
      <c r="E482" s="10">
        <v>481</v>
      </c>
      <c r="F482" s="10">
        <v>25</v>
      </c>
      <c r="G482" s="10" t="str">
        <f>IF(I482="unit",VLOOKUP(F482,[2]characters!$A:$C,3,FALSE),"-")</f>
        <v>-</v>
      </c>
      <c r="H482" s="10">
        <v>100</v>
      </c>
      <c r="I482" s="10" t="s">
        <v>35</v>
      </c>
      <c r="J482" s="10" t="s">
        <v>33</v>
      </c>
      <c r="K482" s="10">
        <v>1</v>
      </c>
      <c r="L482" s="10">
        <v>1</v>
      </c>
      <c r="M482" s="10">
        <v>0</v>
      </c>
      <c r="N482" s="10">
        <v>0</v>
      </c>
      <c r="O482" s="10">
        <v>0</v>
      </c>
      <c r="P482" s="10">
        <v>0</v>
      </c>
      <c r="Q482" s="10">
        <v>1</v>
      </c>
      <c r="R482" s="10" t="s">
        <v>27</v>
      </c>
      <c r="S482" s="10" t="s">
        <v>28</v>
      </c>
    </row>
    <row r="483" spans="1:19" x14ac:dyDescent="0.15">
      <c r="A483" s="10">
        <v>30004</v>
      </c>
      <c r="B483" s="10">
        <v>3</v>
      </c>
      <c r="C483" s="10" t="str">
        <f t="shared" si="51"/>
        <v>30004_3</v>
      </c>
      <c r="D483" s="10" t="str">
        <f>VLOOKUP(C483,[1]stages!$A:$AE,31,FALSE)</f>
        <v>everyone</v>
      </c>
      <c r="E483" s="10">
        <v>482</v>
      </c>
      <c r="F483" s="10">
        <v>332</v>
      </c>
      <c r="G483" s="10" t="str">
        <f>IF(I483="unit",VLOOKUP(F483,[2]characters!$A:$C,3,FALSE),"-")</f>
        <v>炎のメタルピヨピヨ</v>
      </c>
      <c r="H483" s="10">
        <v>28</v>
      </c>
      <c r="I483" s="10" t="s">
        <v>36</v>
      </c>
      <c r="J483" s="10">
        <v>1</v>
      </c>
      <c r="K483" s="10">
        <v>1</v>
      </c>
      <c r="L483" s="10">
        <v>1</v>
      </c>
      <c r="M483" s="10">
        <v>0</v>
      </c>
      <c r="N483" s="10">
        <v>0</v>
      </c>
      <c r="O483" s="10">
        <v>0</v>
      </c>
      <c r="P483" s="10">
        <v>0</v>
      </c>
      <c r="Q483" s="10">
        <v>1</v>
      </c>
      <c r="R483" s="10" t="s">
        <v>27</v>
      </c>
      <c r="S483" s="10" t="s">
        <v>28</v>
      </c>
    </row>
    <row r="484" spans="1:19" x14ac:dyDescent="0.15">
      <c r="A484" s="10">
        <v>30004</v>
      </c>
      <c r="B484" s="10">
        <v>3</v>
      </c>
      <c r="C484" s="10" t="str">
        <f t="shared" si="51"/>
        <v>30004_3</v>
      </c>
      <c r="D484" s="10" t="str">
        <f>VLOOKUP(C484,[1]stages!$A:$AE,31,FALSE)</f>
        <v>everyone</v>
      </c>
      <c r="E484" s="10">
        <v>483</v>
      </c>
      <c r="F484" s="10">
        <v>333</v>
      </c>
      <c r="G484" s="10" t="str">
        <f>IF(I484="unit",VLOOKUP(F484,[2]characters!$A:$C,3,FALSE),"-")</f>
        <v>炎のメタルチック</v>
      </c>
      <c r="H484" s="10">
        <v>56</v>
      </c>
      <c r="I484" s="10" t="s">
        <v>36</v>
      </c>
      <c r="J484" s="10">
        <v>1</v>
      </c>
      <c r="K484" s="10">
        <v>1</v>
      </c>
      <c r="L484" s="10">
        <v>1</v>
      </c>
      <c r="M484" s="10">
        <v>0</v>
      </c>
      <c r="N484" s="10">
        <v>0</v>
      </c>
      <c r="O484" s="10">
        <v>0</v>
      </c>
      <c r="P484" s="10">
        <v>0</v>
      </c>
      <c r="Q484" s="10">
        <v>1</v>
      </c>
      <c r="R484" s="10" t="s">
        <v>27</v>
      </c>
      <c r="S484" s="10" t="s">
        <v>28</v>
      </c>
    </row>
    <row r="485" spans="1:19" x14ac:dyDescent="0.15">
      <c r="A485" s="10">
        <v>30004</v>
      </c>
      <c r="B485" s="10">
        <v>3</v>
      </c>
      <c r="C485" s="10" t="str">
        <f t="shared" si="51"/>
        <v>30004_3</v>
      </c>
      <c r="D485" s="10" t="str">
        <f>VLOOKUP(C485,[1]stages!$A:$AE,31,FALSE)</f>
        <v>everyone</v>
      </c>
      <c r="E485" s="10">
        <v>484</v>
      </c>
      <c r="F485" s="10">
        <v>334</v>
      </c>
      <c r="G485" s="10" t="str">
        <f>IF(I485="unit",VLOOKUP(F485,[2]characters!$A:$C,3,FALSE),"-")</f>
        <v>炎のメタルダック</v>
      </c>
      <c r="H485" s="10">
        <v>56</v>
      </c>
      <c r="I485" s="10" t="s">
        <v>36</v>
      </c>
      <c r="J485" s="10">
        <v>1</v>
      </c>
      <c r="K485" s="10">
        <v>1</v>
      </c>
      <c r="L485" s="10">
        <v>1</v>
      </c>
      <c r="M485" s="10">
        <v>0</v>
      </c>
      <c r="N485" s="10">
        <v>0</v>
      </c>
      <c r="O485" s="10">
        <v>0</v>
      </c>
      <c r="P485" s="10">
        <v>0</v>
      </c>
      <c r="Q485" s="10">
        <v>1</v>
      </c>
      <c r="R485" s="10" t="s">
        <v>27</v>
      </c>
      <c r="S485" s="10" t="s">
        <v>28</v>
      </c>
    </row>
    <row r="486" spans="1:19" x14ac:dyDescent="0.15">
      <c r="A486" s="10">
        <v>30004</v>
      </c>
      <c r="B486" s="10">
        <v>3</v>
      </c>
      <c r="C486" s="10" t="str">
        <f t="shared" si="51"/>
        <v>30004_3</v>
      </c>
      <c r="D486" s="10" t="str">
        <f>VLOOKUP(C486,[1]stages!$A:$AE,31,FALSE)</f>
        <v>everyone</v>
      </c>
      <c r="E486" s="10">
        <v>485</v>
      </c>
      <c r="F486" s="10">
        <v>121</v>
      </c>
      <c r="G486" s="10" t="str">
        <f>IF(I486="unit",VLOOKUP(F486,[2]characters!$A:$C,3,FALSE),"-")</f>
        <v>攻めの果実</v>
      </c>
      <c r="H486" s="10">
        <v>50</v>
      </c>
      <c r="I486" s="10" t="s">
        <v>36</v>
      </c>
      <c r="J486" s="10">
        <v>1</v>
      </c>
      <c r="K486" s="10">
        <v>1</v>
      </c>
      <c r="L486" s="10">
        <v>1</v>
      </c>
      <c r="M486" s="10">
        <v>0</v>
      </c>
      <c r="N486" s="10">
        <v>0</v>
      </c>
      <c r="O486" s="10">
        <v>0</v>
      </c>
      <c r="P486" s="10">
        <v>0</v>
      </c>
      <c r="Q486" s="10">
        <v>1</v>
      </c>
      <c r="R486" s="10" t="s">
        <v>27</v>
      </c>
      <c r="S486" s="10" t="s">
        <v>28</v>
      </c>
    </row>
    <row r="487" spans="1:19" x14ac:dyDescent="0.15">
      <c r="A487" s="10">
        <v>30004</v>
      </c>
      <c r="B487" s="10">
        <v>3</v>
      </c>
      <c r="C487" s="10" t="str">
        <f t="shared" si="51"/>
        <v>30004_3</v>
      </c>
      <c r="D487" s="10" t="str">
        <f>VLOOKUP(C487,[1]stages!$A:$AE,31,FALSE)</f>
        <v>everyone</v>
      </c>
      <c r="E487" s="10">
        <v>486</v>
      </c>
      <c r="F487" s="10">
        <v>122</v>
      </c>
      <c r="G487" s="10" t="str">
        <f>IF(I487="unit",VLOOKUP(F487,[2]characters!$A:$C,3,FALSE),"-")</f>
        <v>生命の果実</v>
      </c>
      <c r="H487" s="10">
        <v>50</v>
      </c>
      <c r="I487" s="10" t="s">
        <v>36</v>
      </c>
      <c r="J487" s="10">
        <v>1</v>
      </c>
      <c r="K487" s="10">
        <v>1</v>
      </c>
      <c r="L487" s="10">
        <v>1</v>
      </c>
      <c r="M487" s="10">
        <v>0</v>
      </c>
      <c r="N487" s="10">
        <v>0</v>
      </c>
      <c r="O487" s="10">
        <v>0</v>
      </c>
      <c r="P487" s="10">
        <v>0</v>
      </c>
      <c r="Q487" s="10">
        <v>1</v>
      </c>
      <c r="R487" s="10" t="s">
        <v>27</v>
      </c>
      <c r="S487" s="10" t="s">
        <v>28</v>
      </c>
    </row>
    <row r="488" spans="1:19" x14ac:dyDescent="0.15">
      <c r="A488" s="10">
        <v>30004</v>
      </c>
      <c r="B488" s="10">
        <v>3</v>
      </c>
      <c r="C488" s="10" t="str">
        <f t="shared" si="51"/>
        <v>30004_3</v>
      </c>
      <c r="D488" s="10" t="str">
        <f>VLOOKUP(C488,[1]stages!$A:$AE,31,FALSE)</f>
        <v>everyone</v>
      </c>
      <c r="E488" s="10">
        <v>487</v>
      </c>
      <c r="F488" s="10">
        <v>123</v>
      </c>
      <c r="G488" s="10" t="str">
        <f>IF(I488="unit",VLOOKUP(F488,[2]characters!$A:$C,3,FALSE),"-")</f>
        <v>癒しの果実</v>
      </c>
      <c r="H488" s="10">
        <v>50</v>
      </c>
      <c r="I488" s="10" t="s">
        <v>36</v>
      </c>
      <c r="J488" s="10">
        <v>1</v>
      </c>
      <c r="K488" s="10">
        <v>1</v>
      </c>
      <c r="L488" s="10">
        <v>1</v>
      </c>
      <c r="M488" s="10">
        <v>0</v>
      </c>
      <c r="N488" s="10">
        <v>0</v>
      </c>
      <c r="O488" s="10">
        <v>0</v>
      </c>
      <c r="P488" s="10">
        <v>0</v>
      </c>
      <c r="Q488" s="10">
        <v>1</v>
      </c>
      <c r="R488" s="10" t="s">
        <v>27</v>
      </c>
      <c r="S488" s="10" t="s">
        <v>28</v>
      </c>
    </row>
    <row r="489" spans="1:19" x14ac:dyDescent="0.15">
      <c r="A489" s="10">
        <v>30004</v>
      </c>
      <c r="B489" s="10">
        <v>3</v>
      </c>
      <c r="C489" s="10" t="str">
        <f t="shared" si="51"/>
        <v>30004_3</v>
      </c>
      <c r="D489" s="10" t="str">
        <f>VLOOKUP(C489,[1]stages!$A:$AE,31,FALSE)</f>
        <v>everyone</v>
      </c>
      <c r="E489" s="10">
        <v>488</v>
      </c>
      <c r="F489" s="10">
        <v>125</v>
      </c>
      <c r="G489" s="10" t="str">
        <f>IF(I489="unit",VLOOKUP(F489,[2]characters!$A:$C,3,FALSE),"-")</f>
        <v>秘術の果実</v>
      </c>
      <c r="H489" s="10">
        <v>10</v>
      </c>
      <c r="I489" s="10" t="s">
        <v>36</v>
      </c>
      <c r="J489" s="10">
        <v>1</v>
      </c>
      <c r="K489" s="10">
        <v>1</v>
      </c>
      <c r="L489" s="10">
        <v>1</v>
      </c>
      <c r="M489" s="10">
        <v>0</v>
      </c>
      <c r="N489" s="10">
        <v>0</v>
      </c>
      <c r="O489" s="10">
        <v>0</v>
      </c>
      <c r="P489" s="10">
        <v>0</v>
      </c>
      <c r="Q489" s="10">
        <v>1</v>
      </c>
      <c r="R489" s="10" t="s">
        <v>27</v>
      </c>
      <c r="S489" s="10" t="s">
        <v>28</v>
      </c>
    </row>
    <row r="490" spans="1:19" x14ac:dyDescent="0.15">
      <c r="A490" s="10">
        <v>30004</v>
      </c>
      <c r="B490" s="10">
        <v>3</v>
      </c>
      <c r="C490" s="10" t="str">
        <f t="shared" si="51"/>
        <v>30004_3</v>
      </c>
      <c r="D490" s="10" t="str">
        <f>VLOOKUP(C490,[1]stages!$A:$AE,31,FALSE)</f>
        <v>everyone</v>
      </c>
      <c r="E490" s="10">
        <v>489</v>
      </c>
      <c r="F490" s="10">
        <v>276</v>
      </c>
      <c r="G490" s="10" t="str">
        <f>IF(I490="unit",VLOOKUP(F490,[2]characters!$A:$C,3,FALSE),"-")</f>
        <v>機拳のイリア</v>
      </c>
      <c r="H490" s="10">
        <v>400</v>
      </c>
      <c r="I490" s="10" t="s">
        <v>36</v>
      </c>
      <c r="J490" s="10">
        <v>1</v>
      </c>
      <c r="K490" s="10">
        <v>1</v>
      </c>
      <c r="L490" s="10">
        <v>1</v>
      </c>
      <c r="M490" s="10">
        <v>0</v>
      </c>
      <c r="N490" s="10">
        <v>0</v>
      </c>
      <c r="O490" s="10">
        <v>0</v>
      </c>
      <c r="P490" s="10">
        <v>0</v>
      </c>
      <c r="Q490" s="10">
        <v>1</v>
      </c>
      <c r="R490" s="10" t="s">
        <v>27</v>
      </c>
      <c r="S490" s="10" t="s">
        <v>28</v>
      </c>
    </row>
    <row r="491" spans="1:19" x14ac:dyDescent="0.15">
      <c r="A491" s="10">
        <v>30004</v>
      </c>
      <c r="B491" s="10">
        <v>3</v>
      </c>
      <c r="C491" s="10" t="str">
        <f t="shared" si="51"/>
        <v>30004_3</v>
      </c>
      <c r="D491" s="10" t="str">
        <f>VLOOKUP(C491,[1]stages!$A:$AE,31,FALSE)</f>
        <v>everyone</v>
      </c>
      <c r="E491" s="10">
        <v>490</v>
      </c>
      <c r="F491" s="10">
        <v>348</v>
      </c>
      <c r="G491" s="10" t="str">
        <f>IF(I491="unit",VLOOKUP(F491,[2]characters!$A:$C,3,FALSE),"-")</f>
        <v>炎のケロケロ</v>
      </c>
      <c r="H491" s="10">
        <v>100</v>
      </c>
      <c r="I491" s="10" t="s">
        <v>36</v>
      </c>
      <c r="J491" s="10">
        <v>1</v>
      </c>
      <c r="K491" s="10">
        <v>1</v>
      </c>
      <c r="L491" s="10">
        <v>1</v>
      </c>
      <c r="M491" s="10">
        <v>0</v>
      </c>
      <c r="N491" s="10">
        <v>0</v>
      </c>
      <c r="O491" s="10">
        <v>0</v>
      </c>
      <c r="P491" s="10">
        <v>0</v>
      </c>
      <c r="Q491" s="10">
        <v>1</v>
      </c>
      <c r="R491" s="10" t="s">
        <v>27</v>
      </c>
      <c r="S491" s="10" t="s">
        <v>28</v>
      </c>
    </row>
    <row r="492" spans="1:19" x14ac:dyDescent="0.15">
      <c r="A492" s="10">
        <v>30005</v>
      </c>
      <c r="B492" s="10">
        <v>1</v>
      </c>
      <c r="C492" s="10" t="str">
        <f>A492&amp; "_"&amp;B492</f>
        <v>30005_1</v>
      </c>
      <c r="D492" s="10" t="str">
        <f>VLOOKUP(C492,[1]stages!$A:$AE,31,FALSE)</f>
        <v>everyone</v>
      </c>
      <c r="E492" s="10">
        <v>491</v>
      </c>
      <c r="F492" s="10">
        <v>3200</v>
      </c>
      <c r="G492" s="10" t="str">
        <f>IF(I492="unit",VLOOKUP(F492,[2]characters!$A:$C,3,FALSE),"-")</f>
        <v>-</v>
      </c>
      <c r="H492" s="10">
        <v>200</v>
      </c>
      <c r="I492" s="10" t="s">
        <v>32</v>
      </c>
      <c r="J492" s="10" t="s">
        <v>33</v>
      </c>
      <c r="K492" s="10">
        <v>1</v>
      </c>
      <c r="L492" s="10">
        <v>1</v>
      </c>
      <c r="M492" s="10">
        <v>0</v>
      </c>
      <c r="N492" s="10">
        <v>0</v>
      </c>
      <c r="O492" s="10">
        <v>0</v>
      </c>
      <c r="P492" s="10">
        <v>0</v>
      </c>
      <c r="Q492" s="10">
        <v>1</v>
      </c>
      <c r="R492" s="10" t="s">
        <v>27</v>
      </c>
      <c r="S492" s="10" t="s">
        <v>28</v>
      </c>
    </row>
    <row r="493" spans="1:19" x14ac:dyDescent="0.15">
      <c r="A493" s="10">
        <v>30005</v>
      </c>
      <c r="B493" s="10">
        <v>1</v>
      </c>
      <c r="C493" s="10" t="str">
        <f t="shared" ref="C493:C501" si="52">A493&amp; "_"&amp;B493</f>
        <v>30005_1</v>
      </c>
      <c r="D493" s="10" t="str">
        <f>VLOOKUP(C493,[1]stages!$A:$AE,31,FALSE)</f>
        <v>everyone</v>
      </c>
      <c r="E493" s="10">
        <v>492</v>
      </c>
      <c r="F493" s="10">
        <v>20</v>
      </c>
      <c r="G493" s="10" t="str">
        <f>IF(I493="unit",VLOOKUP(F493,[2]characters!$A:$C,3,FALSE),"-")</f>
        <v>-</v>
      </c>
      <c r="H493" s="10">
        <v>200</v>
      </c>
      <c r="I493" s="10" t="s">
        <v>35</v>
      </c>
      <c r="J493" s="10" t="s">
        <v>33</v>
      </c>
      <c r="K493" s="10">
        <v>1</v>
      </c>
      <c r="L493" s="10">
        <v>1</v>
      </c>
      <c r="M493" s="10">
        <v>0</v>
      </c>
      <c r="N493" s="10">
        <v>0</v>
      </c>
      <c r="O493" s="10">
        <v>0</v>
      </c>
      <c r="P493" s="10">
        <v>0</v>
      </c>
      <c r="Q493" s="10">
        <v>1</v>
      </c>
      <c r="R493" s="10" t="s">
        <v>27</v>
      </c>
      <c r="S493" s="10" t="s">
        <v>28</v>
      </c>
    </row>
    <row r="494" spans="1:19" x14ac:dyDescent="0.15">
      <c r="A494" s="10">
        <v>30005</v>
      </c>
      <c r="B494" s="10">
        <v>1</v>
      </c>
      <c r="C494" s="10" t="str">
        <f t="shared" si="52"/>
        <v>30005_1</v>
      </c>
      <c r="D494" s="10" t="str">
        <f>VLOOKUP(C494,[1]stages!$A:$AE,31,FALSE)</f>
        <v>everyone</v>
      </c>
      <c r="E494" s="10">
        <v>493</v>
      </c>
      <c r="F494" s="10">
        <v>332</v>
      </c>
      <c r="G494" s="10" t="str">
        <f>IF(I494="unit",VLOOKUP(F494,[2]characters!$A:$C,3,FALSE),"-")</f>
        <v>炎のメタルピヨピヨ</v>
      </c>
      <c r="H494" s="10">
        <v>70</v>
      </c>
      <c r="I494" s="10" t="s">
        <v>36</v>
      </c>
      <c r="J494" s="10">
        <v>1</v>
      </c>
      <c r="K494" s="10">
        <v>1</v>
      </c>
      <c r="L494" s="10">
        <v>1</v>
      </c>
      <c r="M494" s="10">
        <v>0</v>
      </c>
      <c r="N494" s="10">
        <v>0</v>
      </c>
      <c r="O494" s="10">
        <v>0</v>
      </c>
      <c r="P494" s="10">
        <v>0</v>
      </c>
      <c r="Q494" s="10">
        <v>1</v>
      </c>
      <c r="R494" s="10" t="s">
        <v>27</v>
      </c>
      <c r="S494" s="10" t="s">
        <v>28</v>
      </c>
    </row>
    <row r="495" spans="1:19" x14ac:dyDescent="0.15">
      <c r="A495" s="10">
        <v>30005</v>
      </c>
      <c r="B495" s="10">
        <v>1</v>
      </c>
      <c r="C495" s="10" t="str">
        <f t="shared" si="52"/>
        <v>30005_1</v>
      </c>
      <c r="D495" s="10" t="str">
        <f>VLOOKUP(C495,[1]stages!$A:$AE,31,FALSE)</f>
        <v>everyone</v>
      </c>
      <c r="E495" s="10">
        <v>494</v>
      </c>
      <c r="F495" s="10">
        <v>333</v>
      </c>
      <c r="G495" s="10" t="str">
        <f>IF(I495="unit",VLOOKUP(F495,[2]characters!$A:$C,3,FALSE),"-")</f>
        <v>炎のメタルチック</v>
      </c>
      <c r="H495" s="10">
        <v>70</v>
      </c>
      <c r="I495" s="10" t="s">
        <v>36</v>
      </c>
      <c r="J495" s="10">
        <v>1</v>
      </c>
      <c r="K495" s="10">
        <v>1</v>
      </c>
      <c r="L495" s="10">
        <v>1</v>
      </c>
      <c r="M495" s="10">
        <v>0</v>
      </c>
      <c r="N495" s="10">
        <v>0</v>
      </c>
      <c r="O495" s="10">
        <v>0</v>
      </c>
      <c r="P495" s="10">
        <v>0</v>
      </c>
      <c r="Q495" s="10">
        <v>1</v>
      </c>
      <c r="R495" s="10" t="s">
        <v>27</v>
      </c>
      <c r="S495" s="10" t="s">
        <v>28</v>
      </c>
    </row>
    <row r="496" spans="1:19" x14ac:dyDescent="0.15">
      <c r="A496" s="10">
        <v>30005</v>
      </c>
      <c r="B496" s="10">
        <v>1</v>
      </c>
      <c r="C496" s="10" t="str">
        <f t="shared" si="52"/>
        <v>30005_1</v>
      </c>
      <c r="D496" s="10" t="str">
        <f>VLOOKUP(C496,[1]stages!$A:$AE,31,FALSE)</f>
        <v>everyone</v>
      </c>
      <c r="E496" s="10">
        <v>495</v>
      </c>
      <c r="F496" s="10">
        <v>121</v>
      </c>
      <c r="G496" s="10" t="str">
        <f>IF(I496="unit",VLOOKUP(F496,[2]characters!$A:$C,3,FALSE),"-")</f>
        <v>攻めの果実</v>
      </c>
      <c r="H496" s="10">
        <v>50</v>
      </c>
      <c r="I496" s="10" t="s">
        <v>36</v>
      </c>
      <c r="J496" s="10">
        <v>1</v>
      </c>
      <c r="K496" s="10">
        <v>1</v>
      </c>
      <c r="L496" s="10">
        <v>1</v>
      </c>
      <c r="M496" s="10">
        <v>0</v>
      </c>
      <c r="N496" s="10">
        <v>0</v>
      </c>
      <c r="O496" s="10">
        <v>0</v>
      </c>
      <c r="P496" s="10">
        <v>0</v>
      </c>
      <c r="Q496" s="10">
        <v>1</v>
      </c>
      <c r="R496" s="10" t="s">
        <v>27</v>
      </c>
      <c r="S496" s="10" t="s">
        <v>28</v>
      </c>
    </row>
    <row r="497" spans="1:19" x14ac:dyDescent="0.15">
      <c r="A497" s="10">
        <v>30005</v>
      </c>
      <c r="B497" s="10">
        <v>1</v>
      </c>
      <c r="C497" s="10" t="str">
        <f t="shared" si="52"/>
        <v>30005_1</v>
      </c>
      <c r="D497" s="10" t="str">
        <f>VLOOKUP(C497,[1]stages!$A:$AE,31,FALSE)</f>
        <v>everyone</v>
      </c>
      <c r="E497" s="10">
        <v>496</v>
      </c>
      <c r="F497" s="10">
        <v>122</v>
      </c>
      <c r="G497" s="10" t="str">
        <f>IF(I497="unit",VLOOKUP(F497,[2]characters!$A:$C,3,FALSE),"-")</f>
        <v>生命の果実</v>
      </c>
      <c r="H497" s="10">
        <v>50</v>
      </c>
      <c r="I497" s="10" t="s">
        <v>36</v>
      </c>
      <c r="J497" s="10">
        <v>1</v>
      </c>
      <c r="K497" s="10">
        <v>1</v>
      </c>
      <c r="L497" s="10">
        <v>1</v>
      </c>
      <c r="M497" s="10">
        <v>0</v>
      </c>
      <c r="N497" s="10">
        <v>0</v>
      </c>
      <c r="O497" s="10">
        <v>0</v>
      </c>
      <c r="P497" s="10">
        <v>0</v>
      </c>
      <c r="Q497" s="10">
        <v>1</v>
      </c>
      <c r="R497" s="10" t="s">
        <v>27</v>
      </c>
      <c r="S497" s="10" t="s">
        <v>28</v>
      </c>
    </row>
    <row r="498" spans="1:19" x14ac:dyDescent="0.15">
      <c r="A498" s="10">
        <v>30005</v>
      </c>
      <c r="B498" s="10">
        <v>1</v>
      </c>
      <c r="C498" s="10" t="str">
        <f t="shared" si="52"/>
        <v>30005_1</v>
      </c>
      <c r="D498" s="10" t="str">
        <f>VLOOKUP(C498,[1]stages!$A:$AE,31,FALSE)</f>
        <v>everyone</v>
      </c>
      <c r="E498" s="10">
        <v>497</v>
      </c>
      <c r="F498" s="10">
        <v>123</v>
      </c>
      <c r="G498" s="10" t="str">
        <f>IF(I498="unit",VLOOKUP(F498,[2]characters!$A:$C,3,FALSE),"-")</f>
        <v>癒しの果実</v>
      </c>
      <c r="H498" s="10">
        <v>50</v>
      </c>
      <c r="I498" s="10" t="s">
        <v>36</v>
      </c>
      <c r="J498" s="10">
        <v>1</v>
      </c>
      <c r="K498" s="10">
        <v>1</v>
      </c>
      <c r="L498" s="10">
        <v>1</v>
      </c>
      <c r="M498" s="10">
        <v>0</v>
      </c>
      <c r="N498" s="10">
        <v>0</v>
      </c>
      <c r="O498" s="10">
        <v>0</v>
      </c>
      <c r="P498" s="10">
        <v>0</v>
      </c>
      <c r="Q498" s="10">
        <v>1</v>
      </c>
      <c r="R498" s="10" t="s">
        <v>27</v>
      </c>
      <c r="S498" s="10" t="s">
        <v>28</v>
      </c>
    </row>
    <row r="499" spans="1:19" x14ac:dyDescent="0.15">
      <c r="A499" s="10">
        <v>30005</v>
      </c>
      <c r="B499" s="10">
        <v>1</v>
      </c>
      <c r="C499" s="10" t="str">
        <f t="shared" si="52"/>
        <v>30005_1</v>
      </c>
      <c r="D499" s="10" t="str">
        <f>VLOOKUP(C499,[1]stages!$A:$AE,31,FALSE)</f>
        <v>everyone</v>
      </c>
      <c r="E499" s="10">
        <v>498</v>
      </c>
      <c r="F499" s="10">
        <v>125</v>
      </c>
      <c r="G499" s="10" t="str">
        <f>IF(I499="unit",VLOOKUP(F499,[2]characters!$A:$C,3,FALSE),"-")</f>
        <v>秘術の果実</v>
      </c>
      <c r="H499" s="10">
        <v>10</v>
      </c>
      <c r="I499" s="10" t="s">
        <v>36</v>
      </c>
      <c r="J499" s="10">
        <v>1</v>
      </c>
      <c r="K499" s="10">
        <v>1</v>
      </c>
      <c r="L499" s="10">
        <v>1</v>
      </c>
      <c r="M499" s="10">
        <v>0</v>
      </c>
      <c r="N499" s="10">
        <v>0</v>
      </c>
      <c r="O499" s="10">
        <v>0</v>
      </c>
      <c r="P499" s="10">
        <v>0</v>
      </c>
      <c r="Q499" s="10">
        <v>1</v>
      </c>
      <c r="R499" s="10" t="s">
        <v>27</v>
      </c>
      <c r="S499" s="10" t="s">
        <v>28</v>
      </c>
    </row>
    <row r="500" spans="1:19" x14ac:dyDescent="0.15">
      <c r="A500" s="10">
        <v>30005</v>
      </c>
      <c r="B500" s="10">
        <v>1</v>
      </c>
      <c r="C500" s="10" t="str">
        <f t="shared" si="52"/>
        <v>30005_1</v>
      </c>
      <c r="D500" s="10" t="str">
        <f>VLOOKUP(C500,[1]stages!$A:$AE,31,FALSE)</f>
        <v>everyone</v>
      </c>
      <c r="E500" s="10">
        <v>499</v>
      </c>
      <c r="F500" s="10">
        <v>290</v>
      </c>
      <c r="G500" s="10" t="str">
        <f>IF(I500="unit",VLOOKUP(F500,[2]characters!$A:$C,3,FALSE),"-")</f>
        <v>ウィッチ・オクトパス</v>
      </c>
      <c r="H500" s="10">
        <v>200</v>
      </c>
      <c r="I500" s="10" t="s">
        <v>36</v>
      </c>
      <c r="J500" s="10">
        <v>1</v>
      </c>
      <c r="K500" s="10">
        <v>1</v>
      </c>
      <c r="L500" s="10">
        <v>1</v>
      </c>
      <c r="M500" s="10">
        <v>0</v>
      </c>
      <c r="N500" s="10">
        <v>0</v>
      </c>
      <c r="O500" s="10">
        <v>0</v>
      </c>
      <c r="P500" s="10">
        <v>0</v>
      </c>
      <c r="Q500" s="10">
        <v>1</v>
      </c>
      <c r="R500" s="10" t="s">
        <v>27</v>
      </c>
      <c r="S500" s="10" t="s">
        <v>28</v>
      </c>
    </row>
    <row r="501" spans="1:19" x14ac:dyDescent="0.15">
      <c r="A501" s="10">
        <v>30005</v>
      </c>
      <c r="B501" s="10">
        <v>1</v>
      </c>
      <c r="C501" s="10" t="str">
        <f t="shared" si="52"/>
        <v>30005_1</v>
      </c>
      <c r="D501" s="10" t="str">
        <f>VLOOKUP(C501,[1]stages!$A:$AE,31,FALSE)</f>
        <v>everyone</v>
      </c>
      <c r="E501" s="10">
        <v>500</v>
      </c>
      <c r="F501" s="10">
        <v>348</v>
      </c>
      <c r="G501" s="10" t="str">
        <f>IF(I501="unit",VLOOKUP(F501,[2]characters!$A:$C,3,FALSE),"-")</f>
        <v>炎のケロケロ</v>
      </c>
      <c r="H501" s="10">
        <v>100</v>
      </c>
      <c r="I501" s="10" t="s">
        <v>36</v>
      </c>
      <c r="J501" s="10">
        <v>1</v>
      </c>
      <c r="K501" s="10">
        <v>1</v>
      </c>
      <c r="L501" s="10">
        <v>1</v>
      </c>
      <c r="M501" s="10">
        <v>0</v>
      </c>
      <c r="N501" s="10">
        <v>0</v>
      </c>
      <c r="O501" s="10">
        <v>0</v>
      </c>
      <c r="P501" s="10">
        <v>0</v>
      </c>
      <c r="Q501" s="10">
        <v>1</v>
      </c>
      <c r="R501" s="10" t="s">
        <v>27</v>
      </c>
      <c r="S501" s="10" t="s">
        <v>28</v>
      </c>
    </row>
    <row r="502" spans="1:19" x14ac:dyDescent="0.15">
      <c r="A502" s="10">
        <v>30005</v>
      </c>
      <c r="B502" s="10">
        <v>2</v>
      </c>
      <c r="C502" s="10" t="str">
        <f>A502&amp; "_"&amp;B502</f>
        <v>30005_2</v>
      </c>
      <c r="D502" s="10" t="str">
        <f>VLOOKUP(C502,[1]stages!$A:$AE,31,FALSE)</f>
        <v>everyone</v>
      </c>
      <c r="E502" s="10">
        <v>501</v>
      </c>
      <c r="F502" s="10">
        <v>5000</v>
      </c>
      <c r="G502" s="10" t="str">
        <f>IF(I502="unit",VLOOKUP(F502,[2]characters!$A:$C,3,FALSE),"-")</f>
        <v>-</v>
      </c>
      <c r="H502" s="10">
        <v>200</v>
      </c>
      <c r="I502" s="10" t="s">
        <v>32</v>
      </c>
      <c r="J502" s="10" t="s">
        <v>33</v>
      </c>
      <c r="K502" s="10">
        <v>1</v>
      </c>
      <c r="L502" s="10">
        <v>1</v>
      </c>
      <c r="M502" s="10">
        <v>0</v>
      </c>
      <c r="N502" s="10">
        <v>0</v>
      </c>
      <c r="O502" s="10">
        <v>0</v>
      </c>
      <c r="P502" s="10">
        <v>0</v>
      </c>
      <c r="Q502" s="10">
        <v>1</v>
      </c>
      <c r="R502" s="10" t="s">
        <v>27</v>
      </c>
      <c r="S502" s="10" t="s">
        <v>28</v>
      </c>
    </row>
    <row r="503" spans="1:19" x14ac:dyDescent="0.15">
      <c r="A503" s="10">
        <v>30005</v>
      </c>
      <c r="B503" s="10">
        <v>2</v>
      </c>
      <c r="C503" s="10" t="str">
        <f t="shared" ref="C503:C512" si="53">A503&amp; "_"&amp;B503</f>
        <v>30005_2</v>
      </c>
      <c r="D503" s="10" t="str">
        <f>VLOOKUP(C503,[1]stages!$A:$AE,31,FALSE)</f>
        <v>everyone</v>
      </c>
      <c r="E503" s="10">
        <v>502</v>
      </c>
      <c r="F503" s="10">
        <v>25</v>
      </c>
      <c r="G503" s="10" t="str">
        <f>IF(I503="unit",VLOOKUP(F503,[2]characters!$A:$C,3,FALSE),"-")</f>
        <v>-</v>
      </c>
      <c r="H503" s="10">
        <v>150</v>
      </c>
      <c r="I503" s="10" t="s">
        <v>35</v>
      </c>
      <c r="J503" s="10" t="s">
        <v>33</v>
      </c>
      <c r="K503" s="10">
        <v>1</v>
      </c>
      <c r="L503" s="10">
        <v>1</v>
      </c>
      <c r="M503" s="10">
        <v>0</v>
      </c>
      <c r="N503" s="10">
        <v>0</v>
      </c>
      <c r="O503" s="10">
        <v>0</v>
      </c>
      <c r="P503" s="10">
        <v>0</v>
      </c>
      <c r="Q503" s="10">
        <v>1</v>
      </c>
      <c r="R503" s="10" t="s">
        <v>27</v>
      </c>
      <c r="S503" s="10" t="s">
        <v>28</v>
      </c>
    </row>
    <row r="504" spans="1:19" x14ac:dyDescent="0.15">
      <c r="A504" s="10">
        <v>30005</v>
      </c>
      <c r="B504" s="10">
        <v>2</v>
      </c>
      <c r="C504" s="10" t="str">
        <f t="shared" si="53"/>
        <v>30005_2</v>
      </c>
      <c r="D504" s="10" t="str">
        <f>VLOOKUP(C504,[1]stages!$A:$AE,31,FALSE)</f>
        <v>everyone</v>
      </c>
      <c r="E504" s="10">
        <v>503</v>
      </c>
      <c r="F504" s="10">
        <v>332</v>
      </c>
      <c r="G504" s="10" t="str">
        <f>IF(I504="unit",VLOOKUP(F504,[2]characters!$A:$C,3,FALSE),"-")</f>
        <v>炎のメタルピヨピヨ</v>
      </c>
      <c r="H504" s="10">
        <v>56</v>
      </c>
      <c r="I504" s="10" t="s">
        <v>36</v>
      </c>
      <c r="J504" s="10">
        <v>1</v>
      </c>
      <c r="K504" s="10">
        <v>1</v>
      </c>
      <c r="L504" s="10">
        <v>1</v>
      </c>
      <c r="M504" s="10">
        <v>0</v>
      </c>
      <c r="N504" s="10">
        <v>0</v>
      </c>
      <c r="O504" s="10">
        <v>0</v>
      </c>
      <c r="P504" s="10">
        <v>0</v>
      </c>
      <c r="Q504" s="10">
        <v>1</v>
      </c>
      <c r="R504" s="10" t="s">
        <v>27</v>
      </c>
      <c r="S504" s="10" t="s">
        <v>28</v>
      </c>
    </row>
    <row r="505" spans="1:19" x14ac:dyDescent="0.15">
      <c r="A505" s="10">
        <v>30005</v>
      </c>
      <c r="B505" s="10">
        <v>2</v>
      </c>
      <c r="C505" s="10" t="str">
        <f t="shared" si="53"/>
        <v>30005_2</v>
      </c>
      <c r="D505" s="10" t="str">
        <f>VLOOKUP(C505,[1]stages!$A:$AE,31,FALSE)</f>
        <v>everyone</v>
      </c>
      <c r="E505" s="10">
        <v>504</v>
      </c>
      <c r="F505" s="10">
        <v>333</v>
      </c>
      <c r="G505" s="10" t="str">
        <f>IF(I505="unit",VLOOKUP(F505,[2]characters!$A:$C,3,FALSE),"-")</f>
        <v>炎のメタルチック</v>
      </c>
      <c r="H505" s="10">
        <v>56</v>
      </c>
      <c r="I505" s="10" t="s">
        <v>36</v>
      </c>
      <c r="J505" s="10">
        <v>1</v>
      </c>
      <c r="K505" s="10">
        <v>1</v>
      </c>
      <c r="L505" s="10">
        <v>1</v>
      </c>
      <c r="M505" s="10">
        <v>0</v>
      </c>
      <c r="N505" s="10">
        <v>0</v>
      </c>
      <c r="O505" s="10">
        <v>0</v>
      </c>
      <c r="P505" s="10">
        <v>0</v>
      </c>
      <c r="Q505" s="10">
        <v>1</v>
      </c>
      <c r="R505" s="10" t="s">
        <v>27</v>
      </c>
      <c r="S505" s="10" t="s">
        <v>28</v>
      </c>
    </row>
    <row r="506" spans="1:19" x14ac:dyDescent="0.15">
      <c r="A506" s="10">
        <v>30005</v>
      </c>
      <c r="B506" s="10">
        <v>2</v>
      </c>
      <c r="C506" s="10" t="str">
        <f t="shared" si="53"/>
        <v>30005_2</v>
      </c>
      <c r="D506" s="10" t="str">
        <f>VLOOKUP(C506,[1]stages!$A:$AE,31,FALSE)</f>
        <v>everyone</v>
      </c>
      <c r="E506" s="10">
        <v>505</v>
      </c>
      <c r="F506" s="10">
        <v>334</v>
      </c>
      <c r="G506" s="10" t="str">
        <f>IF(I506="unit",VLOOKUP(F506,[2]characters!$A:$C,3,FALSE),"-")</f>
        <v>炎のメタルダック</v>
      </c>
      <c r="H506" s="10">
        <v>28</v>
      </c>
      <c r="I506" s="10" t="s">
        <v>36</v>
      </c>
      <c r="J506" s="10">
        <v>1</v>
      </c>
      <c r="K506" s="10">
        <v>1</v>
      </c>
      <c r="L506" s="10">
        <v>1</v>
      </c>
      <c r="M506" s="10">
        <v>0</v>
      </c>
      <c r="N506" s="10">
        <v>0</v>
      </c>
      <c r="O506" s="10">
        <v>0</v>
      </c>
      <c r="P506" s="10">
        <v>0</v>
      </c>
      <c r="Q506" s="10">
        <v>1</v>
      </c>
      <c r="R506" s="10" t="s">
        <v>27</v>
      </c>
      <c r="S506" s="10" t="s">
        <v>28</v>
      </c>
    </row>
    <row r="507" spans="1:19" x14ac:dyDescent="0.15">
      <c r="A507" s="10">
        <v>30005</v>
      </c>
      <c r="B507" s="10">
        <v>2</v>
      </c>
      <c r="C507" s="10" t="str">
        <f t="shared" si="53"/>
        <v>30005_2</v>
      </c>
      <c r="D507" s="10" t="str">
        <f>VLOOKUP(C507,[1]stages!$A:$AE,31,FALSE)</f>
        <v>everyone</v>
      </c>
      <c r="E507" s="10">
        <v>506</v>
      </c>
      <c r="F507" s="10">
        <v>121</v>
      </c>
      <c r="G507" s="10" t="str">
        <f>IF(I507="unit",VLOOKUP(F507,[2]characters!$A:$C,3,FALSE),"-")</f>
        <v>攻めの果実</v>
      </c>
      <c r="H507" s="10">
        <v>50</v>
      </c>
      <c r="I507" s="10" t="s">
        <v>36</v>
      </c>
      <c r="J507" s="10">
        <v>1</v>
      </c>
      <c r="K507" s="10">
        <v>1</v>
      </c>
      <c r="L507" s="10">
        <v>1</v>
      </c>
      <c r="M507" s="10">
        <v>0</v>
      </c>
      <c r="N507" s="10">
        <v>0</v>
      </c>
      <c r="O507" s="10">
        <v>0</v>
      </c>
      <c r="P507" s="10">
        <v>0</v>
      </c>
      <c r="Q507" s="10">
        <v>1</v>
      </c>
      <c r="R507" s="10" t="s">
        <v>27</v>
      </c>
      <c r="S507" s="10" t="s">
        <v>28</v>
      </c>
    </row>
    <row r="508" spans="1:19" x14ac:dyDescent="0.15">
      <c r="A508" s="10">
        <v>30005</v>
      </c>
      <c r="B508" s="10">
        <v>2</v>
      </c>
      <c r="C508" s="10" t="str">
        <f t="shared" si="53"/>
        <v>30005_2</v>
      </c>
      <c r="D508" s="10" t="str">
        <f>VLOOKUP(C508,[1]stages!$A:$AE,31,FALSE)</f>
        <v>everyone</v>
      </c>
      <c r="E508" s="10">
        <v>507</v>
      </c>
      <c r="F508" s="10">
        <v>122</v>
      </c>
      <c r="G508" s="10" t="str">
        <f>IF(I508="unit",VLOOKUP(F508,[2]characters!$A:$C,3,FALSE),"-")</f>
        <v>生命の果実</v>
      </c>
      <c r="H508" s="10">
        <v>50</v>
      </c>
      <c r="I508" s="10" t="s">
        <v>36</v>
      </c>
      <c r="J508" s="10">
        <v>1</v>
      </c>
      <c r="K508" s="10">
        <v>1</v>
      </c>
      <c r="L508" s="10">
        <v>1</v>
      </c>
      <c r="M508" s="10">
        <v>0</v>
      </c>
      <c r="N508" s="10">
        <v>0</v>
      </c>
      <c r="O508" s="10">
        <v>0</v>
      </c>
      <c r="P508" s="10">
        <v>0</v>
      </c>
      <c r="Q508" s="10">
        <v>1</v>
      </c>
      <c r="R508" s="10" t="s">
        <v>27</v>
      </c>
      <c r="S508" s="10" t="s">
        <v>28</v>
      </c>
    </row>
    <row r="509" spans="1:19" x14ac:dyDescent="0.15">
      <c r="A509" s="10">
        <v>30005</v>
      </c>
      <c r="B509" s="10">
        <v>2</v>
      </c>
      <c r="C509" s="10" t="str">
        <f t="shared" si="53"/>
        <v>30005_2</v>
      </c>
      <c r="D509" s="10" t="str">
        <f>VLOOKUP(C509,[1]stages!$A:$AE,31,FALSE)</f>
        <v>everyone</v>
      </c>
      <c r="E509" s="10">
        <v>508</v>
      </c>
      <c r="F509" s="10">
        <v>123</v>
      </c>
      <c r="G509" s="10" t="str">
        <f>IF(I509="unit",VLOOKUP(F509,[2]characters!$A:$C,3,FALSE),"-")</f>
        <v>癒しの果実</v>
      </c>
      <c r="H509" s="10">
        <v>50</v>
      </c>
      <c r="I509" s="10" t="s">
        <v>36</v>
      </c>
      <c r="J509" s="10">
        <v>1</v>
      </c>
      <c r="K509" s="10">
        <v>1</v>
      </c>
      <c r="L509" s="10">
        <v>1</v>
      </c>
      <c r="M509" s="10">
        <v>0</v>
      </c>
      <c r="N509" s="10">
        <v>0</v>
      </c>
      <c r="O509" s="10">
        <v>0</v>
      </c>
      <c r="P509" s="10">
        <v>0</v>
      </c>
      <c r="Q509" s="10">
        <v>1</v>
      </c>
      <c r="R509" s="10" t="s">
        <v>27</v>
      </c>
      <c r="S509" s="10" t="s">
        <v>28</v>
      </c>
    </row>
    <row r="510" spans="1:19" x14ac:dyDescent="0.15">
      <c r="A510" s="10">
        <v>30005</v>
      </c>
      <c r="B510" s="10">
        <v>2</v>
      </c>
      <c r="C510" s="10" t="str">
        <f t="shared" si="53"/>
        <v>30005_2</v>
      </c>
      <c r="D510" s="10" t="str">
        <f>VLOOKUP(C510,[1]stages!$A:$AE,31,FALSE)</f>
        <v>everyone</v>
      </c>
      <c r="E510" s="10">
        <v>509</v>
      </c>
      <c r="F510" s="10">
        <v>125</v>
      </c>
      <c r="G510" s="10" t="str">
        <f>IF(I510="unit",VLOOKUP(F510,[2]characters!$A:$C,3,FALSE),"-")</f>
        <v>秘術の果実</v>
      </c>
      <c r="H510" s="10">
        <v>10</v>
      </c>
      <c r="I510" s="10" t="s">
        <v>36</v>
      </c>
      <c r="J510" s="10">
        <v>1</v>
      </c>
      <c r="K510" s="10">
        <v>1</v>
      </c>
      <c r="L510" s="10">
        <v>1</v>
      </c>
      <c r="M510" s="10">
        <v>0</v>
      </c>
      <c r="N510" s="10">
        <v>0</v>
      </c>
      <c r="O510" s="10">
        <v>0</v>
      </c>
      <c r="P510" s="10">
        <v>0</v>
      </c>
      <c r="Q510" s="10">
        <v>1</v>
      </c>
      <c r="R510" s="10" t="s">
        <v>27</v>
      </c>
      <c r="S510" s="10" t="s">
        <v>28</v>
      </c>
    </row>
    <row r="511" spans="1:19" x14ac:dyDescent="0.15">
      <c r="A511" s="10">
        <v>30005</v>
      </c>
      <c r="B511" s="10">
        <v>2</v>
      </c>
      <c r="C511" s="10" t="str">
        <f t="shared" si="53"/>
        <v>30005_2</v>
      </c>
      <c r="D511" s="10" t="str">
        <f>VLOOKUP(C511,[1]stages!$A:$AE,31,FALSE)</f>
        <v>everyone</v>
      </c>
      <c r="E511" s="10">
        <v>510</v>
      </c>
      <c r="F511" s="10">
        <v>290</v>
      </c>
      <c r="G511" s="10" t="str">
        <f>IF(I511="unit",VLOOKUP(F511,[2]characters!$A:$C,3,FALSE),"-")</f>
        <v>ウィッチ・オクトパス</v>
      </c>
      <c r="H511" s="10">
        <v>250</v>
      </c>
      <c r="I511" s="10" t="s">
        <v>36</v>
      </c>
      <c r="J511" s="10">
        <v>1</v>
      </c>
      <c r="K511" s="10">
        <v>1</v>
      </c>
      <c r="L511" s="10">
        <v>1</v>
      </c>
      <c r="M511" s="10">
        <v>0</v>
      </c>
      <c r="N511" s="10">
        <v>0</v>
      </c>
      <c r="O511" s="10">
        <v>0</v>
      </c>
      <c r="P511" s="10">
        <v>0</v>
      </c>
      <c r="Q511" s="10">
        <v>1</v>
      </c>
      <c r="R511" s="10" t="s">
        <v>27</v>
      </c>
      <c r="S511" s="10" t="s">
        <v>28</v>
      </c>
    </row>
    <row r="512" spans="1:19" x14ac:dyDescent="0.15">
      <c r="A512" s="10">
        <v>30005</v>
      </c>
      <c r="B512" s="10">
        <v>2</v>
      </c>
      <c r="C512" s="10" t="str">
        <f t="shared" si="53"/>
        <v>30005_2</v>
      </c>
      <c r="D512" s="10" t="str">
        <f>VLOOKUP(C512,[1]stages!$A:$AE,31,FALSE)</f>
        <v>everyone</v>
      </c>
      <c r="E512" s="10">
        <v>511</v>
      </c>
      <c r="F512" s="10">
        <v>348</v>
      </c>
      <c r="G512" s="10" t="str">
        <f>IF(I512="unit",VLOOKUP(F512,[2]characters!$A:$C,3,FALSE),"-")</f>
        <v>炎のケロケロ</v>
      </c>
      <c r="H512" s="10">
        <v>100</v>
      </c>
      <c r="I512" s="10" t="s">
        <v>36</v>
      </c>
      <c r="J512" s="10">
        <v>1</v>
      </c>
      <c r="K512" s="10">
        <v>1</v>
      </c>
      <c r="L512" s="10">
        <v>1</v>
      </c>
      <c r="M512" s="10">
        <v>0</v>
      </c>
      <c r="N512" s="10">
        <v>0</v>
      </c>
      <c r="O512" s="10">
        <v>0</v>
      </c>
      <c r="P512" s="10">
        <v>0</v>
      </c>
      <c r="Q512" s="10">
        <v>1</v>
      </c>
      <c r="R512" s="10" t="s">
        <v>27</v>
      </c>
      <c r="S512" s="10" t="s">
        <v>28</v>
      </c>
    </row>
    <row r="513" spans="1:19" x14ac:dyDescent="0.15">
      <c r="A513" s="10">
        <v>30005</v>
      </c>
      <c r="B513" s="10">
        <v>3</v>
      </c>
      <c r="C513" s="10" t="str">
        <f>A513&amp; "_"&amp;B513</f>
        <v>30005_3</v>
      </c>
      <c r="D513" s="10" t="str">
        <f>VLOOKUP(C513,[1]stages!$A:$AE,31,FALSE)</f>
        <v>everyone</v>
      </c>
      <c r="E513" s="10">
        <v>512</v>
      </c>
      <c r="F513" s="10">
        <v>6500</v>
      </c>
      <c r="G513" s="10" t="str">
        <f>IF(I513="unit",VLOOKUP(F513,[2]characters!$A:$C,3,FALSE),"-")</f>
        <v>-</v>
      </c>
      <c r="H513" s="10">
        <v>100</v>
      </c>
      <c r="I513" s="10" t="s">
        <v>32</v>
      </c>
      <c r="J513" s="10" t="s">
        <v>33</v>
      </c>
      <c r="K513" s="10">
        <v>1</v>
      </c>
      <c r="L513" s="10">
        <v>1</v>
      </c>
      <c r="M513" s="10">
        <v>0</v>
      </c>
      <c r="N513" s="10">
        <v>0</v>
      </c>
      <c r="O513" s="10">
        <v>0</v>
      </c>
      <c r="P513" s="10">
        <v>0</v>
      </c>
      <c r="Q513" s="10">
        <v>1</v>
      </c>
      <c r="R513" s="10" t="s">
        <v>27</v>
      </c>
      <c r="S513" s="10" t="s">
        <v>28</v>
      </c>
    </row>
    <row r="514" spans="1:19" x14ac:dyDescent="0.15">
      <c r="A514" s="10">
        <v>30005</v>
      </c>
      <c r="B514" s="10">
        <v>3</v>
      </c>
      <c r="C514" s="10" t="str">
        <f t="shared" ref="C514:C523" si="54">A514&amp; "_"&amp;B514</f>
        <v>30005_3</v>
      </c>
      <c r="D514" s="10" t="str">
        <f>VLOOKUP(C514,[1]stages!$A:$AE,31,FALSE)</f>
        <v>everyone</v>
      </c>
      <c r="E514" s="10">
        <v>513</v>
      </c>
      <c r="F514" s="10">
        <v>25</v>
      </c>
      <c r="G514" s="10" t="str">
        <f>IF(I514="unit",VLOOKUP(F514,[2]characters!$A:$C,3,FALSE),"-")</f>
        <v>-</v>
      </c>
      <c r="H514" s="10">
        <v>100</v>
      </c>
      <c r="I514" s="10" t="s">
        <v>35</v>
      </c>
      <c r="J514" s="10" t="s">
        <v>33</v>
      </c>
      <c r="K514" s="10">
        <v>1</v>
      </c>
      <c r="L514" s="10">
        <v>1</v>
      </c>
      <c r="M514" s="10">
        <v>0</v>
      </c>
      <c r="N514" s="10">
        <v>0</v>
      </c>
      <c r="O514" s="10">
        <v>0</v>
      </c>
      <c r="P514" s="10">
        <v>0</v>
      </c>
      <c r="Q514" s="10">
        <v>1</v>
      </c>
      <c r="R514" s="10" t="s">
        <v>27</v>
      </c>
      <c r="S514" s="10" t="s">
        <v>28</v>
      </c>
    </row>
    <row r="515" spans="1:19" x14ac:dyDescent="0.15">
      <c r="A515" s="10">
        <v>30005</v>
      </c>
      <c r="B515" s="10">
        <v>3</v>
      </c>
      <c r="C515" s="10" t="str">
        <f t="shared" si="54"/>
        <v>30005_3</v>
      </c>
      <c r="D515" s="10" t="str">
        <f>VLOOKUP(C515,[1]stages!$A:$AE,31,FALSE)</f>
        <v>everyone</v>
      </c>
      <c r="E515" s="10">
        <v>514</v>
      </c>
      <c r="F515" s="10">
        <v>332</v>
      </c>
      <c r="G515" s="10" t="str">
        <f>IF(I515="unit",VLOOKUP(F515,[2]characters!$A:$C,3,FALSE),"-")</f>
        <v>炎のメタルピヨピヨ</v>
      </c>
      <c r="H515" s="10">
        <v>28</v>
      </c>
      <c r="I515" s="10" t="s">
        <v>36</v>
      </c>
      <c r="J515" s="10">
        <v>1</v>
      </c>
      <c r="K515" s="10">
        <v>1</v>
      </c>
      <c r="L515" s="10">
        <v>1</v>
      </c>
      <c r="M515" s="10">
        <v>0</v>
      </c>
      <c r="N515" s="10">
        <v>0</v>
      </c>
      <c r="O515" s="10">
        <v>0</v>
      </c>
      <c r="P515" s="10">
        <v>0</v>
      </c>
      <c r="Q515" s="10">
        <v>1</v>
      </c>
      <c r="R515" s="10" t="s">
        <v>27</v>
      </c>
      <c r="S515" s="10" t="s">
        <v>28</v>
      </c>
    </row>
    <row r="516" spans="1:19" x14ac:dyDescent="0.15">
      <c r="A516" s="10">
        <v>30005</v>
      </c>
      <c r="B516" s="10">
        <v>3</v>
      </c>
      <c r="C516" s="10" t="str">
        <f t="shared" si="54"/>
        <v>30005_3</v>
      </c>
      <c r="D516" s="10" t="str">
        <f>VLOOKUP(C516,[1]stages!$A:$AE,31,FALSE)</f>
        <v>everyone</v>
      </c>
      <c r="E516" s="10">
        <v>515</v>
      </c>
      <c r="F516" s="10">
        <v>333</v>
      </c>
      <c r="G516" s="10" t="str">
        <f>IF(I516="unit",VLOOKUP(F516,[2]characters!$A:$C,3,FALSE),"-")</f>
        <v>炎のメタルチック</v>
      </c>
      <c r="H516" s="10">
        <v>56</v>
      </c>
      <c r="I516" s="10" t="s">
        <v>36</v>
      </c>
      <c r="J516" s="10">
        <v>1</v>
      </c>
      <c r="K516" s="10">
        <v>1</v>
      </c>
      <c r="L516" s="10">
        <v>1</v>
      </c>
      <c r="M516" s="10">
        <v>0</v>
      </c>
      <c r="N516" s="10">
        <v>0</v>
      </c>
      <c r="O516" s="10">
        <v>0</v>
      </c>
      <c r="P516" s="10">
        <v>0</v>
      </c>
      <c r="Q516" s="10">
        <v>1</v>
      </c>
      <c r="R516" s="10" t="s">
        <v>27</v>
      </c>
      <c r="S516" s="10" t="s">
        <v>28</v>
      </c>
    </row>
    <row r="517" spans="1:19" x14ac:dyDescent="0.15">
      <c r="A517" s="10">
        <v>30005</v>
      </c>
      <c r="B517" s="10">
        <v>3</v>
      </c>
      <c r="C517" s="10" t="str">
        <f t="shared" si="54"/>
        <v>30005_3</v>
      </c>
      <c r="D517" s="10" t="str">
        <f>VLOOKUP(C517,[1]stages!$A:$AE,31,FALSE)</f>
        <v>everyone</v>
      </c>
      <c r="E517" s="10">
        <v>516</v>
      </c>
      <c r="F517" s="10">
        <v>334</v>
      </c>
      <c r="G517" s="10" t="str">
        <f>IF(I517="unit",VLOOKUP(F517,[2]characters!$A:$C,3,FALSE),"-")</f>
        <v>炎のメタルダック</v>
      </c>
      <c r="H517" s="10">
        <v>56</v>
      </c>
      <c r="I517" s="10" t="s">
        <v>36</v>
      </c>
      <c r="J517" s="10">
        <v>1</v>
      </c>
      <c r="K517" s="10">
        <v>1</v>
      </c>
      <c r="L517" s="10">
        <v>1</v>
      </c>
      <c r="M517" s="10">
        <v>0</v>
      </c>
      <c r="N517" s="10">
        <v>0</v>
      </c>
      <c r="O517" s="10">
        <v>0</v>
      </c>
      <c r="P517" s="10">
        <v>0</v>
      </c>
      <c r="Q517" s="10">
        <v>1</v>
      </c>
      <c r="R517" s="10" t="s">
        <v>27</v>
      </c>
      <c r="S517" s="10" t="s">
        <v>28</v>
      </c>
    </row>
    <row r="518" spans="1:19" x14ac:dyDescent="0.15">
      <c r="A518" s="10">
        <v>30005</v>
      </c>
      <c r="B518" s="10">
        <v>3</v>
      </c>
      <c r="C518" s="10" t="str">
        <f t="shared" si="54"/>
        <v>30005_3</v>
      </c>
      <c r="D518" s="10" t="str">
        <f>VLOOKUP(C518,[1]stages!$A:$AE,31,FALSE)</f>
        <v>everyone</v>
      </c>
      <c r="E518" s="10">
        <v>517</v>
      </c>
      <c r="F518" s="10">
        <v>121</v>
      </c>
      <c r="G518" s="10" t="str">
        <f>IF(I518="unit",VLOOKUP(F518,[2]characters!$A:$C,3,FALSE),"-")</f>
        <v>攻めの果実</v>
      </c>
      <c r="H518" s="10">
        <v>50</v>
      </c>
      <c r="I518" s="10" t="s">
        <v>36</v>
      </c>
      <c r="J518" s="10">
        <v>1</v>
      </c>
      <c r="K518" s="10">
        <v>1</v>
      </c>
      <c r="L518" s="10">
        <v>1</v>
      </c>
      <c r="M518" s="10">
        <v>0</v>
      </c>
      <c r="N518" s="10">
        <v>0</v>
      </c>
      <c r="O518" s="10">
        <v>0</v>
      </c>
      <c r="P518" s="10">
        <v>0</v>
      </c>
      <c r="Q518" s="10">
        <v>1</v>
      </c>
      <c r="R518" s="10" t="s">
        <v>27</v>
      </c>
      <c r="S518" s="10" t="s">
        <v>28</v>
      </c>
    </row>
    <row r="519" spans="1:19" x14ac:dyDescent="0.15">
      <c r="A519" s="10">
        <v>30005</v>
      </c>
      <c r="B519" s="10">
        <v>3</v>
      </c>
      <c r="C519" s="10" t="str">
        <f t="shared" si="54"/>
        <v>30005_3</v>
      </c>
      <c r="D519" s="10" t="str">
        <f>VLOOKUP(C519,[1]stages!$A:$AE,31,FALSE)</f>
        <v>everyone</v>
      </c>
      <c r="E519" s="10">
        <v>518</v>
      </c>
      <c r="F519" s="10">
        <v>122</v>
      </c>
      <c r="G519" s="10" t="str">
        <f>IF(I519="unit",VLOOKUP(F519,[2]characters!$A:$C,3,FALSE),"-")</f>
        <v>生命の果実</v>
      </c>
      <c r="H519" s="10">
        <v>50</v>
      </c>
      <c r="I519" s="10" t="s">
        <v>36</v>
      </c>
      <c r="J519" s="10">
        <v>1</v>
      </c>
      <c r="K519" s="10">
        <v>1</v>
      </c>
      <c r="L519" s="10">
        <v>1</v>
      </c>
      <c r="M519" s="10">
        <v>0</v>
      </c>
      <c r="N519" s="10">
        <v>0</v>
      </c>
      <c r="O519" s="10">
        <v>0</v>
      </c>
      <c r="P519" s="10">
        <v>0</v>
      </c>
      <c r="Q519" s="10">
        <v>1</v>
      </c>
      <c r="R519" s="10" t="s">
        <v>27</v>
      </c>
      <c r="S519" s="10" t="s">
        <v>28</v>
      </c>
    </row>
    <row r="520" spans="1:19" x14ac:dyDescent="0.15">
      <c r="A520" s="10">
        <v>30005</v>
      </c>
      <c r="B520" s="10">
        <v>3</v>
      </c>
      <c r="C520" s="10" t="str">
        <f t="shared" si="54"/>
        <v>30005_3</v>
      </c>
      <c r="D520" s="10" t="str">
        <f>VLOOKUP(C520,[1]stages!$A:$AE,31,FALSE)</f>
        <v>everyone</v>
      </c>
      <c r="E520" s="10">
        <v>519</v>
      </c>
      <c r="F520" s="10">
        <v>123</v>
      </c>
      <c r="G520" s="10" t="str">
        <f>IF(I520="unit",VLOOKUP(F520,[2]characters!$A:$C,3,FALSE),"-")</f>
        <v>癒しの果実</v>
      </c>
      <c r="H520" s="10">
        <v>50</v>
      </c>
      <c r="I520" s="10" t="s">
        <v>36</v>
      </c>
      <c r="J520" s="10">
        <v>1</v>
      </c>
      <c r="K520" s="10">
        <v>1</v>
      </c>
      <c r="L520" s="10">
        <v>1</v>
      </c>
      <c r="M520" s="10">
        <v>0</v>
      </c>
      <c r="N520" s="10">
        <v>0</v>
      </c>
      <c r="O520" s="10">
        <v>0</v>
      </c>
      <c r="P520" s="10">
        <v>0</v>
      </c>
      <c r="Q520" s="10">
        <v>1</v>
      </c>
      <c r="R520" s="10" t="s">
        <v>27</v>
      </c>
      <c r="S520" s="10" t="s">
        <v>28</v>
      </c>
    </row>
    <row r="521" spans="1:19" x14ac:dyDescent="0.15">
      <c r="A521" s="10">
        <v>30005</v>
      </c>
      <c r="B521" s="10">
        <v>3</v>
      </c>
      <c r="C521" s="10" t="str">
        <f t="shared" si="54"/>
        <v>30005_3</v>
      </c>
      <c r="D521" s="10" t="str">
        <f>VLOOKUP(C521,[1]stages!$A:$AE,31,FALSE)</f>
        <v>everyone</v>
      </c>
      <c r="E521" s="10">
        <v>520</v>
      </c>
      <c r="F521" s="10">
        <v>125</v>
      </c>
      <c r="G521" s="10" t="str">
        <f>IF(I521="unit",VLOOKUP(F521,[2]characters!$A:$C,3,FALSE),"-")</f>
        <v>秘術の果実</v>
      </c>
      <c r="H521" s="10">
        <v>10</v>
      </c>
      <c r="I521" s="10" t="s">
        <v>36</v>
      </c>
      <c r="J521" s="10">
        <v>1</v>
      </c>
      <c r="K521" s="10">
        <v>1</v>
      </c>
      <c r="L521" s="10">
        <v>1</v>
      </c>
      <c r="M521" s="10">
        <v>0</v>
      </c>
      <c r="N521" s="10">
        <v>0</v>
      </c>
      <c r="O521" s="10">
        <v>0</v>
      </c>
      <c r="P521" s="10">
        <v>0</v>
      </c>
      <c r="Q521" s="10">
        <v>1</v>
      </c>
      <c r="R521" s="10" t="s">
        <v>27</v>
      </c>
      <c r="S521" s="10" t="s">
        <v>28</v>
      </c>
    </row>
    <row r="522" spans="1:19" x14ac:dyDescent="0.15">
      <c r="A522" s="10">
        <v>30005</v>
      </c>
      <c r="B522" s="10">
        <v>3</v>
      </c>
      <c r="C522" s="10" t="str">
        <f t="shared" si="54"/>
        <v>30005_3</v>
      </c>
      <c r="D522" s="10" t="str">
        <f>VLOOKUP(C522,[1]stages!$A:$AE,31,FALSE)</f>
        <v>everyone</v>
      </c>
      <c r="E522" s="10">
        <v>521</v>
      </c>
      <c r="F522" s="10">
        <v>290</v>
      </c>
      <c r="G522" s="10" t="str">
        <f>IF(I522="unit",VLOOKUP(F522,[2]characters!$A:$C,3,FALSE),"-")</f>
        <v>ウィッチ・オクトパス</v>
      </c>
      <c r="H522" s="10">
        <v>400</v>
      </c>
      <c r="I522" s="10" t="s">
        <v>36</v>
      </c>
      <c r="J522" s="10">
        <v>1</v>
      </c>
      <c r="K522" s="10">
        <v>1</v>
      </c>
      <c r="L522" s="10">
        <v>1</v>
      </c>
      <c r="M522" s="10">
        <v>0</v>
      </c>
      <c r="N522" s="10">
        <v>0</v>
      </c>
      <c r="O522" s="10">
        <v>0</v>
      </c>
      <c r="P522" s="10">
        <v>0</v>
      </c>
      <c r="Q522" s="10">
        <v>1</v>
      </c>
      <c r="R522" s="10" t="s">
        <v>27</v>
      </c>
      <c r="S522" s="10" t="s">
        <v>28</v>
      </c>
    </row>
    <row r="523" spans="1:19" x14ac:dyDescent="0.15">
      <c r="A523" s="10">
        <v>30005</v>
      </c>
      <c r="B523" s="10">
        <v>3</v>
      </c>
      <c r="C523" s="10" t="str">
        <f t="shared" si="54"/>
        <v>30005_3</v>
      </c>
      <c r="D523" s="10" t="str">
        <f>VLOOKUP(C523,[1]stages!$A:$AE,31,FALSE)</f>
        <v>everyone</v>
      </c>
      <c r="E523" s="10">
        <v>522</v>
      </c>
      <c r="F523" s="10">
        <v>348</v>
      </c>
      <c r="G523" s="10" t="str">
        <f>IF(I523="unit",VLOOKUP(F523,[2]characters!$A:$C,3,FALSE),"-")</f>
        <v>炎のケロケロ</v>
      </c>
      <c r="H523" s="10">
        <v>100</v>
      </c>
      <c r="I523" s="10" t="s">
        <v>36</v>
      </c>
      <c r="J523" s="10">
        <v>1</v>
      </c>
      <c r="K523" s="10">
        <v>1</v>
      </c>
      <c r="L523" s="10">
        <v>1</v>
      </c>
      <c r="M523" s="10">
        <v>0</v>
      </c>
      <c r="N523" s="10">
        <v>0</v>
      </c>
      <c r="O523" s="10">
        <v>0</v>
      </c>
      <c r="P523" s="10">
        <v>0</v>
      </c>
      <c r="Q523" s="10">
        <v>1</v>
      </c>
      <c r="R523" s="10" t="s">
        <v>27</v>
      </c>
      <c r="S523" s="10" t="s">
        <v>28</v>
      </c>
    </row>
    <row r="524" spans="1:19" x14ac:dyDescent="0.15">
      <c r="A524" s="11">
        <v>30006</v>
      </c>
      <c r="B524" s="11">
        <v>1</v>
      </c>
      <c r="C524" s="11" t="str">
        <f>A524&amp; "_"&amp;B524</f>
        <v>30006_1</v>
      </c>
      <c r="D524" s="11" t="str">
        <f>VLOOKUP(C524,[1]stages!$A:$AE,31,FALSE)</f>
        <v>everyone</v>
      </c>
      <c r="E524" s="11">
        <v>523</v>
      </c>
      <c r="F524" s="11">
        <v>3200</v>
      </c>
      <c r="G524" s="10" t="str">
        <f>IF(I524="unit",VLOOKUP(F524,[2]characters!$A:$C,3,FALSE),"-")</f>
        <v>-</v>
      </c>
      <c r="H524" s="11">
        <v>200</v>
      </c>
      <c r="I524" s="11" t="s">
        <v>32</v>
      </c>
      <c r="J524" s="11" t="s">
        <v>33</v>
      </c>
      <c r="K524" s="11">
        <v>1</v>
      </c>
      <c r="L524" s="11">
        <v>1</v>
      </c>
      <c r="M524" s="11">
        <v>0</v>
      </c>
      <c r="N524" s="11">
        <v>0</v>
      </c>
      <c r="O524" s="11">
        <v>0</v>
      </c>
      <c r="P524" s="11">
        <v>0</v>
      </c>
      <c r="Q524" s="11">
        <v>1</v>
      </c>
      <c r="R524" s="11" t="s">
        <v>27</v>
      </c>
      <c r="S524" s="11" t="s">
        <v>28</v>
      </c>
    </row>
    <row r="525" spans="1:19" x14ac:dyDescent="0.15">
      <c r="A525" s="11">
        <v>30006</v>
      </c>
      <c r="B525" s="11">
        <v>1</v>
      </c>
      <c r="C525" s="11" t="str">
        <f t="shared" ref="C525:C533" si="55">A525&amp; "_"&amp;B525</f>
        <v>30006_1</v>
      </c>
      <c r="D525" s="11" t="str">
        <f>VLOOKUP(C525,[1]stages!$A:$AE,31,FALSE)</f>
        <v>everyone</v>
      </c>
      <c r="E525" s="11">
        <v>524</v>
      </c>
      <c r="F525" s="11">
        <v>20</v>
      </c>
      <c r="G525" s="10" t="str">
        <f>IF(I525="unit",VLOOKUP(F525,[2]characters!$A:$C,3,FALSE),"-")</f>
        <v>-</v>
      </c>
      <c r="H525" s="11">
        <v>200</v>
      </c>
      <c r="I525" s="11" t="s">
        <v>35</v>
      </c>
      <c r="J525" s="11" t="s">
        <v>33</v>
      </c>
      <c r="K525" s="11">
        <v>1</v>
      </c>
      <c r="L525" s="11">
        <v>1</v>
      </c>
      <c r="M525" s="11">
        <v>0</v>
      </c>
      <c r="N525" s="11">
        <v>0</v>
      </c>
      <c r="O525" s="11">
        <v>0</v>
      </c>
      <c r="P525" s="11">
        <v>0</v>
      </c>
      <c r="Q525" s="11">
        <v>1</v>
      </c>
      <c r="R525" s="11" t="s">
        <v>27</v>
      </c>
      <c r="S525" s="11" t="s">
        <v>28</v>
      </c>
    </row>
    <row r="526" spans="1:19" x14ac:dyDescent="0.15">
      <c r="A526" s="11">
        <v>30006</v>
      </c>
      <c r="B526" s="11">
        <v>1</v>
      </c>
      <c r="C526" s="11" t="str">
        <f t="shared" si="55"/>
        <v>30006_1</v>
      </c>
      <c r="D526" s="11" t="str">
        <f>VLOOKUP(C526,[1]stages!$A:$AE,31,FALSE)</f>
        <v>everyone</v>
      </c>
      <c r="E526" s="11">
        <v>525</v>
      </c>
      <c r="F526" s="11">
        <v>336</v>
      </c>
      <c r="G526" s="10" t="str">
        <f>IF(I526="unit",VLOOKUP(F526,[2]characters!$A:$C,3,FALSE),"-")</f>
        <v>森のメタルピヨピヨ</v>
      </c>
      <c r="H526" s="11">
        <v>70</v>
      </c>
      <c r="I526" s="11" t="s">
        <v>36</v>
      </c>
      <c r="J526" s="11">
        <v>1</v>
      </c>
      <c r="K526" s="11">
        <v>1</v>
      </c>
      <c r="L526" s="11">
        <v>1</v>
      </c>
      <c r="M526" s="11">
        <v>0</v>
      </c>
      <c r="N526" s="11">
        <v>0</v>
      </c>
      <c r="O526" s="11">
        <v>0</v>
      </c>
      <c r="P526" s="11">
        <v>0</v>
      </c>
      <c r="Q526" s="11">
        <v>1</v>
      </c>
      <c r="R526" s="11" t="s">
        <v>27</v>
      </c>
      <c r="S526" s="11" t="s">
        <v>28</v>
      </c>
    </row>
    <row r="527" spans="1:19" x14ac:dyDescent="0.15">
      <c r="A527" s="11">
        <v>30006</v>
      </c>
      <c r="B527" s="11">
        <v>1</v>
      </c>
      <c r="C527" s="11" t="str">
        <f t="shared" si="55"/>
        <v>30006_1</v>
      </c>
      <c r="D527" s="11" t="str">
        <f>VLOOKUP(C527,[1]stages!$A:$AE,31,FALSE)</f>
        <v>everyone</v>
      </c>
      <c r="E527" s="11">
        <v>526</v>
      </c>
      <c r="F527" s="11">
        <v>337</v>
      </c>
      <c r="G527" s="10" t="str">
        <f>IF(I527="unit",VLOOKUP(F527,[2]characters!$A:$C,3,FALSE),"-")</f>
        <v>森のメタルチック</v>
      </c>
      <c r="H527" s="11">
        <v>70</v>
      </c>
      <c r="I527" s="11" t="s">
        <v>36</v>
      </c>
      <c r="J527" s="11">
        <v>1</v>
      </c>
      <c r="K527" s="11">
        <v>1</v>
      </c>
      <c r="L527" s="11">
        <v>1</v>
      </c>
      <c r="M527" s="11">
        <v>0</v>
      </c>
      <c r="N527" s="11">
        <v>0</v>
      </c>
      <c r="O527" s="11">
        <v>0</v>
      </c>
      <c r="P527" s="11">
        <v>0</v>
      </c>
      <c r="Q527" s="11">
        <v>1</v>
      </c>
      <c r="R527" s="11" t="s">
        <v>27</v>
      </c>
      <c r="S527" s="11" t="s">
        <v>28</v>
      </c>
    </row>
    <row r="528" spans="1:19" x14ac:dyDescent="0.15">
      <c r="A528" s="11">
        <v>30006</v>
      </c>
      <c r="B528" s="11">
        <v>1</v>
      </c>
      <c r="C528" s="11" t="str">
        <f t="shared" si="55"/>
        <v>30006_1</v>
      </c>
      <c r="D528" s="11" t="str">
        <f>VLOOKUP(C528,[1]stages!$A:$AE,31,FALSE)</f>
        <v>everyone</v>
      </c>
      <c r="E528" s="11">
        <v>527</v>
      </c>
      <c r="F528" s="11">
        <v>121</v>
      </c>
      <c r="G528" s="10" t="str">
        <f>IF(I528="unit",VLOOKUP(F528,[2]characters!$A:$C,3,FALSE),"-")</f>
        <v>攻めの果実</v>
      </c>
      <c r="H528" s="11">
        <v>50</v>
      </c>
      <c r="I528" s="11" t="s">
        <v>36</v>
      </c>
      <c r="J528" s="11">
        <v>1</v>
      </c>
      <c r="K528" s="11">
        <v>1</v>
      </c>
      <c r="L528" s="11">
        <v>1</v>
      </c>
      <c r="M528" s="11">
        <v>0</v>
      </c>
      <c r="N528" s="11">
        <v>0</v>
      </c>
      <c r="O528" s="11">
        <v>0</v>
      </c>
      <c r="P528" s="11">
        <v>0</v>
      </c>
      <c r="Q528" s="11">
        <v>1</v>
      </c>
      <c r="R528" s="11" t="s">
        <v>27</v>
      </c>
      <c r="S528" s="11" t="s">
        <v>28</v>
      </c>
    </row>
    <row r="529" spans="1:19" x14ac:dyDescent="0.15">
      <c r="A529" s="11">
        <v>30006</v>
      </c>
      <c r="B529" s="11">
        <v>1</v>
      </c>
      <c r="C529" s="11" t="str">
        <f t="shared" si="55"/>
        <v>30006_1</v>
      </c>
      <c r="D529" s="11" t="str">
        <f>VLOOKUP(C529,[1]stages!$A:$AE,31,FALSE)</f>
        <v>everyone</v>
      </c>
      <c r="E529" s="11">
        <v>528</v>
      </c>
      <c r="F529" s="11">
        <v>122</v>
      </c>
      <c r="G529" s="10" t="str">
        <f>IF(I529="unit",VLOOKUP(F529,[2]characters!$A:$C,3,FALSE),"-")</f>
        <v>生命の果実</v>
      </c>
      <c r="H529" s="11">
        <v>50</v>
      </c>
      <c r="I529" s="11" t="s">
        <v>36</v>
      </c>
      <c r="J529" s="11">
        <v>1</v>
      </c>
      <c r="K529" s="11">
        <v>1</v>
      </c>
      <c r="L529" s="11">
        <v>1</v>
      </c>
      <c r="M529" s="11">
        <v>0</v>
      </c>
      <c r="N529" s="11">
        <v>0</v>
      </c>
      <c r="O529" s="11">
        <v>0</v>
      </c>
      <c r="P529" s="11">
        <v>0</v>
      </c>
      <c r="Q529" s="11">
        <v>1</v>
      </c>
      <c r="R529" s="11" t="s">
        <v>27</v>
      </c>
      <c r="S529" s="11" t="s">
        <v>28</v>
      </c>
    </row>
    <row r="530" spans="1:19" x14ac:dyDescent="0.15">
      <c r="A530" s="11">
        <v>30006</v>
      </c>
      <c r="B530" s="11">
        <v>1</v>
      </c>
      <c r="C530" s="11" t="str">
        <f t="shared" si="55"/>
        <v>30006_1</v>
      </c>
      <c r="D530" s="11" t="str">
        <f>VLOOKUP(C530,[1]stages!$A:$AE,31,FALSE)</f>
        <v>everyone</v>
      </c>
      <c r="E530" s="11">
        <v>529</v>
      </c>
      <c r="F530" s="11">
        <v>123</v>
      </c>
      <c r="G530" s="10" t="str">
        <f>IF(I530="unit",VLOOKUP(F530,[2]characters!$A:$C,3,FALSE),"-")</f>
        <v>癒しの果実</v>
      </c>
      <c r="H530" s="11">
        <v>50</v>
      </c>
      <c r="I530" s="11" t="s">
        <v>36</v>
      </c>
      <c r="J530" s="11">
        <v>1</v>
      </c>
      <c r="K530" s="11">
        <v>1</v>
      </c>
      <c r="L530" s="11">
        <v>1</v>
      </c>
      <c r="M530" s="11">
        <v>0</v>
      </c>
      <c r="N530" s="11">
        <v>0</v>
      </c>
      <c r="O530" s="11">
        <v>0</v>
      </c>
      <c r="P530" s="11">
        <v>0</v>
      </c>
      <c r="Q530" s="11">
        <v>1</v>
      </c>
      <c r="R530" s="11" t="s">
        <v>27</v>
      </c>
      <c r="S530" s="11" t="s">
        <v>28</v>
      </c>
    </row>
    <row r="531" spans="1:19" x14ac:dyDescent="0.15">
      <c r="A531" s="11">
        <v>30006</v>
      </c>
      <c r="B531" s="11">
        <v>1</v>
      </c>
      <c r="C531" s="11" t="str">
        <f t="shared" si="55"/>
        <v>30006_1</v>
      </c>
      <c r="D531" s="11" t="str">
        <f>VLOOKUP(C531,[1]stages!$A:$AE,31,FALSE)</f>
        <v>everyone</v>
      </c>
      <c r="E531" s="11">
        <v>530</v>
      </c>
      <c r="F531" s="11">
        <v>125</v>
      </c>
      <c r="G531" s="10" t="str">
        <f>IF(I531="unit",VLOOKUP(F531,[2]characters!$A:$C,3,FALSE),"-")</f>
        <v>秘術の果実</v>
      </c>
      <c r="H531" s="11">
        <v>10</v>
      </c>
      <c r="I531" s="11" t="s">
        <v>36</v>
      </c>
      <c r="J531" s="11">
        <v>1</v>
      </c>
      <c r="K531" s="11">
        <v>1</v>
      </c>
      <c r="L531" s="11">
        <v>1</v>
      </c>
      <c r="M531" s="11">
        <v>0</v>
      </c>
      <c r="N531" s="11">
        <v>0</v>
      </c>
      <c r="O531" s="11">
        <v>0</v>
      </c>
      <c r="P531" s="11">
        <v>0</v>
      </c>
      <c r="Q531" s="11">
        <v>1</v>
      </c>
      <c r="R531" s="11" t="s">
        <v>27</v>
      </c>
      <c r="S531" s="11" t="s">
        <v>28</v>
      </c>
    </row>
    <row r="532" spans="1:19" x14ac:dyDescent="0.15">
      <c r="A532" s="11">
        <v>30006</v>
      </c>
      <c r="B532" s="11">
        <v>1</v>
      </c>
      <c r="C532" s="11" t="str">
        <f t="shared" si="55"/>
        <v>30006_1</v>
      </c>
      <c r="D532" s="11" t="str">
        <f>VLOOKUP(C532,[1]stages!$A:$AE,31,FALSE)</f>
        <v>everyone</v>
      </c>
      <c r="E532" s="11">
        <v>531</v>
      </c>
      <c r="F532" s="11">
        <v>294</v>
      </c>
      <c r="G532" s="10" t="str">
        <f>IF(I532="unit",VLOOKUP(F532,[2]characters!$A:$C,3,FALSE),"-")</f>
        <v>ウルフ・ザ・レッドイーター</v>
      </c>
      <c r="H532" s="11">
        <v>200</v>
      </c>
      <c r="I532" s="11" t="s">
        <v>36</v>
      </c>
      <c r="J532" s="11">
        <v>1</v>
      </c>
      <c r="K532" s="11">
        <v>1</v>
      </c>
      <c r="L532" s="11">
        <v>1</v>
      </c>
      <c r="M532" s="11">
        <v>0</v>
      </c>
      <c r="N532" s="11">
        <v>0</v>
      </c>
      <c r="O532" s="11">
        <v>0</v>
      </c>
      <c r="P532" s="11">
        <v>0</v>
      </c>
      <c r="Q532" s="11">
        <v>1</v>
      </c>
      <c r="R532" s="11" t="s">
        <v>27</v>
      </c>
      <c r="S532" s="11" t="s">
        <v>28</v>
      </c>
    </row>
    <row r="533" spans="1:19" x14ac:dyDescent="0.15">
      <c r="A533" s="11">
        <v>30006</v>
      </c>
      <c r="B533" s="11">
        <v>1</v>
      </c>
      <c r="C533" s="11" t="str">
        <f t="shared" si="55"/>
        <v>30006_1</v>
      </c>
      <c r="D533" s="11" t="str">
        <f>VLOOKUP(C533,[1]stages!$A:$AE,31,FALSE)</f>
        <v>everyone</v>
      </c>
      <c r="E533" s="11">
        <v>532</v>
      </c>
      <c r="F533" s="11">
        <v>350</v>
      </c>
      <c r="G533" s="10" t="str">
        <f>IF(I533="unit",VLOOKUP(F533,[2]characters!$A:$C,3,FALSE),"-")</f>
        <v>森のケロケロ</v>
      </c>
      <c r="H533" s="11">
        <v>100</v>
      </c>
      <c r="I533" s="11" t="s">
        <v>36</v>
      </c>
      <c r="J533" s="11">
        <v>1</v>
      </c>
      <c r="K533" s="11">
        <v>1</v>
      </c>
      <c r="L533" s="11">
        <v>1</v>
      </c>
      <c r="M533" s="11">
        <v>0</v>
      </c>
      <c r="N533" s="11">
        <v>0</v>
      </c>
      <c r="O533" s="11">
        <v>0</v>
      </c>
      <c r="P533" s="11">
        <v>0</v>
      </c>
      <c r="Q533" s="11">
        <v>1</v>
      </c>
      <c r="R533" s="11" t="s">
        <v>27</v>
      </c>
      <c r="S533" s="11" t="s">
        <v>28</v>
      </c>
    </row>
    <row r="534" spans="1:19" x14ac:dyDescent="0.15">
      <c r="A534" s="11">
        <v>30006</v>
      </c>
      <c r="B534" s="11">
        <v>2</v>
      </c>
      <c r="C534" s="11" t="str">
        <f>A534&amp; "_"&amp;B534</f>
        <v>30006_2</v>
      </c>
      <c r="D534" s="11" t="str">
        <f>VLOOKUP(C534,[1]stages!$A:$AE,31,FALSE)</f>
        <v>everyone</v>
      </c>
      <c r="E534" s="11">
        <v>533</v>
      </c>
      <c r="F534" s="11">
        <v>5000</v>
      </c>
      <c r="G534" s="10" t="str">
        <f>IF(I534="unit",VLOOKUP(F534,[2]characters!$A:$C,3,FALSE),"-")</f>
        <v>-</v>
      </c>
      <c r="H534" s="11">
        <v>200</v>
      </c>
      <c r="I534" s="11" t="s">
        <v>32</v>
      </c>
      <c r="J534" s="11" t="s">
        <v>33</v>
      </c>
      <c r="K534" s="11">
        <v>1</v>
      </c>
      <c r="L534" s="11">
        <v>1</v>
      </c>
      <c r="M534" s="11">
        <v>0</v>
      </c>
      <c r="N534" s="11">
        <v>0</v>
      </c>
      <c r="O534" s="11">
        <v>0</v>
      </c>
      <c r="P534" s="11">
        <v>0</v>
      </c>
      <c r="Q534" s="11">
        <v>1</v>
      </c>
      <c r="R534" s="11" t="s">
        <v>27</v>
      </c>
      <c r="S534" s="11" t="s">
        <v>28</v>
      </c>
    </row>
    <row r="535" spans="1:19" x14ac:dyDescent="0.15">
      <c r="A535" s="11">
        <v>30006</v>
      </c>
      <c r="B535" s="11">
        <v>2</v>
      </c>
      <c r="C535" s="11" t="str">
        <f t="shared" ref="C535:C544" si="56">A535&amp; "_"&amp;B535</f>
        <v>30006_2</v>
      </c>
      <c r="D535" s="11" t="str">
        <f>VLOOKUP(C535,[1]stages!$A:$AE,31,FALSE)</f>
        <v>everyone</v>
      </c>
      <c r="E535" s="11">
        <v>534</v>
      </c>
      <c r="F535" s="11">
        <v>25</v>
      </c>
      <c r="G535" s="10" t="str">
        <f>IF(I535="unit",VLOOKUP(F535,[2]characters!$A:$C,3,FALSE),"-")</f>
        <v>-</v>
      </c>
      <c r="H535" s="11">
        <v>150</v>
      </c>
      <c r="I535" s="11" t="s">
        <v>35</v>
      </c>
      <c r="J535" s="11" t="s">
        <v>33</v>
      </c>
      <c r="K535" s="11">
        <v>1</v>
      </c>
      <c r="L535" s="11">
        <v>1</v>
      </c>
      <c r="M535" s="11">
        <v>0</v>
      </c>
      <c r="N535" s="11">
        <v>0</v>
      </c>
      <c r="O535" s="11">
        <v>0</v>
      </c>
      <c r="P535" s="11">
        <v>0</v>
      </c>
      <c r="Q535" s="11">
        <v>1</v>
      </c>
      <c r="R535" s="11" t="s">
        <v>27</v>
      </c>
      <c r="S535" s="11" t="s">
        <v>28</v>
      </c>
    </row>
    <row r="536" spans="1:19" x14ac:dyDescent="0.15">
      <c r="A536" s="11">
        <v>30006</v>
      </c>
      <c r="B536" s="11">
        <v>2</v>
      </c>
      <c r="C536" s="11" t="str">
        <f t="shared" si="56"/>
        <v>30006_2</v>
      </c>
      <c r="D536" s="11" t="str">
        <f>VLOOKUP(C536,[1]stages!$A:$AE,31,FALSE)</f>
        <v>everyone</v>
      </c>
      <c r="E536" s="11">
        <v>535</v>
      </c>
      <c r="F536" s="11">
        <v>336</v>
      </c>
      <c r="G536" s="10" t="str">
        <f>IF(I536="unit",VLOOKUP(F536,[2]characters!$A:$C,3,FALSE),"-")</f>
        <v>森のメタルピヨピヨ</v>
      </c>
      <c r="H536" s="11">
        <v>56</v>
      </c>
      <c r="I536" s="11" t="s">
        <v>36</v>
      </c>
      <c r="J536" s="11">
        <v>1</v>
      </c>
      <c r="K536" s="11">
        <v>1</v>
      </c>
      <c r="L536" s="11">
        <v>1</v>
      </c>
      <c r="M536" s="11">
        <v>0</v>
      </c>
      <c r="N536" s="11">
        <v>0</v>
      </c>
      <c r="O536" s="11">
        <v>0</v>
      </c>
      <c r="P536" s="11">
        <v>0</v>
      </c>
      <c r="Q536" s="11">
        <v>1</v>
      </c>
      <c r="R536" s="11" t="s">
        <v>27</v>
      </c>
      <c r="S536" s="11" t="s">
        <v>28</v>
      </c>
    </row>
    <row r="537" spans="1:19" x14ac:dyDescent="0.15">
      <c r="A537" s="11">
        <v>30006</v>
      </c>
      <c r="B537" s="11">
        <v>2</v>
      </c>
      <c r="C537" s="11" t="str">
        <f t="shared" si="56"/>
        <v>30006_2</v>
      </c>
      <c r="D537" s="11" t="str">
        <f>VLOOKUP(C537,[1]stages!$A:$AE,31,FALSE)</f>
        <v>everyone</v>
      </c>
      <c r="E537" s="11">
        <v>536</v>
      </c>
      <c r="F537" s="11">
        <v>337</v>
      </c>
      <c r="G537" s="10" t="str">
        <f>IF(I537="unit",VLOOKUP(F537,[2]characters!$A:$C,3,FALSE),"-")</f>
        <v>森のメタルチック</v>
      </c>
      <c r="H537" s="11">
        <v>56</v>
      </c>
      <c r="I537" s="11" t="s">
        <v>36</v>
      </c>
      <c r="J537" s="11">
        <v>1</v>
      </c>
      <c r="K537" s="11">
        <v>1</v>
      </c>
      <c r="L537" s="11">
        <v>1</v>
      </c>
      <c r="M537" s="11">
        <v>0</v>
      </c>
      <c r="N537" s="11">
        <v>0</v>
      </c>
      <c r="O537" s="11">
        <v>0</v>
      </c>
      <c r="P537" s="11">
        <v>0</v>
      </c>
      <c r="Q537" s="11">
        <v>1</v>
      </c>
      <c r="R537" s="11" t="s">
        <v>27</v>
      </c>
      <c r="S537" s="11" t="s">
        <v>28</v>
      </c>
    </row>
    <row r="538" spans="1:19" x14ac:dyDescent="0.15">
      <c r="A538" s="11">
        <v>30006</v>
      </c>
      <c r="B538" s="11">
        <v>2</v>
      </c>
      <c r="C538" s="11" t="str">
        <f t="shared" si="56"/>
        <v>30006_2</v>
      </c>
      <c r="D538" s="11" t="str">
        <f>VLOOKUP(C538,[1]stages!$A:$AE,31,FALSE)</f>
        <v>everyone</v>
      </c>
      <c r="E538" s="11">
        <v>537</v>
      </c>
      <c r="F538" s="11">
        <v>338</v>
      </c>
      <c r="G538" s="10" t="str">
        <f>IF(I538="unit",VLOOKUP(F538,[2]characters!$A:$C,3,FALSE),"-")</f>
        <v>森のメタルダック</v>
      </c>
      <c r="H538" s="11">
        <v>28</v>
      </c>
      <c r="I538" s="11" t="s">
        <v>36</v>
      </c>
      <c r="J538" s="11">
        <v>1</v>
      </c>
      <c r="K538" s="11">
        <v>1</v>
      </c>
      <c r="L538" s="11">
        <v>1</v>
      </c>
      <c r="M538" s="11">
        <v>0</v>
      </c>
      <c r="N538" s="11">
        <v>0</v>
      </c>
      <c r="O538" s="11">
        <v>0</v>
      </c>
      <c r="P538" s="11">
        <v>0</v>
      </c>
      <c r="Q538" s="11">
        <v>1</v>
      </c>
      <c r="R538" s="11" t="s">
        <v>27</v>
      </c>
      <c r="S538" s="11" t="s">
        <v>28</v>
      </c>
    </row>
    <row r="539" spans="1:19" x14ac:dyDescent="0.15">
      <c r="A539" s="11">
        <v>30006</v>
      </c>
      <c r="B539" s="11">
        <v>2</v>
      </c>
      <c r="C539" s="11" t="str">
        <f t="shared" si="56"/>
        <v>30006_2</v>
      </c>
      <c r="D539" s="11" t="str">
        <f>VLOOKUP(C539,[1]stages!$A:$AE,31,FALSE)</f>
        <v>everyone</v>
      </c>
      <c r="E539" s="11">
        <v>538</v>
      </c>
      <c r="F539" s="11">
        <v>121</v>
      </c>
      <c r="G539" s="10" t="str">
        <f>IF(I539="unit",VLOOKUP(F539,[2]characters!$A:$C,3,FALSE),"-")</f>
        <v>攻めの果実</v>
      </c>
      <c r="H539" s="11">
        <v>50</v>
      </c>
      <c r="I539" s="11" t="s">
        <v>36</v>
      </c>
      <c r="J539" s="11">
        <v>1</v>
      </c>
      <c r="K539" s="11">
        <v>1</v>
      </c>
      <c r="L539" s="11">
        <v>1</v>
      </c>
      <c r="M539" s="11">
        <v>0</v>
      </c>
      <c r="N539" s="11">
        <v>0</v>
      </c>
      <c r="O539" s="11">
        <v>0</v>
      </c>
      <c r="P539" s="11">
        <v>0</v>
      </c>
      <c r="Q539" s="11">
        <v>1</v>
      </c>
      <c r="R539" s="11" t="s">
        <v>27</v>
      </c>
      <c r="S539" s="11" t="s">
        <v>28</v>
      </c>
    </row>
    <row r="540" spans="1:19" x14ac:dyDescent="0.15">
      <c r="A540" s="11">
        <v>30006</v>
      </c>
      <c r="B540" s="11">
        <v>2</v>
      </c>
      <c r="C540" s="11" t="str">
        <f t="shared" si="56"/>
        <v>30006_2</v>
      </c>
      <c r="D540" s="11" t="str">
        <f>VLOOKUP(C540,[1]stages!$A:$AE,31,FALSE)</f>
        <v>everyone</v>
      </c>
      <c r="E540" s="11">
        <v>539</v>
      </c>
      <c r="F540" s="11">
        <v>122</v>
      </c>
      <c r="G540" s="10" t="str">
        <f>IF(I540="unit",VLOOKUP(F540,[2]characters!$A:$C,3,FALSE),"-")</f>
        <v>生命の果実</v>
      </c>
      <c r="H540" s="11">
        <v>50</v>
      </c>
      <c r="I540" s="11" t="s">
        <v>36</v>
      </c>
      <c r="J540" s="11">
        <v>1</v>
      </c>
      <c r="K540" s="11">
        <v>1</v>
      </c>
      <c r="L540" s="11">
        <v>1</v>
      </c>
      <c r="M540" s="11">
        <v>0</v>
      </c>
      <c r="N540" s="11">
        <v>0</v>
      </c>
      <c r="O540" s="11">
        <v>0</v>
      </c>
      <c r="P540" s="11">
        <v>0</v>
      </c>
      <c r="Q540" s="11">
        <v>1</v>
      </c>
      <c r="R540" s="11" t="s">
        <v>27</v>
      </c>
      <c r="S540" s="11" t="s">
        <v>28</v>
      </c>
    </row>
    <row r="541" spans="1:19" x14ac:dyDescent="0.15">
      <c r="A541" s="11">
        <v>30006</v>
      </c>
      <c r="B541" s="11">
        <v>2</v>
      </c>
      <c r="C541" s="11" t="str">
        <f t="shared" si="56"/>
        <v>30006_2</v>
      </c>
      <c r="D541" s="11" t="str">
        <f>VLOOKUP(C541,[1]stages!$A:$AE,31,FALSE)</f>
        <v>everyone</v>
      </c>
      <c r="E541" s="11">
        <v>540</v>
      </c>
      <c r="F541" s="11">
        <v>123</v>
      </c>
      <c r="G541" s="10" t="str">
        <f>IF(I541="unit",VLOOKUP(F541,[2]characters!$A:$C,3,FALSE),"-")</f>
        <v>癒しの果実</v>
      </c>
      <c r="H541" s="11">
        <v>50</v>
      </c>
      <c r="I541" s="11" t="s">
        <v>36</v>
      </c>
      <c r="J541" s="11">
        <v>1</v>
      </c>
      <c r="K541" s="11">
        <v>1</v>
      </c>
      <c r="L541" s="11">
        <v>1</v>
      </c>
      <c r="M541" s="11">
        <v>0</v>
      </c>
      <c r="N541" s="11">
        <v>0</v>
      </c>
      <c r="O541" s="11">
        <v>0</v>
      </c>
      <c r="P541" s="11">
        <v>0</v>
      </c>
      <c r="Q541" s="11">
        <v>1</v>
      </c>
      <c r="R541" s="11" t="s">
        <v>27</v>
      </c>
      <c r="S541" s="11" t="s">
        <v>28</v>
      </c>
    </row>
    <row r="542" spans="1:19" x14ac:dyDescent="0.15">
      <c r="A542" s="11">
        <v>30006</v>
      </c>
      <c r="B542" s="11">
        <v>2</v>
      </c>
      <c r="C542" s="11" t="str">
        <f t="shared" si="56"/>
        <v>30006_2</v>
      </c>
      <c r="D542" s="11" t="str">
        <f>VLOOKUP(C542,[1]stages!$A:$AE,31,FALSE)</f>
        <v>everyone</v>
      </c>
      <c r="E542" s="11">
        <v>541</v>
      </c>
      <c r="F542" s="11">
        <v>125</v>
      </c>
      <c r="G542" s="10" t="str">
        <f>IF(I542="unit",VLOOKUP(F542,[2]characters!$A:$C,3,FALSE),"-")</f>
        <v>秘術の果実</v>
      </c>
      <c r="H542" s="11">
        <v>10</v>
      </c>
      <c r="I542" s="11" t="s">
        <v>36</v>
      </c>
      <c r="J542" s="11">
        <v>1</v>
      </c>
      <c r="K542" s="11">
        <v>1</v>
      </c>
      <c r="L542" s="11">
        <v>1</v>
      </c>
      <c r="M542" s="11">
        <v>0</v>
      </c>
      <c r="N542" s="11">
        <v>0</v>
      </c>
      <c r="O542" s="11">
        <v>0</v>
      </c>
      <c r="P542" s="11">
        <v>0</v>
      </c>
      <c r="Q542" s="11">
        <v>1</v>
      </c>
      <c r="R542" s="11" t="s">
        <v>27</v>
      </c>
      <c r="S542" s="11" t="s">
        <v>28</v>
      </c>
    </row>
    <row r="543" spans="1:19" x14ac:dyDescent="0.15">
      <c r="A543" s="11">
        <v>30006</v>
      </c>
      <c r="B543" s="11">
        <v>2</v>
      </c>
      <c r="C543" s="11" t="str">
        <f t="shared" si="56"/>
        <v>30006_2</v>
      </c>
      <c r="D543" s="11" t="str">
        <f>VLOOKUP(C543,[1]stages!$A:$AE,31,FALSE)</f>
        <v>everyone</v>
      </c>
      <c r="E543" s="11">
        <v>542</v>
      </c>
      <c r="F543" s="11">
        <v>294</v>
      </c>
      <c r="G543" s="10" t="str">
        <f>IF(I543="unit",VLOOKUP(F543,[2]characters!$A:$C,3,FALSE),"-")</f>
        <v>ウルフ・ザ・レッドイーター</v>
      </c>
      <c r="H543" s="11">
        <v>250</v>
      </c>
      <c r="I543" s="11" t="s">
        <v>36</v>
      </c>
      <c r="J543" s="11">
        <v>1</v>
      </c>
      <c r="K543" s="11">
        <v>1</v>
      </c>
      <c r="L543" s="11">
        <v>1</v>
      </c>
      <c r="M543" s="11">
        <v>0</v>
      </c>
      <c r="N543" s="11">
        <v>0</v>
      </c>
      <c r="O543" s="11">
        <v>0</v>
      </c>
      <c r="P543" s="11">
        <v>0</v>
      </c>
      <c r="Q543" s="11">
        <v>1</v>
      </c>
      <c r="R543" s="11" t="s">
        <v>27</v>
      </c>
      <c r="S543" s="11" t="s">
        <v>28</v>
      </c>
    </row>
    <row r="544" spans="1:19" x14ac:dyDescent="0.15">
      <c r="A544" s="11">
        <v>30006</v>
      </c>
      <c r="B544" s="11">
        <v>2</v>
      </c>
      <c r="C544" s="11" t="str">
        <f t="shared" si="56"/>
        <v>30006_2</v>
      </c>
      <c r="D544" s="11" t="str">
        <f>VLOOKUP(C544,[1]stages!$A:$AE,31,FALSE)</f>
        <v>everyone</v>
      </c>
      <c r="E544" s="11">
        <v>543</v>
      </c>
      <c r="F544" s="11">
        <v>350</v>
      </c>
      <c r="G544" s="10" t="str">
        <f>IF(I544="unit",VLOOKUP(F544,[2]characters!$A:$C,3,FALSE),"-")</f>
        <v>森のケロケロ</v>
      </c>
      <c r="H544" s="11">
        <v>100</v>
      </c>
      <c r="I544" s="11" t="s">
        <v>36</v>
      </c>
      <c r="J544" s="11">
        <v>1</v>
      </c>
      <c r="K544" s="11">
        <v>1</v>
      </c>
      <c r="L544" s="11">
        <v>1</v>
      </c>
      <c r="M544" s="11">
        <v>0</v>
      </c>
      <c r="N544" s="11">
        <v>0</v>
      </c>
      <c r="O544" s="11">
        <v>0</v>
      </c>
      <c r="P544" s="11">
        <v>0</v>
      </c>
      <c r="Q544" s="11">
        <v>1</v>
      </c>
      <c r="R544" s="11" t="s">
        <v>27</v>
      </c>
      <c r="S544" s="11" t="s">
        <v>28</v>
      </c>
    </row>
    <row r="545" spans="1:19" x14ac:dyDescent="0.15">
      <c r="A545" s="11">
        <v>30006</v>
      </c>
      <c r="B545" s="11">
        <v>3</v>
      </c>
      <c r="C545" s="11" t="str">
        <f>A545&amp; "_"&amp;B545</f>
        <v>30006_3</v>
      </c>
      <c r="D545" s="11" t="str">
        <f>VLOOKUP(C545,[1]stages!$A:$AE,31,FALSE)</f>
        <v>everyone</v>
      </c>
      <c r="E545" s="11">
        <v>544</v>
      </c>
      <c r="F545" s="11">
        <v>6500</v>
      </c>
      <c r="G545" s="10" t="str">
        <f>IF(I545="unit",VLOOKUP(F545,[2]characters!$A:$C,3,FALSE),"-")</f>
        <v>-</v>
      </c>
      <c r="H545" s="11">
        <v>100</v>
      </c>
      <c r="I545" s="11" t="s">
        <v>32</v>
      </c>
      <c r="J545" s="11" t="s">
        <v>33</v>
      </c>
      <c r="K545" s="11">
        <v>1</v>
      </c>
      <c r="L545" s="11">
        <v>1</v>
      </c>
      <c r="M545" s="11">
        <v>0</v>
      </c>
      <c r="N545" s="11">
        <v>0</v>
      </c>
      <c r="O545" s="11">
        <v>0</v>
      </c>
      <c r="P545" s="11">
        <v>0</v>
      </c>
      <c r="Q545" s="11">
        <v>1</v>
      </c>
      <c r="R545" s="11" t="s">
        <v>27</v>
      </c>
      <c r="S545" s="11" t="s">
        <v>28</v>
      </c>
    </row>
    <row r="546" spans="1:19" x14ac:dyDescent="0.15">
      <c r="A546" s="11">
        <v>30006</v>
      </c>
      <c r="B546" s="11">
        <v>3</v>
      </c>
      <c r="C546" s="11" t="str">
        <f t="shared" ref="C546:C555" si="57">A546&amp; "_"&amp;B546</f>
        <v>30006_3</v>
      </c>
      <c r="D546" s="11" t="str">
        <f>VLOOKUP(C546,[1]stages!$A:$AE,31,FALSE)</f>
        <v>everyone</v>
      </c>
      <c r="E546" s="11">
        <v>545</v>
      </c>
      <c r="F546" s="11">
        <v>25</v>
      </c>
      <c r="G546" s="10" t="str">
        <f>IF(I546="unit",VLOOKUP(F546,[2]characters!$A:$C,3,FALSE),"-")</f>
        <v>-</v>
      </c>
      <c r="H546" s="11">
        <v>100</v>
      </c>
      <c r="I546" s="11" t="s">
        <v>35</v>
      </c>
      <c r="J546" s="11" t="s">
        <v>33</v>
      </c>
      <c r="K546" s="11">
        <v>1</v>
      </c>
      <c r="L546" s="11">
        <v>1</v>
      </c>
      <c r="M546" s="11">
        <v>0</v>
      </c>
      <c r="N546" s="11">
        <v>0</v>
      </c>
      <c r="O546" s="11">
        <v>0</v>
      </c>
      <c r="P546" s="11">
        <v>0</v>
      </c>
      <c r="Q546" s="11">
        <v>1</v>
      </c>
      <c r="R546" s="11" t="s">
        <v>27</v>
      </c>
      <c r="S546" s="11" t="s">
        <v>28</v>
      </c>
    </row>
    <row r="547" spans="1:19" x14ac:dyDescent="0.15">
      <c r="A547" s="11">
        <v>30006</v>
      </c>
      <c r="B547" s="11">
        <v>3</v>
      </c>
      <c r="C547" s="11" t="str">
        <f t="shared" si="57"/>
        <v>30006_3</v>
      </c>
      <c r="D547" s="11" t="str">
        <f>VLOOKUP(C547,[1]stages!$A:$AE,31,FALSE)</f>
        <v>everyone</v>
      </c>
      <c r="E547" s="11">
        <v>546</v>
      </c>
      <c r="F547" s="11">
        <v>336</v>
      </c>
      <c r="G547" s="10" t="str">
        <f>IF(I547="unit",VLOOKUP(F547,[2]characters!$A:$C,3,FALSE),"-")</f>
        <v>森のメタルピヨピヨ</v>
      </c>
      <c r="H547" s="11">
        <v>28</v>
      </c>
      <c r="I547" s="11" t="s">
        <v>36</v>
      </c>
      <c r="J547" s="11">
        <v>1</v>
      </c>
      <c r="K547" s="11">
        <v>1</v>
      </c>
      <c r="L547" s="11">
        <v>1</v>
      </c>
      <c r="M547" s="11">
        <v>0</v>
      </c>
      <c r="N547" s="11">
        <v>0</v>
      </c>
      <c r="O547" s="11">
        <v>0</v>
      </c>
      <c r="P547" s="11">
        <v>0</v>
      </c>
      <c r="Q547" s="11">
        <v>1</v>
      </c>
      <c r="R547" s="11" t="s">
        <v>27</v>
      </c>
      <c r="S547" s="11" t="s">
        <v>28</v>
      </c>
    </row>
    <row r="548" spans="1:19" x14ac:dyDescent="0.15">
      <c r="A548" s="11">
        <v>30006</v>
      </c>
      <c r="B548" s="11">
        <v>3</v>
      </c>
      <c r="C548" s="11" t="str">
        <f t="shared" si="57"/>
        <v>30006_3</v>
      </c>
      <c r="D548" s="11" t="str">
        <f>VLOOKUP(C548,[1]stages!$A:$AE,31,FALSE)</f>
        <v>everyone</v>
      </c>
      <c r="E548" s="11">
        <v>547</v>
      </c>
      <c r="F548" s="11">
        <v>337</v>
      </c>
      <c r="G548" s="10" t="str">
        <f>IF(I548="unit",VLOOKUP(F548,[2]characters!$A:$C,3,FALSE),"-")</f>
        <v>森のメタルチック</v>
      </c>
      <c r="H548" s="11">
        <v>56</v>
      </c>
      <c r="I548" s="11" t="s">
        <v>36</v>
      </c>
      <c r="J548" s="11">
        <v>1</v>
      </c>
      <c r="K548" s="11">
        <v>1</v>
      </c>
      <c r="L548" s="11">
        <v>1</v>
      </c>
      <c r="M548" s="11">
        <v>0</v>
      </c>
      <c r="N548" s="11">
        <v>0</v>
      </c>
      <c r="O548" s="11">
        <v>0</v>
      </c>
      <c r="P548" s="11">
        <v>0</v>
      </c>
      <c r="Q548" s="11">
        <v>1</v>
      </c>
      <c r="R548" s="11" t="s">
        <v>27</v>
      </c>
      <c r="S548" s="11" t="s">
        <v>28</v>
      </c>
    </row>
    <row r="549" spans="1:19" x14ac:dyDescent="0.15">
      <c r="A549" s="11">
        <v>30006</v>
      </c>
      <c r="B549" s="11">
        <v>3</v>
      </c>
      <c r="C549" s="11" t="str">
        <f t="shared" si="57"/>
        <v>30006_3</v>
      </c>
      <c r="D549" s="11" t="str">
        <f>VLOOKUP(C549,[1]stages!$A:$AE,31,FALSE)</f>
        <v>everyone</v>
      </c>
      <c r="E549" s="11">
        <v>548</v>
      </c>
      <c r="F549" s="11">
        <v>338</v>
      </c>
      <c r="G549" s="10" t="str">
        <f>IF(I549="unit",VLOOKUP(F549,[2]characters!$A:$C,3,FALSE),"-")</f>
        <v>森のメタルダック</v>
      </c>
      <c r="H549" s="11">
        <v>56</v>
      </c>
      <c r="I549" s="11" t="s">
        <v>36</v>
      </c>
      <c r="J549" s="11">
        <v>1</v>
      </c>
      <c r="K549" s="11">
        <v>1</v>
      </c>
      <c r="L549" s="11">
        <v>1</v>
      </c>
      <c r="M549" s="11">
        <v>0</v>
      </c>
      <c r="N549" s="11">
        <v>0</v>
      </c>
      <c r="O549" s="11">
        <v>0</v>
      </c>
      <c r="P549" s="11">
        <v>0</v>
      </c>
      <c r="Q549" s="11">
        <v>1</v>
      </c>
      <c r="R549" s="11" t="s">
        <v>27</v>
      </c>
      <c r="S549" s="11" t="s">
        <v>28</v>
      </c>
    </row>
    <row r="550" spans="1:19" x14ac:dyDescent="0.15">
      <c r="A550" s="11">
        <v>30006</v>
      </c>
      <c r="B550" s="11">
        <v>3</v>
      </c>
      <c r="C550" s="11" t="str">
        <f t="shared" si="57"/>
        <v>30006_3</v>
      </c>
      <c r="D550" s="11" t="str">
        <f>VLOOKUP(C550,[1]stages!$A:$AE,31,FALSE)</f>
        <v>everyone</v>
      </c>
      <c r="E550" s="11">
        <v>549</v>
      </c>
      <c r="F550" s="11">
        <v>121</v>
      </c>
      <c r="G550" s="10" t="str">
        <f>IF(I550="unit",VLOOKUP(F550,[2]characters!$A:$C,3,FALSE),"-")</f>
        <v>攻めの果実</v>
      </c>
      <c r="H550" s="11">
        <v>50</v>
      </c>
      <c r="I550" s="11" t="s">
        <v>36</v>
      </c>
      <c r="J550" s="11">
        <v>1</v>
      </c>
      <c r="K550" s="11">
        <v>1</v>
      </c>
      <c r="L550" s="11">
        <v>1</v>
      </c>
      <c r="M550" s="11">
        <v>0</v>
      </c>
      <c r="N550" s="11">
        <v>0</v>
      </c>
      <c r="O550" s="11">
        <v>0</v>
      </c>
      <c r="P550" s="11">
        <v>0</v>
      </c>
      <c r="Q550" s="11">
        <v>1</v>
      </c>
      <c r="R550" s="11" t="s">
        <v>27</v>
      </c>
      <c r="S550" s="11" t="s">
        <v>28</v>
      </c>
    </row>
    <row r="551" spans="1:19" x14ac:dyDescent="0.15">
      <c r="A551" s="11">
        <v>30006</v>
      </c>
      <c r="B551" s="11">
        <v>3</v>
      </c>
      <c r="C551" s="11" t="str">
        <f t="shared" si="57"/>
        <v>30006_3</v>
      </c>
      <c r="D551" s="11" t="str">
        <f>VLOOKUP(C551,[1]stages!$A:$AE,31,FALSE)</f>
        <v>everyone</v>
      </c>
      <c r="E551" s="11">
        <v>550</v>
      </c>
      <c r="F551" s="11">
        <v>122</v>
      </c>
      <c r="G551" s="10" t="str">
        <f>IF(I551="unit",VLOOKUP(F551,[2]characters!$A:$C,3,FALSE),"-")</f>
        <v>生命の果実</v>
      </c>
      <c r="H551" s="11">
        <v>50</v>
      </c>
      <c r="I551" s="11" t="s">
        <v>36</v>
      </c>
      <c r="J551" s="11">
        <v>1</v>
      </c>
      <c r="K551" s="11">
        <v>1</v>
      </c>
      <c r="L551" s="11">
        <v>1</v>
      </c>
      <c r="M551" s="11">
        <v>0</v>
      </c>
      <c r="N551" s="11">
        <v>0</v>
      </c>
      <c r="O551" s="11">
        <v>0</v>
      </c>
      <c r="P551" s="11">
        <v>0</v>
      </c>
      <c r="Q551" s="11">
        <v>1</v>
      </c>
      <c r="R551" s="11" t="s">
        <v>27</v>
      </c>
      <c r="S551" s="11" t="s">
        <v>28</v>
      </c>
    </row>
    <row r="552" spans="1:19" x14ac:dyDescent="0.15">
      <c r="A552" s="11">
        <v>30006</v>
      </c>
      <c r="B552" s="11">
        <v>3</v>
      </c>
      <c r="C552" s="11" t="str">
        <f t="shared" si="57"/>
        <v>30006_3</v>
      </c>
      <c r="D552" s="11" t="str">
        <f>VLOOKUP(C552,[1]stages!$A:$AE,31,FALSE)</f>
        <v>everyone</v>
      </c>
      <c r="E552" s="11">
        <v>551</v>
      </c>
      <c r="F552" s="11">
        <v>123</v>
      </c>
      <c r="G552" s="10" t="str">
        <f>IF(I552="unit",VLOOKUP(F552,[2]characters!$A:$C,3,FALSE),"-")</f>
        <v>癒しの果実</v>
      </c>
      <c r="H552" s="11">
        <v>50</v>
      </c>
      <c r="I552" s="11" t="s">
        <v>36</v>
      </c>
      <c r="J552" s="11">
        <v>1</v>
      </c>
      <c r="K552" s="11">
        <v>1</v>
      </c>
      <c r="L552" s="11">
        <v>1</v>
      </c>
      <c r="M552" s="11">
        <v>0</v>
      </c>
      <c r="N552" s="11">
        <v>0</v>
      </c>
      <c r="O552" s="11">
        <v>0</v>
      </c>
      <c r="P552" s="11">
        <v>0</v>
      </c>
      <c r="Q552" s="11">
        <v>1</v>
      </c>
      <c r="R552" s="11" t="s">
        <v>27</v>
      </c>
      <c r="S552" s="11" t="s">
        <v>28</v>
      </c>
    </row>
    <row r="553" spans="1:19" x14ac:dyDescent="0.15">
      <c r="A553" s="11">
        <v>30006</v>
      </c>
      <c r="B553" s="11">
        <v>3</v>
      </c>
      <c r="C553" s="11" t="str">
        <f t="shared" si="57"/>
        <v>30006_3</v>
      </c>
      <c r="D553" s="11" t="str">
        <f>VLOOKUP(C553,[1]stages!$A:$AE,31,FALSE)</f>
        <v>everyone</v>
      </c>
      <c r="E553" s="11">
        <v>552</v>
      </c>
      <c r="F553" s="11">
        <v>125</v>
      </c>
      <c r="G553" s="10" t="str">
        <f>IF(I553="unit",VLOOKUP(F553,[2]characters!$A:$C,3,FALSE),"-")</f>
        <v>秘術の果実</v>
      </c>
      <c r="H553" s="11">
        <v>10</v>
      </c>
      <c r="I553" s="11" t="s">
        <v>36</v>
      </c>
      <c r="J553" s="11">
        <v>1</v>
      </c>
      <c r="K553" s="11">
        <v>1</v>
      </c>
      <c r="L553" s="11">
        <v>1</v>
      </c>
      <c r="M553" s="11">
        <v>0</v>
      </c>
      <c r="N553" s="11">
        <v>0</v>
      </c>
      <c r="O553" s="11">
        <v>0</v>
      </c>
      <c r="P553" s="11">
        <v>0</v>
      </c>
      <c r="Q553" s="11">
        <v>1</v>
      </c>
      <c r="R553" s="11" t="s">
        <v>27</v>
      </c>
      <c r="S553" s="11" t="s">
        <v>28</v>
      </c>
    </row>
    <row r="554" spans="1:19" x14ac:dyDescent="0.15">
      <c r="A554" s="11">
        <v>30006</v>
      </c>
      <c r="B554" s="11">
        <v>3</v>
      </c>
      <c r="C554" s="11" t="str">
        <f t="shared" si="57"/>
        <v>30006_3</v>
      </c>
      <c r="D554" s="11" t="str">
        <f>VLOOKUP(C554,[1]stages!$A:$AE,31,FALSE)</f>
        <v>everyone</v>
      </c>
      <c r="E554" s="11">
        <v>553</v>
      </c>
      <c r="F554" s="11">
        <v>294</v>
      </c>
      <c r="G554" s="10" t="str">
        <f>IF(I554="unit",VLOOKUP(F554,[2]characters!$A:$C,3,FALSE),"-")</f>
        <v>ウルフ・ザ・レッドイーター</v>
      </c>
      <c r="H554" s="11">
        <v>400</v>
      </c>
      <c r="I554" s="11" t="s">
        <v>36</v>
      </c>
      <c r="J554" s="11">
        <v>1</v>
      </c>
      <c r="K554" s="11">
        <v>1</v>
      </c>
      <c r="L554" s="11">
        <v>1</v>
      </c>
      <c r="M554" s="11">
        <v>0</v>
      </c>
      <c r="N554" s="11">
        <v>0</v>
      </c>
      <c r="O554" s="11">
        <v>0</v>
      </c>
      <c r="P554" s="11">
        <v>0</v>
      </c>
      <c r="Q554" s="11">
        <v>1</v>
      </c>
      <c r="R554" s="11" t="s">
        <v>27</v>
      </c>
      <c r="S554" s="11" t="s">
        <v>28</v>
      </c>
    </row>
    <row r="555" spans="1:19" x14ac:dyDescent="0.15">
      <c r="A555" s="11">
        <v>30006</v>
      </c>
      <c r="B555" s="11">
        <v>3</v>
      </c>
      <c r="C555" s="11" t="str">
        <f t="shared" si="57"/>
        <v>30006_3</v>
      </c>
      <c r="D555" s="11" t="str">
        <f>VLOOKUP(C555,[1]stages!$A:$AE,31,FALSE)</f>
        <v>everyone</v>
      </c>
      <c r="E555" s="11">
        <v>554</v>
      </c>
      <c r="F555" s="11">
        <v>350</v>
      </c>
      <c r="G555" s="10" t="str">
        <f>IF(I555="unit",VLOOKUP(F555,[2]characters!$A:$C,3,FALSE),"-")</f>
        <v>森のケロケロ</v>
      </c>
      <c r="H555" s="11">
        <v>100</v>
      </c>
      <c r="I555" s="11" t="s">
        <v>36</v>
      </c>
      <c r="J555" s="11">
        <v>1</v>
      </c>
      <c r="K555" s="11">
        <v>1</v>
      </c>
      <c r="L555" s="11">
        <v>1</v>
      </c>
      <c r="M555" s="11">
        <v>0</v>
      </c>
      <c r="N555" s="11">
        <v>0</v>
      </c>
      <c r="O555" s="11">
        <v>0</v>
      </c>
      <c r="P555" s="11">
        <v>0</v>
      </c>
      <c r="Q555" s="11">
        <v>1</v>
      </c>
      <c r="R555" s="11" t="s">
        <v>27</v>
      </c>
      <c r="S555" s="11" t="s">
        <v>28</v>
      </c>
    </row>
    <row r="556" spans="1:19" x14ac:dyDescent="0.15">
      <c r="A556" s="12">
        <v>30007</v>
      </c>
      <c r="B556" s="12">
        <v>1</v>
      </c>
      <c r="C556" s="12" t="str">
        <f>A556&amp; "_"&amp;B556</f>
        <v>30007_1</v>
      </c>
      <c r="D556" s="12" t="str">
        <f>VLOOKUP(C556,[1]stages!$A:$AE,31,FALSE)</f>
        <v>everyone</v>
      </c>
      <c r="E556" s="12">
        <v>555</v>
      </c>
      <c r="F556" s="12">
        <v>3200</v>
      </c>
      <c r="G556" s="10" t="str">
        <f>IF(I556="unit",VLOOKUP(F556,[2]characters!$A:$C,3,FALSE),"-")</f>
        <v>-</v>
      </c>
      <c r="H556" s="12">
        <v>200</v>
      </c>
      <c r="I556" s="12" t="s">
        <v>32</v>
      </c>
      <c r="J556" s="12" t="s">
        <v>33</v>
      </c>
      <c r="K556" s="12">
        <v>1</v>
      </c>
      <c r="L556" s="12">
        <v>1</v>
      </c>
      <c r="M556" s="12">
        <v>0</v>
      </c>
      <c r="N556" s="12">
        <v>0</v>
      </c>
      <c r="O556" s="12">
        <v>0</v>
      </c>
      <c r="P556" s="12">
        <v>0</v>
      </c>
      <c r="Q556" s="12">
        <v>1</v>
      </c>
      <c r="R556" s="12" t="s">
        <v>27</v>
      </c>
      <c r="S556" s="12" t="s">
        <v>28</v>
      </c>
    </row>
    <row r="557" spans="1:19" x14ac:dyDescent="0.15">
      <c r="A557" s="12">
        <v>30007</v>
      </c>
      <c r="B557" s="12">
        <v>1</v>
      </c>
      <c r="C557" s="12" t="str">
        <f t="shared" ref="C557:C565" si="58">A557&amp; "_"&amp;B557</f>
        <v>30007_1</v>
      </c>
      <c r="D557" s="12" t="str">
        <f>VLOOKUP(C557,[1]stages!$A:$AE,31,FALSE)</f>
        <v>everyone</v>
      </c>
      <c r="E557" s="12">
        <v>556</v>
      </c>
      <c r="F557" s="12">
        <v>20</v>
      </c>
      <c r="G557" s="10" t="str">
        <f>IF(I557="unit",VLOOKUP(F557,[2]characters!$A:$C,3,FALSE),"-")</f>
        <v>-</v>
      </c>
      <c r="H557" s="12">
        <v>200</v>
      </c>
      <c r="I557" s="12" t="s">
        <v>35</v>
      </c>
      <c r="J557" s="12" t="s">
        <v>33</v>
      </c>
      <c r="K557" s="12">
        <v>1</v>
      </c>
      <c r="L557" s="12">
        <v>1</v>
      </c>
      <c r="M557" s="12">
        <v>0</v>
      </c>
      <c r="N557" s="12">
        <v>0</v>
      </c>
      <c r="O557" s="12">
        <v>0</v>
      </c>
      <c r="P557" s="12">
        <v>0</v>
      </c>
      <c r="Q557" s="12">
        <v>1</v>
      </c>
      <c r="R557" s="12" t="s">
        <v>27</v>
      </c>
      <c r="S557" s="12" t="s">
        <v>28</v>
      </c>
    </row>
    <row r="558" spans="1:19" x14ac:dyDescent="0.15">
      <c r="A558" s="12">
        <v>30007</v>
      </c>
      <c r="B558" s="12">
        <v>1</v>
      </c>
      <c r="C558" s="12" t="str">
        <f t="shared" si="58"/>
        <v>30007_1</v>
      </c>
      <c r="D558" s="12" t="str">
        <f>VLOOKUP(C558,[1]stages!$A:$AE,31,FALSE)</f>
        <v>everyone</v>
      </c>
      <c r="E558" s="12">
        <v>557</v>
      </c>
      <c r="F558" s="12">
        <v>340</v>
      </c>
      <c r="G558" s="10" t="str">
        <f>IF(I558="unit",VLOOKUP(F558,[2]characters!$A:$C,3,FALSE),"-")</f>
        <v>水のメタルピヨピヨ</v>
      </c>
      <c r="H558" s="12">
        <v>70</v>
      </c>
      <c r="I558" s="12" t="s">
        <v>36</v>
      </c>
      <c r="J558" s="12">
        <v>1</v>
      </c>
      <c r="K558" s="12">
        <v>1</v>
      </c>
      <c r="L558" s="12">
        <v>1</v>
      </c>
      <c r="M558" s="12">
        <v>0</v>
      </c>
      <c r="N558" s="12">
        <v>0</v>
      </c>
      <c r="O558" s="12">
        <v>0</v>
      </c>
      <c r="P558" s="12">
        <v>0</v>
      </c>
      <c r="Q558" s="12">
        <v>1</v>
      </c>
      <c r="R558" s="12" t="s">
        <v>27</v>
      </c>
      <c r="S558" s="12" t="s">
        <v>28</v>
      </c>
    </row>
    <row r="559" spans="1:19" x14ac:dyDescent="0.15">
      <c r="A559" s="12">
        <v>30007</v>
      </c>
      <c r="B559" s="12">
        <v>1</v>
      </c>
      <c r="C559" s="12" t="str">
        <f t="shared" si="58"/>
        <v>30007_1</v>
      </c>
      <c r="D559" s="12" t="str">
        <f>VLOOKUP(C559,[1]stages!$A:$AE,31,FALSE)</f>
        <v>everyone</v>
      </c>
      <c r="E559" s="12">
        <v>558</v>
      </c>
      <c r="F559" s="12">
        <v>341</v>
      </c>
      <c r="G559" s="10" t="str">
        <f>IF(I559="unit",VLOOKUP(F559,[2]characters!$A:$C,3,FALSE),"-")</f>
        <v>水のメタルチック</v>
      </c>
      <c r="H559" s="12">
        <v>70</v>
      </c>
      <c r="I559" s="12" t="s">
        <v>36</v>
      </c>
      <c r="J559" s="12">
        <v>1</v>
      </c>
      <c r="K559" s="12">
        <v>1</v>
      </c>
      <c r="L559" s="12">
        <v>1</v>
      </c>
      <c r="M559" s="12">
        <v>0</v>
      </c>
      <c r="N559" s="12">
        <v>0</v>
      </c>
      <c r="O559" s="12">
        <v>0</v>
      </c>
      <c r="P559" s="12">
        <v>0</v>
      </c>
      <c r="Q559" s="12">
        <v>1</v>
      </c>
      <c r="R559" s="12" t="s">
        <v>27</v>
      </c>
      <c r="S559" s="12" t="s">
        <v>28</v>
      </c>
    </row>
    <row r="560" spans="1:19" x14ac:dyDescent="0.15">
      <c r="A560" s="12">
        <v>30007</v>
      </c>
      <c r="B560" s="12">
        <v>1</v>
      </c>
      <c r="C560" s="12" t="str">
        <f t="shared" si="58"/>
        <v>30007_1</v>
      </c>
      <c r="D560" s="12" t="str">
        <f>VLOOKUP(C560,[1]stages!$A:$AE,31,FALSE)</f>
        <v>everyone</v>
      </c>
      <c r="E560" s="12">
        <v>559</v>
      </c>
      <c r="F560" s="12">
        <v>121</v>
      </c>
      <c r="G560" s="10" t="str">
        <f>IF(I560="unit",VLOOKUP(F560,[2]characters!$A:$C,3,FALSE),"-")</f>
        <v>攻めの果実</v>
      </c>
      <c r="H560" s="12">
        <v>50</v>
      </c>
      <c r="I560" s="12" t="s">
        <v>36</v>
      </c>
      <c r="J560" s="12">
        <v>1</v>
      </c>
      <c r="K560" s="12">
        <v>1</v>
      </c>
      <c r="L560" s="12">
        <v>1</v>
      </c>
      <c r="M560" s="12">
        <v>0</v>
      </c>
      <c r="N560" s="12">
        <v>0</v>
      </c>
      <c r="O560" s="12">
        <v>0</v>
      </c>
      <c r="P560" s="12">
        <v>0</v>
      </c>
      <c r="Q560" s="12">
        <v>1</v>
      </c>
      <c r="R560" s="12" t="s">
        <v>27</v>
      </c>
      <c r="S560" s="12" t="s">
        <v>28</v>
      </c>
    </row>
    <row r="561" spans="1:19" x14ac:dyDescent="0.15">
      <c r="A561" s="12">
        <v>30007</v>
      </c>
      <c r="B561" s="12">
        <v>1</v>
      </c>
      <c r="C561" s="12" t="str">
        <f t="shared" si="58"/>
        <v>30007_1</v>
      </c>
      <c r="D561" s="12" t="str">
        <f>VLOOKUP(C561,[1]stages!$A:$AE,31,FALSE)</f>
        <v>everyone</v>
      </c>
      <c r="E561" s="12">
        <v>560</v>
      </c>
      <c r="F561" s="12">
        <v>122</v>
      </c>
      <c r="G561" s="10" t="str">
        <f>IF(I561="unit",VLOOKUP(F561,[2]characters!$A:$C,3,FALSE),"-")</f>
        <v>生命の果実</v>
      </c>
      <c r="H561" s="12">
        <v>50</v>
      </c>
      <c r="I561" s="12" t="s">
        <v>36</v>
      </c>
      <c r="J561" s="12">
        <v>1</v>
      </c>
      <c r="K561" s="12">
        <v>1</v>
      </c>
      <c r="L561" s="12">
        <v>1</v>
      </c>
      <c r="M561" s="12">
        <v>0</v>
      </c>
      <c r="N561" s="12">
        <v>0</v>
      </c>
      <c r="O561" s="12">
        <v>0</v>
      </c>
      <c r="P561" s="12">
        <v>0</v>
      </c>
      <c r="Q561" s="12">
        <v>1</v>
      </c>
      <c r="R561" s="12" t="s">
        <v>27</v>
      </c>
      <c r="S561" s="12" t="s">
        <v>28</v>
      </c>
    </row>
    <row r="562" spans="1:19" x14ac:dyDescent="0.15">
      <c r="A562" s="12">
        <v>30007</v>
      </c>
      <c r="B562" s="12">
        <v>1</v>
      </c>
      <c r="C562" s="12" t="str">
        <f t="shared" si="58"/>
        <v>30007_1</v>
      </c>
      <c r="D562" s="12" t="str">
        <f>VLOOKUP(C562,[1]stages!$A:$AE,31,FALSE)</f>
        <v>everyone</v>
      </c>
      <c r="E562" s="12">
        <v>561</v>
      </c>
      <c r="F562" s="12">
        <v>123</v>
      </c>
      <c r="G562" s="10" t="str">
        <f>IF(I562="unit",VLOOKUP(F562,[2]characters!$A:$C,3,FALSE),"-")</f>
        <v>癒しの果実</v>
      </c>
      <c r="H562" s="12">
        <v>50</v>
      </c>
      <c r="I562" s="12" t="s">
        <v>36</v>
      </c>
      <c r="J562" s="12">
        <v>1</v>
      </c>
      <c r="K562" s="12">
        <v>1</v>
      </c>
      <c r="L562" s="12">
        <v>1</v>
      </c>
      <c r="M562" s="12">
        <v>0</v>
      </c>
      <c r="N562" s="12">
        <v>0</v>
      </c>
      <c r="O562" s="12">
        <v>0</v>
      </c>
      <c r="P562" s="12">
        <v>0</v>
      </c>
      <c r="Q562" s="12">
        <v>1</v>
      </c>
      <c r="R562" s="12" t="s">
        <v>27</v>
      </c>
      <c r="S562" s="12" t="s">
        <v>28</v>
      </c>
    </row>
    <row r="563" spans="1:19" x14ac:dyDescent="0.15">
      <c r="A563" s="12">
        <v>30007</v>
      </c>
      <c r="B563" s="12">
        <v>1</v>
      </c>
      <c r="C563" s="12" t="str">
        <f t="shared" si="58"/>
        <v>30007_1</v>
      </c>
      <c r="D563" s="12" t="str">
        <f>VLOOKUP(C563,[1]stages!$A:$AE,31,FALSE)</f>
        <v>everyone</v>
      </c>
      <c r="E563" s="12">
        <v>562</v>
      </c>
      <c r="F563" s="12">
        <v>125</v>
      </c>
      <c r="G563" s="10" t="str">
        <f>IF(I563="unit",VLOOKUP(F563,[2]characters!$A:$C,3,FALSE),"-")</f>
        <v>秘術の果実</v>
      </c>
      <c r="H563" s="12">
        <v>10</v>
      </c>
      <c r="I563" s="12" t="s">
        <v>36</v>
      </c>
      <c r="J563" s="12">
        <v>1</v>
      </c>
      <c r="K563" s="12">
        <v>1</v>
      </c>
      <c r="L563" s="12">
        <v>1</v>
      </c>
      <c r="M563" s="12">
        <v>0</v>
      </c>
      <c r="N563" s="12">
        <v>0</v>
      </c>
      <c r="O563" s="12">
        <v>0</v>
      </c>
      <c r="P563" s="12">
        <v>0</v>
      </c>
      <c r="Q563" s="12">
        <v>1</v>
      </c>
      <c r="R563" s="12" t="s">
        <v>27</v>
      </c>
      <c r="S563" s="12" t="s">
        <v>28</v>
      </c>
    </row>
    <row r="564" spans="1:19" x14ac:dyDescent="0.15">
      <c r="A564" s="12">
        <v>30007</v>
      </c>
      <c r="B564" s="12">
        <v>1</v>
      </c>
      <c r="C564" s="12" t="str">
        <f t="shared" si="58"/>
        <v>30007_1</v>
      </c>
      <c r="D564" s="12" t="str">
        <f>VLOOKUP(C564,[1]stages!$A:$AE,31,FALSE)</f>
        <v>everyone</v>
      </c>
      <c r="E564" s="12">
        <v>563</v>
      </c>
      <c r="F564" s="12">
        <v>292</v>
      </c>
      <c r="G564" s="10" t="str">
        <f>IF(I564="unit",VLOOKUP(F564,[2]characters!$A:$C,3,FALSE),"-")</f>
        <v>アナスタシア</v>
      </c>
      <c r="H564" s="12">
        <v>200</v>
      </c>
      <c r="I564" s="12" t="s">
        <v>36</v>
      </c>
      <c r="J564" s="12">
        <v>1</v>
      </c>
      <c r="K564" s="12">
        <v>1</v>
      </c>
      <c r="L564" s="12">
        <v>1</v>
      </c>
      <c r="M564" s="12">
        <v>0</v>
      </c>
      <c r="N564" s="12">
        <v>0</v>
      </c>
      <c r="O564" s="12">
        <v>0</v>
      </c>
      <c r="P564" s="12">
        <v>0</v>
      </c>
      <c r="Q564" s="12">
        <v>1</v>
      </c>
      <c r="R564" s="12" t="s">
        <v>27</v>
      </c>
      <c r="S564" s="12" t="s">
        <v>28</v>
      </c>
    </row>
    <row r="565" spans="1:19" x14ac:dyDescent="0.15">
      <c r="A565" s="12">
        <v>30007</v>
      </c>
      <c r="B565" s="12">
        <v>1</v>
      </c>
      <c r="C565" s="12" t="str">
        <f t="shared" si="58"/>
        <v>30007_1</v>
      </c>
      <c r="D565" s="12" t="str">
        <f>VLOOKUP(C565,[1]stages!$A:$AE,31,FALSE)</f>
        <v>everyone</v>
      </c>
      <c r="E565" s="12">
        <v>564</v>
      </c>
      <c r="F565" s="12">
        <v>352</v>
      </c>
      <c r="G565" s="10" t="str">
        <f>IF(I565="unit",VLOOKUP(F565,[2]characters!$A:$C,3,FALSE),"-")</f>
        <v>水のケロケロ</v>
      </c>
      <c r="H565" s="12">
        <v>100</v>
      </c>
      <c r="I565" s="12" t="s">
        <v>36</v>
      </c>
      <c r="J565" s="12">
        <v>1</v>
      </c>
      <c r="K565" s="12">
        <v>1</v>
      </c>
      <c r="L565" s="12">
        <v>1</v>
      </c>
      <c r="M565" s="12">
        <v>0</v>
      </c>
      <c r="N565" s="12">
        <v>0</v>
      </c>
      <c r="O565" s="12">
        <v>0</v>
      </c>
      <c r="P565" s="12">
        <v>0</v>
      </c>
      <c r="Q565" s="12">
        <v>1</v>
      </c>
      <c r="R565" s="12" t="s">
        <v>27</v>
      </c>
      <c r="S565" s="12" t="s">
        <v>28</v>
      </c>
    </row>
    <row r="566" spans="1:19" x14ac:dyDescent="0.15">
      <c r="A566" s="12">
        <v>30007</v>
      </c>
      <c r="B566" s="12">
        <v>2</v>
      </c>
      <c r="C566" s="12" t="str">
        <f>A566&amp; "_"&amp;B566</f>
        <v>30007_2</v>
      </c>
      <c r="D566" s="12" t="str">
        <f>VLOOKUP(C566,[1]stages!$A:$AE,31,FALSE)</f>
        <v>everyone</v>
      </c>
      <c r="E566" s="12">
        <v>565</v>
      </c>
      <c r="F566" s="12">
        <v>5000</v>
      </c>
      <c r="G566" s="10" t="str">
        <f>IF(I566="unit",VLOOKUP(F566,[2]characters!$A:$C,3,FALSE),"-")</f>
        <v>-</v>
      </c>
      <c r="H566" s="12">
        <v>200</v>
      </c>
      <c r="I566" s="12" t="s">
        <v>32</v>
      </c>
      <c r="J566" s="12" t="s">
        <v>33</v>
      </c>
      <c r="K566" s="12">
        <v>1</v>
      </c>
      <c r="L566" s="12">
        <v>1</v>
      </c>
      <c r="M566" s="12">
        <v>0</v>
      </c>
      <c r="N566" s="12">
        <v>0</v>
      </c>
      <c r="O566" s="12">
        <v>0</v>
      </c>
      <c r="P566" s="12">
        <v>0</v>
      </c>
      <c r="Q566" s="12">
        <v>1</v>
      </c>
      <c r="R566" s="12" t="s">
        <v>27</v>
      </c>
      <c r="S566" s="12" t="s">
        <v>28</v>
      </c>
    </row>
    <row r="567" spans="1:19" x14ac:dyDescent="0.15">
      <c r="A567" s="12">
        <v>30007</v>
      </c>
      <c r="B567" s="12">
        <v>2</v>
      </c>
      <c r="C567" s="12" t="str">
        <f t="shared" ref="C567:C576" si="59">A567&amp; "_"&amp;B567</f>
        <v>30007_2</v>
      </c>
      <c r="D567" s="12" t="str">
        <f>VLOOKUP(C567,[1]stages!$A:$AE,31,FALSE)</f>
        <v>everyone</v>
      </c>
      <c r="E567" s="12">
        <v>566</v>
      </c>
      <c r="F567" s="12">
        <v>25</v>
      </c>
      <c r="G567" s="10" t="str">
        <f>IF(I567="unit",VLOOKUP(F567,[2]characters!$A:$C,3,FALSE),"-")</f>
        <v>-</v>
      </c>
      <c r="H567" s="12">
        <v>150</v>
      </c>
      <c r="I567" s="12" t="s">
        <v>35</v>
      </c>
      <c r="J567" s="12" t="s">
        <v>33</v>
      </c>
      <c r="K567" s="12">
        <v>1</v>
      </c>
      <c r="L567" s="12">
        <v>1</v>
      </c>
      <c r="M567" s="12">
        <v>0</v>
      </c>
      <c r="N567" s="12">
        <v>0</v>
      </c>
      <c r="O567" s="12">
        <v>0</v>
      </c>
      <c r="P567" s="12">
        <v>0</v>
      </c>
      <c r="Q567" s="12">
        <v>1</v>
      </c>
      <c r="R567" s="12" t="s">
        <v>27</v>
      </c>
      <c r="S567" s="12" t="s">
        <v>28</v>
      </c>
    </row>
    <row r="568" spans="1:19" x14ac:dyDescent="0.15">
      <c r="A568" s="12">
        <v>30007</v>
      </c>
      <c r="B568" s="12">
        <v>2</v>
      </c>
      <c r="C568" s="12" t="str">
        <f t="shared" si="59"/>
        <v>30007_2</v>
      </c>
      <c r="D568" s="12" t="str">
        <f>VLOOKUP(C568,[1]stages!$A:$AE,31,FALSE)</f>
        <v>everyone</v>
      </c>
      <c r="E568" s="12">
        <v>567</v>
      </c>
      <c r="F568" s="12">
        <v>340</v>
      </c>
      <c r="G568" s="10" t="str">
        <f>IF(I568="unit",VLOOKUP(F568,[2]characters!$A:$C,3,FALSE),"-")</f>
        <v>水のメタルピヨピヨ</v>
      </c>
      <c r="H568" s="12">
        <v>56</v>
      </c>
      <c r="I568" s="12" t="s">
        <v>36</v>
      </c>
      <c r="J568" s="12">
        <v>1</v>
      </c>
      <c r="K568" s="12">
        <v>1</v>
      </c>
      <c r="L568" s="12">
        <v>1</v>
      </c>
      <c r="M568" s="12">
        <v>0</v>
      </c>
      <c r="N568" s="12">
        <v>0</v>
      </c>
      <c r="O568" s="12">
        <v>0</v>
      </c>
      <c r="P568" s="12">
        <v>0</v>
      </c>
      <c r="Q568" s="12">
        <v>1</v>
      </c>
      <c r="R568" s="12" t="s">
        <v>27</v>
      </c>
      <c r="S568" s="12" t="s">
        <v>28</v>
      </c>
    </row>
    <row r="569" spans="1:19" x14ac:dyDescent="0.15">
      <c r="A569" s="12">
        <v>30007</v>
      </c>
      <c r="B569" s="12">
        <v>2</v>
      </c>
      <c r="C569" s="12" t="str">
        <f t="shared" si="59"/>
        <v>30007_2</v>
      </c>
      <c r="D569" s="12" t="str">
        <f>VLOOKUP(C569,[1]stages!$A:$AE,31,FALSE)</f>
        <v>everyone</v>
      </c>
      <c r="E569" s="12">
        <v>568</v>
      </c>
      <c r="F569" s="12">
        <v>341</v>
      </c>
      <c r="G569" s="10" t="str">
        <f>IF(I569="unit",VLOOKUP(F569,[2]characters!$A:$C,3,FALSE),"-")</f>
        <v>水のメタルチック</v>
      </c>
      <c r="H569" s="12">
        <v>56</v>
      </c>
      <c r="I569" s="12" t="s">
        <v>36</v>
      </c>
      <c r="J569" s="12">
        <v>1</v>
      </c>
      <c r="K569" s="12">
        <v>1</v>
      </c>
      <c r="L569" s="12">
        <v>1</v>
      </c>
      <c r="M569" s="12">
        <v>0</v>
      </c>
      <c r="N569" s="12">
        <v>0</v>
      </c>
      <c r="O569" s="12">
        <v>0</v>
      </c>
      <c r="P569" s="12">
        <v>0</v>
      </c>
      <c r="Q569" s="12">
        <v>1</v>
      </c>
      <c r="R569" s="12" t="s">
        <v>27</v>
      </c>
      <c r="S569" s="12" t="s">
        <v>28</v>
      </c>
    </row>
    <row r="570" spans="1:19" x14ac:dyDescent="0.15">
      <c r="A570" s="12">
        <v>30007</v>
      </c>
      <c r="B570" s="12">
        <v>2</v>
      </c>
      <c r="C570" s="12" t="str">
        <f t="shared" si="59"/>
        <v>30007_2</v>
      </c>
      <c r="D570" s="12" t="str">
        <f>VLOOKUP(C570,[1]stages!$A:$AE,31,FALSE)</f>
        <v>everyone</v>
      </c>
      <c r="E570" s="12">
        <v>569</v>
      </c>
      <c r="F570" s="12">
        <v>342</v>
      </c>
      <c r="G570" s="10" t="str">
        <f>IF(I570="unit",VLOOKUP(F570,[2]characters!$A:$C,3,FALSE),"-")</f>
        <v>水のメタルダック</v>
      </c>
      <c r="H570" s="12">
        <v>28</v>
      </c>
      <c r="I570" s="12" t="s">
        <v>36</v>
      </c>
      <c r="J570" s="12">
        <v>1</v>
      </c>
      <c r="K570" s="12">
        <v>1</v>
      </c>
      <c r="L570" s="12">
        <v>1</v>
      </c>
      <c r="M570" s="12">
        <v>0</v>
      </c>
      <c r="N570" s="12">
        <v>0</v>
      </c>
      <c r="O570" s="12">
        <v>0</v>
      </c>
      <c r="P570" s="12">
        <v>0</v>
      </c>
      <c r="Q570" s="12">
        <v>1</v>
      </c>
      <c r="R570" s="12" t="s">
        <v>27</v>
      </c>
      <c r="S570" s="12" t="s">
        <v>28</v>
      </c>
    </row>
    <row r="571" spans="1:19" x14ac:dyDescent="0.15">
      <c r="A571" s="12">
        <v>30007</v>
      </c>
      <c r="B571" s="12">
        <v>2</v>
      </c>
      <c r="C571" s="12" t="str">
        <f t="shared" si="59"/>
        <v>30007_2</v>
      </c>
      <c r="D571" s="12" t="str">
        <f>VLOOKUP(C571,[1]stages!$A:$AE,31,FALSE)</f>
        <v>everyone</v>
      </c>
      <c r="E571" s="12">
        <v>570</v>
      </c>
      <c r="F571" s="12">
        <v>121</v>
      </c>
      <c r="G571" s="10" t="str">
        <f>IF(I571="unit",VLOOKUP(F571,[2]characters!$A:$C,3,FALSE),"-")</f>
        <v>攻めの果実</v>
      </c>
      <c r="H571" s="12">
        <v>50</v>
      </c>
      <c r="I571" s="12" t="s">
        <v>36</v>
      </c>
      <c r="J571" s="12">
        <v>1</v>
      </c>
      <c r="K571" s="12">
        <v>1</v>
      </c>
      <c r="L571" s="12">
        <v>1</v>
      </c>
      <c r="M571" s="12">
        <v>0</v>
      </c>
      <c r="N571" s="12">
        <v>0</v>
      </c>
      <c r="O571" s="12">
        <v>0</v>
      </c>
      <c r="P571" s="12">
        <v>0</v>
      </c>
      <c r="Q571" s="12">
        <v>1</v>
      </c>
      <c r="R571" s="12" t="s">
        <v>27</v>
      </c>
      <c r="S571" s="12" t="s">
        <v>28</v>
      </c>
    </row>
    <row r="572" spans="1:19" x14ac:dyDescent="0.15">
      <c r="A572" s="12">
        <v>30007</v>
      </c>
      <c r="B572" s="12">
        <v>2</v>
      </c>
      <c r="C572" s="12" t="str">
        <f t="shared" si="59"/>
        <v>30007_2</v>
      </c>
      <c r="D572" s="12" t="str">
        <f>VLOOKUP(C572,[1]stages!$A:$AE,31,FALSE)</f>
        <v>everyone</v>
      </c>
      <c r="E572" s="12">
        <v>571</v>
      </c>
      <c r="F572" s="12">
        <v>122</v>
      </c>
      <c r="G572" s="10" t="str">
        <f>IF(I572="unit",VLOOKUP(F572,[2]characters!$A:$C,3,FALSE),"-")</f>
        <v>生命の果実</v>
      </c>
      <c r="H572" s="12">
        <v>50</v>
      </c>
      <c r="I572" s="12" t="s">
        <v>36</v>
      </c>
      <c r="J572" s="12">
        <v>1</v>
      </c>
      <c r="K572" s="12">
        <v>1</v>
      </c>
      <c r="L572" s="12">
        <v>1</v>
      </c>
      <c r="M572" s="12">
        <v>0</v>
      </c>
      <c r="N572" s="12">
        <v>0</v>
      </c>
      <c r="O572" s="12">
        <v>0</v>
      </c>
      <c r="P572" s="12">
        <v>0</v>
      </c>
      <c r="Q572" s="12">
        <v>1</v>
      </c>
      <c r="R572" s="12" t="s">
        <v>27</v>
      </c>
      <c r="S572" s="12" t="s">
        <v>28</v>
      </c>
    </row>
    <row r="573" spans="1:19" x14ac:dyDescent="0.15">
      <c r="A573" s="12">
        <v>30007</v>
      </c>
      <c r="B573" s="12">
        <v>2</v>
      </c>
      <c r="C573" s="12" t="str">
        <f t="shared" si="59"/>
        <v>30007_2</v>
      </c>
      <c r="D573" s="12" t="str">
        <f>VLOOKUP(C573,[1]stages!$A:$AE,31,FALSE)</f>
        <v>everyone</v>
      </c>
      <c r="E573" s="12">
        <v>572</v>
      </c>
      <c r="F573" s="12">
        <v>123</v>
      </c>
      <c r="G573" s="10" t="str">
        <f>IF(I573="unit",VLOOKUP(F573,[2]characters!$A:$C,3,FALSE),"-")</f>
        <v>癒しの果実</v>
      </c>
      <c r="H573" s="12">
        <v>50</v>
      </c>
      <c r="I573" s="12" t="s">
        <v>36</v>
      </c>
      <c r="J573" s="12">
        <v>1</v>
      </c>
      <c r="K573" s="12">
        <v>1</v>
      </c>
      <c r="L573" s="12">
        <v>1</v>
      </c>
      <c r="M573" s="12">
        <v>0</v>
      </c>
      <c r="N573" s="12">
        <v>0</v>
      </c>
      <c r="O573" s="12">
        <v>0</v>
      </c>
      <c r="P573" s="12">
        <v>0</v>
      </c>
      <c r="Q573" s="12">
        <v>1</v>
      </c>
      <c r="R573" s="12" t="s">
        <v>27</v>
      </c>
      <c r="S573" s="12" t="s">
        <v>28</v>
      </c>
    </row>
    <row r="574" spans="1:19" x14ac:dyDescent="0.15">
      <c r="A574" s="12">
        <v>30007</v>
      </c>
      <c r="B574" s="12">
        <v>2</v>
      </c>
      <c r="C574" s="12" t="str">
        <f t="shared" si="59"/>
        <v>30007_2</v>
      </c>
      <c r="D574" s="12" t="str">
        <f>VLOOKUP(C574,[1]stages!$A:$AE,31,FALSE)</f>
        <v>everyone</v>
      </c>
      <c r="E574" s="12">
        <v>573</v>
      </c>
      <c r="F574" s="12">
        <v>125</v>
      </c>
      <c r="G574" s="10" t="str">
        <f>IF(I574="unit",VLOOKUP(F574,[2]characters!$A:$C,3,FALSE),"-")</f>
        <v>秘術の果実</v>
      </c>
      <c r="H574" s="12">
        <v>10</v>
      </c>
      <c r="I574" s="12" t="s">
        <v>36</v>
      </c>
      <c r="J574" s="12">
        <v>1</v>
      </c>
      <c r="K574" s="12">
        <v>1</v>
      </c>
      <c r="L574" s="12">
        <v>1</v>
      </c>
      <c r="M574" s="12">
        <v>0</v>
      </c>
      <c r="N574" s="12">
        <v>0</v>
      </c>
      <c r="O574" s="12">
        <v>0</v>
      </c>
      <c r="P574" s="12">
        <v>0</v>
      </c>
      <c r="Q574" s="12">
        <v>1</v>
      </c>
      <c r="R574" s="12" t="s">
        <v>27</v>
      </c>
      <c r="S574" s="12" t="s">
        <v>28</v>
      </c>
    </row>
    <row r="575" spans="1:19" x14ac:dyDescent="0.15">
      <c r="A575" s="12">
        <v>30007</v>
      </c>
      <c r="B575" s="12">
        <v>2</v>
      </c>
      <c r="C575" s="12" t="str">
        <f t="shared" si="59"/>
        <v>30007_2</v>
      </c>
      <c r="D575" s="12" t="str">
        <f>VLOOKUP(C575,[1]stages!$A:$AE,31,FALSE)</f>
        <v>everyone</v>
      </c>
      <c r="E575" s="12">
        <v>574</v>
      </c>
      <c r="F575" s="12">
        <v>292</v>
      </c>
      <c r="G575" s="10" t="str">
        <f>IF(I575="unit",VLOOKUP(F575,[2]characters!$A:$C,3,FALSE),"-")</f>
        <v>アナスタシア</v>
      </c>
      <c r="H575" s="12">
        <v>250</v>
      </c>
      <c r="I575" s="12" t="s">
        <v>36</v>
      </c>
      <c r="J575" s="12">
        <v>1</v>
      </c>
      <c r="K575" s="12">
        <v>1</v>
      </c>
      <c r="L575" s="12">
        <v>1</v>
      </c>
      <c r="M575" s="12">
        <v>0</v>
      </c>
      <c r="N575" s="12">
        <v>0</v>
      </c>
      <c r="O575" s="12">
        <v>0</v>
      </c>
      <c r="P575" s="12">
        <v>0</v>
      </c>
      <c r="Q575" s="12">
        <v>1</v>
      </c>
      <c r="R575" s="12" t="s">
        <v>27</v>
      </c>
      <c r="S575" s="12" t="s">
        <v>28</v>
      </c>
    </row>
    <row r="576" spans="1:19" x14ac:dyDescent="0.15">
      <c r="A576" s="12">
        <v>30007</v>
      </c>
      <c r="B576" s="12">
        <v>2</v>
      </c>
      <c r="C576" s="12" t="str">
        <f t="shared" si="59"/>
        <v>30007_2</v>
      </c>
      <c r="D576" s="12" t="str">
        <f>VLOOKUP(C576,[1]stages!$A:$AE,31,FALSE)</f>
        <v>everyone</v>
      </c>
      <c r="E576" s="12">
        <v>575</v>
      </c>
      <c r="F576" s="12">
        <v>352</v>
      </c>
      <c r="G576" s="10" t="str">
        <f>IF(I576="unit",VLOOKUP(F576,[2]characters!$A:$C,3,FALSE),"-")</f>
        <v>水のケロケロ</v>
      </c>
      <c r="H576" s="12">
        <v>100</v>
      </c>
      <c r="I576" s="12" t="s">
        <v>36</v>
      </c>
      <c r="J576" s="12">
        <v>1</v>
      </c>
      <c r="K576" s="12">
        <v>1</v>
      </c>
      <c r="L576" s="12">
        <v>1</v>
      </c>
      <c r="M576" s="12">
        <v>0</v>
      </c>
      <c r="N576" s="12">
        <v>0</v>
      </c>
      <c r="O576" s="12">
        <v>0</v>
      </c>
      <c r="P576" s="12">
        <v>0</v>
      </c>
      <c r="Q576" s="12">
        <v>1</v>
      </c>
      <c r="R576" s="12" t="s">
        <v>27</v>
      </c>
      <c r="S576" s="12" t="s">
        <v>28</v>
      </c>
    </row>
    <row r="577" spans="1:19" x14ac:dyDescent="0.15">
      <c r="A577" s="12">
        <v>30007</v>
      </c>
      <c r="B577" s="12">
        <v>3</v>
      </c>
      <c r="C577" s="12" t="str">
        <f>A577&amp; "_"&amp;B577</f>
        <v>30007_3</v>
      </c>
      <c r="D577" s="12" t="str">
        <f>VLOOKUP(C577,[1]stages!$A:$AE,31,FALSE)</f>
        <v>everyone</v>
      </c>
      <c r="E577" s="12">
        <v>576</v>
      </c>
      <c r="F577" s="12">
        <v>6500</v>
      </c>
      <c r="G577" s="10" t="str">
        <f>IF(I577="unit",VLOOKUP(F577,[2]characters!$A:$C,3,FALSE),"-")</f>
        <v>-</v>
      </c>
      <c r="H577" s="12">
        <v>100</v>
      </c>
      <c r="I577" s="12" t="s">
        <v>32</v>
      </c>
      <c r="J577" s="12" t="s">
        <v>33</v>
      </c>
      <c r="K577" s="12">
        <v>1</v>
      </c>
      <c r="L577" s="12">
        <v>1</v>
      </c>
      <c r="M577" s="12">
        <v>0</v>
      </c>
      <c r="N577" s="12">
        <v>0</v>
      </c>
      <c r="O577" s="12">
        <v>0</v>
      </c>
      <c r="P577" s="12">
        <v>0</v>
      </c>
      <c r="Q577" s="12">
        <v>1</v>
      </c>
      <c r="R577" s="12" t="s">
        <v>27</v>
      </c>
      <c r="S577" s="12" t="s">
        <v>28</v>
      </c>
    </row>
    <row r="578" spans="1:19" x14ac:dyDescent="0.15">
      <c r="A578" s="12">
        <v>30007</v>
      </c>
      <c r="B578" s="12">
        <v>3</v>
      </c>
      <c r="C578" s="12" t="str">
        <f t="shared" ref="C578:C587" si="60">A578&amp; "_"&amp;B578</f>
        <v>30007_3</v>
      </c>
      <c r="D578" s="12" t="str">
        <f>VLOOKUP(C578,[1]stages!$A:$AE,31,FALSE)</f>
        <v>everyone</v>
      </c>
      <c r="E578" s="12">
        <v>577</v>
      </c>
      <c r="F578" s="12">
        <v>25</v>
      </c>
      <c r="G578" s="10" t="str">
        <f>IF(I578="unit",VLOOKUP(F578,[2]characters!$A:$C,3,FALSE),"-")</f>
        <v>-</v>
      </c>
      <c r="H578" s="12">
        <v>100</v>
      </c>
      <c r="I578" s="12" t="s">
        <v>35</v>
      </c>
      <c r="J578" s="12" t="s">
        <v>33</v>
      </c>
      <c r="K578" s="12">
        <v>1</v>
      </c>
      <c r="L578" s="12">
        <v>1</v>
      </c>
      <c r="M578" s="12">
        <v>0</v>
      </c>
      <c r="N578" s="12">
        <v>0</v>
      </c>
      <c r="O578" s="12">
        <v>0</v>
      </c>
      <c r="P578" s="12">
        <v>0</v>
      </c>
      <c r="Q578" s="12">
        <v>1</v>
      </c>
      <c r="R578" s="12" t="s">
        <v>27</v>
      </c>
      <c r="S578" s="12" t="s">
        <v>28</v>
      </c>
    </row>
    <row r="579" spans="1:19" x14ac:dyDescent="0.15">
      <c r="A579" s="12">
        <v>30007</v>
      </c>
      <c r="B579" s="12">
        <v>3</v>
      </c>
      <c r="C579" s="12" t="str">
        <f t="shared" si="60"/>
        <v>30007_3</v>
      </c>
      <c r="D579" s="12" t="str">
        <f>VLOOKUP(C579,[1]stages!$A:$AE,31,FALSE)</f>
        <v>everyone</v>
      </c>
      <c r="E579" s="12">
        <v>578</v>
      </c>
      <c r="F579" s="12">
        <v>340</v>
      </c>
      <c r="G579" s="10" t="str">
        <f>IF(I579="unit",VLOOKUP(F579,[2]characters!$A:$C,3,FALSE),"-")</f>
        <v>水のメタルピヨピヨ</v>
      </c>
      <c r="H579" s="12">
        <v>28</v>
      </c>
      <c r="I579" s="12" t="s">
        <v>36</v>
      </c>
      <c r="J579" s="12">
        <v>1</v>
      </c>
      <c r="K579" s="12">
        <v>1</v>
      </c>
      <c r="L579" s="12">
        <v>1</v>
      </c>
      <c r="M579" s="12">
        <v>0</v>
      </c>
      <c r="N579" s="12">
        <v>0</v>
      </c>
      <c r="O579" s="12">
        <v>0</v>
      </c>
      <c r="P579" s="12">
        <v>0</v>
      </c>
      <c r="Q579" s="12">
        <v>1</v>
      </c>
      <c r="R579" s="12" t="s">
        <v>27</v>
      </c>
      <c r="S579" s="12" t="s">
        <v>28</v>
      </c>
    </row>
    <row r="580" spans="1:19" x14ac:dyDescent="0.15">
      <c r="A580" s="12">
        <v>30007</v>
      </c>
      <c r="B580" s="12">
        <v>3</v>
      </c>
      <c r="C580" s="12" t="str">
        <f t="shared" si="60"/>
        <v>30007_3</v>
      </c>
      <c r="D580" s="12" t="str">
        <f>VLOOKUP(C580,[1]stages!$A:$AE,31,FALSE)</f>
        <v>everyone</v>
      </c>
      <c r="E580" s="12">
        <v>579</v>
      </c>
      <c r="F580" s="12">
        <v>341</v>
      </c>
      <c r="G580" s="10" t="str">
        <f>IF(I580="unit",VLOOKUP(F580,[2]characters!$A:$C,3,FALSE),"-")</f>
        <v>水のメタルチック</v>
      </c>
      <c r="H580" s="12">
        <v>56</v>
      </c>
      <c r="I580" s="12" t="s">
        <v>36</v>
      </c>
      <c r="J580" s="12">
        <v>1</v>
      </c>
      <c r="K580" s="12">
        <v>1</v>
      </c>
      <c r="L580" s="12">
        <v>1</v>
      </c>
      <c r="M580" s="12">
        <v>0</v>
      </c>
      <c r="N580" s="12">
        <v>0</v>
      </c>
      <c r="O580" s="12">
        <v>0</v>
      </c>
      <c r="P580" s="12">
        <v>0</v>
      </c>
      <c r="Q580" s="12">
        <v>1</v>
      </c>
      <c r="R580" s="12" t="s">
        <v>27</v>
      </c>
      <c r="S580" s="12" t="s">
        <v>28</v>
      </c>
    </row>
    <row r="581" spans="1:19" x14ac:dyDescent="0.15">
      <c r="A581" s="12">
        <v>30007</v>
      </c>
      <c r="B581" s="12">
        <v>3</v>
      </c>
      <c r="C581" s="12" t="str">
        <f t="shared" si="60"/>
        <v>30007_3</v>
      </c>
      <c r="D581" s="12" t="str">
        <f>VLOOKUP(C581,[1]stages!$A:$AE,31,FALSE)</f>
        <v>everyone</v>
      </c>
      <c r="E581" s="12">
        <v>580</v>
      </c>
      <c r="F581" s="12">
        <v>342</v>
      </c>
      <c r="G581" s="10" t="str">
        <f>IF(I581="unit",VLOOKUP(F581,[2]characters!$A:$C,3,FALSE),"-")</f>
        <v>水のメタルダック</v>
      </c>
      <c r="H581" s="12">
        <v>56</v>
      </c>
      <c r="I581" s="12" t="s">
        <v>36</v>
      </c>
      <c r="J581" s="12">
        <v>1</v>
      </c>
      <c r="K581" s="12">
        <v>1</v>
      </c>
      <c r="L581" s="12">
        <v>1</v>
      </c>
      <c r="M581" s="12">
        <v>0</v>
      </c>
      <c r="N581" s="12">
        <v>0</v>
      </c>
      <c r="O581" s="12">
        <v>0</v>
      </c>
      <c r="P581" s="12">
        <v>0</v>
      </c>
      <c r="Q581" s="12">
        <v>1</v>
      </c>
      <c r="R581" s="12" t="s">
        <v>27</v>
      </c>
      <c r="S581" s="12" t="s">
        <v>28</v>
      </c>
    </row>
    <row r="582" spans="1:19" x14ac:dyDescent="0.15">
      <c r="A582" s="12">
        <v>30007</v>
      </c>
      <c r="B582" s="12">
        <v>3</v>
      </c>
      <c r="C582" s="12" t="str">
        <f t="shared" si="60"/>
        <v>30007_3</v>
      </c>
      <c r="D582" s="12" t="str">
        <f>VLOOKUP(C582,[1]stages!$A:$AE,31,FALSE)</f>
        <v>everyone</v>
      </c>
      <c r="E582" s="12">
        <v>581</v>
      </c>
      <c r="F582" s="12">
        <v>121</v>
      </c>
      <c r="G582" s="10" t="str">
        <f>IF(I582="unit",VLOOKUP(F582,[2]characters!$A:$C,3,FALSE),"-")</f>
        <v>攻めの果実</v>
      </c>
      <c r="H582" s="12">
        <v>50</v>
      </c>
      <c r="I582" s="12" t="s">
        <v>36</v>
      </c>
      <c r="J582" s="12">
        <v>1</v>
      </c>
      <c r="K582" s="12">
        <v>1</v>
      </c>
      <c r="L582" s="12">
        <v>1</v>
      </c>
      <c r="M582" s="12">
        <v>0</v>
      </c>
      <c r="N582" s="12">
        <v>0</v>
      </c>
      <c r="O582" s="12">
        <v>0</v>
      </c>
      <c r="P582" s="12">
        <v>0</v>
      </c>
      <c r="Q582" s="12">
        <v>1</v>
      </c>
      <c r="R582" s="12" t="s">
        <v>27</v>
      </c>
      <c r="S582" s="12" t="s">
        <v>28</v>
      </c>
    </row>
    <row r="583" spans="1:19" x14ac:dyDescent="0.15">
      <c r="A583" s="12">
        <v>30007</v>
      </c>
      <c r="B583" s="12">
        <v>3</v>
      </c>
      <c r="C583" s="12" t="str">
        <f t="shared" si="60"/>
        <v>30007_3</v>
      </c>
      <c r="D583" s="12" t="str">
        <f>VLOOKUP(C583,[1]stages!$A:$AE,31,FALSE)</f>
        <v>everyone</v>
      </c>
      <c r="E583" s="12">
        <v>582</v>
      </c>
      <c r="F583" s="12">
        <v>122</v>
      </c>
      <c r="G583" s="10" t="str">
        <f>IF(I583="unit",VLOOKUP(F583,[2]characters!$A:$C,3,FALSE),"-")</f>
        <v>生命の果実</v>
      </c>
      <c r="H583" s="12">
        <v>50</v>
      </c>
      <c r="I583" s="12" t="s">
        <v>36</v>
      </c>
      <c r="J583" s="12">
        <v>1</v>
      </c>
      <c r="K583" s="12">
        <v>1</v>
      </c>
      <c r="L583" s="12">
        <v>1</v>
      </c>
      <c r="M583" s="12">
        <v>0</v>
      </c>
      <c r="N583" s="12">
        <v>0</v>
      </c>
      <c r="O583" s="12">
        <v>0</v>
      </c>
      <c r="P583" s="12">
        <v>0</v>
      </c>
      <c r="Q583" s="12">
        <v>1</v>
      </c>
      <c r="R583" s="12" t="s">
        <v>27</v>
      </c>
      <c r="S583" s="12" t="s">
        <v>28</v>
      </c>
    </row>
    <row r="584" spans="1:19" x14ac:dyDescent="0.15">
      <c r="A584" s="12">
        <v>30007</v>
      </c>
      <c r="B584" s="12">
        <v>3</v>
      </c>
      <c r="C584" s="12" t="str">
        <f t="shared" si="60"/>
        <v>30007_3</v>
      </c>
      <c r="D584" s="12" t="str">
        <f>VLOOKUP(C584,[1]stages!$A:$AE,31,FALSE)</f>
        <v>everyone</v>
      </c>
      <c r="E584" s="12">
        <v>583</v>
      </c>
      <c r="F584" s="12">
        <v>123</v>
      </c>
      <c r="G584" s="10" t="str">
        <f>IF(I584="unit",VLOOKUP(F584,[2]characters!$A:$C,3,FALSE),"-")</f>
        <v>癒しの果実</v>
      </c>
      <c r="H584" s="12">
        <v>50</v>
      </c>
      <c r="I584" s="12" t="s">
        <v>36</v>
      </c>
      <c r="J584" s="12">
        <v>1</v>
      </c>
      <c r="K584" s="12">
        <v>1</v>
      </c>
      <c r="L584" s="12">
        <v>1</v>
      </c>
      <c r="M584" s="12">
        <v>0</v>
      </c>
      <c r="N584" s="12">
        <v>0</v>
      </c>
      <c r="O584" s="12">
        <v>0</v>
      </c>
      <c r="P584" s="12">
        <v>0</v>
      </c>
      <c r="Q584" s="12">
        <v>1</v>
      </c>
      <c r="R584" s="12" t="s">
        <v>27</v>
      </c>
      <c r="S584" s="12" t="s">
        <v>28</v>
      </c>
    </row>
    <row r="585" spans="1:19" x14ac:dyDescent="0.15">
      <c r="A585" s="12">
        <v>30007</v>
      </c>
      <c r="B585" s="12">
        <v>3</v>
      </c>
      <c r="C585" s="12" t="str">
        <f t="shared" si="60"/>
        <v>30007_3</v>
      </c>
      <c r="D585" s="12" t="str">
        <f>VLOOKUP(C585,[1]stages!$A:$AE,31,FALSE)</f>
        <v>everyone</v>
      </c>
      <c r="E585" s="12">
        <v>584</v>
      </c>
      <c r="F585" s="12">
        <v>125</v>
      </c>
      <c r="G585" s="10" t="str">
        <f>IF(I585="unit",VLOOKUP(F585,[2]characters!$A:$C,3,FALSE),"-")</f>
        <v>秘術の果実</v>
      </c>
      <c r="H585" s="12">
        <v>10</v>
      </c>
      <c r="I585" s="12" t="s">
        <v>36</v>
      </c>
      <c r="J585" s="12">
        <v>1</v>
      </c>
      <c r="K585" s="12">
        <v>1</v>
      </c>
      <c r="L585" s="12">
        <v>1</v>
      </c>
      <c r="M585" s="12">
        <v>0</v>
      </c>
      <c r="N585" s="12">
        <v>0</v>
      </c>
      <c r="O585" s="12">
        <v>0</v>
      </c>
      <c r="P585" s="12">
        <v>0</v>
      </c>
      <c r="Q585" s="12">
        <v>1</v>
      </c>
      <c r="R585" s="12" t="s">
        <v>27</v>
      </c>
      <c r="S585" s="12" t="s">
        <v>28</v>
      </c>
    </row>
    <row r="586" spans="1:19" x14ac:dyDescent="0.15">
      <c r="A586" s="12">
        <v>30007</v>
      </c>
      <c r="B586" s="12">
        <v>3</v>
      </c>
      <c r="C586" s="12" t="str">
        <f t="shared" si="60"/>
        <v>30007_3</v>
      </c>
      <c r="D586" s="12" t="str">
        <f>VLOOKUP(C586,[1]stages!$A:$AE,31,FALSE)</f>
        <v>everyone</v>
      </c>
      <c r="E586" s="12">
        <v>585</v>
      </c>
      <c r="F586" s="12">
        <v>292</v>
      </c>
      <c r="G586" s="10" t="str">
        <f>IF(I586="unit",VLOOKUP(F586,[2]characters!$A:$C,3,FALSE),"-")</f>
        <v>アナスタシア</v>
      </c>
      <c r="H586" s="12">
        <v>400</v>
      </c>
      <c r="I586" s="12" t="s">
        <v>36</v>
      </c>
      <c r="J586" s="12">
        <v>1</v>
      </c>
      <c r="K586" s="12">
        <v>1</v>
      </c>
      <c r="L586" s="12">
        <v>1</v>
      </c>
      <c r="M586" s="12">
        <v>0</v>
      </c>
      <c r="N586" s="12">
        <v>0</v>
      </c>
      <c r="O586" s="12">
        <v>0</v>
      </c>
      <c r="P586" s="12">
        <v>0</v>
      </c>
      <c r="Q586" s="12">
        <v>1</v>
      </c>
      <c r="R586" s="12" t="s">
        <v>27</v>
      </c>
      <c r="S586" s="12" t="s">
        <v>28</v>
      </c>
    </row>
    <row r="587" spans="1:19" x14ac:dyDescent="0.15">
      <c r="A587" s="12">
        <v>30007</v>
      </c>
      <c r="B587" s="12">
        <v>3</v>
      </c>
      <c r="C587" s="12" t="str">
        <f t="shared" si="60"/>
        <v>30007_3</v>
      </c>
      <c r="D587" s="12" t="str">
        <f>VLOOKUP(C587,[1]stages!$A:$AE,31,FALSE)</f>
        <v>everyone</v>
      </c>
      <c r="E587" s="12">
        <v>586</v>
      </c>
      <c r="F587" s="12">
        <v>352</v>
      </c>
      <c r="G587" s="10" t="str">
        <f>IF(I587="unit",VLOOKUP(F587,[2]characters!$A:$C,3,FALSE),"-")</f>
        <v>水のケロケロ</v>
      </c>
      <c r="H587" s="12">
        <v>100</v>
      </c>
      <c r="I587" s="12" t="s">
        <v>36</v>
      </c>
      <c r="J587" s="12">
        <v>1</v>
      </c>
      <c r="K587" s="12">
        <v>1</v>
      </c>
      <c r="L587" s="12">
        <v>1</v>
      </c>
      <c r="M587" s="12">
        <v>0</v>
      </c>
      <c r="N587" s="12">
        <v>0</v>
      </c>
      <c r="O587" s="12">
        <v>0</v>
      </c>
      <c r="P587" s="12">
        <v>0</v>
      </c>
      <c r="Q587" s="12">
        <v>1</v>
      </c>
      <c r="R587" s="12" t="s">
        <v>27</v>
      </c>
      <c r="S587" s="12" t="s">
        <v>28</v>
      </c>
    </row>
    <row r="588" spans="1:19" x14ac:dyDescent="0.15">
      <c r="A588" s="9">
        <v>30008</v>
      </c>
      <c r="B588" s="9">
        <v>1</v>
      </c>
      <c r="C588" s="9" t="str">
        <f>A588&amp; "_"&amp;B588</f>
        <v>30008_1</v>
      </c>
      <c r="D588" s="9" t="str">
        <f>VLOOKUP(C588,[1]stages!$A:$AE,31,FALSE)</f>
        <v>everyone</v>
      </c>
      <c r="E588" s="9">
        <v>587</v>
      </c>
      <c r="F588" s="9">
        <v>3200</v>
      </c>
      <c r="G588" s="10" t="str">
        <f>IF(I588="unit",VLOOKUP(F588,[2]characters!$A:$C,3,FALSE),"-")</f>
        <v>-</v>
      </c>
      <c r="H588" s="9">
        <v>200</v>
      </c>
      <c r="I588" s="9" t="s">
        <v>32</v>
      </c>
      <c r="J588" s="9" t="s">
        <v>33</v>
      </c>
      <c r="K588" s="9">
        <v>1</v>
      </c>
      <c r="L588" s="9">
        <v>1</v>
      </c>
      <c r="M588" s="9">
        <v>0</v>
      </c>
      <c r="N588" s="9">
        <v>0</v>
      </c>
      <c r="O588" s="9">
        <v>0</v>
      </c>
      <c r="P588" s="9">
        <v>0</v>
      </c>
      <c r="Q588" s="9">
        <v>1</v>
      </c>
      <c r="R588" s="9" t="s">
        <v>27</v>
      </c>
      <c r="S588" s="9" t="s">
        <v>28</v>
      </c>
    </row>
    <row r="589" spans="1:19" x14ac:dyDescent="0.15">
      <c r="A589" s="9">
        <v>30008</v>
      </c>
      <c r="B589" s="9">
        <v>1</v>
      </c>
      <c r="C589" s="9" t="str">
        <f t="shared" ref="C589:C597" si="61">A589&amp; "_"&amp;B589</f>
        <v>30008_1</v>
      </c>
      <c r="D589" s="9" t="str">
        <f>VLOOKUP(C589,[1]stages!$A:$AE,31,FALSE)</f>
        <v>everyone</v>
      </c>
      <c r="E589" s="9">
        <v>588</v>
      </c>
      <c r="F589" s="9">
        <v>20</v>
      </c>
      <c r="G589" s="10" t="str">
        <f>IF(I589="unit",VLOOKUP(F589,[2]characters!$A:$C,3,FALSE),"-")</f>
        <v>-</v>
      </c>
      <c r="H589" s="9">
        <v>200</v>
      </c>
      <c r="I589" s="9" t="s">
        <v>35</v>
      </c>
      <c r="J589" s="9" t="s">
        <v>33</v>
      </c>
      <c r="K589" s="9">
        <v>1</v>
      </c>
      <c r="L589" s="9">
        <v>1</v>
      </c>
      <c r="M589" s="9">
        <v>0</v>
      </c>
      <c r="N589" s="9">
        <v>0</v>
      </c>
      <c r="O589" s="9">
        <v>0</v>
      </c>
      <c r="P589" s="9">
        <v>0</v>
      </c>
      <c r="Q589" s="9">
        <v>1</v>
      </c>
      <c r="R589" s="9" t="s">
        <v>27</v>
      </c>
      <c r="S589" s="9" t="s">
        <v>28</v>
      </c>
    </row>
    <row r="590" spans="1:19" x14ac:dyDescent="0.15">
      <c r="A590" s="9">
        <v>30008</v>
      </c>
      <c r="B590" s="9">
        <v>1</v>
      </c>
      <c r="C590" s="9" t="str">
        <f t="shared" si="61"/>
        <v>30008_1</v>
      </c>
      <c r="D590" s="9" t="str">
        <f>VLOOKUP(C590,[1]stages!$A:$AE,31,FALSE)</f>
        <v>everyone</v>
      </c>
      <c r="E590" s="9">
        <v>589</v>
      </c>
      <c r="F590" s="9">
        <v>344</v>
      </c>
      <c r="G590" s="10" t="str">
        <f>IF(I590="unit",VLOOKUP(F590,[2]characters!$A:$C,3,FALSE),"-")</f>
        <v>雷のメタルピヨピヨ</v>
      </c>
      <c r="H590" s="9">
        <v>70</v>
      </c>
      <c r="I590" s="9" t="s">
        <v>36</v>
      </c>
      <c r="J590" s="9">
        <v>1</v>
      </c>
      <c r="K590" s="9">
        <v>1</v>
      </c>
      <c r="L590" s="9">
        <v>1</v>
      </c>
      <c r="M590" s="9">
        <v>0</v>
      </c>
      <c r="N590" s="9">
        <v>0</v>
      </c>
      <c r="O590" s="9">
        <v>0</v>
      </c>
      <c r="P590" s="9">
        <v>0</v>
      </c>
      <c r="Q590" s="9">
        <v>1</v>
      </c>
      <c r="R590" s="9" t="s">
        <v>27</v>
      </c>
      <c r="S590" s="9" t="s">
        <v>28</v>
      </c>
    </row>
    <row r="591" spans="1:19" x14ac:dyDescent="0.15">
      <c r="A591" s="9">
        <v>30008</v>
      </c>
      <c r="B591" s="9">
        <v>1</v>
      </c>
      <c r="C591" s="9" t="str">
        <f t="shared" si="61"/>
        <v>30008_1</v>
      </c>
      <c r="D591" s="9" t="str">
        <f>VLOOKUP(C591,[1]stages!$A:$AE,31,FALSE)</f>
        <v>everyone</v>
      </c>
      <c r="E591" s="9">
        <v>590</v>
      </c>
      <c r="F591" s="9">
        <v>345</v>
      </c>
      <c r="G591" s="10" t="str">
        <f>IF(I591="unit",VLOOKUP(F591,[2]characters!$A:$C,3,FALSE),"-")</f>
        <v>雷のメタルチック</v>
      </c>
      <c r="H591" s="9">
        <v>70</v>
      </c>
      <c r="I591" s="9" t="s">
        <v>36</v>
      </c>
      <c r="J591" s="9">
        <v>1</v>
      </c>
      <c r="K591" s="9">
        <v>1</v>
      </c>
      <c r="L591" s="9">
        <v>1</v>
      </c>
      <c r="M591" s="9">
        <v>0</v>
      </c>
      <c r="N591" s="9">
        <v>0</v>
      </c>
      <c r="O591" s="9">
        <v>0</v>
      </c>
      <c r="P591" s="9">
        <v>0</v>
      </c>
      <c r="Q591" s="9">
        <v>1</v>
      </c>
      <c r="R591" s="9" t="s">
        <v>27</v>
      </c>
      <c r="S591" s="9" t="s">
        <v>28</v>
      </c>
    </row>
    <row r="592" spans="1:19" x14ac:dyDescent="0.15">
      <c r="A592" s="9">
        <v>30008</v>
      </c>
      <c r="B592" s="9">
        <v>1</v>
      </c>
      <c r="C592" s="9" t="str">
        <f t="shared" si="61"/>
        <v>30008_1</v>
      </c>
      <c r="D592" s="9" t="str">
        <f>VLOOKUP(C592,[1]stages!$A:$AE,31,FALSE)</f>
        <v>everyone</v>
      </c>
      <c r="E592" s="9">
        <v>591</v>
      </c>
      <c r="F592" s="9">
        <v>121</v>
      </c>
      <c r="G592" s="10" t="str">
        <f>IF(I592="unit",VLOOKUP(F592,[2]characters!$A:$C,3,FALSE),"-")</f>
        <v>攻めの果実</v>
      </c>
      <c r="H592" s="9">
        <v>50</v>
      </c>
      <c r="I592" s="9" t="s">
        <v>36</v>
      </c>
      <c r="J592" s="9">
        <v>1</v>
      </c>
      <c r="K592" s="9">
        <v>1</v>
      </c>
      <c r="L592" s="9">
        <v>1</v>
      </c>
      <c r="M592" s="9">
        <v>0</v>
      </c>
      <c r="N592" s="9">
        <v>0</v>
      </c>
      <c r="O592" s="9">
        <v>0</v>
      </c>
      <c r="P592" s="9">
        <v>0</v>
      </c>
      <c r="Q592" s="9">
        <v>1</v>
      </c>
      <c r="R592" s="9" t="s">
        <v>27</v>
      </c>
      <c r="S592" s="9" t="s">
        <v>28</v>
      </c>
    </row>
    <row r="593" spans="1:19" x14ac:dyDescent="0.15">
      <c r="A593" s="9">
        <v>30008</v>
      </c>
      <c r="B593" s="9">
        <v>1</v>
      </c>
      <c r="C593" s="9" t="str">
        <f t="shared" si="61"/>
        <v>30008_1</v>
      </c>
      <c r="D593" s="9" t="str">
        <f>VLOOKUP(C593,[1]stages!$A:$AE,31,FALSE)</f>
        <v>everyone</v>
      </c>
      <c r="E593" s="9">
        <v>592</v>
      </c>
      <c r="F593" s="9">
        <v>122</v>
      </c>
      <c r="G593" s="10" t="str">
        <f>IF(I593="unit",VLOOKUP(F593,[2]characters!$A:$C,3,FALSE),"-")</f>
        <v>生命の果実</v>
      </c>
      <c r="H593" s="9">
        <v>50</v>
      </c>
      <c r="I593" s="9" t="s">
        <v>36</v>
      </c>
      <c r="J593" s="9">
        <v>1</v>
      </c>
      <c r="K593" s="9">
        <v>1</v>
      </c>
      <c r="L593" s="9">
        <v>1</v>
      </c>
      <c r="M593" s="9">
        <v>0</v>
      </c>
      <c r="N593" s="9">
        <v>0</v>
      </c>
      <c r="O593" s="9">
        <v>0</v>
      </c>
      <c r="P593" s="9">
        <v>0</v>
      </c>
      <c r="Q593" s="9">
        <v>1</v>
      </c>
      <c r="R593" s="9" t="s">
        <v>27</v>
      </c>
      <c r="S593" s="9" t="s">
        <v>28</v>
      </c>
    </row>
    <row r="594" spans="1:19" x14ac:dyDescent="0.15">
      <c r="A594" s="9">
        <v>30008</v>
      </c>
      <c r="B594" s="9">
        <v>1</v>
      </c>
      <c r="C594" s="9" t="str">
        <f t="shared" si="61"/>
        <v>30008_1</v>
      </c>
      <c r="D594" s="9" t="str">
        <f>VLOOKUP(C594,[1]stages!$A:$AE,31,FALSE)</f>
        <v>everyone</v>
      </c>
      <c r="E594" s="9">
        <v>593</v>
      </c>
      <c r="F594" s="9">
        <v>123</v>
      </c>
      <c r="G594" s="10" t="str">
        <f>IF(I594="unit",VLOOKUP(F594,[2]characters!$A:$C,3,FALSE),"-")</f>
        <v>癒しの果実</v>
      </c>
      <c r="H594" s="9">
        <v>50</v>
      </c>
      <c r="I594" s="9" t="s">
        <v>36</v>
      </c>
      <c r="J594" s="9">
        <v>1</v>
      </c>
      <c r="K594" s="9">
        <v>1</v>
      </c>
      <c r="L594" s="9">
        <v>1</v>
      </c>
      <c r="M594" s="9">
        <v>0</v>
      </c>
      <c r="N594" s="9">
        <v>0</v>
      </c>
      <c r="O594" s="9">
        <v>0</v>
      </c>
      <c r="P594" s="9">
        <v>0</v>
      </c>
      <c r="Q594" s="9">
        <v>1</v>
      </c>
      <c r="R594" s="9" t="s">
        <v>27</v>
      </c>
      <c r="S594" s="9" t="s">
        <v>28</v>
      </c>
    </row>
    <row r="595" spans="1:19" x14ac:dyDescent="0.15">
      <c r="A595" s="9">
        <v>30008</v>
      </c>
      <c r="B595" s="9">
        <v>1</v>
      </c>
      <c r="C595" s="9" t="str">
        <f t="shared" si="61"/>
        <v>30008_1</v>
      </c>
      <c r="D595" s="9" t="str">
        <f>VLOOKUP(C595,[1]stages!$A:$AE,31,FALSE)</f>
        <v>everyone</v>
      </c>
      <c r="E595" s="9">
        <v>594</v>
      </c>
      <c r="F595" s="9">
        <v>125</v>
      </c>
      <c r="G595" s="10" t="str">
        <f>IF(I595="unit",VLOOKUP(F595,[2]characters!$A:$C,3,FALSE),"-")</f>
        <v>秘術の果実</v>
      </c>
      <c r="H595" s="9">
        <v>10</v>
      </c>
      <c r="I595" s="9" t="s">
        <v>36</v>
      </c>
      <c r="J595" s="9">
        <v>1</v>
      </c>
      <c r="K595" s="9">
        <v>1</v>
      </c>
      <c r="L595" s="9">
        <v>1</v>
      </c>
      <c r="M595" s="9">
        <v>0</v>
      </c>
      <c r="N595" s="9">
        <v>0</v>
      </c>
      <c r="O595" s="9">
        <v>0</v>
      </c>
      <c r="P595" s="9">
        <v>0</v>
      </c>
      <c r="Q595" s="9">
        <v>1</v>
      </c>
      <c r="R595" s="9" t="s">
        <v>27</v>
      </c>
      <c r="S595" s="9" t="s">
        <v>28</v>
      </c>
    </row>
    <row r="596" spans="1:19" x14ac:dyDescent="0.15">
      <c r="A596" s="9">
        <v>30008</v>
      </c>
      <c r="B596" s="9">
        <v>1</v>
      </c>
      <c r="C596" s="9" t="str">
        <f t="shared" si="61"/>
        <v>30008_1</v>
      </c>
      <c r="D596" s="9" t="str">
        <f>VLOOKUP(C596,[1]stages!$A:$AE,31,FALSE)</f>
        <v>everyone</v>
      </c>
      <c r="E596" s="9">
        <v>595</v>
      </c>
      <c r="F596" s="9">
        <v>288</v>
      </c>
      <c r="G596" s="10" t="str">
        <f>IF(I596="unit",VLOOKUP(F596,[2]characters!$A:$C,3,FALSE),"-")</f>
        <v>ミカド</v>
      </c>
      <c r="H596" s="9">
        <v>200</v>
      </c>
      <c r="I596" s="9" t="s">
        <v>36</v>
      </c>
      <c r="J596" s="9">
        <v>1</v>
      </c>
      <c r="K596" s="9">
        <v>1</v>
      </c>
      <c r="L596" s="9">
        <v>1</v>
      </c>
      <c r="M596" s="9">
        <v>0</v>
      </c>
      <c r="N596" s="9">
        <v>0</v>
      </c>
      <c r="O596" s="9">
        <v>0</v>
      </c>
      <c r="P596" s="9">
        <v>0</v>
      </c>
      <c r="Q596" s="9">
        <v>1</v>
      </c>
      <c r="R596" s="9" t="s">
        <v>27</v>
      </c>
      <c r="S596" s="9" t="s">
        <v>28</v>
      </c>
    </row>
    <row r="597" spans="1:19" x14ac:dyDescent="0.15">
      <c r="A597" s="9">
        <v>30008</v>
      </c>
      <c r="B597" s="9">
        <v>1</v>
      </c>
      <c r="C597" s="9" t="str">
        <f t="shared" si="61"/>
        <v>30008_1</v>
      </c>
      <c r="D597" s="9" t="str">
        <f>VLOOKUP(C597,[1]stages!$A:$AE,31,FALSE)</f>
        <v>everyone</v>
      </c>
      <c r="E597" s="9">
        <v>596</v>
      </c>
      <c r="F597" s="9">
        <v>354</v>
      </c>
      <c r="G597" s="10" t="str">
        <f>IF(I597="unit",VLOOKUP(F597,[2]characters!$A:$C,3,FALSE),"-")</f>
        <v>雷のケロケロ</v>
      </c>
      <c r="H597" s="9">
        <v>100</v>
      </c>
      <c r="I597" s="9" t="s">
        <v>36</v>
      </c>
      <c r="J597" s="9">
        <v>1</v>
      </c>
      <c r="K597" s="9">
        <v>1</v>
      </c>
      <c r="L597" s="9">
        <v>1</v>
      </c>
      <c r="M597" s="9">
        <v>0</v>
      </c>
      <c r="N597" s="9">
        <v>0</v>
      </c>
      <c r="O597" s="9">
        <v>0</v>
      </c>
      <c r="P597" s="9">
        <v>0</v>
      </c>
      <c r="Q597" s="9">
        <v>1</v>
      </c>
      <c r="R597" s="9" t="s">
        <v>27</v>
      </c>
      <c r="S597" s="9" t="s">
        <v>28</v>
      </c>
    </row>
    <row r="598" spans="1:19" x14ac:dyDescent="0.15">
      <c r="A598" s="9">
        <v>30008</v>
      </c>
      <c r="B598" s="9">
        <v>2</v>
      </c>
      <c r="C598" s="9" t="str">
        <f>A598&amp; "_"&amp;B598</f>
        <v>30008_2</v>
      </c>
      <c r="D598" s="9" t="str">
        <f>VLOOKUP(C598,[1]stages!$A:$AE,31,FALSE)</f>
        <v>everyone</v>
      </c>
      <c r="E598" s="9">
        <v>597</v>
      </c>
      <c r="F598" s="9">
        <v>5000</v>
      </c>
      <c r="G598" s="10" t="str">
        <f>IF(I598="unit",VLOOKUP(F598,[2]characters!$A:$C,3,FALSE),"-")</f>
        <v>-</v>
      </c>
      <c r="H598" s="9">
        <v>200</v>
      </c>
      <c r="I598" s="9" t="s">
        <v>32</v>
      </c>
      <c r="J598" s="9" t="s">
        <v>33</v>
      </c>
      <c r="K598" s="9">
        <v>1</v>
      </c>
      <c r="L598" s="9">
        <v>1</v>
      </c>
      <c r="M598" s="9">
        <v>0</v>
      </c>
      <c r="N598" s="9">
        <v>0</v>
      </c>
      <c r="O598" s="9">
        <v>0</v>
      </c>
      <c r="P598" s="9">
        <v>0</v>
      </c>
      <c r="Q598" s="9">
        <v>1</v>
      </c>
      <c r="R598" s="9" t="s">
        <v>27</v>
      </c>
      <c r="S598" s="9" t="s">
        <v>28</v>
      </c>
    </row>
    <row r="599" spans="1:19" x14ac:dyDescent="0.15">
      <c r="A599" s="9">
        <v>30008</v>
      </c>
      <c r="B599" s="9">
        <v>2</v>
      </c>
      <c r="C599" s="9" t="str">
        <f t="shared" ref="C599:C608" si="62">A599&amp; "_"&amp;B599</f>
        <v>30008_2</v>
      </c>
      <c r="D599" s="9" t="str">
        <f>VLOOKUP(C599,[1]stages!$A:$AE,31,FALSE)</f>
        <v>everyone</v>
      </c>
      <c r="E599" s="9">
        <v>598</v>
      </c>
      <c r="F599" s="9">
        <v>25</v>
      </c>
      <c r="G599" s="10" t="str">
        <f>IF(I599="unit",VLOOKUP(F599,[2]characters!$A:$C,3,FALSE),"-")</f>
        <v>-</v>
      </c>
      <c r="H599" s="9">
        <v>150</v>
      </c>
      <c r="I599" s="9" t="s">
        <v>35</v>
      </c>
      <c r="J599" s="9" t="s">
        <v>33</v>
      </c>
      <c r="K599" s="9">
        <v>1</v>
      </c>
      <c r="L599" s="9">
        <v>1</v>
      </c>
      <c r="M599" s="9">
        <v>0</v>
      </c>
      <c r="N599" s="9">
        <v>0</v>
      </c>
      <c r="O599" s="9">
        <v>0</v>
      </c>
      <c r="P599" s="9">
        <v>0</v>
      </c>
      <c r="Q599" s="9">
        <v>1</v>
      </c>
      <c r="R599" s="9" t="s">
        <v>27</v>
      </c>
      <c r="S599" s="9" t="s">
        <v>28</v>
      </c>
    </row>
    <row r="600" spans="1:19" x14ac:dyDescent="0.15">
      <c r="A600" s="9">
        <v>30008</v>
      </c>
      <c r="B600" s="9">
        <v>2</v>
      </c>
      <c r="C600" s="9" t="str">
        <f t="shared" si="62"/>
        <v>30008_2</v>
      </c>
      <c r="D600" s="9" t="str">
        <f>VLOOKUP(C600,[1]stages!$A:$AE,31,FALSE)</f>
        <v>everyone</v>
      </c>
      <c r="E600" s="9">
        <v>599</v>
      </c>
      <c r="F600" s="9">
        <v>344</v>
      </c>
      <c r="G600" s="10" t="str">
        <f>IF(I600="unit",VLOOKUP(F600,[2]characters!$A:$C,3,FALSE),"-")</f>
        <v>雷のメタルピヨピヨ</v>
      </c>
      <c r="H600" s="9">
        <v>56</v>
      </c>
      <c r="I600" s="9" t="s">
        <v>36</v>
      </c>
      <c r="J600" s="9">
        <v>1</v>
      </c>
      <c r="K600" s="9">
        <v>1</v>
      </c>
      <c r="L600" s="9">
        <v>1</v>
      </c>
      <c r="M600" s="9">
        <v>0</v>
      </c>
      <c r="N600" s="9">
        <v>0</v>
      </c>
      <c r="O600" s="9">
        <v>0</v>
      </c>
      <c r="P600" s="9">
        <v>0</v>
      </c>
      <c r="Q600" s="9">
        <v>1</v>
      </c>
      <c r="R600" s="9" t="s">
        <v>27</v>
      </c>
      <c r="S600" s="9" t="s">
        <v>28</v>
      </c>
    </row>
    <row r="601" spans="1:19" x14ac:dyDescent="0.15">
      <c r="A601" s="9">
        <v>30008</v>
      </c>
      <c r="B601" s="9">
        <v>2</v>
      </c>
      <c r="C601" s="9" t="str">
        <f t="shared" si="62"/>
        <v>30008_2</v>
      </c>
      <c r="D601" s="9" t="str">
        <f>VLOOKUP(C601,[1]stages!$A:$AE,31,FALSE)</f>
        <v>everyone</v>
      </c>
      <c r="E601" s="9">
        <v>600</v>
      </c>
      <c r="F601" s="9">
        <v>345</v>
      </c>
      <c r="G601" s="10" t="str">
        <f>IF(I601="unit",VLOOKUP(F601,[2]characters!$A:$C,3,FALSE),"-")</f>
        <v>雷のメタルチック</v>
      </c>
      <c r="H601" s="9">
        <v>56</v>
      </c>
      <c r="I601" s="9" t="s">
        <v>36</v>
      </c>
      <c r="J601" s="9">
        <v>1</v>
      </c>
      <c r="K601" s="9">
        <v>1</v>
      </c>
      <c r="L601" s="9">
        <v>1</v>
      </c>
      <c r="M601" s="9">
        <v>0</v>
      </c>
      <c r="N601" s="9">
        <v>0</v>
      </c>
      <c r="O601" s="9">
        <v>0</v>
      </c>
      <c r="P601" s="9">
        <v>0</v>
      </c>
      <c r="Q601" s="9">
        <v>1</v>
      </c>
      <c r="R601" s="9" t="s">
        <v>27</v>
      </c>
      <c r="S601" s="9" t="s">
        <v>28</v>
      </c>
    </row>
    <row r="602" spans="1:19" x14ac:dyDescent="0.15">
      <c r="A602" s="9">
        <v>30008</v>
      </c>
      <c r="B602" s="9">
        <v>2</v>
      </c>
      <c r="C602" s="9" t="str">
        <f t="shared" si="62"/>
        <v>30008_2</v>
      </c>
      <c r="D602" s="9" t="str">
        <f>VLOOKUP(C602,[1]stages!$A:$AE,31,FALSE)</f>
        <v>everyone</v>
      </c>
      <c r="E602" s="9">
        <v>601</v>
      </c>
      <c r="F602" s="9">
        <v>346</v>
      </c>
      <c r="G602" s="10" t="str">
        <f>IF(I602="unit",VLOOKUP(F602,[2]characters!$A:$C,3,FALSE),"-")</f>
        <v>雷のメタルダック</v>
      </c>
      <c r="H602" s="9">
        <v>28</v>
      </c>
      <c r="I602" s="9" t="s">
        <v>36</v>
      </c>
      <c r="J602" s="9">
        <v>1</v>
      </c>
      <c r="K602" s="9">
        <v>1</v>
      </c>
      <c r="L602" s="9">
        <v>1</v>
      </c>
      <c r="M602" s="9">
        <v>0</v>
      </c>
      <c r="N602" s="9">
        <v>0</v>
      </c>
      <c r="O602" s="9">
        <v>0</v>
      </c>
      <c r="P602" s="9">
        <v>0</v>
      </c>
      <c r="Q602" s="9">
        <v>1</v>
      </c>
      <c r="R602" s="9" t="s">
        <v>27</v>
      </c>
      <c r="S602" s="9" t="s">
        <v>28</v>
      </c>
    </row>
    <row r="603" spans="1:19" x14ac:dyDescent="0.15">
      <c r="A603" s="9">
        <v>30008</v>
      </c>
      <c r="B603" s="9">
        <v>2</v>
      </c>
      <c r="C603" s="9" t="str">
        <f t="shared" si="62"/>
        <v>30008_2</v>
      </c>
      <c r="D603" s="9" t="str">
        <f>VLOOKUP(C603,[1]stages!$A:$AE,31,FALSE)</f>
        <v>everyone</v>
      </c>
      <c r="E603" s="9">
        <v>602</v>
      </c>
      <c r="F603" s="9">
        <v>121</v>
      </c>
      <c r="G603" s="10" t="str">
        <f>IF(I603="unit",VLOOKUP(F603,[2]characters!$A:$C,3,FALSE),"-")</f>
        <v>攻めの果実</v>
      </c>
      <c r="H603" s="9">
        <v>50</v>
      </c>
      <c r="I603" s="9" t="s">
        <v>36</v>
      </c>
      <c r="J603" s="9">
        <v>1</v>
      </c>
      <c r="K603" s="9">
        <v>1</v>
      </c>
      <c r="L603" s="9">
        <v>1</v>
      </c>
      <c r="M603" s="9">
        <v>0</v>
      </c>
      <c r="N603" s="9">
        <v>0</v>
      </c>
      <c r="O603" s="9">
        <v>0</v>
      </c>
      <c r="P603" s="9">
        <v>0</v>
      </c>
      <c r="Q603" s="9">
        <v>1</v>
      </c>
      <c r="R603" s="9" t="s">
        <v>27</v>
      </c>
      <c r="S603" s="9" t="s">
        <v>28</v>
      </c>
    </row>
    <row r="604" spans="1:19" x14ac:dyDescent="0.15">
      <c r="A604" s="9">
        <v>30008</v>
      </c>
      <c r="B604" s="9">
        <v>2</v>
      </c>
      <c r="C604" s="9" t="str">
        <f t="shared" si="62"/>
        <v>30008_2</v>
      </c>
      <c r="D604" s="9" t="str">
        <f>VLOOKUP(C604,[1]stages!$A:$AE,31,FALSE)</f>
        <v>everyone</v>
      </c>
      <c r="E604" s="9">
        <v>603</v>
      </c>
      <c r="F604" s="9">
        <v>122</v>
      </c>
      <c r="G604" s="10" t="str">
        <f>IF(I604="unit",VLOOKUP(F604,[2]characters!$A:$C,3,FALSE),"-")</f>
        <v>生命の果実</v>
      </c>
      <c r="H604" s="9">
        <v>50</v>
      </c>
      <c r="I604" s="9" t="s">
        <v>36</v>
      </c>
      <c r="J604" s="9">
        <v>1</v>
      </c>
      <c r="K604" s="9">
        <v>1</v>
      </c>
      <c r="L604" s="9">
        <v>1</v>
      </c>
      <c r="M604" s="9">
        <v>0</v>
      </c>
      <c r="N604" s="9">
        <v>0</v>
      </c>
      <c r="O604" s="9">
        <v>0</v>
      </c>
      <c r="P604" s="9">
        <v>0</v>
      </c>
      <c r="Q604" s="9">
        <v>1</v>
      </c>
      <c r="R604" s="9" t="s">
        <v>27</v>
      </c>
      <c r="S604" s="9" t="s">
        <v>28</v>
      </c>
    </row>
    <row r="605" spans="1:19" x14ac:dyDescent="0.15">
      <c r="A605" s="9">
        <v>30008</v>
      </c>
      <c r="B605" s="9">
        <v>2</v>
      </c>
      <c r="C605" s="9" t="str">
        <f t="shared" si="62"/>
        <v>30008_2</v>
      </c>
      <c r="D605" s="9" t="str">
        <f>VLOOKUP(C605,[1]stages!$A:$AE,31,FALSE)</f>
        <v>everyone</v>
      </c>
      <c r="E605" s="9">
        <v>604</v>
      </c>
      <c r="F605" s="9">
        <v>123</v>
      </c>
      <c r="G605" s="10" t="str">
        <f>IF(I605="unit",VLOOKUP(F605,[2]characters!$A:$C,3,FALSE),"-")</f>
        <v>癒しの果実</v>
      </c>
      <c r="H605" s="9">
        <v>50</v>
      </c>
      <c r="I605" s="9" t="s">
        <v>36</v>
      </c>
      <c r="J605" s="9">
        <v>1</v>
      </c>
      <c r="K605" s="9">
        <v>1</v>
      </c>
      <c r="L605" s="9">
        <v>1</v>
      </c>
      <c r="M605" s="9">
        <v>0</v>
      </c>
      <c r="N605" s="9">
        <v>0</v>
      </c>
      <c r="O605" s="9">
        <v>0</v>
      </c>
      <c r="P605" s="9">
        <v>0</v>
      </c>
      <c r="Q605" s="9">
        <v>1</v>
      </c>
      <c r="R605" s="9" t="s">
        <v>27</v>
      </c>
      <c r="S605" s="9" t="s">
        <v>28</v>
      </c>
    </row>
    <row r="606" spans="1:19" x14ac:dyDescent="0.15">
      <c r="A606" s="9">
        <v>30008</v>
      </c>
      <c r="B606" s="9">
        <v>2</v>
      </c>
      <c r="C606" s="9" t="str">
        <f t="shared" si="62"/>
        <v>30008_2</v>
      </c>
      <c r="D606" s="9" t="str">
        <f>VLOOKUP(C606,[1]stages!$A:$AE,31,FALSE)</f>
        <v>everyone</v>
      </c>
      <c r="E606" s="9">
        <v>605</v>
      </c>
      <c r="F606" s="9">
        <v>125</v>
      </c>
      <c r="G606" s="10" t="str">
        <f>IF(I606="unit",VLOOKUP(F606,[2]characters!$A:$C,3,FALSE),"-")</f>
        <v>秘術の果実</v>
      </c>
      <c r="H606" s="9">
        <v>10</v>
      </c>
      <c r="I606" s="9" t="s">
        <v>36</v>
      </c>
      <c r="J606" s="9">
        <v>1</v>
      </c>
      <c r="K606" s="9">
        <v>1</v>
      </c>
      <c r="L606" s="9">
        <v>1</v>
      </c>
      <c r="M606" s="9">
        <v>0</v>
      </c>
      <c r="N606" s="9">
        <v>0</v>
      </c>
      <c r="O606" s="9">
        <v>0</v>
      </c>
      <c r="P606" s="9">
        <v>0</v>
      </c>
      <c r="Q606" s="9">
        <v>1</v>
      </c>
      <c r="R606" s="9" t="s">
        <v>27</v>
      </c>
      <c r="S606" s="9" t="s">
        <v>28</v>
      </c>
    </row>
    <row r="607" spans="1:19" x14ac:dyDescent="0.15">
      <c r="A607" s="9">
        <v>30008</v>
      </c>
      <c r="B607" s="9">
        <v>2</v>
      </c>
      <c r="C607" s="9" t="str">
        <f t="shared" si="62"/>
        <v>30008_2</v>
      </c>
      <c r="D607" s="9" t="str">
        <f>VLOOKUP(C607,[1]stages!$A:$AE,31,FALSE)</f>
        <v>everyone</v>
      </c>
      <c r="E607" s="9">
        <v>606</v>
      </c>
      <c r="F607" s="9">
        <v>288</v>
      </c>
      <c r="G607" s="10" t="str">
        <f>IF(I607="unit",VLOOKUP(F607,[2]characters!$A:$C,3,FALSE),"-")</f>
        <v>ミカド</v>
      </c>
      <c r="H607" s="9">
        <v>250</v>
      </c>
      <c r="I607" s="9" t="s">
        <v>36</v>
      </c>
      <c r="J607" s="9">
        <v>1</v>
      </c>
      <c r="K607" s="9">
        <v>1</v>
      </c>
      <c r="L607" s="9">
        <v>1</v>
      </c>
      <c r="M607" s="9">
        <v>0</v>
      </c>
      <c r="N607" s="9">
        <v>0</v>
      </c>
      <c r="O607" s="9">
        <v>0</v>
      </c>
      <c r="P607" s="9">
        <v>0</v>
      </c>
      <c r="Q607" s="9">
        <v>1</v>
      </c>
      <c r="R607" s="9" t="s">
        <v>27</v>
      </c>
      <c r="S607" s="9" t="s">
        <v>28</v>
      </c>
    </row>
    <row r="608" spans="1:19" x14ac:dyDescent="0.15">
      <c r="A608" s="9">
        <v>30008</v>
      </c>
      <c r="B608" s="9">
        <v>2</v>
      </c>
      <c r="C608" s="9" t="str">
        <f t="shared" si="62"/>
        <v>30008_2</v>
      </c>
      <c r="D608" s="9" t="str">
        <f>VLOOKUP(C608,[1]stages!$A:$AE,31,FALSE)</f>
        <v>everyone</v>
      </c>
      <c r="E608" s="9">
        <v>607</v>
      </c>
      <c r="F608" s="9">
        <v>354</v>
      </c>
      <c r="G608" s="10" t="str">
        <f>IF(I608="unit",VLOOKUP(F608,[2]characters!$A:$C,3,FALSE),"-")</f>
        <v>雷のケロケロ</v>
      </c>
      <c r="H608" s="9">
        <v>100</v>
      </c>
      <c r="I608" s="9" t="s">
        <v>36</v>
      </c>
      <c r="J608" s="9">
        <v>1</v>
      </c>
      <c r="K608" s="9">
        <v>1</v>
      </c>
      <c r="L608" s="9">
        <v>1</v>
      </c>
      <c r="M608" s="9">
        <v>0</v>
      </c>
      <c r="N608" s="9">
        <v>0</v>
      </c>
      <c r="O608" s="9">
        <v>0</v>
      </c>
      <c r="P608" s="9">
        <v>0</v>
      </c>
      <c r="Q608" s="9">
        <v>1</v>
      </c>
      <c r="R608" s="9" t="s">
        <v>27</v>
      </c>
      <c r="S608" s="9" t="s">
        <v>28</v>
      </c>
    </row>
    <row r="609" spans="1:19" x14ac:dyDescent="0.15">
      <c r="A609" s="9">
        <v>30008</v>
      </c>
      <c r="B609" s="9">
        <v>3</v>
      </c>
      <c r="C609" s="9" t="str">
        <f>A609&amp; "_"&amp;B609</f>
        <v>30008_3</v>
      </c>
      <c r="D609" s="9" t="str">
        <f>VLOOKUP(C609,[1]stages!$A:$AE,31,FALSE)</f>
        <v>everyone</v>
      </c>
      <c r="E609" s="9">
        <v>608</v>
      </c>
      <c r="F609" s="9">
        <v>6500</v>
      </c>
      <c r="G609" s="10" t="str">
        <f>IF(I609="unit",VLOOKUP(F609,[2]characters!$A:$C,3,FALSE),"-")</f>
        <v>-</v>
      </c>
      <c r="H609" s="9">
        <v>100</v>
      </c>
      <c r="I609" s="9" t="s">
        <v>32</v>
      </c>
      <c r="J609" s="9" t="s">
        <v>33</v>
      </c>
      <c r="K609" s="9">
        <v>1</v>
      </c>
      <c r="L609" s="9">
        <v>1</v>
      </c>
      <c r="M609" s="9">
        <v>0</v>
      </c>
      <c r="N609" s="9">
        <v>0</v>
      </c>
      <c r="O609" s="9">
        <v>0</v>
      </c>
      <c r="P609" s="9">
        <v>0</v>
      </c>
      <c r="Q609" s="9">
        <v>1</v>
      </c>
      <c r="R609" s="9" t="s">
        <v>27</v>
      </c>
      <c r="S609" s="9" t="s">
        <v>28</v>
      </c>
    </row>
    <row r="610" spans="1:19" x14ac:dyDescent="0.15">
      <c r="A610" s="9">
        <v>30008</v>
      </c>
      <c r="B610" s="9">
        <v>3</v>
      </c>
      <c r="C610" s="9" t="str">
        <f t="shared" ref="C610:C619" si="63">A610&amp; "_"&amp;B610</f>
        <v>30008_3</v>
      </c>
      <c r="D610" s="9" t="str">
        <f>VLOOKUP(C610,[1]stages!$A:$AE,31,FALSE)</f>
        <v>everyone</v>
      </c>
      <c r="E610" s="9">
        <v>609</v>
      </c>
      <c r="F610" s="9">
        <v>25</v>
      </c>
      <c r="G610" s="10" t="str">
        <f>IF(I610="unit",VLOOKUP(F610,[2]characters!$A:$C,3,FALSE),"-")</f>
        <v>-</v>
      </c>
      <c r="H610" s="9">
        <v>100</v>
      </c>
      <c r="I610" s="9" t="s">
        <v>35</v>
      </c>
      <c r="J610" s="9" t="s">
        <v>33</v>
      </c>
      <c r="K610" s="9">
        <v>1</v>
      </c>
      <c r="L610" s="9">
        <v>1</v>
      </c>
      <c r="M610" s="9">
        <v>0</v>
      </c>
      <c r="N610" s="9">
        <v>0</v>
      </c>
      <c r="O610" s="9">
        <v>0</v>
      </c>
      <c r="P610" s="9">
        <v>0</v>
      </c>
      <c r="Q610" s="9">
        <v>1</v>
      </c>
      <c r="R610" s="9" t="s">
        <v>27</v>
      </c>
      <c r="S610" s="9" t="s">
        <v>28</v>
      </c>
    </row>
    <row r="611" spans="1:19" x14ac:dyDescent="0.15">
      <c r="A611" s="9">
        <v>30008</v>
      </c>
      <c r="B611" s="9">
        <v>3</v>
      </c>
      <c r="C611" s="9" t="str">
        <f t="shared" si="63"/>
        <v>30008_3</v>
      </c>
      <c r="D611" s="9" t="str">
        <f>VLOOKUP(C611,[1]stages!$A:$AE,31,FALSE)</f>
        <v>everyone</v>
      </c>
      <c r="E611" s="9">
        <v>610</v>
      </c>
      <c r="F611" s="9">
        <v>344</v>
      </c>
      <c r="G611" s="10" t="str">
        <f>IF(I611="unit",VLOOKUP(F611,[2]characters!$A:$C,3,FALSE),"-")</f>
        <v>雷のメタルピヨピヨ</v>
      </c>
      <c r="H611" s="9">
        <v>28</v>
      </c>
      <c r="I611" s="9" t="s">
        <v>36</v>
      </c>
      <c r="J611" s="9">
        <v>1</v>
      </c>
      <c r="K611" s="9">
        <v>1</v>
      </c>
      <c r="L611" s="9">
        <v>1</v>
      </c>
      <c r="M611" s="9">
        <v>0</v>
      </c>
      <c r="N611" s="9">
        <v>0</v>
      </c>
      <c r="O611" s="9">
        <v>0</v>
      </c>
      <c r="P611" s="9">
        <v>0</v>
      </c>
      <c r="Q611" s="9">
        <v>1</v>
      </c>
      <c r="R611" s="9" t="s">
        <v>27</v>
      </c>
      <c r="S611" s="9" t="s">
        <v>28</v>
      </c>
    </row>
    <row r="612" spans="1:19" x14ac:dyDescent="0.15">
      <c r="A612" s="9">
        <v>30008</v>
      </c>
      <c r="B612" s="9">
        <v>3</v>
      </c>
      <c r="C612" s="9" t="str">
        <f t="shared" si="63"/>
        <v>30008_3</v>
      </c>
      <c r="D612" s="9" t="str">
        <f>VLOOKUP(C612,[1]stages!$A:$AE,31,FALSE)</f>
        <v>everyone</v>
      </c>
      <c r="E612" s="9">
        <v>611</v>
      </c>
      <c r="F612" s="9">
        <v>345</v>
      </c>
      <c r="G612" s="10" t="str">
        <f>IF(I612="unit",VLOOKUP(F612,[2]characters!$A:$C,3,FALSE),"-")</f>
        <v>雷のメタルチック</v>
      </c>
      <c r="H612" s="9">
        <v>56</v>
      </c>
      <c r="I612" s="9" t="s">
        <v>36</v>
      </c>
      <c r="J612" s="9">
        <v>1</v>
      </c>
      <c r="K612" s="9">
        <v>1</v>
      </c>
      <c r="L612" s="9">
        <v>1</v>
      </c>
      <c r="M612" s="9">
        <v>0</v>
      </c>
      <c r="N612" s="9">
        <v>0</v>
      </c>
      <c r="O612" s="9">
        <v>0</v>
      </c>
      <c r="P612" s="9">
        <v>0</v>
      </c>
      <c r="Q612" s="9">
        <v>1</v>
      </c>
      <c r="R612" s="9" t="s">
        <v>27</v>
      </c>
      <c r="S612" s="9" t="s">
        <v>28</v>
      </c>
    </row>
    <row r="613" spans="1:19" x14ac:dyDescent="0.15">
      <c r="A613" s="9">
        <v>30008</v>
      </c>
      <c r="B613" s="9">
        <v>3</v>
      </c>
      <c r="C613" s="9" t="str">
        <f t="shared" si="63"/>
        <v>30008_3</v>
      </c>
      <c r="D613" s="9" t="str">
        <f>VLOOKUP(C613,[1]stages!$A:$AE,31,FALSE)</f>
        <v>everyone</v>
      </c>
      <c r="E613" s="9">
        <v>612</v>
      </c>
      <c r="F613" s="9">
        <v>346</v>
      </c>
      <c r="G613" s="10" t="str">
        <f>IF(I613="unit",VLOOKUP(F613,[2]characters!$A:$C,3,FALSE),"-")</f>
        <v>雷のメタルダック</v>
      </c>
      <c r="H613" s="9">
        <v>56</v>
      </c>
      <c r="I613" s="9" t="s">
        <v>36</v>
      </c>
      <c r="J613" s="9">
        <v>1</v>
      </c>
      <c r="K613" s="9">
        <v>1</v>
      </c>
      <c r="L613" s="9">
        <v>1</v>
      </c>
      <c r="M613" s="9">
        <v>0</v>
      </c>
      <c r="N613" s="9">
        <v>0</v>
      </c>
      <c r="O613" s="9">
        <v>0</v>
      </c>
      <c r="P613" s="9">
        <v>0</v>
      </c>
      <c r="Q613" s="9">
        <v>1</v>
      </c>
      <c r="R613" s="9" t="s">
        <v>27</v>
      </c>
      <c r="S613" s="9" t="s">
        <v>28</v>
      </c>
    </row>
    <row r="614" spans="1:19" x14ac:dyDescent="0.15">
      <c r="A614" s="9">
        <v>30008</v>
      </c>
      <c r="B614" s="9">
        <v>3</v>
      </c>
      <c r="C614" s="9" t="str">
        <f t="shared" si="63"/>
        <v>30008_3</v>
      </c>
      <c r="D614" s="9" t="str">
        <f>VLOOKUP(C614,[1]stages!$A:$AE,31,FALSE)</f>
        <v>everyone</v>
      </c>
      <c r="E614" s="9">
        <v>613</v>
      </c>
      <c r="F614" s="9">
        <v>121</v>
      </c>
      <c r="G614" s="10" t="str">
        <f>IF(I614="unit",VLOOKUP(F614,[2]characters!$A:$C,3,FALSE),"-")</f>
        <v>攻めの果実</v>
      </c>
      <c r="H614" s="9">
        <v>50</v>
      </c>
      <c r="I614" s="9" t="s">
        <v>36</v>
      </c>
      <c r="J614" s="9">
        <v>1</v>
      </c>
      <c r="K614" s="9">
        <v>1</v>
      </c>
      <c r="L614" s="9">
        <v>1</v>
      </c>
      <c r="M614" s="9">
        <v>0</v>
      </c>
      <c r="N614" s="9">
        <v>0</v>
      </c>
      <c r="O614" s="9">
        <v>0</v>
      </c>
      <c r="P614" s="9">
        <v>0</v>
      </c>
      <c r="Q614" s="9">
        <v>1</v>
      </c>
      <c r="R614" s="9" t="s">
        <v>27</v>
      </c>
      <c r="S614" s="9" t="s">
        <v>28</v>
      </c>
    </row>
    <row r="615" spans="1:19" x14ac:dyDescent="0.15">
      <c r="A615" s="9">
        <v>30008</v>
      </c>
      <c r="B615" s="9">
        <v>3</v>
      </c>
      <c r="C615" s="9" t="str">
        <f t="shared" si="63"/>
        <v>30008_3</v>
      </c>
      <c r="D615" s="9" t="str">
        <f>VLOOKUP(C615,[1]stages!$A:$AE,31,FALSE)</f>
        <v>everyone</v>
      </c>
      <c r="E615" s="9">
        <v>614</v>
      </c>
      <c r="F615" s="9">
        <v>122</v>
      </c>
      <c r="G615" s="10" t="str">
        <f>IF(I615="unit",VLOOKUP(F615,[2]characters!$A:$C,3,FALSE),"-")</f>
        <v>生命の果実</v>
      </c>
      <c r="H615" s="9">
        <v>50</v>
      </c>
      <c r="I615" s="9" t="s">
        <v>36</v>
      </c>
      <c r="J615" s="9">
        <v>1</v>
      </c>
      <c r="K615" s="9">
        <v>1</v>
      </c>
      <c r="L615" s="9">
        <v>1</v>
      </c>
      <c r="M615" s="9">
        <v>0</v>
      </c>
      <c r="N615" s="9">
        <v>0</v>
      </c>
      <c r="O615" s="9">
        <v>0</v>
      </c>
      <c r="P615" s="9">
        <v>0</v>
      </c>
      <c r="Q615" s="9">
        <v>1</v>
      </c>
      <c r="R615" s="9" t="s">
        <v>27</v>
      </c>
      <c r="S615" s="9" t="s">
        <v>28</v>
      </c>
    </row>
    <row r="616" spans="1:19" x14ac:dyDescent="0.15">
      <c r="A616" s="9">
        <v>30008</v>
      </c>
      <c r="B616" s="9">
        <v>3</v>
      </c>
      <c r="C616" s="9" t="str">
        <f t="shared" si="63"/>
        <v>30008_3</v>
      </c>
      <c r="D616" s="9" t="str">
        <f>VLOOKUP(C616,[1]stages!$A:$AE,31,FALSE)</f>
        <v>everyone</v>
      </c>
      <c r="E616" s="9">
        <v>615</v>
      </c>
      <c r="F616" s="9">
        <v>123</v>
      </c>
      <c r="G616" s="10" t="str">
        <f>IF(I616="unit",VLOOKUP(F616,[2]characters!$A:$C,3,FALSE),"-")</f>
        <v>癒しの果実</v>
      </c>
      <c r="H616" s="9">
        <v>50</v>
      </c>
      <c r="I616" s="9" t="s">
        <v>36</v>
      </c>
      <c r="J616" s="9">
        <v>1</v>
      </c>
      <c r="K616" s="9">
        <v>1</v>
      </c>
      <c r="L616" s="9">
        <v>1</v>
      </c>
      <c r="M616" s="9">
        <v>0</v>
      </c>
      <c r="N616" s="9">
        <v>0</v>
      </c>
      <c r="O616" s="9">
        <v>0</v>
      </c>
      <c r="P616" s="9">
        <v>0</v>
      </c>
      <c r="Q616" s="9">
        <v>1</v>
      </c>
      <c r="R616" s="9" t="s">
        <v>27</v>
      </c>
      <c r="S616" s="9" t="s">
        <v>28</v>
      </c>
    </row>
    <row r="617" spans="1:19" x14ac:dyDescent="0.15">
      <c r="A617" s="9">
        <v>30008</v>
      </c>
      <c r="B617" s="9">
        <v>3</v>
      </c>
      <c r="C617" s="9" t="str">
        <f t="shared" si="63"/>
        <v>30008_3</v>
      </c>
      <c r="D617" s="9" t="str">
        <f>VLOOKUP(C617,[1]stages!$A:$AE,31,FALSE)</f>
        <v>everyone</v>
      </c>
      <c r="E617" s="9">
        <v>616</v>
      </c>
      <c r="F617" s="9">
        <v>125</v>
      </c>
      <c r="G617" s="10" t="str">
        <f>IF(I617="unit",VLOOKUP(F617,[2]characters!$A:$C,3,FALSE),"-")</f>
        <v>秘術の果実</v>
      </c>
      <c r="H617" s="9">
        <v>10</v>
      </c>
      <c r="I617" s="9" t="s">
        <v>36</v>
      </c>
      <c r="J617" s="9">
        <v>1</v>
      </c>
      <c r="K617" s="9">
        <v>1</v>
      </c>
      <c r="L617" s="9">
        <v>1</v>
      </c>
      <c r="M617" s="9">
        <v>0</v>
      </c>
      <c r="N617" s="9">
        <v>0</v>
      </c>
      <c r="O617" s="9">
        <v>0</v>
      </c>
      <c r="P617" s="9">
        <v>0</v>
      </c>
      <c r="Q617" s="9">
        <v>1</v>
      </c>
      <c r="R617" s="9" t="s">
        <v>27</v>
      </c>
      <c r="S617" s="9" t="s">
        <v>28</v>
      </c>
    </row>
    <row r="618" spans="1:19" x14ac:dyDescent="0.15">
      <c r="A618" s="9">
        <v>30008</v>
      </c>
      <c r="B618" s="9">
        <v>3</v>
      </c>
      <c r="C618" s="9" t="str">
        <f t="shared" si="63"/>
        <v>30008_3</v>
      </c>
      <c r="D618" s="9" t="str">
        <f>VLOOKUP(C618,[1]stages!$A:$AE,31,FALSE)</f>
        <v>everyone</v>
      </c>
      <c r="E618" s="9">
        <v>617</v>
      </c>
      <c r="F618" s="9">
        <v>288</v>
      </c>
      <c r="G618" s="10" t="str">
        <f>IF(I618="unit",VLOOKUP(F618,[2]characters!$A:$C,3,FALSE),"-")</f>
        <v>ミカド</v>
      </c>
      <c r="H618" s="9">
        <v>400</v>
      </c>
      <c r="I618" s="9" t="s">
        <v>36</v>
      </c>
      <c r="J618" s="9">
        <v>1</v>
      </c>
      <c r="K618" s="9">
        <v>1</v>
      </c>
      <c r="L618" s="9">
        <v>1</v>
      </c>
      <c r="M618" s="9">
        <v>0</v>
      </c>
      <c r="N618" s="9">
        <v>0</v>
      </c>
      <c r="O618" s="9">
        <v>0</v>
      </c>
      <c r="P618" s="9">
        <v>0</v>
      </c>
      <c r="Q618" s="9">
        <v>1</v>
      </c>
      <c r="R618" s="9" t="s">
        <v>27</v>
      </c>
      <c r="S618" s="9" t="s">
        <v>28</v>
      </c>
    </row>
    <row r="619" spans="1:19" ht="16" thickBot="1" x14ac:dyDescent="0.2">
      <c r="A619" s="14">
        <v>30008</v>
      </c>
      <c r="B619" s="14">
        <v>3</v>
      </c>
      <c r="C619" s="14" t="str">
        <f t="shared" si="63"/>
        <v>30008_3</v>
      </c>
      <c r="D619" s="14" t="str">
        <f>VLOOKUP(C619,[1]stages!$A:$AE,31,FALSE)</f>
        <v>everyone</v>
      </c>
      <c r="E619" s="14">
        <v>618</v>
      </c>
      <c r="F619" s="14">
        <v>354</v>
      </c>
      <c r="G619" s="15" t="str">
        <f>IF(I619="unit",VLOOKUP(F619,[2]characters!$A:$C,3,FALSE),"-")</f>
        <v>雷のケロケロ</v>
      </c>
      <c r="H619" s="14">
        <v>100</v>
      </c>
      <c r="I619" s="14" t="s">
        <v>36</v>
      </c>
      <c r="J619" s="14">
        <v>1</v>
      </c>
      <c r="K619" s="14">
        <v>1</v>
      </c>
      <c r="L619" s="14">
        <v>1</v>
      </c>
      <c r="M619" s="14">
        <v>0</v>
      </c>
      <c r="N619" s="14">
        <v>0</v>
      </c>
      <c r="O619" s="14">
        <v>0</v>
      </c>
      <c r="P619" s="14">
        <v>0</v>
      </c>
      <c r="Q619" s="14">
        <v>1</v>
      </c>
      <c r="R619" s="14" t="s">
        <v>27</v>
      </c>
      <c r="S619" s="14" t="s">
        <v>28</v>
      </c>
    </row>
    <row r="620" spans="1:19" x14ac:dyDescent="0.15">
      <c r="A620" s="17">
        <v>30009</v>
      </c>
      <c r="B620" s="18">
        <v>1</v>
      </c>
      <c r="C620" s="18" t="str">
        <f>A620&amp; "_"&amp;B620</f>
        <v>30009_1</v>
      </c>
      <c r="D620" s="18" t="str">
        <f>VLOOKUP(C620,[1]stages!$A:$AE,31,FALSE)</f>
        <v>everyone</v>
      </c>
      <c r="E620" s="18">
        <v>619</v>
      </c>
      <c r="F620" s="18">
        <v>6500</v>
      </c>
      <c r="G620" s="19" t="str">
        <f>IF(I620="unit",VLOOKUP(F620,[2]characters!$A:$C,3,FALSE),"-")</f>
        <v>-</v>
      </c>
      <c r="H620" s="18">
        <v>200</v>
      </c>
      <c r="I620" s="18" t="s">
        <v>32</v>
      </c>
      <c r="J620" s="18" t="s">
        <v>33</v>
      </c>
      <c r="K620" s="18">
        <v>1</v>
      </c>
      <c r="L620" s="18">
        <v>1</v>
      </c>
      <c r="M620" s="18">
        <v>0</v>
      </c>
      <c r="N620" s="18">
        <v>0</v>
      </c>
      <c r="O620" s="18">
        <v>0</v>
      </c>
      <c r="P620" s="18">
        <v>0</v>
      </c>
      <c r="Q620" s="18">
        <v>1</v>
      </c>
      <c r="R620" s="18" t="s">
        <v>27</v>
      </c>
      <c r="S620" s="20" t="s">
        <v>28</v>
      </c>
    </row>
    <row r="621" spans="1:19" x14ac:dyDescent="0.15">
      <c r="A621" s="21">
        <v>30009</v>
      </c>
      <c r="B621" s="9">
        <v>1</v>
      </c>
      <c r="C621" s="9" t="str">
        <f t="shared" ref="C621:C630" si="64">A621&amp; "_"&amp;B621</f>
        <v>30009_1</v>
      </c>
      <c r="D621" s="9" t="str">
        <f>VLOOKUP(C621,[1]stages!$A:$AE,31,FALSE)</f>
        <v>everyone</v>
      </c>
      <c r="E621" s="9">
        <v>620</v>
      </c>
      <c r="F621" s="9">
        <v>25</v>
      </c>
      <c r="G621" s="10" t="str">
        <f>IF(I621="unit",VLOOKUP(F621,[2]characters!$A:$C,3,FALSE),"-")</f>
        <v>-</v>
      </c>
      <c r="H621" s="9">
        <v>150</v>
      </c>
      <c r="I621" s="9" t="s">
        <v>35</v>
      </c>
      <c r="J621" s="9" t="s">
        <v>33</v>
      </c>
      <c r="K621" s="9">
        <v>1</v>
      </c>
      <c r="L621" s="9">
        <v>1</v>
      </c>
      <c r="M621" s="9">
        <v>0</v>
      </c>
      <c r="N621" s="9">
        <v>0</v>
      </c>
      <c r="O621" s="9">
        <v>0</v>
      </c>
      <c r="P621" s="9">
        <v>0</v>
      </c>
      <c r="Q621" s="9">
        <v>1</v>
      </c>
      <c r="R621" s="9" t="s">
        <v>27</v>
      </c>
      <c r="S621" s="22" t="s">
        <v>28</v>
      </c>
    </row>
    <row r="622" spans="1:19" x14ac:dyDescent="0.15">
      <c r="A622" s="21">
        <v>30009</v>
      </c>
      <c r="B622" s="9">
        <v>1</v>
      </c>
      <c r="C622" s="9" t="str">
        <f t="shared" si="64"/>
        <v>30009_1</v>
      </c>
      <c r="D622" s="9" t="str">
        <f>VLOOKUP(C622,[1]stages!$A:$AE,31,FALSE)</f>
        <v>everyone</v>
      </c>
      <c r="E622" s="9">
        <v>621</v>
      </c>
      <c r="F622" s="9">
        <v>344</v>
      </c>
      <c r="G622" s="10" t="str">
        <f>IF(I622="unit",VLOOKUP(F622,[2]characters!$A:$C,3,FALSE),"-")</f>
        <v>雷のメタルピヨピヨ</v>
      </c>
      <c r="H622" s="9">
        <v>28</v>
      </c>
      <c r="I622" s="9" t="s">
        <v>36</v>
      </c>
      <c r="J622" s="9">
        <v>1</v>
      </c>
      <c r="K622" s="9">
        <v>1</v>
      </c>
      <c r="L622" s="9">
        <v>1</v>
      </c>
      <c r="M622" s="9">
        <v>0</v>
      </c>
      <c r="N622" s="9">
        <v>0</v>
      </c>
      <c r="O622" s="9">
        <v>0</v>
      </c>
      <c r="P622" s="9">
        <v>0</v>
      </c>
      <c r="Q622" s="9">
        <v>1</v>
      </c>
      <c r="R622" s="9" t="s">
        <v>27</v>
      </c>
      <c r="S622" s="22" t="s">
        <v>28</v>
      </c>
    </row>
    <row r="623" spans="1:19" x14ac:dyDescent="0.15">
      <c r="A623" s="21">
        <v>30009</v>
      </c>
      <c r="B623" s="9">
        <v>1</v>
      </c>
      <c r="C623" s="9" t="str">
        <f t="shared" si="64"/>
        <v>30009_1</v>
      </c>
      <c r="D623" s="9" t="str">
        <f>VLOOKUP(C623,[1]stages!$A:$AE,31,FALSE)</f>
        <v>everyone</v>
      </c>
      <c r="E623" s="9">
        <v>622</v>
      </c>
      <c r="F623" s="9">
        <v>345</v>
      </c>
      <c r="G623" s="10" t="str">
        <f>IF(I623="unit",VLOOKUP(F623,[2]characters!$A:$C,3,FALSE),"-")</f>
        <v>雷のメタルチック</v>
      </c>
      <c r="H623" s="9">
        <v>56</v>
      </c>
      <c r="I623" s="9" t="s">
        <v>36</v>
      </c>
      <c r="J623" s="9">
        <v>1</v>
      </c>
      <c r="K623" s="9">
        <v>1</v>
      </c>
      <c r="L623" s="9">
        <v>1</v>
      </c>
      <c r="M623" s="9">
        <v>0</v>
      </c>
      <c r="N623" s="9">
        <v>0</v>
      </c>
      <c r="O623" s="9">
        <v>0</v>
      </c>
      <c r="P623" s="9">
        <v>0</v>
      </c>
      <c r="Q623" s="9">
        <v>1</v>
      </c>
      <c r="R623" s="9" t="s">
        <v>27</v>
      </c>
      <c r="S623" s="22" t="s">
        <v>28</v>
      </c>
    </row>
    <row r="624" spans="1:19" x14ac:dyDescent="0.15">
      <c r="A624" s="21">
        <v>30009</v>
      </c>
      <c r="B624" s="9">
        <v>1</v>
      </c>
      <c r="C624" s="9" t="str">
        <f t="shared" si="64"/>
        <v>30009_1</v>
      </c>
      <c r="D624" s="9" t="str">
        <f>VLOOKUP(C624,[1]stages!$A:$AE,31,FALSE)</f>
        <v>everyone</v>
      </c>
      <c r="E624" s="9">
        <v>623</v>
      </c>
      <c r="F624" s="9">
        <v>346</v>
      </c>
      <c r="G624" s="10" t="str">
        <f>IF(I624="unit",VLOOKUP(F624,[2]characters!$A:$C,3,FALSE),"-")</f>
        <v>雷のメタルダック</v>
      </c>
      <c r="H624" s="9">
        <v>56</v>
      </c>
      <c r="I624" s="9" t="s">
        <v>36</v>
      </c>
      <c r="J624" s="9">
        <v>1</v>
      </c>
      <c r="K624" s="9">
        <v>1</v>
      </c>
      <c r="L624" s="9">
        <v>1</v>
      </c>
      <c r="M624" s="9">
        <v>0</v>
      </c>
      <c r="N624" s="9">
        <v>0</v>
      </c>
      <c r="O624" s="9">
        <v>0</v>
      </c>
      <c r="P624" s="9">
        <v>0</v>
      </c>
      <c r="Q624" s="9">
        <v>1</v>
      </c>
      <c r="R624" s="9" t="s">
        <v>27</v>
      </c>
      <c r="S624" s="22" t="s">
        <v>28</v>
      </c>
    </row>
    <row r="625" spans="1:19" x14ac:dyDescent="0.15">
      <c r="A625" s="21">
        <v>30009</v>
      </c>
      <c r="B625" s="9">
        <v>1</v>
      </c>
      <c r="C625" s="9" t="str">
        <f t="shared" si="64"/>
        <v>30009_1</v>
      </c>
      <c r="D625" s="9" t="str">
        <f>VLOOKUP(C625,[1]stages!$A:$AE,31,FALSE)</f>
        <v>everyone</v>
      </c>
      <c r="E625" s="9">
        <v>624</v>
      </c>
      <c r="F625" s="9">
        <v>121</v>
      </c>
      <c r="G625" s="10" t="str">
        <f>IF(I625="unit",VLOOKUP(F625,[2]characters!$A:$C,3,FALSE),"-")</f>
        <v>攻めの果実</v>
      </c>
      <c r="H625" s="9">
        <v>50</v>
      </c>
      <c r="I625" s="9" t="s">
        <v>36</v>
      </c>
      <c r="J625" s="9">
        <v>1</v>
      </c>
      <c r="K625" s="9">
        <v>1</v>
      </c>
      <c r="L625" s="9">
        <v>1</v>
      </c>
      <c r="M625" s="9">
        <v>0</v>
      </c>
      <c r="N625" s="9">
        <v>0</v>
      </c>
      <c r="O625" s="9">
        <v>0</v>
      </c>
      <c r="P625" s="9">
        <v>0</v>
      </c>
      <c r="Q625" s="9">
        <v>1</v>
      </c>
      <c r="R625" s="9" t="s">
        <v>27</v>
      </c>
      <c r="S625" s="22" t="s">
        <v>28</v>
      </c>
    </row>
    <row r="626" spans="1:19" x14ac:dyDescent="0.15">
      <c r="A626" s="21">
        <v>30009</v>
      </c>
      <c r="B626" s="9">
        <v>1</v>
      </c>
      <c r="C626" s="9" t="str">
        <f t="shared" si="64"/>
        <v>30009_1</v>
      </c>
      <c r="D626" s="9" t="str">
        <f>VLOOKUP(C626,[1]stages!$A:$AE,31,FALSE)</f>
        <v>everyone</v>
      </c>
      <c r="E626" s="9">
        <v>625</v>
      </c>
      <c r="F626" s="9">
        <v>122</v>
      </c>
      <c r="G626" s="10" t="str">
        <f>IF(I626="unit",VLOOKUP(F626,[2]characters!$A:$C,3,FALSE),"-")</f>
        <v>生命の果実</v>
      </c>
      <c r="H626" s="9">
        <v>50</v>
      </c>
      <c r="I626" s="9" t="s">
        <v>36</v>
      </c>
      <c r="J626" s="9">
        <v>1</v>
      </c>
      <c r="K626" s="9">
        <v>1</v>
      </c>
      <c r="L626" s="9">
        <v>1</v>
      </c>
      <c r="M626" s="9">
        <v>0</v>
      </c>
      <c r="N626" s="9">
        <v>0</v>
      </c>
      <c r="O626" s="9">
        <v>0</v>
      </c>
      <c r="P626" s="9">
        <v>0</v>
      </c>
      <c r="Q626" s="9">
        <v>1</v>
      </c>
      <c r="R626" s="9" t="s">
        <v>27</v>
      </c>
      <c r="S626" s="22" t="s">
        <v>28</v>
      </c>
    </row>
    <row r="627" spans="1:19" x14ac:dyDescent="0.15">
      <c r="A627" s="21">
        <v>30009</v>
      </c>
      <c r="B627" s="9">
        <v>1</v>
      </c>
      <c r="C627" s="9" t="str">
        <f t="shared" si="64"/>
        <v>30009_1</v>
      </c>
      <c r="D627" s="9" t="str">
        <f>VLOOKUP(C627,[1]stages!$A:$AE,31,FALSE)</f>
        <v>everyone</v>
      </c>
      <c r="E627" s="9">
        <v>626</v>
      </c>
      <c r="F627" s="9">
        <v>123</v>
      </c>
      <c r="G627" s="10" t="str">
        <f>IF(I627="unit",VLOOKUP(F627,[2]characters!$A:$C,3,FALSE),"-")</f>
        <v>癒しの果実</v>
      </c>
      <c r="H627" s="9">
        <v>50</v>
      </c>
      <c r="I627" s="9" t="s">
        <v>36</v>
      </c>
      <c r="J627" s="9">
        <v>1</v>
      </c>
      <c r="K627" s="9">
        <v>1</v>
      </c>
      <c r="L627" s="9">
        <v>1</v>
      </c>
      <c r="M627" s="9">
        <v>0</v>
      </c>
      <c r="N627" s="9">
        <v>0</v>
      </c>
      <c r="O627" s="9">
        <v>0</v>
      </c>
      <c r="P627" s="9">
        <v>0</v>
      </c>
      <c r="Q627" s="9">
        <v>1</v>
      </c>
      <c r="R627" s="9" t="s">
        <v>27</v>
      </c>
      <c r="S627" s="22" t="s">
        <v>28</v>
      </c>
    </row>
    <row r="628" spans="1:19" x14ac:dyDescent="0.15">
      <c r="A628" s="21">
        <v>30009</v>
      </c>
      <c r="B628" s="9">
        <v>1</v>
      </c>
      <c r="C628" s="9" t="str">
        <f t="shared" si="64"/>
        <v>30009_1</v>
      </c>
      <c r="D628" s="9" t="str">
        <f>VLOOKUP(C628,[1]stages!$A:$AE,31,FALSE)</f>
        <v>everyone</v>
      </c>
      <c r="E628" s="9">
        <v>627</v>
      </c>
      <c r="F628" s="9">
        <v>125</v>
      </c>
      <c r="G628" s="10" t="str">
        <f>IF(I628="unit",VLOOKUP(F628,[2]characters!$A:$C,3,FALSE),"-")</f>
        <v>秘術の果実</v>
      </c>
      <c r="H628" s="9">
        <v>10</v>
      </c>
      <c r="I628" s="9" t="s">
        <v>36</v>
      </c>
      <c r="J628" s="9">
        <v>1</v>
      </c>
      <c r="K628" s="9">
        <v>1</v>
      </c>
      <c r="L628" s="9">
        <v>1</v>
      </c>
      <c r="M628" s="9">
        <v>0</v>
      </c>
      <c r="N628" s="9">
        <v>0</v>
      </c>
      <c r="O628" s="9">
        <v>0</v>
      </c>
      <c r="P628" s="9">
        <v>0</v>
      </c>
      <c r="Q628" s="9">
        <v>1</v>
      </c>
      <c r="R628" s="9" t="s">
        <v>27</v>
      </c>
      <c r="S628" s="22" t="s">
        <v>28</v>
      </c>
    </row>
    <row r="629" spans="1:19" x14ac:dyDescent="0.15">
      <c r="A629" s="21">
        <v>30009</v>
      </c>
      <c r="B629" s="9">
        <v>1</v>
      </c>
      <c r="C629" s="9" t="str">
        <f t="shared" si="64"/>
        <v>30009_1</v>
      </c>
      <c r="D629" s="9" t="str">
        <f>VLOOKUP(C629,[1]stages!$A:$AE,31,FALSE)</f>
        <v>everyone</v>
      </c>
      <c r="E629" s="9">
        <v>628</v>
      </c>
      <c r="F629" s="9">
        <v>312</v>
      </c>
      <c r="G629" s="10" t="str">
        <f>IF(I629="unit",VLOOKUP(F629,[2]characters!$A:$C,3,FALSE),"-")</f>
        <v>アノマロカリス</v>
      </c>
      <c r="H629" s="9">
        <v>250</v>
      </c>
      <c r="I629" s="9" t="s">
        <v>36</v>
      </c>
      <c r="J629" s="9">
        <v>1</v>
      </c>
      <c r="K629" s="9">
        <v>1</v>
      </c>
      <c r="L629" s="9">
        <v>1</v>
      </c>
      <c r="M629" s="9">
        <v>0</v>
      </c>
      <c r="N629" s="9">
        <v>0</v>
      </c>
      <c r="O629" s="9">
        <v>0</v>
      </c>
      <c r="P629" s="9">
        <v>0</v>
      </c>
      <c r="Q629" s="9">
        <v>1</v>
      </c>
      <c r="R629" s="9" t="s">
        <v>27</v>
      </c>
      <c r="S629" s="22" t="s">
        <v>28</v>
      </c>
    </row>
    <row r="630" spans="1:19" x14ac:dyDescent="0.15">
      <c r="A630" s="21">
        <v>30009</v>
      </c>
      <c r="B630" s="9">
        <v>1</v>
      </c>
      <c r="C630" s="9" t="str">
        <f t="shared" si="64"/>
        <v>30009_1</v>
      </c>
      <c r="D630" s="9" t="str">
        <f>VLOOKUP(C630,[1]stages!$A:$AE,31,FALSE)</f>
        <v>everyone</v>
      </c>
      <c r="E630" s="9">
        <v>629</v>
      </c>
      <c r="F630" s="9">
        <v>354</v>
      </c>
      <c r="G630" s="10" t="str">
        <f>IF(I630="unit",VLOOKUP(F630,[2]characters!$A:$C,3,FALSE),"-")</f>
        <v>雷のケロケロ</v>
      </c>
      <c r="H630" s="9">
        <v>100</v>
      </c>
      <c r="I630" s="9" t="s">
        <v>36</v>
      </c>
      <c r="J630" s="9">
        <v>1</v>
      </c>
      <c r="K630" s="9">
        <v>1</v>
      </c>
      <c r="L630" s="9">
        <v>1</v>
      </c>
      <c r="M630" s="9">
        <v>0</v>
      </c>
      <c r="N630" s="9">
        <v>0</v>
      </c>
      <c r="O630" s="9">
        <v>0</v>
      </c>
      <c r="P630" s="9">
        <v>0</v>
      </c>
      <c r="Q630" s="9">
        <v>1</v>
      </c>
      <c r="R630" s="9" t="s">
        <v>27</v>
      </c>
      <c r="S630" s="22" t="s">
        <v>28</v>
      </c>
    </row>
    <row r="631" spans="1:19" x14ac:dyDescent="0.15">
      <c r="A631" s="21">
        <v>30009</v>
      </c>
      <c r="B631" s="9">
        <v>2</v>
      </c>
      <c r="C631" s="9" t="str">
        <f>A631&amp; "_"&amp;B631</f>
        <v>30009_2</v>
      </c>
      <c r="D631" s="9" t="str">
        <f>VLOOKUP(C631,[1]stages!$A:$AE,31,FALSE)</f>
        <v>everyone</v>
      </c>
      <c r="E631" s="9">
        <v>630</v>
      </c>
      <c r="F631" s="9">
        <v>7500</v>
      </c>
      <c r="G631" s="10" t="str">
        <f>IF(I631="unit",VLOOKUP(F631,[2]characters!$A:$C,3,FALSE),"-")</f>
        <v>-</v>
      </c>
      <c r="H631" s="9">
        <v>100</v>
      </c>
      <c r="I631" s="9" t="s">
        <v>32</v>
      </c>
      <c r="J631" s="9" t="s">
        <v>33</v>
      </c>
      <c r="K631" s="9">
        <v>1</v>
      </c>
      <c r="L631" s="9">
        <v>1</v>
      </c>
      <c r="M631" s="9">
        <v>0</v>
      </c>
      <c r="N631" s="9">
        <v>0</v>
      </c>
      <c r="O631" s="9">
        <v>0</v>
      </c>
      <c r="P631" s="9">
        <v>0</v>
      </c>
      <c r="Q631" s="9">
        <v>1</v>
      </c>
      <c r="R631" s="9" t="s">
        <v>27</v>
      </c>
      <c r="S631" s="22" t="s">
        <v>28</v>
      </c>
    </row>
    <row r="632" spans="1:19" x14ac:dyDescent="0.15">
      <c r="A632" s="21">
        <v>30009</v>
      </c>
      <c r="B632" s="9">
        <v>2</v>
      </c>
      <c r="C632" s="9" t="str">
        <f t="shared" ref="C632" si="65">A632&amp; "_"&amp;B632</f>
        <v>30009_2</v>
      </c>
      <c r="D632" s="9" t="str">
        <f>VLOOKUP(C632,[1]stages!$A:$AE,31,FALSE)</f>
        <v>everyone</v>
      </c>
      <c r="E632" s="9">
        <v>631</v>
      </c>
      <c r="F632" s="9">
        <v>25</v>
      </c>
      <c r="G632" s="10" t="str">
        <f>IF(I632="unit",VLOOKUP(F632,[2]characters!$A:$C,3,FALSE),"-")</f>
        <v>-</v>
      </c>
      <c r="H632" s="9">
        <v>100</v>
      </c>
      <c r="I632" s="9" t="s">
        <v>35</v>
      </c>
      <c r="J632" s="9" t="s">
        <v>33</v>
      </c>
      <c r="K632" s="9">
        <v>1</v>
      </c>
      <c r="L632" s="9">
        <v>1</v>
      </c>
      <c r="M632" s="9">
        <v>0</v>
      </c>
      <c r="N632" s="9">
        <v>0</v>
      </c>
      <c r="O632" s="9">
        <v>0</v>
      </c>
      <c r="P632" s="9">
        <v>0</v>
      </c>
      <c r="Q632" s="9">
        <v>1</v>
      </c>
      <c r="R632" s="9" t="s">
        <v>27</v>
      </c>
      <c r="S632" s="22" t="s">
        <v>28</v>
      </c>
    </row>
    <row r="633" spans="1:19" x14ac:dyDescent="0.15">
      <c r="A633" s="21">
        <v>30009</v>
      </c>
      <c r="B633" s="9">
        <v>2</v>
      </c>
      <c r="C633" s="9" t="str">
        <f t="shared" ref="C633:C641" si="66">A633&amp; "_"&amp;B633</f>
        <v>30009_2</v>
      </c>
      <c r="D633" s="9" t="str">
        <f>VLOOKUP(C633,[1]stages!$A:$AE,31,FALSE)</f>
        <v>everyone</v>
      </c>
      <c r="E633" s="9">
        <v>633</v>
      </c>
      <c r="F633" s="9">
        <v>345</v>
      </c>
      <c r="G633" s="10" t="str">
        <f>IF(I633="unit",VLOOKUP(F633,[2]characters!$A:$C,3,FALSE),"-")</f>
        <v>雷のメタルチック</v>
      </c>
      <c r="H633" s="9">
        <v>56</v>
      </c>
      <c r="I633" s="9" t="s">
        <v>36</v>
      </c>
      <c r="J633" s="9">
        <v>1</v>
      </c>
      <c r="K633" s="9">
        <v>1</v>
      </c>
      <c r="L633" s="9">
        <v>1</v>
      </c>
      <c r="M633" s="9">
        <v>0</v>
      </c>
      <c r="N633" s="9">
        <v>0</v>
      </c>
      <c r="O633" s="9">
        <v>0</v>
      </c>
      <c r="P633" s="9">
        <v>0</v>
      </c>
      <c r="Q633" s="9">
        <v>1</v>
      </c>
      <c r="R633" s="9" t="s">
        <v>27</v>
      </c>
      <c r="S633" s="22" t="s">
        <v>28</v>
      </c>
    </row>
    <row r="634" spans="1:19" x14ac:dyDescent="0.15">
      <c r="A634" s="21">
        <v>30009</v>
      </c>
      <c r="B634" s="9">
        <v>2</v>
      </c>
      <c r="C634" s="9" t="str">
        <f t="shared" si="66"/>
        <v>30009_2</v>
      </c>
      <c r="D634" s="9" t="str">
        <f>VLOOKUP(C634,[1]stages!$A:$AE,31,FALSE)</f>
        <v>everyone</v>
      </c>
      <c r="E634" s="9">
        <v>634</v>
      </c>
      <c r="F634" s="9">
        <v>346</v>
      </c>
      <c r="G634" s="10" t="str">
        <f>IF(I634="unit",VLOOKUP(F634,[2]characters!$A:$C,3,FALSE),"-")</f>
        <v>雷のメタルダック</v>
      </c>
      <c r="H634" s="9">
        <v>84</v>
      </c>
      <c r="I634" s="9" t="s">
        <v>36</v>
      </c>
      <c r="J634" s="9">
        <v>1</v>
      </c>
      <c r="K634" s="9">
        <v>1</v>
      </c>
      <c r="L634" s="9">
        <v>1</v>
      </c>
      <c r="M634" s="9">
        <v>0</v>
      </c>
      <c r="N634" s="9">
        <v>0</v>
      </c>
      <c r="O634" s="9">
        <v>0</v>
      </c>
      <c r="P634" s="9">
        <v>0</v>
      </c>
      <c r="Q634" s="9">
        <v>1</v>
      </c>
      <c r="R634" s="9" t="s">
        <v>27</v>
      </c>
      <c r="S634" s="22" t="s">
        <v>28</v>
      </c>
    </row>
    <row r="635" spans="1:19" x14ac:dyDescent="0.15">
      <c r="A635" s="21">
        <v>30009</v>
      </c>
      <c r="B635" s="9">
        <v>2</v>
      </c>
      <c r="C635" s="9" t="str">
        <f t="shared" si="66"/>
        <v>30009_2</v>
      </c>
      <c r="D635" s="9" t="str">
        <f>VLOOKUP(C635,[1]stages!$A:$AE,31,FALSE)</f>
        <v>everyone</v>
      </c>
      <c r="E635" s="9">
        <v>635</v>
      </c>
      <c r="F635" s="9">
        <v>121</v>
      </c>
      <c r="G635" s="10" t="str">
        <f>IF(I635="unit",VLOOKUP(F635,[2]characters!$A:$C,3,FALSE),"-")</f>
        <v>攻めの果実</v>
      </c>
      <c r="H635" s="9">
        <v>50</v>
      </c>
      <c r="I635" s="9" t="s">
        <v>36</v>
      </c>
      <c r="J635" s="9">
        <v>1</v>
      </c>
      <c r="K635" s="9">
        <v>1</v>
      </c>
      <c r="L635" s="9">
        <v>1</v>
      </c>
      <c r="M635" s="9">
        <v>0</v>
      </c>
      <c r="N635" s="9">
        <v>0</v>
      </c>
      <c r="O635" s="9">
        <v>0</v>
      </c>
      <c r="P635" s="9">
        <v>0</v>
      </c>
      <c r="Q635" s="9">
        <v>1</v>
      </c>
      <c r="R635" s="9" t="s">
        <v>27</v>
      </c>
      <c r="S635" s="22" t="s">
        <v>28</v>
      </c>
    </row>
    <row r="636" spans="1:19" x14ac:dyDescent="0.15">
      <c r="A636" s="21">
        <v>30009</v>
      </c>
      <c r="B636" s="9">
        <v>2</v>
      </c>
      <c r="C636" s="9" t="str">
        <f t="shared" si="66"/>
        <v>30009_2</v>
      </c>
      <c r="D636" s="9" t="str">
        <f>VLOOKUP(C636,[1]stages!$A:$AE,31,FALSE)</f>
        <v>everyone</v>
      </c>
      <c r="E636" s="9">
        <v>636</v>
      </c>
      <c r="F636" s="9">
        <v>122</v>
      </c>
      <c r="G636" s="10" t="str">
        <f>IF(I636="unit",VLOOKUP(F636,[2]characters!$A:$C,3,FALSE),"-")</f>
        <v>生命の果実</v>
      </c>
      <c r="H636" s="9">
        <v>50</v>
      </c>
      <c r="I636" s="9" t="s">
        <v>36</v>
      </c>
      <c r="J636" s="9">
        <v>1</v>
      </c>
      <c r="K636" s="9">
        <v>1</v>
      </c>
      <c r="L636" s="9">
        <v>1</v>
      </c>
      <c r="M636" s="9">
        <v>0</v>
      </c>
      <c r="N636" s="9">
        <v>0</v>
      </c>
      <c r="O636" s="9">
        <v>0</v>
      </c>
      <c r="P636" s="9">
        <v>0</v>
      </c>
      <c r="Q636" s="9">
        <v>1</v>
      </c>
      <c r="R636" s="9" t="s">
        <v>27</v>
      </c>
      <c r="S636" s="22" t="s">
        <v>28</v>
      </c>
    </row>
    <row r="637" spans="1:19" x14ac:dyDescent="0.15">
      <c r="A637" s="21">
        <v>30009</v>
      </c>
      <c r="B637" s="9">
        <v>2</v>
      </c>
      <c r="C637" s="9" t="str">
        <f t="shared" si="66"/>
        <v>30009_2</v>
      </c>
      <c r="D637" s="9" t="str">
        <f>VLOOKUP(C637,[1]stages!$A:$AE,31,FALSE)</f>
        <v>everyone</v>
      </c>
      <c r="E637" s="9">
        <v>637</v>
      </c>
      <c r="F637" s="9">
        <v>123</v>
      </c>
      <c r="G637" s="10" t="str">
        <f>IF(I637="unit",VLOOKUP(F637,[2]characters!$A:$C,3,FALSE),"-")</f>
        <v>癒しの果実</v>
      </c>
      <c r="H637" s="9">
        <v>50</v>
      </c>
      <c r="I637" s="9" t="s">
        <v>36</v>
      </c>
      <c r="J637" s="9">
        <v>1</v>
      </c>
      <c r="K637" s="9">
        <v>1</v>
      </c>
      <c r="L637" s="9">
        <v>1</v>
      </c>
      <c r="M637" s="9">
        <v>0</v>
      </c>
      <c r="N637" s="9">
        <v>0</v>
      </c>
      <c r="O637" s="9">
        <v>0</v>
      </c>
      <c r="P637" s="9">
        <v>0</v>
      </c>
      <c r="Q637" s="9">
        <v>1</v>
      </c>
      <c r="R637" s="9" t="s">
        <v>27</v>
      </c>
      <c r="S637" s="22" t="s">
        <v>28</v>
      </c>
    </row>
    <row r="638" spans="1:19" x14ac:dyDescent="0.15">
      <c r="A638" s="21">
        <v>30009</v>
      </c>
      <c r="B638" s="9">
        <v>2</v>
      </c>
      <c r="C638" s="9" t="str">
        <f t="shared" si="66"/>
        <v>30009_2</v>
      </c>
      <c r="D638" s="9" t="str">
        <f>VLOOKUP(C638,[1]stages!$A:$AE,31,FALSE)</f>
        <v>everyone</v>
      </c>
      <c r="E638" s="9">
        <v>638</v>
      </c>
      <c r="F638" s="9">
        <v>125</v>
      </c>
      <c r="G638" s="10" t="str">
        <f>IF(I638="unit",VLOOKUP(F638,[2]characters!$A:$C,3,FALSE),"-")</f>
        <v>秘術の果実</v>
      </c>
      <c r="H638" s="9">
        <v>10</v>
      </c>
      <c r="I638" s="9" t="s">
        <v>36</v>
      </c>
      <c r="J638" s="9">
        <v>1</v>
      </c>
      <c r="K638" s="9">
        <v>1</v>
      </c>
      <c r="L638" s="9">
        <v>1</v>
      </c>
      <c r="M638" s="9">
        <v>0</v>
      </c>
      <c r="N638" s="9">
        <v>0</v>
      </c>
      <c r="O638" s="9">
        <v>0</v>
      </c>
      <c r="P638" s="9">
        <v>0</v>
      </c>
      <c r="Q638" s="9">
        <v>1</v>
      </c>
      <c r="R638" s="9" t="s">
        <v>27</v>
      </c>
      <c r="S638" s="22" t="s">
        <v>28</v>
      </c>
    </row>
    <row r="639" spans="1:19" x14ac:dyDescent="0.15">
      <c r="A639" s="21">
        <v>30009</v>
      </c>
      <c r="B639" s="9">
        <v>2</v>
      </c>
      <c r="C639" s="9" t="str">
        <f t="shared" si="66"/>
        <v>30009_2</v>
      </c>
      <c r="D639" s="9" t="str">
        <f>VLOOKUP(C639,[1]stages!$A:$AE,31,FALSE)</f>
        <v>everyone</v>
      </c>
      <c r="E639" s="9">
        <v>639</v>
      </c>
      <c r="F639" s="9">
        <v>312</v>
      </c>
      <c r="G639" s="10" t="str">
        <f>IF(I639="unit",VLOOKUP(F639,[2]characters!$A:$C,3,FALSE),"-")</f>
        <v>アノマロカリス</v>
      </c>
      <c r="H639" s="9">
        <v>400</v>
      </c>
      <c r="I639" s="9" t="s">
        <v>36</v>
      </c>
      <c r="J639" s="9">
        <v>1</v>
      </c>
      <c r="K639" s="9">
        <v>1</v>
      </c>
      <c r="L639" s="9">
        <v>1</v>
      </c>
      <c r="M639" s="9">
        <v>0</v>
      </c>
      <c r="N639" s="9">
        <v>0</v>
      </c>
      <c r="O639" s="9">
        <v>0</v>
      </c>
      <c r="P639" s="9">
        <v>0</v>
      </c>
      <c r="Q639" s="9">
        <v>1</v>
      </c>
      <c r="R639" s="9" t="s">
        <v>27</v>
      </c>
      <c r="S639" s="22" t="s">
        <v>28</v>
      </c>
    </row>
    <row r="640" spans="1:19" ht="16" thickBot="1" x14ac:dyDescent="0.2">
      <c r="A640" s="23">
        <v>30009</v>
      </c>
      <c r="B640" s="24">
        <v>2</v>
      </c>
      <c r="C640" s="24" t="str">
        <f t="shared" si="66"/>
        <v>30009_2</v>
      </c>
      <c r="D640" s="24" t="str">
        <f>VLOOKUP(C640,[1]stages!$A:$AE,31,FALSE)</f>
        <v>everyone</v>
      </c>
      <c r="E640" s="24">
        <v>640</v>
      </c>
      <c r="F640" s="24">
        <v>354</v>
      </c>
      <c r="G640" s="25" t="str">
        <f>IF(I640="unit",VLOOKUP(F640,[2]characters!$A:$C,3,FALSE),"-")</f>
        <v>雷のケロケロ</v>
      </c>
      <c r="H640" s="24">
        <v>100</v>
      </c>
      <c r="I640" s="24" t="s">
        <v>36</v>
      </c>
      <c r="J640" s="24">
        <v>1</v>
      </c>
      <c r="K640" s="24">
        <v>1</v>
      </c>
      <c r="L640" s="24">
        <v>1</v>
      </c>
      <c r="M640" s="24">
        <v>0</v>
      </c>
      <c r="N640" s="24">
        <v>0</v>
      </c>
      <c r="O640" s="24">
        <v>0</v>
      </c>
      <c r="P640" s="24">
        <v>0</v>
      </c>
      <c r="Q640" s="24">
        <v>1</v>
      </c>
      <c r="R640" s="24" t="s">
        <v>27</v>
      </c>
      <c r="S640" s="26" t="s">
        <v>28</v>
      </c>
    </row>
    <row r="641" spans="1:19" x14ac:dyDescent="0.15">
      <c r="A641" s="16">
        <v>30010</v>
      </c>
      <c r="B641" s="16">
        <v>1</v>
      </c>
      <c r="C641" s="16" t="str">
        <f t="shared" si="66"/>
        <v>30010_1</v>
      </c>
      <c r="D641" s="16" t="str">
        <f>VLOOKUP(C641,[1]stages!$A:$AE,31,FALSE)</f>
        <v>everyone</v>
      </c>
      <c r="E641" s="16">
        <v>641</v>
      </c>
      <c r="F641" s="16">
        <v>5000</v>
      </c>
      <c r="G641" s="16" t="str">
        <f>IF(I641="unit",VLOOKUP(F641,[2]characters!$A:$C,3,FALSE),"-")</f>
        <v>-</v>
      </c>
      <c r="H641" s="16">
        <v>200</v>
      </c>
      <c r="I641" s="16" t="s">
        <v>32</v>
      </c>
      <c r="J641" s="16" t="s">
        <v>33</v>
      </c>
      <c r="K641" s="16">
        <v>1</v>
      </c>
      <c r="L641" s="16">
        <v>1</v>
      </c>
      <c r="M641" s="16">
        <v>0</v>
      </c>
      <c r="N641" s="16">
        <v>0</v>
      </c>
      <c r="O641" s="16">
        <v>0</v>
      </c>
      <c r="P641" s="16">
        <v>0</v>
      </c>
      <c r="Q641" s="16">
        <v>1</v>
      </c>
      <c r="R641" s="16" t="s">
        <v>27</v>
      </c>
      <c r="S641" s="16" t="s">
        <v>28</v>
      </c>
    </row>
    <row r="642" spans="1:19" x14ac:dyDescent="0.15">
      <c r="A642" s="10">
        <v>30010</v>
      </c>
      <c r="B642" s="10">
        <v>1</v>
      </c>
      <c r="C642" s="10" t="str">
        <f t="shared" ref="C642:C651" si="67">A642&amp; "_"&amp;B642</f>
        <v>30010_1</v>
      </c>
      <c r="D642" s="10" t="str">
        <f>VLOOKUP(C642,[1]stages!$A:$AE,31,FALSE)</f>
        <v>everyone</v>
      </c>
      <c r="E642" s="10">
        <v>642</v>
      </c>
      <c r="F642" s="10">
        <v>25</v>
      </c>
      <c r="G642" s="10" t="str">
        <f>IF(I642="unit",VLOOKUP(F642,[2]characters!$A:$C,3,FALSE),"-")</f>
        <v>-</v>
      </c>
      <c r="H642" s="10">
        <v>200</v>
      </c>
      <c r="I642" s="10" t="s">
        <v>35</v>
      </c>
      <c r="J642" s="10" t="s">
        <v>33</v>
      </c>
      <c r="K642" s="10">
        <v>1</v>
      </c>
      <c r="L642" s="10">
        <v>1</v>
      </c>
      <c r="M642" s="10">
        <v>0</v>
      </c>
      <c r="N642" s="10">
        <v>0</v>
      </c>
      <c r="O642" s="10">
        <v>0</v>
      </c>
      <c r="P642" s="10">
        <v>0</v>
      </c>
      <c r="Q642" s="10">
        <v>1</v>
      </c>
      <c r="R642" s="10" t="s">
        <v>27</v>
      </c>
      <c r="S642" s="10" t="s">
        <v>28</v>
      </c>
    </row>
    <row r="643" spans="1:19" x14ac:dyDescent="0.15">
      <c r="A643" s="10">
        <v>30010</v>
      </c>
      <c r="B643" s="10">
        <v>1</v>
      </c>
      <c r="C643" s="10" t="str">
        <f t="shared" si="67"/>
        <v>30010_1</v>
      </c>
      <c r="D643" s="10" t="str">
        <f>VLOOKUP(C643,[1]stages!$A:$AE,31,FALSE)</f>
        <v>everyone</v>
      </c>
      <c r="E643" s="10">
        <v>643</v>
      </c>
      <c r="F643" s="10">
        <v>332</v>
      </c>
      <c r="G643" s="10" t="str">
        <f>IF(I643="unit",VLOOKUP(F643,[2]characters!$A:$C,3,FALSE),"-")</f>
        <v>炎のメタルピヨピヨ</v>
      </c>
      <c r="H643" s="10">
        <v>28</v>
      </c>
      <c r="I643" s="10" t="s">
        <v>36</v>
      </c>
      <c r="J643" s="10">
        <v>1</v>
      </c>
      <c r="K643" s="10">
        <v>1</v>
      </c>
      <c r="L643" s="10">
        <v>1</v>
      </c>
      <c r="M643" s="10">
        <v>0</v>
      </c>
      <c r="N643" s="10">
        <v>0</v>
      </c>
      <c r="O643" s="10">
        <v>0</v>
      </c>
      <c r="P643" s="10">
        <v>0</v>
      </c>
      <c r="Q643" s="10">
        <v>1</v>
      </c>
      <c r="R643" s="10" t="s">
        <v>27</v>
      </c>
      <c r="S643" s="10" t="s">
        <v>28</v>
      </c>
    </row>
    <row r="644" spans="1:19" x14ac:dyDescent="0.15">
      <c r="A644" s="10">
        <v>30010</v>
      </c>
      <c r="B644" s="10">
        <v>1</v>
      </c>
      <c r="C644" s="10" t="str">
        <f t="shared" si="67"/>
        <v>30010_1</v>
      </c>
      <c r="D644" s="10" t="str">
        <f>VLOOKUP(C644,[1]stages!$A:$AE,31,FALSE)</f>
        <v>everyone</v>
      </c>
      <c r="E644" s="10">
        <v>644</v>
      </c>
      <c r="F644" s="10">
        <v>333</v>
      </c>
      <c r="G644" s="10" t="str">
        <f>IF(I644="unit",VLOOKUP(F644,[2]characters!$A:$C,3,FALSE),"-")</f>
        <v>炎のメタルチック</v>
      </c>
      <c r="H644" s="10">
        <v>56</v>
      </c>
      <c r="I644" s="10" t="s">
        <v>36</v>
      </c>
      <c r="J644" s="10">
        <v>1</v>
      </c>
      <c r="K644" s="10">
        <v>1</v>
      </c>
      <c r="L644" s="10">
        <v>1</v>
      </c>
      <c r="M644" s="10">
        <v>0</v>
      </c>
      <c r="N644" s="10">
        <v>0</v>
      </c>
      <c r="O644" s="10">
        <v>0</v>
      </c>
      <c r="P644" s="10">
        <v>0</v>
      </c>
      <c r="Q644" s="10">
        <v>1</v>
      </c>
      <c r="R644" s="10" t="s">
        <v>27</v>
      </c>
      <c r="S644" s="10" t="s">
        <v>28</v>
      </c>
    </row>
    <row r="645" spans="1:19" x14ac:dyDescent="0.15">
      <c r="A645" s="10">
        <v>30010</v>
      </c>
      <c r="B645" s="10">
        <v>1</v>
      </c>
      <c r="C645" s="10" t="str">
        <f t="shared" si="67"/>
        <v>30010_1</v>
      </c>
      <c r="D645" s="10" t="str">
        <f>VLOOKUP(C645,[1]stages!$A:$AE,31,FALSE)</f>
        <v>everyone</v>
      </c>
      <c r="E645" s="10">
        <v>645</v>
      </c>
      <c r="F645" s="10">
        <v>334</v>
      </c>
      <c r="G645" s="10" t="str">
        <f>IF(I645="unit",VLOOKUP(F645,[2]characters!$A:$C,3,FALSE),"-")</f>
        <v>炎のメタルダック</v>
      </c>
      <c r="H645" s="10">
        <v>56</v>
      </c>
      <c r="I645" s="10" t="s">
        <v>36</v>
      </c>
      <c r="J645" s="10">
        <v>1</v>
      </c>
      <c r="K645" s="10">
        <v>1</v>
      </c>
      <c r="L645" s="10">
        <v>1</v>
      </c>
      <c r="M645" s="10">
        <v>0</v>
      </c>
      <c r="N645" s="10">
        <v>0</v>
      </c>
      <c r="O645" s="10">
        <v>0</v>
      </c>
      <c r="P645" s="10">
        <v>0</v>
      </c>
      <c r="Q645" s="10">
        <v>1</v>
      </c>
      <c r="R645" s="10" t="s">
        <v>27</v>
      </c>
      <c r="S645" s="10" t="s">
        <v>28</v>
      </c>
    </row>
    <row r="646" spans="1:19" x14ac:dyDescent="0.15">
      <c r="A646" s="10">
        <v>30010</v>
      </c>
      <c r="B646" s="10">
        <v>1</v>
      </c>
      <c r="C646" s="10" t="str">
        <f t="shared" si="67"/>
        <v>30010_1</v>
      </c>
      <c r="D646" s="10" t="str">
        <f>VLOOKUP(C646,[1]stages!$A:$AE,31,FALSE)</f>
        <v>everyone</v>
      </c>
      <c r="E646" s="10">
        <v>646</v>
      </c>
      <c r="F646" s="10">
        <v>121</v>
      </c>
      <c r="G646" s="10" t="str">
        <f>IF(I646="unit",VLOOKUP(F646,[2]characters!$A:$C,3,FALSE),"-")</f>
        <v>攻めの果実</v>
      </c>
      <c r="H646" s="10">
        <v>50</v>
      </c>
      <c r="I646" s="10" t="s">
        <v>36</v>
      </c>
      <c r="J646" s="10">
        <v>1</v>
      </c>
      <c r="K646" s="10">
        <v>1</v>
      </c>
      <c r="L646" s="10">
        <v>1</v>
      </c>
      <c r="M646" s="10">
        <v>0</v>
      </c>
      <c r="N646" s="10">
        <v>0</v>
      </c>
      <c r="O646" s="10">
        <v>0</v>
      </c>
      <c r="P646" s="10">
        <v>0</v>
      </c>
      <c r="Q646" s="10">
        <v>1</v>
      </c>
      <c r="R646" s="10" t="s">
        <v>27</v>
      </c>
      <c r="S646" s="10" t="s">
        <v>28</v>
      </c>
    </row>
    <row r="647" spans="1:19" x14ac:dyDescent="0.15">
      <c r="A647" s="10">
        <v>30010</v>
      </c>
      <c r="B647" s="10">
        <v>1</v>
      </c>
      <c r="C647" s="10" t="str">
        <f t="shared" si="67"/>
        <v>30010_1</v>
      </c>
      <c r="D647" s="10" t="str">
        <f>VLOOKUP(C647,[1]stages!$A:$AE,31,FALSE)</f>
        <v>everyone</v>
      </c>
      <c r="E647" s="10">
        <v>647</v>
      </c>
      <c r="F647" s="10">
        <v>122</v>
      </c>
      <c r="G647" s="10" t="str">
        <f>IF(I647="unit",VLOOKUP(F647,[2]characters!$A:$C,3,FALSE),"-")</f>
        <v>生命の果実</v>
      </c>
      <c r="H647" s="10">
        <v>50</v>
      </c>
      <c r="I647" s="10" t="s">
        <v>36</v>
      </c>
      <c r="J647" s="10">
        <v>1</v>
      </c>
      <c r="K647" s="10">
        <v>1</v>
      </c>
      <c r="L647" s="10">
        <v>1</v>
      </c>
      <c r="M647" s="10">
        <v>0</v>
      </c>
      <c r="N647" s="10">
        <v>0</v>
      </c>
      <c r="O647" s="10">
        <v>0</v>
      </c>
      <c r="P647" s="10">
        <v>0</v>
      </c>
      <c r="Q647" s="10">
        <v>1</v>
      </c>
      <c r="R647" s="10" t="s">
        <v>27</v>
      </c>
      <c r="S647" s="10" t="s">
        <v>28</v>
      </c>
    </row>
    <row r="648" spans="1:19" x14ac:dyDescent="0.15">
      <c r="A648" s="10">
        <v>30010</v>
      </c>
      <c r="B648" s="10">
        <v>1</v>
      </c>
      <c r="C648" s="10" t="str">
        <f t="shared" si="67"/>
        <v>30010_1</v>
      </c>
      <c r="D648" s="10" t="str">
        <f>VLOOKUP(C648,[1]stages!$A:$AE,31,FALSE)</f>
        <v>everyone</v>
      </c>
      <c r="E648" s="10">
        <v>648</v>
      </c>
      <c r="F648" s="10">
        <v>123</v>
      </c>
      <c r="G648" s="10" t="str">
        <f>IF(I648="unit",VLOOKUP(F648,[2]characters!$A:$C,3,FALSE),"-")</f>
        <v>癒しの果実</v>
      </c>
      <c r="H648" s="10">
        <v>50</v>
      </c>
      <c r="I648" s="10" t="s">
        <v>36</v>
      </c>
      <c r="J648" s="10">
        <v>1</v>
      </c>
      <c r="K648" s="10">
        <v>1</v>
      </c>
      <c r="L648" s="10">
        <v>1</v>
      </c>
      <c r="M648" s="10">
        <v>0</v>
      </c>
      <c r="N648" s="10">
        <v>0</v>
      </c>
      <c r="O648" s="10">
        <v>0</v>
      </c>
      <c r="P648" s="10">
        <v>0</v>
      </c>
      <c r="Q648" s="10">
        <v>1</v>
      </c>
      <c r="R648" s="10" t="s">
        <v>27</v>
      </c>
      <c r="S648" s="10" t="s">
        <v>28</v>
      </c>
    </row>
    <row r="649" spans="1:19" x14ac:dyDescent="0.15">
      <c r="A649" s="10">
        <v>30010</v>
      </c>
      <c r="B649" s="10">
        <v>1</v>
      </c>
      <c r="C649" s="10" t="str">
        <f t="shared" si="67"/>
        <v>30010_1</v>
      </c>
      <c r="D649" s="10" t="str">
        <f>VLOOKUP(C649,[1]stages!$A:$AE,31,FALSE)</f>
        <v>everyone</v>
      </c>
      <c r="E649" s="10">
        <v>649</v>
      </c>
      <c r="F649" s="10">
        <v>125</v>
      </c>
      <c r="G649" s="10" t="str">
        <f>IF(I649="unit",VLOOKUP(F649,[2]characters!$A:$C,3,FALSE),"-")</f>
        <v>秘術の果実</v>
      </c>
      <c r="H649" s="10">
        <v>10</v>
      </c>
      <c r="I649" s="10" t="s">
        <v>36</v>
      </c>
      <c r="J649" s="10">
        <v>1</v>
      </c>
      <c r="K649" s="10">
        <v>1</v>
      </c>
      <c r="L649" s="10">
        <v>1</v>
      </c>
      <c r="M649" s="10">
        <v>0</v>
      </c>
      <c r="N649" s="10">
        <v>0</v>
      </c>
      <c r="O649" s="10">
        <v>0</v>
      </c>
      <c r="P649" s="10">
        <v>0</v>
      </c>
      <c r="Q649" s="10">
        <v>1</v>
      </c>
      <c r="R649" s="10" t="s">
        <v>27</v>
      </c>
      <c r="S649" s="10" t="s">
        <v>28</v>
      </c>
    </row>
    <row r="650" spans="1:19" x14ac:dyDescent="0.15">
      <c r="A650" s="10">
        <v>30010</v>
      </c>
      <c r="B650" s="10">
        <v>1</v>
      </c>
      <c r="C650" s="10" t="str">
        <f t="shared" si="67"/>
        <v>30010_1</v>
      </c>
      <c r="D650" s="10" t="str">
        <f>VLOOKUP(C650,[1]stages!$A:$AE,31,FALSE)</f>
        <v>everyone</v>
      </c>
      <c r="E650" s="10">
        <v>650</v>
      </c>
      <c r="F650" s="10">
        <v>306</v>
      </c>
      <c r="G650" s="10" t="str">
        <f>IF(I650="unit",VLOOKUP(F650,[2]characters!$A:$C,3,FALSE),"-")</f>
        <v>メガロドン</v>
      </c>
      <c r="H650" s="10">
        <v>200</v>
      </c>
      <c r="I650" s="10" t="s">
        <v>36</v>
      </c>
      <c r="J650" s="10">
        <v>1</v>
      </c>
      <c r="K650" s="10">
        <v>1</v>
      </c>
      <c r="L650" s="10">
        <v>1</v>
      </c>
      <c r="M650" s="10">
        <v>0</v>
      </c>
      <c r="N650" s="10">
        <v>0</v>
      </c>
      <c r="O650" s="10">
        <v>0</v>
      </c>
      <c r="P650" s="10">
        <v>0</v>
      </c>
      <c r="Q650" s="10">
        <v>1</v>
      </c>
      <c r="R650" s="10" t="s">
        <v>27</v>
      </c>
      <c r="S650" s="10" t="s">
        <v>28</v>
      </c>
    </row>
    <row r="651" spans="1:19" x14ac:dyDescent="0.15">
      <c r="A651" s="10">
        <v>30010</v>
      </c>
      <c r="B651" s="10">
        <v>1</v>
      </c>
      <c r="C651" s="10" t="str">
        <f t="shared" si="67"/>
        <v>30010_1</v>
      </c>
      <c r="D651" s="10" t="str">
        <f>VLOOKUP(C651,[1]stages!$A:$AE,31,FALSE)</f>
        <v>everyone</v>
      </c>
      <c r="E651" s="10">
        <v>651</v>
      </c>
      <c r="F651" s="10">
        <v>348</v>
      </c>
      <c r="G651" s="10" t="str">
        <f>IF(I651="unit",VLOOKUP(F651,[2]characters!$A:$C,3,FALSE),"-")</f>
        <v>炎のケロケロ</v>
      </c>
      <c r="H651" s="10">
        <v>100</v>
      </c>
      <c r="I651" s="10" t="s">
        <v>36</v>
      </c>
      <c r="J651" s="10">
        <v>1</v>
      </c>
      <c r="K651" s="10">
        <v>1</v>
      </c>
      <c r="L651" s="10">
        <v>1</v>
      </c>
      <c r="M651" s="10">
        <v>0</v>
      </c>
      <c r="N651" s="10">
        <v>0</v>
      </c>
      <c r="O651" s="10">
        <v>0</v>
      </c>
      <c r="P651" s="10">
        <v>0</v>
      </c>
      <c r="Q651" s="10">
        <v>1</v>
      </c>
      <c r="R651" s="10" t="s">
        <v>27</v>
      </c>
      <c r="S651" s="10" t="s">
        <v>28</v>
      </c>
    </row>
    <row r="652" spans="1:19" x14ac:dyDescent="0.15">
      <c r="A652" s="10">
        <v>30010</v>
      </c>
      <c r="B652" s="10">
        <v>2</v>
      </c>
      <c r="C652" s="10" t="str">
        <f>A652&amp; "_"&amp;B652</f>
        <v>30010_2</v>
      </c>
      <c r="D652" s="10" t="str">
        <f>VLOOKUP(C652,[1]stages!$A:$AE,31,FALSE)</f>
        <v>everyone</v>
      </c>
      <c r="E652" s="10">
        <v>652</v>
      </c>
      <c r="F652" s="10">
        <v>6500</v>
      </c>
      <c r="G652" s="10" t="str">
        <f>IF(I652="unit",VLOOKUP(F652,[2]characters!$A:$C,3,FALSE),"-")</f>
        <v>-</v>
      </c>
      <c r="H652" s="10">
        <v>200</v>
      </c>
      <c r="I652" s="10" t="s">
        <v>32</v>
      </c>
      <c r="J652" s="10" t="s">
        <v>33</v>
      </c>
      <c r="K652" s="10">
        <v>1</v>
      </c>
      <c r="L652" s="10">
        <v>1</v>
      </c>
      <c r="M652" s="10">
        <v>0</v>
      </c>
      <c r="N652" s="10">
        <v>0</v>
      </c>
      <c r="O652" s="10">
        <v>0</v>
      </c>
      <c r="P652" s="10">
        <v>0</v>
      </c>
      <c r="Q652" s="10">
        <v>1</v>
      </c>
      <c r="R652" s="10" t="s">
        <v>27</v>
      </c>
      <c r="S652" s="10" t="s">
        <v>28</v>
      </c>
    </row>
    <row r="653" spans="1:19" x14ac:dyDescent="0.15">
      <c r="A653" s="10">
        <v>30010</v>
      </c>
      <c r="B653" s="10">
        <v>2</v>
      </c>
      <c r="C653" s="10" t="str">
        <f t="shared" ref="C653:C662" si="68">A653&amp; "_"&amp;B653</f>
        <v>30010_2</v>
      </c>
      <c r="D653" s="10" t="str">
        <f>VLOOKUP(C653,[1]stages!$A:$AE,31,FALSE)</f>
        <v>everyone</v>
      </c>
      <c r="E653" s="10">
        <v>653</v>
      </c>
      <c r="F653" s="10">
        <v>25</v>
      </c>
      <c r="G653" s="10" t="str">
        <f>IF(I653="unit",VLOOKUP(F653,[2]characters!$A:$C,3,FALSE),"-")</f>
        <v>-</v>
      </c>
      <c r="H653" s="10">
        <v>150</v>
      </c>
      <c r="I653" s="10" t="s">
        <v>35</v>
      </c>
      <c r="J653" s="10" t="s">
        <v>33</v>
      </c>
      <c r="K653" s="10">
        <v>1</v>
      </c>
      <c r="L653" s="10">
        <v>1</v>
      </c>
      <c r="M653" s="10">
        <v>0</v>
      </c>
      <c r="N653" s="10">
        <v>0</v>
      </c>
      <c r="O653" s="10">
        <v>0</v>
      </c>
      <c r="P653" s="10">
        <v>0</v>
      </c>
      <c r="Q653" s="10">
        <v>1</v>
      </c>
      <c r="R653" s="10" t="s">
        <v>27</v>
      </c>
      <c r="S653" s="10" t="s">
        <v>28</v>
      </c>
    </row>
    <row r="654" spans="1:19" x14ac:dyDescent="0.15">
      <c r="A654" s="10">
        <v>30010</v>
      </c>
      <c r="B654" s="10">
        <v>2</v>
      </c>
      <c r="C654" s="10" t="str">
        <f t="shared" si="68"/>
        <v>30010_2</v>
      </c>
      <c r="D654" s="10" t="str">
        <f>VLOOKUP(C654,[1]stages!$A:$AE,31,FALSE)</f>
        <v>everyone</v>
      </c>
      <c r="E654" s="10">
        <v>654</v>
      </c>
      <c r="F654" s="10">
        <v>332</v>
      </c>
      <c r="G654" s="10" t="str">
        <f>IF(I654="unit",VLOOKUP(F654,[2]characters!$A:$C,3,FALSE),"-")</f>
        <v>炎のメタルピヨピヨ</v>
      </c>
      <c r="H654" s="10">
        <v>28</v>
      </c>
      <c r="I654" s="10" t="s">
        <v>36</v>
      </c>
      <c r="J654" s="10">
        <v>1</v>
      </c>
      <c r="K654" s="10">
        <v>1</v>
      </c>
      <c r="L654" s="10">
        <v>1</v>
      </c>
      <c r="M654" s="10">
        <v>0</v>
      </c>
      <c r="N654" s="10">
        <v>0</v>
      </c>
      <c r="O654" s="10">
        <v>0</v>
      </c>
      <c r="P654" s="10">
        <v>0</v>
      </c>
      <c r="Q654" s="10">
        <v>1</v>
      </c>
      <c r="R654" s="10" t="s">
        <v>27</v>
      </c>
      <c r="S654" s="10" t="s">
        <v>28</v>
      </c>
    </row>
    <row r="655" spans="1:19" x14ac:dyDescent="0.15">
      <c r="A655" s="10">
        <v>30010</v>
      </c>
      <c r="B655" s="10">
        <v>2</v>
      </c>
      <c r="C655" s="10" t="str">
        <f t="shared" si="68"/>
        <v>30010_2</v>
      </c>
      <c r="D655" s="10" t="str">
        <f>VLOOKUP(C655,[1]stages!$A:$AE,31,FALSE)</f>
        <v>everyone</v>
      </c>
      <c r="E655" s="10">
        <v>655</v>
      </c>
      <c r="F655" s="10">
        <v>333</v>
      </c>
      <c r="G655" s="10" t="str">
        <f>IF(I655="unit",VLOOKUP(F655,[2]characters!$A:$C,3,FALSE),"-")</f>
        <v>炎のメタルチック</v>
      </c>
      <c r="H655" s="10">
        <v>56</v>
      </c>
      <c r="I655" s="10" t="s">
        <v>36</v>
      </c>
      <c r="J655" s="10">
        <v>1</v>
      </c>
      <c r="K655" s="10">
        <v>1</v>
      </c>
      <c r="L655" s="10">
        <v>1</v>
      </c>
      <c r="M655" s="10">
        <v>0</v>
      </c>
      <c r="N655" s="10">
        <v>0</v>
      </c>
      <c r="O655" s="10">
        <v>0</v>
      </c>
      <c r="P655" s="10">
        <v>0</v>
      </c>
      <c r="Q655" s="10">
        <v>1</v>
      </c>
      <c r="R655" s="10" t="s">
        <v>27</v>
      </c>
      <c r="S655" s="10" t="s">
        <v>28</v>
      </c>
    </row>
    <row r="656" spans="1:19" x14ac:dyDescent="0.15">
      <c r="A656" s="10">
        <v>30010</v>
      </c>
      <c r="B656" s="10">
        <v>2</v>
      </c>
      <c r="C656" s="10" t="str">
        <f t="shared" si="68"/>
        <v>30010_2</v>
      </c>
      <c r="D656" s="10" t="str">
        <f>VLOOKUP(C656,[1]stages!$A:$AE,31,FALSE)</f>
        <v>everyone</v>
      </c>
      <c r="E656" s="10">
        <v>656</v>
      </c>
      <c r="F656" s="10">
        <v>334</v>
      </c>
      <c r="G656" s="10" t="str">
        <f>IF(I656="unit",VLOOKUP(F656,[2]characters!$A:$C,3,FALSE),"-")</f>
        <v>炎のメタルダック</v>
      </c>
      <c r="H656" s="10">
        <v>56</v>
      </c>
      <c r="I656" s="10" t="s">
        <v>36</v>
      </c>
      <c r="J656" s="10">
        <v>1</v>
      </c>
      <c r="K656" s="10">
        <v>1</v>
      </c>
      <c r="L656" s="10">
        <v>1</v>
      </c>
      <c r="M656" s="10">
        <v>0</v>
      </c>
      <c r="N656" s="10">
        <v>0</v>
      </c>
      <c r="O656" s="10">
        <v>0</v>
      </c>
      <c r="P656" s="10">
        <v>0</v>
      </c>
      <c r="Q656" s="10">
        <v>1</v>
      </c>
      <c r="R656" s="10" t="s">
        <v>27</v>
      </c>
      <c r="S656" s="10" t="s">
        <v>28</v>
      </c>
    </row>
    <row r="657" spans="1:19" x14ac:dyDescent="0.15">
      <c r="A657" s="10">
        <v>30010</v>
      </c>
      <c r="B657" s="10">
        <v>2</v>
      </c>
      <c r="C657" s="10" t="str">
        <f t="shared" si="68"/>
        <v>30010_2</v>
      </c>
      <c r="D657" s="10" t="str">
        <f>VLOOKUP(C657,[1]stages!$A:$AE,31,FALSE)</f>
        <v>everyone</v>
      </c>
      <c r="E657" s="10">
        <v>657</v>
      </c>
      <c r="F657" s="10">
        <v>121</v>
      </c>
      <c r="G657" s="10" t="str">
        <f>IF(I657="unit",VLOOKUP(F657,[2]characters!$A:$C,3,FALSE),"-")</f>
        <v>攻めの果実</v>
      </c>
      <c r="H657" s="10">
        <v>50</v>
      </c>
      <c r="I657" s="10" t="s">
        <v>36</v>
      </c>
      <c r="J657" s="10">
        <v>1</v>
      </c>
      <c r="K657" s="10">
        <v>1</v>
      </c>
      <c r="L657" s="10">
        <v>1</v>
      </c>
      <c r="M657" s="10">
        <v>0</v>
      </c>
      <c r="N657" s="10">
        <v>0</v>
      </c>
      <c r="O657" s="10">
        <v>0</v>
      </c>
      <c r="P657" s="10">
        <v>0</v>
      </c>
      <c r="Q657" s="10">
        <v>1</v>
      </c>
      <c r="R657" s="10" t="s">
        <v>27</v>
      </c>
      <c r="S657" s="10" t="s">
        <v>28</v>
      </c>
    </row>
    <row r="658" spans="1:19" x14ac:dyDescent="0.15">
      <c r="A658" s="10">
        <v>30010</v>
      </c>
      <c r="B658" s="10">
        <v>2</v>
      </c>
      <c r="C658" s="10" t="str">
        <f t="shared" si="68"/>
        <v>30010_2</v>
      </c>
      <c r="D658" s="10" t="str">
        <f>VLOOKUP(C658,[1]stages!$A:$AE,31,FALSE)</f>
        <v>everyone</v>
      </c>
      <c r="E658" s="10">
        <v>658</v>
      </c>
      <c r="F658" s="10">
        <v>122</v>
      </c>
      <c r="G658" s="10" t="str">
        <f>IF(I658="unit",VLOOKUP(F658,[2]characters!$A:$C,3,FALSE),"-")</f>
        <v>生命の果実</v>
      </c>
      <c r="H658" s="10">
        <v>50</v>
      </c>
      <c r="I658" s="10" t="s">
        <v>36</v>
      </c>
      <c r="J658" s="10">
        <v>1</v>
      </c>
      <c r="K658" s="10">
        <v>1</v>
      </c>
      <c r="L658" s="10">
        <v>1</v>
      </c>
      <c r="M658" s="10">
        <v>0</v>
      </c>
      <c r="N658" s="10">
        <v>0</v>
      </c>
      <c r="O658" s="10">
        <v>0</v>
      </c>
      <c r="P658" s="10">
        <v>0</v>
      </c>
      <c r="Q658" s="10">
        <v>1</v>
      </c>
      <c r="R658" s="10" t="s">
        <v>27</v>
      </c>
      <c r="S658" s="10" t="s">
        <v>28</v>
      </c>
    </row>
    <row r="659" spans="1:19" x14ac:dyDescent="0.15">
      <c r="A659" s="10">
        <v>30010</v>
      </c>
      <c r="B659" s="10">
        <v>2</v>
      </c>
      <c r="C659" s="10" t="str">
        <f t="shared" si="68"/>
        <v>30010_2</v>
      </c>
      <c r="D659" s="10" t="str">
        <f>VLOOKUP(C659,[1]stages!$A:$AE,31,FALSE)</f>
        <v>everyone</v>
      </c>
      <c r="E659" s="10">
        <v>659</v>
      </c>
      <c r="F659" s="10">
        <v>123</v>
      </c>
      <c r="G659" s="10" t="str">
        <f>IF(I659="unit",VLOOKUP(F659,[2]characters!$A:$C,3,FALSE),"-")</f>
        <v>癒しの果実</v>
      </c>
      <c r="H659" s="10">
        <v>50</v>
      </c>
      <c r="I659" s="10" t="s">
        <v>36</v>
      </c>
      <c r="J659" s="10">
        <v>1</v>
      </c>
      <c r="K659" s="10">
        <v>1</v>
      </c>
      <c r="L659" s="10">
        <v>1</v>
      </c>
      <c r="M659" s="10">
        <v>0</v>
      </c>
      <c r="N659" s="10">
        <v>0</v>
      </c>
      <c r="O659" s="10">
        <v>0</v>
      </c>
      <c r="P659" s="10">
        <v>0</v>
      </c>
      <c r="Q659" s="10">
        <v>1</v>
      </c>
      <c r="R659" s="10" t="s">
        <v>27</v>
      </c>
      <c r="S659" s="10" t="s">
        <v>28</v>
      </c>
    </row>
    <row r="660" spans="1:19" x14ac:dyDescent="0.15">
      <c r="A660" s="10">
        <v>30010</v>
      </c>
      <c r="B660" s="10">
        <v>2</v>
      </c>
      <c r="C660" s="10" t="str">
        <f t="shared" si="68"/>
        <v>30010_2</v>
      </c>
      <c r="D660" s="10" t="str">
        <f>VLOOKUP(C660,[1]stages!$A:$AE,31,FALSE)</f>
        <v>everyone</v>
      </c>
      <c r="E660" s="10">
        <v>660</v>
      </c>
      <c r="F660" s="10">
        <v>125</v>
      </c>
      <c r="G660" s="10" t="str">
        <f>IF(I660="unit",VLOOKUP(F660,[2]characters!$A:$C,3,FALSE),"-")</f>
        <v>秘術の果実</v>
      </c>
      <c r="H660" s="10">
        <v>10</v>
      </c>
      <c r="I660" s="10" t="s">
        <v>36</v>
      </c>
      <c r="J660" s="10">
        <v>1</v>
      </c>
      <c r="K660" s="10">
        <v>1</v>
      </c>
      <c r="L660" s="10">
        <v>1</v>
      </c>
      <c r="M660" s="10">
        <v>0</v>
      </c>
      <c r="N660" s="10">
        <v>0</v>
      </c>
      <c r="O660" s="10">
        <v>0</v>
      </c>
      <c r="P660" s="10">
        <v>0</v>
      </c>
      <c r="Q660" s="10">
        <v>1</v>
      </c>
      <c r="R660" s="10" t="s">
        <v>27</v>
      </c>
      <c r="S660" s="10" t="s">
        <v>28</v>
      </c>
    </row>
    <row r="661" spans="1:19" x14ac:dyDescent="0.15">
      <c r="A661" s="10">
        <v>30010</v>
      </c>
      <c r="B661" s="10">
        <v>2</v>
      </c>
      <c r="C661" s="10" t="str">
        <f t="shared" si="68"/>
        <v>30010_2</v>
      </c>
      <c r="D661" s="10" t="str">
        <f>VLOOKUP(C661,[1]stages!$A:$AE,31,FALSE)</f>
        <v>everyone</v>
      </c>
      <c r="E661" s="10">
        <v>661</v>
      </c>
      <c r="F661" s="10">
        <v>306</v>
      </c>
      <c r="G661" s="10" t="str">
        <f>IF(I661="unit",VLOOKUP(F661,[2]characters!$A:$C,3,FALSE),"-")</f>
        <v>メガロドン</v>
      </c>
      <c r="H661" s="10">
        <v>250</v>
      </c>
      <c r="I661" s="10" t="s">
        <v>36</v>
      </c>
      <c r="J661" s="10">
        <v>1</v>
      </c>
      <c r="K661" s="10">
        <v>1</v>
      </c>
      <c r="L661" s="10">
        <v>1</v>
      </c>
      <c r="M661" s="10">
        <v>0</v>
      </c>
      <c r="N661" s="10">
        <v>0</v>
      </c>
      <c r="O661" s="10">
        <v>0</v>
      </c>
      <c r="P661" s="10">
        <v>0</v>
      </c>
      <c r="Q661" s="10">
        <v>1</v>
      </c>
      <c r="R661" s="10" t="s">
        <v>27</v>
      </c>
      <c r="S661" s="10" t="s">
        <v>28</v>
      </c>
    </row>
    <row r="662" spans="1:19" x14ac:dyDescent="0.15">
      <c r="A662" s="10">
        <v>30010</v>
      </c>
      <c r="B662" s="10">
        <v>2</v>
      </c>
      <c r="C662" s="10" t="str">
        <f t="shared" si="68"/>
        <v>30010_2</v>
      </c>
      <c r="D662" s="10" t="str">
        <f>VLOOKUP(C662,[1]stages!$A:$AE,31,FALSE)</f>
        <v>everyone</v>
      </c>
      <c r="E662" s="10">
        <v>662</v>
      </c>
      <c r="F662" s="10">
        <v>348</v>
      </c>
      <c r="G662" s="10" t="str">
        <f>IF(I662="unit",VLOOKUP(F662,[2]characters!$A:$C,3,FALSE),"-")</f>
        <v>炎のケロケロ</v>
      </c>
      <c r="H662" s="10">
        <v>100</v>
      </c>
      <c r="I662" s="10" t="s">
        <v>36</v>
      </c>
      <c r="J662" s="10">
        <v>1</v>
      </c>
      <c r="K662" s="10">
        <v>1</v>
      </c>
      <c r="L662" s="10">
        <v>1</v>
      </c>
      <c r="M662" s="10">
        <v>0</v>
      </c>
      <c r="N662" s="10">
        <v>0</v>
      </c>
      <c r="O662" s="10">
        <v>0</v>
      </c>
      <c r="P662" s="10">
        <v>0</v>
      </c>
      <c r="Q662" s="10">
        <v>1</v>
      </c>
      <c r="R662" s="10" t="s">
        <v>27</v>
      </c>
      <c r="S662" s="10" t="s">
        <v>28</v>
      </c>
    </row>
    <row r="663" spans="1:19" x14ac:dyDescent="0.15">
      <c r="A663" s="10">
        <v>30010</v>
      </c>
      <c r="B663" s="10">
        <v>3</v>
      </c>
      <c r="C663" s="10" t="str">
        <f>A663&amp; "_"&amp;B663</f>
        <v>30010_3</v>
      </c>
      <c r="D663" s="10" t="str">
        <f>VLOOKUP(C663,[1]stages!$A:$AE,31,FALSE)</f>
        <v>everyone</v>
      </c>
      <c r="E663" s="10">
        <v>663</v>
      </c>
      <c r="F663" s="10">
        <v>7500</v>
      </c>
      <c r="G663" s="10" t="str">
        <f>IF(I663="unit",VLOOKUP(F663,[2]characters!$A:$C,3,FALSE),"-")</f>
        <v>-</v>
      </c>
      <c r="H663" s="10">
        <v>100</v>
      </c>
      <c r="I663" s="10" t="s">
        <v>32</v>
      </c>
      <c r="J663" s="10" t="s">
        <v>33</v>
      </c>
      <c r="K663" s="10">
        <v>1</v>
      </c>
      <c r="L663" s="10">
        <v>1</v>
      </c>
      <c r="M663" s="10">
        <v>0</v>
      </c>
      <c r="N663" s="10">
        <v>0</v>
      </c>
      <c r="O663" s="10">
        <v>0</v>
      </c>
      <c r="P663" s="10">
        <v>0</v>
      </c>
      <c r="Q663" s="10">
        <v>1</v>
      </c>
      <c r="R663" s="10" t="s">
        <v>27</v>
      </c>
      <c r="S663" s="10" t="s">
        <v>28</v>
      </c>
    </row>
    <row r="664" spans="1:19" x14ac:dyDescent="0.15">
      <c r="A664" s="10">
        <v>30010</v>
      </c>
      <c r="B664" s="10">
        <v>3</v>
      </c>
      <c r="C664" s="10" t="str">
        <f t="shared" ref="C664" si="69">A664&amp; "_"&amp;B664</f>
        <v>30010_3</v>
      </c>
      <c r="D664" s="10" t="str">
        <f>VLOOKUP(C664,[1]stages!$A:$AE,31,FALSE)</f>
        <v>everyone</v>
      </c>
      <c r="E664" s="10">
        <v>664</v>
      </c>
      <c r="F664" s="10">
        <v>25</v>
      </c>
      <c r="G664" s="10" t="str">
        <f>IF(I664="unit",VLOOKUP(F664,[2]characters!$A:$C,3,FALSE),"-")</f>
        <v>-</v>
      </c>
      <c r="H664" s="10">
        <v>100</v>
      </c>
      <c r="I664" s="10" t="s">
        <v>35</v>
      </c>
      <c r="J664" s="10" t="s">
        <v>33</v>
      </c>
      <c r="K664" s="10">
        <v>1</v>
      </c>
      <c r="L664" s="10">
        <v>1</v>
      </c>
      <c r="M664" s="10">
        <v>0</v>
      </c>
      <c r="N664" s="10">
        <v>0</v>
      </c>
      <c r="O664" s="10">
        <v>0</v>
      </c>
      <c r="P664" s="10">
        <v>0</v>
      </c>
      <c r="Q664" s="10">
        <v>1</v>
      </c>
      <c r="R664" s="10" t="s">
        <v>27</v>
      </c>
      <c r="S664" s="10" t="s">
        <v>28</v>
      </c>
    </row>
    <row r="665" spans="1:19" x14ac:dyDescent="0.15">
      <c r="A665" s="10">
        <v>30010</v>
      </c>
      <c r="B665" s="10">
        <v>3</v>
      </c>
      <c r="C665" s="10" t="str">
        <f t="shared" ref="C665:C673" si="70">A665&amp; "_"&amp;B665</f>
        <v>30010_3</v>
      </c>
      <c r="D665" s="10" t="str">
        <f>VLOOKUP(C665,[1]stages!$A:$AE,31,FALSE)</f>
        <v>everyone</v>
      </c>
      <c r="E665" s="10">
        <v>665</v>
      </c>
      <c r="F665" s="10">
        <v>333</v>
      </c>
      <c r="G665" s="10" t="str">
        <f>IF(I665="unit",VLOOKUP(F665,[2]characters!$A:$C,3,FALSE),"-")</f>
        <v>炎のメタルチック</v>
      </c>
      <c r="H665" s="10">
        <v>56</v>
      </c>
      <c r="I665" s="10" t="s">
        <v>36</v>
      </c>
      <c r="J665" s="10">
        <v>1</v>
      </c>
      <c r="K665" s="10">
        <v>1</v>
      </c>
      <c r="L665" s="10">
        <v>1</v>
      </c>
      <c r="M665" s="10">
        <v>0</v>
      </c>
      <c r="N665" s="10">
        <v>0</v>
      </c>
      <c r="O665" s="10">
        <v>0</v>
      </c>
      <c r="P665" s="10">
        <v>0</v>
      </c>
      <c r="Q665" s="10">
        <v>1</v>
      </c>
      <c r="R665" s="10" t="s">
        <v>27</v>
      </c>
      <c r="S665" s="10" t="s">
        <v>28</v>
      </c>
    </row>
    <row r="666" spans="1:19" x14ac:dyDescent="0.15">
      <c r="A666" s="10">
        <v>30010</v>
      </c>
      <c r="B666" s="10">
        <v>3</v>
      </c>
      <c r="C666" s="10" t="str">
        <f t="shared" si="70"/>
        <v>30010_3</v>
      </c>
      <c r="D666" s="10" t="str">
        <f>VLOOKUP(C666,[1]stages!$A:$AE,31,FALSE)</f>
        <v>everyone</v>
      </c>
      <c r="E666" s="10">
        <v>666</v>
      </c>
      <c r="F666" s="10">
        <v>334</v>
      </c>
      <c r="G666" s="10" t="str">
        <f>IF(I666="unit",VLOOKUP(F666,[2]characters!$A:$C,3,FALSE),"-")</f>
        <v>炎のメタルダック</v>
      </c>
      <c r="H666" s="10">
        <v>84</v>
      </c>
      <c r="I666" s="10" t="s">
        <v>36</v>
      </c>
      <c r="J666" s="10">
        <v>1</v>
      </c>
      <c r="K666" s="10">
        <v>1</v>
      </c>
      <c r="L666" s="10">
        <v>1</v>
      </c>
      <c r="M666" s="10">
        <v>0</v>
      </c>
      <c r="N666" s="10">
        <v>0</v>
      </c>
      <c r="O666" s="10">
        <v>0</v>
      </c>
      <c r="P666" s="10">
        <v>0</v>
      </c>
      <c r="Q666" s="10">
        <v>1</v>
      </c>
      <c r="R666" s="10" t="s">
        <v>27</v>
      </c>
      <c r="S666" s="10" t="s">
        <v>28</v>
      </c>
    </row>
    <row r="667" spans="1:19" x14ac:dyDescent="0.15">
      <c r="A667" s="10">
        <v>30010</v>
      </c>
      <c r="B667" s="10">
        <v>3</v>
      </c>
      <c r="C667" s="10" t="str">
        <f t="shared" si="70"/>
        <v>30010_3</v>
      </c>
      <c r="D667" s="10" t="str">
        <f>VLOOKUP(C667,[1]stages!$A:$AE,31,FALSE)</f>
        <v>everyone</v>
      </c>
      <c r="E667" s="10">
        <v>667</v>
      </c>
      <c r="F667" s="10">
        <v>121</v>
      </c>
      <c r="G667" s="10" t="str">
        <f>IF(I667="unit",VLOOKUP(F667,[2]characters!$A:$C,3,FALSE),"-")</f>
        <v>攻めの果実</v>
      </c>
      <c r="H667" s="10">
        <v>50</v>
      </c>
      <c r="I667" s="10" t="s">
        <v>36</v>
      </c>
      <c r="J667" s="10">
        <v>1</v>
      </c>
      <c r="K667" s="10">
        <v>1</v>
      </c>
      <c r="L667" s="10">
        <v>1</v>
      </c>
      <c r="M667" s="10">
        <v>0</v>
      </c>
      <c r="N667" s="10">
        <v>0</v>
      </c>
      <c r="O667" s="10">
        <v>0</v>
      </c>
      <c r="P667" s="10">
        <v>0</v>
      </c>
      <c r="Q667" s="10">
        <v>1</v>
      </c>
      <c r="R667" s="10" t="s">
        <v>27</v>
      </c>
      <c r="S667" s="10" t="s">
        <v>28</v>
      </c>
    </row>
    <row r="668" spans="1:19" x14ac:dyDescent="0.15">
      <c r="A668" s="10">
        <v>30010</v>
      </c>
      <c r="B668" s="10">
        <v>3</v>
      </c>
      <c r="C668" s="10" t="str">
        <f t="shared" si="70"/>
        <v>30010_3</v>
      </c>
      <c r="D668" s="10" t="str">
        <f>VLOOKUP(C668,[1]stages!$A:$AE,31,FALSE)</f>
        <v>everyone</v>
      </c>
      <c r="E668" s="10">
        <v>668</v>
      </c>
      <c r="F668" s="10">
        <v>122</v>
      </c>
      <c r="G668" s="10" t="str">
        <f>IF(I668="unit",VLOOKUP(F668,[2]characters!$A:$C,3,FALSE),"-")</f>
        <v>生命の果実</v>
      </c>
      <c r="H668" s="10">
        <v>50</v>
      </c>
      <c r="I668" s="10" t="s">
        <v>36</v>
      </c>
      <c r="J668" s="10">
        <v>1</v>
      </c>
      <c r="K668" s="10">
        <v>1</v>
      </c>
      <c r="L668" s="10">
        <v>1</v>
      </c>
      <c r="M668" s="10">
        <v>0</v>
      </c>
      <c r="N668" s="10">
        <v>0</v>
      </c>
      <c r="O668" s="10">
        <v>0</v>
      </c>
      <c r="P668" s="10">
        <v>0</v>
      </c>
      <c r="Q668" s="10">
        <v>1</v>
      </c>
      <c r="R668" s="10" t="s">
        <v>27</v>
      </c>
      <c r="S668" s="10" t="s">
        <v>28</v>
      </c>
    </row>
    <row r="669" spans="1:19" x14ac:dyDescent="0.15">
      <c r="A669" s="10">
        <v>30010</v>
      </c>
      <c r="B669" s="10">
        <v>3</v>
      </c>
      <c r="C669" s="10" t="str">
        <f t="shared" si="70"/>
        <v>30010_3</v>
      </c>
      <c r="D669" s="10" t="str">
        <f>VLOOKUP(C669,[1]stages!$A:$AE,31,FALSE)</f>
        <v>everyone</v>
      </c>
      <c r="E669" s="10">
        <v>669</v>
      </c>
      <c r="F669" s="10">
        <v>123</v>
      </c>
      <c r="G669" s="10" t="str">
        <f>IF(I669="unit",VLOOKUP(F669,[2]characters!$A:$C,3,FALSE),"-")</f>
        <v>癒しの果実</v>
      </c>
      <c r="H669" s="10">
        <v>50</v>
      </c>
      <c r="I669" s="10" t="s">
        <v>36</v>
      </c>
      <c r="J669" s="10">
        <v>1</v>
      </c>
      <c r="K669" s="10">
        <v>1</v>
      </c>
      <c r="L669" s="10">
        <v>1</v>
      </c>
      <c r="M669" s="10">
        <v>0</v>
      </c>
      <c r="N669" s="10">
        <v>0</v>
      </c>
      <c r="O669" s="10">
        <v>0</v>
      </c>
      <c r="P669" s="10">
        <v>0</v>
      </c>
      <c r="Q669" s="10">
        <v>1</v>
      </c>
      <c r="R669" s="10" t="s">
        <v>27</v>
      </c>
      <c r="S669" s="10" t="s">
        <v>28</v>
      </c>
    </row>
    <row r="670" spans="1:19" x14ac:dyDescent="0.15">
      <c r="A670" s="10">
        <v>30010</v>
      </c>
      <c r="B670" s="10">
        <v>3</v>
      </c>
      <c r="C670" s="10" t="str">
        <f t="shared" si="70"/>
        <v>30010_3</v>
      </c>
      <c r="D670" s="10" t="str">
        <f>VLOOKUP(C670,[1]stages!$A:$AE,31,FALSE)</f>
        <v>everyone</v>
      </c>
      <c r="E670" s="10">
        <v>670</v>
      </c>
      <c r="F670" s="10">
        <v>125</v>
      </c>
      <c r="G670" s="10" t="str">
        <f>IF(I670="unit",VLOOKUP(F670,[2]characters!$A:$C,3,FALSE),"-")</f>
        <v>秘術の果実</v>
      </c>
      <c r="H670" s="10">
        <v>10</v>
      </c>
      <c r="I670" s="10" t="s">
        <v>36</v>
      </c>
      <c r="J670" s="10">
        <v>1</v>
      </c>
      <c r="K670" s="10">
        <v>1</v>
      </c>
      <c r="L670" s="10">
        <v>1</v>
      </c>
      <c r="M670" s="10">
        <v>0</v>
      </c>
      <c r="N670" s="10">
        <v>0</v>
      </c>
      <c r="O670" s="10">
        <v>0</v>
      </c>
      <c r="P670" s="10">
        <v>0</v>
      </c>
      <c r="Q670" s="10">
        <v>1</v>
      </c>
      <c r="R670" s="10" t="s">
        <v>27</v>
      </c>
      <c r="S670" s="10" t="s">
        <v>28</v>
      </c>
    </row>
    <row r="671" spans="1:19" x14ac:dyDescent="0.15">
      <c r="A671" s="10">
        <v>30010</v>
      </c>
      <c r="B671" s="10">
        <v>3</v>
      </c>
      <c r="C671" s="10" t="str">
        <f t="shared" si="70"/>
        <v>30010_3</v>
      </c>
      <c r="D671" s="10" t="str">
        <f>VLOOKUP(C671,[1]stages!$A:$AE,31,FALSE)</f>
        <v>everyone</v>
      </c>
      <c r="E671" s="10">
        <v>671</v>
      </c>
      <c r="F671" s="10">
        <v>306</v>
      </c>
      <c r="G671" s="10" t="str">
        <f>IF(I671="unit",VLOOKUP(F671,[2]characters!$A:$C,3,FALSE),"-")</f>
        <v>メガロドン</v>
      </c>
      <c r="H671" s="10">
        <v>400</v>
      </c>
      <c r="I671" s="10" t="s">
        <v>36</v>
      </c>
      <c r="J671" s="10">
        <v>1</v>
      </c>
      <c r="K671" s="10">
        <v>1</v>
      </c>
      <c r="L671" s="10">
        <v>1</v>
      </c>
      <c r="M671" s="10">
        <v>0</v>
      </c>
      <c r="N671" s="10">
        <v>0</v>
      </c>
      <c r="O671" s="10">
        <v>0</v>
      </c>
      <c r="P671" s="10">
        <v>0</v>
      </c>
      <c r="Q671" s="10">
        <v>1</v>
      </c>
      <c r="R671" s="10" t="s">
        <v>27</v>
      </c>
      <c r="S671" s="10" t="s">
        <v>28</v>
      </c>
    </row>
    <row r="672" spans="1:19" x14ac:dyDescent="0.15">
      <c r="A672" s="10">
        <v>30010</v>
      </c>
      <c r="B672" s="10">
        <v>3</v>
      </c>
      <c r="C672" s="10" t="str">
        <f t="shared" si="70"/>
        <v>30010_3</v>
      </c>
      <c r="D672" s="10" t="str">
        <f>VLOOKUP(C672,[1]stages!$A:$AE,31,FALSE)</f>
        <v>everyone</v>
      </c>
      <c r="E672" s="10">
        <v>672</v>
      </c>
      <c r="F672" s="10">
        <v>348</v>
      </c>
      <c r="G672" s="10" t="str">
        <f>IF(I672="unit",VLOOKUP(F672,[2]characters!$A:$C,3,FALSE),"-")</f>
        <v>炎のケロケロ</v>
      </c>
      <c r="H672" s="10">
        <v>100</v>
      </c>
      <c r="I672" s="10" t="s">
        <v>36</v>
      </c>
      <c r="J672" s="10">
        <v>1</v>
      </c>
      <c r="K672" s="10">
        <v>1</v>
      </c>
      <c r="L672" s="10">
        <v>1</v>
      </c>
      <c r="M672" s="10">
        <v>0</v>
      </c>
      <c r="N672" s="10">
        <v>0</v>
      </c>
      <c r="O672" s="10">
        <v>0</v>
      </c>
      <c r="P672" s="10">
        <v>0</v>
      </c>
      <c r="Q672" s="10">
        <v>1</v>
      </c>
      <c r="R672" s="10" t="s">
        <v>27</v>
      </c>
      <c r="S672" s="10" t="s">
        <v>28</v>
      </c>
    </row>
    <row r="673" spans="1:19" x14ac:dyDescent="0.15">
      <c r="A673" s="11">
        <v>30011</v>
      </c>
      <c r="B673" s="11">
        <v>1</v>
      </c>
      <c r="C673" s="11" t="str">
        <f t="shared" si="70"/>
        <v>30011_1</v>
      </c>
      <c r="D673" s="11" t="str">
        <f>VLOOKUP(C673,[1]stages!$A:$AE,31,FALSE)</f>
        <v>everyone</v>
      </c>
      <c r="E673" s="11">
        <v>673</v>
      </c>
      <c r="F673" s="11">
        <v>5000</v>
      </c>
      <c r="G673" s="10" t="str">
        <f>IF(I673="unit",VLOOKUP(F673,[2]characters!$A:$C,3,FALSE),"-")</f>
        <v>-</v>
      </c>
      <c r="H673" s="11">
        <v>200</v>
      </c>
      <c r="I673" s="11" t="s">
        <v>32</v>
      </c>
      <c r="J673" s="11" t="s">
        <v>33</v>
      </c>
      <c r="K673" s="11">
        <v>1</v>
      </c>
      <c r="L673" s="11">
        <v>1</v>
      </c>
      <c r="M673" s="11">
        <v>0</v>
      </c>
      <c r="N673" s="11">
        <v>0</v>
      </c>
      <c r="O673" s="11">
        <v>0</v>
      </c>
      <c r="P673" s="11">
        <v>0</v>
      </c>
      <c r="Q673" s="11">
        <v>1</v>
      </c>
      <c r="R673" s="11" t="s">
        <v>27</v>
      </c>
      <c r="S673" s="11" t="s">
        <v>28</v>
      </c>
    </row>
    <row r="674" spans="1:19" x14ac:dyDescent="0.15">
      <c r="A674" s="11">
        <v>30011</v>
      </c>
      <c r="B674" s="11">
        <v>1</v>
      </c>
      <c r="C674" s="11" t="str">
        <f t="shared" ref="C674:C683" si="71">A674&amp; "_"&amp;B674</f>
        <v>30011_1</v>
      </c>
      <c r="D674" s="11" t="str">
        <f>VLOOKUP(C674,[1]stages!$A:$AE,31,FALSE)</f>
        <v>everyone</v>
      </c>
      <c r="E674" s="11">
        <v>674</v>
      </c>
      <c r="F674" s="11">
        <v>25</v>
      </c>
      <c r="G674" s="10" t="str">
        <f>IF(I674="unit",VLOOKUP(F674,[2]characters!$A:$C,3,FALSE),"-")</f>
        <v>-</v>
      </c>
      <c r="H674" s="11">
        <v>200</v>
      </c>
      <c r="I674" s="11" t="s">
        <v>35</v>
      </c>
      <c r="J674" s="11" t="s">
        <v>33</v>
      </c>
      <c r="K674" s="11">
        <v>1</v>
      </c>
      <c r="L674" s="11">
        <v>1</v>
      </c>
      <c r="M674" s="11">
        <v>0</v>
      </c>
      <c r="N674" s="11">
        <v>0</v>
      </c>
      <c r="O674" s="11">
        <v>0</v>
      </c>
      <c r="P674" s="11">
        <v>0</v>
      </c>
      <c r="Q674" s="11">
        <v>1</v>
      </c>
      <c r="R674" s="11" t="s">
        <v>27</v>
      </c>
      <c r="S674" s="11" t="s">
        <v>28</v>
      </c>
    </row>
    <row r="675" spans="1:19" x14ac:dyDescent="0.15">
      <c r="A675" s="11">
        <v>30011</v>
      </c>
      <c r="B675" s="11">
        <v>1</v>
      </c>
      <c r="C675" s="11" t="str">
        <f t="shared" si="71"/>
        <v>30011_1</v>
      </c>
      <c r="D675" s="11" t="str">
        <f>VLOOKUP(C675,[1]stages!$A:$AE,31,FALSE)</f>
        <v>everyone</v>
      </c>
      <c r="E675" s="11">
        <v>675</v>
      </c>
      <c r="F675" s="11">
        <v>336</v>
      </c>
      <c r="G675" s="10" t="str">
        <f>IF(I675="unit",VLOOKUP(F675,[2]characters!$A:$C,3,FALSE),"-")</f>
        <v>森のメタルピヨピヨ</v>
      </c>
      <c r="H675" s="11">
        <v>56</v>
      </c>
      <c r="I675" s="11" t="s">
        <v>36</v>
      </c>
      <c r="J675" s="11">
        <v>1</v>
      </c>
      <c r="K675" s="11">
        <v>1</v>
      </c>
      <c r="L675" s="11">
        <v>1</v>
      </c>
      <c r="M675" s="11">
        <v>0</v>
      </c>
      <c r="N675" s="11">
        <v>0</v>
      </c>
      <c r="O675" s="11">
        <v>0</v>
      </c>
      <c r="P675" s="11">
        <v>0</v>
      </c>
      <c r="Q675" s="11">
        <v>1</v>
      </c>
      <c r="R675" s="11" t="s">
        <v>27</v>
      </c>
      <c r="S675" s="11" t="s">
        <v>28</v>
      </c>
    </row>
    <row r="676" spans="1:19" x14ac:dyDescent="0.15">
      <c r="A676" s="11">
        <v>30011</v>
      </c>
      <c r="B676" s="11">
        <v>1</v>
      </c>
      <c r="C676" s="11" t="str">
        <f t="shared" si="71"/>
        <v>30011_1</v>
      </c>
      <c r="D676" s="11" t="str">
        <f>VLOOKUP(C676,[1]stages!$A:$AE,31,FALSE)</f>
        <v>everyone</v>
      </c>
      <c r="E676" s="11">
        <v>676</v>
      </c>
      <c r="F676" s="11">
        <v>337</v>
      </c>
      <c r="G676" s="10" t="str">
        <f>IF(I676="unit",VLOOKUP(F676,[2]characters!$A:$C,3,FALSE),"-")</f>
        <v>森のメタルチック</v>
      </c>
      <c r="H676" s="11">
        <v>56</v>
      </c>
      <c r="I676" s="11" t="s">
        <v>36</v>
      </c>
      <c r="J676" s="11">
        <v>1</v>
      </c>
      <c r="K676" s="11">
        <v>1</v>
      </c>
      <c r="L676" s="11">
        <v>1</v>
      </c>
      <c r="M676" s="11">
        <v>0</v>
      </c>
      <c r="N676" s="11">
        <v>0</v>
      </c>
      <c r="O676" s="11">
        <v>0</v>
      </c>
      <c r="P676" s="11">
        <v>0</v>
      </c>
      <c r="Q676" s="11">
        <v>1</v>
      </c>
      <c r="R676" s="11" t="s">
        <v>27</v>
      </c>
      <c r="S676" s="11" t="s">
        <v>28</v>
      </c>
    </row>
    <row r="677" spans="1:19" x14ac:dyDescent="0.15">
      <c r="A677" s="11">
        <v>30011</v>
      </c>
      <c r="B677" s="11">
        <v>1</v>
      </c>
      <c r="C677" s="11" t="str">
        <f t="shared" si="71"/>
        <v>30011_1</v>
      </c>
      <c r="D677" s="11" t="str">
        <f>VLOOKUP(C677,[1]stages!$A:$AE,31,FALSE)</f>
        <v>everyone</v>
      </c>
      <c r="E677" s="11">
        <v>677</v>
      </c>
      <c r="F677" s="11">
        <v>338</v>
      </c>
      <c r="G677" s="10" t="str">
        <f>IF(I677="unit",VLOOKUP(F677,[2]characters!$A:$C,3,FALSE),"-")</f>
        <v>森のメタルダック</v>
      </c>
      <c r="H677" s="11">
        <v>28</v>
      </c>
      <c r="I677" s="11" t="s">
        <v>36</v>
      </c>
      <c r="J677" s="11">
        <v>1</v>
      </c>
      <c r="K677" s="11">
        <v>1</v>
      </c>
      <c r="L677" s="11">
        <v>1</v>
      </c>
      <c r="M677" s="11">
        <v>0</v>
      </c>
      <c r="N677" s="11">
        <v>0</v>
      </c>
      <c r="O677" s="11">
        <v>0</v>
      </c>
      <c r="P677" s="11">
        <v>0</v>
      </c>
      <c r="Q677" s="11">
        <v>1</v>
      </c>
      <c r="R677" s="11" t="s">
        <v>27</v>
      </c>
      <c r="S677" s="11" t="s">
        <v>28</v>
      </c>
    </row>
    <row r="678" spans="1:19" x14ac:dyDescent="0.15">
      <c r="A678" s="11">
        <v>30011</v>
      </c>
      <c r="B678" s="11">
        <v>1</v>
      </c>
      <c r="C678" s="11" t="str">
        <f t="shared" si="71"/>
        <v>30011_1</v>
      </c>
      <c r="D678" s="11" t="str">
        <f>VLOOKUP(C678,[1]stages!$A:$AE,31,FALSE)</f>
        <v>everyone</v>
      </c>
      <c r="E678" s="11">
        <v>678</v>
      </c>
      <c r="F678" s="11">
        <v>121</v>
      </c>
      <c r="G678" s="10" t="str">
        <f>IF(I678="unit",VLOOKUP(F678,[2]characters!$A:$C,3,FALSE),"-")</f>
        <v>攻めの果実</v>
      </c>
      <c r="H678" s="11">
        <v>50</v>
      </c>
      <c r="I678" s="11" t="s">
        <v>36</v>
      </c>
      <c r="J678" s="11">
        <v>1</v>
      </c>
      <c r="K678" s="11">
        <v>1</v>
      </c>
      <c r="L678" s="11">
        <v>1</v>
      </c>
      <c r="M678" s="11">
        <v>0</v>
      </c>
      <c r="N678" s="11">
        <v>0</v>
      </c>
      <c r="O678" s="11">
        <v>0</v>
      </c>
      <c r="P678" s="11">
        <v>0</v>
      </c>
      <c r="Q678" s="11">
        <v>1</v>
      </c>
      <c r="R678" s="11" t="s">
        <v>27</v>
      </c>
      <c r="S678" s="11" t="s">
        <v>28</v>
      </c>
    </row>
    <row r="679" spans="1:19" x14ac:dyDescent="0.15">
      <c r="A679" s="11">
        <v>30011</v>
      </c>
      <c r="B679" s="11">
        <v>1</v>
      </c>
      <c r="C679" s="11" t="str">
        <f t="shared" si="71"/>
        <v>30011_1</v>
      </c>
      <c r="D679" s="11" t="str">
        <f>VLOOKUP(C679,[1]stages!$A:$AE,31,FALSE)</f>
        <v>everyone</v>
      </c>
      <c r="E679" s="11">
        <v>679</v>
      </c>
      <c r="F679" s="11">
        <v>122</v>
      </c>
      <c r="G679" s="10" t="str">
        <f>IF(I679="unit",VLOOKUP(F679,[2]characters!$A:$C,3,FALSE),"-")</f>
        <v>生命の果実</v>
      </c>
      <c r="H679" s="11">
        <v>50</v>
      </c>
      <c r="I679" s="11" t="s">
        <v>36</v>
      </c>
      <c r="J679" s="11">
        <v>1</v>
      </c>
      <c r="K679" s="11">
        <v>1</v>
      </c>
      <c r="L679" s="11">
        <v>1</v>
      </c>
      <c r="M679" s="11">
        <v>0</v>
      </c>
      <c r="N679" s="11">
        <v>0</v>
      </c>
      <c r="O679" s="11">
        <v>0</v>
      </c>
      <c r="P679" s="11">
        <v>0</v>
      </c>
      <c r="Q679" s="11">
        <v>1</v>
      </c>
      <c r="R679" s="11" t="s">
        <v>27</v>
      </c>
      <c r="S679" s="11" t="s">
        <v>28</v>
      </c>
    </row>
    <row r="680" spans="1:19" x14ac:dyDescent="0.15">
      <c r="A680" s="11">
        <v>30011</v>
      </c>
      <c r="B680" s="11">
        <v>1</v>
      </c>
      <c r="C680" s="11" t="str">
        <f t="shared" si="71"/>
        <v>30011_1</v>
      </c>
      <c r="D680" s="11" t="str">
        <f>VLOOKUP(C680,[1]stages!$A:$AE,31,FALSE)</f>
        <v>everyone</v>
      </c>
      <c r="E680" s="11">
        <v>680</v>
      </c>
      <c r="F680" s="11">
        <v>123</v>
      </c>
      <c r="G680" s="10" t="str">
        <f>IF(I680="unit",VLOOKUP(F680,[2]characters!$A:$C,3,FALSE),"-")</f>
        <v>癒しの果実</v>
      </c>
      <c r="H680" s="11">
        <v>50</v>
      </c>
      <c r="I680" s="11" t="s">
        <v>36</v>
      </c>
      <c r="J680" s="11">
        <v>1</v>
      </c>
      <c r="K680" s="11">
        <v>1</v>
      </c>
      <c r="L680" s="11">
        <v>1</v>
      </c>
      <c r="M680" s="11">
        <v>0</v>
      </c>
      <c r="N680" s="11">
        <v>0</v>
      </c>
      <c r="O680" s="11">
        <v>0</v>
      </c>
      <c r="P680" s="11">
        <v>0</v>
      </c>
      <c r="Q680" s="11">
        <v>1</v>
      </c>
      <c r="R680" s="11" t="s">
        <v>27</v>
      </c>
      <c r="S680" s="11" t="s">
        <v>28</v>
      </c>
    </row>
    <row r="681" spans="1:19" x14ac:dyDescent="0.15">
      <c r="A681" s="11">
        <v>30011</v>
      </c>
      <c r="B681" s="11">
        <v>1</v>
      </c>
      <c r="C681" s="11" t="str">
        <f t="shared" si="71"/>
        <v>30011_1</v>
      </c>
      <c r="D681" s="11" t="str">
        <f>VLOOKUP(C681,[1]stages!$A:$AE,31,FALSE)</f>
        <v>everyone</v>
      </c>
      <c r="E681" s="11">
        <v>681</v>
      </c>
      <c r="F681" s="11">
        <v>125</v>
      </c>
      <c r="G681" s="10" t="str">
        <f>IF(I681="unit",VLOOKUP(F681,[2]characters!$A:$C,3,FALSE),"-")</f>
        <v>秘術の果実</v>
      </c>
      <c r="H681" s="11">
        <v>10</v>
      </c>
      <c r="I681" s="11" t="s">
        <v>36</v>
      </c>
      <c r="J681" s="11">
        <v>1</v>
      </c>
      <c r="K681" s="11">
        <v>1</v>
      </c>
      <c r="L681" s="11">
        <v>1</v>
      </c>
      <c r="M681" s="11">
        <v>0</v>
      </c>
      <c r="N681" s="11">
        <v>0</v>
      </c>
      <c r="O681" s="11">
        <v>0</v>
      </c>
      <c r="P681" s="11">
        <v>0</v>
      </c>
      <c r="Q681" s="11">
        <v>1</v>
      </c>
      <c r="R681" s="11" t="s">
        <v>27</v>
      </c>
      <c r="S681" s="11" t="s">
        <v>28</v>
      </c>
    </row>
    <row r="682" spans="1:19" x14ac:dyDescent="0.15">
      <c r="A682" s="11">
        <v>30011</v>
      </c>
      <c r="B682" s="11">
        <v>1</v>
      </c>
      <c r="C682" s="11" t="str">
        <f t="shared" si="71"/>
        <v>30011_1</v>
      </c>
      <c r="D682" s="11" t="str">
        <f>VLOOKUP(C682,[1]stages!$A:$AE,31,FALSE)</f>
        <v>everyone</v>
      </c>
      <c r="E682" s="11">
        <v>682</v>
      </c>
      <c r="F682" s="11">
        <v>308</v>
      </c>
      <c r="G682" s="10" t="str">
        <f>IF(I682="unit",VLOOKUP(F682,[2]characters!$A:$C,3,FALSE),"-")</f>
        <v>アーケロン</v>
      </c>
      <c r="H682" s="11">
        <v>200</v>
      </c>
      <c r="I682" s="11" t="s">
        <v>36</v>
      </c>
      <c r="J682" s="11">
        <v>1</v>
      </c>
      <c r="K682" s="11">
        <v>1</v>
      </c>
      <c r="L682" s="11">
        <v>1</v>
      </c>
      <c r="M682" s="11">
        <v>0</v>
      </c>
      <c r="N682" s="11">
        <v>0</v>
      </c>
      <c r="O682" s="11">
        <v>0</v>
      </c>
      <c r="P682" s="11">
        <v>0</v>
      </c>
      <c r="Q682" s="11">
        <v>1</v>
      </c>
      <c r="R682" s="11" t="s">
        <v>27</v>
      </c>
      <c r="S682" s="11" t="s">
        <v>28</v>
      </c>
    </row>
    <row r="683" spans="1:19" x14ac:dyDescent="0.15">
      <c r="A683" s="11">
        <v>30011</v>
      </c>
      <c r="B683" s="11">
        <v>1</v>
      </c>
      <c r="C683" s="11" t="str">
        <f t="shared" si="71"/>
        <v>30011_1</v>
      </c>
      <c r="D683" s="11" t="str">
        <f>VLOOKUP(C683,[1]stages!$A:$AE,31,FALSE)</f>
        <v>everyone</v>
      </c>
      <c r="E683" s="11">
        <v>683</v>
      </c>
      <c r="F683" s="11">
        <v>350</v>
      </c>
      <c r="G683" s="10" t="str">
        <f>IF(I683="unit",VLOOKUP(F683,[2]characters!$A:$C,3,FALSE),"-")</f>
        <v>森のケロケロ</v>
      </c>
      <c r="H683" s="11">
        <v>100</v>
      </c>
      <c r="I683" s="11" t="s">
        <v>36</v>
      </c>
      <c r="J683" s="11">
        <v>1</v>
      </c>
      <c r="K683" s="11">
        <v>1</v>
      </c>
      <c r="L683" s="11">
        <v>1</v>
      </c>
      <c r="M683" s="11">
        <v>0</v>
      </c>
      <c r="N683" s="11">
        <v>0</v>
      </c>
      <c r="O683" s="11">
        <v>0</v>
      </c>
      <c r="P683" s="11">
        <v>0</v>
      </c>
      <c r="Q683" s="11">
        <v>1</v>
      </c>
      <c r="R683" s="11" t="s">
        <v>27</v>
      </c>
      <c r="S683" s="11" t="s">
        <v>28</v>
      </c>
    </row>
    <row r="684" spans="1:19" x14ac:dyDescent="0.15">
      <c r="A684" s="11">
        <v>30011</v>
      </c>
      <c r="B684" s="11">
        <v>2</v>
      </c>
      <c r="C684" s="11" t="str">
        <f>A684&amp; "_"&amp;B684</f>
        <v>30011_2</v>
      </c>
      <c r="D684" s="11" t="str">
        <f>VLOOKUP(C684,[1]stages!$A:$AE,31,FALSE)</f>
        <v>everyone</v>
      </c>
      <c r="E684" s="11">
        <v>684</v>
      </c>
      <c r="F684" s="11">
        <v>6500</v>
      </c>
      <c r="G684" s="10" t="str">
        <f>IF(I684="unit",VLOOKUP(F684,[2]characters!$A:$C,3,FALSE),"-")</f>
        <v>-</v>
      </c>
      <c r="H684" s="11">
        <v>200</v>
      </c>
      <c r="I684" s="11" t="s">
        <v>32</v>
      </c>
      <c r="J684" s="11" t="s">
        <v>33</v>
      </c>
      <c r="K684" s="11">
        <v>1</v>
      </c>
      <c r="L684" s="11">
        <v>1</v>
      </c>
      <c r="M684" s="11">
        <v>0</v>
      </c>
      <c r="N684" s="11">
        <v>0</v>
      </c>
      <c r="O684" s="11">
        <v>0</v>
      </c>
      <c r="P684" s="11">
        <v>0</v>
      </c>
      <c r="Q684" s="11">
        <v>1</v>
      </c>
      <c r="R684" s="11" t="s">
        <v>27</v>
      </c>
      <c r="S684" s="11" t="s">
        <v>28</v>
      </c>
    </row>
    <row r="685" spans="1:19" x14ac:dyDescent="0.15">
      <c r="A685" s="11">
        <v>30011</v>
      </c>
      <c r="B685" s="11">
        <v>2</v>
      </c>
      <c r="C685" s="11" t="str">
        <f t="shared" ref="C685:C694" si="72">A685&amp; "_"&amp;B685</f>
        <v>30011_2</v>
      </c>
      <c r="D685" s="11" t="str">
        <f>VLOOKUP(C685,[1]stages!$A:$AE,31,FALSE)</f>
        <v>everyone</v>
      </c>
      <c r="E685" s="11">
        <v>685</v>
      </c>
      <c r="F685" s="11">
        <v>25</v>
      </c>
      <c r="G685" s="10" t="str">
        <f>IF(I685="unit",VLOOKUP(F685,[2]characters!$A:$C,3,FALSE),"-")</f>
        <v>-</v>
      </c>
      <c r="H685" s="11">
        <v>150</v>
      </c>
      <c r="I685" s="11" t="s">
        <v>35</v>
      </c>
      <c r="J685" s="11" t="s">
        <v>33</v>
      </c>
      <c r="K685" s="11">
        <v>1</v>
      </c>
      <c r="L685" s="11">
        <v>1</v>
      </c>
      <c r="M685" s="11">
        <v>0</v>
      </c>
      <c r="N685" s="11">
        <v>0</v>
      </c>
      <c r="O685" s="11">
        <v>0</v>
      </c>
      <c r="P685" s="11">
        <v>0</v>
      </c>
      <c r="Q685" s="11">
        <v>1</v>
      </c>
      <c r="R685" s="11" t="s">
        <v>27</v>
      </c>
      <c r="S685" s="11" t="s">
        <v>28</v>
      </c>
    </row>
    <row r="686" spans="1:19" x14ac:dyDescent="0.15">
      <c r="A686" s="11">
        <v>30011</v>
      </c>
      <c r="B686" s="11">
        <v>2</v>
      </c>
      <c r="C686" s="11" t="str">
        <f t="shared" si="72"/>
        <v>30011_2</v>
      </c>
      <c r="D686" s="11" t="str">
        <f>VLOOKUP(C686,[1]stages!$A:$AE,31,FALSE)</f>
        <v>everyone</v>
      </c>
      <c r="E686" s="11">
        <v>686</v>
      </c>
      <c r="F686" s="11">
        <v>336</v>
      </c>
      <c r="G686" s="10" t="str">
        <f>IF(I686="unit",VLOOKUP(F686,[2]characters!$A:$C,3,FALSE),"-")</f>
        <v>森のメタルピヨピヨ</v>
      </c>
      <c r="H686" s="11">
        <v>28</v>
      </c>
      <c r="I686" s="11" t="s">
        <v>36</v>
      </c>
      <c r="J686" s="11">
        <v>1</v>
      </c>
      <c r="K686" s="11">
        <v>1</v>
      </c>
      <c r="L686" s="11">
        <v>1</v>
      </c>
      <c r="M686" s="11">
        <v>0</v>
      </c>
      <c r="N686" s="11">
        <v>0</v>
      </c>
      <c r="O686" s="11">
        <v>0</v>
      </c>
      <c r="P686" s="11">
        <v>0</v>
      </c>
      <c r="Q686" s="11">
        <v>1</v>
      </c>
      <c r="R686" s="11" t="s">
        <v>27</v>
      </c>
      <c r="S686" s="11" t="s">
        <v>28</v>
      </c>
    </row>
    <row r="687" spans="1:19" x14ac:dyDescent="0.15">
      <c r="A687" s="11">
        <v>30011</v>
      </c>
      <c r="B687" s="11">
        <v>2</v>
      </c>
      <c r="C687" s="11" t="str">
        <f t="shared" si="72"/>
        <v>30011_2</v>
      </c>
      <c r="D687" s="11" t="str">
        <f>VLOOKUP(C687,[1]stages!$A:$AE,31,FALSE)</f>
        <v>everyone</v>
      </c>
      <c r="E687" s="11">
        <v>687</v>
      </c>
      <c r="F687" s="11">
        <v>337</v>
      </c>
      <c r="G687" s="10" t="str">
        <f>IF(I687="unit",VLOOKUP(F687,[2]characters!$A:$C,3,FALSE),"-")</f>
        <v>森のメタルチック</v>
      </c>
      <c r="H687" s="11">
        <v>56</v>
      </c>
      <c r="I687" s="11" t="s">
        <v>36</v>
      </c>
      <c r="J687" s="11">
        <v>1</v>
      </c>
      <c r="K687" s="11">
        <v>1</v>
      </c>
      <c r="L687" s="11">
        <v>1</v>
      </c>
      <c r="M687" s="11">
        <v>0</v>
      </c>
      <c r="N687" s="11">
        <v>0</v>
      </c>
      <c r="O687" s="11">
        <v>0</v>
      </c>
      <c r="P687" s="11">
        <v>0</v>
      </c>
      <c r="Q687" s="11">
        <v>1</v>
      </c>
      <c r="R687" s="11" t="s">
        <v>27</v>
      </c>
      <c r="S687" s="11" t="s">
        <v>28</v>
      </c>
    </row>
    <row r="688" spans="1:19" x14ac:dyDescent="0.15">
      <c r="A688" s="11">
        <v>30011</v>
      </c>
      <c r="B688" s="11">
        <v>2</v>
      </c>
      <c r="C688" s="11" t="str">
        <f t="shared" si="72"/>
        <v>30011_2</v>
      </c>
      <c r="D688" s="11" t="str">
        <f>VLOOKUP(C688,[1]stages!$A:$AE,31,FALSE)</f>
        <v>everyone</v>
      </c>
      <c r="E688" s="11">
        <v>688</v>
      </c>
      <c r="F688" s="11">
        <v>338</v>
      </c>
      <c r="G688" s="10" t="str">
        <f>IF(I688="unit",VLOOKUP(F688,[2]characters!$A:$C,3,FALSE),"-")</f>
        <v>森のメタルダック</v>
      </c>
      <c r="H688" s="11">
        <v>56</v>
      </c>
      <c r="I688" s="11" t="s">
        <v>36</v>
      </c>
      <c r="J688" s="11">
        <v>1</v>
      </c>
      <c r="K688" s="11">
        <v>1</v>
      </c>
      <c r="L688" s="11">
        <v>1</v>
      </c>
      <c r="M688" s="11">
        <v>0</v>
      </c>
      <c r="N688" s="11">
        <v>0</v>
      </c>
      <c r="O688" s="11">
        <v>0</v>
      </c>
      <c r="P688" s="11">
        <v>0</v>
      </c>
      <c r="Q688" s="11">
        <v>1</v>
      </c>
      <c r="R688" s="11" t="s">
        <v>27</v>
      </c>
      <c r="S688" s="11" t="s">
        <v>28</v>
      </c>
    </row>
    <row r="689" spans="1:19" x14ac:dyDescent="0.15">
      <c r="A689" s="11">
        <v>30011</v>
      </c>
      <c r="B689" s="11">
        <v>2</v>
      </c>
      <c r="C689" s="11" t="str">
        <f t="shared" si="72"/>
        <v>30011_2</v>
      </c>
      <c r="D689" s="11" t="str">
        <f>VLOOKUP(C689,[1]stages!$A:$AE,31,FALSE)</f>
        <v>everyone</v>
      </c>
      <c r="E689" s="11">
        <v>689</v>
      </c>
      <c r="F689" s="11">
        <v>121</v>
      </c>
      <c r="G689" s="10" t="str">
        <f>IF(I689="unit",VLOOKUP(F689,[2]characters!$A:$C,3,FALSE),"-")</f>
        <v>攻めの果実</v>
      </c>
      <c r="H689" s="11">
        <v>50</v>
      </c>
      <c r="I689" s="11" t="s">
        <v>36</v>
      </c>
      <c r="J689" s="11">
        <v>1</v>
      </c>
      <c r="K689" s="11">
        <v>1</v>
      </c>
      <c r="L689" s="11">
        <v>1</v>
      </c>
      <c r="M689" s="11">
        <v>0</v>
      </c>
      <c r="N689" s="11">
        <v>0</v>
      </c>
      <c r="O689" s="11">
        <v>0</v>
      </c>
      <c r="P689" s="11">
        <v>0</v>
      </c>
      <c r="Q689" s="11">
        <v>1</v>
      </c>
      <c r="R689" s="11" t="s">
        <v>27</v>
      </c>
      <c r="S689" s="11" t="s">
        <v>28</v>
      </c>
    </row>
    <row r="690" spans="1:19" x14ac:dyDescent="0.15">
      <c r="A690" s="11">
        <v>30011</v>
      </c>
      <c r="B690" s="11">
        <v>2</v>
      </c>
      <c r="C690" s="11" t="str">
        <f t="shared" si="72"/>
        <v>30011_2</v>
      </c>
      <c r="D690" s="11" t="str">
        <f>VLOOKUP(C690,[1]stages!$A:$AE,31,FALSE)</f>
        <v>everyone</v>
      </c>
      <c r="E690" s="11">
        <v>690</v>
      </c>
      <c r="F690" s="11">
        <v>122</v>
      </c>
      <c r="G690" s="10" t="str">
        <f>IF(I690="unit",VLOOKUP(F690,[2]characters!$A:$C,3,FALSE),"-")</f>
        <v>生命の果実</v>
      </c>
      <c r="H690" s="11">
        <v>50</v>
      </c>
      <c r="I690" s="11" t="s">
        <v>36</v>
      </c>
      <c r="J690" s="11">
        <v>1</v>
      </c>
      <c r="K690" s="11">
        <v>1</v>
      </c>
      <c r="L690" s="11">
        <v>1</v>
      </c>
      <c r="M690" s="11">
        <v>0</v>
      </c>
      <c r="N690" s="11">
        <v>0</v>
      </c>
      <c r="O690" s="11">
        <v>0</v>
      </c>
      <c r="P690" s="11">
        <v>0</v>
      </c>
      <c r="Q690" s="11">
        <v>1</v>
      </c>
      <c r="R690" s="11" t="s">
        <v>27</v>
      </c>
      <c r="S690" s="11" t="s">
        <v>28</v>
      </c>
    </row>
    <row r="691" spans="1:19" x14ac:dyDescent="0.15">
      <c r="A691" s="11">
        <v>30011</v>
      </c>
      <c r="B691" s="11">
        <v>2</v>
      </c>
      <c r="C691" s="11" t="str">
        <f t="shared" si="72"/>
        <v>30011_2</v>
      </c>
      <c r="D691" s="11" t="str">
        <f>VLOOKUP(C691,[1]stages!$A:$AE,31,FALSE)</f>
        <v>everyone</v>
      </c>
      <c r="E691" s="11">
        <v>691</v>
      </c>
      <c r="F691" s="11">
        <v>123</v>
      </c>
      <c r="G691" s="10" t="str">
        <f>IF(I691="unit",VLOOKUP(F691,[2]characters!$A:$C,3,FALSE),"-")</f>
        <v>癒しの果実</v>
      </c>
      <c r="H691" s="11">
        <v>50</v>
      </c>
      <c r="I691" s="11" t="s">
        <v>36</v>
      </c>
      <c r="J691" s="11">
        <v>1</v>
      </c>
      <c r="K691" s="11">
        <v>1</v>
      </c>
      <c r="L691" s="11">
        <v>1</v>
      </c>
      <c r="M691" s="11">
        <v>0</v>
      </c>
      <c r="N691" s="11">
        <v>0</v>
      </c>
      <c r="O691" s="11">
        <v>0</v>
      </c>
      <c r="P691" s="11">
        <v>0</v>
      </c>
      <c r="Q691" s="11">
        <v>1</v>
      </c>
      <c r="R691" s="11" t="s">
        <v>27</v>
      </c>
      <c r="S691" s="11" t="s">
        <v>28</v>
      </c>
    </row>
    <row r="692" spans="1:19" x14ac:dyDescent="0.15">
      <c r="A692" s="11">
        <v>30011</v>
      </c>
      <c r="B692" s="11">
        <v>2</v>
      </c>
      <c r="C692" s="11" t="str">
        <f t="shared" si="72"/>
        <v>30011_2</v>
      </c>
      <c r="D692" s="11" t="str">
        <f>VLOOKUP(C692,[1]stages!$A:$AE,31,FALSE)</f>
        <v>everyone</v>
      </c>
      <c r="E692" s="11">
        <v>692</v>
      </c>
      <c r="F692" s="11">
        <v>125</v>
      </c>
      <c r="G692" s="10" t="str">
        <f>IF(I692="unit",VLOOKUP(F692,[2]characters!$A:$C,3,FALSE),"-")</f>
        <v>秘術の果実</v>
      </c>
      <c r="H692" s="11">
        <v>10</v>
      </c>
      <c r="I692" s="11" t="s">
        <v>36</v>
      </c>
      <c r="J692" s="11">
        <v>1</v>
      </c>
      <c r="K692" s="11">
        <v>1</v>
      </c>
      <c r="L692" s="11">
        <v>1</v>
      </c>
      <c r="M692" s="11">
        <v>0</v>
      </c>
      <c r="N692" s="11">
        <v>0</v>
      </c>
      <c r="O692" s="11">
        <v>0</v>
      </c>
      <c r="P692" s="11">
        <v>0</v>
      </c>
      <c r="Q692" s="11">
        <v>1</v>
      </c>
      <c r="R692" s="11" t="s">
        <v>27</v>
      </c>
      <c r="S692" s="11" t="s">
        <v>28</v>
      </c>
    </row>
    <row r="693" spans="1:19" x14ac:dyDescent="0.15">
      <c r="A693" s="11">
        <v>30011</v>
      </c>
      <c r="B693" s="11">
        <v>2</v>
      </c>
      <c r="C693" s="11" t="str">
        <f t="shared" si="72"/>
        <v>30011_2</v>
      </c>
      <c r="D693" s="11" t="str">
        <f>VLOOKUP(C693,[1]stages!$A:$AE,31,FALSE)</f>
        <v>everyone</v>
      </c>
      <c r="E693" s="11">
        <v>693</v>
      </c>
      <c r="F693" s="11">
        <v>308</v>
      </c>
      <c r="G693" s="10" t="str">
        <f>IF(I693="unit",VLOOKUP(F693,[2]characters!$A:$C,3,FALSE),"-")</f>
        <v>アーケロン</v>
      </c>
      <c r="H693" s="11">
        <v>250</v>
      </c>
      <c r="I693" s="11" t="s">
        <v>36</v>
      </c>
      <c r="J693" s="11">
        <v>1</v>
      </c>
      <c r="K693" s="11">
        <v>1</v>
      </c>
      <c r="L693" s="11">
        <v>1</v>
      </c>
      <c r="M693" s="11">
        <v>0</v>
      </c>
      <c r="N693" s="11">
        <v>0</v>
      </c>
      <c r="O693" s="11">
        <v>0</v>
      </c>
      <c r="P693" s="11">
        <v>0</v>
      </c>
      <c r="Q693" s="11">
        <v>1</v>
      </c>
      <c r="R693" s="11" t="s">
        <v>27</v>
      </c>
      <c r="S693" s="11" t="s">
        <v>28</v>
      </c>
    </row>
    <row r="694" spans="1:19" x14ac:dyDescent="0.15">
      <c r="A694" s="11">
        <v>30011</v>
      </c>
      <c r="B694" s="11">
        <v>2</v>
      </c>
      <c r="C694" s="11" t="str">
        <f t="shared" si="72"/>
        <v>30011_2</v>
      </c>
      <c r="D694" s="11" t="str">
        <f>VLOOKUP(C694,[1]stages!$A:$AE,31,FALSE)</f>
        <v>everyone</v>
      </c>
      <c r="E694" s="11">
        <v>694</v>
      </c>
      <c r="F694" s="11">
        <v>350</v>
      </c>
      <c r="G694" s="10" t="str">
        <f>IF(I694="unit",VLOOKUP(F694,[2]characters!$A:$C,3,FALSE),"-")</f>
        <v>森のケロケロ</v>
      </c>
      <c r="H694" s="11">
        <v>100</v>
      </c>
      <c r="I694" s="11" t="s">
        <v>36</v>
      </c>
      <c r="J694" s="11">
        <v>1</v>
      </c>
      <c r="K694" s="11">
        <v>1</v>
      </c>
      <c r="L694" s="11">
        <v>1</v>
      </c>
      <c r="M694" s="11">
        <v>0</v>
      </c>
      <c r="N694" s="11">
        <v>0</v>
      </c>
      <c r="O694" s="11">
        <v>0</v>
      </c>
      <c r="P694" s="11">
        <v>0</v>
      </c>
      <c r="Q694" s="11">
        <v>1</v>
      </c>
      <c r="R694" s="11" t="s">
        <v>27</v>
      </c>
      <c r="S694" s="11" t="s">
        <v>28</v>
      </c>
    </row>
    <row r="695" spans="1:19" x14ac:dyDescent="0.15">
      <c r="A695" s="11">
        <v>30011</v>
      </c>
      <c r="B695" s="11">
        <v>3</v>
      </c>
      <c r="C695" s="11" t="str">
        <f>A695&amp; "_"&amp;B695</f>
        <v>30011_3</v>
      </c>
      <c r="D695" s="11" t="str">
        <f>VLOOKUP(C695,[1]stages!$A:$AE,31,FALSE)</f>
        <v>everyone</v>
      </c>
      <c r="E695" s="11">
        <v>695</v>
      </c>
      <c r="F695" s="11">
        <v>7500</v>
      </c>
      <c r="G695" s="10" t="str">
        <f>IF(I695="unit",VLOOKUP(F695,[2]characters!$A:$C,3,FALSE),"-")</f>
        <v>-</v>
      </c>
      <c r="H695" s="11">
        <v>100</v>
      </c>
      <c r="I695" s="11" t="s">
        <v>32</v>
      </c>
      <c r="J695" s="11" t="s">
        <v>33</v>
      </c>
      <c r="K695" s="11">
        <v>1</v>
      </c>
      <c r="L695" s="11">
        <v>1</v>
      </c>
      <c r="M695" s="11">
        <v>0</v>
      </c>
      <c r="N695" s="11">
        <v>0</v>
      </c>
      <c r="O695" s="11">
        <v>0</v>
      </c>
      <c r="P695" s="11">
        <v>0</v>
      </c>
      <c r="Q695" s="11">
        <v>1</v>
      </c>
      <c r="R695" s="11" t="s">
        <v>27</v>
      </c>
      <c r="S695" s="11" t="s">
        <v>28</v>
      </c>
    </row>
    <row r="696" spans="1:19" x14ac:dyDescent="0.15">
      <c r="A696" s="11">
        <v>30011</v>
      </c>
      <c r="B696" s="11">
        <v>3</v>
      </c>
      <c r="C696" s="11" t="str">
        <f t="shared" ref="C696" si="73">A696&amp; "_"&amp;B696</f>
        <v>30011_3</v>
      </c>
      <c r="D696" s="11" t="str">
        <f>VLOOKUP(C696,[1]stages!$A:$AE,31,FALSE)</f>
        <v>everyone</v>
      </c>
      <c r="E696" s="11">
        <v>696</v>
      </c>
      <c r="F696" s="11">
        <v>25</v>
      </c>
      <c r="G696" s="10" t="str">
        <f>IF(I696="unit",VLOOKUP(F696,[2]characters!$A:$C,3,FALSE),"-")</f>
        <v>-</v>
      </c>
      <c r="H696" s="11">
        <v>100</v>
      </c>
      <c r="I696" s="11" t="s">
        <v>35</v>
      </c>
      <c r="J696" s="11" t="s">
        <v>33</v>
      </c>
      <c r="K696" s="11">
        <v>1</v>
      </c>
      <c r="L696" s="11">
        <v>1</v>
      </c>
      <c r="M696" s="11">
        <v>0</v>
      </c>
      <c r="N696" s="11">
        <v>0</v>
      </c>
      <c r="O696" s="11">
        <v>0</v>
      </c>
      <c r="P696" s="11">
        <v>0</v>
      </c>
      <c r="Q696" s="11">
        <v>1</v>
      </c>
      <c r="R696" s="11" t="s">
        <v>27</v>
      </c>
      <c r="S696" s="11" t="s">
        <v>28</v>
      </c>
    </row>
    <row r="697" spans="1:19" x14ac:dyDescent="0.15">
      <c r="A697" s="11">
        <v>30011</v>
      </c>
      <c r="B697" s="11">
        <v>3</v>
      </c>
      <c r="C697" s="11" t="str">
        <f t="shared" ref="C697:C705" si="74">A697&amp; "_"&amp;B697</f>
        <v>30011_3</v>
      </c>
      <c r="D697" s="11" t="str">
        <f>VLOOKUP(C697,[1]stages!$A:$AE,31,FALSE)</f>
        <v>everyone</v>
      </c>
      <c r="E697" s="11">
        <v>697</v>
      </c>
      <c r="F697" s="11">
        <v>337</v>
      </c>
      <c r="G697" s="10" t="str">
        <f>IF(I697="unit",VLOOKUP(F697,[2]characters!$A:$C,3,FALSE),"-")</f>
        <v>森のメタルチック</v>
      </c>
      <c r="H697" s="11">
        <v>56</v>
      </c>
      <c r="I697" s="11" t="s">
        <v>36</v>
      </c>
      <c r="J697" s="11">
        <v>1</v>
      </c>
      <c r="K697" s="11">
        <v>1</v>
      </c>
      <c r="L697" s="11">
        <v>1</v>
      </c>
      <c r="M697" s="11">
        <v>0</v>
      </c>
      <c r="N697" s="11">
        <v>0</v>
      </c>
      <c r="O697" s="11">
        <v>0</v>
      </c>
      <c r="P697" s="11">
        <v>0</v>
      </c>
      <c r="Q697" s="11">
        <v>1</v>
      </c>
      <c r="R697" s="11" t="s">
        <v>27</v>
      </c>
      <c r="S697" s="11" t="s">
        <v>28</v>
      </c>
    </row>
    <row r="698" spans="1:19" x14ac:dyDescent="0.15">
      <c r="A698" s="11">
        <v>30011</v>
      </c>
      <c r="B698" s="11">
        <v>3</v>
      </c>
      <c r="C698" s="11" t="str">
        <f t="shared" si="74"/>
        <v>30011_3</v>
      </c>
      <c r="D698" s="11" t="str">
        <f>VLOOKUP(C698,[1]stages!$A:$AE,31,FALSE)</f>
        <v>everyone</v>
      </c>
      <c r="E698" s="11">
        <v>698</v>
      </c>
      <c r="F698" s="11">
        <v>338</v>
      </c>
      <c r="G698" s="10" t="str">
        <f>IF(I698="unit",VLOOKUP(F698,[2]characters!$A:$C,3,FALSE),"-")</f>
        <v>森のメタルダック</v>
      </c>
      <c r="H698" s="11">
        <v>84</v>
      </c>
      <c r="I698" s="11" t="s">
        <v>36</v>
      </c>
      <c r="J698" s="11">
        <v>1</v>
      </c>
      <c r="K698" s="11">
        <v>1</v>
      </c>
      <c r="L698" s="11">
        <v>1</v>
      </c>
      <c r="M698" s="11">
        <v>0</v>
      </c>
      <c r="N698" s="11">
        <v>0</v>
      </c>
      <c r="O698" s="11">
        <v>0</v>
      </c>
      <c r="P698" s="11">
        <v>0</v>
      </c>
      <c r="Q698" s="11">
        <v>1</v>
      </c>
      <c r="R698" s="11" t="s">
        <v>27</v>
      </c>
      <c r="S698" s="11" t="s">
        <v>28</v>
      </c>
    </row>
    <row r="699" spans="1:19" x14ac:dyDescent="0.15">
      <c r="A699" s="11">
        <v>30011</v>
      </c>
      <c r="B699" s="11">
        <v>3</v>
      </c>
      <c r="C699" s="11" t="str">
        <f t="shared" si="74"/>
        <v>30011_3</v>
      </c>
      <c r="D699" s="11" t="str">
        <f>VLOOKUP(C699,[1]stages!$A:$AE,31,FALSE)</f>
        <v>everyone</v>
      </c>
      <c r="E699" s="11">
        <v>699</v>
      </c>
      <c r="F699" s="11">
        <v>121</v>
      </c>
      <c r="G699" s="10" t="str">
        <f>IF(I699="unit",VLOOKUP(F699,[2]characters!$A:$C,3,FALSE),"-")</f>
        <v>攻めの果実</v>
      </c>
      <c r="H699" s="11">
        <v>50</v>
      </c>
      <c r="I699" s="11" t="s">
        <v>36</v>
      </c>
      <c r="J699" s="11">
        <v>1</v>
      </c>
      <c r="K699" s="11">
        <v>1</v>
      </c>
      <c r="L699" s="11">
        <v>1</v>
      </c>
      <c r="M699" s="11">
        <v>0</v>
      </c>
      <c r="N699" s="11">
        <v>0</v>
      </c>
      <c r="O699" s="11">
        <v>0</v>
      </c>
      <c r="P699" s="11">
        <v>0</v>
      </c>
      <c r="Q699" s="11">
        <v>1</v>
      </c>
      <c r="R699" s="11" t="s">
        <v>27</v>
      </c>
      <c r="S699" s="11" t="s">
        <v>28</v>
      </c>
    </row>
    <row r="700" spans="1:19" x14ac:dyDescent="0.15">
      <c r="A700" s="11">
        <v>30011</v>
      </c>
      <c r="B700" s="11">
        <v>3</v>
      </c>
      <c r="C700" s="11" t="str">
        <f t="shared" si="74"/>
        <v>30011_3</v>
      </c>
      <c r="D700" s="11" t="str">
        <f>VLOOKUP(C700,[1]stages!$A:$AE,31,FALSE)</f>
        <v>everyone</v>
      </c>
      <c r="E700" s="11">
        <v>700</v>
      </c>
      <c r="F700" s="11">
        <v>122</v>
      </c>
      <c r="G700" s="10" t="str">
        <f>IF(I700="unit",VLOOKUP(F700,[2]characters!$A:$C,3,FALSE),"-")</f>
        <v>生命の果実</v>
      </c>
      <c r="H700" s="11">
        <v>50</v>
      </c>
      <c r="I700" s="11" t="s">
        <v>36</v>
      </c>
      <c r="J700" s="11">
        <v>1</v>
      </c>
      <c r="K700" s="11">
        <v>1</v>
      </c>
      <c r="L700" s="11">
        <v>1</v>
      </c>
      <c r="M700" s="11">
        <v>0</v>
      </c>
      <c r="N700" s="11">
        <v>0</v>
      </c>
      <c r="O700" s="11">
        <v>0</v>
      </c>
      <c r="P700" s="11">
        <v>0</v>
      </c>
      <c r="Q700" s="11">
        <v>1</v>
      </c>
      <c r="R700" s="11" t="s">
        <v>27</v>
      </c>
      <c r="S700" s="11" t="s">
        <v>28</v>
      </c>
    </row>
    <row r="701" spans="1:19" x14ac:dyDescent="0.15">
      <c r="A701" s="11">
        <v>30011</v>
      </c>
      <c r="B701" s="11">
        <v>3</v>
      </c>
      <c r="C701" s="11" t="str">
        <f t="shared" si="74"/>
        <v>30011_3</v>
      </c>
      <c r="D701" s="11" t="str">
        <f>VLOOKUP(C701,[1]stages!$A:$AE,31,FALSE)</f>
        <v>everyone</v>
      </c>
      <c r="E701" s="11">
        <v>701</v>
      </c>
      <c r="F701" s="11">
        <v>123</v>
      </c>
      <c r="G701" s="10" t="str">
        <f>IF(I701="unit",VLOOKUP(F701,[2]characters!$A:$C,3,FALSE),"-")</f>
        <v>癒しの果実</v>
      </c>
      <c r="H701" s="11">
        <v>50</v>
      </c>
      <c r="I701" s="11" t="s">
        <v>36</v>
      </c>
      <c r="J701" s="11">
        <v>1</v>
      </c>
      <c r="K701" s="11">
        <v>1</v>
      </c>
      <c r="L701" s="11">
        <v>1</v>
      </c>
      <c r="M701" s="11">
        <v>0</v>
      </c>
      <c r="N701" s="11">
        <v>0</v>
      </c>
      <c r="O701" s="11">
        <v>0</v>
      </c>
      <c r="P701" s="11">
        <v>0</v>
      </c>
      <c r="Q701" s="11">
        <v>1</v>
      </c>
      <c r="R701" s="11" t="s">
        <v>27</v>
      </c>
      <c r="S701" s="11" t="s">
        <v>28</v>
      </c>
    </row>
    <row r="702" spans="1:19" x14ac:dyDescent="0.15">
      <c r="A702" s="11">
        <v>30011</v>
      </c>
      <c r="B702" s="11">
        <v>3</v>
      </c>
      <c r="C702" s="11" t="str">
        <f t="shared" si="74"/>
        <v>30011_3</v>
      </c>
      <c r="D702" s="11" t="str">
        <f>VLOOKUP(C702,[1]stages!$A:$AE,31,FALSE)</f>
        <v>everyone</v>
      </c>
      <c r="E702" s="11">
        <v>702</v>
      </c>
      <c r="F702" s="11">
        <v>125</v>
      </c>
      <c r="G702" s="10" t="str">
        <f>IF(I702="unit",VLOOKUP(F702,[2]characters!$A:$C,3,FALSE),"-")</f>
        <v>秘術の果実</v>
      </c>
      <c r="H702" s="11">
        <v>10</v>
      </c>
      <c r="I702" s="11" t="s">
        <v>36</v>
      </c>
      <c r="J702" s="11">
        <v>1</v>
      </c>
      <c r="K702" s="11">
        <v>1</v>
      </c>
      <c r="L702" s="11">
        <v>1</v>
      </c>
      <c r="M702" s="11">
        <v>0</v>
      </c>
      <c r="N702" s="11">
        <v>0</v>
      </c>
      <c r="O702" s="11">
        <v>0</v>
      </c>
      <c r="P702" s="11">
        <v>0</v>
      </c>
      <c r="Q702" s="11">
        <v>1</v>
      </c>
      <c r="R702" s="11" t="s">
        <v>27</v>
      </c>
      <c r="S702" s="11" t="s">
        <v>28</v>
      </c>
    </row>
    <row r="703" spans="1:19" x14ac:dyDescent="0.15">
      <c r="A703" s="11">
        <v>30011</v>
      </c>
      <c r="B703" s="11">
        <v>3</v>
      </c>
      <c r="C703" s="11" t="str">
        <f t="shared" si="74"/>
        <v>30011_3</v>
      </c>
      <c r="D703" s="11" t="str">
        <f>VLOOKUP(C703,[1]stages!$A:$AE,31,FALSE)</f>
        <v>everyone</v>
      </c>
      <c r="E703" s="11">
        <v>703</v>
      </c>
      <c r="F703" s="11">
        <v>308</v>
      </c>
      <c r="G703" s="10" t="str">
        <f>IF(I703="unit",VLOOKUP(F703,[2]characters!$A:$C,3,FALSE),"-")</f>
        <v>アーケロン</v>
      </c>
      <c r="H703" s="11">
        <v>400</v>
      </c>
      <c r="I703" s="11" t="s">
        <v>36</v>
      </c>
      <c r="J703" s="11">
        <v>1</v>
      </c>
      <c r="K703" s="11">
        <v>1</v>
      </c>
      <c r="L703" s="11">
        <v>1</v>
      </c>
      <c r="M703" s="11">
        <v>0</v>
      </c>
      <c r="N703" s="11">
        <v>0</v>
      </c>
      <c r="O703" s="11">
        <v>0</v>
      </c>
      <c r="P703" s="11">
        <v>0</v>
      </c>
      <c r="Q703" s="11">
        <v>1</v>
      </c>
      <c r="R703" s="11" t="s">
        <v>27</v>
      </c>
      <c r="S703" s="11" t="s">
        <v>28</v>
      </c>
    </row>
    <row r="704" spans="1:19" x14ac:dyDescent="0.15">
      <c r="A704" s="11">
        <v>30011</v>
      </c>
      <c r="B704" s="11">
        <v>3</v>
      </c>
      <c r="C704" s="11" t="str">
        <f t="shared" si="74"/>
        <v>30011_3</v>
      </c>
      <c r="D704" s="11" t="str">
        <f>VLOOKUP(C704,[1]stages!$A:$AE,31,FALSE)</f>
        <v>everyone</v>
      </c>
      <c r="E704" s="11">
        <v>704</v>
      </c>
      <c r="F704" s="11">
        <v>350</v>
      </c>
      <c r="G704" s="10" t="str">
        <f>IF(I704="unit",VLOOKUP(F704,[2]characters!$A:$C,3,FALSE),"-")</f>
        <v>森のケロケロ</v>
      </c>
      <c r="H704" s="11">
        <v>100</v>
      </c>
      <c r="I704" s="11" t="s">
        <v>36</v>
      </c>
      <c r="J704" s="11">
        <v>1</v>
      </c>
      <c r="K704" s="11">
        <v>1</v>
      </c>
      <c r="L704" s="11">
        <v>1</v>
      </c>
      <c r="M704" s="11">
        <v>0</v>
      </c>
      <c r="N704" s="11">
        <v>0</v>
      </c>
      <c r="O704" s="11">
        <v>0</v>
      </c>
      <c r="P704" s="11">
        <v>0</v>
      </c>
      <c r="Q704" s="11">
        <v>1</v>
      </c>
      <c r="R704" s="11" t="s">
        <v>27</v>
      </c>
      <c r="S704" s="11" t="s">
        <v>28</v>
      </c>
    </row>
    <row r="705" spans="1:19" x14ac:dyDescent="0.15">
      <c r="A705" s="12">
        <v>30012</v>
      </c>
      <c r="B705" s="12">
        <v>1</v>
      </c>
      <c r="C705" s="12" t="str">
        <f t="shared" si="74"/>
        <v>30012_1</v>
      </c>
      <c r="D705" s="12" t="str">
        <f>VLOOKUP(C705,[1]stages!$A:$AE,31,FALSE)</f>
        <v>everyone</v>
      </c>
      <c r="E705" s="12">
        <v>705</v>
      </c>
      <c r="F705" s="12">
        <v>5000</v>
      </c>
      <c r="G705" s="10" t="str">
        <f>IF(I705="unit",VLOOKUP(F705,[2]characters!$A:$C,3,FALSE),"-")</f>
        <v>-</v>
      </c>
      <c r="H705" s="12">
        <v>200</v>
      </c>
      <c r="I705" s="12" t="s">
        <v>32</v>
      </c>
      <c r="J705" s="12" t="s">
        <v>33</v>
      </c>
      <c r="K705" s="12">
        <v>1</v>
      </c>
      <c r="L705" s="12">
        <v>1</v>
      </c>
      <c r="M705" s="12">
        <v>0</v>
      </c>
      <c r="N705" s="12">
        <v>0</v>
      </c>
      <c r="O705" s="12">
        <v>0</v>
      </c>
      <c r="P705" s="12">
        <v>0</v>
      </c>
      <c r="Q705" s="12">
        <v>1</v>
      </c>
      <c r="R705" s="12" t="s">
        <v>27</v>
      </c>
      <c r="S705" s="12" t="s">
        <v>28</v>
      </c>
    </row>
    <row r="706" spans="1:19" x14ac:dyDescent="0.15">
      <c r="A706" s="12">
        <v>30012</v>
      </c>
      <c r="B706" s="12">
        <v>1</v>
      </c>
      <c r="C706" s="12" t="str">
        <f t="shared" ref="C706:C715" si="75">A706&amp; "_"&amp;B706</f>
        <v>30012_1</v>
      </c>
      <c r="D706" s="12" t="str">
        <f>VLOOKUP(C706,[1]stages!$A:$AE,31,FALSE)</f>
        <v>everyone</v>
      </c>
      <c r="E706" s="12">
        <v>706</v>
      </c>
      <c r="F706" s="12">
        <v>25</v>
      </c>
      <c r="G706" s="10" t="str">
        <f>IF(I706="unit",VLOOKUP(F706,[2]characters!$A:$C,3,FALSE),"-")</f>
        <v>-</v>
      </c>
      <c r="H706" s="12">
        <v>200</v>
      </c>
      <c r="I706" s="12" t="s">
        <v>35</v>
      </c>
      <c r="J706" s="12" t="s">
        <v>33</v>
      </c>
      <c r="K706" s="12">
        <v>1</v>
      </c>
      <c r="L706" s="12">
        <v>1</v>
      </c>
      <c r="M706" s="12">
        <v>0</v>
      </c>
      <c r="N706" s="12">
        <v>0</v>
      </c>
      <c r="O706" s="12">
        <v>0</v>
      </c>
      <c r="P706" s="12">
        <v>0</v>
      </c>
      <c r="Q706" s="12">
        <v>1</v>
      </c>
      <c r="R706" s="12" t="s">
        <v>27</v>
      </c>
      <c r="S706" s="12" t="s">
        <v>28</v>
      </c>
    </row>
    <row r="707" spans="1:19" x14ac:dyDescent="0.15">
      <c r="A707" s="12">
        <v>30012</v>
      </c>
      <c r="B707" s="12">
        <v>1</v>
      </c>
      <c r="C707" s="12" t="str">
        <f t="shared" si="75"/>
        <v>30012_1</v>
      </c>
      <c r="D707" s="12" t="str">
        <f>VLOOKUP(C707,[1]stages!$A:$AE,31,FALSE)</f>
        <v>everyone</v>
      </c>
      <c r="E707" s="12">
        <v>707</v>
      </c>
      <c r="F707" s="12">
        <v>340</v>
      </c>
      <c r="G707" s="10" t="str">
        <f>IF(I707="unit",VLOOKUP(F707,[2]characters!$A:$C,3,FALSE),"-")</f>
        <v>水のメタルピヨピヨ</v>
      </c>
      <c r="H707" s="12">
        <v>56</v>
      </c>
      <c r="I707" s="12" t="s">
        <v>36</v>
      </c>
      <c r="J707" s="12">
        <v>1</v>
      </c>
      <c r="K707" s="12">
        <v>1</v>
      </c>
      <c r="L707" s="12">
        <v>1</v>
      </c>
      <c r="M707" s="12">
        <v>0</v>
      </c>
      <c r="N707" s="12">
        <v>0</v>
      </c>
      <c r="O707" s="12">
        <v>0</v>
      </c>
      <c r="P707" s="12">
        <v>0</v>
      </c>
      <c r="Q707" s="12">
        <v>1</v>
      </c>
      <c r="R707" s="12" t="s">
        <v>27</v>
      </c>
      <c r="S707" s="12" t="s">
        <v>28</v>
      </c>
    </row>
    <row r="708" spans="1:19" x14ac:dyDescent="0.15">
      <c r="A708" s="12">
        <v>30012</v>
      </c>
      <c r="B708" s="12">
        <v>1</v>
      </c>
      <c r="C708" s="12" t="str">
        <f t="shared" si="75"/>
        <v>30012_1</v>
      </c>
      <c r="D708" s="12" t="str">
        <f>VLOOKUP(C708,[1]stages!$A:$AE,31,FALSE)</f>
        <v>everyone</v>
      </c>
      <c r="E708" s="12">
        <v>708</v>
      </c>
      <c r="F708" s="12">
        <v>341</v>
      </c>
      <c r="G708" s="10" t="str">
        <f>IF(I708="unit",VLOOKUP(F708,[2]characters!$A:$C,3,FALSE),"-")</f>
        <v>水のメタルチック</v>
      </c>
      <c r="H708" s="12">
        <v>56</v>
      </c>
      <c r="I708" s="12" t="s">
        <v>36</v>
      </c>
      <c r="J708" s="12">
        <v>1</v>
      </c>
      <c r="K708" s="12">
        <v>1</v>
      </c>
      <c r="L708" s="12">
        <v>1</v>
      </c>
      <c r="M708" s="12">
        <v>0</v>
      </c>
      <c r="N708" s="12">
        <v>0</v>
      </c>
      <c r="O708" s="12">
        <v>0</v>
      </c>
      <c r="P708" s="12">
        <v>0</v>
      </c>
      <c r="Q708" s="12">
        <v>1</v>
      </c>
      <c r="R708" s="12" t="s">
        <v>27</v>
      </c>
      <c r="S708" s="12" t="s">
        <v>28</v>
      </c>
    </row>
    <row r="709" spans="1:19" x14ac:dyDescent="0.15">
      <c r="A709" s="12">
        <v>30012</v>
      </c>
      <c r="B709" s="12">
        <v>1</v>
      </c>
      <c r="C709" s="12" t="str">
        <f t="shared" si="75"/>
        <v>30012_1</v>
      </c>
      <c r="D709" s="12" t="str">
        <f>VLOOKUP(C709,[1]stages!$A:$AE,31,FALSE)</f>
        <v>everyone</v>
      </c>
      <c r="E709" s="12">
        <v>709</v>
      </c>
      <c r="F709" s="12">
        <v>342</v>
      </c>
      <c r="G709" s="10" t="str">
        <f>IF(I709="unit",VLOOKUP(F709,[2]characters!$A:$C,3,FALSE),"-")</f>
        <v>水のメタルダック</v>
      </c>
      <c r="H709" s="12">
        <v>28</v>
      </c>
      <c r="I709" s="12" t="s">
        <v>36</v>
      </c>
      <c r="J709" s="12">
        <v>1</v>
      </c>
      <c r="K709" s="12">
        <v>1</v>
      </c>
      <c r="L709" s="12">
        <v>1</v>
      </c>
      <c r="M709" s="12">
        <v>0</v>
      </c>
      <c r="N709" s="12">
        <v>0</v>
      </c>
      <c r="O709" s="12">
        <v>0</v>
      </c>
      <c r="P709" s="12">
        <v>0</v>
      </c>
      <c r="Q709" s="12">
        <v>1</v>
      </c>
      <c r="R709" s="12" t="s">
        <v>27</v>
      </c>
      <c r="S709" s="12" t="s">
        <v>28</v>
      </c>
    </row>
    <row r="710" spans="1:19" x14ac:dyDescent="0.15">
      <c r="A710" s="12">
        <v>30012</v>
      </c>
      <c r="B710" s="12">
        <v>1</v>
      </c>
      <c r="C710" s="12" t="str">
        <f t="shared" si="75"/>
        <v>30012_1</v>
      </c>
      <c r="D710" s="12" t="str">
        <f>VLOOKUP(C710,[1]stages!$A:$AE,31,FALSE)</f>
        <v>everyone</v>
      </c>
      <c r="E710" s="12">
        <v>710</v>
      </c>
      <c r="F710" s="12">
        <v>121</v>
      </c>
      <c r="G710" s="10" t="str">
        <f>IF(I710="unit",VLOOKUP(F710,[2]characters!$A:$C,3,FALSE),"-")</f>
        <v>攻めの果実</v>
      </c>
      <c r="H710" s="12">
        <v>50</v>
      </c>
      <c r="I710" s="12" t="s">
        <v>36</v>
      </c>
      <c r="J710" s="12">
        <v>1</v>
      </c>
      <c r="K710" s="12">
        <v>1</v>
      </c>
      <c r="L710" s="12">
        <v>1</v>
      </c>
      <c r="M710" s="12">
        <v>0</v>
      </c>
      <c r="N710" s="12">
        <v>0</v>
      </c>
      <c r="O710" s="12">
        <v>0</v>
      </c>
      <c r="P710" s="12">
        <v>0</v>
      </c>
      <c r="Q710" s="12">
        <v>1</v>
      </c>
      <c r="R710" s="12" t="s">
        <v>27</v>
      </c>
      <c r="S710" s="12" t="s">
        <v>28</v>
      </c>
    </row>
    <row r="711" spans="1:19" x14ac:dyDescent="0.15">
      <c r="A711" s="12">
        <v>30012</v>
      </c>
      <c r="B711" s="12">
        <v>1</v>
      </c>
      <c r="C711" s="12" t="str">
        <f t="shared" si="75"/>
        <v>30012_1</v>
      </c>
      <c r="D711" s="12" t="str">
        <f>VLOOKUP(C711,[1]stages!$A:$AE,31,FALSE)</f>
        <v>everyone</v>
      </c>
      <c r="E711" s="12">
        <v>711</v>
      </c>
      <c r="F711" s="12">
        <v>122</v>
      </c>
      <c r="G711" s="10" t="str">
        <f>IF(I711="unit",VLOOKUP(F711,[2]characters!$A:$C,3,FALSE),"-")</f>
        <v>生命の果実</v>
      </c>
      <c r="H711" s="12">
        <v>50</v>
      </c>
      <c r="I711" s="12" t="s">
        <v>36</v>
      </c>
      <c r="J711" s="12">
        <v>1</v>
      </c>
      <c r="K711" s="12">
        <v>1</v>
      </c>
      <c r="L711" s="12">
        <v>1</v>
      </c>
      <c r="M711" s="12">
        <v>0</v>
      </c>
      <c r="N711" s="12">
        <v>0</v>
      </c>
      <c r="O711" s="12">
        <v>0</v>
      </c>
      <c r="P711" s="12">
        <v>0</v>
      </c>
      <c r="Q711" s="12">
        <v>1</v>
      </c>
      <c r="R711" s="12" t="s">
        <v>27</v>
      </c>
      <c r="S711" s="12" t="s">
        <v>28</v>
      </c>
    </row>
    <row r="712" spans="1:19" x14ac:dyDescent="0.15">
      <c r="A712" s="12">
        <v>30012</v>
      </c>
      <c r="B712" s="12">
        <v>1</v>
      </c>
      <c r="C712" s="12" t="str">
        <f t="shared" si="75"/>
        <v>30012_1</v>
      </c>
      <c r="D712" s="12" t="str">
        <f>VLOOKUP(C712,[1]stages!$A:$AE,31,FALSE)</f>
        <v>everyone</v>
      </c>
      <c r="E712" s="12">
        <v>712</v>
      </c>
      <c r="F712" s="12">
        <v>123</v>
      </c>
      <c r="G712" s="10" t="str">
        <f>IF(I712="unit",VLOOKUP(F712,[2]characters!$A:$C,3,FALSE),"-")</f>
        <v>癒しの果実</v>
      </c>
      <c r="H712" s="12">
        <v>50</v>
      </c>
      <c r="I712" s="12" t="s">
        <v>36</v>
      </c>
      <c r="J712" s="12">
        <v>1</v>
      </c>
      <c r="K712" s="12">
        <v>1</v>
      </c>
      <c r="L712" s="12">
        <v>1</v>
      </c>
      <c r="M712" s="12">
        <v>0</v>
      </c>
      <c r="N712" s="12">
        <v>0</v>
      </c>
      <c r="O712" s="12">
        <v>0</v>
      </c>
      <c r="P712" s="12">
        <v>0</v>
      </c>
      <c r="Q712" s="12">
        <v>1</v>
      </c>
      <c r="R712" s="12" t="s">
        <v>27</v>
      </c>
      <c r="S712" s="12" t="s">
        <v>28</v>
      </c>
    </row>
    <row r="713" spans="1:19" x14ac:dyDescent="0.15">
      <c r="A713" s="12">
        <v>30012</v>
      </c>
      <c r="B713" s="12">
        <v>1</v>
      </c>
      <c r="C713" s="12" t="str">
        <f t="shared" si="75"/>
        <v>30012_1</v>
      </c>
      <c r="D713" s="12" t="str">
        <f>VLOOKUP(C713,[1]stages!$A:$AE,31,FALSE)</f>
        <v>everyone</v>
      </c>
      <c r="E713" s="12">
        <v>713</v>
      </c>
      <c r="F713" s="12">
        <v>125</v>
      </c>
      <c r="G713" s="10" t="str">
        <f>IF(I713="unit",VLOOKUP(F713,[2]characters!$A:$C,3,FALSE),"-")</f>
        <v>秘術の果実</v>
      </c>
      <c r="H713" s="12">
        <v>10</v>
      </c>
      <c r="I713" s="12" t="s">
        <v>36</v>
      </c>
      <c r="J713" s="12">
        <v>1</v>
      </c>
      <c r="K713" s="12">
        <v>1</v>
      </c>
      <c r="L713" s="12">
        <v>1</v>
      </c>
      <c r="M713" s="12">
        <v>0</v>
      </c>
      <c r="N713" s="12">
        <v>0</v>
      </c>
      <c r="O713" s="12">
        <v>0</v>
      </c>
      <c r="P713" s="12">
        <v>0</v>
      </c>
      <c r="Q713" s="12">
        <v>1</v>
      </c>
      <c r="R713" s="12" t="s">
        <v>27</v>
      </c>
      <c r="S713" s="12" t="s">
        <v>28</v>
      </c>
    </row>
    <row r="714" spans="1:19" x14ac:dyDescent="0.15">
      <c r="A714" s="12">
        <v>30012</v>
      </c>
      <c r="B714" s="12">
        <v>1</v>
      </c>
      <c r="C714" s="12" t="str">
        <f t="shared" si="75"/>
        <v>30012_1</v>
      </c>
      <c r="D714" s="12" t="str">
        <f>VLOOKUP(C714,[1]stages!$A:$AE,31,FALSE)</f>
        <v>everyone</v>
      </c>
      <c r="E714" s="12">
        <v>714</v>
      </c>
      <c r="F714" s="12">
        <v>310</v>
      </c>
      <c r="G714" s="10" t="str">
        <f>IF(I714="unit",VLOOKUP(F714,[2]characters!$A:$C,3,FALSE),"-")</f>
        <v>リードシクティス</v>
      </c>
      <c r="H714" s="12">
        <v>200</v>
      </c>
      <c r="I714" s="12" t="s">
        <v>36</v>
      </c>
      <c r="J714" s="12">
        <v>1</v>
      </c>
      <c r="K714" s="12">
        <v>1</v>
      </c>
      <c r="L714" s="12">
        <v>1</v>
      </c>
      <c r="M714" s="12">
        <v>0</v>
      </c>
      <c r="N714" s="12">
        <v>0</v>
      </c>
      <c r="O714" s="12">
        <v>0</v>
      </c>
      <c r="P714" s="12">
        <v>0</v>
      </c>
      <c r="Q714" s="12">
        <v>1</v>
      </c>
      <c r="R714" s="12" t="s">
        <v>27</v>
      </c>
      <c r="S714" s="12" t="s">
        <v>28</v>
      </c>
    </row>
    <row r="715" spans="1:19" x14ac:dyDescent="0.15">
      <c r="A715" s="12">
        <v>30012</v>
      </c>
      <c r="B715" s="12">
        <v>1</v>
      </c>
      <c r="C715" s="12" t="str">
        <f t="shared" si="75"/>
        <v>30012_1</v>
      </c>
      <c r="D715" s="12" t="str">
        <f>VLOOKUP(C715,[1]stages!$A:$AE,31,FALSE)</f>
        <v>everyone</v>
      </c>
      <c r="E715" s="12">
        <v>715</v>
      </c>
      <c r="F715" s="12">
        <v>352</v>
      </c>
      <c r="G715" s="10" t="str">
        <f>IF(I715="unit",VLOOKUP(F715,[2]characters!$A:$C,3,FALSE),"-")</f>
        <v>水のケロケロ</v>
      </c>
      <c r="H715" s="12">
        <v>100</v>
      </c>
      <c r="I715" s="12" t="s">
        <v>36</v>
      </c>
      <c r="J715" s="12">
        <v>1</v>
      </c>
      <c r="K715" s="12">
        <v>1</v>
      </c>
      <c r="L715" s="12">
        <v>1</v>
      </c>
      <c r="M715" s="12">
        <v>0</v>
      </c>
      <c r="N715" s="12">
        <v>0</v>
      </c>
      <c r="O715" s="12">
        <v>0</v>
      </c>
      <c r="P715" s="12">
        <v>0</v>
      </c>
      <c r="Q715" s="12">
        <v>1</v>
      </c>
      <c r="R715" s="12" t="s">
        <v>27</v>
      </c>
      <c r="S715" s="12" t="s">
        <v>28</v>
      </c>
    </row>
    <row r="716" spans="1:19" x14ac:dyDescent="0.15">
      <c r="A716" s="12">
        <v>30012</v>
      </c>
      <c r="B716" s="12">
        <v>2</v>
      </c>
      <c r="C716" s="12" t="str">
        <f>A716&amp; "_"&amp;B716</f>
        <v>30012_2</v>
      </c>
      <c r="D716" s="12" t="str">
        <f>VLOOKUP(C716,[1]stages!$A:$AE,31,FALSE)</f>
        <v>everyone</v>
      </c>
      <c r="E716" s="12">
        <v>716</v>
      </c>
      <c r="F716" s="12">
        <v>6500</v>
      </c>
      <c r="G716" s="10" t="str">
        <f>IF(I716="unit",VLOOKUP(F716,[2]characters!$A:$C,3,FALSE),"-")</f>
        <v>-</v>
      </c>
      <c r="H716" s="12">
        <v>200</v>
      </c>
      <c r="I716" s="12" t="s">
        <v>32</v>
      </c>
      <c r="J716" s="12" t="s">
        <v>33</v>
      </c>
      <c r="K716" s="12">
        <v>1</v>
      </c>
      <c r="L716" s="12">
        <v>1</v>
      </c>
      <c r="M716" s="12">
        <v>0</v>
      </c>
      <c r="N716" s="12">
        <v>0</v>
      </c>
      <c r="O716" s="12">
        <v>0</v>
      </c>
      <c r="P716" s="12">
        <v>0</v>
      </c>
      <c r="Q716" s="12">
        <v>1</v>
      </c>
      <c r="R716" s="12" t="s">
        <v>27</v>
      </c>
      <c r="S716" s="12" t="s">
        <v>28</v>
      </c>
    </row>
    <row r="717" spans="1:19" x14ac:dyDescent="0.15">
      <c r="A717" s="12">
        <v>30012</v>
      </c>
      <c r="B717" s="12">
        <v>2</v>
      </c>
      <c r="C717" s="12" t="str">
        <f t="shared" ref="C717:C726" si="76">A717&amp; "_"&amp;B717</f>
        <v>30012_2</v>
      </c>
      <c r="D717" s="12" t="str">
        <f>VLOOKUP(C717,[1]stages!$A:$AE,31,FALSE)</f>
        <v>everyone</v>
      </c>
      <c r="E717" s="12">
        <v>717</v>
      </c>
      <c r="F717" s="12">
        <v>25</v>
      </c>
      <c r="G717" s="10" t="str">
        <f>IF(I717="unit",VLOOKUP(F717,[2]characters!$A:$C,3,FALSE),"-")</f>
        <v>-</v>
      </c>
      <c r="H717" s="12">
        <v>150</v>
      </c>
      <c r="I717" s="12" t="s">
        <v>35</v>
      </c>
      <c r="J717" s="12" t="s">
        <v>33</v>
      </c>
      <c r="K717" s="12">
        <v>1</v>
      </c>
      <c r="L717" s="12">
        <v>1</v>
      </c>
      <c r="M717" s="12">
        <v>0</v>
      </c>
      <c r="N717" s="12">
        <v>0</v>
      </c>
      <c r="O717" s="12">
        <v>0</v>
      </c>
      <c r="P717" s="12">
        <v>0</v>
      </c>
      <c r="Q717" s="12">
        <v>1</v>
      </c>
      <c r="R717" s="12" t="s">
        <v>27</v>
      </c>
      <c r="S717" s="12" t="s">
        <v>28</v>
      </c>
    </row>
    <row r="718" spans="1:19" x14ac:dyDescent="0.15">
      <c r="A718" s="12">
        <v>30012</v>
      </c>
      <c r="B718" s="12">
        <v>2</v>
      </c>
      <c r="C718" s="12" t="str">
        <f t="shared" si="76"/>
        <v>30012_2</v>
      </c>
      <c r="D718" s="12" t="str">
        <f>VLOOKUP(C718,[1]stages!$A:$AE,31,FALSE)</f>
        <v>everyone</v>
      </c>
      <c r="E718" s="12">
        <v>718</v>
      </c>
      <c r="F718" s="12">
        <v>340</v>
      </c>
      <c r="G718" s="10" t="str">
        <f>IF(I718="unit",VLOOKUP(F718,[2]characters!$A:$C,3,FALSE),"-")</f>
        <v>水のメタルピヨピヨ</v>
      </c>
      <c r="H718" s="12">
        <v>28</v>
      </c>
      <c r="I718" s="12" t="s">
        <v>36</v>
      </c>
      <c r="J718" s="12">
        <v>1</v>
      </c>
      <c r="K718" s="12">
        <v>1</v>
      </c>
      <c r="L718" s="12">
        <v>1</v>
      </c>
      <c r="M718" s="12">
        <v>0</v>
      </c>
      <c r="N718" s="12">
        <v>0</v>
      </c>
      <c r="O718" s="12">
        <v>0</v>
      </c>
      <c r="P718" s="12">
        <v>0</v>
      </c>
      <c r="Q718" s="12">
        <v>1</v>
      </c>
      <c r="R718" s="12" t="s">
        <v>27</v>
      </c>
      <c r="S718" s="12" t="s">
        <v>28</v>
      </c>
    </row>
    <row r="719" spans="1:19" x14ac:dyDescent="0.15">
      <c r="A719" s="12">
        <v>30012</v>
      </c>
      <c r="B719" s="12">
        <v>2</v>
      </c>
      <c r="C719" s="12" t="str">
        <f t="shared" si="76"/>
        <v>30012_2</v>
      </c>
      <c r="D719" s="12" t="str">
        <f>VLOOKUP(C719,[1]stages!$A:$AE,31,FALSE)</f>
        <v>everyone</v>
      </c>
      <c r="E719" s="12">
        <v>719</v>
      </c>
      <c r="F719" s="12">
        <v>341</v>
      </c>
      <c r="G719" s="10" t="str">
        <f>IF(I719="unit",VLOOKUP(F719,[2]characters!$A:$C,3,FALSE),"-")</f>
        <v>水のメタルチック</v>
      </c>
      <c r="H719" s="12">
        <v>56</v>
      </c>
      <c r="I719" s="12" t="s">
        <v>36</v>
      </c>
      <c r="J719" s="12">
        <v>1</v>
      </c>
      <c r="K719" s="12">
        <v>1</v>
      </c>
      <c r="L719" s="12">
        <v>1</v>
      </c>
      <c r="M719" s="12">
        <v>0</v>
      </c>
      <c r="N719" s="12">
        <v>0</v>
      </c>
      <c r="O719" s="12">
        <v>0</v>
      </c>
      <c r="P719" s="12">
        <v>0</v>
      </c>
      <c r="Q719" s="12">
        <v>1</v>
      </c>
      <c r="R719" s="12" t="s">
        <v>27</v>
      </c>
      <c r="S719" s="12" t="s">
        <v>28</v>
      </c>
    </row>
    <row r="720" spans="1:19" x14ac:dyDescent="0.15">
      <c r="A720" s="12">
        <v>30012</v>
      </c>
      <c r="B720" s="12">
        <v>2</v>
      </c>
      <c r="C720" s="12" t="str">
        <f t="shared" si="76"/>
        <v>30012_2</v>
      </c>
      <c r="D720" s="12" t="str">
        <f>VLOOKUP(C720,[1]stages!$A:$AE,31,FALSE)</f>
        <v>everyone</v>
      </c>
      <c r="E720" s="12">
        <v>720</v>
      </c>
      <c r="F720" s="12">
        <v>342</v>
      </c>
      <c r="G720" s="10" t="str">
        <f>IF(I720="unit",VLOOKUP(F720,[2]characters!$A:$C,3,FALSE),"-")</f>
        <v>水のメタルダック</v>
      </c>
      <c r="H720" s="12">
        <v>56</v>
      </c>
      <c r="I720" s="12" t="s">
        <v>36</v>
      </c>
      <c r="J720" s="12">
        <v>1</v>
      </c>
      <c r="K720" s="12">
        <v>1</v>
      </c>
      <c r="L720" s="12">
        <v>1</v>
      </c>
      <c r="M720" s="12">
        <v>0</v>
      </c>
      <c r="N720" s="12">
        <v>0</v>
      </c>
      <c r="O720" s="12">
        <v>0</v>
      </c>
      <c r="P720" s="12">
        <v>0</v>
      </c>
      <c r="Q720" s="12">
        <v>1</v>
      </c>
      <c r="R720" s="12" t="s">
        <v>27</v>
      </c>
      <c r="S720" s="12" t="s">
        <v>28</v>
      </c>
    </row>
    <row r="721" spans="1:19" x14ac:dyDescent="0.15">
      <c r="A721" s="12">
        <v>30012</v>
      </c>
      <c r="B721" s="12">
        <v>2</v>
      </c>
      <c r="C721" s="12" t="str">
        <f t="shared" si="76"/>
        <v>30012_2</v>
      </c>
      <c r="D721" s="12" t="str">
        <f>VLOOKUP(C721,[1]stages!$A:$AE,31,FALSE)</f>
        <v>everyone</v>
      </c>
      <c r="E721" s="12">
        <v>721</v>
      </c>
      <c r="F721" s="12">
        <v>121</v>
      </c>
      <c r="G721" s="10" t="str">
        <f>IF(I721="unit",VLOOKUP(F721,[2]characters!$A:$C,3,FALSE),"-")</f>
        <v>攻めの果実</v>
      </c>
      <c r="H721" s="12">
        <v>50</v>
      </c>
      <c r="I721" s="12" t="s">
        <v>36</v>
      </c>
      <c r="J721" s="12">
        <v>1</v>
      </c>
      <c r="K721" s="12">
        <v>1</v>
      </c>
      <c r="L721" s="12">
        <v>1</v>
      </c>
      <c r="M721" s="12">
        <v>0</v>
      </c>
      <c r="N721" s="12">
        <v>0</v>
      </c>
      <c r="O721" s="12">
        <v>0</v>
      </c>
      <c r="P721" s="12">
        <v>0</v>
      </c>
      <c r="Q721" s="12">
        <v>1</v>
      </c>
      <c r="R721" s="12" t="s">
        <v>27</v>
      </c>
      <c r="S721" s="12" t="s">
        <v>28</v>
      </c>
    </row>
    <row r="722" spans="1:19" x14ac:dyDescent="0.15">
      <c r="A722" s="12">
        <v>30012</v>
      </c>
      <c r="B722" s="12">
        <v>2</v>
      </c>
      <c r="C722" s="12" t="str">
        <f t="shared" si="76"/>
        <v>30012_2</v>
      </c>
      <c r="D722" s="12" t="str">
        <f>VLOOKUP(C722,[1]stages!$A:$AE,31,FALSE)</f>
        <v>everyone</v>
      </c>
      <c r="E722" s="12">
        <v>722</v>
      </c>
      <c r="F722" s="12">
        <v>122</v>
      </c>
      <c r="G722" s="10" t="str">
        <f>IF(I722="unit",VLOOKUP(F722,[2]characters!$A:$C,3,FALSE),"-")</f>
        <v>生命の果実</v>
      </c>
      <c r="H722" s="12">
        <v>50</v>
      </c>
      <c r="I722" s="12" t="s">
        <v>36</v>
      </c>
      <c r="J722" s="12">
        <v>1</v>
      </c>
      <c r="K722" s="12">
        <v>1</v>
      </c>
      <c r="L722" s="12">
        <v>1</v>
      </c>
      <c r="M722" s="12">
        <v>0</v>
      </c>
      <c r="N722" s="12">
        <v>0</v>
      </c>
      <c r="O722" s="12">
        <v>0</v>
      </c>
      <c r="P722" s="12">
        <v>0</v>
      </c>
      <c r="Q722" s="12">
        <v>1</v>
      </c>
      <c r="R722" s="12" t="s">
        <v>27</v>
      </c>
      <c r="S722" s="12" t="s">
        <v>28</v>
      </c>
    </row>
    <row r="723" spans="1:19" x14ac:dyDescent="0.15">
      <c r="A723" s="12">
        <v>30012</v>
      </c>
      <c r="B723" s="12">
        <v>2</v>
      </c>
      <c r="C723" s="12" t="str">
        <f t="shared" si="76"/>
        <v>30012_2</v>
      </c>
      <c r="D723" s="12" t="str">
        <f>VLOOKUP(C723,[1]stages!$A:$AE,31,FALSE)</f>
        <v>everyone</v>
      </c>
      <c r="E723" s="12">
        <v>723</v>
      </c>
      <c r="F723" s="12">
        <v>123</v>
      </c>
      <c r="G723" s="10" t="str">
        <f>IF(I723="unit",VLOOKUP(F723,[2]characters!$A:$C,3,FALSE),"-")</f>
        <v>癒しの果実</v>
      </c>
      <c r="H723" s="12">
        <v>50</v>
      </c>
      <c r="I723" s="12" t="s">
        <v>36</v>
      </c>
      <c r="J723" s="12">
        <v>1</v>
      </c>
      <c r="K723" s="12">
        <v>1</v>
      </c>
      <c r="L723" s="12">
        <v>1</v>
      </c>
      <c r="M723" s="12">
        <v>0</v>
      </c>
      <c r="N723" s="12">
        <v>0</v>
      </c>
      <c r="O723" s="12">
        <v>0</v>
      </c>
      <c r="P723" s="12">
        <v>0</v>
      </c>
      <c r="Q723" s="12">
        <v>1</v>
      </c>
      <c r="R723" s="12" t="s">
        <v>27</v>
      </c>
      <c r="S723" s="12" t="s">
        <v>28</v>
      </c>
    </row>
    <row r="724" spans="1:19" x14ac:dyDescent="0.15">
      <c r="A724" s="12">
        <v>30012</v>
      </c>
      <c r="B724" s="12">
        <v>2</v>
      </c>
      <c r="C724" s="12" t="str">
        <f t="shared" si="76"/>
        <v>30012_2</v>
      </c>
      <c r="D724" s="12" t="str">
        <f>VLOOKUP(C724,[1]stages!$A:$AE,31,FALSE)</f>
        <v>everyone</v>
      </c>
      <c r="E724" s="12">
        <v>724</v>
      </c>
      <c r="F724" s="12">
        <v>125</v>
      </c>
      <c r="G724" s="10" t="str">
        <f>IF(I724="unit",VLOOKUP(F724,[2]characters!$A:$C,3,FALSE),"-")</f>
        <v>秘術の果実</v>
      </c>
      <c r="H724" s="12">
        <v>10</v>
      </c>
      <c r="I724" s="12" t="s">
        <v>36</v>
      </c>
      <c r="J724" s="12">
        <v>1</v>
      </c>
      <c r="K724" s="12">
        <v>1</v>
      </c>
      <c r="L724" s="12">
        <v>1</v>
      </c>
      <c r="M724" s="12">
        <v>0</v>
      </c>
      <c r="N724" s="12">
        <v>0</v>
      </c>
      <c r="O724" s="12">
        <v>0</v>
      </c>
      <c r="P724" s="12">
        <v>0</v>
      </c>
      <c r="Q724" s="12">
        <v>1</v>
      </c>
      <c r="R724" s="12" t="s">
        <v>27</v>
      </c>
      <c r="S724" s="12" t="s">
        <v>28</v>
      </c>
    </row>
    <row r="725" spans="1:19" x14ac:dyDescent="0.15">
      <c r="A725" s="12">
        <v>30012</v>
      </c>
      <c r="B725" s="12">
        <v>2</v>
      </c>
      <c r="C725" s="12" t="str">
        <f t="shared" si="76"/>
        <v>30012_2</v>
      </c>
      <c r="D725" s="12" t="str">
        <f>VLOOKUP(C725,[1]stages!$A:$AE,31,FALSE)</f>
        <v>everyone</v>
      </c>
      <c r="E725" s="12">
        <v>725</v>
      </c>
      <c r="F725" s="12">
        <v>310</v>
      </c>
      <c r="G725" s="10" t="str">
        <f>IF(I725="unit",VLOOKUP(F725,[2]characters!$A:$C,3,FALSE),"-")</f>
        <v>リードシクティス</v>
      </c>
      <c r="H725" s="12">
        <v>250</v>
      </c>
      <c r="I725" s="12" t="s">
        <v>36</v>
      </c>
      <c r="J725" s="12">
        <v>1</v>
      </c>
      <c r="K725" s="12">
        <v>1</v>
      </c>
      <c r="L725" s="12">
        <v>1</v>
      </c>
      <c r="M725" s="12">
        <v>0</v>
      </c>
      <c r="N725" s="12">
        <v>0</v>
      </c>
      <c r="O725" s="12">
        <v>0</v>
      </c>
      <c r="P725" s="12">
        <v>0</v>
      </c>
      <c r="Q725" s="12">
        <v>1</v>
      </c>
      <c r="R725" s="12" t="s">
        <v>27</v>
      </c>
      <c r="S725" s="12" t="s">
        <v>28</v>
      </c>
    </row>
    <row r="726" spans="1:19" x14ac:dyDescent="0.15">
      <c r="A726" s="12">
        <v>30012</v>
      </c>
      <c r="B726" s="12">
        <v>2</v>
      </c>
      <c r="C726" s="12" t="str">
        <f t="shared" si="76"/>
        <v>30012_2</v>
      </c>
      <c r="D726" s="12" t="str">
        <f>VLOOKUP(C726,[1]stages!$A:$AE,31,FALSE)</f>
        <v>everyone</v>
      </c>
      <c r="E726" s="12">
        <v>726</v>
      </c>
      <c r="F726" s="12">
        <v>352</v>
      </c>
      <c r="G726" s="10" t="str">
        <f>IF(I726="unit",VLOOKUP(F726,[2]characters!$A:$C,3,FALSE),"-")</f>
        <v>水のケロケロ</v>
      </c>
      <c r="H726" s="12">
        <v>100</v>
      </c>
      <c r="I726" s="12" t="s">
        <v>36</v>
      </c>
      <c r="J726" s="12">
        <v>1</v>
      </c>
      <c r="K726" s="12">
        <v>1</v>
      </c>
      <c r="L726" s="12">
        <v>1</v>
      </c>
      <c r="M726" s="12">
        <v>0</v>
      </c>
      <c r="N726" s="12">
        <v>0</v>
      </c>
      <c r="O726" s="12">
        <v>0</v>
      </c>
      <c r="P726" s="12">
        <v>0</v>
      </c>
      <c r="Q726" s="12">
        <v>1</v>
      </c>
      <c r="R726" s="12" t="s">
        <v>27</v>
      </c>
      <c r="S726" s="12" t="s">
        <v>28</v>
      </c>
    </row>
    <row r="727" spans="1:19" x14ac:dyDescent="0.15">
      <c r="A727" s="12">
        <v>30012</v>
      </c>
      <c r="B727" s="12">
        <v>3</v>
      </c>
      <c r="C727" s="12" t="str">
        <f>A727&amp; "_"&amp;B727</f>
        <v>30012_3</v>
      </c>
      <c r="D727" s="12" t="str">
        <f>VLOOKUP(C727,[1]stages!$A:$AE,31,FALSE)</f>
        <v>everyone</v>
      </c>
      <c r="E727" s="12">
        <v>727</v>
      </c>
      <c r="F727" s="12">
        <v>7500</v>
      </c>
      <c r="G727" s="10" t="str">
        <f>IF(I727="unit",VLOOKUP(F727,[2]characters!$A:$C,3,FALSE),"-")</f>
        <v>-</v>
      </c>
      <c r="H727" s="12">
        <v>100</v>
      </c>
      <c r="I727" s="12" t="s">
        <v>32</v>
      </c>
      <c r="J727" s="12" t="s">
        <v>33</v>
      </c>
      <c r="K727" s="12">
        <v>1</v>
      </c>
      <c r="L727" s="12">
        <v>1</v>
      </c>
      <c r="M727" s="12">
        <v>0</v>
      </c>
      <c r="N727" s="12">
        <v>0</v>
      </c>
      <c r="O727" s="12">
        <v>0</v>
      </c>
      <c r="P727" s="12">
        <v>0</v>
      </c>
      <c r="Q727" s="12">
        <v>1</v>
      </c>
      <c r="R727" s="12" t="s">
        <v>27</v>
      </c>
      <c r="S727" s="12" t="s">
        <v>28</v>
      </c>
    </row>
    <row r="728" spans="1:19" x14ac:dyDescent="0.15">
      <c r="A728" s="12">
        <v>30012</v>
      </c>
      <c r="B728" s="12">
        <v>3</v>
      </c>
      <c r="C728" s="12" t="str">
        <f t="shared" ref="C728" si="77">A728&amp; "_"&amp;B728</f>
        <v>30012_3</v>
      </c>
      <c r="D728" s="12" t="str">
        <f>VLOOKUP(C728,[1]stages!$A:$AE,31,FALSE)</f>
        <v>everyone</v>
      </c>
      <c r="E728" s="12">
        <v>728</v>
      </c>
      <c r="F728" s="12">
        <v>25</v>
      </c>
      <c r="G728" s="10" t="str">
        <f>IF(I728="unit",VLOOKUP(F728,[2]characters!$A:$C,3,FALSE),"-")</f>
        <v>-</v>
      </c>
      <c r="H728" s="12">
        <v>100</v>
      </c>
      <c r="I728" s="12" t="s">
        <v>35</v>
      </c>
      <c r="J728" s="12" t="s">
        <v>33</v>
      </c>
      <c r="K728" s="12">
        <v>1</v>
      </c>
      <c r="L728" s="12">
        <v>1</v>
      </c>
      <c r="M728" s="12">
        <v>0</v>
      </c>
      <c r="N728" s="12">
        <v>0</v>
      </c>
      <c r="O728" s="12">
        <v>0</v>
      </c>
      <c r="P728" s="12">
        <v>0</v>
      </c>
      <c r="Q728" s="12">
        <v>1</v>
      </c>
      <c r="R728" s="12" t="s">
        <v>27</v>
      </c>
      <c r="S728" s="12" t="s">
        <v>28</v>
      </c>
    </row>
    <row r="729" spans="1:19" x14ac:dyDescent="0.15">
      <c r="A729" s="12">
        <v>30012</v>
      </c>
      <c r="B729" s="12">
        <v>3</v>
      </c>
      <c r="C729" s="12" t="str">
        <f t="shared" ref="C729:C737" si="78">A729&amp; "_"&amp;B729</f>
        <v>30012_3</v>
      </c>
      <c r="D729" s="12" t="str">
        <f>VLOOKUP(C729,[1]stages!$A:$AE,31,FALSE)</f>
        <v>everyone</v>
      </c>
      <c r="E729" s="12">
        <v>729</v>
      </c>
      <c r="F729" s="12">
        <v>341</v>
      </c>
      <c r="G729" s="10" t="str">
        <f>IF(I729="unit",VLOOKUP(F729,[2]characters!$A:$C,3,FALSE),"-")</f>
        <v>水のメタルチック</v>
      </c>
      <c r="H729" s="12">
        <v>56</v>
      </c>
      <c r="I729" s="12" t="s">
        <v>36</v>
      </c>
      <c r="J729" s="12">
        <v>1</v>
      </c>
      <c r="K729" s="12">
        <v>1</v>
      </c>
      <c r="L729" s="12">
        <v>1</v>
      </c>
      <c r="M729" s="12">
        <v>0</v>
      </c>
      <c r="N729" s="12">
        <v>0</v>
      </c>
      <c r="O729" s="12">
        <v>0</v>
      </c>
      <c r="P729" s="12">
        <v>0</v>
      </c>
      <c r="Q729" s="12">
        <v>1</v>
      </c>
      <c r="R729" s="12" t="s">
        <v>27</v>
      </c>
      <c r="S729" s="12" t="s">
        <v>28</v>
      </c>
    </row>
    <row r="730" spans="1:19" x14ac:dyDescent="0.15">
      <c r="A730" s="12">
        <v>30012</v>
      </c>
      <c r="B730" s="12">
        <v>3</v>
      </c>
      <c r="C730" s="12" t="str">
        <f t="shared" si="78"/>
        <v>30012_3</v>
      </c>
      <c r="D730" s="12" t="str">
        <f>VLOOKUP(C730,[1]stages!$A:$AE,31,FALSE)</f>
        <v>everyone</v>
      </c>
      <c r="E730" s="12">
        <v>730</v>
      </c>
      <c r="F730" s="12">
        <v>342</v>
      </c>
      <c r="G730" s="10" t="str">
        <f>IF(I730="unit",VLOOKUP(F730,[2]characters!$A:$C,3,FALSE),"-")</f>
        <v>水のメタルダック</v>
      </c>
      <c r="H730" s="12">
        <v>84</v>
      </c>
      <c r="I730" s="12" t="s">
        <v>36</v>
      </c>
      <c r="J730" s="12">
        <v>1</v>
      </c>
      <c r="K730" s="12">
        <v>1</v>
      </c>
      <c r="L730" s="12">
        <v>1</v>
      </c>
      <c r="M730" s="12">
        <v>0</v>
      </c>
      <c r="N730" s="12">
        <v>0</v>
      </c>
      <c r="O730" s="12">
        <v>0</v>
      </c>
      <c r="P730" s="12">
        <v>0</v>
      </c>
      <c r="Q730" s="12">
        <v>1</v>
      </c>
      <c r="R730" s="12" t="s">
        <v>27</v>
      </c>
      <c r="S730" s="12" t="s">
        <v>28</v>
      </c>
    </row>
    <row r="731" spans="1:19" x14ac:dyDescent="0.15">
      <c r="A731" s="12">
        <v>30012</v>
      </c>
      <c r="B731" s="12">
        <v>3</v>
      </c>
      <c r="C731" s="12" t="str">
        <f t="shared" si="78"/>
        <v>30012_3</v>
      </c>
      <c r="D731" s="12" t="str">
        <f>VLOOKUP(C731,[1]stages!$A:$AE,31,FALSE)</f>
        <v>everyone</v>
      </c>
      <c r="E731" s="12">
        <v>731</v>
      </c>
      <c r="F731" s="12">
        <v>121</v>
      </c>
      <c r="G731" s="10" t="str">
        <f>IF(I731="unit",VLOOKUP(F731,[2]characters!$A:$C,3,FALSE),"-")</f>
        <v>攻めの果実</v>
      </c>
      <c r="H731" s="12">
        <v>50</v>
      </c>
      <c r="I731" s="12" t="s">
        <v>36</v>
      </c>
      <c r="J731" s="12">
        <v>1</v>
      </c>
      <c r="K731" s="12">
        <v>1</v>
      </c>
      <c r="L731" s="12">
        <v>1</v>
      </c>
      <c r="M731" s="12">
        <v>0</v>
      </c>
      <c r="N731" s="12">
        <v>0</v>
      </c>
      <c r="O731" s="12">
        <v>0</v>
      </c>
      <c r="P731" s="12">
        <v>0</v>
      </c>
      <c r="Q731" s="12">
        <v>1</v>
      </c>
      <c r="R731" s="12" t="s">
        <v>27</v>
      </c>
      <c r="S731" s="12" t="s">
        <v>28</v>
      </c>
    </row>
    <row r="732" spans="1:19" x14ac:dyDescent="0.15">
      <c r="A732" s="12">
        <v>30012</v>
      </c>
      <c r="B732" s="12">
        <v>3</v>
      </c>
      <c r="C732" s="12" t="str">
        <f t="shared" si="78"/>
        <v>30012_3</v>
      </c>
      <c r="D732" s="12" t="str">
        <f>VLOOKUP(C732,[1]stages!$A:$AE,31,FALSE)</f>
        <v>everyone</v>
      </c>
      <c r="E732" s="12">
        <v>732</v>
      </c>
      <c r="F732" s="12">
        <v>122</v>
      </c>
      <c r="G732" s="10" t="str">
        <f>IF(I732="unit",VLOOKUP(F732,[2]characters!$A:$C,3,FALSE),"-")</f>
        <v>生命の果実</v>
      </c>
      <c r="H732" s="12">
        <v>50</v>
      </c>
      <c r="I732" s="12" t="s">
        <v>36</v>
      </c>
      <c r="J732" s="12">
        <v>1</v>
      </c>
      <c r="K732" s="12">
        <v>1</v>
      </c>
      <c r="L732" s="12">
        <v>1</v>
      </c>
      <c r="M732" s="12">
        <v>0</v>
      </c>
      <c r="N732" s="12">
        <v>0</v>
      </c>
      <c r="O732" s="12">
        <v>0</v>
      </c>
      <c r="P732" s="12">
        <v>0</v>
      </c>
      <c r="Q732" s="12">
        <v>1</v>
      </c>
      <c r="R732" s="12" t="s">
        <v>27</v>
      </c>
      <c r="S732" s="12" t="s">
        <v>28</v>
      </c>
    </row>
    <row r="733" spans="1:19" x14ac:dyDescent="0.15">
      <c r="A733" s="12">
        <v>30012</v>
      </c>
      <c r="B733" s="12">
        <v>3</v>
      </c>
      <c r="C733" s="12" t="str">
        <f t="shared" si="78"/>
        <v>30012_3</v>
      </c>
      <c r="D733" s="12" t="str">
        <f>VLOOKUP(C733,[1]stages!$A:$AE,31,FALSE)</f>
        <v>everyone</v>
      </c>
      <c r="E733" s="12">
        <v>733</v>
      </c>
      <c r="F733" s="12">
        <v>123</v>
      </c>
      <c r="G733" s="10" t="str">
        <f>IF(I733="unit",VLOOKUP(F733,[2]characters!$A:$C,3,FALSE),"-")</f>
        <v>癒しの果実</v>
      </c>
      <c r="H733" s="12">
        <v>50</v>
      </c>
      <c r="I733" s="12" t="s">
        <v>36</v>
      </c>
      <c r="J733" s="12">
        <v>1</v>
      </c>
      <c r="K733" s="12">
        <v>1</v>
      </c>
      <c r="L733" s="12">
        <v>1</v>
      </c>
      <c r="M733" s="12">
        <v>0</v>
      </c>
      <c r="N733" s="12">
        <v>0</v>
      </c>
      <c r="O733" s="12">
        <v>0</v>
      </c>
      <c r="P733" s="12">
        <v>0</v>
      </c>
      <c r="Q733" s="12">
        <v>1</v>
      </c>
      <c r="R733" s="12" t="s">
        <v>27</v>
      </c>
      <c r="S733" s="12" t="s">
        <v>28</v>
      </c>
    </row>
    <row r="734" spans="1:19" x14ac:dyDescent="0.15">
      <c r="A734" s="12">
        <v>30012</v>
      </c>
      <c r="B734" s="12">
        <v>3</v>
      </c>
      <c r="C734" s="12" t="str">
        <f t="shared" si="78"/>
        <v>30012_3</v>
      </c>
      <c r="D734" s="12" t="str">
        <f>VLOOKUP(C734,[1]stages!$A:$AE,31,FALSE)</f>
        <v>everyone</v>
      </c>
      <c r="E734" s="12">
        <v>734</v>
      </c>
      <c r="F734" s="12">
        <v>125</v>
      </c>
      <c r="G734" s="10" t="str">
        <f>IF(I734="unit",VLOOKUP(F734,[2]characters!$A:$C,3,FALSE),"-")</f>
        <v>秘術の果実</v>
      </c>
      <c r="H734" s="12">
        <v>10</v>
      </c>
      <c r="I734" s="12" t="s">
        <v>36</v>
      </c>
      <c r="J734" s="12">
        <v>1</v>
      </c>
      <c r="K734" s="12">
        <v>1</v>
      </c>
      <c r="L734" s="12">
        <v>1</v>
      </c>
      <c r="M734" s="12">
        <v>0</v>
      </c>
      <c r="N734" s="12">
        <v>0</v>
      </c>
      <c r="O734" s="12">
        <v>0</v>
      </c>
      <c r="P734" s="12">
        <v>0</v>
      </c>
      <c r="Q734" s="12">
        <v>1</v>
      </c>
      <c r="R734" s="12" t="s">
        <v>27</v>
      </c>
      <c r="S734" s="12" t="s">
        <v>28</v>
      </c>
    </row>
    <row r="735" spans="1:19" x14ac:dyDescent="0.15">
      <c r="A735" s="12">
        <v>30012</v>
      </c>
      <c r="B735" s="12">
        <v>3</v>
      </c>
      <c r="C735" s="12" t="str">
        <f t="shared" si="78"/>
        <v>30012_3</v>
      </c>
      <c r="D735" s="12" t="str">
        <f>VLOOKUP(C735,[1]stages!$A:$AE,31,FALSE)</f>
        <v>everyone</v>
      </c>
      <c r="E735" s="12">
        <v>735</v>
      </c>
      <c r="F735" s="12">
        <v>310</v>
      </c>
      <c r="G735" s="10" t="str">
        <f>IF(I735="unit",VLOOKUP(F735,[2]characters!$A:$C,3,FALSE),"-")</f>
        <v>リードシクティス</v>
      </c>
      <c r="H735" s="12">
        <v>400</v>
      </c>
      <c r="I735" s="12" t="s">
        <v>36</v>
      </c>
      <c r="J735" s="12">
        <v>1</v>
      </c>
      <c r="K735" s="12">
        <v>1</v>
      </c>
      <c r="L735" s="12">
        <v>1</v>
      </c>
      <c r="M735" s="12">
        <v>0</v>
      </c>
      <c r="N735" s="12">
        <v>0</v>
      </c>
      <c r="O735" s="12">
        <v>0</v>
      </c>
      <c r="P735" s="12">
        <v>0</v>
      </c>
      <c r="Q735" s="12">
        <v>1</v>
      </c>
      <c r="R735" s="12" t="s">
        <v>27</v>
      </c>
      <c r="S735" s="12" t="s">
        <v>28</v>
      </c>
    </row>
    <row r="736" spans="1:19" x14ac:dyDescent="0.15">
      <c r="A736" s="12">
        <v>30012</v>
      </c>
      <c r="B736" s="12">
        <v>3</v>
      </c>
      <c r="C736" s="12" t="str">
        <f t="shared" si="78"/>
        <v>30012_3</v>
      </c>
      <c r="D736" s="12" t="str">
        <f>VLOOKUP(C736,[1]stages!$A:$AE,31,FALSE)</f>
        <v>everyone</v>
      </c>
      <c r="E736" s="12">
        <v>736</v>
      </c>
      <c r="F736" s="12">
        <v>352</v>
      </c>
      <c r="G736" s="10" t="str">
        <f>IF(I736="unit",VLOOKUP(F736,[2]characters!$A:$C,3,FALSE),"-")</f>
        <v>水のケロケロ</v>
      </c>
      <c r="H736" s="12">
        <v>100</v>
      </c>
      <c r="I736" s="12" t="s">
        <v>36</v>
      </c>
      <c r="J736" s="12">
        <v>1</v>
      </c>
      <c r="K736" s="12">
        <v>1</v>
      </c>
      <c r="L736" s="12">
        <v>1</v>
      </c>
      <c r="M736" s="12">
        <v>0</v>
      </c>
      <c r="N736" s="12">
        <v>0</v>
      </c>
      <c r="O736" s="12">
        <v>0</v>
      </c>
      <c r="P736" s="12">
        <v>0</v>
      </c>
      <c r="Q736" s="12">
        <v>1</v>
      </c>
      <c r="R736" s="12" t="s">
        <v>27</v>
      </c>
      <c r="S736" s="12" t="s">
        <v>28</v>
      </c>
    </row>
    <row r="737" spans="1:19" x14ac:dyDescent="0.15">
      <c r="A737" s="10">
        <v>30013</v>
      </c>
      <c r="B737" s="10">
        <v>1</v>
      </c>
      <c r="C737" s="10" t="str">
        <f t="shared" si="78"/>
        <v>30013_1</v>
      </c>
      <c r="D737" s="10" t="str">
        <f>VLOOKUP(C737,[1]stages!$A:$AE,31,FALSE)</f>
        <v>everyone</v>
      </c>
      <c r="E737" s="10">
        <v>737</v>
      </c>
      <c r="F737" s="10">
        <v>6500</v>
      </c>
      <c r="G737" s="10" t="str">
        <f>IF(I737="unit",VLOOKUP(F737,[2]characters!$A:$C,3,FALSE),"-")</f>
        <v>-</v>
      </c>
      <c r="H737" s="10">
        <v>200</v>
      </c>
      <c r="I737" s="10" t="s">
        <v>32</v>
      </c>
      <c r="J737" s="10" t="s">
        <v>33</v>
      </c>
      <c r="K737" s="10">
        <v>1</v>
      </c>
      <c r="L737" s="10">
        <v>1</v>
      </c>
      <c r="M737" s="10">
        <v>0</v>
      </c>
      <c r="N737" s="10">
        <v>0</v>
      </c>
      <c r="O737" s="10">
        <v>0</v>
      </c>
      <c r="P737" s="10">
        <v>0</v>
      </c>
      <c r="Q737" s="10">
        <v>1</v>
      </c>
      <c r="R737" s="10" t="s">
        <v>27</v>
      </c>
      <c r="S737" s="10" t="s">
        <v>28</v>
      </c>
    </row>
    <row r="738" spans="1:19" x14ac:dyDescent="0.15">
      <c r="A738" s="10">
        <v>30013</v>
      </c>
      <c r="B738" s="10">
        <v>1</v>
      </c>
      <c r="C738" s="10" t="str">
        <f t="shared" ref="C738:C747" si="79">A738&amp; "_"&amp;B738</f>
        <v>30013_1</v>
      </c>
      <c r="D738" s="10" t="str">
        <f>VLOOKUP(C738,[1]stages!$A:$AE,31,FALSE)</f>
        <v>everyone</v>
      </c>
      <c r="E738" s="10">
        <v>738</v>
      </c>
      <c r="F738" s="10">
        <v>25</v>
      </c>
      <c r="G738" s="10" t="str">
        <f>IF(I738="unit",VLOOKUP(F738,[2]characters!$A:$C,3,FALSE),"-")</f>
        <v>-</v>
      </c>
      <c r="H738" s="10">
        <v>150</v>
      </c>
      <c r="I738" s="10" t="s">
        <v>35</v>
      </c>
      <c r="J738" s="10" t="s">
        <v>33</v>
      </c>
      <c r="K738" s="10">
        <v>1</v>
      </c>
      <c r="L738" s="10">
        <v>1</v>
      </c>
      <c r="M738" s="10">
        <v>0</v>
      </c>
      <c r="N738" s="10">
        <v>0</v>
      </c>
      <c r="O738" s="10">
        <v>0</v>
      </c>
      <c r="P738" s="10">
        <v>0</v>
      </c>
      <c r="Q738" s="10">
        <v>1</v>
      </c>
      <c r="R738" s="10" t="s">
        <v>27</v>
      </c>
      <c r="S738" s="10" t="s">
        <v>28</v>
      </c>
    </row>
    <row r="739" spans="1:19" x14ac:dyDescent="0.15">
      <c r="A739" s="10">
        <v>30013</v>
      </c>
      <c r="B739" s="10">
        <v>1</v>
      </c>
      <c r="C739" s="10" t="str">
        <f t="shared" si="79"/>
        <v>30013_1</v>
      </c>
      <c r="D739" s="10" t="str">
        <f>VLOOKUP(C739,[1]stages!$A:$AE,31,FALSE)</f>
        <v>everyone</v>
      </c>
      <c r="E739" s="10">
        <v>739</v>
      </c>
      <c r="F739" s="10">
        <v>332</v>
      </c>
      <c r="G739" s="10" t="str">
        <f>IF(I739="unit",VLOOKUP(F739,[2]characters!$A:$C,3,FALSE),"-")</f>
        <v>炎のメタルピヨピヨ</v>
      </c>
      <c r="H739" s="10">
        <v>28</v>
      </c>
      <c r="I739" s="10" t="s">
        <v>36</v>
      </c>
      <c r="J739" s="10">
        <v>1</v>
      </c>
      <c r="K739" s="10">
        <v>1</v>
      </c>
      <c r="L739" s="10">
        <v>1</v>
      </c>
      <c r="M739" s="10">
        <v>0</v>
      </c>
      <c r="N739" s="10">
        <v>0</v>
      </c>
      <c r="O739" s="10">
        <v>0</v>
      </c>
      <c r="P739" s="10">
        <v>0</v>
      </c>
      <c r="Q739" s="10">
        <v>1</v>
      </c>
      <c r="R739" s="10" t="s">
        <v>27</v>
      </c>
      <c r="S739" s="10" t="s">
        <v>28</v>
      </c>
    </row>
    <row r="740" spans="1:19" x14ac:dyDescent="0.15">
      <c r="A740" s="10">
        <v>30013</v>
      </c>
      <c r="B740" s="10">
        <v>1</v>
      </c>
      <c r="C740" s="10" t="str">
        <f t="shared" si="79"/>
        <v>30013_1</v>
      </c>
      <c r="D740" s="10" t="str">
        <f>VLOOKUP(C740,[1]stages!$A:$AE,31,FALSE)</f>
        <v>everyone</v>
      </c>
      <c r="E740" s="10">
        <v>740</v>
      </c>
      <c r="F740" s="10">
        <v>333</v>
      </c>
      <c r="G740" s="10" t="str">
        <f>IF(I740="unit",VLOOKUP(F740,[2]characters!$A:$C,3,FALSE),"-")</f>
        <v>炎のメタルチック</v>
      </c>
      <c r="H740" s="10">
        <v>56</v>
      </c>
      <c r="I740" s="10" t="s">
        <v>36</v>
      </c>
      <c r="J740" s="10">
        <v>1</v>
      </c>
      <c r="K740" s="10">
        <v>1</v>
      </c>
      <c r="L740" s="10">
        <v>1</v>
      </c>
      <c r="M740" s="10">
        <v>0</v>
      </c>
      <c r="N740" s="10">
        <v>0</v>
      </c>
      <c r="O740" s="10">
        <v>0</v>
      </c>
      <c r="P740" s="10">
        <v>0</v>
      </c>
      <c r="Q740" s="10">
        <v>1</v>
      </c>
      <c r="R740" s="10" t="s">
        <v>27</v>
      </c>
      <c r="S740" s="10" t="s">
        <v>28</v>
      </c>
    </row>
    <row r="741" spans="1:19" x14ac:dyDescent="0.15">
      <c r="A741" s="10">
        <v>30013</v>
      </c>
      <c r="B741" s="10">
        <v>1</v>
      </c>
      <c r="C741" s="10" t="str">
        <f t="shared" si="79"/>
        <v>30013_1</v>
      </c>
      <c r="D741" s="10" t="str">
        <f>VLOOKUP(C741,[1]stages!$A:$AE,31,FALSE)</f>
        <v>everyone</v>
      </c>
      <c r="E741" s="10">
        <v>741</v>
      </c>
      <c r="F741" s="10">
        <v>334</v>
      </c>
      <c r="G741" s="10" t="str">
        <f>IF(I741="unit",VLOOKUP(F741,[2]characters!$A:$C,3,FALSE),"-")</f>
        <v>炎のメタルダック</v>
      </c>
      <c r="H741" s="10">
        <v>56</v>
      </c>
      <c r="I741" s="10" t="s">
        <v>36</v>
      </c>
      <c r="J741" s="10">
        <v>1</v>
      </c>
      <c r="K741" s="10">
        <v>1</v>
      </c>
      <c r="L741" s="10">
        <v>1</v>
      </c>
      <c r="M741" s="10">
        <v>0</v>
      </c>
      <c r="N741" s="10">
        <v>0</v>
      </c>
      <c r="O741" s="10">
        <v>0</v>
      </c>
      <c r="P741" s="10">
        <v>0</v>
      </c>
      <c r="Q741" s="10">
        <v>1</v>
      </c>
      <c r="R741" s="10" t="s">
        <v>27</v>
      </c>
      <c r="S741" s="10" t="s">
        <v>28</v>
      </c>
    </row>
    <row r="742" spans="1:19" x14ac:dyDescent="0.15">
      <c r="A742" s="10">
        <v>30013</v>
      </c>
      <c r="B742" s="10">
        <v>1</v>
      </c>
      <c r="C742" s="10" t="str">
        <f t="shared" si="79"/>
        <v>30013_1</v>
      </c>
      <c r="D742" s="10" t="str">
        <f>VLOOKUP(C742,[1]stages!$A:$AE,31,FALSE)</f>
        <v>everyone</v>
      </c>
      <c r="E742" s="10">
        <v>742</v>
      </c>
      <c r="F742" s="10">
        <v>121</v>
      </c>
      <c r="G742" s="10" t="str">
        <f>IF(I742="unit",VLOOKUP(F742,[2]characters!$A:$C,3,FALSE),"-")</f>
        <v>攻めの果実</v>
      </c>
      <c r="H742" s="10">
        <v>50</v>
      </c>
      <c r="I742" s="10" t="s">
        <v>36</v>
      </c>
      <c r="J742" s="10">
        <v>1</v>
      </c>
      <c r="K742" s="10">
        <v>1</v>
      </c>
      <c r="L742" s="10">
        <v>1</v>
      </c>
      <c r="M742" s="10">
        <v>0</v>
      </c>
      <c r="N742" s="10">
        <v>0</v>
      </c>
      <c r="O742" s="10">
        <v>0</v>
      </c>
      <c r="P742" s="10">
        <v>0</v>
      </c>
      <c r="Q742" s="10">
        <v>1</v>
      </c>
      <c r="R742" s="10" t="s">
        <v>27</v>
      </c>
      <c r="S742" s="10" t="s">
        <v>28</v>
      </c>
    </row>
    <row r="743" spans="1:19" x14ac:dyDescent="0.15">
      <c r="A743" s="10">
        <v>30013</v>
      </c>
      <c r="B743" s="10">
        <v>1</v>
      </c>
      <c r="C743" s="10" t="str">
        <f t="shared" si="79"/>
        <v>30013_1</v>
      </c>
      <c r="D743" s="10" t="str">
        <f>VLOOKUP(C743,[1]stages!$A:$AE,31,FALSE)</f>
        <v>everyone</v>
      </c>
      <c r="E743" s="10">
        <v>743</v>
      </c>
      <c r="F743" s="10">
        <v>122</v>
      </c>
      <c r="G743" s="10" t="str">
        <f>IF(I743="unit",VLOOKUP(F743,[2]characters!$A:$C,3,FALSE),"-")</f>
        <v>生命の果実</v>
      </c>
      <c r="H743" s="10">
        <v>50</v>
      </c>
      <c r="I743" s="10" t="s">
        <v>36</v>
      </c>
      <c r="J743" s="10">
        <v>1</v>
      </c>
      <c r="K743" s="10">
        <v>1</v>
      </c>
      <c r="L743" s="10">
        <v>1</v>
      </c>
      <c r="M743" s="10">
        <v>0</v>
      </c>
      <c r="N743" s="10">
        <v>0</v>
      </c>
      <c r="O743" s="10">
        <v>0</v>
      </c>
      <c r="P743" s="10">
        <v>0</v>
      </c>
      <c r="Q743" s="10">
        <v>1</v>
      </c>
      <c r="R743" s="10" t="s">
        <v>27</v>
      </c>
      <c r="S743" s="10" t="s">
        <v>28</v>
      </c>
    </row>
    <row r="744" spans="1:19" x14ac:dyDescent="0.15">
      <c r="A744" s="10">
        <v>30013</v>
      </c>
      <c r="B744" s="10">
        <v>1</v>
      </c>
      <c r="C744" s="10" t="str">
        <f t="shared" si="79"/>
        <v>30013_1</v>
      </c>
      <c r="D744" s="10" t="str">
        <f>VLOOKUP(C744,[1]stages!$A:$AE,31,FALSE)</f>
        <v>everyone</v>
      </c>
      <c r="E744" s="10">
        <v>744</v>
      </c>
      <c r="F744" s="10">
        <v>123</v>
      </c>
      <c r="G744" s="10" t="str">
        <f>IF(I744="unit",VLOOKUP(F744,[2]characters!$A:$C,3,FALSE),"-")</f>
        <v>癒しの果実</v>
      </c>
      <c r="H744" s="10">
        <v>50</v>
      </c>
      <c r="I744" s="10" t="s">
        <v>36</v>
      </c>
      <c r="J744" s="10">
        <v>1</v>
      </c>
      <c r="K744" s="10">
        <v>1</v>
      </c>
      <c r="L744" s="10">
        <v>1</v>
      </c>
      <c r="M744" s="10">
        <v>0</v>
      </c>
      <c r="N744" s="10">
        <v>0</v>
      </c>
      <c r="O744" s="10">
        <v>0</v>
      </c>
      <c r="P744" s="10">
        <v>0</v>
      </c>
      <c r="Q744" s="10">
        <v>1</v>
      </c>
      <c r="R744" s="10" t="s">
        <v>27</v>
      </c>
      <c r="S744" s="10" t="s">
        <v>28</v>
      </c>
    </row>
    <row r="745" spans="1:19" x14ac:dyDescent="0.15">
      <c r="A745" s="10">
        <v>30013</v>
      </c>
      <c r="B745" s="10">
        <v>1</v>
      </c>
      <c r="C745" s="10" t="str">
        <f t="shared" si="79"/>
        <v>30013_1</v>
      </c>
      <c r="D745" s="10" t="str">
        <f>VLOOKUP(C745,[1]stages!$A:$AE,31,FALSE)</f>
        <v>everyone</v>
      </c>
      <c r="E745" s="10">
        <v>745</v>
      </c>
      <c r="F745" s="10">
        <v>125</v>
      </c>
      <c r="G745" s="10" t="str">
        <f>IF(I745="unit",VLOOKUP(F745,[2]characters!$A:$C,3,FALSE),"-")</f>
        <v>秘術の果実</v>
      </c>
      <c r="H745" s="10">
        <v>10</v>
      </c>
      <c r="I745" s="10" t="s">
        <v>36</v>
      </c>
      <c r="J745" s="10">
        <v>1</v>
      </c>
      <c r="K745" s="10">
        <v>1</v>
      </c>
      <c r="L745" s="10">
        <v>1</v>
      </c>
      <c r="M745" s="10">
        <v>0</v>
      </c>
      <c r="N745" s="10">
        <v>0</v>
      </c>
      <c r="O745" s="10">
        <v>0</v>
      </c>
      <c r="P745" s="10">
        <v>0</v>
      </c>
      <c r="Q745" s="10">
        <v>1</v>
      </c>
      <c r="R745" s="10" t="s">
        <v>27</v>
      </c>
      <c r="S745" s="10" t="s">
        <v>28</v>
      </c>
    </row>
    <row r="746" spans="1:19" x14ac:dyDescent="0.15">
      <c r="A746" s="10">
        <v>30013</v>
      </c>
      <c r="B746" s="10">
        <v>1</v>
      </c>
      <c r="C746" s="10" t="str">
        <f t="shared" si="79"/>
        <v>30013_1</v>
      </c>
      <c r="D746" s="10" t="str">
        <f>VLOOKUP(C746,[1]stages!$A:$AE,31,FALSE)</f>
        <v>everyone</v>
      </c>
      <c r="E746" s="10">
        <v>746</v>
      </c>
      <c r="F746" s="10">
        <v>418</v>
      </c>
      <c r="G746" s="10" t="str">
        <f>IF(I746="unit",VLOOKUP(F746,[2]characters!$A:$C,3,FALSE),"-")</f>
        <v>ウラシマ</v>
      </c>
      <c r="H746" s="10">
        <v>250</v>
      </c>
      <c r="I746" s="10" t="s">
        <v>36</v>
      </c>
      <c r="J746" s="10">
        <v>1</v>
      </c>
      <c r="K746" s="10">
        <v>1</v>
      </c>
      <c r="L746" s="10">
        <v>1</v>
      </c>
      <c r="M746" s="10">
        <v>0</v>
      </c>
      <c r="N746" s="10">
        <v>0</v>
      </c>
      <c r="O746" s="10">
        <v>0</v>
      </c>
      <c r="P746" s="10">
        <v>0</v>
      </c>
      <c r="Q746" s="10">
        <v>1</v>
      </c>
      <c r="R746" s="10" t="s">
        <v>27</v>
      </c>
      <c r="S746" s="10" t="s">
        <v>28</v>
      </c>
    </row>
    <row r="747" spans="1:19" x14ac:dyDescent="0.15">
      <c r="A747" s="10">
        <v>30013</v>
      </c>
      <c r="B747" s="10">
        <v>1</v>
      </c>
      <c r="C747" s="10" t="str">
        <f t="shared" si="79"/>
        <v>30013_1</v>
      </c>
      <c r="D747" s="10" t="str">
        <f>VLOOKUP(C747,[1]stages!$A:$AE,31,FALSE)</f>
        <v>everyone</v>
      </c>
      <c r="E747" s="10">
        <v>747</v>
      </c>
      <c r="F747" s="10">
        <v>348</v>
      </c>
      <c r="G747" s="10" t="str">
        <f>IF(I747="unit",VLOOKUP(F747,[2]characters!$A:$C,3,FALSE),"-")</f>
        <v>炎のケロケロ</v>
      </c>
      <c r="H747" s="10">
        <v>100</v>
      </c>
      <c r="I747" s="10" t="s">
        <v>36</v>
      </c>
      <c r="J747" s="10">
        <v>1</v>
      </c>
      <c r="K747" s="10">
        <v>1</v>
      </c>
      <c r="L747" s="10">
        <v>1</v>
      </c>
      <c r="M747" s="10">
        <v>0</v>
      </c>
      <c r="N747" s="10">
        <v>0</v>
      </c>
      <c r="O747" s="10">
        <v>0</v>
      </c>
      <c r="P747" s="10">
        <v>0</v>
      </c>
      <c r="Q747" s="10">
        <v>1</v>
      </c>
      <c r="R747" s="10" t="s">
        <v>27</v>
      </c>
      <c r="S747" s="10" t="s">
        <v>28</v>
      </c>
    </row>
    <row r="748" spans="1:19" x14ac:dyDescent="0.15">
      <c r="A748" s="10">
        <v>30013</v>
      </c>
      <c r="B748" s="10">
        <v>2</v>
      </c>
      <c r="C748" s="10" t="str">
        <f>A748&amp; "_"&amp;B748</f>
        <v>30013_2</v>
      </c>
      <c r="D748" s="10" t="str">
        <f>VLOOKUP(C748,[1]stages!$A:$AE,31,FALSE)</f>
        <v>everyone</v>
      </c>
      <c r="E748" s="10">
        <v>748</v>
      </c>
      <c r="F748" s="10">
        <v>7500</v>
      </c>
      <c r="G748" s="10" t="str">
        <f>IF(I748="unit",VLOOKUP(F748,[2]characters!$A:$C,3,FALSE),"-")</f>
        <v>-</v>
      </c>
      <c r="H748" s="10">
        <v>100</v>
      </c>
      <c r="I748" s="10" t="s">
        <v>32</v>
      </c>
      <c r="J748" s="10" t="s">
        <v>33</v>
      </c>
      <c r="K748" s="10">
        <v>1</v>
      </c>
      <c r="L748" s="10">
        <v>1</v>
      </c>
      <c r="M748" s="10">
        <v>0</v>
      </c>
      <c r="N748" s="10">
        <v>0</v>
      </c>
      <c r="O748" s="10">
        <v>0</v>
      </c>
      <c r="P748" s="10">
        <v>0</v>
      </c>
      <c r="Q748" s="10">
        <v>1</v>
      </c>
      <c r="R748" s="10" t="s">
        <v>27</v>
      </c>
      <c r="S748" s="10" t="s">
        <v>28</v>
      </c>
    </row>
    <row r="749" spans="1:19" x14ac:dyDescent="0.15">
      <c r="A749" s="10">
        <v>30013</v>
      </c>
      <c r="B749" s="10">
        <v>2</v>
      </c>
      <c r="C749" s="10" t="str">
        <f t="shared" ref="C749" si="80">A749&amp; "_"&amp;B749</f>
        <v>30013_2</v>
      </c>
      <c r="D749" s="10" t="str">
        <f>VLOOKUP(C749,[1]stages!$A:$AE,31,FALSE)</f>
        <v>everyone</v>
      </c>
      <c r="E749" s="10">
        <v>749</v>
      </c>
      <c r="F749" s="10">
        <v>25</v>
      </c>
      <c r="G749" s="10" t="str">
        <f>IF(I749="unit",VLOOKUP(F749,[2]characters!$A:$C,3,FALSE),"-")</f>
        <v>-</v>
      </c>
      <c r="H749" s="10">
        <v>100</v>
      </c>
      <c r="I749" s="10" t="s">
        <v>35</v>
      </c>
      <c r="J749" s="10" t="s">
        <v>33</v>
      </c>
      <c r="K749" s="10">
        <v>1</v>
      </c>
      <c r="L749" s="10">
        <v>1</v>
      </c>
      <c r="M749" s="10">
        <v>0</v>
      </c>
      <c r="N749" s="10">
        <v>0</v>
      </c>
      <c r="O749" s="10">
        <v>0</v>
      </c>
      <c r="P749" s="10">
        <v>0</v>
      </c>
      <c r="Q749" s="10">
        <v>1</v>
      </c>
      <c r="R749" s="10" t="s">
        <v>27</v>
      </c>
      <c r="S749" s="10" t="s">
        <v>28</v>
      </c>
    </row>
    <row r="750" spans="1:19" x14ac:dyDescent="0.15">
      <c r="A750" s="10">
        <v>30013</v>
      </c>
      <c r="B750" s="10">
        <v>2</v>
      </c>
      <c r="C750" s="10" t="str">
        <f t="shared" ref="C750:C758" si="81">A750&amp; "_"&amp;B750</f>
        <v>30013_2</v>
      </c>
      <c r="D750" s="10" t="str">
        <f>VLOOKUP(C750,[1]stages!$A:$AE,31,FALSE)</f>
        <v>everyone</v>
      </c>
      <c r="E750" s="10">
        <v>750</v>
      </c>
      <c r="F750" s="10">
        <v>333</v>
      </c>
      <c r="G750" s="10" t="str">
        <f>IF(I750="unit",VLOOKUP(F750,[2]characters!$A:$C,3,FALSE),"-")</f>
        <v>炎のメタルチック</v>
      </c>
      <c r="H750" s="10">
        <v>56</v>
      </c>
      <c r="I750" s="10" t="s">
        <v>36</v>
      </c>
      <c r="J750" s="10">
        <v>1</v>
      </c>
      <c r="K750" s="10">
        <v>1</v>
      </c>
      <c r="L750" s="10">
        <v>1</v>
      </c>
      <c r="M750" s="10">
        <v>0</v>
      </c>
      <c r="N750" s="10">
        <v>0</v>
      </c>
      <c r="O750" s="10">
        <v>0</v>
      </c>
      <c r="P750" s="10">
        <v>0</v>
      </c>
      <c r="Q750" s="10">
        <v>1</v>
      </c>
      <c r="R750" s="10" t="s">
        <v>27</v>
      </c>
      <c r="S750" s="10" t="s">
        <v>28</v>
      </c>
    </row>
    <row r="751" spans="1:19" x14ac:dyDescent="0.15">
      <c r="A751" s="10">
        <v>30013</v>
      </c>
      <c r="B751" s="10">
        <v>2</v>
      </c>
      <c r="C751" s="10" t="str">
        <f t="shared" si="81"/>
        <v>30013_2</v>
      </c>
      <c r="D751" s="10" t="str">
        <f>VLOOKUP(C751,[1]stages!$A:$AE,31,FALSE)</f>
        <v>everyone</v>
      </c>
      <c r="E751" s="10">
        <v>751</v>
      </c>
      <c r="F751" s="10">
        <v>334</v>
      </c>
      <c r="G751" s="10" t="str">
        <f>IF(I751="unit",VLOOKUP(F751,[2]characters!$A:$C,3,FALSE),"-")</f>
        <v>炎のメタルダック</v>
      </c>
      <c r="H751" s="10">
        <v>84</v>
      </c>
      <c r="I751" s="10" t="s">
        <v>36</v>
      </c>
      <c r="J751" s="10">
        <v>1</v>
      </c>
      <c r="K751" s="10">
        <v>1</v>
      </c>
      <c r="L751" s="10">
        <v>1</v>
      </c>
      <c r="M751" s="10">
        <v>0</v>
      </c>
      <c r="N751" s="10">
        <v>0</v>
      </c>
      <c r="O751" s="10">
        <v>0</v>
      </c>
      <c r="P751" s="10">
        <v>0</v>
      </c>
      <c r="Q751" s="10">
        <v>1</v>
      </c>
      <c r="R751" s="10" t="s">
        <v>27</v>
      </c>
      <c r="S751" s="10" t="s">
        <v>28</v>
      </c>
    </row>
    <row r="752" spans="1:19" x14ac:dyDescent="0.15">
      <c r="A752" s="10">
        <v>30013</v>
      </c>
      <c r="B752" s="10">
        <v>2</v>
      </c>
      <c r="C752" s="10" t="str">
        <f t="shared" si="81"/>
        <v>30013_2</v>
      </c>
      <c r="D752" s="10" t="str">
        <f>VLOOKUP(C752,[1]stages!$A:$AE,31,FALSE)</f>
        <v>everyone</v>
      </c>
      <c r="E752" s="10">
        <v>752</v>
      </c>
      <c r="F752" s="10">
        <v>121</v>
      </c>
      <c r="G752" s="10" t="str">
        <f>IF(I752="unit",VLOOKUP(F752,[2]characters!$A:$C,3,FALSE),"-")</f>
        <v>攻めの果実</v>
      </c>
      <c r="H752" s="10">
        <v>50</v>
      </c>
      <c r="I752" s="10" t="s">
        <v>36</v>
      </c>
      <c r="J752" s="10">
        <v>1</v>
      </c>
      <c r="K752" s="10">
        <v>1</v>
      </c>
      <c r="L752" s="10">
        <v>1</v>
      </c>
      <c r="M752" s="10">
        <v>0</v>
      </c>
      <c r="N752" s="10">
        <v>0</v>
      </c>
      <c r="O752" s="10">
        <v>0</v>
      </c>
      <c r="P752" s="10">
        <v>0</v>
      </c>
      <c r="Q752" s="10">
        <v>1</v>
      </c>
      <c r="R752" s="10" t="s">
        <v>27</v>
      </c>
      <c r="S752" s="10" t="s">
        <v>28</v>
      </c>
    </row>
    <row r="753" spans="1:19" x14ac:dyDescent="0.15">
      <c r="A753" s="10">
        <v>30013</v>
      </c>
      <c r="B753" s="10">
        <v>2</v>
      </c>
      <c r="C753" s="10" t="str">
        <f t="shared" si="81"/>
        <v>30013_2</v>
      </c>
      <c r="D753" s="10" t="str">
        <f>VLOOKUP(C753,[1]stages!$A:$AE,31,FALSE)</f>
        <v>everyone</v>
      </c>
      <c r="E753" s="10">
        <v>753</v>
      </c>
      <c r="F753" s="10">
        <v>122</v>
      </c>
      <c r="G753" s="10" t="str">
        <f>IF(I753="unit",VLOOKUP(F753,[2]characters!$A:$C,3,FALSE),"-")</f>
        <v>生命の果実</v>
      </c>
      <c r="H753" s="10">
        <v>50</v>
      </c>
      <c r="I753" s="10" t="s">
        <v>36</v>
      </c>
      <c r="J753" s="10">
        <v>1</v>
      </c>
      <c r="K753" s="10">
        <v>1</v>
      </c>
      <c r="L753" s="10">
        <v>1</v>
      </c>
      <c r="M753" s="10">
        <v>0</v>
      </c>
      <c r="N753" s="10">
        <v>0</v>
      </c>
      <c r="O753" s="10">
        <v>0</v>
      </c>
      <c r="P753" s="10">
        <v>0</v>
      </c>
      <c r="Q753" s="10">
        <v>1</v>
      </c>
      <c r="R753" s="10" t="s">
        <v>27</v>
      </c>
      <c r="S753" s="10" t="s">
        <v>28</v>
      </c>
    </row>
    <row r="754" spans="1:19" x14ac:dyDescent="0.15">
      <c r="A754" s="10">
        <v>30013</v>
      </c>
      <c r="B754" s="10">
        <v>2</v>
      </c>
      <c r="C754" s="10" t="str">
        <f t="shared" si="81"/>
        <v>30013_2</v>
      </c>
      <c r="D754" s="10" t="str">
        <f>VLOOKUP(C754,[1]stages!$A:$AE,31,FALSE)</f>
        <v>everyone</v>
      </c>
      <c r="E754" s="10">
        <v>754</v>
      </c>
      <c r="F754" s="10">
        <v>123</v>
      </c>
      <c r="G754" s="10" t="str">
        <f>IF(I754="unit",VLOOKUP(F754,[2]characters!$A:$C,3,FALSE),"-")</f>
        <v>癒しの果実</v>
      </c>
      <c r="H754" s="10">
        <v>50</v>
      </c>
      <c r="I754" s="10" t="s">
        <v>36</v>
      </c>
      <c r="J754" s="10">
        <v>1</v>
      </c>
      <c r="K754" s="10">
        <v>1</v>
      </c>
      <c r="L754" s="10">
        <v>1</v>
      </c>
      <c r="M754" s="10">
        <v>0</v>
      </c>
      <c r="N754" s="10">
        <v>0</v>
      </c>
      <c r="O754" s="10">
        <v>0</v>
      </c>
      <c r="P754" s="10">
        <v>0</v>
      </c>
      <c r="Q754" s="10">
        <v>1</v>
      </c>
      <c r="R754" s="10" t="s">
        <v>27</v>
      </c>
      <c r="S754" s="10" t="s">
        <v>28</v>
      </c>
    </row>
    <row r="755" spans="1:19" x14ac:dyDescent="0.15">
      <c r="A755" s="10">
        <v>30013</v>
      </c>
      <c r="B755" s="10">
        <v>2</v>
      </c>
      <c r="C755" s="10" t="str">
        <f t="shared" si="81"/>
        <v>30013_2</v>
      </c>
      <c r="D755" s="10" t="str">
        <f>VLOOKUP(C755,[1]stages!$A:$AE,31,FALSE)</f>
        <v>everyone</v>
      </c>
      <c r="E755" s="10">
        <v>755</v>
      </c>
      <c r="F755" s="10">
        <v>125</v>
      </c>
      <c r="G755" s="10" t="str">
        <f>IF(I755="unit",VLOOKUP(F755,[2]characters!$A:$C,3,FALSE),"-")</f>
        <v>秘術の果実</v>
      </c>
      <c r="H755" s="10">
        <v>10</v>
      </c>
      <c r="I755" s="10" t="s">
        <v>36</v>
      </c>
      <c r="J755" s="10">
        <v>1</v>
      </c>
      <c r="K755" s="10">
        <v>1</v>
      </c>
      <c r="L755" s="10">
        <v>1</v>
      </c>
      <c r="M755" s="10">
        <v>0</v>
      </c>
      <c r="N755" s="10">
        <v>0</v>
      </c>
      <c r="O755" s="10">
        <v>0</v>
      </c>
      <c r="P755" s="10">
        <v>0</v>
      </c>
      <c r="Q755" s="10">
        <v>1</v>
      </c>
      <c r="R755" s="10" t="s">
        <v>27</v>
      </c>
      <c r="S755" s="10" t="s">
        <v>28</v>
      </c>
    </row>
    <row r="756" spans="1:19" x14ac:dyDescent="0.15">
      <c r="A756" s="10">
        <v>30013</v>
      </c>
      <c r="B756" s="10">
        <v>2</v>
      </c>
      <c r="C756" s="10" t="str">
        <f t="shared" si="81"/>
        <v>30013_2</v>
      </c>
      <c r="D756" s="10" t="str">
        <f>VLOOKUP(C756,[1]stages!$A:$AE,31,FALSE)</f>
        <v>everyone</v>
      </c>
      <c r="E756" s="10">
        <v>756</v>
      </c>
      <c r="F756" s="10">
        <v>418</v>
      </c>
      <c r="G756" s="10" t="str">
        <f>IF(I756="unit",VLOOKUP(F756,[2]characters!$A:$C,3,FALSE),"-")</f>
        <v>ウラシマ</v>
      </c>
      <c r="H756" s="10">
        <v>400</v>
      </c>
      <c r="I756" s="10" t="s">
        <v>36</v>
      </c>
      <c r="J756" s="10">
        <v>1</v>
      </c>
      <c r="K756" s="10">
        <v>1</v>
      </c>
      <c r="L756" s="10">
        <v>1</v>
      </c>
      <c r="M756" s="10">
        <v>0</v>
      </c>
      <c r="N756" s="10">
        <v>0</v>
      </c>
      <c r="O756" s="10">
        <v>0</v>
      </c>
      <c r="P756" s="10">
        <v>0</v>
      </c>
      <c r="Q756" s="10">
        <v>1</v>
      </c>
      <c r="R756" s="10" t="s">
        <v>27</v>
      </c>
      <c r="S756" s="10" t="s">
        <v>28</v>
      </c>
    </row>
    <row r="757" spans="1:19" x14ac:dyDescent="0.15">
      <c r="A757" s="10">
        <v>30013</v>
      </c>
      <c r="B757" s="10">
        <v>2</v>
      </c>
      <c r="C757" s="10" t="str">
        <f t="shared" si="81"/>
        <v>30013_2</v>
      </c>
      <c r="D757" s="10" t="str">
        <f>VLOOKUP(C757,[1]stages!$A:$AE,31,FALSE)</f>
        <v>everyone</v>
      </c>
      <c r="E757" s="10">
        <v>757</v>
      </c>
      <c r="F757" s="10">
        <v>348</v>
      </c>
      <c r="G757" s="10" t="str">
        <f>IF(I757="unit",VLOOKUP(F757,[2]characters!$A:$C,3,FALSE),"-")</f>
        <v>炎のケロケロ</v>
      </c>
      <c r="H757" s="10">
        <v>100</v>
      </c>
      <c r="I757" s="10" t="s">
        <v>36</v>
      </c>
      <c r="J757" s="10">
        <v>1</v>
      </c>
      <c r="K757" s="10">
        <v>1</v>
      </c>
      <c r="L757" s="10">
        <v>1</v>
      </c>
      <c r="M757" s="10">
        <v>0</v>
      </c>
      <c r="N757" s="10">
        <v>0</v>
      </c>
      <c r="O757" s="10">
        <v>0</v>
      </c>
      <c r="P757" s="10">
        <v>0</v>
      </c>
      <c r="Q757" s="10">
        <v>1</v>
      </c>
      <c r="R757" s="10" t="s">
        <v>27</v>
      </c>
      <c r="S757" s="10" t="s">
        <v>28</v>
      </c>
    </row>
    <row r="758" spans="1:19" x14ac:dyDescent="0.15">
      <c r="A758" s="11">
        <v>30014</v>
      </c>
      <c r="B758" s="11">
        <v>1</v>
      </c>
      <c r="C758" s="11" t="str">
        <f t="shared" si="81"/>
        <v>30014_1</v>
      </c>
      <c r="D758" s="11" t="str">
        <f>VLOOKUP(C758,[1]stages!$A:$AE,31,FALSE)</f>
        <v>everyone</v>
      </c>
      <c r="E758" s="11">
        <v>758</v>
      </c>
      <c r="F758" s="11">
        <v>6500</v>
      </c>
      <c r="G758" s="10" t="str">
        <f>IF(I758="unit",VLOOKUP(F758,[2]characters!$A:$C,3,FALSE),"-")</f>
        <v>-</v>
      </c>
      <c r="H758" s="11">
        <v>200</v>
      </c>
      <c r="I758" s="11" t="s">
        <v>32</v>
      </c>
      <c r="J758" s="11" t="s">
        <v>33</v>
      </c>
      <c r="K758" s="11">
        <v>1</v>
      </c>
      <c r="L758" s="11">
        <v>1</v>
      </c>
      <c r="M758" s="11">
        <v>0</v>
      </c>
      <c r="N758" s="11">
        <v>0</v>
      </c>
      <c r="O758" s="11">
        <v>0</v>
      </c>
      <c r="P758" s="11">
        <v>0</v>
      </c>
      <c r="Q758" s="11">
        <v>1</v>
      </c>
      <c r="R758" s="11" t="s">
        <v>27</v>
      </c>
      <c r="S758" s="11" t="s">
        <v>28</v>
      </c>
    </row>
    <row r="759" spans="1:19" x14ac:dyDescent="0.15">
      <c r="A759" s="11">
        <v>30014</v>
      </c>
      <c r="B759" s="11">
        <v>1</v>
      </c>
      <c r="C759" s="11" t="str">
        <f t="shared" ref="C759:C768" si="82">A759&amp; "_"&amp;B759</f>
        <v>30014_1</v>
      </c>
      <c r="D759" s="11" t="str">
        <f>VLOOKUP(C759,[1]stages!$A:$AE,31,FALSE)</f>
        <v>everyone</v>
      </c>
      <c r="E759" s="11">
        <v>759</v>
      </c>
      <c r="F759" s="11">
        <v>25</v>
      </c>
      <c r="G759" s="10" t="str">
        <f>IF(I759="unit",VLOOKUP(F759,[2]characters!$A:$C,3,FALSE),"-")</f>
        <v>-</v>
      </c>
      <c r="H759" s="11">
        <v>150</v>
      </c>
      <c r="I759" s="11" t="s">
        <v>35</v>
      </c>
      <c r="J759" s="11" t="s">
        <v>33</v>
      </c>
      <c r="K759" s="11">
        <v>1</v>
      </c>
      <c r="L759" s="11">
        <v>1</v>
      </c>
      <c r="M759" s="11">
        <v>0</v>
      </c>
      <c r="N759" s="11">
        <v>0</v>
      </c>
      <c r="O759" s="11">
        <v>0</v>
      </c>
      <c r="P759" s="11">
        <v>0</v>
      </c>
      <c r="Q759" s="11">
        <v>1</v>
      </c>
      <c r="R759" s="11" t="s">
        <v>27</v>
      </c>
      <c r="S759" s="11" t="s">
        <v>28</v>
      </c>
    </row>
    <row r="760" spans="1:19" x14ac:dyDescent="0.15">
      <c r="A760" s="11">
        <v>30014</v>
      </c>
      <c r="B760" s="11">
        <v>1</v>
      </c>
      <c r="C760" s="11" t="str">
        <f t="shared" si="82"/>
        <v>30014_1</v>
      </c>
      <c r="D760" s="11" t="str">
        <f>VLOOKUP(C760,[1]stages!$A:$AE,31,FALSE)</f>
        <v>everyone</v>
      </c>
      <c r="E760" s="11">
        <v>760</v>
      </c>
      <c r="F760" s="11">
        <v>336</v>
      </c>
      <c r="G760" s="10" t="str">
        <f>IF(I760="unit",VLOOKUP(F760,[2]characters!$A:$C,3,FALSE),"-")</f>
        <v>森のメタルピヨピヨ</v>
      </c>
      <c r="H760" s="11">
        <v>28</v>
      </c>
      <c r="I760" s="11" t="s">
        <v>36</v>
      </c>
      <c r="J760" s="11">
        <v>1</v>
      </c>
      <c r="K760" s="11">
        <v>1</v>
      </c>
      <c r="L760" s="11">
        <v>1</v>
      </c>
      <c r="M760" s="11">
        <v>0</v>
      </c>
      <c r="N760" s="11">
        <v>0</v>
      </c>
      <c r="O760" s="11">
        <v>0</v>
      </c>
      <c r="P760" s="11">
        <v>0</v>
      </c>
      <c r="Q760" s="11">
        <v>1</v>
      </c>
      <c r="R760" s="11" t="s">
        <v>27</v>
      </c>
      <c r="S760" s="11" t="s">
        <v>28</v>
      </c>
    </row>
    <row r="761" spans="1:19" x14ac:dyDescent="0.15">
      <c r="A761" s="11">
        <v>30014</v>
      </c>
      <c r="B761" s="11">
        <v>1</v>
      </c>
      <c r="C761" s="11" t="str">
        <f t="shared" si="82"/>
        <v>30014_1</v>
      </c>
      <c r="D761" s="11" t="str">
        <f>VLOOKUP(C761,[1]stages!$A:$AE,31,FALSE)</f>
        <v>everyone</v>
      </c>
      <c r="E761" s="11">
        <v>761</v>
      </c>
      <c r="F761" s="11">
        <v>337</v>
      </c>
      <c r="G761" s="10" t="str">
        <f>IF(I761="unit",VLOOKUP(F761,[2]characters!$A:$C,3,FALSE),"-")</f>
        <v>森のメタルチック</v>
      </c>
      <c r="H761" s="11">
        <v>56</v>
      </c>
      <c r="I761" s="11" t="s">
        <v>36</v>
      </c>
      <c r="J761" s="11">
        <v>1</v>
      </c>
      <c r="K761" s="11">
        <v>1</v>
      </c>
      <c r="L761" s="11">
        <v>1</v>
      </c>
      <c r="M761" s="11">
        <v>0</v>
      </c>
      <c r="N761" s="11">
        <v>0</v>
      </c>
      <c r="O761" s="11">
        <v>0</v>
      </c>
      <c r="P761" s="11">
        <v>0</v>
      </c>
      <c r="Q761" s="11">
        <v>1</v>
      </c>
      <c r="R761" s="11" t="s">
        <v>27</v>
      </c>
      <c r="S761" s="11" t="s">
        <v>28</v>
      </c>
    </row>
    <row r="762" spans="1:19" x14ac:dyDescent="0.15">
      <c r="A762" s="11">
        <v>30014</v>
      </c>
      <c r="B762" s="11">
        <v>1</v>
      </c>
      <c r="C762" s="11" t="str">
        <f t="shared" si="82"/>
        <v>30014_1</v>
      </c>
      <c r="D762" s="11" t="str">
        <f>VLOOKUP(C762,[1]stages!$A:$AE,31,FALSE)</f>
        <v>everyone</v>
      </c>
      <c r="E762" s="11">
        <v>762</v>
      </c>
      <c r="F762" s="11">
        <v>338</v>
      </c>
      <c r="G762" s="10" t="str">
        <f>IF(I762="unit",VLOOKUP(F762,[2]characters!$A:$C,3,FALSE),"-")</f>
        <v>森のメタルダック</v>
      </c>
      <c r="H762" s="11">
        <v>56</v>
      </c>
      <c r="I762" s="11" t="s">
        <v>36</v>
      </c>
      <c r="J762" s="11">
        <v>1</v>
      </c>
      <c r="K762" s="11">
        <v>1</v>
      </c>
      <c r="L762" s="11">
        <v>1</v>
      </c>
      <c r="M762" s="11">
        <v>0</v>
      </c>
      <c r="N762" s="11">
        <v>0</v>
      </c>
      <c r="O762" s="11">
        <v>0</v>
      </c>
      <c r="P762" s="11">
        <v>0</v>
      </c>
      <c r="Q762" s="11">
        <v>1</v>
      </c>
      <c r="R762" s="11" t="s">
        <v>27</v>
      </c>
      <c r="S762" s="11" t="s">
        <v>28</v>
      </c>
    </row>
    <row r="763" spans="1:19" x14ac:dyDescent="0.15">
      <c r="A763" s="11">
        <v>30014</v>
      </c>
      <c r="B763" s="11">
        <v>1</v>
      </c>
      <c r="C763" s="11" t="str">
        <f t="shared" si="82"/>
        <v>30014_1</v>
      </c>
      <c r="D763" s="11" t="str">
        <f>VLOOKUP(C763,[1]stages!$A:$AE,31,FALSE)</f>
        <v>everyone</v>
      </c>
      <c r="E763" s="11">
        <v>763</v>
      </c>
      <c r="F763" s="11">
        <v>121</v>
      </c>
      <c r="G763" s="10" t="str">
        <f>IF(I763="unit",VLOOKUP(F763,[2]characters!$A:$C,3,FALSE),"-")</f>
        <v>攻めの果実</v>
      </c>
      <c r="H763" s="11">
        <v>50</v>
      </c>
      <c r="I763" s="11" t="s">
        <v>36</v>
      </c>
      <c r="J763" s="11">
        <v>1</v>
      </c>
      <c r="K763" s="11">
        <v>1</v>
      </c>
      <c r="L763" s="11">
        <v>1</v>
      </c>
      <c r="M763" s="11">
        <v>0</v>
      </c>
      <c r="N763" s="11">
        <v>0</v>
      </c>
      <c r="O763" s="11">
        <v>0</v>
      </c>
      <c r="P763" s="11">
        <v>0</v>
      </c>
      <c r="Q763" s="11">
        <v>1</v>
      </c>
      <c r="R763" s="11" t="s">
        <v>27</v>
      </c>
      <c r="S763" s="11" t="s">
        <v>28</v>
      </c>
    </row>
    <row r="764" spans="1:19" x14ac:dyDescent="0.15">
      <c r="A764" s="11">
        <v>30014</v>
      </c>
      <c r="B764" s="11">
        <v>1</v>
      </c>
      <c r="C764" s="11" t="str">
        <f t="shared" si="82"/>
        <v>30014_1</v>
      </c>
      <c r="D764" s="11" t="str">
        <f>VLOOKUP(C764,[1]stages!$A:$AE,31,FALSE)</f>
        <v>everyone</v>
      </c>
      <c r="E764" s="11">
        <v>764</v>
      </c>
      <c r="F764" s="11">
        <v>122</v>
      </c>
      <c r="G764" s="10" t="str">
        <f>IF(I764="unit",VLOOKUP(F764,[2]characters!$A:$C,3,FALSE),"-")</f>
        <v>生命の果実</v>
      </c>
      <c r="H764" s="11">
        <v>50</v>
      </c>
      <c r="I764" s="11" t="s">
        <v>36</v>
      </c>
      <c r="J764" s="11">
        <v>1</v>
      </c>
      <c r="K764" s="11">
        <v>1</v>
      </c>
      <c r="L764" s="11">
        <v>1</v>
      </c>
      <c r="M764" s="11">
        <v>0</v>
      </c>
      <c r="N764" s="11">
        <v>0</v>
      </c>
      <c r="O764" s="11">
        <v>0</v>
      </c>
      <c r="P764" s="11">
        <v>0</v>
      </c>
      <c r="Q764" s="11">
        <v>1</v>
      </c>
      <c r="R764" s="11" t="s">
        <v>27</v>
      </c>
      <c r="S764" s="11" t="s">
        <v>28</v>
      </c>
    </row>
    <row r="765" spans="1:19" x14ac:dyDescent="0.15">
      <c r="A765" s="11">
        <v>30014</v>
      </c>
      <c r="B765" s="11">
        <v>1</v>
      </c>
      <c r="C765" s="11" t="str">
        <f t="shared" si="82"/>
        <v>30014_1</v>
      </c>
      <c r="D765" s="11" t="str">
        <f>VLOOKUP(C765,[1]stages!$A:$AE,31,FALSE)</f>
        <v>everyone</v>
      </c>
      <c r="E765" s="11">
        <v>765</v>
      </c>
      <c r="F765" s="11">
        <v>123</v>
      </c>
      <c r="G765" s="10" t="str">
        <f>IF(I765="unit",VLOOKUP(F765,[2]characters!$A:$C,3,FALSE),"-")</f>
        <v>癒しの果実</v>
      </c>
      <c r="H765" s="11">
        <v>50</v>
      </c>
      <c r="I765" s="11" t="s">
        <v>36</v>
      </c>
      <c r="J765" s="11">
        <v>1</v>
      </c>
      <c r="K765" s="11">
        <v>1</v>
      </c>
      <c r="L765" s="11">
        <v>1</v>
      </c>
      <c r="M765" s="11">
        <v>0</v>
      </c>
      <c r="N765" s="11">
        <v>0</v>
      </c>
      <c r="O765" s="11">
        <v>0</v>
      </c>
      <c r="P765" s="11">
        <v>0</v>
      </c>
      <c r="Q765" s="11">
        <v>1</v>
      </c>
      <c r="R765" s="11" t="s">
        <v>27</v>
      </c>
      <c r="S765" s="11" t="s">
        <v>28</v>
      </c>
    </row>
    <row r="766" spans="1:19" x14ac:dyDescent="0.15">
      <c r="A766" s="11">
        <v>30014</v>
      </c>
      <c r="B766" s="11">
        <v>1</v>
      </c>
      <c r="C766" s="11" t="str">
        <f t="shared" si="82"/>
        <v>30014_1</v>
      </c>
      <c r="D766" s="11" t="str">
        <f>VLOOKUP(C766,[1]stages!$A:$AE,31,FALSE)</f>
        <v>everyone</v>
      </c>
      <c r="E766" s="11">
        <v>766</v>
      </c>
      <c r="F766" s="11">
        <v>125</v>
      </c>
      <c r="G766" s="10" t="str">
        <f>IF(I766="unit",VLOOKUP(F766,[2]characters!$A:$C,3,FALSE),"-")</f>
        <v>秘術の果実</v>
      </c>
      <c r="H766" s="11">
        <v>10</v>
      </c>
      <c r="I766" s="11" t="s">
        <v>36</v>
      </c>
      <c r="J766" s="11">
        <v>1</v>
      </c>
      <c r="K766" s="11">
        <v>1</v>
      </c>
      <c r="L766" s="11">
        <v>1</v>
      </c>
      <c r="M766" s="11">
        <v>0</v>
      </c>
      <c r="N766" s="11">
        <v>0</v>
      </c>
      <c r="O766" s="11">
        <v>0</v>
      </c>
      <c r="P766" s="11">
        <v>0</v>
      </c>
      <c r="Q766" s="11">
        <v>1</v>
      </c>
      <c r="R766" s="11" t="s">
        <v>27</v>
      </c>
      <c r="S766" s="11" t="s">
        <v>28</v>
      </c>
    </row>
    <row r="767" spans="1:19" x14ac:dyDescent="0.15">
      <c r="A767" s="11">
        <v>30014</v>
      </c>
      <c r="B767" s="11">
        <v>1</v>
      </c>
      <c r="C767" s="11" t="str">
        <f t="shared" si="82"/>
        <v>30014_1</v>
      </c>
      <c r="D767" s="11" t="str">
        <f>VLOOKUP(C767,[1]stages!$A:$AE,31,FALSE)</f>
        <v>everyone</v>
      </c>
      <c r="E767" s="11">
        <v>767</v>
      </c>
      <c r="F767" s="11">
        <v>420</v>
      </c>
      <c r="G767" s="10" t="str">
        <f>IF(I767="unit",VLOOKUP(F767,[2]characters!$A:$C,3,FALSE),"-")</f>
        <v>カエデ</v>
      </c>
      <c r="H767" s="11">
        <v>250</v>
      </c>
      <c r="I767" s="11" t="s">
        <v>36</v>
      </c>
      <c r="J767" s="11">
        <v>1</v>
      </c>
      <c r="K767" s="11">
        <v>1</v>
      </c>
      <c r="L767" s="11">
        <v>1</v>
      </c>
      <c r="M767" s="11">
        <v>0</v>
      </c>
      <c r="N767" s="11">
        <v>0</v>
      </c>
      <c r="O767" s="11">
        <v>0</v>
      </c>
      <c r="P767" s="11">
        <v>0</v>
      </c>
      <c r="Q767" s="11">
        <v>1</v>
      </c>
      <c r="R767" s="11" t="s">
        <v>27</v>
      </c>
      <c r="S767" s="11" t="s">
        <v>28</v>
      </c>
    </row>
    <row r="768" spans="1:19" x14ac:dyDescent="0.15">
      <c r="A768" s="11">
        <v>30014</v>
      </c>
      <c r="B768" s="11">
        <v>1</v>
      </c>
      <c r="C768" s="11" t="str">
        <f t="shared" si="82"/>
        <v>30014_1</v>
      </c>
      <c r="D768" s="11" t="str">
        <f>VLOOKUP(C768,[1]stages!$A:$AE,31,FALSE)</f>
        <v>everyone</v>
      </c>
      <c r="E768" s="11">
        <v>768</v>
      </c>
      <c r="F768" s="11">
        <v>350</v>
      </c>
      <c r="G768" s="10" t="str">
        <f>IF(I768="unit",VLOOKUP(F768,[2]characters!$A:$C,3,FALSE),"-")</f>
        <v>森のケロケロ</v>
      </c>
      <c r="H768" s="11">
        <v>100</v>
      </c>
      <c r="I768" s="11" t="s">
        <v>36</v>
      </c>
      <c r="J768" s="11">
        <v>1</v>
      </c>
      <c r="K768" s="11">
        <v>1</v>
      </c>
      <c r="L768" s="11">
        <v>1</v>
      </c>
      <c r="M768" s="11">
        <v>0</v>
      </c>
      <c r="N768" s="11">
        <v>0</v>
      </c>
      <c r="O768" s="11">
        <v>0</v>
      </c>
      <c r="P768" s="11">
        <v>0</v>
      </c>
      <c r="Q768" s="11">
        <v>1</v>
      </c>
      <c r="R768" s="11" t="s">
        <v>27</v>
      </c>
      <c r="S768" s="11" t="s">
        <v>28</v>
      </c>
    </row>
    <row r="769" spans="1:19" x14ac:dyDescent="0.15">
      <c r="A769" s="11">
        <v>30014</v>
      </c>
      <c r="B769" s="11">
        <v>2</v>
      </c>
      <c r="C769" s="11" t="str">
        <f>A769&amp; "_"&amp;B769</f>
        <v>30014_2</v>
      </c>
      <c r="D769" s="11" t="str">
        <f>VLOOKUP(C769,[1]stages!$A:$AE,31,FALSE)</f>
        <v>everyone</v>
      </c>
      <c r="E769" s="11">
        <v>769</v>
      </c>
      <c r="F769" s="11">
        <v>7500</v>
      </c>
      <c r="G769" s="10" t="str">
        <f>IF(I769="unit",VLOOKUP(F769,[2]characters!$A:$C,3,FALSE),"-")</f>
        <v>-</v>
      </c>
      <c r="H769" s="11">
        <v>100</v>
      </c>
      <c r="I769" s="11" t="s">
        <v>32</v>
      </c>
      <c r="J769" s="11" t="s">
        <v>33</v>
      </c>
      <c r="K769" s="11">
        <v>1</v>
      </c>
      <c r="L769" s="11">
        <v>1</v>
      </c>
      <c r="M769" s="11">
        <v>0</v>
      </c>
      <c r="N769" s="11">
        <v>0</v>
      </c>
      <c r="O769" s="11">
        <v>0</v>
      </c>
      <c r="P769" s="11">
        <v>0</v>
      </c>
      <c r="Q769" s="11">
        <v>1</v>
      </c>
      <c r="R769" s="11" t="s">
        <v>27</v>
      </c>
      <c r="S769" s="11" t="s">
        <v>28</v>
      </c>
    </row>
    <row r="770" spans="1:19" x14ac:dyDescent="0.15">
      <c r="A770" s="11">
        <v>30014</v>
      </c>
      <c r="B770" s="11">
        <v>2</v>
      </c>
      <c r="C770" s="11" t="str">
        <f t="shared" ref="C770" si="83">A770&amp; "_"&amp;B770</f>
        <v>30014_2</v>
      </c>
      <c r="D770" s="11" t="str">
        <f>VLOOKUP(C770,[1]stages!$A:$AE,31,FALSE)</f>
        <v>everyone</v>
      </c>
      <c r="E770" s="11">
        <v>770</v>
      </c>
      <c r="F770" s="11">
        <v>25</v>
      </c>
      <c r="G770" s="10" t="str">
        <f>IF(I770="unit",VLOOKUP(F770,[2]characters!$A:$C,3,FALSE),"-")</f>
        <v>-</v>
      </c>
      <c r="H770" s="11">
        <v>100</v>
      </c>
      <c r="I770" s="11" t="s">
        <v>35</v>
      </c>
      <c r="J770" s="11" t="s">
        <v>33</v>
      </c>
      <c r="K770" s="11">
        <v>1</v>
      </c>
      <c r="L770" s="11">
        <v>1</v>
      </c>
      <c r="M770" s="11">
        <v>0</v>
      </c>
      <c r="N770" s="11">
        <v>0</v>
      </c>
      <c r="O770" s="11">
        <v>0</v>
      </c>
      <c r="P770" s="11">
        <v>0</v>
      </c>
      <c r="Q770" s="11">
        <v>1</v>
      </c>
      <c r="R770" s="11" t="s">
        <v>27</v>
      </c>
      <c r="S770" s="11" t="s">
        <v>28</v>
      </c>
    </row>
    <row r="771" spans="1:19" x14ac:dyDescent="0.15">
      <c r="A771" s="11">
        <v>30014</v>
      </c>
      <c r="B771" s="11">
        <v>2</v>
      </c>
      <c r="C771" s="11" t="str">
        <f t="shared" ref="C771:C779" si="84">A771&amp; "_"&amp;B771</f>
        <v>30014_2</v>
      </c>
      <c r="D771" s="11" t="str">
        <f>VLOOKUP(C771,[1]stages!$A:$AE,31,FALSE)</f>
        <v>everyone</v>
      </c>
      <c r="E771" s="11">
        <v>771</v>
      </c>
      <c r="F771" s="11">
        <v>337</v>
      </c>
      <c r="G771" s="10" t="str">
        <f>IF(I771="unit",VLOOKUP(F771,[2]characters!$A:$C,3,FALSE),"-")</f>
        <v>森のメタルチック</v>
      </c>
      <c r="H771" s="11">
        <v>56</v>
      </c>
      <c r="I771" s="11" t="s">
        <v>36</v>
      </c>
      <c r="J771" s="11">
        <v>1</v>
      </c>
      <c r="K771" s="11">
        <v>1</v>
      </c>
      <c r="L771" s="11">
        <v>1</v>
      </c>
      <c r="M771" s="11">
        <v>0</v>
      </c>
      <c r="N771" s="11">
        <v>0</v>
      </c>
      <c r="O771" s="11">
        <v>0</v>
      </c>
      <c r="P771" s="11">
        <v>0</v>
      </c>
      <c r="Q771" s="11">
        <v>1</v>
      </c>
      <c r="R771" s="11" t="s">
        <v>27</v>
      </c>
      <c r="S771" s="11" t="s">
        <v>28</v>
      </c>
    </row>
    <row r="772" spans="1:19" x14ac:dyDescent="0.15">
      <c r="A772" s="11">
        <v>30014</v>
      </c>
      <c r="B772" s="11">
        <v>2</v>
      </c>
      <c r="C772" s="11" t="str">
        <f t="shared" si="84"/>
        <v>30014_2</v>
      </c>
      <c r="D772" s="11" t="str">
        <f>VLOOKUP(C772,[1]stages!$A:$AE,31,FALSE)</f>
        <v>everyone</v>
      </c>
      <c r="E772" s="11">
        <v>772</v>
      </c>
      <c r="F772" s="11">
        <v>338</v>
      </c>
      <c r="G772" s="10" t="str">
        <f>IF(I772="unit",VLOOKUP(F772,[2]characters!$A:$C,3,FALSE),"-")</f>
        <v>森のメタルダック</v>
      </c>
      <c r="H772" s="11">
        <v>84</v>
      </c>
      <c r="I772" s="11" t="s">
        <v>36</v>
      </c>
      <c r="J772" s="11">
        <v>1</v>
      </c>
      <c r="K772" s="11">
        <v>1</v>
      </c>
      <c r="L772" s="11">
        <v>1</v>
      </c>
      <c r="M772" s="11">
        <v>0</v>
      </c>
      <c r="N772" s="11">
        <v>0</v>
      </c>
      <c r="O772" s="11">
        <v>0</v>
      </c>
      <c r="P772" s="11">
        <v>0</v>
      </c>
      <c r="Q772" s="11">
        <v>1</v>
      </c>
      <c r="R772" s="11" t="s">
        <v>27</v>
      </c>
      <c r="S772" s="11" t="s">
        <v>28</v>
      </c>
    </row>
    <row r="773" spans="1:19" x14ac:dyDescent="0.15">
      <c r="A773" s="11">
        <v>30014</v>
      </c>
      <c r="B773" s="11">
        <v>2</v>
      </c>
      <c r="C773" s="11" t="str">
        <f t="shared" si="84"/>
        <v>30014_2</v>
      </c>
      <c r="D773" s="11" t="str">
        <f>VLOOKUP(C773,[1]stages!$A:$AE,31,FALSE)</f>
        <v>everyone</v>
      </c>
      <c r="E773" s="11">
        <v>773</v>
      </c>
      <c r="F773" s="11">
        <v>121</v>
      </c>
      <c r="G773" s="10" t="str">
        <f>IF(I773="unit",VLOOKUP(F773,[2]characters!$A:$C,3,FALSE),"-")</f>
        <v>攻めの果実</v>
      </c>
      <c r="H773" s="11">
        <v>50</v>
      </c>
      <c r="I773" s="11" t="s">
        <v>36</v>
      </c>
      <c r="J773" s="11">
        <v>1</v>
      </c>
      <c r="K773" s="11">
        <v>1</v>
      </c>
      <c r="L773" s="11">
        <v>1</v>
      </c>
      <c r="M773" s="11">
        <v>0</v>
      </c>
      <c r="N773" s="11">
        <v>0</v>
      </c>
      <c r="O773" s="11">
        <v>0</v>
      </c>
      <c r="P773" s="11">
        <v>0</v>
      </c>
      <c r="Q773" s="11">
        <v>1</v>
      </c>
      <c r="R773" s="11" t="s">
        <v>27</v>
      </c>
      <c r="S773" s="11" t="s">
        <v>28</v>
      </c>
    </row>
    <row r="774" spans="1:19" x14ac:dyDescent="0.15">
      <c r="A774" s="11">
        <v>30014</v>
      </c>
      <c r="B774" s="11">
        <v>2</v>
      </c>
      <c r="C774" s="11" t="str">
        <f t="shared" si="84"/>
        <v>30014_2</v>
      </c>
      <c r="D774" s="11" t="str">
        <f>VLOOKUP(C774,[1]stages!$A:$AE,31,FALSE)</f>
        <v>everyone</v>
      </c>
      <c r="E774" s="11">
        <v>774</v>
      </c>
      <c r="F774" s="11">
        <v>122</v>
      </c>
      <c r="G774" s="10" t="str">
        <f>IF(I774="unit",VLOOKUP(F774,[2]characters!$A:$C,3,FALSE),"-")</f>
        <v>生命の果実</v>
      </c>
      <c r="H774" s="11">
        <v>50</v>
      </c>
      <c r="I774" s="11" t="s">
        <v>36</v>
      </c>
      <c r="J774" s="11">
        <v>1</v>
      </c>
      <c r="K774" s="11">
        <v>1</v>
      </c>
      <c r="L774" s="11">
        <v>1</v>
      </c>
      <c r="M774" s="11">
        <v>0</v>
      </c>
      <c r="N774" s="11">
        <v>0</v>
      </c>
      <c r="O774" s="11">
        <v>0</v>
      </c>
      <c r="P774" s="11">
        <v>0</v>
      </c>
      <c r="Q774" s="11">
        <v>1</v>
      </c>
      <c r="R774" s="11" t="s">
        <v>27</v>
      </c>
      <c r="S774" s="11" t="s">
        <v>28</v>
      </c>
    </row>
    <row r="775" spans="1:19" x14ac:dyDescent="0.15">
      <c r="A775" s="11">
        <v>30014</v>
      </c>
      <c r="B775" s="11">
        <v>2</v>
      </c>
      <c r="C775" s="11" t="str">
        <f t="shared" si="84"/>
        <v>30014_2</v>
      </c>
      <c r="D775" s="11" t="str">
        <f>VLOOKUP(C775,[1]stages!$A:$AE,31,FALSE)</f>
        <v>everyone</v>
      </c>
      <c r="E775" s="11">
        <v>775</v>
      </c>
      <c r="F775" s="11">
        <v>123</v>
      </c>
      <c r="G775" s="10" t="str">
        <f>IF(I775="unit",VLOOKUP(F775,[2]characters!$A:$C,3,FALSE),"-")</f>
        <v>癒しの果実</v>
      </c>
      <c r="H775" s="11">
        <v>50</v>
      </c>
      <c r="I775" s="11" t="s">
        <v>36</v>
      </c>
      <c r="J775" s="11">
        <v>1</v>
      </c>
      <c r="K775" s="11">
        <v>1</v>
      </c>
      <c r="L775" s="11">
        <v>1</v>
      </c>
      <c r="M775" s="11">
        <v>0</v>
      </c>
      <c r="N775" s="11">
        <v>0</v>
      </c>
      <c r="O775" s="11">
        <v>0</v>
      </c>
      <c r="P775" s="11">
        <v>0</v>
      </c>
      <c r="Q775" s="11">
        <v>1</v>
      </c>
      <c r="R775" s="11" t="s">
        <v>27</v>
      </c>
      <c r="S775" s="11" t="s">
        <v>28</v>
      </c>
    </row>
    <row r="776" spans="1:19" x14ac:dyDescent="0.15">
      <c r="A776" s="11">
        <v>30014</v>
      </c>
      <c r="B776" s="11">
        <v>2</v>
      </c>
      <c r="C776" s="11" t="str">
        <f t="shared" si="84"/>
        <v>30014_2</v>
      </c>
      <c r="D776" s="11" t="str">
        <f>VLOOKUP(C776,[1]stages!$A:$AE,31,FALSE)</f>
        <v>everyone</v>
      </c>
      <c r="E776" s="11">
        <v>776</v>
      </c>
      <c r="F776" s="11">
        <v>125</v>
      </c>
      <c r="G776" s="10" t="str">
        <f>IF(I776="unit",VLOOKUP(F776,[2]characters!$A:$C,3,FALSE),"-")</f>
        <v>秘術の果実</v>
      </c>
      <c r="H776" s="11">
        <v>10</v>
      </c>
      <c r="I776" s="11" t="s">
        <v>36</v>
      </c>
      <c r="J776" s="11">
        <v>1</v>
      </c>
      <c r="K776" s="11">
        <v>1</v>
      </c>
      <c r="L776" s="11">
        <v>1</v>
      </c>
      <c r="M776" s="11">
        <v>0</v>
      </c>
      <c r="N776" s="11">
        <v>0</v>
      </c>
      <c r="O776" s="11">
        <v>0</v>
      </c>
      <c r="P776" s="11">
        <v>0</v>
      </c>
      <c r="Q776" s="11">
        <v>1</v>
      </c>
      <c r="R776" s="11" t="s">
        <v>27</v>
      </c>
      <c r="S776" s="11" t="s">
        <v>28</v>
      </c>
    </row>
    <row r="777" spans="1:19" x14ac:dyDescent="0.15">
      <c r="A777" s="11">
        <v>30014</v>
      </c>
      <c r="B777" s="11">
        <v>2</v>
      </c>
      <c r="C777" s="11" t="str">
        <f t="shared" si="84"/>
        <v>30014_2</v>
      </c>
      <c r="D777" s="11" t="str">
        <f>VLOOKUP(C777,[1]stages!$A:$AE,31,FALSE)</f>
        <v>everyone</v>
      </c>
      <c r="E777" s="11">
        <v>777</v>
      </c>
      <c r="F777" s="11">
        <v>420</v>
      </c>
      <c r="G777" s="10" t="str">
        <f>IF(I777="unit",VLOOKUP(F777,[2]characters!$A:$C,3,FALSE),"-")</f>
        <v>カエデ</v>
      </c>
      <c r="H777" s="11">
        <v>400</v>
      </c>
      <c r="I777" s="11" t="s">
        <v>36</v>
      </c>
      <c r="J777" s="11">
        <v>1</v>
      </c>
      <c r="K777" s="11">
        <v>1</v>
      </c>
      <c r="L777" s="11">
        <v>1</v>
      </c>
      <c r="M777" s="11">
        <v>0</v>
      </c>
      <c r="N777" s="11">
        <v>0</v>
      </c>
      <c r="O777" s="11">
        <v>0</v>
      </c>
      <c r="P777" s="11">
        <v>0</v>
      </c>
      <c r="Q777" s="11">
        <v>1</v>
      </c>
      <c r="R777" s="11" t="s">
        <v>27</v>
      </c>
      <c r="S777" s="11" t="s">
        <v>28</v>
      </c>
    </row>
    <row r="778" spans="1:19" x14ac:dyDescent="0.15">
      <c r="A778" s="11">
        <v>30014</v>
      </c>
      <c r="B778" s="11">
        <v>2</v>
      </c>
      <c r="C778" s="11" t="str">
        <f t="shared" si="84"/>
        <v>30014_2</v>
      </c>
      <c r="D778" s="11" t="str">
        <f>VLOOKUP(C778,[1]stages!$A:$AE,31,FALSE)</f>
        <v>everyone</v>
      </c>
      <c r="E778" s="11">
        <v>778</v>
      </c>
      <c r="F778" s="11">
        <v>350</v>
      </c>
      <c r="G778" s="10" t="str">
        <f>IF(I778="unit",VLOOKUP(F778,[2]characters!$A:$C,3,FALSE),"-")</f>
        <v>森のケロケロ</v>
      </c>
      <c r="H778" s="11">
        <v>100</v>
      </c>
      <c r="I778" s="11" t="s">
        <v>36</v>
      </c>
      <c r="J778" s="11">
        <v>1</v>
      </c>
      <c r="K778" s="11">
        <v>1</v>
      </c>
      <c r="L778" s="11">
        <v>1</v>
      </c>
      <c r="M778" s="11">
        <v>0</v>
      </c>
      <c r="N778" s="11">
        <v>0</v>
      </c>
      <c r="O778" s="11">
        <v>0</v>
      </c>
      <c r="P778" s="11">
        <v>0</v>
      </c>
      <c r="Q778" s="11">
        <v>1</v>
      </c>
      <c r="R778" s="11" t="s">
        <v>27</v>
      </c>
      <c r="S778" s="11" t="s">
        <v>28</v>
      </c>
    </row>
    <row r="779" spans="1:19" x14ac:dyDescent="0.15">
      <c r="A779" s="12">
        <v>30015</v>
      </c>
      <c r="B779" s="12">
        <v>1</v>
      </c>
      <c r="C779" s="12" t="str">
        <f t="shared" si="84"/>
        <v>30015_1</v>
      </c>
      <c r="D779" s="12" t="str">
        <f>VLOOKUP(C779,[1]stages!$A:$AE,31,FALSE)</f>
        <v>everyone</v>
      </c>
      <c r="E779" s="12">
        <v>779</v>
      </c>
      <c r="F779" s="12">
        <v>6500</v>
      </c>
      <c r="G779" s="10" t="str">
        <f>IF(I779="unit",VLOOKUP(F779,[2]characters!$A:$C,3,FALSE),"-")</f>
        <v>-</v>
      </c>
      <c r="H779" s="12">
        <v>200</v>
      </c>
      <c r="I779" s="12" t="s">
        <v>32</v>
      </c>
      <c r="J779" s="12" t="s">
        <v>33</v>
      </c>
      <c r="K779" s="12">
        <v>1</v>
      </c>
      <c r="L779" s="12">
        <v>1</v>
      </c>
      <c r="M779" s="12">
        <v>0</v>
      </c>
      <c r="N779" s="12">
        <v>0</v>
      </c>
      <c r="O779" s="12">
        <v>0</v>
      </c>
      <c r="P779" s="12">
        <v>0</v>
      </c>
      <c r="Q779" s="12">
        <v>1</v>
      </c>
      <c r="R779" s="12" t="s">
        <v>27</v>
      </c>
      <c r="S779" s="12" t="s">
        <v>28</v>
      </c>
    </row>
    <row r="780" spans="1:19" x14ac:dyDescent="0.15">
      <c r="A780" s="12">
        <v>30015</v>
      </c>
      <c r="B780" s="12">
        <v>1</v>
      </c>
      <c r="C780" s="12" t="str">
        <f t="shared" ref="C780:C789" si="85">A780&amp; "_"&amp;B780</f>
        <v>30015_1</v>
      </c>
      <c r="D780" s="12" t="str">
        <f>VLOOKUP(C780,[1]stages!$A:$AE,31,FALSE)</f>
        <v>everyone</v>
      </c>
      <c r="E780" s="12">
        <v>780</v>
      </c>
      <c r="F780" s="12">
        <v>25</v>
      </c>
      <c r="G780" s="10" t="str">
        <f>IF(I780="unit",VLOOKUP(F780,[2]characters!$A:$C,3,FALSE),"-")</f>
        <v>-</v>
      </c>
      <c r="H780" s="12">
        <v>150</v>
      </c>
      <c r="I780" s="12" t="s">
        <v>35</v>
      </c>
      <c r="J780" s="12" t="s">
        <v>33</v>
      </c>
      <c r="K780" s="12">
        <v>1</v>
      </c>
      <c r="L780" s="12">
        <v>1</v>
      </c>
      <c r="M780" s="12">
        <v>0</v>
      </c>
      <c r="N780" s="12">
        <v>0</v>
      </c>
      <c r="O780" s="12">
        <v>0</v>
      </c>
      <c r="P780" s="12">
        <v>0</v>
      </c>
      <c r="Q780" s="12">
        <v>1</v>
      </c>
      <c r="R780" s="12" t="s">
        <v>27</v>
      </c>
      <c r="S780" s="12" t="s">
        <v>28</v>
      </c>
    </row>
    <row r="781" spans="1:19" x14ac:dyDescent="0.15">
      <c r="A781" s="12">
        <v>30015</v>
      </c>
      <c r="B781" s="12">
        <v>1</v>
      </c>
      <c r="C781" s="12" t="str">
        <f t="shared" si="85"/>
        <v>30015_1</v>
      </c>
      <c r="D781" s="12" t="str">
        <f>VLOOKUP(C781,[1]stages!$A:$AE,31,FALSE)</f>
        <v>everyone</v>
      </c>
      <c r="E781" s="12">
        <v>781</v>
      </c>
      <c r="F781" s="12">
        <v>340</v>
      </c>
      <c r="G781" s="10" t="str">
        <f>IF(I781="unit",VLOOKUP(F781,[2]characters!$A:$C,3,FALSE),"-")</f>
        <v>水のメタルピヨピヨ</v>
      </c>
      <c r="H781" s="12">
        <v>28</v>
      </c>
      <c r="I781" s="12" t="s">
        <v>36</v>
      </c>
      <c r="J781" s="12">
        <v>1</v>
      </c>
      <c r="K781" s="12">
        <v>1</v>
      </c>
      <c r="L781" s="12">
        <v>1</v>
      </c>
      <c r="M781" s="12">
        <v>0</v>
      </c>
      <c r="N781" s="12">
        <v>0</v>
      </c>
      <c r="O781" s="12">
        <v>0</v>
      </c>
      <c r="P781" s="12">
        <v>0</v>
      </c>
      <c r="Q781" s="12">
        <v>1</v>
      </c>
      <c r="R781" s="12" t="s">
        <v>27</v>
      </c>
      <c r="S781" s="12" t="s">
        <v>28</v>
      </c>
    </row>
    <row r="782" spans="1:19" x14ac:dyDescent="0.15">
      <c r="A782" s="12">
        <v>30015</v>
      </c>
      <c r="B782" s="12">
        <v>1</v>
      </c>
      <c r="C782" s="12" t="str">
        <f t="shared" si="85"/>
        <v>30015_1</v>
      </c>
      <c r="D782" s="12" t="str">
        <f>VLOOKUP(C782,[1]stages!$A:$AE,31,FALSE)</f>
        <v>everyone</v>
      </c>
      <c r="E782" s="12">
        <v>782</v>
      </c>
      <c r="F782" s="12">
        <v>341</v>
      </c>
      <c r="G782" s="10" t="str">
        <f>IF(I782="unit",VLOOKUP(F782,[2]characters!$A:$C,3,FALSE),"-")</f>
        <v>水のメタルチック</v>
      </c>
      <c r="H782" s="12">
        <v>56</v>
      </c>
      <c r="I782" s="12" t="s">
        <v>36</v>
      </c>
      <c r="J782" s="12">
        <v>1</v>
      </c>
      <c r="K782" s="12">
        <v>1</v>
      </c>
      <c r="L782" s="12">
        <v>1</v>
      </c>
      <c r="M782" s="12">
        <v>0</v>
      </c>
      <c r="N782" s="12">
        <v>0</v>
      </c>
      <c r="O782" s="12">
        <v>0</v>
      </c>
      <c r="P782" s="12">
        <v>0</v>
      </c>
      <c r="Q782" s="12">
        <v>1</v>
      </c>
      <c r="R782" s="12" t="s">
        <v>27</v>
      </c>
      <c r="S782" s="12" t="s">
        <v>28</v>
      </c>
    </row>
    <row r="783" spans="1:19" x14ac:dyDescent="0.15">
      <c r="A783" s="12">
        <v>30015</v>
      </c>
      <c r="B783" s="12">
        <v>1</v>
      </c>
      <c r="C783" s="12" t="str">
        <f t="shared" si="85"/>
        <v>30015_1</v>
      </c>
      <c r="D783" s="12" t="str">
        <f>VLOOKUP(C783,[1]stages!$A:$AE,31,FALSE)</f>
        <v>everyone</v>
      </c>
      <c r="E783" s="12">
        <v>783</v>
      </c>
      <c r="F783" s="12">
        <v>342</v>
      </c>
      <c r="G783" s="10" t="str">
        <f>IF(I783="unit",VLOOKUP(F783,[2]characters!$A:$C,3,FALSE),"-")</f>
        <v>水のメタルダック</v>
      </c>
      <c r="H783" s="12">
        <v>56</v>
      </c>
      <c r="I783" s="12" t="s">
        <v>36</v>
      </c>
      <c r="J783" s="12">
        <v>1</v>
      </c>
      <c r="K783" s="12">
        <v>1</v>
      </c>
      <c r="L783" s="12">
        <v>1</v>
      </c>
      <c r="M783" s="12">
        <v>0</v>
      </c>
      <c r="N783" s="12">
        <v>0</v>
      </c>
      <c r="O783" s="12">
        <v>0</v>
      </c>
      <c r="P783" s="12">
        <v>0</v>
      </c>
      <c r="Q783" s="12">
        <v>1</v>
      </c>
      <c r="R783" s="12" t="s">
        <v>27</v>
      </c>
      <c r="S783" s="12" t="s">
        <v>28</v>
      </c>
    </row>
    <row r="784" spans="1:19" x14ac:dyDescent="0.15">
      <c r="A784" s="12">
        <v>30015</v>
      </c>
      <c r="B784" s="12">
        <v>1</v>
      </c>
      <c r="C784" s="12" t="str">
        <f t="shared" si="85"/>
        <v>30015_1</v>
      </c>
      <c r="D784" s="12" t="str">
        <f>VLOOKUP(C784,[1]stages!$A:$AE,31,FALSE)</f>
        <v>everyone</v>
      </c>
      <c r="E784" s="12">
        <v>784</v>
      </c>
      <c r="F784" s="12">
        <v>121</v>
      </c>
      <c r="G784" s="10" t="str">
        <f>IF(I784="unit",VLOOKUP(F784,[2]characters!$A:$C,3,FALSE),"-")</f>
        <v>攻めの果実</v>
      </c>
      <c r="H784" s="12">
        <v>50</v>
      </c>
      <c r="I784" s="12" t="s">
        <v>36</v>
      </c>
      <c r="J784" s="12">
        <v>1</v>
      </c>
      <c r="K784" s="12">
        <v>1</v>
      </c>
      <c r="L784" s="12">
        <v>1</v>
      </c>
      <c r="M784" s="12">
        <v>0</v>
      </c>
      <c r="N784" s="12">
        <v>0</v>
      </c>
      <c r="O784" s="12">
        <v>0</v>
      </c>
      <c r="P784" s="12">
        <v>0</v>
      </c>
      <c r="Q784" s="12">
        <v>1</v>
      </c>
      <c r="R784" s="12" t="s">
        <v>27</v>
      </c>
      <c r="S784" s="12" t="s">
        <v>28</v>
      </c>
    </row>
    <row r="785" spans="1:19" x14ac:dyDescent="0.15">
      <c r="A785" s="12">
        <v>30015</v>
      </c>
      <c r="B785" s="12">
        <v>1</v>
      </c>
      <c r="C785" s="12" t="str">
        <f t="shared" si="85"/>
        <v>30015_1</v>
      </c>
      <c r="D785" s="12" t="str">
        <f>VLOOKUP(C785,[1]stages!$A:$AE,31,FALSE)</f>
        <v>everyone</v>
      </c>
      <c r="E785" s="12">
        <v>785</v>
      </c>
      <c r="F785" s="12">
        <v>122</v>
      </c>
      <c r="G785" s="10" t="str">
        <f>IF(I785="unit",VLOOKUP(F785,[2]characters!$A:$C,3,FALSE),"-")</f>
        <v>生命の果実</v>
      </c>
      <c r="H785" s="12">
        <v>50</v>
      </c>
      <c r="I785" s="12" t="s">
        <v>36</v>
      </c>
      <c r="J785" s="12">
        <v>1</v>
      </c>
      <c r="K785" s="12">
        <v>1</v>
      </c>
      <c r="L785" s="12">
        <v>1</v>
      </c>
      <c r="M785" s="12">
        <v>0</v>
      </c>
      <c r="N785" s="12">
        <v>0</v>
      </c>
      <c r="O785" s="12">
        <v>0</v>
      </c>
      <c r="P785" s="12">
        <v>0</v>
      </c>
      <c r="Q785" s="12">
        <v>1</v>
      </c>
      <c r="R785" s="12" t="s">
        <v>27</v>
      </c>
      <c r="S785" s="12" t="s">
        <v>28</v>
      </c>
    </row>
    <row r="786" spans="1:19" x14ac:dyDescent="0.15">
      <c r="A786" s="12">
        <v>30015</v>
      </c>
      <c r="B786" s="12">
        <v>1</v>
      </c>
      <c r="C786" s="12" t="str">
        <f t="shared" si="85"/>
        <v>30015_1</v>
      </c>
      <c r="D786" s="12" t="str">
        <f>VLOOKUP(C786,[1]stages!$A:$AE,31,FALSE)</f>
        <v>everyone</v>
      </c>
      <c r="E786" s="12">
        <v>786</v>
      </c>
      <c r="F786" s="12">
        <v>123</v>
      </c>
      <c r="G786" s="10" t="str">
        <f>IF(I786="unit",VLOOKUP(F786,[2]characters!$A:$C,3,FALSE),"-")</f>
        <v>癒しの果実</v>
      </c>
      <c r="H786" s="12">
        <v>50</v>
      </c>
      <c r="I786" s="12" t="s">
        <v>36</v>
      </c>
      <c r="J786" s="12">
        <v>1</v>
      </c>
      <c r="K786" s="12">
        <v>1</v>
      </c>
      <c r="L786" s="12">
        <v>1</v>
      </c>
      <c r="M786" s="12">
        <v>0</v>
      </c>
      <c r="N786" s="12">
        <v>0</v>
      </c>
      <c r="O786" s="12">
        <v>0</v>
      </c>
      <c r="P786" s="12">
        <v>0</v>
      </c>
      <c r="Q786" s="12">
        <v>1</v>
      </c>
      <c r="R786" s="12" t="s">
        <v>27</v>
      </c>
      <c r="S786" s="12" t="s">
        <v>28</v>
      </c>
    </row>
    <row r="787" spans="1:19" x14ac:dyDescent="0.15">
      <c r="A787" s="12">
        <v>30015</v>
      </c>
      <c r="B787" s="12">
        <v>1</v>
      </c>
      <c r="C787" s="12" t="str">
        <f t="shared" si="85"/>
        <v>30015_1</v>
      </c>
      <c r="D787" s="12" t="str">
        <f>VLOOKUP(C787,[1]stages!$A:$AE,31,FALSE)</f>
        <v>everyone</v>
      </c>
      <c r="E787" s="12">
        <v>787</v>
      </c>
      <c r="F787" s="12">
        <v>125</v>
      </c>
      <c r="G787" s="10" t="str">
        <f>IF(I787="unit",VLOOKUP(F787,[2]characters!$A:$C,3,FALSE),"-")</f>
        <v>秘術の果実</v>
      </c>
      <c r="H787" s="12">
        <v>10</v>
      </c>
      <c r="I787" s="12" t="s">
        <v>36</v>
      </c>
      <c r="J787" s="12">
        <v>1</v>
      </c>
      <c r="K787" s="12">
        <v>1</v>
      </c>
      <c r="L787" s="12">
        <v>1</v>
      </c>
      <c r="M787" s="12">
        <v>0</v>
      </c>
      <c r="N787" s="12">
        <v>0</v>
      </c>
      <c r="O787" s="12">
        <v>0</v>
      </c>
      <c r="P787" s="12">
        <v>0</v>
      </c>
      <c r="Q787" s="12">
        <v>1</v>
      </c>
      <c r="R787" s="12" t="s">
        <v>27</v>
      </c>
      <c r="S787" s="12" t="s">
        <v>28</v>
      </c>
    </row>
    <row r="788" spans="1:19" x14ac:dyDescent="0.15">
      <c r="A788" s="12">
        <v>30015</v>
      </c>
      <c r="B788" s="12">
        <v>1</v>
      </c>
      <c r="C788" s="12" t="str">
        <f t="shared" si="85"/>
        <v>30015_1</v>
      </c>
      <c r="D788" s="12" t="str">
        <f>VLOOKUP(C788,[1]stages!$A:$AE,31,FALSE)</f>
        <v>everyone</v>
      </c>
      <c r="E788" s="12">
        <v>788</v>
      </c>
      <c r="F788" s="12">
        <v>422</v>
      </c>
      <c r="G788" s="10" t="str">
        <f>IF(I788="unit",VLOOKUP(F788,[2]characters!$A:$C,3,FALSE),"-")</f>
        <v>シュガフル</v>
      </c>
      <c r="H788" s="12">
        <v>250</v>
      </c>
      <c r="I788" s="12" t="s">
        <v>36</v>
      </c>
      <c r="J788" s="12">
        <v>1</v>
      </c>
      <c r="K788" s="12">
        <v>1</v>
      </c>
      <c r="L788" s="12">
        <v>1</v>
      </c>
      <c r="M788" s="12">
        <v>0</v>
      </c>
      <c r="N788" s="12">
        <v>0</v>
      </c>
      <c r="O788" s="12">
        <v>0</v>
      </c>
      <c r="P788" s="12">
        <v>0</v>
      </c>
      <c r="Q788" s="12">
        <v>1</v>
      </c>
      <c r="R788" s="12" t="s">
        <v>27</v>
      </c>
      <c r="S788" s="12" t="s">
        <v>28</v>
      </c>
    </row>
    <row r="789" spans="1:19" x14ac:dyDescent="0.15">
      <c r="A789" s="12">
        <v>30015</v>
      </c>
      <c r="B789" s="12">
        <v>1</v>
      </c>
      <c r="C789" s="12" t="str">
        <f t="shared" si="85"/>
        <v>30015_1</v>
      </c>
      <c r="D789" s="12" t="str">
        <f>VLOOKUP(C789,[1]stages!$A:$AE,31,FALSE)</f>
        <v>everyone</v>
      </c>
      <c r="E789" s="12">
        <v>789</v>
      </c>
      <c r="F789" s="12">
        <v>352</v>
      </c>
      <c r="G789" s="10" t="str">
        <f>IF(I789="unit",VLOOKUP(F789,[2]characters!$A:$C,3,FALSE),"-")</f>
        <v>水のケロケロ</v>
      </c>
      <c r="H789" s="12">
        <v>100</v>
      </c>
      <c r="I789" s="12" t="s">
        <v>36</v>
      </c>
      <c r="J789" s="12">
        <v>1</v>
      </c>
      <c r="K789" s="12">
        <v>1</v>
      </c>
      <c r="L789" s="12">
        <v>1</v>
      </c>
      <c r="M789" s="12">
        <v>0</v>
      </c>
      <c r="N789" s="12">
        <v>0</v>
      </c>
      <c r="O789" s="12">
        <v>0</v>
      </c>
      <c r="P789" s="12">
        <v>0</v>
      </c>
      <c r="Q789" s="12">
        <v>1</v>
      </c>
      <c r="R789" s="12" t="s">
        <v>27</v>
      </c>
      <c r="S789" s="12" t="s">
        <v>28</v>
      </c>
    </row>
    <row r="790" spans="1:19" x14ac:dyDescent="0.15">
      <c r="A790" s="12">
        <v>30015</v>
      </c>
      <c r="B790" s="12">
        <v>2</v>
      </c>
      <c r="C790" s="12" t="str">
        <f>A790&amp; "_"&amp;B790</f>
        <v>30015_2</v>
      </c>
      <c r="D790" s="12" t="str">
        <f>VLOOKUP(C790,[1]stages!$A:$AE,31,FALSE)</f>
        <v>everyone</v>
      </c>
      <c r="E790" s="12">
        <v>790</v>
      </c>
      <c r="F790" s="12">
        <v>7500</v>
      </c>
      <c r="G790" s="10" t="str">
        <f>IF(I790="unit",VLOOKUP(F790,[2]characters!$A:$C,3,FALSE),"-")</f>
        <v>-</v>
      </c>
      <c r="H790" s="12">
        <v>100</v>
      </c>
      <c r="I790" s="12" t="s">
        <v>32</v>
      </c>
      <c r="J790" s="12" t="s">
        <v>33</v>
      </c>
      <c r="K790" s="12">
        <v>1</v>
      </c>
      <c r="L790" s="12">
        <v>1</v>
      </c>
      <c r="M790" s="12">
        <v>0</v>
      </c>
      <c r="N790" s="12">
        <v>0</v>
      </c>
      <c r="O790" s="12">
        <v>0</v>
      </c>
      <c r="P790" s="12">
        <v>0</v>
      </c>
      <c r="Q790" s="12">
        <v>1</v>
      </c>
      <c r="R790" s="12" t="s">
        <v>27</v>
      </c>
      <c r="S790" s="12" t="s">
        <v>28</v>
      </c>
    </row>
    <row r="791" spans="1:19" x14ac:dyDescent="0.15">
      <c r="A791" s="12">
        <v>30015</v>
      </c>
      <c r="B791" s="12">
        <v>2</v>
      </c>
      <c r="C791" s="12" t="str">
        <f t="shared" ref="C791" si="86">A791&amp; "_"&amp;B791</f>
        <v>30015_2</v>
      </c>
      <c r="D791" s="12" t="str">
        <f>VLOOKUP(C791,[1]stages!$A:$AE,31,FALSE)</f>
        <v>everyone</v>
      </c>
      <c r="E791" s="12">
        <v>791</v>
      </c>
      <c r="F791" s="12">
        <v>25</v>
      </c>
      <c r="G791" s="10" t="str">
        <f>IF(I791="unit",VLOOKUP(F791,[2]characters!$A:$C,3,FALSE),"-")</f>
        <v>-</v>
      </c>
      <c r="H791" s="12">
        <v>100</v>
      </c>
      <c r="I791" s="12" t="s">
        <v>35</v>
      </c>
      <c r="J791" s="12" t="s">
        <v>33</v>
      </c>
      <c r="K791" s="12">
        <v>1</v>
      </c>
      <c r="L791" s="12">
        <v>1</v>
      </c>
      <c r="M791" s="12">
        <v>0</v>
      </c>
      <c r="N791" s="12">
        <v>0</v>
      </c>
      <c r="O791" s="12">
        <v>0</v>
      </c>
      <c r="P791" s="12">
        <v>0</v>
      </c>
      <c r="Q791" s="12">
        <v>1</v>
      </c>
      <c r="R791" s="12" t="s">
        <v>27</v>
      </c>
      <c r="S791" s="12" t="s">
        <v>28</v>
      </c>
    </row>
    <row r="792" spans="1:19" x14ac:dyDescent="0.15">
      <c r="A792" s="12">
        <v>30015</v>
      </c>
      <c r="B792" s="12">
        <v>2</v>
      </c>
      <c r="C792" s="12" t="str">
        <f t="shared" ref="C792:C800" si="87">A792&amp; "_"&amp;B792</f>
        <v>30015_2</v>
      </c>
      <c r="D792" s="12" t="str">
        <f>VLOOKUP(C792,[1]stages!$A:$AE,31,FALSE)</f>
        <v>everyone</v>
      </c>
      <c r="E792" s="12">
        <v>792</v>
      </c>
      <c r="F792" s="12">
        <v>341</v>
      </c>
      <c r="G792" s="10" t="str">
        <f>IF(I792="unit",VLOOKUP(F792,[2]characters!$A:$C,3,FALSE),"-")</f>
        <v>水のメタルチック</v>
      </c>
      <c r="H792" s="12">
        <v>56</v>
      </c>
      <c r="I792" s="12" t="s">
        <v>36</v>
      </c>
      <c r="J792" s="12">
        <v>1</v>
      </c>
      <c r="K792" s="12">
        <v>1</v>
      </c>
      <c r="L792" s="12">
        <v>1</v>
      </c>
      <c r="M792" s="12">
        <v>0</v>
      </c>
      <c r="N792" s="12">
        <v>0</v>
      </c>
      <c r="O792" s="12">
        <v>0</v>
      </c>
      <c r="P792" s="12">
        <v>0</v>
      </c>
      <c r="Q792" s="12">
        <v>1</v>
      </c>
      <c r="R792" s="12" t="s">
        <v>27</v>
      </c>
      <c r="S792" s="12" t="s">
        <v>28</v>
      </c>
    </row>
    <row r="793" spans="1:19" x14ac:dyDescent="0.15">
      <c r="A793" s="12">
        <v>30015</v>
      </c>
      <c r="B793" s="12">
        <v>2</v>
      </c>
      <c r="C793" s="12" t="str">
        <f t="shared" si="87"/>
        <v>30015_2</v>
      </c>
      <c r="D793" s="12" t="str">
        <f>VLOOKUP(C793,[1]stages!$A:$AE,31,FALSE)</f>
        <v>everyone</v>
      </c>
      <c r="E793" s="12">
        <v>793</v>
      </c>
      <c r="F793" s="12">
        <v>342</v>
      </c>
      <c r="G793" s="10" t="str">
        <f>IF(I793="unit",VLOOKUP(F793,[2]characters!$A:$C,3,FALSE),"-")</f>
        <v>水のメタルダック</v>
      </c>
      <c r="H793" s="12">
        <v>84</v>
      </c>
      <c r="I793" s="12" t="s">
        <v>36</v>
      </c>
      <c r="J793" s="12">
        <v>1</v>
      </c>
      <c r="K793" s="12">
        <v>1</v>
      </c>
      <c r="L793" s="12">
        <v>1</v>
      </c>
      <c r="M793" s="12">
        <v>0</v>
      </c>
      <c r="N793" s="12">
        <v>0</v>
      </c>
      <c r="O793" s="12">
        <v>0</v>
      </c>
      <c r="P793" s="12">
        <v>0</v>
      </c>
      <c r="Q793" s="12">
        <v>1</v>
      </c>
      <c r="R793" s="12" t="s">
        <v>27</v>
      </c>
      <c r="S793" s="12" t="s">
        <v>28</v>
      </c>
    </row>
    <row r="794" spans="1:19" x14ac:dyDescent="0.15">
      <c r="A794" s="12">
        <v>30015</v>
      </c>
      <c r="B794" s="12">
        <v>2</v>
      </c>
      <c r="C794" s="12" t="str">
        <f t="shared" si="87"/>
        <v>30015_2</v>
      </c>
      <c r="D794" s="12" t="str">
        <f>VLOOKUP(C794,[1]stages!$A:$AE,31,FALSE)</f>
        <v>everyone</v>
      </c>
      <c r="E794" s="12">
        <v>794</v>
      </c>
      <c r="F794" s="12">
        <v>121</v>
      </c>
      <c r="G794" s="10" t="str">
        <f>IF(I794="unit",VLOOKUP(F794,[2]characters!$A:$C,3,FALSE),"-")</f>
        <v>攻めの果実</v>
      </c>
      <c r="H794" s="12">
        <v>50</v>
      </c>
      <c r="I794" s="12" t="s">
        <v>36</v>
      </c>
      <c r="J794" s="12">
        <v>1</v>
      </c>
      <c r="K794" s="12">
        <v>1</v>
      </c>
      <c r="L794" s="12">
        <v>1</v>
      </c>
      <c r="M794" s="12">
        <v>0</v>
      </c>
      <c r="N794" s="12">
        <v>0</v>
      </c>
      <c r="O794" s="12">
        <v>0</v>
      </c>
      <c r="P794" s="12">
        <v>0</v>
      </c>
      <c r="Q794" s="12">
        <v>1</v>
      </c>
      <c r="R794" s="12" t="s">
        <v>27</v>
      </c>
      <c r="S794" s="12" t="s">
        <v>28</v>
      </c>
    </row>
    <row r="795" spans="1:19" x14ac:dyDescent="0.15">
      <c r="A795" s="12">
        <v>30015</v>
      </c>
      <c r="B795" s="12">
        <v>2</v>
      </c>
      <c r="C795" s="12" t="str">
        <f t="shared" si="87"/>
        <v>30015_2</v>
      </c>
      <c r="D795" s="12" t="str">
        <f>VLOOKUP(C795,[1]stages!$A:$AE,31,FALSE)</f>
        <v>everyone</v>
      </c>
      <c r="E795" s="12">
        <v>795</v>
      </c>
      <c r="F795" s="12">
        <v>122</v>
      </c>
      <c r="G795" s="10" t="str">
        <f>IF(I795="unit",VLOOKUP(F795,[2]characters!$A:$C,3,FALSE),"-")</f>
        <v>生命の果実</v>
      </c>
      <c r="H795" s="12">
        <v>50</v>
      </c>
      <c r="I795" s="12" t="s">
        <v>36</v>
      </c>
      <c r="J795" s="12">
        <v>1</v>
      </c>
      <c r="K795" s="12">
        <v>1</v>
      </c>
      <c r="L795" s="12">
        <v>1</v>
      </c>
      <c r="M795" s="12">
        <v>0</v>
      </c>
      <c r="N795" s="12">
        <v>0</v>
      </c>
      <c r="O795" s="12">
        <v>0</v>
      </c>
      <c r="P795" s="12">
        <v>0</v>
      </c>
      <c r="Q795" s="12">
        <v>1</v>
      </c>
      <c r="R795" s="12" t="s">
        <v>27</v>
      </c>
      <c r="S795" s="12" t="s">
        <v>28</v>
      </c>
    </row>
    <row r="796" spans="1:19" x14ac:dyDescent="0.15">
      <c r="A796" s="12">
        <v>30015</v>
      </c>
      <c r="B796" s="12">
        <v>2</v>
      </c>
      <c r="C796" s="12" t="str">
        <f t="shared" si="87"/>
        <v>30015_2</v>
      </c>
      <c r="D796" s="12" t="str">
        <f>VLOOKUP(C796,[1]stages!$A:$AE,31,FALSE)</f>
        <v>everyone</v>
      </c>
      <c r="E796" s="12">
        <v>796</v>
      </c>
      <c r="F796" s="12">
        <v>123</v>
      </c>
      <c r="G796" s="10" t="str">
        <f>IF(I796="unit",VLOOKUP(F796,[2]characters!$A:$C,3,FALSE),"-")</f>
        <v>癒しの果実</v>
      </c>
      <c r="H796" s="12">
        <v>50</v>
      </c>
      <c r="I796" s="12" t="s">
        <v>36</v>
      </c>
      <c r="J796" s="12">
        <v>1</v>
      </c>
      <c r="K796" s="12">
        <v>1</v>
      </c>
      <c r="L796" s="12">
        <v>1</v>
      </c>
      <c r="M796" s="12">
        <v>0</v>
      </c>
      <c r="N796" s="12">
        <v>0</v>
      </c>
      <c r="O796" s="12">
        <v>0</v>
      </c>
      <c r="P796" s="12">
        <v>0</v>
      </c>
      <c r="Q796" s="12">
        <v>1</v>
      </c>
      <c r="R796" s="12" t="s">
        <v>27</v>
      </c>
      <c r="S796" s="12" t="s">
        <v>28</v>
      </c>
    </row>
    <row r="797" spans="1:19" x14ac:dyDescent="0.15">
      <c r="A797" s="12">
        <v>30015</v>
      </c>
      <c r="B797" s="12">
        <v>2</v>
      </c>
      <c r="C797" s="12" t="str">
        <f t="shared" si="87"/>
        <v>30015_2</v>
      </c>
      <c r="D797" s="12" t="str">
        <f>VLOOKUP(C797,[1]stages!$A:$AE,31,FALSE)</f>
        <v>everyone</v>
      </c>
      <c r="E797" s="12">
        <v>797</v>
      </c>
      <c r="F797" s="12">
        <v>125</v>
      </c>
      <c r="G797" s="10" t="str">
        <f>IF(I797="unit",VLOOKUP(F797,[2]characters!$A:$C,3,FALSE),"-")</f>
        <v>秘術の果実</v>
      </c>
      <c r="H797" s="12">
        <v>10</v>
      </c>
      <c r="I797" s="12" t="s">
        <v>36</v>
      </c>
      <c r="J797" s="12">
        <v>1</v>
      </c>
      <c r="K797" s="12">
        <v>1</v>
      </c>
      <c r="L797" s="12">
        <v>1</v>
      </c>
      <c r="M797" s="12">
        <v>0</v>
      </c>
      <c r="N797" s="12">
        <v>0</v>
      </c>
      <c r="O797" s="12">
        <v>0</v>
      </c>
      <c r="P797" s="12">
        <v>0</v>
      </c>
      <c r="Q797" s="12">
        <v>1</v>
      </c>
      <c r="R797" s="12" t="s">
        <v>27</v>
      </c>
      <c r="S797" s="12" t="s">
        <v>28</v>
      </c>
    </row>
    <row r="798" spans="1:19" x14ac:dyDescent="0.15">
      <c r="A798" s="12">
        <v>30015</v>
      </c>
      <c r="B798" s="12">
        <v>2</v>
      </c>
      <c r="C798" s="12" t="str">
        <f t="shared" si="87"/>
        <v>30015_2</v>
      </c>
      <c r="D798" s="12" t="str">
        <f>VLOOKUP(C798,[1]stages!$A:$AE,31,FALSE)</f>
        <v>everyone</v>
      </c>
      <c r="E798" s="12">
        <v>798</v>
      </c>
      <c r="F798" s="12">
        <v>422</v>
      </c>
      <c r="G798" s="10" t="str">
        <f>IF(I798="unit",VLOOKUP(F798,[2]characters!$A:$C,3,FALSE),"-")</f>
        <v>シュガフル</v>
      </c>
      <c r="H798" s="12">
        <v>400</v>
      </c>
      <c r="I798" s="12" t="s">
        <v>36</v>
      </c>
      <c r="J798" s="12">
        <v>1</v>
      </c>
      <c r="K798" s="12">
        <v>1</v>
      </c>
      <c r="L798" s="12">
        <v>1</v>
      </c>
      <c r="M798" s="12">
        <v>0</v>
      </c>
      <c r="N798" s="12">
        <v>0</v>
      </c>
      <c r="O798" s="12">
        <v>0</v>
      </c>
      <c r="P798" s="12">
        <v>0</v>
      </c>
      <c r="Q798" s="12">
        <v>1</v>
      </c>
      <c r="R798" s="12" t="s">
        <v>27</v>
      </c>
      <c r="S798" s="12" t="s">
        <v>28</v>
      </c>
    </row>
    <row r="799" spans="1:19" x14ac:dyDescent="0.15">
      <c r="A799" s="12">
        <v>30015</v>
      </c>
      <c r="B799" s="12">
        <v>2</v>
      </c>
      <c r="C799" s="12" t="str">
        <f t="shared" si="87"/>
        <v>30015_2</v>
      </c>
      <c r="D799" s="12" t="str">
        <f>VLOOKUP(C799,[1]stages!$A:$AE,31,FALSE)</f>
        <v>everyone</v>
      </c>
      <c r="E799" s="12">
        <v>799</v>
      </c>
      <c r="F799" s="12">
        <v>352</v>
      </c>
      <c r="G799" s="10" t="str">
        <f>IF(I799="unit",VLOOKUP(F799,[2]characters!$A:$C,3,FALSE),"-")</f>
        <v>水のケロケロ</v>
      </c>
      <c r="H799" s="12">
        <v>100</v>
      </c>
      <c r="I799" s="12" t="s">
        <v>36</v>
      </c>
      <c r="J799" s="12">
        <v>1</v>
      </c>
      <c r="K799" s="12">
        <v>1</v>
      </c>
      <c r="L799" s="12">
        <v>1</v>
      </c>
      <c r="M799" s="12">
        <v>0</v>
      </c>
      <c r="N799" s="12">
        <v>0</v>
      </c>
      <c r="O799" s="12">
        <v>0</v>
      </c>
      <c r="P799" s="12">
        <v>0</v>
      </c>
      <c r="Q799" s="12">
        <v>1</v>
      </c>
      <c r="R799" s="12" t="s">
        <v>27</v>
      </c>
      <c r="S799" s="12" t="s">
        <v>28</v>
      </c>
    </row>
    <row r="800" spans="1:19" x14ac:dyDescent="0.15">
      <c r="A800" s="9">
        <v>30016</v>
      </c>
      <c r="B800" s="9">
        <v>1</v>
      </c>
      <c r="C800" s="9" t="str">
        <f t="shared" si="87"/>
        <v>30016_1</v>
      </c>
      <c r="D800" s="9" t="str">
        <f>VLOOKUP(C800,[1]stages!$A:$AE,31,FALSE)</f>
        <v>everyone</v>
      </c>
      <c r="E800" s="9">
        <v>800</v>
      </c>
      <c r="F800" s="9">
        <v>6500</v>
      </c>
      <c r="G800" s="10" t="str">
        <f>IF(I800="unit",VLOOKUP(F800,[2]characters!$A:$C,3,FALSE),"-")</f>
        <v>-</v>
      </c>
      <c r="H800" s="9">
        <v>200</v>
      </c>
      <c r="I800" s="9" t="s">
        <v>32</v>
      </c>
      <c r="J800" s="9" t="s">
        <v>33</v>
      </c>
      <c r="K800" s="9">
        <v>1</v>
      </c>
      <c r="L800" s="9">
        <v>1</v>
      </c>
      <c r="M800" s="9">
        <v>0</v>
      </c>
      <c r="N800" s="9">
        <v>0</v>
      </c>
      <c r="O800" s="9">
        <v>0</v>
      </c>
      <c r="P800" s="9">
        <v>0</v>
      </c>
      <c r="Q800" s="9">
        <v>1</v>
      </c>
      <c r="R800" s="9" t="s">
        <v>27</v>
      </c>
      <c r="S800" s="9" t="s">
        <v>28</v>
      </c>
    </row>
    <row r="801" spans="1:19" x14ac:dyDescent="0.15">
      <c r="A801" s="9">
        <v>30016</v>
      </c>
      <c r="B801" s="9">
        <v>1</v>
      </c>
      <c r="C801" s="9" t="str">
        <f t="shared" ref="C801:C810" si="88">A801&amp; "_"&amp;B801</f>
        <v>30016_1</v>
      </c>
      <c r="D801" s="9" t="str">
        <f>VLOOKUP(C801,[1]stages!$A:$AE,31,FALSE)</f>
        <v>everyone</v>
      </c>
      <c r="E801" s="9">
        <v>801</v>
      </c>
      <c r="F801" s="9">
        <v>25</v>
      </c>
      <c r="G801" s="10" t="str">
        <f>IF(I801="unit",VLOOKUP(F801,[2]characters!$A:$C,3,FALSE),"-")</f>
        <v>-</v>
      </c>
      <c r="H801" s="9">
        <v>150</v>
      </c>
      <c r="I801" s="9" t="s">
        <v>35</v>
      </c>
      <c r="J801" s="9" t="s">
        <v>33</v>
      </c>
      <c r="K801" s="9">
        <v>1</v>
      </c>
      <c r="L801" s="9">
        <v>1</v>
      </c>
      <c r="M801" s="9">
        <v>0</v>
      </c>
      <c r="N801" s="9">
        <v>0</v>
      </c>
      <c r="O801" s="9">
        <v>0</v>
      </c>
      <c r="P801" s="9">
        <v>0</v>
      </c>
      <c r="Q801" s="9">
        <v>1</v>
      </c>
      <c r="R801" s="9" t="s">
        <v>27</v>
      </c>
      <c r="S801" s="9" t="s">
        <v>28</v>
      </c>
    </row>
    <row r="802" spans="1:19" x14ac:dyDescent="0.15">
      <c r="A802" s="9">
        <v>30016</v>
      </c>
      <c r="B802" s="9">
        <v>1</v>
      </c>
      <c r="C802" s="9" t="str">
        <f t="shared" si="88"/>
        <v>30016_1</v>
      </c>
      <c r="D802" s="9" t="str">
        <f>VLOOKUP(C802,[1]stages!$A:$AE,31,FALSE)</f>
        <v>everyone</v>
      </c>
      <c r="E802" s="9">
        <v>802</v>
      </c>
      <c r="F802" s="9">
        <v>344</v>
      </c>
      <c r="G802" s="10" t="str">
        <f>IF(I802="unit",VLOOKUP(F802,[2]characters!$A:$C,3,FALSE),"-")</f>
        <v>雷のメタルピヨピヨ</v>
      </c>
      <c r="H802" s="9">
        <v>28</v>
      </c>
      <c r="I802" s="9" t="s">
        <v>36</v>
      </c>
      <c r="J802" s="9">
        <v>1</v>
      </c>
      <c r="K802" s="9">
        <v>1</v>
      </c>
      <c r="L802" s="9">
        <v>1</v>
      </c>
      <c r="M802" s="9">
        <v>0</v>
      </c>
      <c r="N802" s="9">
        <v>0</v>
      </c>
      <c r="O802" s="9">
        <v>0</v>
      </c>
      <c r="P802" s="9">
        <v>0</v>
      </c>
      <c r="Q802" s="9">
        <v>1</v>
      </c>
      <c r="R802" s="9" t="s">
        <v>27</v>
      </c>
      <c r="S802" s="9" t="s">
        <v>28</v>
      </c>
    </row>
    <row r="803" spans="1:19" x14ac:dyDescent="0.15">
      <c r="A803" s="9">
        <v>30016</v>
      </c>
      <c r="B803" s="9">
        <v>1</v>
      </c>
      <c r="C803" s="9" t="str">
        <f t="shared" si="88"/>
        <v>30016_1</v>
      </c>
      <c r="D803" s="9" t="str">
        <f>VLOOKUP(C803,[1]stages!$A:$AE,31,FALSE)</f>
        <v>everyone</v>
      </c>
      <c r="E803" s="9">
        <v>803</v>
      </c>
      <c r="F803" s="9">
        <v>345</v>
      </c>
      <c r="G803" s="10" t="str">
        <f>IF(I803="unit",VLOOKUP(F803,[2]characters!$A:$C,3,FALSE),"-")</f>
        <v>雷のメタルチック</v>
      </c>
      <c r="H803" s="9">
        <v>56</v>
      </c>
      <c r="I803" s="9" t="s">
        <v>36</v>
      </c>
      <c r="J803" s="9">
        <v>1</v>
      </c>
      <c r="K803" s="9">
        <v>1</v>
      </c>
      <c r="L803" s="9">
        <v>1</v>
      </c>
      <c r="M803" s="9">
        <v>0</v>
      </c>
      <c r="N803" s="9">
        <v>0</v>
      </c>
      <c r="O803" s="9">
        <v>0</v>
      </c>
      <c r="P803" s="9">
        <v>0</v>
      </c>
      <c r="Q803" s="9">
        <v>1</v>
      </c>
      <c r="R803" s="9" t="s">
        <v>27</v>
      </c>
      <c r="S803" s="9" t="s">
        <v>28</v>
      </c>
    </row>
    <row r="804" spans="1:19" x14ac:dyDescent="0.15">
      <c r="A804" s="9">
        <v>30016</v>
      </c>
      <c r="B804" s="9">
        <v>1</v>
      </c>
      <c r="C804" s="9" t="str">
        <f t="shared" si="88"/>
        <v>30016_1</v>
      </c>
      <c r="D804" s="9" t="str">
        <f>VLOOKUP(C804,[1]stages!$A:$AE,31,FALSE)</f>
        <v>everyone</v>
      </c>
      <c r="E804" s="9">
        <v>804</v>
      </c>
      <c r="F804" s="9">
        <v>346</v>
      </c>
      <c r="G804" s="10" t="str">
        <f>IF(I804="unit",VLOOKUP(F804,[2]characters!$A:$C,3,FALSE),"-")</f>
        <v>雷のメタルダック</v>
      </c>
      <c r="H804" s="9">
        <v>56</v>
      </c>
      <c r="I804" s="9" t="s">
        <v>36</v>
      </c>
      <c r="J804" s="9">
        <v>1</v>
      </c>
      <c r="K804" s="9">
        <v>1</v>
      </c>
      <c r="L804" s="9">
        <v>1</v>
      </c>
      <c r="M804" s="9">
        <v>0</v>
      </c>
      <c r="N804" s="9">
        <v>0</v>
      </c>
      <c r="O804" s="9">
        <v>0</v>
      </c>
      <c r="P804" s="9">
        <v>0</v>
      </c>
      <c r="Q804" s="9">
        <v>1</v>
      </c>
      <c r="R804" s="9" t="s">
        <v>27</v>
      </c>
      <c r="S804" s="9" t="s">
        <v>28</v>
      </c>
    </row>
    <row r="805" spans="1:19" x14ac:dyDescent="0.15">
      <c r="A805" s="9">
        <v>30016</v>
      </c>
      <c r="B805" s="9">
        <v>1</v>
      </c>
      <c r="C805" s="9" t="str">
        <f t="shared" si="88"/>
        <v>30016_1</v>
      </c>
      <c r="D805" s="9" t="str">
        <f>VLOOKUP(C805,[1]stages!$A:$AE,31,FALSE)</f>
        <v>everyone</v>
      </c>
      <c r="E805" s="9">
        <v>805</v>
      </c>
      <c r="F805" s="9">
        <v>121</v>
      </c>
      <c r="G805" s="10" t="str">
        <f>IF(I805="unit",VLOOKUP(F805,[2]characters!$A:$C,3,FALSE),"-")</f>
        <v>攻めの果実</v>
      </c>
      <c r="H805" s="9">
        <v>50</v>
      </c>
      <c r="I805" s="9" t="s">
        <v>36</v>
      </c>
      <c r="J805" s="9">
        <v>1</v>
      </c>
      <c r="K805" s="9">
        <v>1</v>
      </c>
      <c r="L805" s="9">
        <v>1</v>
      </c>
      <c r="M805" s="9">
        <v>0</v>
      </c>
      <c r="N805" s="9">
        <v>0</v>
      </c>
      <c r="O805" s="9">
        <v>0</v>
      </c>
      <c r="P805" s="9">
        <v>0</v>
      </c>
      <c r="Q805" s="9">
        <v>1</v>
      </c>
      <c r="R805" s="9" t="s">
        <v>27</v>
      </c>
      <c r="S805" s="9" t="s">
        <v>28</v>
      </c>
    </row>
    <row r="806" spans="1:19" x14ac:dyDescent="0.15">
      <c r="A806" s="9">
        <v>30016</v>
      </c>
      <c r="B806" s="9">
        <v>1</v>
      </c>
      <c r="C806" s="9" t="str">
        <f t="shared" si="88"/>
        <v>30016_1</v>
      </c>
      <c r="D806" s="9" t="str">
        <f>VLOOKUP(C806,[1]stages!$A:$AE,31,FALSE)</f>
        <v>everyone</v>
      </c>
      <c r="E806" s="9">
        <v>806</v>
      </c>
      <c r="F806" s="9">
        <v>122</v>
      </c>
      <c r="G806" s="10" t="str">
        <f>IF(I806="unit",VLOOKUP(F806,[2]characters!$A:$C,3,FALSE),"-")</f>
        <v>生命の果実</v>
      </c>
      <c r="H806" s="9">
        <v>50</v>
      </c>
      <c r="I806" s="9" t="s">
        <v>36</v>
      </c>
      <c r="J806" s="9">
        <v>1</v>
      </c>
      <c r="K806" s="9">
        <v>1</v>
      </c>
      <c r="L806" s="9">
        <v>1</v>
      </c>
      <c r="M806" s="9">
        <v>0</v>
      </c>
      <c r="N806" s="9">
        <v>0</v>
      </c>
      <c r="O806" s="9">
        <v>0</v>
      </c>
      <c r="P806" s="9">
        <v>0</v>
      </c>
      <c r="Q806" s="9">
        <v>1</v>
      </c>
      <c r="R806" s="9" t="s">
        <v>27</v>
      </c>
      <c r="S806" s="9" t="s">
        <v>28</v>
      </c>
    </row>
    <row r="807" spans="1:19" x14ac:dyDescent="0.15">
      <c r="A807" s="9">
        <v>30016</v>
      </c>
      <c r="B807" s="9">
        <v>1</v>
      </c>
      <c r="C807" s="9" t="str">
        <f t="shared" si="88"/>
        <v>30016_1</v>
      </c>
      <c r="D807" s="9" t="str">
        <f>VLOOKUP(C807,[1]stages!$A:$AE,31,FALSE)</f>
        <v>everyone</v>
      </c>
      <c r="E807" s="9">
        <v>807</v>
      </c>
      <c r="F807" s="9">
        <v>123</v>
      </c>
      <c r="G807" s="10" t="str">
        <f>IF(I807="unit",VLOOKUP(F807,[2]characters!$A:$C,3,FALSE),"-")</f>
        <v>癒しの果実</v>
      </c>
      <c r="H807" s="9">
        <v>50</v>
      </c>
      <c r="I807" s="9" t="s">
        <v>36</v>
      </c>
      <c r="J807" s="9">
        <v>1</v>
      </c>
      <c r="K807" s="9">
        <v>1</v>
      </c>
      <c r="L807" s="9">
        <v>1</v>
      </c>
      <c r="M807" s="9">
        <v>0</v>
      </c>
      <c r="N807" s="9">
        <v>0</v>
      </c>
      <c r="O807" s="9">
        <v>0</v>
      </c>
      <c r="P807" s="9">
        <v>0</v>
      </c>
      <c r="Q807" s="9">
        <v>1</v>
      </c>
      <c r="R807" s="9" t="s">
        <v>27</v>
      </c>
      <c r="S807" s="9" t="s">
        <v>28</v>
      </c>
    </row>
    <row r="808" spans="1:19" x14ac:dyDescent="0.15">
      <c r="A808" s="9">
        <v>30016</v>
      </c>
      <c r="B808" s="9">
        <v>1</v>
      </c>
      <c r="C808" s="9" t="str">
        <f t="shared" si="88"/>
        <v>30016_1</v>
      </c>
      <c r="D808" s="9" t="str">
        <f>VLOOKUP(C808,[1]stages!$A:$AE,31,FALSE)</f>
        <v>everyone</v>
      </c>
      <c r="E808" s="9">
        <v>808</v>
      </c>
      <c r="F808" s="9">
        <v>125</v>
      </c>
      <c r="G808" s="10" t="str">
        <f>IF(I808="unit",VLOOKUP(F808,[2]characters!$A:$C,3,FALSE),"-")</f>
        <v>秘術の果実</v>
      </c>
      <c r="H808" s="9">
        <v>10</v>
      </c>
      <c r="I808" s="9" t="s">
        <v>36</v>
      </c>
      <c r="J808" s="9">
        <v>1</v>
      </c>
      <c r="K808" s="9">
        <v>1</v>
      </c>
      <c r="L808" s="9">
        <v>1</v>
      </c>
      <c r="M808" s="9">
        <v>0</v>
      </c>
      <c r="N808" s="9">
        <v>0</v>
      </c>
      <c r="O808" s="9">
        <v>0</v>
      </c>
      <c r="P808" s="9">
        <v>0</v>
      </c>
      <c r="Q808" s="9">
        <v>1</v>
      </c>
      <c r="R808" s="9" t="s">
        <v>27</v>
      </c>
      <c r="S808" s="9" t="s">
        <v>28</v>
      </c>
    </row>
    <row r="809" spans="1:19" x14ac:dyDescent="0.15">
      <c r="A809" s="9">
        <v>30016</v>
      </c>
      <c r="B809" s="9">
        <v>1</v>
      </c>
      <c r="C809" s="9" t="str">
        <f t="shared" si="88"/>
        <v>30016_1</v>
      </c>
      <c r="D809" s="9" t="str">
        <f>VLOOKUP(C809,[1]stages!$A:$AE,31,FALSE)</f>
        <v>everyone</v>
      </c>
      <c r="E809" s="9">
        <v>809</v>
      </c>
      <c r="F809" s="9">
        <v>424</v>
      </c>
      <c r="G809" s="10" t="str">
        <f>IF(I809="unit",VLOOKUP(F809,[2]characters!$A:$C,3,FALSE),"-")</f>
        <v>フック</v>
      </c>
      <c r="H809" s="9">
        <v>250</v>
      </c>
      <c r="I809" s="9" t="s">
        <v>36</v>
      </c>
      <c r="J809" s="9">
        <v>1</v>
      </c>
      <c r="K809" s="9">
        <v>1</v>
      </c>
      <c r="L809" s="9">
        <v>1</v>
      </c>
      <c r="M809" s="9">
        <v>0</v>
      </c>
      <c r="N809" s="9">
        <v>0</v>
      </c>
      <c r="O809" s="9">
        <v>0</v>
      </c>
      <c r="P809" s="9">
        <v>0</v>
      </c>
      <c r="Q809" s="9">
        <v>1</v>
      </c>
      <c r="R809" s="9" t="s">
        <v>27</v>
      </c>
      <c r="S809" s="9" t="s">
        <v>28</v>
      </c>
    </row>
    <row r="810" spans="1:19" x14ac:dyDescent="0.15">
      <c r="A810" s="9">
        <v>30016</v>
      </c>
      <c r="B810" s="9">
        <v>1</v>
      </c>
      <c r="C810" s="9" t="str">
        <f t="shared" si="88"/>
        <v>30016_1</v>
      </c>
      <c r="D810" s="9" t="str">
        <f>VLOOKUP(C810,[1]stages!$A:$AE,31,FALSE)</f>
        <v>everyone</v>
      </c>
      <c r="E810" s="9">
        <v>810</v>
      </c>
      <c r="F810" s="9">
        <v>354</v>
      </c>
      <c r="G810" s="10" t="str">
        <f>IF(I810="unit",VLOOKUP(F810,[2]characters!$A:$C,3,FALSE),"-")</f>
        <v>雷のケロケロ</v>
      </c>
      <c r="H810" s="9">
        <v>100</v>
      </c>
      <c r="I810" s="9" t="s">
        <v>36</v>
      </c>
      <c r="J810" s="9">
        <v>1</v>
      </c>
      <c r="K810" s="9">
        <v>1</v>
      </c>
      <c r="L810" s="9">
        <v>1</v>
      </c>
      <c r="M810" s="9">
        <v>0</v>
      </c>
      <c r="N810" s="9">
        <v>0</v>
      </c>
      <c r="O810" s="9">
        <v>0</v>
      </c>
      <c r="P810" s="9">
        <v>0</v>
      </c>
      <c r="Q810" s="9">
        <v>1</v>
      </c>
      <c r="R810" s="9" t="s">
        <v>27</v>
      </c>
      <c r="S810" s="9" t="s">
        <v>28</v>
      </c>
    </row>
    <row r="811" spans="1:19" x14ac:dyDescent="0.15">
      <c r="A811" s="9">
        <v>30016</v>
      </c>
      <c r="B811" s="9">
        <v>2</v>
      </c>
      <c r="C811" s="9" t="str">
        <f>A811&amp; "_"&amp;B811</f>
        <v>30016_2</v>
      </c>
      <c r="D811" s="9" t="str">
        <f>VLOOKUP(C811,[1]stages!$A:$AE,31,FALSE)</f>
        <v>everyone</v>
      </c>
      <c r="E811" s="9">
        <v>811</v>
      </c>
      <c r="F811" s="9">
        <v>7500</v>
      </c>
      <c r="G811" s="10" t="str">
        <f>IF(I811="unit",VLOOKUP(F811,[2]characters!$A:$C,3,FALSE),"-")</f>
        <v>-</v>
      </c>
      <c r="H811" s="9">
        <v>100</v>
      </c>
      <c r="I811" s="9" t="s">
        <v>32</v>
      </c>
      <c r="J811" s="9" t="s">
        <v>33</v>
      </c>
      <c r="K811" s="9">
        <v>1</v>
      </c>
      <c r="L811" s="9">
        <v>1</v>
      </c>
      <c r="M811" s="9">
        <v>0</v>
      </c>
      <c r="N811" s="9">
        <v>0</v>
      </c>
      <c r="O811" s="9">
        <v>0</v>
      </c>
      <c r="P811" s="9">
        <v>0</v>
      </c>
      <c r="Q811" s="9">
        <v>1</v>
      </c>
      <c r="R811" s="9" t="s">
        <v>27</v>
      </c>
      <c r="S811" s="9" t="s">
        <v>28</v>
      </c>
    </row>
    <row r="812" spans="1:19" x14ac:dyDescent="0.15">
      <c r="A812" s="9">
        <v>30016</v>
      </c>
      <c r="B812" s="9">
        <v>2</v>
      </c>
      <c r="C812" s="9" t="str">
        <f t="shared" ref="C812" si="89">A812&amp; "_"&amp;B812</f>
        <v>30016_2</v>
      </c>
      <c r="D812" s="9" t="str">
        <f>VLOOKUP(C812,[1]stages!$A:$AE,31,FALSE)</f>
        <v>everyone</v>
      </c>
      <c r="E812" s="9">
        <v>812</v>
      </c>
      <c r="F812" s="9">
        <v>25</v>
      </c>
      <c r="G812" s="10" t="str">
        <f>IF(I812="unit",VLOOKUP(F812,[2]characters!$A:$C,3,FALSE),"-")</f>
        <v>-</v>
      </c>
      <c r="H812" s="9">
        <v>100</v>
      </c>
      <c r="I812" s="9" t="s">
        <v>35</v>
      </c>
      <c r="J812" s="9" t="s">
        <v>33</v>
      </c>
      <c r="K812" s="9">
        <v>1</v>
      </c>
      <c r="L812" s="9">
        <v>1</v>
      </c>
      <c r="M812" s="9">
        <v>0</v>
      </c>
      <c r="N812" s="9">
        <v>0</v>
      </c>
      <c r="O812" s="9">
        <v>0</v>
      </c>
      <c r="P812" s="9">
        <v>0</v>
      </c>
      <c r="Q812" s="9">
        <v>1</v>
      </c>
      <c r="R812" s="9" t="s">
        <v>27</v>
      </c>
      <c r="S812" s="9" t="s">
        <v>28</v>
      </c>
    </row>
    <row r="813" spans="1:19" x14ac:dyDescent="0.15">
      <c r="A813" s="9">
        <v>30016</v>
      </c>
      <c r="B813" s="9">
        <v>2</v>
      </c>
      <c r="C813" s="9" t="str">
        <f t="shared" ref="C813:C821" si="90">A813&amp; "_"&amp;B813</f>
        <v>30016_2</v>
      </c>
      <c r="D813" s="9" t="str">
        <f>VLOOKUP(C813,[1]stages!$A:$AE,31,FALSE)</f>
        <v>everyone</v>
      </c>
      <c r="E813" s="9">
        <v>813</v>
      </c>
      <c r="F813" s="9">
        <v>345</v>
      </c>
      <c r="G813" s="10" t="str">
        <f>IF(I813="unit",VLOOKUP(F813,[2]characters!$A:$C,3,FALSE),"-")</f>
        <v>雷のメタルチック</v>
      </c>
      <c r="H813" s="9">
        <v>56</v>
      </c>
      <c r="I813" s="9" t="s">
        <v>36</v>
      </c>
      <c r="J813" s="9">
        <v>1</v>
      </c>
      <c r="K813" s="9">
        <v>1</v>
      </c>
      <c r="L813" s="9">
        <v>1</v>
      </c>
      <c r="M813" s="9">
        <v>0</v>
      </c>
      <c r="N813" s="9">
        <v>0</v>
      </c>
      <c r="O813" s="9">
        <v>0</v>
      </c>
      <c r="P813" s="9">
        <v>0</v>
      </c>
      <c r="Q813" s="9">
        <v>1</v>
      </c>
      <c r="R813" s="9" t="s">
        <v>27</v>
      </c>
      <c r="S813" s="9" t="s">
        <v>28</v>
      </c>
    </row>
    <row r="814" spans="1:19" x14ac:dyDescent="0.15">
      <c r="A814" s="9">
        <v>30016</v>
      </c>
      <c r="B814" s="9">
        <v>2</v>
      </c>
      <c r="C814" s="9" t="str">
        <f t="shared" si="90"/>
        <v>30016_2</v>
      </c>
      <c r="D814" s="9" t="str">
        <f>VLOOKUP(C814,[1]stages!$A:$AE,31,FALSE)</f>
        <v>everyone</v>
      </c>
      <c r="E814" s="9">
        <v>814</v>
      </c>
      <c r="F814" s="9">
        <v>346</v>
      </c>
      <c r="G814" s="10" t="str">
        <f>IF(I814="unit",VLOOKUP(F814,[2]characters!$A:$C,3,FALSE),"-")</f>
        <v>雷のメタルダック</v>
      </c>
      <c r="H814" s="9">
        <v>84</v>
      </c>
      <c r="I814" s="9" t="s">
        <v>36</v>
      </c>
      <c r="J814" s="9">
        <v>1</v>
      </c>
      <c r="K814" s="9">
        <v>1</v>
      </c>
      <c r="L814" s="9">
        <v>1</v>
      </c>
      <c r="M814" s="9">
        <v>0</v>
      </c>
      <c r="N814" s="9">
        <v>0</v>
      </c>
      <c r="O814" s="9">
        <v>0</v>
      </c>
      <c r="P814" s="9">
        <v>0</v>
      </c>
      <c r="Q814" s="9">
        <v>1</v>
      </c>
      <c r="R814" s="9" t="s">
        <v>27</v>
      </c>
      <c r="S814" s="9" t="s">
        <v>28</v>
      </c>
    </row>
    <row r="815" spans="1:19" x14ac:dyDescent="0.15">
      <c r="A815" s="9">
        <v>30016</v>
      </c>
      <c r="B815" s="9">
        <v>2</v>
      </c>
      <c r="C815" s="9" t="str">
        <f t="shared" si="90"/>
        <v>30016_2</v>
      </c>
      <c r="D815" s="9" t="str">
        <f>VLOOKUP(C815,[1]stages!$A:$AE,31,FALSE)</f>
        <v>everyone</v>
      </c>
      <c r="E815" s="9">
        <v>815</v>
      </c>
      <c r="F815" s="9">
        <v>121</v>
      </c>
      <c r="G815" s="10" t="str">
        <f>IF(I815="unit",VLOOKUP(F815,[2]characters!$A:$C,3,FALSE),"-")</f>
        <v>攻めの果実</v>
      </c>
      <c r="H815" s="9">
        <v>50</v>
      </c>
      <c r="I815" s="9" t="s">
        <v>36</v>
      </c>
      <c r="J815" s="9">
        <v>1</v>
      </c>
      <c r="K815" s="9">
        <v>1</v>
      </c>
      <c r="L815" s="9">
        <v>1</v>
      </c>
      <c r="M815" s="9">
        <v>0</v>
      </c>
      <c r="N815" s="9">
        <v>0</v>
      </c>
      <c r="O815" s="9">
        <v>0</v>
      </c>
      <c r="P815" s="9">
        <v>0</v>
      </c>
      <c r="Q815" s="9">
        <v>1</v>
      </c>
      <c r="R815" s="9" t="s">
        <v>27</v>
      </c>
      <c r="S815" s="9" t="s">
        <v>28</v>
      </c>
    </row>
    <row r="816" spans="1:19" x14ac:dyDescent="0.15">
      <c r="A816" s="9">
        <v>30016</v>
      </c>
      <c r="B816" s="9">
        <v>2</v>
      </c>
      <c r="C816" s="9" t="str">
        <f t="shared" si="90"/>
        <v>30016_2</v>
      </c>
      <c r="D816" s="9" t="str">
        <f>VLOOKUP(C816,[1]stages!$A:$AE,31,FALSE)</f>
        <v>everyone</v>
      </c>
      <c r="E816" s="9">
        <v>816</v>
      </c>
      <c r="F816" s="9">
        <v>122</v>
      </c>
      <c r="G816" s="10" t="str">
        <f>IF(I816="unit",VLOOKUP(F816,[2]characters!$A:$C,3,FALSE),"-")</f>
        <v>生命の果実</v>
      </c>
      <c r="H816" s="9">
        <v>50</v>
      </c>
      <c r="I816" s="9" t="s">
        <v>36</v>
      </c>
      <c r="J816" s="9">
        <v>1</v>
      </c>
      <c r="K816" s="9">
        <v>1</v>
      </c>
      <c r="L816" s="9">
        <v>1</v>
      </c>
      <c r="M816" s="9">
        <v>0</v>
      </c>
      <c r="N816" s="9">
        <v>0</v>
      </c>
      <c r="O816" s="9">
        <v>0</v>
      </c>
      <c r="P816" s="9">
        <v>0</v>
      </c>
      <c r="Q816" s="9">
        <v>1</v>
      </c>
      <c r="R816" s="9" t="s">
        <v>27</v>
      </c>
      <c r="S816" s="9" t="s">
        <v>28</v>
      </c>
    </row>
    <row r="817" spans="1:19" x14ac:dyDescent="0.15">
      <c r="A817" s="9">
        <v>30016</v>
      </c>
      <c r="B817" s="9">
        <v>2</v>
      </c>
      <c r="C817" s="9" t="str">
        <f t="shared" si="90"/>
        <v>30016_2</v>
      </c>
      <c r="D817" s="9" t="str">
        <f>VLOOKUP(C817,[1]stages!$A:$AE,31,FALSE)</f>
        <v>everyone</v>
      </c>
      <c r="E817" s="9">
        <v>817</v>
      </c>
      <c r="F817" s="9">
        <v>123</v>
      </c>
      <c r="G817" s="10" t="str">
        <f>IF(I817="unit",VLOOKUP(F817,[2]characters!$A:$C,3,FALSE),"-")</f>
        <v>癒しの果実</v>
      </c>
      <c r="H817" s="9">
        <v>50</v>
      </c>
      <c r="I817" s="9" t="s">
        <v>36</v>
      </c>
      <c r="J817" s="9">
        <v>1</v>
      </c>
      <c r="K817" s="9">
        <v>1</v>
      </c>
      <c r="L817" s="9">
        <v>1</v>
      </c>
      <c r="M817" s="9">
        <v>0</v>
      </c>
      <c r="N817" s="9">
        <v>0</v>
      </c>
      <c r="O817" s="9">
        <v>0</v>
      </c>
      <c r="P817" s="9">
        <v>0</v>
      </c>
      <c r="Q817" s="9">
        <v>1</v>
      </c>
      <c r="R817" s="9" t="s">
        <v>27</v>
      </c>
      <c r="S817" s="9" t="s">
        <v>28</v>
      </c>
    </row>
    <row r="818" spans="1:19" x14ac:dyDescent="0.15">
      <c r="A818" s="9">
        <v>30016</v>
      </c>
      <c r="B818" s="9">
        <v>2</v>
      </c>
      <c r="C818" s="9" t="str">
        <f t="shared" si="90"/>
        <v>30016_2</v>
      </c>
      <c r="D818" s="9" t="str">
        <f>VLOOKUP(C818,[1]stages!$A:$AE,31,FALSE)</f>
        <v>everyone</v>
      </c>
      <c r="E818" s="9">
        <v>818</v>
      </c>
      <c r="F818" s="9">
        <v>125</v>
      </c>
      <c r="G818" s="10" t="str">
        <f>IF(I818="unit",VLOOKUP(F818,[2]characters!$A:$C,3,FALSE),"-")</f>
        <v>秘術の果実</v>
      </c>
      <c r="H818" s="9">
        <v>10</v>
      </c>
      <c r="I818" s="9" t="s">
        <v>36</v>
      </c>
      <c r="J818" s="9">
        <v>1</v>
      </c>
      <c r="K818" s="9">
        <v>1</v>
      </c>
      <c r="L818" s="9">
        <v>1</v>
      </c>
      <c r="M818" s="9">
        <v>0</v>
      </c>
      <c r="N818" s="9">
        <v>0</v>
      </c>
      <c r="O818" s="9">
        <v>0</v>
      </c>
      <c r="P818" s="9">
        <v>0</v>
      </c>
      <c r="Q818" s="9">
        <v>1</v>
      </c>
      <c r="R818" s="9" t="s">
        <v>27</v>
      </c>
      <c r="S818" s="9" t="s">
        <v>28</v>
      </c>
    </row>
    <row r="819" spans="1:19" x14ac:dyDescent="0.15">
      <c r="A819" s="9">
        <v>30016</v>
      </c>
      <c r="B819" s="9">
        <v>2</v>
      </c>
      <c r="C819" s="9" t="str">
        <f t="shared" si="90"/>
        <v>30016_2</v>
      </c>
      <c r="D819" s="9" t="str">
        <f>VLOOKUP(C819,[1]stages!$A:$AE,31,FALSE)</f>
        <v>everyone</v>
      </c>
      <c r="E819" s="9">
        <v>819</v>
      </c>
      <c r="F819" s="9">
        <v>424</v>
      </c>
      <c r="G819" s="10" t="str">
        <f>IF(I819="unit",VLOOKUP(F819,[2]characters!$A:$C,3,FALSE),"-")</f>
        <v>フック</v>
      </c>
      <c r="H819" s="9">
        <v>400</v>
      </c>
      <c r="I819" s="9" t="s">
        <v>36</v>
      </c>
      <c r="J819" s="9">
        <v>1</v>
      </c>
      <c r="K819" s="9">
        <v>1</v>
      </c>
      <c r="L819" s="9">
        <v>1</v>
      </c>
      <c r="M819" s="9">
        <v>0</v>
      </c>
      <c r="N819" s="9">
        <v>0</v>
      </c>
      <c r="O819" s="9">
        <v>0</v>
      </c>
      <c r="P819" s="9">
        <v>0</v>
      </c>
      <c r="Q819" s="9">
        <v>1</v>
      </c>
      <c r="R819" s="9" t="s">
        <v>27</v>
      </c>
      <c r="S819" s="9" t="s">
        <v>28</v>
      </c>
    </row>
    <row r="820" spans="1:19" x14ac:dyDescent="0.15">
      <c r="A820" s="9">
        <v>30016</v>
      </c>
      <c r="B820" s="9">
        <v>2</v>
      </c>
      <c r="C820" s="9" t="str">
        <f t="shared" si="90"/>
        <v>30016_2</v>
      </c>
      <c r="D820" s="9" t="str">
        <f>VLOOKUP(C820,[1]stages!$A:$AE,31,FALSE)</f>
        <v>everyone</v>
      </c>
      <c r="E820" s="9">
        <v>820</v>
      </c>
      <c r="F820" s="9">
        <v>354</v>
      </c>
      <c r="G820" s="10" t="str">
        <f>IF(I820="unit",VLOOKUP(F820,[2]characters!$A:$C,3,FALSE),"-")</f>
        <v>雷のケロケロ</v>
      </c>
      <c r="H820" s="9">
        <v>100</v>
      </c>
      <c r="I820" s="9" t="s">
        <v>36</v>
      </c>
      <c r="J820" s="9">
        <v>1</v>
      </c>
      <c r="K820" s="9">
        <v>1</v>
      </c>
      <c r="L820" s="9">
        <v>1</v>
      </c>
      <c r="M820" s="9">
        <v>0</v>
      </c>
      <c r="N820" s="9">
        <v>0</v>
      </c>
      <c r="O820" s="9">
        <v>0</v>
      </c>
      <c r="P820" s="9">
        <v>0</v>
      </c>
      <c r="Q820" s="9">
        <v>1</v>
      </c>
      <c r="R820" s="9" t="s">
        <v>27</v>
      </c>
      <c r="S820" s="9" t="s">
        <v>28</v>
      </c>
    </row>
    <row r="821" spans="1:19" x14ac:dyDescent="0.15">
      <c r="A821" s="10">
        <v>40001</v>
      </c>
      <c r="B821" s="10">
        <v>1</v>
      </c>
      <c r="C821" s="10" t="str">
        <f t="shared" si="90"/>
        <v>40001_1</v>
      </c>
      <c r="D821" s="10" t="str">
        <f>VLOOKUP(C821,[1]stages!$A:$AE,31,FALSE)</f>
        <v>everyone</v>
      </c>
      <c r="E821" s="10">
        <v>821</v>
      </c>
      <c r="F821" s="10">
        <v>40000</v>
      </c>
      <c r="G821" s="10" t="str">
        <f>IF(I821="unit",VLOOKUP(F821,[2]characters!$A:$C,3,FALSE),"-")</f>
        <v>-</v>
      </c>
      <c r="H821" s="10">
        <v>150</v>
      </c>
      <c r="I821" s="10" t="s">
        <v>32</v>
      </c>
      <c r="J821" s="10" t="s">
        <v>33</v>
      </c>
      <c r="K821" s="10">
        <v>1</v>
      </c>
      <c r="L821" s="10">
        <v>1</v>
      </c>
      <c r="M821" s="10">
        <v>0</v>
      </c>
      <c r="N821" s="10">
        <v>0</v>
      </c>
      <c r="O821" s="10">
        <v>0</v>
      </c>
      <c r="P821" s="10">
        <v>0</v>
      </c>
      <c r="Q821" s="10">
        <v>1</v>
      </c>
      <c r="R821" s="10" t="s">
        <v>27</v>
      </c>
      <c r="S821" s="10" t="s">
        <v>28</v>
      </c>
    </row>
    <row r="822" spans="1:19" x14ac:dyDescent="0.15">
      <c r="A822" s="10">
        <v>40001</v>
      </c>
      <c r="B822" s="10">
        <v>1</v>
      </c>
      <c r="C822" s="10" t="str">
        <f t="shared" ref="C822" si="91">A822&amp; "_"&amp;B822</f>
        <v>40001_1</v>
      </c>
      <c r="D822" s="10" t="str">
        <f>VLOOKUP(C822,[1]stages!$A:$AE,31,FALSE)</f>
        <v>everyone</v>
      </c>
      <c r="E822" s="10">
        <v>822</v>
      </c>
      <c r="F822" s="10">
        <v>30</v>
      </c>
      <c r="G822" s="10" t="str">
        <f>IF(I822="unit",VLOOKUP(F822,[2]characters!$A:$C,3,FALSE),"-")</f>
        <v>-</v>
      </c>
      <c r="H822" s="10">
        <v>150</v>
      </c>
      <c r="I822" s="10" t="s">
        <v>35</v>
      </c>
      <c r="J822" s="10" t="s">
        <v>33</v>
      </c>
      <c r="K822" s="10">
        <v>1</v>
      </c>
      <c r="L822" s="10">
        <v>1</v>
      </c>
      <c r="M822" s="10">
        <v>0</v>
      </c>
      <c r="N822" s="10">
        <v>0</v>
      </c>
      <c r="O822" s="10">
        <v>0</v>
      </c>
      <c r="P822" s="10">
        <v>0</v>
      </c>
      <c r="Q822" s="10">
        <v>1</v>
      </c>
      <c r="R822" s="10" t="s">
        <v>27</v>
      </c>
      <c r="S822" s="10" t="s">
        <v>28</v>
      </c>
    </row>
    <row r="823" spans="1:19" x14ac:dyDescent="0.15">
      <c r="A823" s="10">
        <v>40001</v>
      </c>
      <c r="B823" s="10">
        <v>1</v>
      </c>
      <c r="C823" s="10" t="str">
        <f t="shared" ref="C823:C831" si="92">A823&amp; "_"&amp;B823</f>
        <v>40001_1</v>
      </c>
      <c r="D823" s="10" t="str">
        <f>VLOOKUP(C823,[1]stages!$A:$AE,31,FALSE)</f>
        <v>everyone</v>
      </c>
      <c r="E823" s="10">
        <v>823</v>
      </c>
      <c r="F823" s="10">
        <v>333</v>
      </c>
      <c r="G823" s="10" t="str">
        <f>IF(I823="unit",VLOOKUP(F823,[2]characters!$A:$C,3,FALSE),"-")</f>
        <v>炎のメタルチック</v>
      </c>
      <c r="H823" s="10">
        <v>28</v>
      </c>
      <c r="I823" s="10" t="s">
        <v>36</v>
      </c>
      <c r="J823" s="10">
        <v>1</v>
      </c>
      <c r="K823" s="10">
        <v>1</v>
      </c>
      <c r="L823" s="10">
        <v>1</v>
      </c>
      <c r="M823" s="10">
        <v>0</v>
      </c>
      <c r="N823" s="10">
        <v>0</v>
      </c>
      <c r="O823" s="10">
        <v>0</v>
      </c>
      <c r="P823" s="10">
        <v>0</v>
      </c>
      <c r="Q823" s="10">
        <v>1</v>
      </c>
      <c r="R823" s="10" t="s">
        <v>27</v>
      </c>
      <c r="S823" s="10" t="s">
        <v>28</v>
      </c>
    </row>
    <row r="824" spans="1:19" x14ac:dyDescent="0.15">
      <c r="A824" s="10">
        <v>40001</v>
      </c>
      <c r="B824" s="10">
        <v>1</v>
      </c>
      <c r="C824" s="10" t="str">
        <f t="shared" si="92"/>
        <v>40001_1</v>
      </c>
      <c r="D824" s="10" t="str">
        <f>VLOOKUP(C824,[1]stages!$A:$AE,31,FALSE)</f>
        <v>everyone</v>
      </c>
      <c r="E824" s="10">
        <v>824</v>
      </c>
      <c r="F824" s="10">
        <v>334</v>
      </c>
      <c r="G824" s="10" t="str">
        <f>IF(I824="unit",VLOOKUP(F824,[2]characters!$A:$C,3,FALSE),"-")</f>
        <v>炎のメタルダック</v>
      </c>
      <c r="H824" s="10">
        <v>112</v>
      </c>
      <c r="I824" s="10" t="s">
        <v>36</v>
      </c>
      <c r="J824" s="10">
        <v>1</v>
      </c>
      <c r="K824" s="10">
        <v>1</v>
      </c>
      <c r="L824" s="10">
        <v>1</v>
      </c>
      <c r="M824" s="10">
        <v>0</v>
      </c>
      <c r="N824" s="10">
        <v>0</v>
      </c>
      <c r="O824" s="10">
        <v>0</v>
      </c>
      <c r="P824" s="10">
        <v>0</v>
      </c>
      <c r="Q824" s="10">
        <v>1</v>
      </c>
      <c r="R824" s="10" t="s">
        <v>27</v>
      </c>
      <c r="S824" s="10" t="s">
        <v>28</v>
      </c>
    </row>
    <row r="825" spans="1:19" x14ac:dyDescent="0.15">
      <c r="A825" s="10">
        <v>40001</v>
      </c>
      <c r="B825" s="10">
        <v>1</v>
      </c>
      <c r="C825" s="10" t="str">
        <f t="shared" si="92"/>
        <v>40001_1</v>
      </c>
      <c r="D825" s="10" t="str">
        <f>VLOOKUP(C825,[1]stages!$A:$AE,31,FALSE)</f>
        <v>everyone</v>
      </c>
      <c r="E825" s="10">
        <v>825</v>
      </c>
      <c r="F825" s="10">
        <v>121</v>
      </c>
      <c r="G825" s="10" t="str">
        <f>IF(I825="unit",VLOOKUP(F825,[2]characters!$A:$C,3,FALSE),"-")</f>
        <v>攻めの果実</v>
      </c>
      <c r="H825" s="10">
        <v>50</v>
      </c>
      <c r="I825" s="10" t="s">
        <v>36</v>
      </c>
      <c r="J825" s="10">
        <v>1</v>
      </c>
      <c r="K825" s="10">
        <v>1</v>
      </c>
      <c r="L825" s="10">
        <v>1</v>
      </c>
      <c r="M825" s="10">
        <v>0</v>
      </c>
      <c r="N825" s="10">
        <v>0</v>
      </c>
      <c r="O825" s="10">
        <v>0</v>
      </c>
      <c r="P825" s="10">
        <v>0</v>
      </c>
      <c r="Q825" s="10">
        <v>1</v>
      </c>
      <c r="R825" s="10" t="s">
        <v>27</v>
      </c>
      <c r="S825" s="10" t="s">
        <v>28</v>
      </c>
    </row>
    <row r="826" spans="1:19" x14ac:dyDescent="0.15">
      <c r="A826" s="10">
        <v>40001</v>
      </c>
      <c r="B826" s="10">
        <v>1</v>
      </c>
      <c r="C826" s="10" t="str">
        <f t="shared" si="92"/>
        <v>40001_1</v>
      </c>
      <c r="D826" s="10" t="str">
        <f>VLOOKUP(C826,[1]stages!$A:$AE,31,FALSE)</f>
        <v>everyone</v>
      </c>
      <c r="E826" s="10">
        <v>826</v>
      </c>
      <c r="F826" s="10">
        <v>122</v>
      </c>
      <c r="G826" s="10" t="str">
        <f>IF(I826="unit",VLOOKUP(F826,[2]characters!$A:$C,3,FALSE),"-")</f>
        <v>生命の果実</v>
      </c>
      <c r="H826" s="10">
        <v>50</v>
      </c>
      <c r="I826" s="10" t="s">
        <v>36</v>
      </c>
      <c r="J826" s="10">
        <v>1</v>
      </c>
      <c r="K826" s="10">
        <v>1</v>
      </c>
      <c r="L826" s="10">
        <v>1</v>
      </c>
      <c r="M826" s="10">
        <v>0</v>
      </c>
      <c r="N826" s="10">
        <v>0</v>
      </c>
      <c r="O826" s="10">
        <v>0</v>
      </c>
      <c r="P826" s="10">
        <v>0</v>
      </c>
      <c r="Q826" s="10">
        <v>1</v>
      </c>
      <c r="R826" s="10" t="s">
        <v>27</v>
      </c>
      <c r="S826" s="10" t="s">
        <v>28</v>
      </c>
    </row>
    <row r="827" spans="1:19" x14ac:dyDescent="0.15">
      <c r="A827" s="10">
        <v>40001</v>
      </c>
      <c r="B827" s="10">
        <v>1</v>
      </c>
      <c r="C827" s="10" t="str">
        <f t="shared" si="92"/>
        <v>40001_1</v>
      </c>
      <c r="D827" s="10" t="str">
        <f>VLOOKUP(C827,[1]stages!$A:$AE,31,FALSE)</f>
        <v>everyone</v>
      </c>
      <c r="E827" s="10">
        <v>827</v>
      </c>
      <c r="F827" s="10">
        <v>123</v>
      </c>
      <c r="G827" s="10" t="str">
        <f>IF(I827="unit",VLOOKUP(F827,[2]characters!$A:$C,3,FALSE),"-")</f>
        <v>癒しの果実</v>
      </c>
      <c r="H827" s="10">
        <v>50</v>
      </c>
      <c r="I827" s="10" t="s">
        <v>36</v>
      </c>
      <c r="J827" s="10">
        <v>1</v>
      </c>
      <c r="K827" s="10">
        <v>1</v>
      </c>
      <c r="L827" s="10">
        <v>1</v>
      </c>
      <c r="M827" s="10">
        <v>0</v>
      </c>
      <c r="N827" s="10">
        <v>0</v>
      </c>
      <c r="O827" s="10">
        <v>0</v>
      </c>
      <c r="P827" s="10">
        <v>0</v>
      </c>
      <c r="Q827" s="10">
        <v>1</v>
      </c>
      <c r="R827" s="10" t="s">
        <v>27</v>
      </c>
      <c r="S827" s="10" t="s">
        <v>28</v>
      </c>
    </row>
    <row r="828" spans="1:19" x14ac:dyDescent="0.15">
      <c r="A828" s="10">
        <v>40001</v>
      </c>
      <c r="B828" s="10">
        <v>1</v>
      </c>
      <c r="C828" s="10" t="str">
        <f t="shared" si="92"/>
        <v>40001_1</v>
      </c>
      <c r="D828" s="10" t="str">
        <f>VLOOKUP(C828,[1]stages!$A:$AE,31,FALSE)</f>
        <v>everyone</v>
      </c>
      <c r="E828" s="10">
        <v>828</v>
      </c>
      <c r="F828" s="10">
        <v>125</v>
      </c>
      <c r="G828" s="10" t="str">
        <f>IF(I828="unit",VLOOKUP(F828,[2]characters!$A:$C,3,FALSE),"-")</f>
        <v>秘術の果実</v>
      </c>
      <c r="H828" s="10">
        <v>10</v>
      </c>
      <c r="I828" s="10" t="s">
        <v>36</v>
      </c>
      <c r="J828" s="10">
        <v>1</v>
      </c>
      <c r="K828" s="10">
        <v>1</v>
      </c>
      <c r="L828" s="10">
        <v>1</v>
      </c>
      <c r="M828" s="10">
        <v>0</v>
      </c>
      <c r="N828" s="10">
        <v>0</v>
      </c>
      <c r="O828" s="10">
        <v>0</v>
      </c>
      <c r="P828" s="10">
        <v>0</v>
      </c>
      <c r="Q828" s="10">
        <v>1</v>
      </c>
      <c r="R828" s="10" t="s">
        <v>27</v>
      </c>
      <c r="S828" s="10" t="s">
        <v>28</v>
      </c>
    </row>
    <row r="829" spans="1:19" x14ac:dyDescent="0.15">
      <c r="A829" s="10">
        <v>40001</v>
      </c>
      <c r="B829" s="10">
        <v>1</v>
      </c>
      <c r="C829" s="10" t="str">
        <f t="shared" si="92"/>
        <v>40001_1</v>
      </c>
      <c r="D829" s="10" t="str">
        <f>VLOOKUP(C829,[1]stages!$A:$AE,31,FALSE)</f>
        <v>everyone</v>
      </c>
      <c r="E829" s="10">
        <v>829</v>
      </c>
      <c r="F829" s="10">
        <v>278</v>
      </c>
      <c r="G829" s="10" t="str">
        <f>IF(I829="unit",VLOOKUP(F829,[2]characters!$A:$C,3,FALSE),"-")</f>
        <v>アマテラス</v>
      </c>
      <c r="H829" s="10">
        <v>250</v>
      </c>
      <c r="I829" s="10" t="s">
        <v>36</v>
      </c>
      <c r="J829" s="10">
        <v>1</v>
      </c>
      <c r="K829" s="10">
        <v>1</v>
      </c>
      <c r="L829" s="10">
        <v>1</v>
      </c>
      <c r="M829" s="10">
        <v>0</v>
      </c>
      <c r="N829" s="10">
        <v>0</v>
      </c>
      <c r="O829" s="10">
        <v>0</v>
      </c>
      <c r="P829" s="10">
        <v>0</v>
      </c>
      <c r="Q829" s="10">
        <v>1</v>
      </c>
      <c r="R829" s="10" t="s">
        <v>27</v>
      </c>
      <c r="S829" s="10" t="s">
        <v>28</v>
      </c>
    </row>
    <row r="830" spans="1:19" x14ac:dyDescent="0.15">
      <c r="A830" s="10">
        <v>40001</v>
      </c>
      <c r="B830" s="10">
        <v>1</v>
      </c>
      <c r="C830" s="10" t="str">
        <f t="shared" si="92"/>
        <v>40001_1</v>
      </c>
      <c r="D830" s="10" t="str">
        <f>VLOOKUP(C830,[1]stages!$A:$AE,31,FALSE)</f>
        <v>everyone</v>
      </c>
      <c r="E830" s="10">
        <v>830</v>
      </c>
      <c r="F830" s="10">
        <v>348</v>
      </c>
      <c r="G830" s="10" t="str">
        <f>IF(I830="unit",VLOOKUP(F830,[2]characters!$A:$C,3,FALSE),"-")</f>
        <v>炎のケロケロ</v>
      </c>
      <c r="H830" s="10">
        <v>150</v>
      </c>
      <c r="I830" s="10" t="s">
        <v>36</v>
      </c>
      <c r="J830" s="10">
        <v>1</v>
      </c>
      <c r="K830" s="10">
        <v>1</v>
      </c>
      <c r="L830" s="10">
        <v>1</v>
      </c>
      <c r="M830" s="10">
        <v>0</v>
      </c>
      <c r="N830" s="10">
        <v>0</v>
      </c>
      <c r="O830" s="10">
        <v>0</v>
      </c>
      <c r="P830" s="10">
        <v>0</v>
      </c>
      <c r="Q830" s="10">
        <v>1</v>
      </c>
      <c r="R830" s="10" t="s">
        <v>27</v>
      </c>
      <c r="S830" s="10" t="s">
        <v>28</v>
      </c>
    </row>
    <row r="831" spans="1:19" x14ac:dyDescent="0.15">
      <c r="A831" s="11">
        <v>40002</v>
      </c>
      <c r="B831" s="11">
        <v>1</v>
      </c>
      <c r="C831" s="11" t="str">
        <f t="shared" si="92"/>
        <v>40002_1</v>
      </c>
      <c r="D831" s="11" t="str">
        <f>VLOOKUP(C831,[1]stages!$A:$AE,31,FALSE)</f>
        <v>everyone</v>
      </c>
      <c r="E831" s="11">
        <v>831</v>
      </c>
      <c r="F831" s="11">
        <v>6500</v>
      </c>
      <c r="G831" s="10" t="str">
        <f>IF(I831="unit",VLOOKUP(F831,[2]characters!$A:$C,3,FALSE),"-")</f>
        <v>-</v>
      </c>
      <c r="H831" s="11">
        <v>300</v>
      </c>
      <c r="I831" s="11" t="s">
        <v>32</v>
      </c>
      <c r="J831" s="11" t="s">
        <v>33</v>
      </c>
      <c r="K831" s="11">
        <v>1</v>
      </c>
      <c r="L831" s="11">
        <v>1</v>
      </c>
      <c r="M831" s="11">
        <v>0</v>
      </c>
      <c r="N831" s="11">
        <v>0</v>
      </c>
      <c r="O831" s="11">
        <v>0</v>
      </c>
      <c r="P831" s="11">
        <v>0</v>
      </c>
      <c r="Q831" s="11">
        <v>1</v>
      </c>
      <c r="R831" s="11" t="s">
        <v>27</v>
      </c>
      <c r="S831" s="11" t="s">
        <v>28</v>
      </c>
    </row>
    <row r="832" spans="1:19" x14ac:dyDescent="0.15">
      <c r="A832" s="11">
        <v>40002</v>
      </c>
      <c r="B832" s="11">
        <v>1</v>
      </c>
      <c r="C832" s="11" t="str">
        <f t="shared" ref="C832:C841" si="93">A832&amp; "_"&amp;B832</f>
        <v>40002_1</v>
      </c>
      <c r="D832" s="11" t="str">
        <f>VLOOKUP(C832,[1]stages!$A:$AE,31,FALSE)</f>
        <v>everyone</v>
      </c>
      <c r="E832" s="11">
        <v>832</v>
      </c>
      <c r="F832" s="11">
        <v>25</v>
      </c>
      <c r="G832" s="10" t="str">
        <f>IF(I832="unit",VLOOKUP(F832,[2]characters!$A:$C,3,FALSE),"-")</f>
        <v>-</v>
      </c>
      <c r="H832" s="11">
        <v>250</v>
      </c>
      <c r="I832" s="11" t="s">
        <v>35</v>
      </c>
      <c r="J832" s="11" t="s">
        <v>33</v>
      </c>
      <c r="K832" s="11">
        <v>1</v>
      </c>
      <c r="L832" s="11">
        <v>1</v>
      </c>
      <c r="M832" s="11">
        <v>0</v>
      </c>
      <c r="N832" s="11">
        <v>0</v>
      </c>
      <c r="O832" s="11">
        <v>0</v>
      </c>
      <c r="P832" s="11">
        <v>0</v>
      </c>
      <c r="Q832" s="11">
        <v>1</v>
      </c>
      <c r="R832" s="11" t="s">
        <v>27</v>
      </c>
      <c r="S832" s="11" t="s">
        <v>28</v>
      </c>
    </row>
    <row r="833" spans="1:19" x14ac:dyDescent="0.15">
      <c r="A833" s="11">
        <v>40002</v>
      </c>
      <c r="B833" s="11">
        <v>1</v>
      </c>
      <c r="C833" s="11" t="str">
        <f t="shared" si="93"/>
        <v>40002_1</v>
      </c>
      <c r="D833" s="11" t="str">
        <f>VLOOKUP(C833,[1]stages!$A:$AE,31,FALSE)</f>
        <v>everyone</v>
      </c>
      <c r="E833" s="11">
        <v>833</v>
      </c>
      <c r="F833" s="11">
        <v>336</v>
      </c>
      <c r="G833" s="10" t="str">
        <f>IF(I833="unit",VLOOKUP(F833,[2]characters!$A:$C,3,FALSE),"-")</f>
        <v>森のメタルピヨピヨ</v>
      </c>
      <c r="H833" s="11">
        <v>28</v>
      </c>
      <c r="I833" s="11" t="s">
        <v>36</v>
      </c>
      <c r="J833" s="11">
        <v>1</v>
      </c>
      <c r="K833" s="11">
        <v>1</v>
      </c>
      <c r="L833" s="11">
        <v>1</v>
      </c>
      <c r="M833" s="11">
        <v>0</v>
      </c>
      <c r="N833" s="11">
        <v>0</v>
      </c>
      <c r="O833" s="11">
        <v>0</v>
      </c>
      <c r="P833" s="11">
        <v>0</v>
      </c>
      <c r="Q833" s="11">
        <v>1</v>
      </c>
      <c r="R833" s="11" t="s">
        <v>27</v>
      </c>
      <c r="S833" s="11" t="s">
        <v>28</v>
      </c>
    </row>
    <row r="834" spans="1:19" x14ac:dyDescent="0.15">
      <c r="A834" s="11">
        <v>40002</v>
      </c>
      <c r="B834" s="11">
        <v>1</v>
      </c>
      <c r="C834" s="11" t="str">
        <f t="shared" si="93"/>
        <v>40002_1</v>
      </c>
      <c r="D834" s="11" t="str">
        <f>VLOOKUP(C834,[1]stages!$A:$AE,31,FALSE)</f>
        <v>everyone</v>
      </c>
      <c r="E834" s="11">
        <v>834</v>
      </c>
      <c r="F834" s="11">
        <v>337</v>
      </c>
      <c r="G834" s="10" t="str">
        <f>IF(I834="unit",VLOOKUP(F834,[2]characters!$A:$C,3,FALSE),"-")</f>
        <v>森のメタルチック</v>
      </c>
      <c r="H834" s="11">
        <v>56</v>
      </c>
      <c r="I834" s="11" t="s">
        <v>36</v>
      </c>
      <c r="J834" s="11">
        <v>1</v>
      </c>
      <c r="K834" s="11">
        <v>1</v>
      </c>
      <c r="L834" s="11">
        <v>1</v>
      </c>
      <c r="M834" s="11">
        <v>0</v>
      </c>
      <c r="N834" s="11">
        <v>0</v>
      </c>
      <c r="O834" s="11">
        <v>0</v>
      </c>
      <c r="P834" s="11">
        <v>0</v>
      </c>
      <c r="Q834" s="11">
        <v>1</v>
      </c>
      <c r="R834" s="11" t="s">
        <v>27</v>
      </c>
      <c r="S834" s="11" t="s">
        <v>28</v>
      </c>
    </row>
    <row r="835" spans="1:19" x14ac:dyDescent="0.15">
      <c r="A835" s="11">
        <v>40002</v>
      </c>
      <c r="B835" s="11">
        <v>1</v>
      </c>
      <c r="C835" s="11" t="str">
        <f t="shared" si="93"/>
        <v>40002_1</v>
      </c>
      <c r="D835" s="11" t="str">
        <f>VLOOKUP(C835,[1]stages!$A:$AE,31,FALSE)</f>
        <v>everyone</v>
      </c>
      <c r="E835" s="11">
        <v>835</v>
      </c>
      <c r="F835" s="11">
        <v>338</v>
      </c>
      <c r="G835" s="10" t="str">
        <f>IF(I835="unit",VLOOKUP(F835,[2]characters!$A:$C,3,FALSE),"-")</f>
        <v>森のメタルダック</v>
      </c>
      <c r="H835" s="11">
        <v>56</v>
      </c>
      <c r="I835" s="11" t="s">
        <v>36</v>
      </c>
      <c r="J835" s="11">
        <v>1</v>
      </c>
      <c r="K835" s="11">
        <v>1</v>
      </c>
      <c r="L835" s="11">
        <v>1</v>
      </c>
      <c r="M835" s="11">
        <v>0</v>
      </c>
      <c r="N835" s="11">
        <v>0</v>
      </c>
      <c r="O835" s="11">
        <v>0</v>
      </c>
      <c r="P835" s="11">
        <v>0</v>
      </c>
      <c r="Q835" s="11">
        <v>1</v>
      </c>
      <c r="R835" s="11" t="s">
        <v>27</v>
      </c>
      <c r="S835" s="11" t="s">
        <v>28</v>
      </c>
    </row>
    <row r="836" spans="1:19" x14ac:dyDescent="0.15">
      <c r="A836" s="11">
        <v>40002</v>
      </c>
      <c r="B836" s="11">
        <v>1</v>
      </c>
      <c r="C836" s="11" t="str">
        <f t="shared" si="93"/>
        <v>40002_1</v>
      </c>
      <c r="D836" s="11" t="str">
        <f>VLOOKUP(C836,[1]stages!$A:$AE,31,FALSE)</f>
        <v>everyone</v>
      </c>
      <c r="E836" s="11">
        <v>836</v>
      </c>
      <c r="F836" s="11">
        <v>121</v>
      </c>
      <c r="G836" s="10" t="str">
        <f>IF(I836="unit",VLOOKUP(F836,[2]characters!$A:$C,3,FALSE),"-")</f>
        <v>攻めの果実</v>
      </c>
      <c r="H836" s="11">
        <v>50</v>
      </c>
      <c r="I836" s="11" t="s">
        <v>36</v>
      </c>
      <c r="J836" s="11">
        <v>1</v>
      </c>
      <c r="K836" s="11">
        <v>1</v>
      </c>
      <c r="L836" s="11">
        <v>1</v>
      </c>
      <c r="M836" s="11">
        <v>0</v>
      </c>
      <c r="N836" s="11">
        <v>0</v>
      </c>
      <c r="O836" s="11">
        <v>0</v>
      </c>
      <c r="P836" s="11">
        <v>0</v>
      </c>
      <c r="Q836" s="11">
        <v>1</v>
      </c>
      <c r="R836" s="11" t="s">
        <v>27</v>
      </c>
      <c r="S836" s="11" t="s">
        <v>28</v>
      </c>
    </row>
    <row r="837" spans="1:19" x14ac:dyDescent="0.15">
      <c r="A837" s="11">
        <v>40002</v>
      </c>
      <c r="B837" s="11">
        <v>1</v>
      </c>
      <c r="C837" s="11" t="str">
        <f t="shared" si="93"/>
        <v>40002_1</v>
      </c>
      <c r="D837" s="11" t="str">
        <f>VLOOKUP(C837,[1]stages!$A:$AE,31,FALSE)</f>
        <v>everyone</v>
      </c>
      <c r="E837" s="11">
        <v>837</v>
      </c>
      <c r="F837" s="11">
        <v>122</v>
      </c>
      <c r="G837" s="10" t="str">
        <f>IF(I837="unit",VLOOKUP(F837,[2]characters!$A:$C,3,FALSE),"-")</f>
        <v>生命の果実</v>
      </c>
      <c r="H837" s="11">
        <v>50</v>
      </c>
      <c r="I837" s="11" t="s">
        <v>36</v>
      </c>
      <c r="J837" s="11">
        <v>1</v>
      </c>
      <c r="K837" s="11">
        <v>1</v>
      </c>
      <c r="L837" s="11">
        <v>1</v>
      </c>
      <c r="M837" s="11">
        <v>0</v>
      </c>
      <c r="N837" s="11">
        <v>0</v>
      </c>
      <c r="O837" s="11">
        <v>0</v>
      </c>
      <c r="P837" s="11">
        <v>0</v>
      </c>
      <c r="Q837" s="11">
        <v>1</v>
      </c>
      <c r="R837" s="11" t="s">
        <v>27</v>
      </c>
      <c r="S837" s="11" t="s">
        <v>28</v>
      </c>
    </row>
    <row r="838" spans="1:19" x14ac:dyDescent="0.15">
      <c r="A838" s="11">
        <v>40002</v>
      </c>
      <c r="B838" s="11">
        <v>1</v>
      </c>
      <c r="C838" s="11" t="str">
        <f t="shared" si="93"/>
        <v>40002_1</v>
      </c>
      <c r="D838" s="11" t="str">
        <f>VLOOKUP(C838,[1]stages!$A:$AE,31,FALSE)</f>
        <v>everyone</v>
      </c>
      <c r="E838" s="11">
        <v>838</v>
      </c>
      <c r="F838" s="11">
        <v>123</v>
      </c>
      <c r="G838" s="10" t="str">
        <f>IF(I838="unit",VLOOKUP(F838,[2]characters!$A:$C,3,FALSE),"-")</f>
        <v>癒しの果実</v>
      </c>
      <c r="H838" s="11">
        <v>50</v>
      </c>
      <c r="I838" s="11" t="s">
        <v>36</v>
      </c>
      <c r="J838" s="11">
        <v>1</v>
      </c>
      <c r="K838" s="11">
        <v>1</v>
      </c>
      <c r="L838" s="11">
        <v>1</v>
      </c>
      <c r="M838" s="11">
        <v>0</v>
      </c>
      <c r="N838" s="11">
        <v>0</v>
      </c>
      <c r="O838" s="11">
        <v>0</v>
      </c>
      <c r="P838" s="11">
        <v>0</v>
      </c>
      <c r="Q838" s="11">
        <v>1</v>
      </c>
      <c r="R838" s="11" t="s">
        <v>27</v>
      </c>
      <c r="S838" s="11" t="s">
        <v>28</v>
      </c>
    </row>
    <row r="839" spans="1:19" x14ac:dyDescent="0.15">
      <c r="A839" s="11">
        <v>40002</v>
      </c>
      <c r="B839" s="11">
        <v>1</v>
      </c>
      <c r="C839" s="11" t="str">
        <f t="shared" si="93"/>
        <v>40002_1</v>
      </c>
      <c r="D839" s="11" t="str">
        <f>VLOOKUP(C839,[1]stages!$A:$AE,31,FALSE)</f>
        <v>everyone</v>
      </c>
      <c r="E839" s="11">
        <v>839</v>
      </c>
      <c r="F839" s="11">
        <v>125</v>
      </c>
      <c r="G839" s="10" t="str">
        <f>IF(I839="unit",VLOOKUP(F839,[2]characters!$A:$C,3,FALSE),"-")</f>
        <v>秘術の果実</v>
      </c>
      <c r="H839" s="11">
        <v>10</v>
      </c>
      <c r="I839" s="11" t="s">
        <v>36</v>
      </c>
      <c r="J839" s="11">
        <v>1</v>
      </c>
      <c r="K839" s="11">
        <v>1</v>
      </c>
      <c r="L839" s="11">
        <v>1</v>
      </c>
      <c r="M839" s="11">
        <v>0</v>
      </c>
      <c r="N839" s="11">
        <v>0</v>
      </c>
      <c r="O839" s="11">
        <v>0</v>
      </c>
      <c r="P839" s="11">
        <v>0</v>
      </c>
      <c r="Q839" s="11">
        <v>1</v>
      </c>
      <c r="R839" s="11" t="s">
        <v>27</v>
      </c>
      <c r="S839" s="11" t="s">
        <v>28</v>
      </c>
    </row>
    <row r="840" spans="1:19" x14ac:dyDescent="0.15">
      <c r="A840" s="11">
        <v>40002</v>
      </c>
      <c r="B840" s="11">
        <v>1</v>
      </c>
      <c r="C840" s="11" t="str">
        <f t="shared" si="93"/>
        <v>40002_1</v>
      </c>
      <c r="D840" s="11" t="str">
        <f>VLOOKUP(C840,[1]stages!$A:$AE,31,FALSE)</f>
        <v>everyone</v>
      </c>
      <c r="E840" s="11">
        <v>840</v>
      </c>
      <c r="F840" s="11">
        <v>296</v>
      </c>
      <c r="G840" s="10" t="str">
        <f>IF(I840="unit",VLOOKUP(F840,[2]characters!$A:$C,3,FALSE),"-")</f>
        <v>アザゼル</v>
      </c>
      <c r="H840" s="11">
        <v>0</v>
      </c>
      <c r="I840" s="11" t="s">
        <v>36</v>
      </c>
      <c r="J840" s="11">
        <v>1</v>
      </c>
      <c r="K840" s="11">
        <v>1</v>
      </c>
      <c r="L840" s="11">
        <v>1</v>
      </c>
      <c r="M840" s="11">
        <v>0</v>
      </c>
      <c r="N840" s="11">
        <v>0</v>
      </c>
      <c r="O840" s="11">
        <v>0</v>
      </c>
      <c r="P840" s="11">
        <v>0</v>
      </c>
      <c r="Q840" s="11">
        <v>1</v>
      </c>
      <c r="R840" s="11" t="s">
        <v>27</v>
      </c>
      <c r="S840" s="11" t="s">
        <v>28</v>
      </c>
    </row>
    <row r="841" spans="1:19" x14ac:dyDescent="0.15">
      <c r="A841" s="11">
        <v>40002</v>
      </c>
      <c r="B841" s="11">
        <v>1</v>
      </c>
      <c r="C841" s="11" t="str">
        <f t="shared" si="93"/>
        <v>40002_1</v>
      </c>
      <c r="D841" s="11" t="str">
        <f>VLOOKUP(C841,[1]stages!$A:$AE,31,FALSE)</f>
        <v>everyone</v>
      </c>
      <c r="E841" s="11">
        <v>841</v>
      </c>
      <c r="F841" s="11">
        <v>350</v>
      </c>
      <c r="G841" s="10" t="str">
        <f>IF(I841="unit",VLOOKUP(F841,[2]characters!$A:$C,3,FALSE),"-")</f>
        <v>森のケロケロ</v>
      </c>
      <c r="H841" s="11">
        <v>150</v>
      </c>
      <c r="I841" s="11" t="s">
        <v>36</v>
      </c>
      <c r="J841" s="11">
        <v>1</v>
      </c>
      <c r="K841" s="11">
        <v>1</v>
      </c>
      <c r="L841" s="11">
        <v>1</v>
      </c>
      <c r="M841" s="11">
        <v>0</v>
      </c>
      <c r="N841" s="11">
        <v>0</v>
      </c>
      <c r="O841" s="11">
        <v>0</v>
      </c>
      <c r="P841" s="11">
        <v>0</v>
      </c>
      <c r="Q841" s="11">
        <v>1</v>
      </c>
      <c r="R841" s="11" t="s">
        <v>27</v>
      </c>
      <c r="S841" s="11" t="s">
        <v>28</v>
      </c>
    </row>
    <row r="842" spans="1:19" x14ac:dyDescent="0.15">
      <c r="A842" s="11">
        <v>40002</v>
      </c>
      <c r="B842" s="11">
        <v>2</v>
      </c>
      <c r="C842" s="11" t="str">
        <f>A842&amp; "_"&amp;B842</f>
        <v>40002_2</v>
      </c>
      <c r="D842" s="11" t="str">
        <f>VLOOKUP(C842,[1]stages!$A:$AE,31,FALSE)</f>
        <v>everyone</v>
      </c>
      <c r="E842" s="11">
        <v>842</v>
      </c>
      <c r="F842" s="11">
        <v>7500</v>
      </c>
      <c r="G842" s="10" t="str">
        <f>IF(I842="unit",VLOOKUP(F842,[2]characters!$A:$C,3,FALSE),"-")</f>
        <v>-</v>
      </c>
      <c r="H842" s="11">
        <v>290</v>
      </c>
      <c r="I842" s="11" t="s">
        <v>32</v>
      </c>
      <c r="J842" s="11" t="s">
        <v>33</v>
      </c>
      <c r="K842" s="11">
        <v>1</v>
      </c>
      <c r="L842" s="11">
        <v>1</v>
      </c>
      <c r="M842" s="11">
        <v>0</v>
      </c>
      <c r="N842" s="11">
        <v>0</v>
      </c>
      <c r="O842" s="11">
        <v>0</v>
      </c>
      <c r="P842" s="11">
        <v>0</v>
      </c>
      <c r="Q842" s="11">
        <v>1</v>
      </c>
      <c r="R842" s="11" t="s">
        <v>27</v>
      </c>
      <c r="S842" s="11" t="s">
        <v>28</v>
      </c>
    </row>
    <row r="843" spans="1:19" x14ac:dyDescent="0.15">
      <c r="A843" s="11">
        <v>40002</v>
      </c>
      <c r="B843" s="11">
        <v>2</v>
      </c>
      <c r="C843" s="11" t="str">
        <f t="shared" ref="C843" si="94">A843&amp; "_"&amp;B843</f>
        <v>40002_2</v>
      </c>
      <c r="D843" s="11" t="str">
        <f>VLOOKUP(C843,[1]stages!$A:$AE,31,FALSE)</f>
        <v>everyone</v>
      </c>
      <c r="E843" s="11">
        <v>843</v>
      </c>
      <c r="F843" s="11">
        <v>25</v>
      </c>
      <c r="G843" s="10" t="str">
        <f>IF(I843="unit",VLOOKUP(F843,[2]characters!$A:$C,3,FALSE),"-")</f>
        <v>-</v>
      </c>
      <c r="H843" s="11">
        <v>250</v>
      </c>
      <c r="I843" s="11" t="s">
        <v>35</v>
      </c>
      <c r="J843" s="11" t="s">
        <v>33</v>
      </c>
      <c r="K843" s="11">
        <v>1</v>
      </c>
      <c r="L843" s="11">
        <v>1</v>
      </c>
      <c r="M843" s="11">
        <v>0</v>
      </c>
      <c r="N843" s="11">
        <v>0</v>
      </c>
      <c r="O843" s="11">
        <v>0</v>
      </c>
      <c r="P843" s="11">
        <v>0</v>
      </c>
      <c r="Q843" s="11">
        <v>1</v>
      </c>
      <c r="R843" s="11" t="s">
        <v>27</v>
      </c>
      <c r="S843" s="11" t="s">
        <v>28</v>
      </c>
    </row>
    <row r="844" spans="1:19" x14ac:dyDescent="0.15">
      <c r="A844" s="11">
        <v>40002</v>
      </c>
      <c r="B844" s="11">
        <v>2</v>
      </c>
      <c r="C844" s="11" t="str">
        <f t="shared" ref="C844:C852" si="95">A844&amp; "_"&amp;B844</f>
        <v>40002_2</v>
      </c>
      <c r="D844" s="11" t="str">
        <f>VLOOKUP(C844,[1]stages!$A:$AE,31,FALSE)</f>
        <v>everyone</v>
      </c>
      <c r="E844" s="11">
        <v>844</v>
      </c>
      <c r="F844" s="11">
        <v>337</v>
      </c>
      <c r="G844" s="10" t="str">
        <f>IF(I844="unit",VLOOKUP(F844,[2]characters!$A:$C,3,FALSE),"-")</f>
        <v>森のメタルチック</v>
      </c>
      <c r="H844" s="11">
        <v>56</v>
      </c>
      <c r="I844" s="11" t="s">
        <v>36</v>
      </c>
      <c r="J844" s="11">
        <v>1</v>
      </c>
      <c r="K844" s="11">
        <v>1</v>
      </c>
      <c r="L844" s="11">
        <v>1</v>
      </c>
      <c r="M844" s="11">
        <v>0</v>
      </c>
      <c r="N844" s="11">
        <v>0</v>
      </c>
      <c r="O844" s="11">
        <v>0</v>
      </c>
      <c r="P844" s="11">
        <v>0</v>
      </c>
      <c r="Q844" s="11">
        <v>1</v>
      </c>
      <c r="R844" s="11" t="s">
        <v>27</v>
      </c>
      <c r="S844" s="11" t="s">
        <v>28</v>
      </c>
    </row>
    <row r="845" spans="1:19" x14ac:dyDescent="0.15">
      <c r="A845" s="11">
        <v>40002</v>
      </c>
      <c r="B845" s="11">
        <v>2</v>
      </c>
      <c r="C845" s="11" t="str">
        <f t="shared" si="95"/>
        <v>40002_2</v>
      </c>
      <c r="D845" s="11" t="str">
        <f>VLOOKUP(C845,[1]stages!$A:$AE,31,FALSE)</f>
        <v>everyone</v>
      </c>
      <c r="E845" s="11">
        <v>845</v>
      </c>
      <c r="F845" s="11">
        <v>338</v>
      </c>
      <c r="G845" s="10" t="str">
        <f>IF(I845="unit",VLOOKUP(F845,[2]characters!$A:$C,3,FALSE),"-")</f>
        <v>森のメタルダック</v>
      </c>
      <c r="H845" s="11">
        <v>84</v>
      </c>
      <c r="I845" s="11" t="s">
        <v>36</v>
      </c>
      <c r="J845" s="11">
        <v>1</v>
      </c>
      <c r="K845" s="11">
        <v>1</v>
      </c>
      <c r="L845" s="11">
        <v>1</v>
      </c>
      <c r="M845" s="11">
        <v>0</v>
      </c>
      <c r="N845" s="11">
        <v>0</v>
      </c>
      <c r="O845" s="11">
        <v>0</v>
      </c>
      <c r="P845" s="11">
        <v>0</v>
      </c>
      <c r="Q845" s="11">
        <v>1</v>
      </c>
      <c r="R845" s="11" t="s">
        <v>27</v>
      </c>
      <c r="S845" s="11" t="s">
        <v>28</v>
      </c>
    </row>
    <row r="846" spans="1:19" x14ac:dyDescent="0.15">
      <c r="A846" s="11">
        <v>40002</v>
      </c>
      <c r="B846" s="11">
        <v>2</v>
      </c>
      <c r="C846" s="11" t="str">
        <f t="shared" si="95"/>
        <v>40002_2</v>
      </c>
      <c r="D846" s="11" t="str">
        <f>VLOOKUP(C846,[1]stages!$A:$AE,31,FALSE)</f>
        <v>everyone</v>
      </c>
      <c r="E846" s="11">
        <v>846</v>
      </c>
      <c r="F846" s="11">
        <v>121</v>
      </c>
      <c r="G846" s="10" t="str">
        <f>IF(I846="unit",VLOOKUP(F846,[2]characters!$A:$C,3,FALSE),"-")</f>
        <v>攻めの果実</v>
      </c>
      <c r="H846" s="11">
        <v>50</v>
      </c>
      <c r="I846" s="11" t="s">
        <v>36</v>
      </c>
      <c r="J846" s="11">
        <v>1</v>
      </c>
      <c r="K846" s="11">
        <v>1</v>
      </c>
      <c r="L846" s="11">
        <v>1</v>
      </c>
      <c r="M846" s="11">
        <v>0</v>
      </c>
      <c r="N846" s="11">
        <v>0</v>
      </c>
      <c r="O846" s="11">
        <v>0</v>
      </c>
      <c r="P846" s="11">
        <v>0</v>
      </c>
      <c r="Q846" s="11">
        <v>1</v>
      </c>
      <c r="R846" s="11" t="s">
        <v>27</v>
      </c>
      <c r="S846" s="11" t="s">
        <v>28</v>
      </c>
    </row>
    <row r="847" spans="1:19" x14ac:dyDescent="0.15">
      <c r="A847" s="11">
        <v>40002</v>
      </c>
      <c r="B847" s="11">
        <v>2</v>
      </c>
      <c r="C847" s="11" t="str">
        <f t="shared" si="95"/>
        <v>40002_2</v>
      </c>
      <c r="D847" s="11" t="str">
        <f>VLOOKUP(C847,[1]stages!$A:$AE,31,FALSE)</f>
        <v>everyone</v>
      </c>
      <c r="E847" s="11">
        <v>847</v>
      </c>
      <c r="F847" s="11">
        <v>122</v>
      </c>
      <c r="G847" s="10" t="str">
        <f>IF(I847="unit",VLOOKUP(F847,[2]characters!$A:$C,3,FALSE),"-")</f>
        <v>生命の果実</v>
      </c>
      <c r="H847" s="11">
        <v>50</v>
      </c>
      <c r="I847" s="11" t="s">
        <v>36</v>
      </c>
      <c r="J847" s="11">
        <v>1</v>
      </c>
      <c r="K847" s="11">
        <v>1</v>
      </c>
      <c r="L847" s="11">
        <v>1</v>
      </c>
      <c r="M847" s="11">
        <v>0</v>
      </c>
      <c r="N847" s="11">
        <v>0</v>
      </c>
      <c r="O847" s="11">
        <v>0</v>
      </c>
      <c r="P847" s="11">
        <v>0</v>
      </c>
      <c r="Q847" s="11">
        <v>1</v>
      </c>
      <c r="R847" s="11" t="s">
        <v>27</v>
      </c>
      <c r="S847" s="11" t="s">
        <v>28</v>
      </c>
    </row>
    <row r="848" spans="1:19" x14ac:dyDescent="0.15">
      <c r="A848" s="11">
        <v>40002</v>
      </c>
      <c r="B848" s="11">
        <v>2</v>
      </c>
      <c r="C848" s="11" t="str">
        <f t="shared" si="95"/>
        <v>40002_2</v>
      </c>
      <c r="D848" s="11" t="str">
        <f>VLOOKUP(C848,[1]stages!$A:$AE,31,FALSE)</f>
        <v>everyone</v>
      </c>
      <c r="E848" s="11">
        <v>848</v>
      </c>
      <c r="F848" s="11">
        <v>123</v>
      </c>
      <c r="G848" s="10" t="str">
        <f>IF(I848="unit",VLOOKUP(F848,[2]characters!$A:$C,3,FALSE),"-")</f>
        <v>癒しの果実</v>
      </c>
      <c r="H848" s="11">
        <v>50</v>
      </c>
      <c r="I848" s="11" t="s">
        <v>36</v>
      </c>
      <c r="J848" s="11">
        <v>1</v>
      </c>
      <c r="K848" s="11">
        <v>1</v>
      </c>
      <c r="L848" s="11">
        <v>1</v>
      </c>
      <c r="M848" s="11">
        <v>0</v>
      </c>
      <c r="N848" s="11">
        <v>0</v>
      </c>
      <c r="O848" s="11">
        <v>0</v>
      </c>
      <c r="P848" s="11">
        <v>0</v>
      </c>
      <c r="Q848" s="11">
        <v>1</v>
      </c>
      <c r="R848" s="11" t="s">
        <v>27</v>
      </c>
      <c r="S848" s="11" t="s">
        <v>28</v>
      </c>
    </row>
    <row r="849" spans="1:19" x14ac:dyDescent="0.15">
      <c r="A849" s="11">
        <v>40002</v>
      </c>
      <c r="B849" s="11">
        <v>2</v>
      </c>
      <c r="C849" s="11" t="str">
        <f t="shared" si="95"/>
        <v>40002_2</v>
      </c>
      <c r="D849" s="11" t="str">
        <f>VLOOKUP(C849,[1]stages!$A:$AE,31,FALSE)</f>
        <v>everyone</v>
      </c>
      <c r="E849" s="11">
        <v>849</v>
      </c>
      <c r="F849" s="11">
        <v>125</v>
      </c>
      <c r="G849" s="10" t="str">
        <f>IF(I849="unit",VLOOKUP(F849,[2]characters!$A:$C,3,FALSE),"-")</f>
        <v>秘術の果実</v>
      </c>
      <c r="H849" s="11">
        <v>10</v>
      </c>
      <c r="I849" s="11" t="s">
        <v>36</v>
      </c>
      <c r="J849" s="11">
        <v>1</v>
      </c>
      <c r="K849" s="11">
        <v>1</v>
      </c>
      <c r="L849" s="11">
        <v>1</v>
      </c>
      <c r="M849" s="11">
        <v>0</v>
      </c>
      <c r="N849" s="11">
        <v>0</v>
      </c>
      <c r="O849" s="11">
        <v>0</v>
      </c>
      <c r="P849" s="11">
        <v>0</v>
      </c>
      <c r="Q849" s="11">
        <v>1</v>
      </c>
      <c r="R849" s="11" t="s">
        <v>27</v>
      </c>
      <c r="S849" s="11" t="s">
        <v>28</v>
      </c>
    </row>
    <row r="850" spans="1:19" x14ac:dyDescent="0.15">
      <c r="A850" s="11">
        <v>40002</v>
      </c>
      <c r="B850" s="11">
        <v>2</v>
      </c>
      <c r="C850" s="11" t="str">
        <f t="shared" si="95"/>
        <v>40002_2</v>
      </c>
      <c r="D850" s="11" t="str">
        <f>VLOOKUP(C850,[1]stages!$A:$AE,31,FALSE)</f>
        <v>everyone</v>
      </c>
      <c r="E850" s="11">
        <v>850</v>
      </c>
      <c r="F850" s="11">
        <v>296</v>
      </c>
      <c r="G850" s="10" t="str">
        <f>IF(I850="unit",VLOOKUP(F850,[2]characters!$A:$C,3,FALSE),"-")</f>
        <v>アザゼル</v>
      </c>
      <c r="H850" s="11">
        <v>10</v>
      </c>
      <c r="I850" s="11" t="s">
        <v>36</v>
      </c>
      <c r="J850" s="11">
        <v>1</v>
      </c>
      <c r="K850" s="11">
        <v>1</v>
      </c>
      <c r="L850" s="11">
        <v>1</v>
      </c>
      <c r="M850" s="11">
        <v>0</v>
      </c>
      <c r="N850" s="11">
        <v>0</v>
      </c>
      <c r="O850" s="11">
        <v>0</v>
      </c>
      <c r="P850" s="11">
        <v>0</v>
      </c>
      <c r="Q850" s="11">
        <v>1</v>
      </c>
      <c r="R850" s="11" t="s">
        <v>27</v>
      </c>
      <c r="S850" s="11" t="s">
        <v>28</v>
      </c>
    </row>
    <row r="851" spans="1:19" x14ac:dyDescent="0.15">
      <c r="A851" s="11">
        <v>40002</v>
      </c>
      <c r="B851" s="11">
        <v>2</v>
      </c>
      <c r="C851" s="11" t="str">
        <f t="shared" si="95"/>
        <v>40002_2</v>
      </c>
      <c r="D851" s="11" t="str">
        <f>VLOOKUP(C851,[1]stages!$A:$AE,31,FALSE)</f>
        <v>everyone</v>
      </c>
      <c r="E851" s="11">
        <v>851</v>
      </c>
      <c r="F851" s="11">
        <v>350</v>
      </c>
      <c r="G851" s="10" t="str">
        <f>IF(I851="unit",VLOOKUP(F851,[2]characters!$A:$C,3,FALSE),"-")</f>
        <v>森のケロケロ</v>
      </c>
      <c r="H851" s="11">
        <v>150</v>
      </c>
      <c r="I851" s="11" t="s">
        <v>36</v>
      </c>
      <c r="J851" s="11">
        <v>1</v>
      </c>
      <c r="K851" s="11">
        <v>1</v>
      </c>
      <c r="L851" s="11">
        <v>1</v>
      </c>
      <c r="M851" s="11">
        <v>0</v>
      </c>
      <c r="N851" s="11">
        <v>0</v>
      </c>
      <c r="O851" s="11">
        <v>0</v>
      </c>
      <c r="P851" s="11">
        <v>0</v>
      </c>
      <c r="Q851" s="11">
        <v>1</v>
      </c>
      <c r="R851" s="11" t="s">
        <v>27</v>
      </c>
      <c r="S851" s="11" t="s">
        <v>28</v>
      </c>
    </row>
    <row r="852" spans="1:19" x14ac:dyDescent="0.15">
      <c r="A852" s="11">
        <v>40002</v>
      </c>
      <c r="B852" s="11">
        <v>3</v>
      </c>
      <c r="C852" s="11" t="str">
        <f t="shared" si="95"/>
        <v>40002_3</v>
      </c>
      <c r="D852" s="11" t="str">
        <f>VLOOKUP(C852,[1]stages!$A:$AE,31,FALSE)</f>
        <v>everyone</v>
      </c>
      <c r="E852" s="11">
        <v>852</v>
      </c>
      <c r="F852" s="11">
        <v>40000</v>
      </c>
      <c r="G852" s="10" t="str">
        <f>IF(I852="unit",VLOOKUP(F852,[2]characters!$A:$C,3,FALSE),"-")</f>
        <v>-</v>
      </c>
      <c r="H852" s="11">
        <v>100</v>
      </c>
      <c r="I852" s="11" t="s">
        <v>32</v>
      </c>
      <c r="J852" s="11" t="s">
        <v>33</v>
      </c>
      <c r="K852" s="11">
        <v>1</v>
      </c>
      <c r="L852" s="11">
        <v>1</v>
      </c>
      <c r="M852" s="11">
        <v>0</v>
      </c>
      <c r="N852" s="11">
        <v>0</v>
      </c>
      <c r="O852" s="11">
        <v>0</v>
      </c>
      <c r="P852" s="11">
        <v>0</v>
      </c>
      <c r="Q852" s="11">
        <v>1</v>
      </c>
      <c r="R852" s="11" t="s">
        <v>27</v>
      </c>
      <c r="S852" s="11" t="s">
        <v>28</v>
      </c>
    </row>
    <row r="853" spans="1:19" x14ac:dyDescent="0.15">
      <c r="A853" s="11">
        <v>40002</v>
      </c>
      <c r="B853" s="11">
        <v>3</v>
      </c>
      <c r="C853" s="11" t="str">
        <f t="shared" ref="C853" si="96">A853&amp; "_"&amp;B853</f>
        <v>40002_3</v>
      </c>
      <c r="D853" s="11" t="str">
        <f>VLOOKUP(C853,[1]stages!$A:$AE,31,FALSE)</f>
        <v>everyone</v>
      </c>
      <c r="E853" s="11">
        <v>853</v>
      </c>
      <c r="F853" s="11">
        <v>30</v>
      </c>
      <c r="G853" s="10" t="str">
        <f>IF(I853="unit",VLOOKUP(F853,[2]characters!$A:$C,3,FALSE),"-")</f>
        <v>-</v>
      </c>
      <c r="H853" s="11">
        <v>100</v>
      </c>
      <c r="I853" s="11" t="s">
        <v>35</v>
      </c>
      <c r="J853" s="11" t="s">
        <v>33</v>
      </c>
      <c r="K853" s="11">
        <v>1</v>
      </c>
      <c r="L853" s="11">
        <v>1</v>
      </c>
      <c r="M853" s="11">
        <v>0</v>
      </c>
      <c r="N853" s="11">
        <v>0</v>
      </c>
      <c r="O853" s="11">
        <v>0</v>
      </c>
      <c r="P853" s="11">
        <v>0</v>
      </c>
      <c r="Q853" s="11">
        <v>1</v>
      </c>
      <c r="R853" s="11" t="s">
        <v>27</v>
      </c>
      <c r="S853" s="11" t="s">
        <v>28</v>
      </c>
    </row>
    <row r="854" spans="1:19" x14ac:dyDescent="0.15">
      <c r="A854" s="11">
        <v>40002</v>
      </c>
      <c r="B854" s="11">
        <v>3</v>
      </c>
      <c r="C854" s="11" t="str">
        <f t="shared" ref="C854:C862" si="97">A854&amp; "_"&amp;B854</f>
        <v>40002_3</v>
      </c>
      <c r="D854" s="11" t="str">
        <f>VLOOKUP(C854,[1]stages!$A:$AE,31,FALSE)</f>
        <v>everyone</v>
      </c>
      <c r="E854" s="11">
        <v>854</v>
      </c>
      <c r="F854" s="11">
        <v>337</v>
      </c>
      <c r="G854" s="10" t="str">
        <f>IF(I854="unit",VLOOKUP(F854,[2]characters!$A:$C,3,FALSE),"-")</f>
        <v>森のメタルチック</v>
      </c>
      <c r="H854" s="11">
        <v>28</v>
      </c>
      <c r="I854" s="11" t="s">
        <v>36</v>
      </c>
      <c r="J854" s="11">
        <v>1</v>
      </c>
      <c r="K854" s="11">
        <v>1</v>
      </c>
      <c r="L854" s="11">
        <v>1</v>
      </c>
      <c r="M854" s="11">
        <v>0</v>
      </c>
      <c r="N854" s="11">
        <v>0</v>
      </c>
      <c r="O854" s="11">
        <v>0</v>
      </c>
      <c r="P854" s="11">
        <v>0</v>
      </c>
      <c r="Q854" s="11">
        <v>1</v>
      </c>
      <c r="R854" s="11" t="s">
        <v>27</v>
      </c>
      <c r="S854" s="11" t="s">
        <v>28</v>
      </c>
    </row>
    <row r="855" spans="1:19" x14ac:dyDescent="0.15">
      <c r="A855" s="11">
        <v>40002</v>
      </c>
      <c r="B855" s="11">
        <v>3</v>
      </c>
      <c r="C855" s="11" t="str">
        <f t="shared" si="97"/>
        <v>40002_3</v>
      </c>
      <c r="D855" s="11" t="str">
        <f>VLOOKUP(C855,[1]stages!$A:$AE,31,FALSE)</f>
        <v>everyone</v>
      </c>
      <c r="E855" s="11">
        <v>855</v>
      </c>
      <c r="F855" s="11">
        <v>338</v>
      </c>
      <c r="G855" s="10" t="str">
        <f>IF(I855="unit",VLOOKUP(F855,[2]characters!$A:$C,3,FALSE),"-")</f>
        <v>森のメタルダック</v>
      </c>
      <c r="H855" s="11">
        <v>112</v>
      </c>
      <c r="I855" s="11" t="s">
        <v>36</v>
      </c>
      <c r="J855" s="11">
        <v>1</v>
      </c>
      <c r="K855" s="11">
        <v>1</v>
      </c>
      <c r="L855" s="11">
        <v>1</v>
      </c>
      <c r="M855" s="11">
        <v>0</v>
      </c>
      <c r="N855" s="11">
        <v>0</v>
      </c>
      <c r="O855" s="11">
        <v>0</v>
      </c>
      <c r="P855" s="11">
        <v>0</v>
      </c>
      <c r="Q855" s="11">
        <v>1</v>
      </c>
      <c r="R855" s="11" t="s">
        <v>27</v>
      </c>
      <c r="S855" s="11" t="s">
        <v>28</v>
      </c>
    </row>
    <row r="856" spans="1:19" x14ac:dyDescent="0.15">
      <c r="A856" s="11">
        <v>40002</v>
      </c>
      <c r="B856" s="11">
        <v>3</v>
      </c>
      <c r="C856" s="11" t="str">
        <f t="shared" si="97"/>
        <v>40002_3</v>
      </c>
      <c r="D856" s="11" t="str">
        <f>VLOOKUP(C856,[1]stages!$A:$AE,31,FALSE)</f>
        <v>everyone</v>
      </c>
      <c r="E856" s="11">
        <v>856</v>
      </c>
      <c r="F856" s="11">
        <v>121</v>
      </c>
      <c r="G856" s="10" t="str">
        <f>IF(I856="unit",VLOOKUP(F856,[2]characters!$A:$C,3,FALSE),"-")</f>
        <v>攻めの果実</v>
      </c>
      <c r="H856" s="11">
        <v>50</v>
      </c>
      <c r="I856" s="11" t="s">
        <v>36</v>
      </c>
      <c r="J856" s="11">
        <v>1</v>
      </c>
      <c r="K856" s="11">
        <v>1</v>
      </c>
      <c r="L856" s="11">
        <v>1</v>
      </c>
      <c r="M856" s="11">
        <v>0</v>
      </c>
      <c r="N856" s="11">
        <v>0</v>
      </c>
      <c r="O856" s="11">
        <v>0</v>
      </c>
      <c r="P856" s="11">
        <v>0</v>
      </c>
      <c r="Q856" s="11">
        <v>1</v>
      </c>
      <c r="R856" s="11" t="s">
        <v>27</v>
      </c>
      <c r="S856" s="11" t="s">
        <v>28</v>
      </c>
    </row>
    <row r="857" spans="1:19" x14ac:dyDescent="0.15">
      <c r="A857" s="11">
        <v>40002</v>
      </c>
      <c r="B857" s="11">
        <v>3</v>
      </c>
      <c r="C857" s="11" t="str">
        <f t="shared" si="97"/>
        <v>40002_3</v>
      </c>
      <c r="D857" s="11" t="str">
        <f>VLOOKUP(C857,[1]stages!$A:$AE,31,FALSE)</f>
        <v>everyone</v>
      </c>
      <c r="E857" s="11">
        <v>857</v>
      </c>
      <c r="F857" s="11">
        <v>122</v>
      </c>
      <c r="G857" s="10" t="str">
        <f>IF(I857="unit",VLOOKUP(F857,[2]characters!$A:$C,3,FALSE),"-")</f>
        <v>生命の果実</v>
      </c>
      <c r="H857" s="11">
        <v>50</v>
      </c>
      <c r="I857" s="11" t="s">
        <v>36</v>
      </c>
      <c r="J857" s="11">
        <v>1</v>
      </c>
      <c r="K857" s="11">
        <v>1</v>
      </c>
      <c r="L857" s="11">
        <v>1</v>
      </c>
      <c r="M857" s="11">
        <v>0</v>
      </c>
      <c r="N857" s="11">
        <v>0</v>
      </c>
      <c r="O857" s="11">
        <v>0</v>
      </c>
      <c r="P857" s="11">
        <v>0</v>
      </c>
      <c r="Q857" s="11">
        <v>1</v>
      </c>
      <c r="R857" s="11" t="s">
        <v>27</v>
      </c>
      <c r="S857" s="11" t="s">
        <v>28</v>
      </c>
    </row>
    <row r="858" spans="1:19" x14ac:dyDescent="0.15">
      <c r="A858" s="11">
        <v>40002</v>
      </c>
      <c r="B858" s="11">
        <v>3</v>
      </c>
      <c r="C858" s="11" t="str">
        <f t="shared" si="97"/>
        <v>40002_3</v>
      </c>
      <c r="D858" s="11" t="str">
        <f>VLOOKUP(C858,[1]stages!$A:$AE,31,FALSE)</f>
        <v>everyone</v>
      </c>
      <c r="E858" s="11">
        <v>858</v>
      </c>
      <c r="F858" s="11">
        <v>123</v>
      </c>
      <c r="G858" s="10" t="str">
        <f>IF(I858="unit",VLOOKUP(F858,[2]characters!$A:$C,3,FALSE),"-")</f>
        <v>癒しの果実</v>
      </c>
      <c r="H858" s="11">
        <v>50</v>
      </c>
      <c r="I858" s="11" t="s">
        <v>36</v>
      </c>
      <c r="J858" s="11">
        <v>1</v>
      </c>
      <c r="K858" s="11">
        <v>1</v>
      </c>
      <c r="L858" s="11">
        <v>1</v>
      </c>
      <c r="M858" s="11">
        <v>0</v>
      </c>
      <c r="N858" s="11">
        <v>0</v>
      </c>
      <c r="O858" s="11">
        <v>0</v>
      </c>
      <c r="P858" s="11">
        <v>0</v>
      </c>
      <c r="Q858" s="11">
        <v>1</v>
      </c>
      <c r="R858" s="11" t="s">
        <v>27</v>
      </c>
      <c r="S858" s="11" t="s">
        <v>28</v>
      </c>
    </row>
    <row r="859" spans="1:19" x14ac:dyDescent="0.15">
      <c r="A859" s="11">
        <v>40002</v>
      </c>
      <c r="B859" s="11">
        <v>3</v>
      </c>
      <c r="C859" s="11" t="str">
        <f t="shared" si="97"/>
        <v>40002_3</v>
      </c>
      <c r="D859" s="11" t="str">
        <f>VLOOKUP(C859,[1]stages!$A:$AE,31,FALSE)</f>
        <v>everyone</v>
      </c>
      <c r="E859" s="11">
        <v>859</v>
      </c>
      <c r="F859" s="11">
        <v>125</v>
      </c>
      <c r="G859" s="10" t="str">
        <f>IF(I859="unit",VLOOKUP(F859,[2]characters!$A:$C,3,FALSE),"-")</f>
        <v>秘術の果実</v>
      </c>
      <c r="H859" s="11">
        <v>10</v>
      </c>
      <c r="I859" s="11" t="s">
        <v>36</v>
      </c>
      <c r="J859" s="11">
        <v>1</v>
      </c>
      <c r="K859" s="11">
        <v>1</v>
      </c>
      <c r="L859" s="11">
        <v>1</v>
      </c>
      <c r="M859" s="11">
        <v>0</v>
      </c>
      <c r="N859" s="11">
        <v>0</v>
      </c>
      <c r="O859" s="11">
        <v>0</v>
      </c>
      <c r="P859" s="11">
        <v>0</v>
      </c>
      <c r="Q859" s="11">
        <v>1</v>
      </c>
      <c r="R859" s="11" t="s">
        <v>27</v>
      </c>
      <c r="S859" s="11" t="s">
        <v>28</v>
      </c>
    </row>
    <row r="860" spans="1:19" x14ac:dyDescent="0.15">
      <c r="A860" s="11">
        <v>40002</v>
      </c>
      <c r="B860" s="11">
        <v>3</v>
      </c>
      <c r="C860" s="11" t="str">
        <f t="shared" si="97"/>
        <v>40002_3</v>
      </c>
      <c r="D860" s="11" t="str">
        <f>VLOOKUP(C860,[1]stages!$A:$AE,31,FALSE)</f>
        <v>everyone</v>
      </c>
      <c r="E860" s="11">
        <v>860</v>
      </c>
      <c r="F860" s="11">
        <v>296</v>
      </c>
      <c r="G860" s="10" t="str">
        <f>IF(I860="unit",VLOOKUP(F860,[2]characters!$A:$C,3,FALSE),"-")</f>
        <v>アザゼル</v>
      </c>
      <c r="H860" s="11">
        <v>250</v>
      </c>
      <c r="I860" s="11" t="s">
        <v>36</v>
      </c>
      <c r="J860" s="11">
        <v>1</v>
      </c>
      <c r="K860" s="11">
        <v>1</v>
      </c>
      <c r="L860" s="11">
        <v>1</v>
      </c>
      <c r="M860" s="11">
        <v>0</v>
      </c>
      <c r="N860" s="11">
        <v>0</v>
      </c>
      <c r="O860" s="11">
        <v>0</v>
      </c>
      <c r="P860" s="11">
        <v>0</v>
      </c>
      <c r="Q860" s="11">
        <v>1</v>
      </c>
      <c r="R860" s="11" t="s">
        <v>27</v>
      </c>
      <c r="S860" s="11" t="s">
        <v>28</v>
      </c>
    </row>
    <row r="861" spans="1:19" x14ac:dyDescent="0.15">
      <c r="A861" s="11">
        <v>40002</v>
      </c>
      <c r="B861" s="11">
        <v>3</v>
      </c>
      <c r="C861" s="11" t="str">
        <f t="shared" si="97"/>
        <v>40002_3</v>
      </c>
      <c r="D861" s="11" t="str">
        <f>VLOOKUP(C861,[1]stages!$A:$AE,31,FALSE)</f>
        <v>everyone</v>
      </c>
      <c r="E861" s="11">
        <v>861</v>
      </c>
      <c r="F861" s="11">
        <v>357</v>
      </c>
      <c r="G861" s="10" t="str">
        <f>IF(I861="unit",VLOOKUP(F861,[2]characters!$A:$C,3,FALSE),"-")</f>
        <v>千風のグリフォン</v>
      </c>
      <c r="H861" s="11">
        <v>250</v>
      </c>
      <c r="I861" s="11" t="s">
        <v>36</v>
      </c>
      <c r="J861" s="11">
        <v>1</v>
      </c>
      <c r="K861" s="11">
        <v>1</v>
      </c>
      <c r="L861" s="11">
        <v>1</v>
      </c>
      <c r="M861" s="11">
        <v>0</v>
      </c>
      <c r="N861" s="11">
        <v>0</v>
      </c>
      <c r="O861" s="11">
        <v>0</v>
      </c>
      <c r="P861" s="11">
        <v>0</v>
      </c>
      <c r="Q861" s="11">
        <v>1</v>
      </c>
      <c r="R861" s="11" t="s">
        <v>27</v>
      </c>
      <c r="S861" s="11" t="s">
        <v>28</v>
      </c>
    </row>
    <row r="862" spans="1:19" x14ac:dyDescent="0.15">
      <c r="A862" s="12">
        <v>40003</v>
      </c>
      <c r="B862" s="12">
        <v>1</v>
      </c>
      <c r="C862" s="12" t="str">
        <f t="shared" si="97"/>
        <v>40003_1</v>
      </c>
      <c r="D862" s="12" t="str">
        <f>VLOOKUP(C862,[1]stages!$A:$AE,31,FALSE)</f>
        <v>everyone</v>
      </c>
      <c r="E862" s="12">
        <v>862</v>
      </c>
      <c r="F862" s="12">
        <v>40000</v>
      </c>
      <c r="G862" s="10" t="str">
        <f>IF(I862="unit",VLOOKUP(F862,[2]characters!$A:$C,3,FALSE),"-")</f>
        <v>-</v>
      </c>
      <c r="H862" s="12">
        <v>150</v>
      </c>
      <c r="I862" s="12" t="s">
        <v>32</v>
      </c>
      <c r="J862" s="12" t="s">
        <v>33</v>
      </c>
      <c r="K862" s="12">
        <v>1</v>
      </c>
      <c r="L862" s="12">
        <v>1</v>
      </c>
      <c r="M862" s="12">
        <v>0</v>
      </c>
      <c r="N862" s="12">
        <v>0</v>
      </c>
      <c r="O862" s="12">
        <v>0</v>
      </c>
      <c r="P862" s="12">
        <v>0</v>
      </c>
      <c r="Q862" s="12">
        <v>1</v>
      </c>
      <c r="R862" s="12" t="s">
        <v>27</v>
      </c>
      <c r="S862" s="12" t="s">
        <v>28</v>
      </c>
    </row>
    <row r="863" spans="1:19" x14ac:dyDescent="0.15">
      <c r="A863" s="12">
        <v>40003</v>
      </c>
      <c r="B863" s="12">
        <v>1</v>
      </c>
      <c r="C863" s="12" t="str">
        <f t="shared" ref="C863" si="98">A863&amp; "_"&amp;B863</f>
        <v>40003_1</v>
      </c>
      <c r="D863" s="12" t="str">
        <f>VLOOKUP(C863,[1]stages!$A:$AE,31,FALSE)</f>
        <v>everyone</v>
      </c>
      <c r="E863" s="12">
        <v>863</v>
      </c>
      <c r="F863" s="12">
        <v>30</v>
      </c>
      <c r="G863" s="10" t="str">
        <f>IF(I863="unit",VLOOKUP(F863,[2]characters!$A:$C,3,FALSE),"-")</f>
        <v>-</v>
      </c>
      <c r="H863" s="12">
        <v>150</v>
      </c>
      <c r="I863" s="12" t="s">
        <v>35</v>
      </c>
      <c r="J863" s="12" t="s">
        <v>33</v>
      </c>
      <c r="K863" s="12">
        <v>1</v>
      </c>
      <c r="L863" s="12">
        <v>1</v>
      </c>
      <c r="M863" s="12">
        <v>0</v>
      </c>
      <c r="N863" s="12">
        <v>0</v>
      </c>
      <c r="O863" s="12">
        <v>0</v>
      </c>
      <c r="P863" s="12">
        <v>0</v>
      </c>
      <c r="Q863" s="12">
        <v>1</v>
      </c>
      <c r="R863" s="12" t="s">
        <v>27</v>
      </c>
      <c r="S863" s="12" t="s">
        <v>28</v>
      </c>
    </row>
    <row r="864" spans="1:19" x14ac:dyDescent="0.15">
      <c r="A864" s="12">
        <v>40003</v>
      </c>
      <c r="B864" s="12">
        <v>1</v>
      </c>
      <c r="C864" s="12" t="str">
        <f t="shared" ref="C864:C872" si="99">A864&amp; "_"&amp;B864</f>
        <v>40003_1</v>
      </c>
      <c r="D864" s="12" t="str">
        <f>VLOOKUP(C864,[1]stages!$A:$AE,31,FALSE)</f>
        <v>everyone</v>
      </c>
      <c r="E864" s="12">
        <v>864</v>
      </c>
      <c r="F864" s="12">
        <v>341</v>
      </c>
      <c r="G864" s="10" t="str">
        <f>IF(I864="unit",VLOOKUP(F864,[2]characters!$A:$C,3,FALSE),"-")</f>
        <v>水のメタルチック</v>
      </c>
      <c r="H864" s="12">
        <v>28</v>
      </c>
      <c r="I864" s="12" t="s">
        <v>36</v>
      </c>
      <c r="J864" s="12">
        <v>1</v>
      </c>
      <c r="K864" s="12">
        <v>1</v>
      </c>
      <c r="L864" s="12">
        <v>1</v>
      </c>
      <c r="M864" s="12">
        <v>0</v>
      </c>
      <c r="N864" s="12">
        <v>0</v>
      </c>
      <c r="O864" s="12">
        <v>0</v>
      </c>
      <c r="P864" s="12">
        <v>0</v>
      </c>
      <c r="Q864" s="12">
        <v>1</v>
      </c>
      <c r="R864" s="12" t="s">
        <v>27</v>
      </c>
      <c r="S864" s="12" t="s">
        <v>28</v>
      </c>
    </row>
    <row r="865" spans="1:19" x14ac:dyDescent="0.15">
      <c r="A865" s="12">
        <v>40003</v>
      </c>
      <c r="B865" s="12">
        <v>1</v>
      </c>
      <c r="C865" s="12" t="str">
        <f t="shared" si="99"/>
        <v>40003_1</v>
      </c>
      <c r="D865" s="12" t="str">
        <f>VLOOKUP(C865,[1]stages!$A:$AE,31,FALSE)</f>
        <v>everyone</v>
      </c>
      <c r="E865" s="12">
        <v>865</v>
      </c>
      <c r="F865" s="12">
        <v>342</v>
      </c>
      <c r="G865" s="10" t="str">
        <f>IF(I865="unit",VLOOKUP(F865,[2]characters!$A:$C,3,FALSE),"-")</f>
        <v>水のメタルダック</v>
      </c>
      <c r="H865" s="12">
        <v>112</v>
      </c>
      <c r="I865" s="12" t="s">
        <v>36</v>
      </c>
      <c r="J865" s="12">
        <v>1</v>
      </c>
      <c r="K865" s="12">
        <v>1</v>
      </c>
      <c r="L865" s="12">
        <v>1</v>
      </c>
      <c r="M865" s="12">
        <v>0</v>
      </c>
      <c r="N865" s="12">
        <v>0</v>
      </c>
      <c r="O865" s="12">
        <v>0</v>
      </c>
      <c r="P865" s="12">
        <v>0</v>
      </c>
      <c r="Q865" s="12">
        <v>1</v>
      </c>
      <c r="R865" s="12" t="s">
        <v>27</v>
      </c>
      <c r="S865" s="12" t="s">
        <v>28</v>
      </c>
    </row>
    <row r="866" spans="1:19" x14ac:dyDescent="0.15">
      <c r="A866" s="12">
        <v>40003</v>
      </c>
      <c r="B866" s="12">
        <v>1</v>
      </c>
      <c r="C866" s="12" t="str">
        <f t="shared" si="99"/>
        <v>40003_1</v>
      </c>
      <c r="D866" s="12" t="str">
        <f>VLOOKUP(C866,[1]stages!$A:$AE,31,FALSE)</f>
        <v>everyone</v>
      </c>
      <c r="E866" s="12">
        <v>866</v>
      </c>
      <c r="F866" s="12">
        <v>121</v>
      </c>
      <c r="G866" s="10" t="str">
        <f>IF(I866="unit",VLOOKUP(F866,[2]characters!$A:$C,3,FALSE),"-")</f>
        <v>攻めの果実</v>
      </c>
      <c r="H866" s="12">
        <v>50</v>
      </c>
      <c r="I866" s="12" t="s">
        <v>36</v>
      </c>
      <c r="J866" s="12">
        <v>1</v>
      </c>
      <c r="K866" s="12">
        <v>1</v>
      </c>
      <c r="L866" s="12">
        <v>1</v>
      </c>
      <c r="M866" s="12">
        <v>0</v>
      </c>
      <c r="N866" s="12">
        <v>0</v>
      </c>
      <c r="O866" s="12">
        <v>0</v>
      </c>
      <c r="P866" s="12">
        <v>0</v>
      </c>
      <c r="Q866" s="12">
        <v>1</v>
      </c>
      <c r="R866" s="12" t="s">
        <v>27</v>
      </c>
      <c r="S866" s="12" t="s">
        <v>28</v>
      </c>
    </row>
    <row r="867" spans="1:19" x14ac:dyDescent="0.15">
      <c r="A867" s="12">
        <v>40003</v>
      </c>
      <c r="B867" s="12">
        <v>1</v>
      </c>
      <c r="C867" s="12" t="str">
        <f t="shared" si="99"/>
        <v>40003_1</v>
      </c>
      <c r="D867" s="12" t="str">
        <f>VLOOKUP(C867,[1]stages!$A:$AE,31,FALSE)</f>
        <v>everyone</v>
      </c>
      <c r="E867" s="12">
        <v>867</v>
      </c>
      <c r="F867" s="12">
        <v>122</v>
      </c>
      <c r="G867" s="10" t="str">
        <f>IF(I867="unit",VLOOKUP(F867,[2]characters!$A:$C,3,FALSE),"-")</f>
        <v>生命の果実</v>
      </c>
      <c r="H867" s="12">
        <v>50</v>
      </c>
      <c r="I867" s="12" t="s">
        <v>36</v>
      </c>
      <c r="J867" s="12">
        <v>1</v>
      </c>
      <c r="K867" s="12">
        <v>1</v>
      </c>
      <c r="L867" s="12">
        <v>1</v>
      </c>
      <c r="M867" s="12">
        <v>0</v>
      </c>
      <c r="N867" s="12">
        <v>0</v>
      </c>
      <c r="O867" s="12">
        <v>0</v>
      </c>
      <c r="P867" s="12">
        <v>0</v>
      </c>
      <c r="Q867" s="12">
        <v>1</v>
      </c>
      <c r="R867" s="12" t="s">
        <v>27</v>
      </c>
      <c r="S867" s="12" t="s">
        <v>28</v>
      </c>
    </row>
    <row r="868" spans="1:19" x14ac:dyDescent="0.15">
      <c r="A868" s="12">
        <v>40003</v>
      </c>
      <c r="B868" s="12">
        <v>1</v>
      </c>
      <c r="C868" s="12" t="str">
        <f t="shared" si="99"/>
        <v>40003_1</v>
      </c>
      <c r="D868" s="12" t="str">
        <f>VLOOKUP(C868,[1]stages!$A:$AE,31,FALSE)</f>
        <v>everyone</v>
      </c>
      <c r="E868" s="12">
        <v>868</v>
      </c>
      <c r="F868" s="12">
        <v>123</v>
      </c>
      <c r="G868" s="10" t="str">
        <f>IF(I868="unit",VLOOKUP(F868,[2]characters!$A:$C,3,FALSE),"-")</f>
        <v>癒しの果実</v>
      </c>
      <c r="H868" s="12">
        <v>50</v>
      </c>
      <c r="I868" s="12" t="s">
        <v>36</v>
      </c>
      <c r="J868" s="12">
        <v>1</v>
      </c>
      <c r="K868" s="12">
        <v>1</v>
      </c>
      <c r="L868" s="12">
        <v>1</v>
      </c>
      <c r="M868" s="12">
        <v>0</v>
      </c>
      <c r="N868" s="12">
        <v>0</v>
      </c>
      <c r="O868" s="12">
        <v>0</v>
      </c>
      <c r="P868" s="12">
        <v>0</v>
      </c>
      <c r="Q868" s="12">
        <v>1</v>
      </c>
      <c r="R868" s="12" t="s">
        <v>27</v>
      </c>
      <c r="S868" s="12" t="s">
        <v>28</v>
      </c>
    </row>
    <row r="869" spans="1:19" x14ac:dyDescent="0.15">
      <c r="A869" s="12">
        <v>40003</v>
      </c>
      <c r="B869" s="12">
        <v>1</v>
      </c>
      <c r="C869" s="12" t="str">
        <f t="shared" si="99"/>
        <v>40003_1</v>
      </c>
      <c r="D869" s="12" t="str">
        <f>VLOOKUP(C869,[1]stages!$A:$AE,31,FALSE)</f>
        <v>everyone</v>
      </c>
      <c r="E869" s="12">
        <v>869</v>
      </c>
      <c r="F869" s="12">
        <v>125</v>
      </c>
      <c r="G869" s="10" t="str">
        <f>IF(I869="unit",VLOOKUP(F869,[2]characters!$A:$C,3,FALSE),"-")</f>
        <v>秘術の果実</v>
      </c>
      <c r="H869" s="12">
        <v>10</v>
      </c>
      <c r="I869" s="12" t="s">
        <v>36</v>
      </c>
      <c r="J869" s="12">
        <v>1</v>
      </c>
      <c r="K869" s="12">
        <v>1</v>
      </c>
      <c r="L869" s="12">
        <v>1</v>
      </c>
      <c r="M869" s="12">
        <v>0</v>
      </c>
      <c r="N869" s="12">
        <v>0</v>
      </c>
      <c r="O869" s="12">
        <v>0</v>
      </c>
      <c r="P869" s="12">
        <v>0</v>
      </c>
      <c r="Q869" s="12">
        <v>1</v>
      </c>
      <c r="R869" s="12" t="s">
        <v>27</v>
      </c>
      <c r="S869" s="12" t="s">
        <v>28</v>
      </c>
    </row>
    <row r="870" spans="1:19" x14ac:dyDescent="0.15">
      <c r="A870" s="12">
        <v>40003</v>
      </c>
      <c r="B870" s="12">
        <v>1</v>
      </c>
      <c r="C870" s="12" t="str">
        <f t="shared" si="99"/>
        <v>40003_1</v>
      </c>
      <c r="D870" s="12" t="str">
        <f>VLOOKUP(C870,[1]stages!$A:$AE,31,FALSE)</f>
        <v>everyone</v>
      </c>
      <c r="E870" s="12">
        <v>870</v>
      </c>
      <c r="F870" s="12">
        <v>314</v>
      </c>
      <c r="G870" s="10" t="str">
        <f>IF(I870="unit",VLOOKUP(F870,[2]characters!$A:$C,3,FALSE),"-")</f>
        <v>ジャンヌ</v>
      </c>
      <c r="H870" s="12">
        <v>250</v>
      </c>
      <c r="I870" s="12" t="s">
        <v>36</v>
      </c>
      <c r="J870" s="12">
        <v>1</v>
      </c>
      <c r="K870" s="12">
        <v>1</v>
      </c>
      <c r="L870" s="12">
        <v>1</v>
      </c>
      <c r="M870" s="12">
        <v>0</v>
      </c>
      <c r="N870" s="12">
        <v>0</v>
      </c>
      <c r="O870" s="12">
        <v>0</v>
      </c>
      <c r="P870" s="12">
        <v>0</v>
      </c>
      <c r="Q870" s="12">
        <v>1</v>
      </c>
      <c r="R870" s="12" t="s">
        <v>27</v>
      </c>
      <c r="S870" s="12" t="s">
        <v>28</v>
      </c>
    </row>
    <row r="871" spans="1:19" x14ac:dyDescent="0.15">
      <c r="A871" s="12">
        <v>40003</v>
      </c>
      <c r="B871" s="12">
        <v>1</v>
      </c>
      <c r="C871" s="12" t="str">
        <f t="shared" si="99"/>
        <v>40003_1</v>
      </c>
      <c r="D871" s="12" t="str">
        <f>VLOOKUP(C871,[1]stages!$A:$AE,31,FALSE)</f>
        <v>everyone</v>
      </c>
      <c r="E871" s="12">
        <v>871</v>
      </c>
      <c r="F871" s="12">
        <v>352</v>
      </c>
      <c r="G871" s="10" t="str">
        <f>IF(I871="unit",VLOOKUP(F871,[2]characters!$A:$C,3,FALSE),"-")</f>
        <v>水のケロケロ</v>
      </c>
      <c r="H871" s="12">
        <v>150</v>
      </c>
      <c r="I871" s="12" t="s">
        <v>36</v>
      </c>
      <c r="J871" s="12">
        <v>1</v>
      </c>
      <c r="K871" s="12">
        <v>1</v>
      </c>
      <c r="L871" s="12">
        <v>1</v>
      </c>
      <c r="M871" s="12">
        <v>0</v>
      </c>
      <c r="N871" s="12">
        <v>0</v>
      </c>
      <c r="O871" s="12">
        <v>0</v>
      </c>
      <c r="P871" s="12">
        <v>0</v>
      </c>
      <c r="Q871" s="12">
        <v>1</v>
      </c>
      <c r="R871" s="12" t="s">
        <v>27</v>
      </c>
      <c r="S871" s="12" t="s">
        <v>28</v>
      </c>
    </row>
    <row r="872" spans="1:19" x14ac:dyDescent="0.15">
      <c r="A872" s="9">
        <v>40004</v>
      </c>
      <c r="B872" s="9">
        <v>1</v>
      </c>
      <c r="C872" s="9" t="str">
        <f t="shared" si="99"/>
        <v>40004_1</v>
      </c>
      <c r="D872" s="9" t="str">
        <f>VLOOKUP(C872,[1]stages!$A:$AE,31,FALSE)</f>
        <v>everyone</v>
      </c>
      <c r="E872" s="9">
        <v>872</v>
      </c>
      <c r="F872" s="9">
        <v>40000</v>
      </c>
      <c r="G872" s="10" t="str">
        <f>IF(I872="unit",VLOOKUP(F872,[2]characters!$A:$C,3,FALSE),"-")</f>
        <v>-</v>
      </c>
      <c r="H872" s="9">
        <v>150</v>
      </c>
      <c r="I872" s="9" t="s">
        <v>32</v>
      </c>
      <c r="J872" s="9" t="s">
        <v>33</v>
      </c>
      <c r="K872" s="9">
        <v>1</v>
      </c>
      <c r="L872" s="9">
        <v>1</v>
      </c>
      <c r="M872" s="9">
        <v>0</v>
      </c>
      <c r="N872" s="9">
        <v>0</v>
      </c>
      <c r="O872" s="9">
        <v>0</v>
      </c>
      <c r="P872" s="9">
        <v>0</v>
      </c>
      <c r="Q872" s="9">
        <v>1</v>
      </c>
      <c r="R872" s="9" t="s">
        <v>27</v>
      </c>
      <c r="S872" s="9" t="s">
        <v>28</v>
      </c>
    </row>
    <row r="873" spans="1:19" x14ac:dyDescent="0.15">
      <c r="A873" s="9">
        <v>40004</v>
      </c>
      <c r="B873" s="9">
        <v>1</v>
      </c>
      <c r="C873" s="9" t="str">
        <f t="shared" ref="C873" si="100">A873&amp; "_"&amp;B873</f>
        <v>40004_1</v>
      </c>
      <c r="D873" s="9" t="str">
        <f>VLOOKUP(C873,[1]stages!$A:$AE,31,FALSE)</f>
        <v>everyone</v>
      </c>
      <c r="E873" s="9">
        <v>873</v>
      </c>
      <c r="F873" s="9">
        <v>30</v>
      </c>
      <c r="G873" s="10" t="str">
        <f>IF(I873="unit",VLOOKUP(F873,[2]characters!$A:$C,3,FALSE),"-")</f>
        <v>-</v>
      </c>
      <c r="H873" s="9">
        <v>150</v>
      </c>
      <c r="I873" s="9" t="s">
        <v>35</v>
      </c>
      <c r="J873" s="9" t="s">
        <v>33</v>
      </c>
      <c r="K873" s="9">
        <v>1</v>
      </c>
      <c r="L873" s="9">
        <v>1</v>
      </c>
      <c r="M873" s="9">
        <v>0</v>
      </c>
      <c r="N873" s="9">
        <v>0</v>
      </c>
      <c r="O873" s="9">
        <v>0</v>
      </c>
      <c r="P873" s="9">
        <v>0</v>
      </c>
      <c r="Q873" s="9">
        <v>1</v>
      </c>
      <c r="R873" s="9" t="s">
        <v>27</v>
      </c>
      <c r="S873" s="9" t="s">
        <v>28</v>
      </c>
    </row>
    <row r="874" spans="1:19" x14ac:dyDescent="0.15">
      <c r="A874" s="9">
        <v>40004</v>
      </c>
      <c r="B874" s="9">
        <v>1</v>
      </c>
      <c r="C874" s="9" t="str">
        <f t="shared" ref="C874:C882" si="101">A874&amp; "_"&amp;B874</f>
        <v>40004_1</v>
      </c>
      <c r="D874" s="9" t="str">
        <f>VLOOKUP(C874,[1]stages!$A:$AE,31,FALSE)</f>
        <v>everyone</v>
      </c>
      <c r="E874" s="9">
        <v>874</v>
      </c>
      <c r="F874" s="9">
        <v>345</v>
      </c>
      <c r="G874" s="10" t="str">
        <f>IF(I874="unit",VLOOKUP(F874,[2]characters!$A:$C,3,FALSE),"-")</f>
        <v>雷のメタルチック</v>
      </c>
      <c r="H874" s="9">
        <v>28</v>
      </c>
      <c r="I874" s="9" t="s">
        <v>36</v>
      </c>
      <c r="J874" s="9">
        <v>1</v>
      </c>
      <c r="K874" s="9">
        <v>1</v>
      </c>
      <c r="L874" s="9">
        <v>1</v>
      </c>
      <c r="M874" s="9">
        <v>0</v>
      </c>
      <c r="N874" s="9">
        <v>0</v>
      </c>
      <c r="O874" s="9">
        <v>0</v>
      </c>
      <c r="P874" s="9">
        <v>0</v>
      </c>
      <c r="Q874" s="9">
        <v>1</v>
      </c>
      <c r="R874" s="9" t="s">
        <v>27</v>
      </c>
      <c r="S874" s="9" t="s">
        <v>28</v>
      </c>
    </row>
    <row r="875" spans="1:19" x14ac:dyDescent="0.15">
      <c r="A875" s="9">
        <v>40004</v>
      </c>
      <c r="B875" s="9">
        <v>1</v>
      </c>
      <c r="C875" s="9" t="str">
        <f t="shared" si="101"/>
        <v>40004_1</v>
      </c>
      <c r="D875" s="9" t="str">
        <f>VLOOKUP(C875,[1]stages!$A:$AE,31,FALSE)</f>
        <v>everyone</v>
      </c>
      <c r="E875" s="9">
        <v>875</v>
      </c>
      <c r="F875" s="9">
        <v>346</v>
      </c>
      <c r="G875" s="10" t="str">
        <f>IF(I875="unit",VLOOKUP(F875,[2]characters!$A:$C,3,FALSE),"-")</f>
        <v>雷のメタルダック</v>
      </c>
      <c r="H875" s="9">
        <v>112</v>
      </c>
      <c r="I875" s="9" t="s">
        <v>36</v>
      </c>
      <c r="J875" s="9">
        <v>1</v>
      </c>
      <c r="K875" s="9">
        <v>1</v>
      </c>
      <c r="L875" s="9">
        <v>1</v>
      </c>
      <c r="M875" s="9">
        <v>0</v>
      </c>
      <c r="N875" s="9">
        <v>0</v>
      </c>
      <c r="O875" s="9">
        <v>0</v>
      </c>
      <c r="P875" s="9">
        <v>0</v>
      </c>
      <c r="Q875" s="9">
        <v>1</v>
      </c>
      <c r="R875" s="9" t="s">
        <v>27</v>
      </c>
      <c r="S875" s="9" t="s">
        <v>28</v>
      </c>
    </row>
    <row r="876" spans="1:19" x14ac:dyDescent="0.15">
      <c r="A876" s="9">
        <v>40004</v>
      </c>
      <c r="B876" s="9">
        <v>1</v>
      </c>
      <c r="C876" s="9" t="str">
        <f t="shared" si="101"/>
        <v>40004_1</v>
      </c>
      <c r="D876" s="9" t="str">
        <f>VLOOKUP(C876,[1]stages!$A:$AE,31,FALSE)</f>
        <v>everyone</v>
      </c>
      <c r="E876" s="9">
        <v>876</v>
      </c>
      <c r="F876" s="9">
        <v>121</v>
      </c>
      <c r="G876" s="10" t="str">
        <f>IF(I876="unit",VLOOKUP(F876,[2]characters!$A:$C,3,FALSE),"-")</f>
        <v>攻めの果実</v>
      </c>
      <c r="H876" s="9">
        <v>50</v>
      </c>
      <c r="I876" s="9" t="s">
        <v>36</v>
      </c>
      <c r="J876" s="9">
        <v>1</v>
      </c>
      <c r="K876" s="9">
        <v>1</v>
      </c>
      <c r="L876" s="9">
        <v>1</v>
      </c>
      <c r="M876" s="9">
        <v>0</v>
      </c>
      <c r="N876" s="9">
        <v>0</v>
      </c>
      <c r="O876" s="9">
        <v>0</v>
      </c>
      <c r="P876" s="9">
        <v>0</v>
      </c>
      <c r="Q876" s="9">
        <v>1</v>
      </c>
      <c r="R876" s="9" t="s">
        <v>27</v>
      </c>
      <c r="S876" s="9" t="s">
        <v>28</v>
      </c>
    </row>
    <row r="877" spans="1:19" x14ac:dyDescent="0.15">
      <c r="A877" s="9">
        <v>40004</v>
      </c>
      <c r="B877" s="9">
        <v>1</v>
      </c>
      <c r="C877" s="9" t="str">
        <f t="shared" si="101"/>
        <v>40004_1</v>
      </c>
      <c r="D877" s="9" t="str">
        <f>VLOOKUP(C877,[1]stages!$A:$AE,31,FALSE)</f>
        <v>everyone</v>
      </c>
      <c r="E877" s="9">
        <v>877</v>
      </c>
      <c r="F877" s="9">
        <v>122</v>
      </c>
      <c r="G877" s="10" t="str">
        <f>IF(I877="unit",VLOOKUP(F877,[2]characters!$A:$C,3,FALSE),"-")</f>
        <v>生命の果実</v>
      </c>
      <c r="H877" s="9">
        <v>50</v>
      </c>
      <c r="I877" s="9" t="s">
        <v>36</v>
      </c>
      <c r="J877" s="9">
        <v>1</v>
      </c>
      <c r="K877" s="9">
        <v>1</v>
      </c>
      <c r="L877" s="9">
        <v>1</v>
      </c>
      <c r="M877" s="9">
        <v>0</v>
      </c>
      <c r="N877" s="9">
        <v>0</v>
      </c>
      <c r="O877" s="9">
        <v>0</v>
      </c>
      <c r="P877" s="9">
        <v>0</v>
      </c>
      <c r="Q877" s="9">
        <v>1</v>
      </c>
      <c r="R877" s="9" t="s">
        <v>27</v>
      </c>
      <c r="S877" s="9" t="s">
        <v>28</v>
      </c>
    </row>
    <row r="878" spans="1:19" x14ac:dyDescent="0.15">
      <c r="A878" s="9">
        <v>40004</v>
      </c>
      <c r="B878" s="9">
        <v>1</v>
      </c>
      <c r="C878" s="9" t="str">
        <f t="shared" si="101"/>
        <v>40004_1</v>
      </c>
      <c r="D878" s="9" t="str">
        <f>VLOOKUP(C878,[1]stages!$A:$AE,31,FALSE)</f>
        <v>everyone</v>
      </c>
      <c r="E878" s="9">
        <v>878</v>
      </c>
      <c r="F878" s="9">
        <v>123</v>
      </c>
      <c r="G878" s="10" t="str">
        <f>IF(I878="unit",VLOOKUP(F878,[2]characters!$A:$C,3,FALSE),"-")</f>
        <v>癒しの果実</v>
      </c>
      <c r="H878" s="9">
        <v>50</v>
      </c>
      <c r="I878" s="9" t="s">
        <v>36</v>
      </c>
      <c r="J878" s="9">
        <v>1</v>
      </c>
      <c r="K878" s="9">
        <v>1</v>
      </c>
      <c r="L878" s="9">
        <v>1</v>
      </c>
      <c r="M878" s="9">
        <v>0</v>
      </c>
      <c r="N878" s="9">
        <v>0</v>
      </c>
      <c r="O878" s="9">
        <v>0</v>
      </c>
      <c r="P878" s="9">
        <v>0</v>
      </c>
      <c r="Q878" s="9">
        <v>1</v>
      </c>
      <c r="R878" s="9" t="s">
        <v>27</v>
      </c>
      <c r="S878" s="9" t="s">
        <v>28</v>
      </c>
    </row>
    <row r="879" spans="1:19" x14ac:dyDescent="0.15">
      <c r="A879" s="9">
        <v>40004</v>
      </c>
      <c r="B879" s="9">
        <v>1</v>
      </c>
      <c r="C879" s="9" t="str">
        <f t="shared" si="101"/>
        <v>40004_1</v>
      </c>
      <c r="D879" s="9" t="str">
        <f>VLOOKUP(C879,[1]stages!$A:$AE,31,FALSE)</f>
        <v>everyone</v>
      </c>
      <c r="E879" s="9">
        <v>879</v>
      </c>
      <c r="F879" s="9">
        <v>125</v>
      </c>
      <c r="G879" s="10" t="str">
        <f>IF(I879="unit",VLOOKUP(F879,[2]characters!$A:$C,3,FALSE),"-")</f>
        <v>秘術の果実</v>
      </c>
      <c r="H879" s="9">
        <v>10</v>
      </c>
      <c r="I879" s="9" t="s">
        <v>36</v>
      </c>
      <c r="J879" s="9">
        <v>1</v>
      </c>
      <c r="K879" s="9">
        <v>1</v>
      </c>
      <c r="L879" s="9">
        <v>1</v>
      </c>
      <c r="M879" s="9">
        <v>0</v>
      </c>
      <c r="N879" s="9">
        <v>0</v>
      </c>
      <c r="O879" s="9">
        <v>0</v>
      </c>
      <c r="P879" s="9">
        <v>0</v>
      </c>
      <c r="Q879" s="9">
        <v>1</v>
      </c>
      <c r="R879" s="9" t="s">
        <v>27</v>
      </c>
      <c r="S879" s="9" t="s">
        <v>28</v>
      </c>
    </row>
    <row r="880" spans="1:19" x14ac:dyDescent="0.15">
      <c r="A880" s="9">
        <v>40004</v>
      </c>
      <c r="B880" s="9">
        <v>1</v>
      </c>
      <c r="C880" s="9" t="str">
        <f t="shared" si="101"/>
        <v>40004_1</v>
      </c>
      <c r="D880" s="9" t="str">
        <f>VLOOKUP(C880,[1]stages!$A:$AE,31,FALSE)</f>
        <v>everyone</v>
      </c>
      <c r="E880" s="9">
        <v>880</v>
      </c>
      <c r="F880" s="9">
        <v>426</v>
      </c>
      <c r="G880" s="10" t="str">
        <f>IF(I880="unit",VLOOKUP(F880,[2]characters!$A:$C,3,FALSE),"-")</f>
        <v>宮本武蔵</v>
      </c>
      <c r="H880" s="9">
        <v>250</v>
      </c>
      <c r="I880" s="9" t="s">
        <v>36</v>
      </c>
      <c r="J880" s="9">
        <v>1</v>
      </c>
      <c r="K880" s="9">
        <v>1</v>
      </c>
      <c r="L880" s="9">
        <v>1</v>
      </c>
      <c r="M880" s="9">
        <v>0</v>
      </c>
      <c r="N880" s="9">
        <v>0</v>
      </c>
      <c r="O880" s="9">
        <v>0</v>
      </c>
      <c r="P880" s="9">
        <v>0</v>
      </c>
      <c r="Q880" s="9">
        <v>1</v>
      </c>
      <c r="R880" s="9" t="s">
        <v>27</v>
      </c>
      <c r="S880" s="9" t="s">
        <v>28</v>
      </c>
    </row>
    <row r="881" spans="1:19" x14ac:dyDescent="0.15">
      <c r="A881" s="9">
        <v>40004</v>
      </c>
      <c r="B881" s="9">
        <v>1</v>
      </c>
      <c r="C881" s="9" t="str">
        <f t="shared" si="101"/>
        <v>40004_1</v>
      </c>
      <c r="D881" s="9" t="str">
        <f>VLOOKUP(C881,[1]stages!$A:$AE,31,FALSE)</f>
        <v>everyone</v>
      </c>
      <c r="E881" s="9">
        <v>881</v>
      </c>
      <c r="F881" s="9">
        <v>354</v>
      </c>
      <c r="G881" s="10" t="str">
        <f>IF(I881="unit",VLOOKUP(F881,[2]characters!$A:$C,3,FALSE),"-")</f>
        <v>雷のケロケロ</v>
      </c>
      <c r="H881" s="9">
        <v>150</v>
      </c>
      <c r="I881" s="9" t="s">
        <v>36</v>
      </c>
      <c r="J881" s="9">
        <v>1</v>
      </c>
      <c r="K881" s="9">
        <v>1</v>
      </c>
      <c r="L881" s="9">
        <v>1</v>
      </c>
      <c r="M881" s="9">
        <v>0</v>
      </c>
      <c r="N881" s="9">
        <v>0</v>
      </c>
      <c r="O881" s="9">
        <v>0</v>
      </c>
      <c r="P881" s="9">
        <v>0</v>
      </c>
      <c r="Q881" s="9">
        <v>1</v>
      </c>
      <c r="R881" s="9" t="s">
        <v>27</v>
      </c>
      <c r="S881" s="9" t="s">
        <v>28</v>
      </c>
    </row>
    <row r="882" spans="1:19" x14ac:dyDescent="0.15">
      <c r="A882" s="9">
        <v>50001</v>
      </c>
      <c r="B882" s="9">
        <v>1</v>
      </c>
      <c r="C882" s="9" t="str">
        <f t="shared" si="101"/>
        <v>50001_1</v>
      </c>
      <c r="D882" s="9" t="str">
        <f>VLOOKUP(C882,[1]stages!$A:$AE,31,FALSE)</f>
        <v>everyone</v>
      </c>
      <c r="E882" s="9">
        <v>882</v>
      </c>
      <c r="F882" s="9">
        <v>65000</v>
      </c>
      <c r="G882" s="10" t="str">
        <f>IF(I882="unit",VLOOKUP(F882,[2]characters!$A:$C,3,FALSE),"-")</f>
        <v>-</v>
      </c>
      <c r="H882" s="9">
        <v>150</v>
      </c>
      <c r="I882" s="9" t="s">
        <v>32</v>
      </c>
      <c r="J882" s="9" t="s">
        <v>33</v>
      </c>
      <c r="K882" s="9">
        <v>1</v>
      </c>
      <c r="L882" s="9">
        <v>1</v>
      </c>
      <c r="M882" s="9">
        <v>0</v>
      </c>
      <c r="N882" s="9">
        <v>0</v>
      </c>
      <c r="O882" s="9">
        <v>0</v>
      </c>
      <c r="P882" s="9">
        <v>0</v>
      </c>
      <c r="Q882" s="9">
        <v>1</v>
      </c>
      <c r="R882" s="9" t="s">
        <v>27</v>
      </c>
      <c r="S882" s="9" t="s">
        <v>28</v>
      </c>
    </row>
    <row r="883" spans="1:19" x14ac:dyDescent="0.15">
      <c r="A883" s="9">
        <v>50001</v>
      </c>
      <c r="B883" s="9">
        <v>1</v>
      </c>
      <c r="C883" s="9" t="str">
        <f t="shared" ref="C883" si="102">A883&amp; "_"&amp;B883</f>
        <v>50001_1</v>
      </c>
      <c r="D883" s="9" t="str">
        <f>VLOOKUP(C883,[1]stages!$A:$AE,31,FALSE)</f>
        <v>everyone</v>
      </c>
      <c r="E883" s="9">
        <v>883</v>
      </c>
      <c r="F883" s="9">
        <v>30</v>
      </c>
      <c r="G883" s="10" t="str">
        <f>IF(I883="unit",VLOOKUP(F883,[2]characters!$A:$C,3,FALSE),"-")</f>
        <v>-</v>
      </c>
      <c r="H883" s="9">
        <v>150</v>
      </c>
      <c r="I883" s="9" t="s">
        <v>35</v>
      </c>
      <c r="J883" s="9" t="s">
        <v>33</v>
      </c>
      <c r="K883" s="9">
        <v>1</v>
      </c>
      <c r="L883" s="9">
        <v>1</v>
      </c>
      <c r="M883" s="9">
        <v>0</v>
      </c>
      <c r="N883" s="9">
        <v>0</v>
      </c>
      <c r="O883" s="9">
        <v>0</v>
      </c>
      <c r="P883" s="9">
        <v>0</v>
      </c>
      <c r="Q883" s="9">
        <v>1</v>
      </c>
      <c r="R883" s="9" t="s">
        <v>27</v>
      </c>
      <c r="S883" s="9" t="s">
        <v>28</v>
      </c>
    </row>
    <row r="884" spans="1:19" x14ac:dyDescent="0.15">
      <c r="A884" s="9">
        <v>50001</v>
      </c>
      <c r="B884" s="9">
        <v>1</v>
      </c>
      <c r="C884" s="9" t="str">
        <f t="shared" ref="C884:C901" si="103">A884&amp; "_"&amp;B884</f>
        <v>50001_1</v>
      </c>
      <c r="D884" s="9" t="str">
        <f>VLOOKUP(C884,[1]stages!$A:$AE,31,FALSE)</f>
        <v>everyone</v>
      </c>
      <c r="E884" s="9">
        <v>884</v>
      </c>
      <c r="F884" s="9">
        <v>346</v>
      </c>
      <c r="G884" s="10" t="str">
        <f>IF(I884="unit",VLOOKUP(F884,[2]characters!$A:$C,3,FALSE),"-")</f>
        <v>雷のメタルダック</v>
      </c>
      <c r="H884" s="9">
        <v>140</v>
      </c>
      <c r="I884" s="9" t="s">
        <v>36</v>
      </c>
      <c r="J884" s="9">
        <v>1</v>
      </c>
      <c r="K884" s="9">
        <v>1</v>
      </c>
      <c r="L884" s="9">
        <v>1</v>
      </c>
      <c r="M884" s="9">
        <v>0</v>
      </c>
      <c r="N884" s="9">
        <v>0</v>
      </c>
      <c r="O884" s="9">
        <v>0</v>
      </c>
      <c r="P884" s="9">
        <v>0</v>
      </c>
      <c r="Q884" s="9">
        <v>1</v>
      </c>
      <c r="R884" s="9" t="s">
        <v>27</v>
      </c>
      <c r="S884" s="9" t="s">
        <v>28</v>
      </c>
    </row>
    <row r="885" spans="1:19" x14ac:dyDescent="0.15">
      <c r="A885" s="9">
        <v>50001</v>
      </c>
      <c r="B885" s="9">
        <v>1</v>
      </c>
      <c r="C885" s="9" t="str">
        <f t="shared" si="103"/>
        <v>50001_1</v>
      </c>
      <c r="D885" s="9" t="str">
        <f>VLOOKUP(C885,[1]stages!$A:$AE,31,FALSE)</f>
        <v>everyone</v>
      </c>
      <c r="E885" s="9">
        <v>885</v>
      </c>
      <c r="F885" s="9">
        <v>121</v>
      </c>
      <c r="G885" s="10" t="str">
        <f>IF(I885="unit",VLOOKUP(F885,[2]characters!$A:$C,3,FALSE),"-")</f>
        <v>攻めの果実</v>
      </c>
      <c r="H885" s="9">
        <v>50</v>
      </c>
      <c r="I885" s="9" t="s">
        <v>36</v>
      </c>
      <c r="J885" s="9">
        <v>1</v>
      </c>
      <c r="K885" s="9">
        <v>1</v>
      </c>
      <c r="L885" s="9">
        <v>1</v>
      </c>
      <c r="M885" s="9">
        <v>0</v>
      </c>
      <c r="N885" s="9">
        <v>0</v>
      </c>
      <c r="O885" s="9">
        <v>0</v>
      </c>
      <c r="P885" s="9">
        <v>0</v>
      </c>
      <c r="Q885" s="9">
        <v>1</v>
      </c>
      <c r="R885" s="9" t="s">
        <v>27</v>
      </c>
      <c r="S885" s="9" t="s">
        <v>28</v>
      </c>
    </row>
    <row r="886" spans="1:19" x14ac:dyDescent="0.15">
      <c r="A886" s="9">
        <v>50001</v>
      </c>
      <c r="B886" s="9">
        <v>1</v>
      </c>
      <c r="C886" s="9" t="str">
        <f t="shared" si="103"/>
        <v>50001_1</v>
      </c>
      <c r="D886" s="9" t="str">
        <f>VLOOKUP(C886,[1]stages!$A:$AE,31,FALSE)</f>
        <v>everyone</v>
      </c>
      <c r="E886" s="9">
        <v>886</v>
      </c>
      <c r="F886" s="9">
        <v>122</v>
      </c>
      <c r="G886" s="10" t="str">
        <f>IF(I886="unit",VLOOKUP(F886,[2]characters!$A:$C,3,FALSE),"-")</f>
        <v>生命の果実</v>
      </c>
      <c r="H886" s="9">
        <v>50</v>
      </c>
      <c r="I886" s="9" t="s">
        <v>36</v>
      </c>
      <c r="J886" s="9">
        <v>1</v>
      </c>
      <c r="K886" s="9">
        <v>1</v>
      </c>
      <c r="L886" s="9">
        <v>1</v>
      </c>
      <c r="M886" s="9">
        <v>0</v>
      </c>
      <c r="N886" s="9">
        <v>0</v>
      </c>
      <c r="O886" s="9">
        <v>0</v>
      </c>
      <c r="P886" s="9">
        <v>0</v>
      </c>
      <c r="Q886" s="9">
        <v>1</v>
      </c>
      <c r="R886" s="9" t="s">
        <v>27</v>
      </c>
      <c r="S886" s="9" t="s">
        <v>28</v>
      </c>
    </row>
    <row r="887" spans="1:19" x14ac:dyDescent="0.15">
      <c r="A887" s="9">
        <v>50001</v>
      </c>
      <c r="B887" s="9">
        <v>1</v>
      </c>
      <c r="C887" s="9" t="str">
        <f t="shared" si="103"/>
        <v>50001_1</v>
      </c>
      <c r="D887" s="9" t="str">
        <f>VLOOKUP(C887,[1]stages!$A:$AE,31,FALSE)</f>
        <v>everyone</v>
      </c>
      <c r="E887" s="9">
        <v>887</v>
      </c>
      <c r="F887" s="9">
        <v>123</v>
      </c>
      <c r="G887" s="10" t="str">
        <f>IF(I887="unit",VLOOKUP(F887,[2]characters!$A:$C,3,FALSE),"-")</f>
        <v>癒しの果実</v>
      </c>
      <c r="H887" s="9">
        <v>50</v>
      </c>
      <c r="I887" s="9" t="s">
        <v>36</v>
      </c>
      <c r="J887" s="9">
        <v>1</v>
      </c>
      <c r="K887" s="9">
        <v>1</v>
      </c>
      <c r="L887" s="9">
        <v>1</v>
      </c>
      <c r="M887" s="9">
        <v>0</v>
      </c>
      <c r="N887" s="9">
        <v>0</v>
      </c>
      <c r="O887" s="9">
        <v>0</v>
      </c>
      <c r="P887" s="9">
        <v>0</v>
      </c>
      <c r="Q887" s="9">
        <v>1</v>
      </c>
      <c r="R887" s="9" t="s">
        <v>27</v>
      </c>
      <c r="S887" s="9" t="s">
        <v>28</v>
      </c>
    </row>
    <row r="888" spans="1:19" x14ac:dyDescent="0.15">
      <c r="A888" s="9">
        <v>50001</v>
      </c>
      <c r="B888" s="9">
        <v>1</v>
      </c>
      <c r="C888" s="9" t="str">
        <f t="shared" si="103"/>
        <v>50001_1</v>
      </c>
      <c r="D888" s="9" t="str">
        <f>VLOOKUP(C888,[1]stages!$A:$AE,31,FALSE)</f>
        <v>everyone</v>
      </c>
      <c r="E888" s="9">
        <v>888</v>
      </c>
      <c r="F888" s="9">
        <v>125</v>
      </c>
      <c r="G888" s="10" t="str">
        <f>IF(I888="unit",VLOOKUP(F888,[2]characters!$A:$C,3,FALSE),"-")</f>
        <v>秘術の果実</v>
      </c>
      <c r="H888" s="9">
        <v>10</v>
      </c>
      <c r="I888" s="9" t="s">
        <v>36</v>
      </c>
      <c r="J888" s="9">
        <v>1</v>
      </c>
      <c r="K888" s="9">
        <v>1</v>
      </c>
      <c r="L888" s="9">
        <v>1</v>
      </c>
      <c r="M888" s="9">
        <v>0</v>
      </c>
      <c r="N888" s="9">
        <v>0</v>
      </c>
      <c r="O888" s="9">
        <v>0</v>
      </c>
      <c r="P888" s="9">
        <v>0</v>
      </c>
      <c r="Q888" s="9">
        <v>1</v>
      </c>
      <c r="R888" s="9" t="s">
        <v>27</v>
      </c>
      <c r="S888" s="9" t="s">
        <v>28</v>
      </c>
    </row>
    <row r="889" spans="1:19" x14ac:dyDescent="0.15">
      <c r="A889" s="9">
        <v>50001</v>
      </c>
      <c r="B889" s="9">
        <v>1</v>
      </c>
      <c r="C889" s="9" t="str">
        <f t="shared" si="103"/>
        <v>50001_1</v>
      </c>
      <c r="D889" s="9" t="str">
        <f>VLOOKUP(C889,[1]stages!$A:$AE,31,FALSE)</f>
        <v>everyone</v>
      </c>
      <c r="E889" s="9">
        <v>889</v>
      </c>
      <c r="F889" s="9">
        <v>432</v>
      </c>
      <c r="G889" s="10" t="str">
        <f>IF(I889="unit",VLOOKUP(F889,[2]characters!$A:$C,3,FALSE),"-")</f>
        <v>麒麟</v>
      </c>
      <c r="H889" s="9">
        <v>250</v>
      </c>
      <c r="I889" s="9" t="s">
        <v>36</v>
      </c>
      <c r="J889" s="9">
        <v>1</v>
      </c>
      <c r="K889" s="9">
        <v>1</v>
      </c>
      <c r="L889" s="9">
        <v>1</v>
      </c>
      <c r="M889" s="9">
        <v>0</v>
      </c>
      <c r="N889" s="9">
        <v>0</v>
      </c>
      <c r="O889" s="9">
        <v>0</v>
      </c>
      <c r="P889" s="9">
        <v>0</v>
      </c>
      <c r="Q889" s="9">
        <v>1</v>
      </c>
      <c r="R889" s="9" t="s">
        <v>27</v>
      </c>
      <c r="S889" s="9" t="s">
        <v>28</v>
      </c>
    </row>
    <row r="890" spans="1:19" x14ac:dyDescent="0.15">
      <c r="A890" s="9">
        <v>50001</v>
      </c>
      <c r="B890" s="9">
        <v>1</v>
      </c>
      <c r="C890" s="9" t="str">
        <f t="shared" si="103"/>
        <v>50001_1</v>
      </c>
      <c r="D890" s="9" t="str">
        <f>VLOOKUP(C890,[1]stages!$A:$AE,31,FALSE)</f>
        <v>everyone</v>
      </c>
      <c r="E890" s="9">
        <v>890</v>
      </c>
      <c r="F890" s="9">
        <v>354</v>
      </c>
      <c r="G890" s="10" t="str">
        <f>IF(I890="unit",VLOOKUP(F890,[2]characters!$A:$C,3,FALSE),"-")</f>
        <v>雷のケロケロ</v>
      </c>
      <c r="H890" s="9">
        <v>150</v>
      </c>
      <c r="I890" s="9" t="s">
        <v>36</v>
      </c>
      <c r="J890" s="9">
        <v>1</v>
      </c>
      <c r="K890" s="9">
        <v>1</v>
      </c>
      <c r="L890" s="9">
        <v>1</v>
      </c>
      <c r="M890" s="9">
        <v>0</v>
      </c>
      <c r="N890" s="9">
        <v>0</v>
      </c>
      <c r="O890" s="9">
        <v>0</v>
      </c>
      <c r="P890" s="9">
        <v>0</v>
      </c>
      <c r="Q890" s="9">
        <v>1</v>
      </c>
      <c r="R890" s="9" t="s">
        <v>27</v>
      </c>
      <c r="S890" s="9" t="s">
        <v>28</v>
      </c>
    </row>
    <row r="891" spans="1:19" x14ac:dyDescent="0.15">
      <c r="A891" s="10">
        <v>30017</v>
      </c>
      <c r="B891" s="10">
        <v>1</v>
      </c>
      <c r="C891" s="10" t="str">
        <f t="shared" si="103"/>
        <v>30017_1</v>
      </c>
      <c r="D891" s="10" t="str">
        <f>VLOOKUP(C891,[1]stages!$A:$AE,31,FALSE)</f>
        <v>multionly</v>
      </c>
      <c r="E891" s="10">
        <v>891</v>
      </c>
      <c r="F891" s="10">
        <v>6500</v>
      </c>
      <c r="G891" s="10" t="str">
        <f>IF(I891="unit",VLOOKUP(F891,[2]characters!$A:$C,3,FALSE),"-")</f>
        <v>-</v>
      </c>
      <c r="H891" s="10">
        <v>200</v>
      </c>
      <c r="I891" s="10" t="s">
        <v>32</v>
      </c>
      <c r="J891" s="10" t="s">
        <v>33</v>
      </c>
      <c r="K891" s="10">
        <v>1</v>
      </c>
      <c r="L891" s="10">
        <v>1</v>
      </c>
      <c r="M891" s="10">
        <v>0</v>
      </c>
      <c r="N891" s="10">
        <v>0</v>
      </c>
      <c r="O891" s="10">
        <v>0</v>
      </c>
      <c r="P891" s="10">
        <v>0</v>
      </c>
      <c r="Q891" s="10">
        <v>1</v>
      </c>
      <c r="R891" s="10" t="s">
        <v>27</v>
      </c>
      <c r="S891" s="10" t="s">
        <v>28</v>
      </c>
    </row>
    <row r="892" spans="1:19" x14ac:dyDescent="0.15">
      <c r="A892" s="10">
        <v>30017</v>
      </c>
      <c r="B892" s="10">
        <v>1</v>
      </c>
      <c r="C892" s="10" t="str">
        <f t="shared" si="103"/>
        <v>30017_1</v>
      </c>
      <c r="D892" s="10" t="str">
        <f>VLOOKUP(C892,[1]stages!$A:$AE,31,FALSE)</f>
        <v>multionly</v>
      </c>
      <c r="E892" s="10">
        <v>892</v>
      </c>
      <c r="F892" s="10">
        <v>25</v>
      </c>
      <c r="G892" s="10" t="str">
        <f>IF(I892="unit",VLOOKUP(F892,[2]characters!$A:$C,3,FALSE),"-")</f>
        <v>-</v>
      </c>
      <c r="H892" s="10">
        <v>150</v>
      </c>
      <c r="I892" s="10" t="s">
        <v>35</v>
      </c>
      <c r="J892" s="10" t="s">
        <v>33</v>
      </c>
      <c r="K892" s="10">
        <v>1</v>
      </c>
      <c r="L892" s="10">
        <v>1</v>
      </c>
      <c r="M892" s="10">
        <v>0</v>
      </c>
      <c r="N892" s="10">
        <v>0</v>
      </c>
      <c r="O892" s="10">
        <v>0</v>
      </c>
      <c r="P892" s="10">
        <v>0</v>
      </c>
      <c r="Q892" s="10">
        <v>1</v>
      </c>
      <c r="R892" s="10" t="s">
        <v>27</v>
      </c>
      <c r="S892" s="10" t="s">
        <v>28</v>
      </c>
    </row>
    <row r="893" spans="1:19" x14ac:dyDescent="0.15">
      <c r="A893" s="10">
        <v>30017</v>
      </c>
      <c r="B893" s="10">
        <v>1</v>
      </c>
      <c r="C893" s="10" t="str">
        <f t="shared" si="103"/>
        <v>30017_1</v>
      </c>
      <c r="D893" s="10" t="str">
        <f>VLOOKUP(C893,[1]stages!$A:$AE,31,FALSE)</f>
        <v>multionly</v>
      </c>
      <c r="E893" s="10">
        <v>893</v>
      </c>
      <c r="F893" s="10">
        <v>332</v>
      </c>
      <c r="G893" s="10" t="str">
        <f>IF(I893="unit",VLOOKUP(F893,[2]characters!$A:$C,3,FALSE),"-")</f>
        <v>炎のメタルピヨピヨ</v>
      </c>
      <c r="H893" s="10">
        <v>28</v>
      </c>
      <c r="I893" s="10" t="s">
        <v>36</v>
      </c>
      <c r="J893" s="10">
        <v>1</v>
      </c>
      <c r="K893" s="10">
        <v>1</v>
      </c>
      <c r="L893" s="10">
        <v>1</v>
      </c>
      <c r="M893" s="10">
        <v>0</v>
      </c>
      <c r="N893" s="10">
        <v>0</v>
      </c>
      <c r="O893" s="10">
        <v>0</v>
      </c>
      <c r="P893" s="10">
        <v>0</v>
      </c>
      <c r="Q893" s="10">
        <v>1</v>
      </c>
      <c r="R893" s="10" t="s">
        <v>27</v>
      </c>
      <c r="S893" s="10" t="s">
        <v>28</v>
      </c>
    </row>
    <row r="894" spans="1:19" x14ac:dyDescent="0.15">
      <c r="A894" s="10">
        <v>30017</v>
      </c>
      <c r="B894" s="10">
        <v>1</v>
      </c>
      <c r="C894" s="10" t="str">
        <f t="shared" si="103"/>
        <v>30017_1</v>
      </c>
      <c r="D894" s="10" t="str">
        <f>VLOOKUP(C894,[1]stages!$A:$AE,31,FALSE)</f>
        <v>multionly</v>
      </c>
      <c r="E894" s="10">
        <v>894</v>
      </c>
      <c r="F894" s="10">
        <v>333</v>
      </c>
      <c r="G894" s="10" t="str">
        <f>IF(I894="unit",VLOOKUP(F894,[2]characters!$A:$C,3,FALSE),"-")</f>
        <v>炎のメタルチック</v>
      </c>
      <c r="H894" s="10">
        <v>56</v>
      </c>
      <c r="I894" s="10" t="s">
        <v>36</v>
      </c>
      <c r="J894" s="10">
        <v>1</v>
      </c>
      <c r="K894" s="10">
        <v>1</v>
      </c>
      <c r="L894" s="10">
        <v>1</v>
      </c>
      <c r="M894" s="10">
        <v>0</v>
      </c>
      <c r="N894" s="10">
        <v>0</v>
      </c>
      <c r="O894" s="10">
        <v>0</v>
      </c>
      <c r="P894" s="10">
        <v>0</v>
      </c>
      <c r="Q894" s="10">
        <v>1</v>
      </c>
      <c r="R894" s="10" t="s">
        <v>27</v>
      </c>
      <c r="S894" s="10" t="s">
        <v>28</v>
      </c>
    </row>
    <row r="895" spans="1:19" x14ac:dyDescent="0.15">
      <c r="A895" s="10">
        <v>30017</v>
      </c>
      <c r="B895" s="10">
        <v>1</v>
      </c>
      <c r="C895" s="10" t="str">
        <f t="shared" si="103"/>
        <v>30017_1</v>
      </c>
      <c r="D895" s="10" t="str">
        <f>VLOOKUP(C895,[1]stages!$A:$AE,31,FALSE)</f>
        <v>multionly</v>
      </c>
      <c r="E895" s="10">
        <v>895</v>
      </c>
      <c r="F895" s="10">
        <v>334</v>
      </c>
      <c r="G895" s="10" t="str">
        <f>IF(I895="unit",VLOOKUP(F895,[2]characters!$A:$C,3,FALSE),"-")</f>
        <v>炎のメタルダック</v>
      </c>
      <c r="H895" s="10">
        <v>56</v>
      </c>
      <c r="I895" s="10" t="s">
        <v>36</v>
      </c>
      <c r="J895" s="10">
        <v>1</v>
      </c>
      <c r="K895" s="10">
        <v>1</v>
      </c>
      <c r="L895" s="10">
        <v>1</v>
      </c>
      <c r="M895" s="10">
        <v>0</v>
      </c>
      <c r="N895" s="10">
        <v>0</v>
      </c>
      <c r="O895" s="10">
        <v>0</v>
      </c>
      <c r="P895" s="10">
        <v>0</v>
      </c>
      <c r="Q895" s="10">
        <v>1</v>
      </c>
      <c r="R895" s="10" t="s">
        <v>27</v>
      </c>
      <c r="S895" s="10" t="s">
        <v>28</v>
      </c>
    </row>
    <row r="896" spans="1:19" x14ac:dyDescent="0.15">
      <c r="A896" s="10">
        <v>30017</v>
      </c>
      <c r="B896" s="10">
        <v>1</v>
      </c>
      <c r="C896" s="10" t="str">
        <f t="shared" si="103"/>
        <v>30017_1</v>
      </c>
      <c r="D896" s="10" t="str">
        <f>VLOOKUP(C896,[1]stages!$A:$AE,31,FALSE)</f>
        <v>multionly</v>
      </c>
      <c r="E896" s="10">
        <v>896</v>
      </c>
      <c r="F896" s="10">
        <v>121</v>
      </c>
      <c r="G896" s="10" t="str">
        <f>IF(I896="unit",VLOOKUP(F896,[2]characters!$A:$C,3,FALSE),"-")</f>
        <v>攻めの果実</v>
      </c>
      <c r="H896" s="10">
        <v>50</v>
      </c>
      <c r="I896" s="10" t="s">
        <v>36</v>
      </c>
      <c r="J896" s="10">
        <v>1</v>
      </c>
      <c r="K896" s="10">
        <v>1</v>
      </c>
      <c r="L896" s="10">
        <v>1</v>
      </c>
      <c r="M896" s="10">
        <v>0</v>
      </c>
      <c r="N896" s="10">
        <v>0</v>
      </c>
      <c r="O896" s="10">
        <v>0</v>
      </c>
      <c r="P896" s="10">
        <v>0</v>
      </c>
      <c r="Q896" s="10">
        <v>1</v>
      </c>
      <c r="R896" s="10" t="s">
        <v>27</v>
      </c>
      <c r="S896" s="10" t="s">
        <v>28</v>
      </c>
    </row>
    <row r="897" spans="1:19" x14ac:dyDescent="0.15">
      <c r="A897" s="10">
        <v>30017</v>
      </c>
      <c r="B897" s="10">
        <v>1</v>
      </c>
      <c r="C897" s="10" t="str">
        <f t="shared" si="103"/>
        <v>30017_1</v>
      </c>
      <c r="D897" s="10" t="str">
        <f>VLOOKUP(C897,[1]stages!$A:$AE,31,FALSE)</f>
        <v>multionly</v>
      </c>
      <c r="E897" s="10">
        <v>897</v>
      </c>
      <c r="F897" s="10">
        <v>122</v>
      </c>
      <c r="G897" s="10" t="str">
        <f>IF(I897="unit",VLOOKUP(F897,[2]characters!$A:$C,3,FALSE),"-")</f>
        <v>生命の果実</v>
      </c>
      <c r="H897" s="10">
        <v>50</v>
      </c>
      <c r="I897" s="10" t="s">
        <v>36</v>
      </c>
      <c r="J897" s="10">
        <v>1</v>
      </c>
      <c r="K897" s="10">
        <v>1</v>
      </c>
      <c r="L897" s="10">
        <v>1</v>
      </c>
      <c r="M897" s="10">
        <v>0</v>
      </c>
      <c r="N897" s="10">
        <v>0</v>
      </c>
      <c r="O897" s="10">
        <v>0</v>
      </c>
      <c r="P897" s="10">
        <v>0</v>
      </c>
      <c r="Q897" s="10">
        <v>1</v>
      </c>
      <c r="R897" s="10" t="s">
        <v>27</v>
      </c>
      <c r="S897" s="10" t="s">
        <v>28</v>
      </c>
    </row>
    <row r="898" spans="1:19" x14ac:dyDescent="0.15">
      <c r="A898" s="10">
        <v>30017</v>
      </c>
      <c r="B898" s="10">
        <v>1</v>
      </c>
      <c r="C898" s="10" t="str">
        <f t="shared" si="103"/>
        <v>30017_1</v>
      </c>
      <c r="D898" s="10" t="str">
        <f>VLOOKUP(C898,[1]stages!$A:$AE,31,FALSE)</f>
        <v>multionly</v>
      </c>
      <c r="E898" s="10">
        <v>898</v>
      </c>
      <c r="F898" s="10">
        <v>123</v>
      </c>
      <c r="G898" s="10" t="str">
        <f>IF(I898="unit",VLOOKUP(F898,[2]characters!$A:$C,3,FALSE),"-")</f>
        <v>癒しの果実</v>
      </c>
      <c r="H898" s="10">
        <v>50</v>
      </c>
      <c r="I898" s="10" t="s">
        <v>36</v>
      </c>
      <c r="J898" s="10">
        <v>1</v>
      </c>
      <c r="K898" s="10">
        <v>1</v>
      </c>
      <c r="L898" s="10">
        <v>1</v>
      </c>
      <c r="M898" s="10">
        <v>0</v>
      </c>
      <c r="N898" s="10">
        <v>0</v>
      </c>
      <c r="O898" s="10">
        <v>0</v>
      </c>
      <c r="P898" s="10">
        <v>0</v>
      </c>
      <c r="Q898" s="10">
        <v>1</v>
      </c>
      <c r="R898" s="10" t="s">
        <v>27</v>
      </c>
      <c r="S898" s="10" t="s">
        <v>28</v>
      </c>
    </row>
    <row r="899" spans="1:19" x14ac:dyDescent="0.15">
      <c r="A899" s="10">
        <v>30017</v>
      </c>
      <c r="B899" s="10">
        <v>1</v>
      </c>
      <c r="C899" s="10" t="str">
        <f t="shared" si="103"/>
        <v>30017_1</v>
      </c>
      <c r="D899" s="10" t="str">
        <f>VLOOKUP(C899,[1]stages!$A:$AE,31,FALSE)</f>
        <v>multionly</v>
      </c>
      <c r="E899" s="10">
        <v>899</v>
      </c>
      <c r="F899" s="10">
        <v>125</v>
      </c>
      <c r="G899" s="10" t="str">
        <f>IF(I899="unit",VLOOKUP(F899,[2]characters!$A:$C,3,FALSE),"-")</f>
        <v>秘術の果実</v>
      </c>
      <c r="H899" s="10">
        <v>10</v>
      </c>
      <c r="I899" s="10" t="s">
        <v>36</v>
      </c>
      <c r="J899" s="10">
        <v>1</v>
      </c>
      <c r="K899" s="10">
        <v>1</v>
      </c>
      <c r="L899" s="10">
        <v>1</v>
      </c>
      <c r="M899" s="10">
        <v>0</v>
      </c>
      <c r="N899" s="10">
        <v>0</v>
      </c>
      <c r="O899" s="10">
        <v>0</v>
      </c>
      <c r="P899" s="10">
        <v>0</v>
      </c>
      <c r="Q899" s="10">
        <v>1</v>
      </c>
      <c r="R899" s="10" t="s">
        <v>27</v>
      </c>
      <c r="S899" s="10" t="s">
        <v>28</v>
      </c>
    </row>
    <row r="900" spans="1:19" x14ac:dyDescent="0.15">
      <c r="A900" s="10">
        <v>30017</v>
      </c>
      <c r="B900" s="10">
        <v>1</v>
      </c>
      <c r="C900" s="10" t="str">
        <f t="shared" si="103"/>
        <v>30017_1</v>
      </c>
      <c r="D900" s="10" t="str">
        <f>VLOOKUP(C900,[1]stages!$A:$AE,31,FALSE)</f>
        <v>multionly</v>
      </c>
      <c r="E900" s="10">
        <v>900</v>
      </c>
      <c r="F900" s="10">
        <v>452</v>
      </c>
      <c r="G900" s="10" t="str">
        <f>IF(I900="unit",VLOOKUP(F900,[2]characters!$A:$C,3,FALSE),"-")</f>
        <v>猛狐 エゾ</v>
      </c>
      <c r="H900" s="10">
        <v>250</v>
      </c>
      <c r="I900" s="10" t="s">
        <v>36</v>
      </c>
      <c r="J900" s="10">
        <v>1</v>
      </c>
      <c r="K900" s="10">
        <v>1</v>
      </c>
      <c r="L900" s="10">
        <v>1</v>
      </c>
      <c r="M900" s="10">
        <v>0</v>
      </c>
      <c r="N900" s="10">
        <v>0</v>
      </c>
      <c r="O900" s="10">
        <v>0</v>
      </c>
      <c r="P900" s="10">
        <v>0</v>
      </c>
      <c r="Q900" s="10">
        <v>1</v>
      </c>
      <c r="R900" s="10" t="s">
        <v>27</v>
      </c>
      <c r="S900" s="10" t="s">
        <v>28</v>
      </c>
    </row>
    <row r="901" spans="1:19" x14ac:dyDescent="0.15">
      <c r="A901" s="10">
        <v>30017</v>
      </c>
      <c r="B901" s="10">
        <v>1</v>
      </c>
      <c r="C901" s="10" t="str">
        <f t="shared" si="103"/>
        <v>30017_1</v>
      </c>
      <c r="D901" s="10" t="str">
        <f>VLOOKUP(C901,[1]stages!$A:$AE,31,FALSE)</f>
        <v>multionly</v>
      </c>
      <c r="E901" s="10">
        <v>901</v>
      </c>
      <c r="F901" s="10">
        <v>348</v>
      </c>
      <c r="G901" s="10" t="str">
        <f>IF(I901="unit",VLOOKUP(F901,[2]characters!$A:$C,3,FALSE),"-")</f>
        <v>炎のケロケロ</v>
      </c>
      <c r="H901" s="10">
        <v>100</v>
      </c>
      <c r="I901" s="10" t="s">
        <v>36</v>
      </c>
      <c r="J901" s="10">
        <v>1</v>
      </c>
      <c r="K901" s="10">
        <v>1</v>
      </c>
      <c r="L901" s="10">
        <v>1</v>
      </c>
      <c r="M901" s="10">
        <v>0</v>
      </c>
      <c r="N901" s="10">
        <v>0</v>
      </c>
      <c r="O901" s="10">
        <v>0</v>
      </c>
      <c r="P901" s="10">
        <v>0</v>
      </c>
      <c r="Q901" s="10">
        <v>1</v>
      </c>
      <c r="R901" s="10" t="s">
        <v>27</v>
      </c>
      <c r="S901" s="10" t="s">
        <v>28</v>
      </c>
    </row>
    <row r="902" spans="1:19" x14ac:dyDescent="0.15">
      <c r="A902" s="10">
        <v>30017</v>
      </c>
      <c r="B902" s="10">
        <v>2</v>
      </c>
      <c r="C902" s="10" t="str">
        <f>A902&amp; "_"&amp;B902</f>
        <v>30017_2</v>
      </c>
      <c r="D902" s="10" t="str">
        <f>VLOOKUP(C902,[1]stages!$A:$AE,31,FALSE)</f>
        <v>multionly</v>
      </c>
      <c r="E902" s="10">
        <v>902</v>
      </c>
      <c r="F902" s="10">
        <v>7500</v>
      </c>
      <c r="G902" s="10" t="str">
        <f>IF(I902="unit",VLOOKUP(F902,[2]characters!$A:$C,3,FALSE),"-")</f>
        <v>-</v>
      </c>
      <c r="H902" s="10">
        <v>100</v>
      </c>
      <c r="I902" s="10" t="s">
        <v>32</v>
      </c>
      <c r="J902" s="10" t="s">
        <v>33</v>
      </c>
      <c r="K902" s="10">
        <v>1</v>
      </c>
      <c r="L902" s="10">
        <v>1</v>
      </c>
      <c r="M902" s="10">
        <v>0</v>
      </c>
      <c r="N902" s="10">
        <v>0</v>
      </c>
      <c r="O902" s="10">
        <v>0</v>
      </c>
      <c r="P902" s="10">
        <v>0</v>
      </c>
      <c r="Q902" s="10">
        <v>1</v>
      </c>
      <c r="R902" s="10" t="s">
        <v>27</v>
      </c>
      <c r="S902" s="10" t="s">
        <v>28</v>
      </c>
    </row>
    <row r="903" spans="1:19" x14ac:dyDescent="0.15">
      <c r="A903" s="10">
        <v>30017</v>
      </c>
      <c r="B903" s="10">
        <v>2</v>
      </c>
      <c r="C903" s="10" t="str">
        <f t="shared" ref="C903:C922" si="104">A903&amp; "_"&amp;B903</f>
        <v>30017_2</v>
      </c>
      <c r="D903" s="10" t="str">
        <f>VLOOKUP(C903,[1]stages!$A:$AE,31,FALSE)</f>
        <v>multionly</v>
      </c>
      <c r="E903" s="10">
        <v>903</v>
      </c>
      <c r="F903" s="10">
        <v>25</v>
      </c>
      <c r="G903" s="10" t="str">
        <f>IF(I903="unit",VLOOKUP(F903,[2]characters!$A:$C,3,FALSE),"-")</f>
        <v>-</v>
      </c>
      <c r="H903" s="10">
        <v>100</v>
      </c>
      <c r="I903" s="10" t="s">
        <v>35</v>
      </c>
      <c r="J903" s="10" t="s">
        <v>33</v>
      </c>
      <c r="K903" s="10">
        <v>1</v>
      </c>
      <c r="L903" s="10">
        <v>1</v>
      </c>
      <c r="M903" s="10">
        <v>0</v>
      </c>
      <c r="N903" s="10">
        <v>0</v>
      </c>
      <c r="O903" s="10">
        <v>0</v>
      </c>
      <c r="P903" s="10">
        <v>0</v>
      </c>
      <c r="Q903" s="10">
        <v>1</v>
      </c>
      <c r="R903" s="10" t="s">
        <v>27</v>
      </c>
      <c r="S903" s="10" t="s">
        <v>28</v>
      </c>
    </row>
    <row r="904" spans="1:19" x14ac:dyDescent="0.15">
      <c r="A904" s="10">
        <v>30017</v>
      </c>
      <c r="B904" s="10">
        <v>2</v>
      </c>
      <c r="C904" s="10" t="str">
        <f t="shared" si="104"/>
        <v>30017_2</v>
      </c>
      <c r="D904" s="10" t="str">
        <f>VLOOKUP(C904,[1]stages!$A:$AE,31,FALSE)</f>
        <v>multionly</v>
      </c>
      <c r="E904" s="10">
        <v>904</v>
      </c>
      <c r="F904" s="10">
        <v>333</v>
      </c>
      <c r="G904" s="10" t="str">
        <f>IF(I904="unit",VLOOKUP(F904,[2]characters!$A:$C,3,FALSE),"-")</f>
        <v>炎のメタルチック</v>
      </c>
      <c r="H904" s="10">
        <v>56</v>
      </c>
      <c r="I904" s="10" t="s">
        <v>36</v>
      </c>
      <c r="J904" s="10">
        <v>1</v>
      </c>
      <c r="K904" s="10">
        <v>1</v>
      </c>
      <c r="L904" s="10">
        <v>1</v>
      </c>
      <c r="M904" s="10">
        <v>0</v>
      </c>
      <c r="N904" s="10">
        <v>0</v>
      </c>
      <c r="O904" s="10">
        <v>0</v>
      </c>
      <c r="P904" s="10">
        <v>0</v>
      </c>
      <c r="Q904" s="10">
        <v>1</v>
      </c>
      <c r="R904" s="10" t="s">
        <v>27</v>
      </c>
      <c r="S904" s="10" t="s">
        <v>28</v>
      </c>
    </row>
    <row r="905" spans="1:19" x14ac:dyDescent="0.15">
      <c r="A905" s="10">
        <v>30017</v>
      </c>
      <c r="B905" s="10">
        <v>2</v>
      </c>
      <c r="C905" s="10" t="str">
        <f t="shared" si="104"/>
        <v>30017_2</v>
      </c>
      <c r="D905" s="10" t="str">
        <f>VLOOKUP(C905,[1]stages!$A:$AE,31,FALSE)</f>
        <v>multionly</v>
      </c>
      <c r="E905" s="10">
        <v>905</v>
      </c>
      <c r="F905" s="10">
        <v>334</v>
      </c>
      <c r="G905" s="10" t="str">
        <f>IF(I905="unit",VLOOKUP(F905,[2]characters!$A:$C,3,FALSE),"-")</f>
        <v>炎のメタルダック</v>
      </c>
      <c r="H905" s="10">
        <v>84</v>
      </c>
      <c r="I905" s="10" t="s">
        <v>36</v>
      </c>
      <c r="J905" s="10">
        <v>1</v>
      </c>
      <c r="K905" s="10">
        <v>1</v>
      </c>
      <c r="L905" s="10">
        <v>1</v>
      </c>
      <c r="M905" s="10">
        <v>0</v>
      </c>
      <c r="N905" s="10">
        <v>0</v>
      </c>
      <c r="O905" s="10">
        <v>0</v>
      </c>
      <c r="P905" s="10">
        <v>0</v>
      </c>
      <c r="Q905" s="10">
        <v>1</v>
      </c>
      <c r="R905" s="10" t="s">
        <v>27</v>
      </c>
      <c r="S905" s="10" t="s">
        <v>28</v>
      </c>
    </row>
    <row r="906" spans="1:19" x14ac:dyDescent="0.15">
      <c r="A906" s="10">
        <v>30017</v>
      </c>
      <c r="B906" s="10">
        <v>2</v>
      </c>
      <c r="C906" s="10" t="str">
        <f t="shared" si="104"/>
        <v>30017_2</v>
      </c>
      <c r="D906" s="10" t="str">
        <f>VLOOKUP(C906,[1]stages!$A:$AE,31,FALSE)</f>
        <v>multionly</v>
      </c>
      <c r="E906" s="10">
        <v>906</v>
      </c>
      <c r="F906" s="10">
        <v>121</v>
      </c>
      <c r="G906" s="10" t="str">
        <f>IF(I906="unit",VLOOKUP(F906,[2]characters!$A:$C,3,FALSE),"-")</f>
        <v>攻めの果実</v>
      </c>
      <c r="H906" s="10">
        <v>50</v>
      </c>
      <c r="I906" s="10" t="s">
        <v>36</v>
      </c>
      <c r="J906" s="10">
        <v>1</v>
      </c>
      <c r="K906" s="10">
        <v>1</v>
      </c>
      <c r="L906" s="10">
        <v>1</v>
      </c>
      <c r="M906" s="10">
        <v>0</v>
      </c>
      <c r="N906" s="10">
        <v>0</v>
      </c>
      <c r="O906" s="10">
        <v>0</v>
      </c>
      <c r="P906" s="10">
        <v>0</v>
      </c>
      <c r="Q906" s="10">
        <v>1</v>
      </c>
      <c r="R906" s="10" t="s">
        <v>27</v>
      </c>
      <c r="S906" s="10" t="s">
        <v>28</v>
      </c>
    </row>
    <row r="907" spans="1:19" x14ac:dyDescent="0.15">
      <c r="A907" s="10">
        <v>30017</v>
      </c>
      <c r="B907" s="10">
        <v>2</v>
      </c>
      <c r="C907" s="10" t="str">
        <f t="shared" si="104"/>
        <v>30017_2</v>
      </c>
      <c r="D907" s="10" t="str">
        <f>VLOOKUP(C907,[1]stages!$A:$AE,31,FALSE)</f>
        <v>multionly</v>
      </c>
      <c r="E907" s="10">
        <v>907</v>
      </c>
      <c r="F907" s="10">
        <v>122</v>
      </c>
      <c r="G907" s="10" t="str">
        <f>IF(I907="unit",VLOOKUP(F907,[2]characters!$A:$C,3,FALSE),"-")</f>
        <v>生命の果実</v>
      </c>
      <c r="H907" s="10">
        <v>50</v>
      </c>
      <c r="I907" s="10" t="s">
        <v>36</v>
      </c>
      <c r="J907" s="10">
        <v>1</v>
      </c>
      <c r="K907" s="10">
        <v>1</v>
      </c>
      <c r="L907" s="10">
        <v>1</v>
      </c>
      <c r="M907" s="10">
        <v>0</v>
      </c>
      <c r="N907" s="10">
        <v>0</v>
      </c>
      <c r="O907" s="10">
        <v>0</v>
      </c>
      <c r="P907" s="10">
        <v>0</v>
      </c>
      <c r="Q907" s="10">
        <v>1</v>
      </c>
      <c r="R907" s="10" t="s">
        <v>27</v>
      </c>
      <c r="S907" s="10" t="s">
        <v>28</v>
      </c>
    </row>
    <row r="908" spans="1:19" x14ac:dyDescent="0.15">
      <c r="A908" s="10">
        <v>30017</v>
      </c>
      <c r="B908" s="10">
        <v>2</v>
      </c>
      <c r="C908" s="10" t="str">
        <f t="shared" si="104"/>
        <v>30017_2</v>
      </c>
      <c r="D908" s="10" t="str">
        <f>VLOOKUP(C908,[1]stages!$A:$AE,31,FALSE)</f>
        <v>multionly</v>
      </c>
      <c r="E908" s="10">
        <v>908</v>
      </c>
      <c r="F908" s="10">
        <v>123</v>
      </c>
      <c r="G908" s="10" t="str">
        <f>IF(I908="unit",VLOOKUP(F908,[2]characters!$A:$C,3,FALSE),"-")</f>
        <v>癒しの果実</v>
      </c>
      <c r="H908" s="10">
        <v>50</v>
      </c>
      <c r="I908" s="10" t="s">
        <v>36</v>
      </c>
      <c r="J908" s="10">
        <v>1</v>
      </c>
      <c r="K908" s="10">
        <v>1</v>
      </c>
      <c r="L908" s="10">
        <v>1</v>
      </c>
      <c r="M908" s="10">
        <v>0</v>
      </c>
      <c r="N908" s="10">
        <v>0</v>
      </c>
      <c r="O908" s="10">
        <v>0</v>
      </c>
      <c r="P908" s="10">
        <v>0</v>
      </c>
      <c r="Q908" s="10">
        <v>1</v>
      </c>
      <c r="R908" s="10" t="s">
        <v>27</v>
      </c>
      <c r="S908" s="10" t="s">
        <v>28</v>
      </c>
    </row>
    <row r="909" spans="1:19" x14ac:dyDescent="0.15">
      <c r="A909" s="10">
        <v>30017</v>
      </c>
      <c r="B909" s="10">
        <v>2</v>
      </c>
      <c r="C909" s="10" t="str">
        <f t="shared" si="104"/>
        <v>30017_2</v>
      </c>
      <c r="D909" s="10" t="str">
        <f>VLOOKUP(C909,[1]stages!$A:$AE,31,FALSE)</f>
        <v>multionly</v>
      </c>
      <c r="E909" s="10">
        <v>909</v>
      </c>
      <c r="F909" s="10">
        <v>125</v>
      </c>
      <c r="G909" s="10" t="str">
        <f>IF(I909="unit",VLOOKUP(F909,[2]characters!$A:$C,3,FALSE),"-")</f>
        <v>秘術の果実</v>
      </c>
      <c r="H909" s="10">
        <v>10</v>
      </c>
      <c r="I909" s="10" t="s">
        <v>36</v>
      </c>
      <c r="J909" s="10">
        <v>1</v>
      </c>
      <c r="K909" s="10">
        <v>1</v>
      </c>
      <c r="L909" s="10">
        <v>1</v>
      </c>
      <c r="M909" s="10">
        <v>0</v>
      </c>
      <c r="N909" s="10">
        <v>0</v>
      </c>
      <c r="O909" s="10">
        <v>0</v>
      </c>
      <c r="P909" s="10">
        <v>0</v>
      </c>
      <c r="Q909" s="10">
        <v>1</v>
      </c>
      <c r="R909" s="10" t="s">
        <v>27</v>
      </c>
      <c r="S909" s="10" t="s">
        <v>28</v>
      </c>
    </row>
    <row r="910" spans="1:19" x14ac:dyDescent="0.15">
      <c r="A910" s="10">
        <v>30017</v>
      </c>
      <c r="B910" s="10">
        <v>2</v>
      </c>
      <c r="C910" s="10" t="str">
        <f t="shared" si="104"/>
        <v>30017_2</v>
      </c>
      <c r="D910" s="10" t="str">
        <f>VLOOKUP(C910,[1]stages!$A:$AE,31,FALSE)</f>
        <v>multionly</v>
      </c>
      <c r="E910" s="10">
        <v>910</v>
      </c>
      <c r="F910" s="10">
        <v>452</v>
      </c>
      <c r="G910" s="10" t="str">
        <f>IF(I910="unit",VLOOKUP(F910,[2]characters!$A:$C,3,FALSE),"-")</f>
        <v>猛狐 エゾ</v>
      </c>
      <c r="H910" s="10">
        <v>400</v>
      </c>
      <c r="I910" s="10" t="s">
        <v>36</v>
      </c>
      <c r="J910" s="10">
        <v>1</v>
      </c>
      <c r="K910" s="10">
        <v>1</v>
      </c>
      <c r="L910" s="10">
        <v>1</v>
      </c>
      <c r="M910" s="10">
        <v>0</v>
      </c>
      <c r="N910" s="10">
        <v>0</v>
      </c>
      <c r="O910" s="10">
        <v>0</v>
      </c>
      <c r="P910" s="10">
        <v>0</v>
      </c>
      <c r="Q910" s="10">
        <v>1</v>
      </c>
      <c r="R910" s="10" t="s">
        <v>27</v>
      </c>
      <c r="S910" s="10" t="s">
        <v>28</v>
      </c>
    </row>
    <row r="911" spans="1:19" x14ac:dyDescent="0.15">
      <c r="A911" s="10">
        <v>30017</v>
      </c>
      <c r="B911" s="10">
        <v>2</v>
      </c>
      <c r="C911" s="10" t="str">
        <f t="shared" si="104"/>
        <v>30017_2</v>
      </c>
      <c r="D911" s="10" t="str">
        <f>VLOOKUP(C911,[1]stages!$A:$AE,31,FALSE)</f>
        <v>multionly</v>
      </c>
      <c r="E911" s="10">
        <v>911</v>
      </c>
      <c r="F911" s="10">
        <v>348</v>
      </c>
      <c r="G911" s="10" t="str">
        <f>IF(I911="unit",VLOOKUP(F911,[2]characters!$A:$C,3,FALSE),"-")</f>
        <v>炎のケロケロ</v>
      </c>
      <c r="H911" s="10">
        <v>100</v>
      </c>
      <c r="I911" s="10" t="s">
        <v>36</v>
      </c>
      <c r="J911" s="10">
        <v>1</v>
      </c>
      <c r="K911" s="10">
        <v>1</v>
      </c>
      <c r="L911" s="10">
        <v>1</v>
      </c>
      <c r="M911" s="10">
        <v>0</v>
      </c>
      <c r="N911" s="10">
        <v>0</v>
      </c>
      <c r="O911" s="10">
        <v>0</v>
      </c>
      <c r="P911" s="10">
        <v>0</v>
      </c>
      <c r="Q911" s="10">
        <v>1</v>
      </c>
      <c r="R911" s="10" t="s">
        <v>27</v>
      </c>
      <c r="S911" s="10" t="s">
        <v>28</v>
      </c>
    </row>
    <row r="912" spans="1:19" x14ac:dyDescent="0.15">
      <c r="A912" s="11">
        <v>30018</v>
      </c>
      <c r="B912" s="11">
        <v>1</v>
      </c>
      <c r="C912" s="11" t="str">
        <f t="shared" si="104"/>
        <v>30018_1</v>
      </c>
      <c r="D912" s="11" t="str">
        <f>VLOOKUP(C912,[1]stages!$A:$AE,31,FALSE)</f>
        <v>everyone</v>
      </c>
      <c r="E912" s="11">
        <v>912</v>
      </c>
      <c r="F912" s="11">
        <v>6500</v>
      </c>
      <c r="G912" s="10" t="str">
        <f>IF(I912="unit",VLOOKUP(F912,[2]characters!$A:$C,3,FALSE),"-")</f>
        <v>-</v>
      </c>
      <c r="H912" s="11">
        <v>200</v>
      </c>
      <c r="I912" s="11" t="s">
        <v>32</v>
      </c>
      <c r="J912" s="11" t="s">
        <v>33</v>
      </c>
      <c r="K912" s="11">
        <v>1</v>
      </c>
      <c r="L912" s="11">
        <v>1</v>
      </c>
      <c r="M912" s="11">
        <v>0</v>
      </c>
      <c r="N912" s="11">
        <v>0</v>
      </c>
      <c r="O912" s="11">
        <v>0</v>
      </c>
      <c r="P912" s="11">
        <v>0</v>
      </c>
      <c r="Q912" s="11">
        <v>1</v>
      </c>
      <c r="R912" s="11" t="s">
        <v>27</v>
      </c>
      <c r="S912" s="11" t="s">
        <v>28</v>
      </c>
    </row>
    <row r="913" spans="1:19" x14ac:dyDescent="0.15">
      <c r="A913" s="11">
        <v>30018</v>
      </c>
      <c r="B913" s="11">
        <v>1</v>
      </c>
      <c r="C913" s="11" t="str">
        <f t="shared" si="104"/>
        <v>30018_1</v>
      </c>
      <c r="D913" s="11" t="str">
        <f>VLOOKUP(C913,[1]stages!$A:$AE,31,FALSE)</f>
        <v>everyone</v>
      </c>
      <c r="E913" s="11">
        <v>913</v>
      </c>
      <c r="F913" s="11">
        <v>25</v>
      </c>
      <c r="G913" s="10" t="str">
        <f>IF(I913="unit",VLOOKUP(F913,[2]characters!$A:$C,3,FALSE),"-")</f>
        <v>-</v>
      </c>
      <c r="H913" s="11">
        <v>150</v>
      </c>
      <c r="I913" s="11" t="s">
        <v>35</v>
      </c>
      <c r="J913" s="11" t="s">
        <v>33</v>
      </c>
      <c r="K913" s="11">
        <v>1</v>
      </c>
      <c r="L913" s="11">
        <v>1</v>
      </c>
      <c r="M913" s="11">
        <v>0</v>
      </c>
      <c r="N913" s="11">
        <v>0</v>
      </c>
      <c r="O913" s="11">
        <v>0</v>
      </c>
      <c r="P913" s="11">
        <v>0</v>
      </c>
      <c r="Q913" s="11">
        <v>1</v>
      </c>
      <c r="R913" s="11" t="s">
        <v>27</v>
      </c>
      <c r="S913" s="11" t="s">
        <v>28</v>
      </c>
    </row>
    <row r="914" spans="1:19" x14ac:dyDescent="0.15">
      <c r="A914" s="11">
        <v>30018</v>
      </c>
      <c r="B914" s="11">
        <v>1</v>
      </c>
      <c r="C914" s="11" t="str">
        <f t="shared" si="104"/>
        <v>30018_1</v>
      </c>
      <c r="D914" s="11" t="str">
        <f>VLOOKUP(C914,[1]stages!$A:$AE,31,FALSE)</f>
        <v>everyone</v>
      </c>
      <c r="E914" s="11">
        <v>914</v>
      </c>
      <c r="F914" s="11">
        <v>336</v>
      </c>
      <c r="G914" s="10" t="str">
        <f>IF(I914="unit",VLOOKUP(F914,[2]characters!$A:$C,3,FALSE),"-")</f>
        <v>森のメタルピヨピヨ</v>
      </c>
      <c r="H914" s="11">
        <v>28</v>
      </c>
      <c r="I914" s="11" t="s">
        <v>36</v>
      </c>
      <c r="J914" s="11">
        <v>1</v>
      </c>
      <c r="K914" s="11">
        <v>1</v>
      </c>
      <c r="L914" s="11">
        <v>1</v>
      </c>
      <c r="M914" s="11">
        <v>0</v>
      </c>
      <c r="N914" s="11">
        <v>0</v>
      </c>
      <c r="O914" s="11">
        <v>0</v>
      </c>
      <c r="P914" s="11">
        <v>0</v>
      </c>
      <c r="Q914" s="11">
        <v>1</v>
      </c>
      <c r="R914" s="11" t="s">
        <v>27</v>
      </c>
      <c r="S914" s="11" t="s">
        <v>28</v>
      </c>
    </row>
    <row r="915" spans="1:19" x14ac:dyDescent="0.15">
      <c r="A915" s="11">
        <v>30018</v>
      </c>
      <c r="B915" s="11">
        <v>1</v>
      </c>
      <c r="C915" s="11" t="str">
        <f t="shared" si="104"/>
        <v>30018_1</v>
      </c>
      <c r="D915" s="11" t="str">
        <f>VLOOKUP(C915,[1]stages!$A:$AE,31,FALSE)</f>
        <v>everyone</v>
      </c>
      <c r="E915" s="11">
        <v>915</v>
      </c>
      <c r="F915" s="11">
        <v>337</v>
      </c>
      <c r="G915" s="10" t="str">
        <f>IF(I915="unit",VLOOKUP(F915,[2]characters!$A:$C,3,FALSE),"-")</f>
        <v>森のメタルチック</v>
      </c>
      <c r="H915" s="11">
        <v>56</v>
      </c>
      <c r="I915" s="11" t="s">
        <v>36</v>
      </c>
      <c r="J915" s="11">
        <v>1</v>
      </c>
      <c r="K915" s="11">
        <v>1</v>
      </c>
      <c r="L915" s="11">
        <v>1</v>
      </c>
      <c r="M915" s="11">
        <v>0</v>
      </c>
      <c r="N915" s="11">
        <v>0</v>
      </c>
      <c r="O915" s="11">
        <v>0</v>
      </c>
      <c r="P915" s="11">
        <v>0</v>
      </c>
      <c r="Q915" s="11">
        <v>1</v>
      </c>
      <c r="R915" s="11" t="s">
        <v>27</v>
      </c>
      <c r="S915" s="11" t="s">
        <v>28</v>
      </c>
    </row>
    <row r="916" spans="1:19" x14ac:dyDescent="0.15">
      <c r="A916" s="11">
        <v>30018</v>
      </c>
      <c r="B916" s="11">
        <v>1</v>
      </c>
      <c r="C916" s="11" t="str">
        <f t="shared" si="104"/>
        <v>30018_1</v>
      </c>
      <c r="D916" s="11" t="str">
        <f>VLOOKUP(C916,[1]stages!$A:$AE,31,FALSE)</f>
        <v>everyone</v>
      </c>
      <c r="E916" s="11">
        <v>916</v>
      </c>
      <c r="F916" s="11">
        <v>338</v>
      </c>
      <c r="G916" s="10" t="str">
        <f>IF(I916="unit",VLOOKUP(F916,[2]characters!$A:$C,3,FALSE),"-")</f>
        <v>森のメタルダック</v>
      </c>
      <c r="H916" s="11">
        <v>56</v>
      </c>
      <c r="I916" s="11" t="s">
        <v>36</v>
      </c>
      <c r="J916" s="11">
        <v>1</v>
      </c>
      <c r="K916" s="11">
        <v>1</v>
      </c>
      <c r="L916" s="11">
        <v>1</v>
      </c>
      <c r="M916" s="11">
        <v>0</v>
      </c>
      <c r="N916" s="11">
        <v>0</v>
      </c>
      <c r="O916" s="11">
        <v>0</v>
      </c>
      <c r="P916" s="11">
        <v>0</v>
      </c>
      <c r="Q916" s="11">
        <v>1</v>
      </c>
      <c r="R916" s="11" t="s">
        <v>27</v>
      </c>
      <c r="S916" s="11" t="s">
        <v>28</v>
      </c>
    </row>
    <row r="917" spans="1:19" x14ac:dyDescent="0.15">
      <c r="A917" s="11">
        <v>30018</v>
      </c>
      <c r="B917" s="11">
        <v>1</v>
      </c>
      <c r="C917" s="11" t="str">
        <f t="shared" si="104"/>
        <v>30018_1</v>
      </c>
      <c r="D917" s="11" t="str">
        <f>VLOOKUP(C917,[1]stages!$A:$AE,31,FALSE)</f>
        <v>everyone</v>
      </c>
      <c r="E917" s="11">
        <v>917</v>
      </c>
      <c r="F917" s="11">
        <v>121</v>
      </c>
      <c r="G917" s="10" t="str">
        <f>IF(I917="unit",VLOOKUP(F917,[2]characters!$A:$C,3,FALSE),"-")</f>
        <v>攻めの果実</v>
      </c>
      <c r="H917" s="11">
        <v>50</v>
      </c>
      <c r="I917" s="11" t="s">
        <v>36</v>
      </c>
      <c r="J917" s="11">
        <v>1</v>
      </c>
      <c r="K917" s="11">
        <v>1</v>
      </c>
      <c r="L917" s="11">
        <v>1</v>
      </c>
      <c r="M917" s="11">
        <v>0</v>
      </c>
      <c r="N917" s="11">
        <v>0</v>
      </c>
      <c r="O917" s="11">
        <v>0</v>
      </c>
      <c r="P917" s="11">
        <v>0</v>
      </c>
      <c r="Q917" s="11">
        <v>1</v>
      </c>
      <c r="R917" s="11" t="s">
        <v>27</v>
      </c>
      <c r="S917" s="11" t="s">
        <v>28</v>
      </c>
    </row>
    <row r="918" spans="1:19" x14ac:dyDescent="0.15">
      <c r="A918" s="11">
        <v>30018</v>
      </c>
      <c r="B918" s="11">
        <v>1</v>
      </c>
      <c r="C918" s="11" t="str">
        <f t="shared" si="104"/>
        <v>30018_1</v>
      </c>
      <c r="D918" s="11" t="str">
        <f>VLOOKUP(C918,[1]stages!$A:$AE,31,FALSE)</f>
        <v>everyone</v>
      </c>
      <c r="E918" s="11">
        <v>918</v>
      </c>
      <c r="F918" s="11">
        <v>122</v>
      </c>
      <c r="G918" s="10" t="str">
        <f>IF(I918="unit",VLOOKUP(F918,[2]characters!$A:$C,3,FALSE),"-")</f>
        <v>生命の果実</v>
      </c>
      <c r="H918" s="11">
        <v>50</v>
      </c>
      <c r="I918" s="11" t="s">
        <v>36</v>
      </c>
      <c r="J918" s="11">
        <v>1</v>
      </c>
      <c r="K918" s="11">
        <v>1</v>
      </c>
      <c r="L918" s="11">
        <v>1</v>
      </c>
      <c r="M918" s="11">
        <v>0</v>
      </c>
      <c r="N918" s="11">
        <v>0</v>
      </c>
      <c r="O918" s="11">
        <v>0</v>
      </c>
      <c r="P918" s="11">
        <v>0</v>
      </c>
      <c r="Q918" s="11">
        <v>1</v>
      </c>
      <c r="R918" s="11" t="s">
        <v>27</v>
      </c>
      <c r="S918" s="11" t="s">
        <v>28</v>
      </c>
    </row>
    <row r="919" spans="1:19" x14ac:dyDescent="0.15">
      <c r="A919" s="11">
        <v>30018</v>
      </c>
      <c r="B919" s="11">
        <v>1</v>
      </c>
      <c r="C919" s="11" t="str">
        <f t="shared" si="104"/>
        <v>30018_1</v>
      </c>
      <c r="D919" s="11" t="str">
        <f>VLOOKUP(C919,[1]stages!$A:$AE,31,FALSE)</f>
        <v>everyone</v>
      </c>
      <c r="E919" s="11">
        <v>919</v>
      </c>
      <c r="F919" s="11">
        <v>123</v>
      </c>
      <c r="G919" s="10" t="str">
        <f>IF(I919="unit",VLOOKUP(F919,[2]characters!$A:$C,3,FALSE),"-")</f>
        <v>癒しの果実</v>
      </c>
      <c r="H919" s="11">
        <v>50</v>
      </c>
      <c r="I919" s="11" t="s">
        <v>36</v>
      </c>
      <c r="J919" s="11">
        <v>1</v>
      </c>
      <c r="K919" s="11">
        <v>1</v>
      </c>
      <c r="L919" s="11">
        <v>1</v>
      </c>
      <c r="M919" s="11">
        <v>0</v>
      </c>
      <c r="N919" s="11">
        <v>0</v>
      </c>
      <c r="O919" s="11">
        <v>0</v>
      </c>
      <c r="P919" s="11">
        <v>0</v>
      </c>
      <c r="Q919" s="11">
        <v>1</v>
      </c>
      <c r="R919" s="11" t="s">
        <v>27</v>
      </c>
      <c r="S919" s="11" t="s">
        <v>28</v>
      </c>
    </row>
    <row r="920" spans="1:19" x14ac:dyDescent="0.15">
      <c r="A920" s="11">
        <v>30018</v>
      </c>
      <c r="B920" s="11">
        <v>1</v>
      </c>
      <c r="C920" s="11" t="str">
        <f t="shared" si="104"/>
        <v>30018_1</v>
      </c>
      <c r="D920" s="11" t="str">
        <f>VLOOKUP(C920,[1]stages!$A:$AE,31,FALSE)</f>
        <v>everyone</v>
      </c>
      <c r="E920" s="11">
        <v>920</v>
      </c>
      <c r="F920" s="11">
        <v>125</v>
      </c>
      <c r="G920" s="10" t="str">
        <f>IF(I920="unit",VLOOKUP(F920,[2]characters!$A:$C,3,FALSE),"-")</f>
        <v>秘術の果実</v>
      </c>
      <c r="H920" s="11">
        <v>10</v>
      </c>
      <c r="I920" s="11" t="s">
        <v>36</v>
      </c>
      <c r="J920" s="11">
        <v>1</v>
      </c>
      <c r="K920" s="11">
        <v>1</v>
      </c>
      <c r="L920" s="11">
        <v>1</v>
      </c>
      <c r="M920" s="11">
        <v>0</v>
      </c>
      <c r="N920" s="11">
        <v>0</v>
      </c>
      <c r="O920" s="11">
        <v>0</v>
      </c>
      <c r="P920" s="11">
        <v>0</v>
      </c>
      <c r="Q920" s="11">
        <v>1</v>
      </c>
      <c r="R920" s="11" t="s">
        <v>27</v>
      </c>
      <c r="S920" s="11" t="s">
        <v>28</v>
      </c>
    </row>
    <row r="921" spans="1:19" x14ac:dyDescent="0.15">
      <c r="A921" s="11">
        <v>30018</v>
      </c>
      <c r="B921" s="11">
        <v>1</v>
      </c>
      <c r="C921" s="11" t="str">
        <f t="shared" si="104"/>
        <v>30018_1</v>
      </c>
      <c r="D921" s="11" t="str">
        <f>VLOOKUP(C921,[1]stages!$A:$AE,31,FALSE)</f>
        <v>everyone</v>
      </c>
      <c r="E921" s="11">
        <v>921</v>
      </c>
      <c r="F921" s="11">
        <v>454</v>
      </c>
      <c r="G921" s="10" t="str">
        <f>IF(I921="unit",VLOOKUP(F921,[2]characters!$A:$C,3,FALSE),"-")</f>
        <v>二闘 レッサとギガン</v>
      </c>
      <c r="H921" s="11">
        <v>250</v>
      </c>
      <c r="I921" s="11" t="s">
        <v>36</v>
      </c>
      <c r="J921" s="11">
        <v>1</v>
      </c>
      <c r="K921" s="11">
        <v>1</v>
      </c>
      <c r="L921" s="11">
        <v>1</v>
      </c>
      <c r="M921" s="11">
        <v>0</v>
      </c>
      <c r="N921" s="11">
        <v>0</v>
      </c>
      <c r="O921" s="11">
        <v>0</v>
      </c>
      <c r="P921" s="11">
        <v>0</v>
      </c>
      <c r="Q921" s="11">
        <v>1</v>
      </c>
      <c r="R921" s="11" t="s">
        <v>27</v>
      </c>
      <c r="S921" s="11" t="s">
        <v>28</v>
      </c>
    </row>
    <row r="922" spans="1:19" x14ac:dyDescent="0.15">
      <c r="A922" s="11">
        <v>30018</v>
      </c>
      <c r="B922" s="11">
        <v>1</v>
      </c>
      <c r="C922" s="11" t="str">
        <f t="shared" si="104"/>
        <v>30018_1</v>
      </c>
      <c r="D922" s="11" t="str">
        <f>VLOOKUP(C922,[1]stages!$A:$AE,31,FALSE)</f>
        <v>everyone</v>
      </c>
      <c r="E922" s="11">
        <v>922</v>
      </c>
      <c r="F922" s="11">
        <v>350</v>
      </c>
      <c r="G922" s="10" t="str">
        <f>IF(I922="unit",VLOOKUP(F922,[2]characters!$A:$C,3,FALSE),"-")</f>
        <v>森のケロケロ</v>
      </c>
      <c r="H922" s="11">
        <v>100</v>
      </c>
      <c r="I922" s="11" t="s">
        <v>36</v>
      </c>
      <c r="J922" s="11">
        <v>1</v>
      </c>
      <c r="K922" s="11">
        <v>1</v>
      </c>
      <c r="L922" s="11">
        <v>1</v>
      </c>
      <c r="M922" s="11">
        <v>0</v>
      </c>
      <c r="N922" s="11">
        <v>0</v>
      </c>
      <c r="O922" s="11">
        <v>0</v>
      </c>
      <c r="P922" s="11">
        <v>0</v>
      </c>
      <c r="Q922" s="11">
        <v>1</v>
      </c>
      <c r="R922" s="11" t="s">
        <v>27</v>
      </c>
      <c r="S922" s="11" t="s">
        <v>28</v>
      </c>
    </row>
    <row r="923" spans="1:19" x14ac:dyDescent="0.15">
      <c r="A923" s="11">
        <v>30018</v>
      </c>
      <c r="B923" s="11">
        <v>2</v>
      </c>
      <c r="C923" s="11" t="str">
        <f>A923&amp; "_"&amp;B923</f>
        <v>30018_2</v>
      </c>
      <c r="D923" s="11" t="str">
        <f>VLOOKUP(C923,[1]stages!$A:$AE,31,FALSE)</f>
        <v>everyone</v>
      </c>
      <c r="E923" s="11">
        <v>923</v>
      </c>
      <c r="F923" s="11">
        <v>7500</v>
      </c>
      <c r="G923" s="10" t="str">
        <f>IF(I923="unit",VLOOKUP(F923,[2]characters!$A:$C,3,FALSE),"-")</f>
        <v>-</v>
      </c>
      <c r="H923" s="11">
        <v>100</v>
      </c>
      <c r="I923" s="11" t="s">
        <v>32</v>
      </c>
      <c r="J923" s="11" t="s">
        <v>33</v>
      </c>
      <c r="K923" s="11">
        <v>1</v>
      </c>
      <c r="L923" s="11">
        <v>1</v>
      </c>
      <c r="M923" s="11">
        <v>0</v>
      </c>
      <c r="N923" s="11">
        <v>0</v>
      </c>
      <c r="O923" s="11">
        <v>0</v>
      </c>
      <c r="P923" s="11">
        <v>0</v>
      </c>
      <c r="Q923" s="11">
        <v>1</v>
      </c>
      <c r="R923" s="11" t="s">
        <v>27</v>
      </c>
      <c r="S923" s="11" t="s">
        <v>28</v>
      </c>
    </row>
    <row r="924" spans="1:19" x14ac:dyDescent="0.15">
      <c r="A924" s="11">
        <v>30018</v>
      </c>
      <c r="B924" s="11">
        <v>2</v>
      </c>
      <c r="C924" s="11" t="str">
        <f t="shared" ref="C924:C932" si="105">A924&amp; "_"&amp;B924</f>
        <v>30018_2</v>
      </c>
      <c r="D924" s="11" t="str">
        <f>VLOOKUP(C924,[1]stages!$A:$AE,31,FALSE)</f>
        <v>everyone</v>
      </c>
      <c r="E924" s="11">
        <v>924</v>
      </c>
      <c r="F924" s="11">
        <v>25</v>
      </c>
      <c r="G924" s="10" t="str">
        <f>IF(I924="unit",VLOOKUP(F924,[2]characters!$A:$C,3,FALSE),"-")</f>
        <v>-</v>
      </c>
      <c r="H924" s="11">
        <v>100</v>
      </c>
      <c r="I924" s="11" t="s">
        <v>35</v>
      </c>
      <c r="J924" s="11" t="s">
        <v>33</v>
      </c>
      <c r="K924" s="11">
        <v>1</v>
      </c>
      <c r="L924" s="11">
        <v>1</v>
      </c>
      <c r="M924" s="11">
        <v>0</v>
      </c>
      <c r="N924" s="11">
        <v>0</v>
      </c>
      <c r="O924" s="11">
        <v>0</v>
      </c>
      <c r="P924" s="11">
        <v>0</v>
      </c>
      <c r="Q924" s="11">
        <v>1</v>
      </c>
      <c r="R924" s="11" t="s">
        <v>27</v>
      </c>
      <c r="S924" s="11" t="s">
        <v>28</v>
      </c>
    </row>
    <row r="925" spans="1:19" x14ac:dyDescent="0.15">
      <c r="A925" s="11">
        <v>30018</v>
      </c>
      <c r="B925" s="11">
        <v>2</v>
      </c>
      <c r="C925" s="11" t="str">
        <f t="shared" si="105"/>
        <v>30018_2</v>
      </c>
      <c r="D925" s="11" t="str">
        <f>VLOOKUP(C925,[1]stages!$A:$AE,31,FALSE)</f>
        <v>everyone</v>
      </c>
      <c r="E925" s="11">
        <v>925</v>
      </c>
      <c r="F925" s="11">
        <v>337</v>
      </c>
      <c r="G925" s="10" t="str">
        <f>IF(I925="unit",VLOOKUP(F925,[2]characters!$A:$C,3,FALSE),"-")</f>
        <v>森のメタルチック</v>
      </c>
      <c r="H925" s="11">
        <v>56</v>
      </c>
      <c r="I925" s="11" t="s">
        <v>36</v>
      </c>
      <c r="J925" s="11">
        <v>1</v>
      </c>
      <c r="K925" s="11">
        <v>1</v>
      </c>
      <c r="L925" s="11">
        <v>1</v>
      </c>
      <c r="M925" s="11">
        <v>0</v>
      </c>
      <c r="N925" s="11">
        <v>0</v>
      </c>
      <c r="O925" s="11">
        <v>0</v>
      </c>
      <c r="P925" s="11">
        <v>0</v>
      </c>
      <c r="Q925" s="11">
        <v>1</v>
      </c>
      <c r="R925" s="11" t="s">
        <v>27</v>
      </c>
      <c r="S925" s="11" t="s">
        <v>28</v>
      </c>
    </row>
    <row r="926" spans="1:19" x14ac:dyDescent="0.15">
      <c r="A926" s="11">
        <v>30018</v>
      </c>
      <c r="B926" s="11">
        <v>2</v>
      </c>
      <c r="C926" s="11" t="str">
        <f t="shared" si="105"/>
        <v>30018_2</v>
      </c>
      <c r="D926" s="11" t="str">
        <f>VLOOKUP(C926,[1]stages!$A:$AE,31,FALSE)</f>
        <v>everyone</v>
      </c>
      <c r="E926" s="11">
        <v>926</v>
      </c>
      <c r="F926" s="11">
        <v>338</v>
      </c>
      <c r="G926" s="10" t="str">
        <f>IF(I926="unit",VLOOKUP(F926,[2]characters!$A:$C,3,FALSE),"-")</f>
        <v>森のメタルダック</v>
      </c>
      <c r="H926" s="11">
        <v>84</v>
      </c>
      <c r="I926" s="11" t="s">
        <v>36</v>
      </c>
      <c r="J926" s="11">
        <v>1</v>
      </c>
      <c r="K926" s="11">
        <v>1</v>
      </c>
      <c r="L926" s="11">
        <v>1</v>
      </c>
      <c r="M926" s="11">
        <v>0</v>
      </c>
      <c r="N926" s="11">
        <v>0</v>
      </c>
      <c r="O926" s="11">
        <v>0</v>
      </c>
      <c r="P926" s="11">
        <v>0</v>
      </c>
      <c r="Q926" s="11">
        <v>1</v>
      </c>
      <c r="R926" s="11" t="s">
        <v>27</v>
      </c>
      <c r="S926" s="11" t="s">
        <v>28</v>
      </c>
    </row>
    <row r="927" spans="1:19" x14ac:dyDescent="0.15">
      <c r="A927" s="11">
        <v>30018</v>
      </c>
      <c r="B927" s="11">
        <v>2</v>
      </c>
      <c r="C927" s="11" t="str">
        <f t="shared" si="105"/>
        <v>30018_2</v>
      </c>
      <c r="D927" s="11" t="str">
        <f>VLOOKUP(C927,[1]stages!$A:$AE,31,FALSE)</f>
        <v>everyone</v>
      </c>
      <c r="E927" s="11">
        <v>927</v>
      </c>
      <c r="F927" s="11">
        <v>121</v>
      </c>
      <c r="G927" s="10" t="str">
        <f>IF(I927="unit",VLOOKUP(F927,[2]characters!$A:$C,3,FALSE),"-")</f>
        <v>攻めの果実</v>
      </c>
      <c r="H927" s="11">
        <v>50</v>
      </c>
      <c r="I927" s="11" t="s">
        <v>36</v>
      </c>
      <c r="J927" s="11">
        <v>1</v>
      </c>
      <c r="K927" s="11">
        <v>1</v>
      </c>
      <c r="L927" s="11">
        <v>1</v>
      </c>
      <c r="M927" s="11">
        <v>0</v>
      </c>
      <c r="N927" s="11">
        <v>0</v>
      </c>
      <c r="O927" s="11">
        <v>0</v>
      </c>
      <c r="P927" s="11">
        <v>0</v>
      </c>
      <c r="Q927" s="11">
        <v>1</v>
      </c>
      <c r="R927" s="11" t="s">
        <v>27</v>
      </c>
      <c r="S927" s="11" t="s">
        <v>28</v>
      </c>
    </row>
    <row r="928" spans="1:19" x14ac:dyDescent="0.15">
      <c r="A928" s="11">
        <v>30018</v>
      </c>
      <c r="B928" s="11">
        <v>2</v>
      </c>
      <c r="C928" s="11" t="str">
        <f t="shared" si="105"/>
        <v>30018_2</v>
      </c>
      <c r="D928" s="11" t="str">
        <f>VLOOKUP(C928,[1]stages!$A:$AE,31,FALSE)</f>
        <v>everyone</v>
      </c>
      <c r="E928" s="11">
        <v>928</v>
      </c>
      <c r="F928" s="11">
        <v>122</v>
      </c>
      <c r="G928" s="10" t="str">
        <f>IF(I928="unit",VLOOKUP(F928,[2]characters!$A:$C,3,FALSE),"-")</f>
        <v>生命の果実</v>
      </c>
      <c r="H928" s="11">
        <v>50</v>
      </c>
      <c r="I928" s="11" t="s">
        <v>36</v>
      </c>
      <c r="J928" s="11">
        <v>1</v>
      </c>
      <c r="K928" s="11">
        <v>1</v>
      </c>
      <c r="L928" s="11">
        <v>1</v>
      </c>
      <c r="M928" s="11">
        <v>0</v>
      </c>
      <c r="N928" s="11">
        <v>0</v>
      </c>
      <c r="O928" s="11">
        <v>0</v>
      </c>
      <c r="P928" s="11">
        <v>0</v>
      </c>
      <c r="Q928" s="11">
        <v>1</v>
      </c>
      <c r="R928" s="11" t="s">
        <v>27</v>
      </c>
      <c r="S928" s="11" t="s">
        <v>28</v>
      </c>
    </row>
    <row r="929" spans="1:19" x14ac:dyDescent="0.15">
      <c r="A929" s="11">
        <v>30018</v>
      </c>
      <c r="B929" s="11">
        <v>2</v>
      </c>
      <c r="C929" s="11" t="str">
        <f t="shared" si="105"/>
        <v>30018_2</v>
      </c>
      <c r="D929" s="11" t="str">
        <f>VLOOKUP(C929,[1]stages!$A:$AE,31,FALSE)</f>
        <v>everyone</v>
      </c>
      <c r="E929" s="11">
        <v>929</v>
      </c>
      <c r="F929" s="11">
        <v>123</v>
      </c>
      <c r="G929" s="10" t="str">
        <f>IF(I929="unit",VLOOKUP(F929,[2]characters!$A:$C,3,FALSE),"-")</f>
        <v>癒しの果実</v>
      </c>
      <c r="H929" s="11">
        <v>50</v>
      </c>
      <c r="I929" s="11" t="s">
        <v>36</v>
      </c>
      <c r="J929" s="11">
        <v>1</v>
      </c>
      <c r="K929" s="11">
        <v>1</v>
      </c>
      <c r="L929" s="11">
        <v>1</v>
      </c>
      <c r="M929" s="11">
        <v>0</v>
      </c>
      <c r="N929" s="11">
        <v>0</v>
      </c>
      <c r="O929" s="11">
        <v>0</v>
      </c>
      <c r="P929" s="11">
        <v>0</v>
      </c>
      <c r="Q929" s="11">
        <v>1</v>
      </c>
      <c r="R929" s="11" t="s">
        <v>27</v>
      </c>
      <c r="S929" s="11" t="s">
        <v>28</v>
      </c>
    </row>
    <row r="930" spans="1:19" x14ac:dyDescent="0.15">
      <c r="A930" s="11">
        <v>30018</v>
      </c>
      <c r="B930" s="11">
        <v>2</v>
      </c>
      <c r="C930" s="11" t="str">
        <f t="shared" si="105"/>
        <v>30018_2</v>
      </c>
      <c r="D930" s="11" t="str">
        <f>VLOOKUP(C930,[1]stages!$A:$AE,31,FALSE)</f>
        <v>everyone</v>
      </c>
      <c r="E930" s="11">
        <v>930</v>
      </c>
      <c r="F930" s="11">
        <v>125</v>
      </c>
      <c r="G930" s="10" t="str">
        <f>IF(I930="unit",VLOOKUP(F930,[2]characters!$A:$C,3,FALSE),"-")</f>
        <v>秘術の果実</v>
      </c>
      <c r="H930" s="11">
        <v>10</v>
      </c>
      <c r="I930" s="11" t="s">
        <v>36</v>
      </c>
      <c r="J930" s="11">
        <v>1</v>
      </c>
      <c r="K930" s="11">
        <v>1</v>
      </c>
      <c r="L930" s="11">
        <v>1</v>
      </c>
      <c r="M930" s="11">
        <v>0</v>
      </c>
      <c r="N930" s="11">
        <v>0</v>
      </c>
      <c r="O930" s="11">
        <v>0</v>
      </c>
      <c r="P930" s="11">
        <v>0</v>
      </c>
      <c r="Q930" s="11">
        <v>1</v>
      </c>
      <c r="R930" s="11" t="s">
        <v>27</v>
      </c>
      <c r="S930" s="11" t="s">
        <v>28</v>
      </c>
    </row>
    <row r="931" spans="1:19" x14ac:dyDescent="0.15">
      <c r="A931" s="11">
        <v>30018</v>
      </c>
      <c r="B931" s="11">
        <v>2</v>
      </c>
      <c r="C931" s="11" t="str">
        <f t="shared" si="105"/>
        <v>30018_2</v>
      </c>
      <c r="D931" s="11" t="str">
        <f>VLOOKUP(C931,[1]stages!$A:$AE,31,FALSE)</f>
        <v>everyone</v>
      </c>
      <c r="E931" s="11">
        <v>931</v>
      </c>
      <c r="F931" s="11">
        <v>454</v>
      </c>
      <c r="G931" s="10" t="str">
        <f>IF(I931="unit",VLOOKUP(F931,[2]characters!$A:$C,3,FALSE),"-")</f>
        <v>二闘 レッサとギガン</v>
      </c>
      <c r="H931" s="11">
        <v>400</v>
      </c>
      <c r="I931" s="11" t="s">
        <v>36</v>
      </c>
      <c r="J931" s="11">
        <v>1</v>
      </c>
      <c r="K931" s="11">
        <v>1</v>
      </c>
      <c r="L931" s="11">
        <v>1</v>
      </c>
      <c r="M931" s="11">
        <v>0</v>
      </c>
      <c r="N931" s="11">
        <v>0</v>
      </c>
      <c r="O931" s="11">
        <v>0</v>
      </c>
      <c r="P931" s="11">
        <v>0</v>
      </c>
      <c r="Q931" s="11">
        <v>1</v>
      </c>
      <c r="R931" s="11" t="s">
        <v>27</v>
      </c>
      <c r="S931" s="11" t="s">
        <v>28</v>
      </c>
    </row>
    <row r="932" spans="1:19" x14ac:dyDescent="0.15">
      <c r="A932" s="11">
        <v>30018</v>
      </c>
      <c r="B932" s="11">
        <v>2</v>
      </c>
      <c r="C932" s="11" t="str">
        <f t="shared" si="105"/>
        <v>30018_2</v>
      </c>
      <c r="D932" s="11" t="str">
        <f>VLOOKUP(C932,[1]stages!$A:$AE,31,FALSE)</f>
        <v>everyone</v>
      </c>
      <c r="E932" s="11">
        <v>932</v>
      </c>
      <c r="F932" s="11">
        <v>350</v>
      </c>
      <c r="G932" s="10" t="str">
        <f>IF(I932="unit",VLOOKUP(F932,[2]characters!$A:$C,3,FALSE),"-")</f>
        <v>森のケロケロ</v>
      </c>
      <c r="H932" s="11">
        <v>100</v>
      </c>
      <c r="I932" s="11" t="s">
        <v>36</v>
      </c>
      <c r="J932" s="11">
        <v>1</v>
      </c>
      <c r="K932" s="11">
        <v>1</v>
      </c>
      <c r="L932" s="11">
        <v>1</v>
      </c>
      <c r="M932" s="11">
        <v>0</v>
      </c>
      <c r="N932" s="11">
        <v>0</v>
      </c>
      <c r="O932" s="11">
        <v>0</v>
      </c>
      <c r="P932" s="11">
        <v>0</v>
      </c>
      <c r="Q932" s="11">
        <v>1</v>
      </c>
      <c r="R932" s="11" t="s">
        <v>27</v>
      </c>
      <c r="S932" s="11" t="s">
        <v>28</v>
      </c>
    </row>
  </sheetData>
  <autoFilter ref="A1:S932"/>
  <phoneticPr fontId="3"/>
  <dataValidations count="1">
    <dataValidation type="list" allowBlank="1" showInputMessage="1" showErrorMessage="1" sqref="I2:I932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output</vt:lpstr>
      <vt:lpstr>bugbonuses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 雅大</dc:creator>
  <cp:lastModifiedBy>Microsoft Office ユーザー</cp:lastModifiedBy>
  <dcterms:created xsi:type="dcterms:W3CDTF">2015-11-13T00:42:33Z</dcterms:created>
  <dcterms:modified xsi:type="dcterms:W3CDTF">2017-03-08T08:01:05Z</dcterms:modified>
</cp:coreProperties>
</file>