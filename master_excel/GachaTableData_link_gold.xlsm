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2800" yWindow="1660" windowWidth="25040" windowHeight="14920" tabRatio="943" activeTab="1"/>
  </bookViews>
  <sheets>
    <sheet name="output" sheetId="47" r:id="rId1"/>
    <sheet name="gacha_select_tables" sheetId="35" r:id="rId2"/>
  </sheets>
  <externalReferences>
    <externalReference r:id="rId3"/>
  </externalReferences>
  <definedNames>
    <definedName name="_xlnm._FilterDatabase" localSheetId="1" hidden="1">gacha_select_tables!$B$1:$K$81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81" i="35" l="1"/>
  <c r="L80" i="35"/>
  <c r="L79" i="35"/>
  <c r="L78" i="35"/>
  <c r="L77" i="35"/>
  <c r="L76" i="35"/>
  <c r="L75" i="35"/>
  <c r="L74" i="35"/>
  <c r="L73" i="35"/>
  <c r="L72" i="35"/>
  <c r="L71" i="35"/>
  <c r="L70" i="35"/>
  <c r="L69" i="35"/>
  <c r="L68" i="35"/>
  <c r="L67" i="35"/>
  <c r="L66" i="35"/>
  <c r="L65" i="35"/>
  <c r="L64" i="35"/>
  <c r="L63" i="35"/>
  <c r="L62" i="35"/>
  <c r="L61" i="35"/>
  <c r="L60" i="35"/>
  <c r="L59" i="35"/>
  <c r="L58" i="35"/>
  <c r="L57" i="35"/>
  <c r="L56" i="35"/>
  <c r="L55" i="35"/>
  <c r="L54" i="35"/>
  <c r="L53" i="35"/>
  <c r="L52" i="35"/>
  <c r="L51" i="35"/>
  <c r="L50" i="35"/>
  <c r="L49" i="35"/>
  <c r="L48" i="35"/>
  <c r="L47" i="35"/>
  <c r="L46" i="35"/>
  <c r="L45" i="35"/>
  <c r="L44" i="35"/>
  <c r="L43" i="35"/>
  <c r="L42" i="35"/>
  <c r="L41" i="35"/>
  <c r="L40" i="35"/>
  <c r="L39" i="35"/>
  <c r="L38" i="35"/>
  <c r="L37" i="35"/>
  <c r="L36" i="35"/>
  <c r="L35" i="35"/>
  <c r="L34" i="35"/>
  <c r="L33" i="35"/>
  <c r="L32" i="35"/>
  <c r="L31" i="35"/>
  <c r="L30" i="35"/>
  <c r="L29" i="35"/>
  <c r="L28" i="35"/>
  <c r="L27" i="35"/>
  <c r="L26" i="35"/>
  <c r="L25" i="35"/>
  <c r="L24" i="35"/>
  <c r="L23" i="35"/>
  <c r="L22" i="35"/>
  <c r="L21" i="35"/>
  <c r="L20" i="35"/>
  <c r="L19" i="35"/>
  <c r="L18" i="35"/>
  <c r="L17" i="35"/>
  <c r="L16" i="35"/>
  <c r="L15" i="35"/>
  <c r="L14" i="35"/>
  <c r="L13" i="35"/>
  <c r="L12" i="35"/>
  <c r="L11" i="35"/>
  <c r="L10" i="35"/>
  <c r="L9" i="35"/>
  <c r="L8" i="35"/>
  <c r="L7" i="35"/>
  <c r="L6" i="35"/>
  <c r="L5" i="35"/>
  <c r="L4" i="35"/>
  <c r="L3" i="35"/>
  <c r="L2" i="35"/>
  <c r="I77" i="35"/>
  <c r="H77" i="35"/>
  <c r="G77" i="35"/>
  <c r="F77" i="35"/>
  <c r="E77" i="35"/>
  <c r="D77" i="35"/>
  <c r="A77" i="35"/>
  <c r="E3" i="47"/>
  <c r="E4" i="47"/>
  <c r="E5" i="47"/>
  <c r="E6" i="47"/>
  <c r="E2" i="47"/>
  <c r="D3" i="35"/>
  <c r="E3" i="35"/>
  <c r="F3" i="35"/>
  <c r="G3" i="35"/>
  <c r="H3" i="35"/>
  <c r="I3" i="35"/>
  <c r="D4" i="35"/>
  <c r="E4" i="35"/>
  <c r="F4" i="35"/>
  <c r="G4" i="35"/>
  <c r="H4" i="35"/>
  <c r="I4" i="35"/>
  <c r="D5" i="35"/>
  <c r="E5" i="35"/>
  <c r="F5" i="35"/>
  <c r="G5" i="35"/>
  <c r="H5" i="35"/>
  <c r="I5" i="35"/>
  <c r="D6" i="35"/>
  <c r="E6" i="35"/>
  <c r="F6" i="35"/>
  <c r="G6" i="35"/>
  <c r="H6" i="35"/>
  <c r="I6" i="35"/>
  <c r="D7" i="35"/>
  <c r="E7" i="35"/>
  <c r="F7" i="35"/>
  <c r="G7" i="35"/>
  <c r="H7" i="35"/>
  <c r="I7" i="35"/>
  <c r="D8" i="35"/>
  <c r="E8" i="35"/>
  <c r="F8" i="35"/>
  <c r="G8" i="35"/>
  <c r="H8" i="35"/>
  <c r="I8" i="35"/>
  <c r="D9" i="35"/>
  <c r="E9" i="35"/>
  <c r="F9" i="35"/>
  <c r="G9" i="35"/>
  <c r="H9" i="35"/>
  <c r="I9" i="35"/>
  <c r="D10" i="35"/>
  <c r="E10" i="35"/>
  <c r="F10" i="35"/>
  <c r="G10" i="35"/>
  <c r="H10" i="35"/>
  <c r="I10" i="35"/>
  <c r="D11" i="35"/>
  <c r="E11" i="35"/>
  <c r="F11" i="35"/>
  <c r="G11" i="35"/>
  <c r="H11" i="35"/>
  <c r="I11" i="35"/>
  <c r="D12" i="35"/>
  <c r="E12" i="35"/>
  <c r="F12" i="35"/>
  <c r="G12" i="35"/>
  <c r="H12" i="35"/>
  <c r="I12" i="35"/>
  <c r="D13" i="35"/>
  <c r="E13" i="35"/>
  <c r="F13" i="35"/>
  <c r="G13" i="35"/>
  <c r="H13" i="35"/>
  <c r="I13" i="35"/>
  <c r="D14" i="35"/>
  <c r="E14" i="35"/>
  <c r="F14" i="35"/>
  <c r="G14" i="35"/>
  <c r="H14" i="35"/>
  <c r="I14" i="35"/>
  <c r="D15" i="35"/>
  <c r="E15" i="35"/>
  <c r="F15" i="35"/>
  <c r="G15" i="35"/>
  <c r="H15" i="35"/>
  <c r="I15" i="35"/>
  <c r="D16" i="35"/>
  <c r="E16" i="35"/>
  <c r="F16" i="35"/>
  <c r="G16" i="35"/>
  <c r="H16" i="35"/>
  <c r="I16" i="35"/>
  <c r="D17" i="35"/>
  <c r="E17" i="35"/>
  <c r="F17" i="35"/>
  <c r="G17" i="35"/>
  <c r="H17" i="35"/>
  <c r="I17" i="35"/>
  <c r="D18" i="35"/>
  <c r="E18" i="35"/>
  <c r="F18" i="35"/>
  <c r="G18" i="35"/>
  <c r="H18" i="35"/>
  <c r="I18" i="35"/>
  <c r="D19" i="35"/>
  <c r="E19" i="35"/>
  <c r="F19" i="35"/>
  <c r="G19" i="35"/>
  <c r="H19" i="35"/>
  <c r="I19" i="35"/>
  <c r="D20" i="35"/>
  <c r="E20" i="35"/>
  <c r="F20" i="35"/>
  <c r="G20" i="35"/>
  <c r="H20" i="35"/>
  <c r="I20" i="35"/>
  <c r="D21" i="35"/>
  <c r="E21" i="35"/>
  <c r="F21" i="35"/>
  <c r="G21" i="35"/>
  <c r="H21" i="35"/>
  <c r="I21" i="35"/>
  <c r="D22" i="35"/>
  <c r="E22" i="35"/>
  <c r="F22" i="35"/>
  <c r="G22" i="35"/>
  <c r="H22" i="35"/>
  <c r="I22" i="35"/>
  <c r="D23" i="35"/>
  <c r="E23" i="35"/>
  <c r="F23" i="35"/>
  <c r="G23" i="35"/>
  <c r="H23" i="35"/>
  <c r="I23" i="35"/>
  <c r="D24" i="35"/>
  <c r="E24" i="35"/>
  <c r="F24" i="35"/>
  <c r="G24" i="35"/>
  <c r="H24" i="35"/>
  <c r="I24" i="35"/>
  <c r="D25" i="35"/>
  <c r="E25" i="35"/>
  <c r="F25" i="35"/>
  <c r="G25" i="35"/>
  <c r="H25" i="35"/>
  <c r="I25" i="35"/>
  <c r="D26" i="35"/>
  <c r="E26" i="35"/>
  <c r="F26" i="35"/>
  <c r="G26" i="35"/>
  <c r="H26" i="35"/>
  <c r="I26" i="35"/>
  <c r="D27" i="35"/>
  <c r="E27" i="35"/>
  <c r="F27" i="35"/>
  <c r="G27" i="35"/>
  <c r="H27" i="35"/>
  <c r="I27" i="35"/>
  <c r="D28" i="35"/>
  <c r="E28" i="35"/>
  <c r="F28" i="35"/>
  <c r="G28" i="35"/>
  <c r="H28" i="35"/>
  <c r="I28" i="35"/>
  <c r="D29" i="35"/>
  <c r="E29" i="35"/>
  <c r="F29" i="35"/>
  <c r="G29" i="35"/>
  <c r="H29" i="35"/>
  <c r="I29" i="35"/>
  <c r="D30" i="35"/>
  <c r="E30" i="35"/>
  <c r="F30" i="35"/>
  <c r="G30" i="35"/>
  <c r="H30" i="35"/>
  <c r="I30" i="35"/>
  <c r="D31" i="35"/>
  <c r="E31" i="35"/>
  <c r="F31" i="35"/>
  <c r="G31" i="35"/>
  <c r="H31" i="35"/>
  <c r="I31" i="35"/>
  <c r="D32" i="35"/>
  <c r="E32" i="35"/>
  <c r="F32" i="35"/>
  <c r="G32" i="35"/>
  <c r="H32" i="35"/>
  <c r="I32" i="35"/>
  <c r="D33" i="35"/>
  <c r="E33" i="35"/>
  <c r="F33" i="35"/>
  <c r="G33" i="35"/>
  <c r="H33" i="35"/>
  <c r="I33" i="35"/>
  <c r="D34" i="35"/>
  <c r="E34" i="35"/>
  <c r="F34" i="35"/>
  <c r="G34" i="35"/>
  <c r="H34" i="35"/>
  <c r="I34" i="35"/>
  <c r="D35" i="35"/>
  <c r="E35" i="35"/>
  <c r="F35" i="35"/>
  <c r="G35" i="35"/>
  <c r="H35" i="35"/>
  <c r="I35" i="35"/>
  <c r="D36" i="35"/>
  <c r="E36" i="35"/>
  <c r="F36" i="35"/>
  <c r="G36" i="35"/>
  <c r="H36" i="35"/>
  <c r="I36" i="35"/>
  <c r="D37" i="35"/>
  <c r="E37" i="35"/>
  <c r="F37" i="35"/>
  <c r="G37" i="35"/>
  <c r="H37" i="35"/>
  <c r="I37" i="35"/>
  <c r="D38" i="35"/>
  <c r="E38" i="35"/>
  <c r="F38" i="35"/>
  <c r="G38" i="35"/>
  <c r="H38" i="35"/>
  <c r="I38" i="35"/>
  <c r="D39" i="35"/>
  <c r="E39" i="35"/>
  <c r="F39" i="35"/>
  <c r="G39" i="35"/>
  <c r="H39" i="35"/>
  <c r="I39" i="35"/>
  <c r="D40" i="35"/>
  <c r="E40" i="35"/>
  <c r="F40" i="35"/>
  <c r="G40" i="35"/>
  <c r="H40" i="35"/>
  <c r="I40" i="35"/>
  <c r="D41" i="35"/>
  <c r="E41" i="35"/>
  <c r="F41" i="35"/>
  <c r="G41" i="35"/>
  <c r="H41" i="35"/>
  <c r="I41" i="35"/>
  <c r="D42" i="35"/>
  <c r="E42" i="35"/>
  <c r="F42" i="35"/>
  <c r="G42" i="35"/>
  <c r="H42" i="35"/>
  <c r="I42" i="35"/>
  <c r="D43" i="35"/>
  <c r="E43" i="35"/>
  <c r="F43" i="35"/>
  <c r="G43" i="35"/>
  <c r="H43" i="35"/>
  <c r="I43" i="35"/>
  <c r="D44" i="35"/>
  <c r="E44" i="35"/>
  <c r="F44" i="35"/>
  <c r="G44" i="35"/>
  <c r="H44" i="35"/>
  <c r="I44" i="35"/>
  <c r="D45" i="35"/>
  <c r="E45" i="35"/>
  <c r="F45" i="35"/>
  <c r="G45" i="35"/>
  <c r="H45" i="35"/>
  <c r="I45" i="35"/>
  <c r="D46" i="35"/>
  <c r="E46" i="35"/>
  <c r="F46" i="35"/>
  <c r="G46" i="35"/>
  <c r="H46" i="35"/>
  <c r="I46" i="35"/>
  <c r="D47" i="35"/>
  <c r="E47" i="35"/>
  <c r="F47" i="35"/>
  <c r="G47" i="35"/>
  <c r="H47" i="35"/>
  <c r="I47" i="35"/>
  <c r="D48" i="35"/>
  <c r="E48" i="35"/>
  <c r="F48" i="35"/>
  <c r="G48" i="35"/>
  <c r="H48" i="35"/>
  <c r="I48" i="35"/>
  <c r="D49" i="35"/>
  <c r="E49" i="35"/>
  <c r="F49" i="35"/>
  <c r="G49" i="35"/>
  <c r="H49" i="35"/>
  <c r="I49" i="35"/>
  <c r="D50" i="35"/>
  <c r="E50" i="35"/>
  <c r="F50" i="35"/>
  <c r="G50" i="35"/>
  <c r="H50" i="35"/>
  <c r="I50" i="35"/>
  <c r="D51" i="35"/>
  <c r="E51" i="35"/>
  <c r="F51" i="35"/>
  <c r="G51" i="35"/>
  <c r="H51" i="35"/>
  <c r="I51" i="35"/>
  <c r="D52" i="35"/>
  <c r="E52" i="35"/>
  <c r="F52" i="35"/>
  <c r="G52" i="35"/>
  <c r="H52" i="35"/>
  <c r="I52" i="35"/>
  <c r="D53" i="35"/>
  <c r="E53" i="35"/>
  <c r="F53" i="35"/>
  <c r="G53" i="35"/>
  <c r="H53" i="35"/>
  <c r="I53" i="35"/>
  <c r="D54" i="35"/>
  <c r="E54" i="35"/>
  <c r="F54" i="35"/>
  <c r="G54" i="35"/>
  <c r="H54" i="35"/>
  <c r="I54" i="35"/>
  <c r="D55" i="35"/>
  <c r="E55" i="35"/>
  <c r="F55" i="35"/>
  <c r="G55" i="35"/>
  <c r="H55" i="35"/>
  <c r="I55" i="35"/>
  <c r="D56" i="35"/>
  <c r="E56" i="35"/>
  <c r="F56" i="35"/>
  <c r="G56" i="35"/>
  <c r="H56" i="35"/>
  <c r="I56" i="35"/>
  <c r="D57" i="35"/>
  <c r="E57" i="35"/>
  <c r="F57" i="35"/>
  <c r="G57" i="35"/>
  <c r="H57" i="35"/>
  <c r="I57" i="35"/>
  <c r="D58" i="35"/>
  <c r="E58" i="35"/>
  <c r="F58" i="35"/>
  <c r="G58" i="35"/>
  <c r="H58" i="35"/>
  <c r="I58" i="35"/>
  <c r="D59" i="35"/>
  <c r="E59" i="35"/>
  <c r="F59" i="35"/>
  <c r="G59" i="35"/>
  <c r="H59" i="35"/>
  <c r="I59" i="35"/>
  <c r="D60" i="35"/>
  <c r="E60" i="35"/>
  <c r="F60" i="35"/>
  <c r="G60" i="35"/>
  <c r="H60" i="35"/>
  <c r="I60" i="35"/>
  <c r="D61" i="35"/>
  <c r="E61" i="35"/>
  <c r="F61" i="35"/>
  <c r="G61" i="35"/>
  <c r="H61" i="35"/>
  <c r="I61" i="35"/>
  <c r="D62" i="35"/>
  <c r="E62" i="35"/>
  <c r="F62" i="35"/>
  <c r="G62" i="35"/>
  <c r="H62" i="35"/>
  <c r="I62" i="35"/>
  <c r="D63" i="35"/>
  <c r="E63" i="35"/>
  <c r="F63" i="35"/>
  <c r="G63" i="35"/>
  <c r="H63" i="35"/>
  <c r="I63" i="35"/>
  <c r="D64" i="35"/>
  <c r="E64" i="35"/>
  <c r="F64" i="35"/>
  <c r="G64" i="35"/>
  <c r="H64" i="35"/>
  <c r="I64" i="35"/>
  <c r="D65" i="35"/>
  <c r="E65" i="35"/>
  <c r="F65" i="35"/>
  <c r="G65" i="35"/>
  <c r="H65" i="35"/>
  <c r="I65" i="35"/>
  <c r="D66" i="35"/>
  <c r="E66" i="35"/>
  <c r="F66" i="35"/>
  <c r="G66" i="35"/>
  <c r="H66" i="35"/>
  <c r="I66" i="35"/>
  <c r="D67" i="35"/>
  <c r="E67" i="35"/>
  <c r="F67" i="35"/>
  <c r="G67" i="35"/>
  <c r="H67" i="35"/>
  <c r="I67" i="35"/>
  <c r="D68" i="35"/>
  <c r="E68" i="35"/>
  <c r="F68" i="35"/>
  <c r="G68" i="35"/>
  <c r="H68" i="35"/>
  <c r="I68" i="35"/>
  <c r="D69" i="35"/>
  <c r="E69" i="35"/>
  <c r="F69" i="35"/>
  <c r="G69" i="35"/>
  <c r="H69" i="35"/>
  <c r="I69" i="35"/>
  <c r="D70" i="35"/>
  <c r="E70" i="35"/>
  <c r="F70" i="35"/>
  <c r="G70" i="35"/>
  <c r="H70" i="35"/>
  <c r="I70" i="35"/>
  <c r="D71" i="35"/>
  <c r="E71" i="35"/>
  <c r="F71" i="35"/>
  <c r="G71" i="35"/>
  <c r="H71" i="35"/>
  <c r="I71" i="35"/>
  <c r="D72" i="35"/>
  <c r="E72" i="35"/>
  <c r="F72" i="35"/>
  <c r="G72" i="35"/>
  <c r="H72" i="35"/>
  <c r="I72" i="35"/>
  <c r="D73" i="35"/>
  <c r="E73" i="35"/>
  <c r="F73" i="35"/>
  <c r="G73" i="35"/>
  <c r="H73" i="35"/>
  <c r="I73" i="35"/>
  <c r="D74" i="35"/>
  <c r="E74" i="35"/>
  <c r="F74" i="35"/>
  <c r="G74" i="35"/>
  <c r="H74" i="35"/>
  <c r="I74" i="35"/>
  <c r="D75" i="35"/>
  <c r="E75" i="35"/>
  <c r="F75" i="35"/>
  <c r="G75" i="35"/>
  <c r="H75" i="35"/>
  <c r="I75" i="35"/>
  <c r="D76" i="35"/>
  <c r="E76" i="35"/>
  <c r="F76" i="35"/>
  <c r="G76" i="35"/>
  <c r="H76" i="35"/>
  <c r="I76" i="35"/>
  <c r="D78" i="35"/>
  <c r="E78" i="35"/>
  <c r="F78" i="35"/>
  <c r="G78" i="35"/>
  <c r="H78" i="35"/>
  <c r="I78" i="35"/>
  <c r="D79" i="35"/>
  <c r="E79" i="35"/>
  <c r="F79" i="35"/>
  <c r="G79" i="35"/>
  <c r="H79" i="35"/>
  <c r="I79" i="35"/>
  <c r="D80" i="35"/>
  <c r="E80" i="35"/>
  <c r="F80" i="35"/>
  <c r="G80" i="35"/>
  <c r="H80" i="35"/>
  <c r="I80" i="35"/>
  <c r="D81" i="35"/>
  <c r="E81" i="35"/>
  <c r="F81" i="35"/>
  <c r="G81" i="35"/>
  <c r="H81" i="35"/>
  <c r="I81" i="35"/>
  <c r="I2" i="35"/>
  <c r="H2" i="35"/>
  <c r="G2" i="35"/>
  <c r="F2" i="35"/>
  <c r="E2" i="35"/>
  <c r="D2" i="35"/>
  <c r="A81" i="35"/>
  <c r="A80" i="35"/>
  <c r="A79" i="35"/>
  <c r="A78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</calcChain>
</file>

<file path=xl/sharedStrings.xml><?xml version="1.0" encoding="utf-8"?>
<sst xmlns="http://schemas.openxmlformats.org/spreadsheetml/2006/main" count="79" uniqueCount="54">
  <si>
    <t>character_id</t>
  </si>
  <si>
    <t>character_id</t>
    <phoneticPr fontId="5"/>
  </si>
  <si>
    <t>unit_level</t>
    <phoneticPr fontId="5"/>
  </si>
  <si>
    <t>weight</t>
    <phoneticPr fontId="5"/>
  </si>
  <si>
    <t>name</t>
    <phoneticPr fontId="5"/>
  </si>
  <si>
    <t>drop_label</t>
    <phoneticPr fontId="5"/>
  </si>
  <si>
    <t>rare</t>
    <phoneticPr fontId="5"/>
  </si>
  <si>
    <t>color</t>
    <phoneticPr fontId="5"/>
  </si>
  <si>
    <t>character_type_id</t>
    <phoneticPr fontId="5"/>
  </si>
  <si>
    <t>character_tribe_id</t>
    <phoneticPr fontId="5"/>
  </si>
  <si>
    <t>temp_gacha</t>
    <phoneticPr fontId="5"/>
  </si>
  <si>
    <t>unit_level</t>
  </si>
  <si>
    <t>weight</t>
  </si>
  <si>
    <t>hp_plus</t>
    <phoneticPr fontId="35"/>
  </si>
  <si>
    <t>attack_plus</t>
    <phoneticPr fontId="35"/>
  </si>
  <si>
    <t>defense_plus</t>
    <phoneticPr fontId="35"/>
  </si>
  <si>
    <t>heal_plus</t>
    <phoneticPr fontId="35"/>
  </si>
  <si>
    <t>bug</t>
    <phoneticPr fontId="35"/>
  </si>
  <si>
    <t>hp_plus</t>
  </si>
  <si>
    <t>attack_plus</t>
  </si>
  <si>
    <t>defense_plus</t>
  </si>
  <si>
    <t>heal_plus</t>
  </si>
  <si>
    <t>bug</t>
  </si>
  <si>
    <t>select_table_no</t>
    <phoneticPr fontId="5"/>
  </si>
  <si>
    <t>出力flg</t>
    <rPh sb="0" eb="2">
      <t>シュツリョク</t>
    </rPh>
    <phoneticPr fontId="35"/>
  </si>
  <si>
    <t>接頭語</t>
    <rPh sb="0" eb="3">
      <t>セットウゴ</t>
    </rPh>
    <phoneticPr fontId="35"/>
  </si>
  <si>
    <t>識別子</t>
    <rPh sb="0" eb="3">
      <t>シキベツシ</t>
    </rPh>
    <phoneticPr fontId="35"/>
  </si>
  <si>
    <t>形式</t>
    <rPh sb="0" eb="2">
      <t>ケイシキ</t>
    </rPh>
    <phoneticPr fontId="35"/>
  </si>
  <si>
    <t>出力ファイル名</t>
    <rPh sb="0" eb="2">
      <t>シュツリョク</t>
    </rPh>
    <rPh sb="6" eb="7">
      <t>メイ</t>
    </rPh>
    <phoneticPr fontId="35"/>
  </si>
  <si>
    <t>入力シート名</t>
    <rPh sb="0" eb="2">
      <t>ニュウリョク</t>
    </rPh>
    <rPh sb="5" eb="6">
      <t>メイ</t>
    </rPh>
    <phoneticPr fontId="35"/>
  </si>
  <si>
    <t>出力データ</t>
    <rPh sb="0" eb="2">
      <t>シュツリョク</t>
    </rPh>
    <phoneticPr fontId="35"/>
  </si>
  <si>
    <t>old</t>
    <phoneticPr fontId="5"/>
  </si>
  <si>
    <t>gacha_select_tables_</t>
  </si>
  <si>
    <t>.tmp</t>
    <phoneticPr fontId="35"/>
  </si>
  <si>
    <t>gacha_select_tables</t>
    <phoneticPr fontId="35"/>
  </si>
  <si>
    <t>select_table_no</t>
    <phoneticPr fontId="5"/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</si>
  <si>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</si>
  <si>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gacha_settle_tables</t>
    <phoneticPr fontId="35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</si>
  <si>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</si>
  <si>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gacha_bonus_tables</t>
    <phoneticPr fontId="35"/>
  </si>
  <si>
    <t>bonus_table_no</t>
    <phoneticPr fontId="5"/>
  </si>
  <si>
    <t>gift_id</t>
    <phoneticPr fontId="5"/>
  </si>
  <si>
    <t>gifts_tmp_</t>
    <phoneticPr fontId="5"/>
  </si>
  <si>
    <t>gift_type</t>
    <phoneticPr fontId="5"/>
  </si>
  <si>
    <t>gift_value</t>
    <phoneticPr fontId="5"/>
  </si>
  <si>
    <t>gift_count</t>
    <phoneticPr fontId="5"/>
  </si>
  <si>
    <t>gifts_i18n_</t>
    <phoneticPr fontId="5"/>
  </si>
  <si>
    <t>language</t>
    <phoneticPr fontId="5"/>
  </si>
  <si>
    <t>title</t>
    <phoneticPr fontId="5"/>
  </si>
  <si>
    <t>detail</t>
    <phoneticPr fontId="5"/>
  </si>
  <si>
    <t>message</t>
    <phoneticPr fontId="5"/>
  </si>
  <si>
    <t xml:space="preserve"> </t>
    <phoneticPr fontId="5"/>
  </si>
  <si>
    <t>skip</t>
    <phoneticPr fontId="5"/>
  </si>
  <si>
    <t>個別排出率</t>
    <rPh sb="0" eb="5">
      <t>コベツ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</si>
</sst>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2723">
    <xf numFmtId="0" fontId="0" fillId="0" borderId="0"/>
    <xf numFmtId="0" fontId="4" fillId="0" borderId="0"/>
    <xf numFmtId="0" fontId="6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13" fillId="6" borderId="2" applyNumberFormat="0" applyAlignment="0" applyProtection="0"/>
    <xf numFmtId="0" fontId="14" fillId="7" borderId="0" applyNumberFormat="0" applyBorder="0" applyAlignment="0" applyProtection="0"/>
    <xf numFmtId="0" fontId="15" fillId="8" borderId="3" applyNumberForma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8" fillId="10" borderId="4" applyNumberFormat="0" applyAlignment="0" applyProtection="0"/>
    <xf numFmtId="0" fontId="19" fillId="0" borderId="0" applyNumberFormat="0" applyFill="0" applyBorder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0" fontId="23" fillId="7" borderId="0" applyNumberFormat="0" applyBorder="0" applyAlignment="0" applyProtection="0"/>
    <xf numFmtId="0" fontId="23" fillId="11" borderId="0" applyNumberFormat="0" applyBorder="0" applyAlignment="0" applyProtection="0"/>
    <xf numFmtId="0" fontId="23" fillId="8" borderId="0" applyNumberFormat="0" applyBorder="0" applyAlignment="0" applyProtection="0"/>
    <xf numFmtId="0" fontId="23" fillId="12" borderId="0" applyNumberFormat="0" applyBorder="0" applyAlignment="0" applyProtection="0"/>
    <xf numFmtId="0" fontId="23" fillId="6" borderId="0" applyNumberFormat="0" applyBorder="0" applyAlignment="0" applyProtection="0"/>
    <xf numFmtId="0" fontId="23" fillId="8" borderId="0" applyNumberFormat="0" applyBorder="0" applyAlignment="0" applyProtection="0"/>
    <xf numFmtId="0" fontId="23" fillId="13" borderId="0" applyNumberFormat="0" applyBorder="0" applyAlignment="0" applyProtection="0"/>
    <xf numFmtId="0" fontId="23" fillId="11" borderId="0" applyNumberFormat="0" applyBorder="0" applyAlignment="0" applyProtection="0"/>
    <xf numFmtId="0" fontId="23" fillId="8" borderId="0" applyNumberFormat="0" applyBorder="0" applyAlignment="0" applyProtection="0"/>
    <xf numFmtId="0" fontId="23" fillId="14" borderId="0" applyNumberFormat="0" applyBorder="0" applyAlignment="0" applyProtection="0"/>
    <xf numFmtId="0" fontId="23" fillId="7" borderId="0" applyNumberFormat="0" applyBorder="0" applyAlignment="0" applyProtection="0"/>
    <xf numFmtId="0" fontId="24" fillId="15" borderId="0" applyNumberFormat="0" applyBorder="0" applyAlignment="0" applyProtection="0"/>
    <xf numFmtId="0" fontId="24" fillId="13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5" borderId="0" applyNumberFormat="0" applyBorder="0" applyAlignment="0" applyProtection="0"/>
    <xf numFmtId="0" fontId="24" fillId="7" borderId="0" applyNumberFormat="0" applyBorder="0" applyAlignment="0" applyProtection="0"/>
    <xf numFmtId="0" fontId="16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1" borderId="0" applyNumberFormat="0" applyBorder="0" applyAlignment="0" applyProtection="0"/>
    <xf numFmtId="0" fontId="24" fillId="17" borderId="0" applyNumberFormat="0" applyBorder="0" applyAlignment="0" applyProtection="0"/>
    <xf numFmtId="0" fontId="24" fillId="15" borderId="0" applyNumberFormat="0" applyBorder="0" applyAlignment="0" applyProtection="0"/>
    <xf numFmtId="0" fontId="24" fillId="13" borderId="0" applyNumberFormat="0" applyBorder="0" applyAlignment="0" applyProtection="0"/>
    <xf numFmtId="0" fontId="25" fillId="18" borderId="0" applyNumberFormat="0" applyBorder="0" applyAlignment="0" applyProtection="0"/>
    <xf numFmtId="0" fontId="14" fillId="7" borderId="0" applyNumberFormat="0" applyBorder="0" applyAlignment="0" applyProtection="0"/>
    <xf numFmtId="0" fontId="26" fillId="0" borderId="8" applyNumberFormat="0" applyFill="0" applyAlignment="0" applyProtection="0"/>
    <xf numFmtId="0" fontId="27" fillId="8" borderId="9" applyNumberFormat="0" applyAlignment="0" applyProtection="0"/>
    <xf numFmtId="0" fontId="27" fillId="19" borderId="9" applyNumberFormat="0" applyAlignment="0" applyProtection="0"/>
    <xf numFmtId="0" fontId="15" fillId="7" borderId="3" applyNumberFormat="0" applyAlignment="0" applyProtection="0"/>
    <xf numFmtId="0" fontId="28" fillId="0" borderId="10" applyNumberFormat="0" applyFill="0" applyAlignment="0" applyProtection="0"/>
    <xf numFmtId="0" fontId="29" fillId="19" borderId="3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1" applyNumberFormat="0" applyFill="0" applyAlignment="0" applyProtection="0"/>
    <xf numFmtId="38" fontId="3" fillId="0" borderId="0" applyFont="0" applyFill="0" applyBorder="0" applyAlignment="0" applyProtection="0">
      <alignment vertical="center"/>
    </xf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" fillId="0" borderId="0"/>
    <xf numFmtId="0" fontId="34" fillId="21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36" fillId="0" borderId="0">
      <alignment vertical="center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9" fontId="3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8" fillId="0" borderId="0" xfId="2" applyFont="1" applyAlignment="1">
      <alignment vertical="center"/>
    </xf>
    <xf numFmtId="0" fontId="8" fillId="3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0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12" fillId="5" borderId="0" xfId="2" applyFont="1" applyFill="1" applyAlignment="1">
      <alignment vertical="center"/>
    </xf>
    <xf numFmtId="0" fontId="8" fillId="3" borderId="1" xfId="2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9" fillId="22" borderId="1" xfId="0" applyFont="1" applyFill="1" applyBorder="1"/>
    <xf numFmtId="0" fontId="9" fillId="22" borderId="1" xfId="2698" applyFont="1" applyFill="1" applyBorder="1"/>
    <xf numFmtId="0" fontId="2" fillId="22" borderId="1" xfId="2698" applyFill="1" applyBorder="1"/>
    <xf numFmtId="0" fontId="2" fillId="0" borderId="0" xfId="2698"/>
    <xf numFmtId="0" fontId="2" fillId="0" borderId="1" xfId="2699" applyFont="1" applyBorder="1"/>
    <xf numFmtId="0" fontId="2" fillId="0" borderId="1" xfId="2698" applyBorder="1"/>
    <xf numFmtId="0" fontId="2" fillId="2" borderId="1" xfId="2700" applyFont="1" applyFill="1" applyBorder="1"/>
    <xf numFmtId="0" fontId="2" fillId="2" borderId="1" xfId="2700" applyFill="1" applyBorder="1"/>
    <xf numFmtId="0" fontId="2" fillId="0" borderId="1" xfId="2698" applyFont="1" applyBorder="1"/>
    <xf numFmtId="0" fontId="2" fillId="2" borderId="1" xfId="2698" applyFill="1" applyBorder="1"/>
    <xf numFmtId="10" fontId="8" fillId="3" borderId="1" xfId="2716" applyNumberFormat="1" applyFont="1" applyFill="1" applyBorder="1" applyAlignment="1">
      <alignment vertical="center"/>
    </xf>
  </cellXfs>
  <cellStyles count="272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2716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701"/>
    <cellStyle name="標準 3" xfId="19"/>
    <cellStyle name="標準 3 2" xfId="2700"/>
    <cellStyle name="標準 4" xfId="70"/>
    <cellStyle name="標準 5" xfId="2698"/>
    <cellStyle name="標準 6" xfId="2699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進化素材タイプ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進化素材タイプ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進化素材タイプ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進化素材タイプ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進化素材タイプ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進化素材タイプ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進化素材タイプ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進化素材タイプ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進化素材タイプ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進化素材タイプ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進化素材タイプ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進化素材タイプ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進化素材タイプ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進化素材タイプ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進化素材タイプ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進化素材タイプ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attack</v>
          </cell>
          <cell r="L122" t="str">
            <v>攻撃タイプ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hp</v>
          </cell>
          <cell r="L123" t="str">
            <v>体力タイプ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heal</v>
          </cell>
          <cell r="L124" t="str">
            <v>回復タイプ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守りの果実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technical</v>
          </cell>
          <cell r="L125" t="str">
            <v>テクニカルタイプ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balance</v>
          </cell>
          <cell r="L126" t="str">
            <v>バランスタイプ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none</v>
          </cell>
          <cell r="H331" t="str">
            <v>yellow</v>
          </cell>
          <cell r="I331">
            <v>4</v>
          </cell>
          <cell r="J331" t="str">
            <v>PremiumS</v>
          </cell>
          <cell r="K331" t="str">
            <v>none</v>
          </cell>
          <cell r="L331" t="str">
            <v>タイプなし</v>
          </cell>
          <cell r="M331" t="str">
            <v>human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human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進化素材タイプ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進化素材タイプ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進化素材タイプ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進化素材タイプ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進化素材タイプ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進化素材タイプ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進化素材タイプ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進化素材タイプ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machine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machine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5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5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attack</v>
          </cell>
          <cell r="L463" t="str">
            <v>攻撃タイプ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attack</v>
          </cell>
          <cell r="L464" t="str">
            <v>攻撃タイプ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attack</v>
          </cell>
          <cell r="L465" t="str">
            <v>攻撃タイプ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hp</v>
          </cell>
          <cell r="L470" t="str">
            <v>体力タイプ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hp</v>
          </cell>
          <cell r="L471" t="str">
            <v>体力タイプ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blue</v>
          </cell>
          <cell r="I472">
            <v>5</v>
          </cell>
          <cell r="J472" t="str">
            <v>PremiumS</v>
          </cell>
          <cell r="K472" t="str">
            <v>hp</v>
          </cell>
          <cell r="L472" t="str">
            <v>体力タイプ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ラグランジュ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PremiumSSS</v>
          </cell>
          <cell r="K475" t="str">
            <v>attack</v>
          </cell>
          <cell r="L475" t="str">
            <v>攻撃タイプ</v>
          </cell>
          <cell r="M475" t="str">
            <v>human</v>
          </cell>
        </row>
        <row r="476">
          <cell r="A476">
            <v>475</v>
          </cell>
          <cell r="B476" t="str">
            <v>ja</v>
          </cell>
          <cell r="C476" t="str">
            <v>超越自我 ラグランジュ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PremiumSSS</v>
          </cell>
          <cell r="K476" t="str">
            <v>attack</v>
          </cell>
          <cell r="L476" t="str">
            <v>攻撃タイプ</v>
          </cell>
          <cell r="M476" t="str">
            <v>human</v>
          </cell>
        </row>
        <row r="477">
          <cell r="A477">
            <v>476</v>
          </cell>
          <cell r="B477" t="str">
            <v>ja</v>
          </cell>
          <cell r="C477" t="str">
            <v>重なる世解 シュレディンガー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red</v>
          </cell>
          <cell r="I477">
            <v>5</v>
          </cell>
          <cell r="J477" t="str">
            <v>PremiumSSS</v>
          </cell>
          <cell r="K477" t="str">
            <v>balance</v>
          </cell>
          <cell r="L477" t="str">
            <v>バランスタイプ</v>
          </cell>
          <cell r="M477" t="str">
            <v>human</v>
          </cell>
        </row>
        <row r="478">
          <cell r="A478">
            <v>477</v>
          </cell>
          <cell r="B478" t="str">
            <v>ja</v>
          </cell>
          <cell r="C478" t="str">
            <v>暴創の造物 チューリング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5</v>
          </cell>
          <cell r="J478" t="str">
            <v>PremiumSSS</v>
          </cell>
          <cell r="K478" t="str">
            <v>hp</v>
          </cell>
          <cell r="L478" t="str">
            <v>体力タイプ</v>
          </cell>
          <cell r="M478" t="str">
            <v>human</v>
          </cell>
        </row>
        <row r="479">
          <cell r="A479">
            <v>478</v>
          </cell>
          <cell r="B479" t="str">
            <v>ja</v>
          </cell>
          <cell r="C479" t="str">
            <v>直観の異論 ヘンペル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blue</v>
          </cell>
          <cell r="I479">
            <v>5</v>
          </cell>
          <cell r="J479" t="str">
            <v>PremiumSSS</v>
          </cell>
          <cell r="K479" t="str">
            <v>balance</v>
          </cell>
          <cell r="L479" t="str">
            <v>バランスタイプ</v>
          </cell>
          <cell r="M479" t="str">
            <v>human</v>
          </cell>
        </row>
        <row r="480">
          <cell r="A480">
            <v>479</v>
          </cell>
          <cell r="B480" t="str">
            <v>ja</v>
          </cell>
          <cell r="C480" t="str">
            <v>完然者 ラプラス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PremiumSSS</v>
          </cell>
          <cell r="K480" t="str">
            <v>technical</v>
          </cell>
          <cell r="L480" t="str">
            <v>テクニカルタイプ</v>
          </cell>
          <cell r="M480" t="str">
            <v>human</v>
          </cell>
        </row>
        <row r="481">
          <cell r="A481">
            <v>480</v>
          </cell>
          <cell r="B481" t="str">
            <v>ja</v>
          </cell>
          <cell r="C481" t="str">
            <v>キング・ドライグ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red</v>
          </cell>
          <cell r="I481">
            <v>4</v>
          </cell>
          <cell r="J481" t="str">
            <v>PremiumS</v>
          </cell>
          <cell r="K481" t="str">
            <v>balance</v>
          </cell>
          <cell r="L481" t="str">
            <v>バランスタイプ</v>
          </cell>
          <cell r="M481" t="str">
            <v>dragon</v>
          </cell>
        </row>
        <row r="482">
          <cell r="A482">
            <v>481</v>
          </cell>
          <cell r="B482" t="str">
            <v>ja</v>
          </cell>
          <cell r="C482" t="str">
            <v>緋王 キング・ドライグ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red</v>
          </cell>
          <cell r="I482">
            <v>5</v>
          </cell>
          <cell r="J482" t="str">
            <v>PremiumS</v>
          </cell>
          <cell r="K482" t="str">
            <v>balance</v>
          </cell>
          <cell r="L482" t="str">
            <v>バランスタイプ</v>
          </cell>
          <cell r="M482" t="str">
            <v>dragon</v>
          </cell>
        </row>
        <row r="483">
          <cell r="A483">
            <v>482</v>
          </cell>
          <cell r="B483" t="str">
            <v>ja</v>
          </cell>
          <cell r="C483" t="str">
            <v>ファータ</v>
          </cell>
          <cell r="D483" t="str">
            <v>各属性相性良3・黄・R102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green</v>
          </cell>
          <cell r="I483">
            <v>3</v>
          </cell>
          <cell r="J483" t="str">
            <v>PremiumS</v>
          </cell>
          <cell r="K483" t="str">
            <v>heal</v>
          </cell>
          <cell r="L483" t="str">
            <v>回復タイプ</v>
          </cell>
          <cell r="M483" t="str">
            <v>unknown</v>
          </cell>
        </row>
        <row r="484">
          <cell r="A484">
            <v>483</v>
          </cell>
          <cell r="B484" t="str">
            <v>ja</v>
          </cell>
          <cell r="C484" t="str">
            <v>愛羽妖精 ファータ</v>
          </cell>
          <cell r="D484" t="str">
            <v>各属性相性良3・黄・R103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green</v>
          </cell>
          <cell r="I484">
            <v>4</v>
          </cell>
          <cell r="J484" t="str">
            <v>PremiumS</v>
          </cell>
          <cell r="K484" t="str">
            <v>heal</v>
          </cell>
          <cell r="L484" t="str">
            <v>回復タイプ</v>
          </cell>
          <cell r="M484" t="str">
            <v>unknown</v>
          </cell>
        </row>
        <row r="485">
          <cell r="A485">
            <v>484</v>
          </cell>
          <cell r="B485" t="str">
            <v>ja</v>
          </cell>
          <cell r="C485" t="str">
            <v>時計仕掛けの愛羽妖精 ファータ</v>
          </cell>
          <cell r="D485" t="str">
            <v>各属性相性良3・黄・R104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green</v>
          </cell>
          <cell r="I485">
            <v>5</v>
          </cell>
          <cell r="J485" t="str">
            <v>PremiumS</v>
          </cell>
          <cell r="K485" t="str">
            <v>heal</v>
          </cell>
          <cell r="L485" t="str">
            <v>回復タイプ</v>
          </cell>
          <cell r="M485" t="str">
            <v>unknown</v>
          </cell>
        </row>
        <row r="486">
          <cell r="A486">
            <v>485</v>
          </cell>
          <cell r="B486" t="str">
            <v>ja</v>
          </cell>
          <cell r="C486" t="str">
            <v>ロキ</v>
          </cell>
          <cell r="D486" t="str">
            <v>各属性相性良3・黄・R105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blue</v>
          </cell>
          <cell r="I486">
            <v>4</v>
          </cell>
          <cell r="J486" t="str">
            <v>PremiumS</v>
          </cell>
          <cell r="K486" t="str">
            <v>technical</v>
          </cell>
          <cell r="L486" t="str">
            <v>テクニカルタイプ</v>
          </cell>
          <cell r="M486" t="str">
            <v>god</v>
          </cell>
        </row>
        <row r="487">
          <cell r="A487">
            <v>486</v>
          </cell>
          <cell r="B487" t="str">
            <v>ja</v>
          </cell>
          <cell r="C487" t="str">
            <v>華麗なるサディスト ロキ</v>
          </cell>
          <cell r="D487" t="str">
            <v>各属性相性良3・黄・R106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blue</v>
          </cell>
          <cell r="I487">
            <v>5</v>
          </cell>
          <cell r="J487" t="str">
            <v>PremiumS</v>
          </cell>
          <cell r="K487" t="str">
            <v>technical</v>
          </cell>
          <cell r="L487" t="str">
            <v>テクニカルタイプ</v>
          </cell>
          <cell r="M487" t="str">
            <v>god</v>
          </cell>
        </row>
        <row r="488">
          <cell r="A488">
            <v>487</v>
          </cell>
          <cell r="B488" t="str">
            <v>ja</v>
          </cell>
          <cell r="C488" t="str">
            <v>沢庵宗彭</v>
          </cell>
          <cell r="D488" t="str">
            <v>各属性相性良3・黄・R107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yellow</v>
          </cell>
          <cell r="I488">
            <v>3</v>
          </cell>
          <cell r="J488" t="str">
            <v>PremiumS</v>
          </cell>
          <cell r="K488" t="str">
            <v>attack</v>
          </cell>
          <cell r="L488" t="str">
            <v>攻撃タイプ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魁僧 沢庵宗彭</v>
          </cell>
          <cell r="D489" t="str">
            <v>各属性相性良3・黄・R108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yellow</v>
          </cell>
          <cell r="I489">
            <v>4</v>
          </cell>
          <cell r="J489" t="str">
            <v>PremiumS</v>
          </cell>
          <cell r="K489" t="str">
            <v>attack</v>
          </cell>
          <cell r="L489" t="str">
            <v>攻撃タイプ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 xml:space="preserve">命経死遂 沢庵宗彭 </v>
          </cell>
          <cell r="D490" t="str">
            <v>各属性相性良3・黄・R109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</v>
          </cell>
          <cell r="K490" t="str">
            <v>attack</v>
          </cell>
          <cell r="L490" t="str">
            <v>攻撃タイプ</v>
          </cell>
          <cell r="M49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/>
  </sheetViews>
  <sheetFormatPr baseColWidth="12" defaultRowHeight="18" x14ac:dyDescent="0"/>
  <cols>
    <col min="1" max="1" width="12.83203125" style="15"/>
    <col min="2" max="2" width="18.33203125" style="15" bestFit="1" customWidth="1"/>
    <col min="3" max="4" width="12.83203125" style="15"/>
    <col min="5" max="5" width="24.83203125" style="15" bestFit="1" customWidth="1"/>
    <col min="6" max="6" width="22.1640625" style="15" bestFit="1" customWidth="1"/>
    <col min="7" max="16384" width="12.83203125" style="15"/>
  </cols>
  <sheetData>
    <row r="1" spans="1:15">
      <c r="A1" s="12" t="s">
        <v>24</v>
      </c>
      <c r="B1" s="13" t="s">
        <v>25</v>
      </c>
      <c r="C1" s="13" t="s">
        <v>26</v>
      </c>
      <c r="D1" s="13" t="s">
        <v>27</v>
      </c>
      <c r="E1" s="13" t="s">
        <v>28</v>
      </c>
      <c r="F1" s="13" t="s">
        <v>29</v>
      </c>
      <c r="G1" s="13" t="s">
        <v>30</v>
      </c>
      <c r="H1" s="13"/>
      <c r="I1" s="13"/>
      <c r="J1" s="13"/>
      <c r="K1" s="13"/>
      <c r="L1" s="14"/>
      <c r="M1" s="14"/>
      <c r="N1" s="14"/>
      <c r="O1" s="14"/>
    </row>
    <row r="2" spans="1:15">
      <c r="A2" s="16" t="s">
        <v>31</v>
      </c>
      <c r="B2" s="17" t="s">
        <v>32</v>
      </c>
      <c r="C2" s="17">
        <v>203</v>
      </c>
      <c r="D2" s="17" t="s">
        <v>33</v>
      </c>
      <c r="E2" s="14" t="str">
        <f>B2&amp;C2&amp;D2</f>
        <v>gacha_select_tables_203.tmp</v>
      </c>
      <c r="F2" s="17" t="s">
        <v>34</v>
      </c>
      <c r="G2" s="18" t="s">
        <v>35</v>
      </c>
      <c r="H2" s="19" t="s">
        <v>0</v>
      </c>
      <c r="I2" s="19" t="s">
        <v>11</v>
      </c>
      <c r="J2" s="19" t="s">
        <v>12</v>
      </c>
      <c r="K2" s="19" t="s">
        <v>18</v>
      </c>
      <c r="L2" s="19" t="s">
        <v>19</v>
      </c>
      <c r="M2" s="19" t="s">
        <v>20</v>
      </c>
      <c r="N2" s="19" t="s">
        <v>21</v>
      </c>
      <c r="O2" s="19" t="s">
        <v>22</v>
      </c>
    </row>
    <row r="3" spans="1:15">
      <c r="A3" s="16" t="s">
        <v>52</v>
      </c>
      <c r="B3" s="20" t="s">
        <v>36</v>
      </c>
      <c r="C3" s="17">
        <v>203</v>
      </c>
      <c r="D3" s="17" t="s">
        <v>33</v>
      </c>
      <c r="E3" s="14" t="str">
        <f>B3&amp;C3&amp;D3</f>
        <v>gacha_settle_tables_203.tmp</v>
      </c>
      <c r="F3" s="17" t="s">
        <v>37</v>
      </c>
      <c r="G3" s="18" t="s">
        <v>23</v>
      </c>
      <c r="H3" s="19" t="s">
        <v>0</v>
      </c>
      <c r="I3" s="19" t="s">
        <v>11</v>
      </c>
      <c r="J3" s="19" t="s">
        <v>12</v>
      </c>
      <c r="K3" s="19" t="s">
        <v>18</v>
      </c>
      <c r="L3" s="19" t="s">
        <v>19</v>
      </c>
      <c r="M3" s="19" t="s">
        <v>20</v>
      </c>
      <c r="N3" s="19" t="s">
        <v>21</v>
      </c>
      <c r="O3" s="19" t="s">
        <v>22</v>
      </c>
    </row>
    <row r="4" spans="1:15">
      <c r="A4" s="16" t="s">
        <v>52</v>
      </c>
      <c r="B4" s="20" t="s">
        <v>38</v>
      </c>
      <c r="C4" s="17">
        <v>203</v>
      </c>
      <c r="D4" s="17" t="s">
        <v>33</v>
      </c>
      <c r="E4" s="14" t="str">
        <f>B4&amp;C4&amp;D4</f>
        <v>gacha_bonus_tables_203.tmp</v>
      </c>
      <c r="F4" s="17" t="s">
        <v>39</v>
      </c>
      <c r="G4" s="18" t="s">
        <v>40</v>
      </c>
      <c r="H4" s="18" t="s">
        <v>41</v>
      </c>
      <c r="I4" s="18" t="s">
        <v>3</v>
      </c>
      <c r="J4" s="21"/>
      <c r="K4" s="21"/>
      <c r="L4" s="21"/>
      <c r="M4" s="21"/>
      <c r="N4" s="21"/>
      <c r="O4" s="21"/>
    </row>
    <row r="5" spans="1:15">
      <c r="A5" s="16" t="s">
        <v>52</v>
      </c>
      <c r="B5" s="17" t="s">
        <v>42</v>
      </c>
      <c r="C5" s="17">
        <v>203</v>
      </c>
      <c r="D5" s="17" t="s">
        <v>33</v>
      </c>
      <c r="E5" s="14" t="str">
        <f>B5&amp;C5&amp;D5</f>
        <v>gifts_tmp_203.tmp</v>
      </c>
      <c r="F5" s="17" t="s">
        <v>39</v>
      </c>
      <c r="G5" s="18" t="s">
        <v>41</v>
      </c>
      <c r="H5" s="18" t="s">
        <v>43</v>
      </c>
      <c r="I5" s="18" t="s">
        <v>44</v>
      </c>
      <c r="J5" s="18" t="s">
        <v>44</v>
      </c>
      <c r="K5" s="18" t="s">
        <v>44</v>
      </c>
      <c r="L5" s="18" t="s">
        <v>45</v>
      </c>
      <c r="M5" s="18" t="s">
        <v>45</v>
      </c>
      <c r="N5" s="18" t="s">
        <v>45</v>
      </c>
      <c r="O5" s="17"/>
    </row>
    <row r="6" spans="1:15">
      <c r="A6" s="16" t="s">
        <v>52</v>
      </c>
      <c r="B6" s="17" t="s">
        <v>46</v>
      </c>
      <c r="C6" s="17">
        <v>203</v>
      </c>
      <c r="D6" s="17" t="s">
        <v>33</v>
      </c>
      <c r="E6" s="14" t="str">
        <f>B6&amp;C6&amp;D6</f>
        <v>gifts_i18n_203.tmp</v>
      </c>
      <c r="F6" s="17" t="s">
        <v>39</v>
      </c>
      <c r="G6" s="18" t="s">
        <v>41</v>
      </c>
      <c r="H6" s="18" t="s">
        <v>47</v>
      </c>
      <c r="I6" s="18" t="s">
        <v>48</v>
      </c>
      <c r="J6" s="18" t="s">
        <v>49</v>
      </c>
      <c r="K6" s="18" t="s">
        <v>50</v>
      </c>
      <c r="L6" s="18" t="s">
        <v>51</v>
      </c>
      <c r="M6" s="18"/>
      <c r="N6" s="18"/>
      <c r="O6" s="17"/>
    </row>
  </sheetData>
  <phoneticPr fontId="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00FF"/>
    <outlinePr summaryBelow="0" summaryRight="0"/>
  </sheetPr>
  <dimension ref="A1:Q81"/>
  <sheetViews>
    <sheetView showGridLines="0" tabSelected="1" workbookViewId="0">
      <pane ySplit="1" topLeftCell="A2" activePane="bottomLeft" state="frozen"/>
      <selection pane="bottomLeft" activeCell="L2" sqref="L2:L81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5.33203125" style="1" bestFit="1" customWidth="1"/>
    <col min="4" max="4" width="24" style="1" bestFit="1" customWidth="1" outlineLevel="1"/>
    <col min="5" max="5" width="13.6640625" style="1" bestFit="1" customWidth="1" outlineLevel="1"/>
    <col min="6" max="6" width="9.6640625" style="1" bestFit="1" customWidth="1" outlineLevel="1"/>
    <col min="7" max="7" width="10.5" style="4" bestFit="1" customWidth="1" outlineLevel="1"/>
    <col min="8" max="8" width="18.83203125" style="1" bestFit="1" customWidth="1" outlineLevel="1"/>
    <col min="9" max="9" width="19" style="1" bestFit="1" customWidth="1" outlineLevel="1"/>
    <col min="10" max="10" width="13.1640625" style="1" bestFit="1" customWidth="1"/>
    <col min="11" max="12" width="11.33203125" style="1" bestFit="1" customWidth="1"/>
    <col min="13" max="13" width="6.5" style="1" bestFit="1" customWidth="1"/>
    <col min="14" max="14" width="9.33203125" style="1" bestFit="1" customWidth="1"/>
    <col min="15" max="15" width="10.33203125" style="1" bestFit="1" customWidth="1"/>
    <col min="16" max="16" width="7.6640625" style="1" bestFit="1" customWidth="1"/>
    <col min="17" max="17" width="4" style="1" bestFit="1" customWidth="1"/>
    <col min="18" max="16384" width="12.83203125" style="1"/>
  </cols>
  <sheetData>
    <row r="1" spans="1:17" ht="21" customHeight="1">
      <c r="A1" s="8" t="s">
        <v>10</v>
      </c>
      <c r="B1" s="3" t="s">
        <v>23</v>
      </c>
      <c r="C1" s="3" t="s">
        <v>1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3" t="s">
        <v>2</v>
      </c>
      <c r="K1" s="3" t="s">
        <v>3</v>
      </c>
      <c r="L1" s="2" t="s">
        <v>53</v>
      </c>
      <c r="M1" s="11" t="s">
        <v>13</v>
      </c>
      <c r="N1" s="11" t="s">
        <v>14</v>
      </c>
      <c r="O1" s="11" t="s">
        <v>15</v>
      </c>
      <c r="P1" s="11" t="s">
        <v>16</v>
      </c>
      <c r="Q1" s="11" t="s">
        <v>17</v>
      </c>
    </row>
    <row r="2" spans="1:17" ht="21" customHeight="1">
      <c r="A2" s="8" t="str">
        <f t="shared" ref="A2:A33" si="0">B2&amp;"_"&amp;C2&amp;"_"&amp;J2</f>
        <v>203_1_1</v>
      </c>
      <c r="B2" s="5">
        <v>203</v>
      </c>
      <c r="C2" s="7">
        <v>1</v>
      </c>
      <c r="D2" s="9" t="str">
        <f ca="1">VLOOKUP($C2,OFFSET([1]characters!$A$1,0,0,COUNTA([1]characters!$A:$A),MATCH(D$1,[1]characters!$1:$1,0)-MATCH($C$1,[1]characters!$1:$1,0)+1),MATCH(D$1,[1]characters!$1:$1,0)-MATCH($C$1,[1]characters!$1:$1,0)+1,FALSE)</f>
        <v>ジェリー</v>
      </c>
      <c r="E2" s="9" t="str">
        <f ca="1">VLOOKUP($C2,OFFSET([1]characters!$A$1,0,0,COUNTA([1]characters!$A:$A),MATCH(E$1,[1]characters!$1:$1,0)-MATCH($C$1,[1]characters!$1:$1,0)+1),MATCH(E$1,[1]characters!$1:$1,0)-MATCH($C$1,[1]characters!$1:$1,0)+1,FALSE)</f>
        <v>Drop1T</v>
      </c>
      <c r="F2" s="9">
        <f ca="1">VLOOKUP($C2,OFFSET([1]characters!$A$1,0,0,COUNTA([1]characters!$A:$A),MATCH(F$1,[1]characters!$1:$1,0)-MATCH($C$1,[1]characters!$1:$1,0)+1),MATCH(F$1,[1]characters!$1:$1,0)-MATCH($C$1,[1]characters!$1:$1,0)+1,FALSE)</f>
        <v>1</v>
      </c>
      <c r="G2" s="9" t="str">
        <f ca="1">VLOOKUP($C2,OFFSET([1]characters!$A$1,0,0,COUNTA([1]characters!$A:$A),MATCH(G$1,[1]characters!$1:$1,0)-MATCH($C$1,[1]characters!$1:$1,0)+1),MATCH(G$1,[1]characters!$1:$1,0)-MATCH($C$1,[1]characters!$1:$1,0)+1,FALSE)</f>
        <v>red</v>
      </c>
      <c r="H2" s="9" t="str">
        <f>VLOOKUP(C2,[1]characters!$A:$K,11,FALSE)</f>
        <v>attack</v>
      </c>
      <c r="I2" s="9" t="str">
        <f>VLOOKUP(C2,[1]characters!$A:$M,13,FALSE)</f>
        <v>unknown</v>
      </c>
      <c r="J2" s="6">
        <v>1</v>
      </c>
      <c r="K2" s="6">
        <v>0</v>
      </c>
      <c r="L2" s="22">
        <f>K2/SUM($K$2:$K$81)</f>
        <v>0</v>
      </c>
      <c r="M2" s="10">
        <v>0</v>
      </c>
      <c r="N2" s="10">
        <v>0</v>
      </c>
      <c r="O2" s="10">
        <v>0</v>
      </c>
      <c r="P2" s="10">
        <v>0</v>
      </c>
      <c r="Q2" s="10">
        <v>1</v>
      </c>
    </row>
    <row r="3" spans="1:17" ht="21" customHeight="1">
      <c r="A3" s="8" t="str">
        <f t="shared" si="0"/>
        <v>203_3_1</v>
      </c>
      <c r="B3" s="5">
        <v>203</v>
      </c>
      <c r="C3" s="7">
        <v>3</v>
      </c>
      <c r="D3" s="9" t="str">
        <f ca="1">VLOOKUP($C3,OFFSET([1]characters!$A$1,0,0,COUNTA([1]characters!$A:$A),MATCH(D$1,[1]characters!$1:$1,0)-MATCH($C$1,[1]characters!$1:$1,0)+1),MATCH(D$1,[1]characters!$1:$1,0)-MATCH($C$1,[1]characters!$1:$1,0)+1,FALSE)</f>
        <v>エージェント ジョー</v>
      </c>
      <c r="E3" s="9" t="str">
        <f ca="1">VLOOKUP($C3,OFFSET([1]characters!$A$1,0,0,COUNTA([1]characters!$A:$A),MATCH(E$1,[1]characters!$1:$1,0)-MATCH($C$1,[1]characters!$1:$1,0)+1),MATCH(E$1,[1]characters!$1:$1,0)-MATCH($C$1,[1]characters!$1:$1,0)+1,FALSE)</f>
        <v>Drop1T</v>
      </c>
      <c r="F3" s="9">
        <f ca="1">VLOOKUP($C3,OFFSET([1]characters!$A$1,0,0,COUNTA([1]characters!$A:$A),MATCH(F$1,[1]characters!$1:$1,0)-MATCH($C$1,[1]characters!$1:$1,0)+1),MATCH(F$1,[1]characters!$1:$1,0)-MATCH($C$1,[1]characters!$1:$1,0)+1,FALSE)</f>
        <v>1</v>
      </c>
      <c r="G3" s="9" t="str">
        <f ca="1">VLOOKUP($C3,OFFSET([1]characters!$A$1,0,0,COUNTA([1]characters!$A:$A),MATCH(G$1,[1]characters!$1:$1,0)-MATCH($C$1,[1]characters!$1:$1,0)+1),MATCH(G$1,[1]characters!$1:$1,0)-MATCH($C$1,[1]characters!$1:$1,0)+1,FALSE)</f>
        <v>green</v>
      </c>
      <c r="H3" s="9" t="str">
        <f>VLOOKUP(C3,[1]characters!$A:$K,11,FALSE)</f>
        <v>balance</v>
      </c>
      <c r="I3" s="9" t="str">
        <f>VLOOKUP(C3,[1]characters!$A:$M,13,FALSE)</f>
        <v>unknown</v>
      </c>
      <c r="J3" s="6">
        <v>1</v>
      </c>
      <c r="K3" s="6">
        <v>0</v>
      </c>
      <c r="L3" s="22">
        <f t="shared" ref="L3:L66" si="1">K3/SUM($K$2:$K$81)</f>
        <v>0</v>
      </c>
      <c r="M3" s="10">
        <v>0</v>
      </c>
      <c r="N3" s="10">
        <v>0</v>
      </c>
      <c r="O3" s="10">
        <v>0</v>
      </c>
      <c r="P3" s="10">
        <v>0</v>
      </c>
      <c r="Q3" s="10">
        <v>1</v>
      </c>
    </row>
    <row r="4" spans="1:17" ht="21" customHeight="1">
      <c r="A4" s="8" t="str">
        <f t="shared" si="0"/>
        <v>203_5_1</v>
      </c>
      <c r="B4" s="5">
        <v>203</v>
      </c>
      <c r="C4" s="7">
        <v>5</v>
      </c>
      <c r="D4" s="9" t="str">
        <f ca="1">VLOOKUP($C4,OFFSET([1]characters!$A$1,0,0,COUNTA([1]characters!$A:$A),MATCH(D$1,[1]characters!$1:$1,0)-MATCH($C$1,[1]characters!$1:$1,0)+1),MATCH(D$1,[1]characters!$1:$1,0)-MATCH($C$1,[1]characters!$1:$1,0)+1,FALSE)</f>
        <v>パトドッグ ポチ</v>
      </c>
      <c r="E4" s="9" t="str">
        <f ca="1">VLOOKUP($C4,OFFSET([1]characters!$A$1,0,0,COUNTA([1]characters!$A:$A),MATCH(E$1,[1]characters!$1:$1,0)-MATCH($C$1,[1]characters!$1:$1,0)+1),MATCH(E$1,[1]characters!$1:$1,0)-MATCH($C$1,[1]characters!$1:$1,0)+1,FALSE)</f>
        <v>Drop1T</v>
      </c>
      <c r="F4" s="9">
        <f ca="1">VLOOKUP($C4,OFFSET([1]characters!$A$1,0,0,COUNTA([1]characters!$A:$A),MATCH(F$1,[1]characters!$1:$1,0)-MATCH($C$1,[1]characters!$1:$1,0)+1),MATCH(F$1,[1]characters!$1:$1,0)-MATCH($C$1,[1]characters!$1:$1,0)+1,FALSE)</f>
        <v>1</v>
      </c>
      <c r="G4" s="9" t="str">
        <f ca="1">VLOOKUP($C4,OFFSET([1]characters!$A$1,0,0,COUNTA([1]characters!$A:$A),MATCH(G$1,[1]characters!$1:$1,0)-MATCH($C$1,[1]characters!$1:$1,0)+1),MATCH(G$1,[1]characters!$1:$1,0)-MATCH($C$1,[1]characters!$1:$1,0)+1,FALSE)</f>
        <v>blue</v>
      </c>
      <c r="H4" s="9" t="str">
        <f>VLOOKUP(C4,[1]characters!$A:$K,11,FALSE)</f>
        <v>heal</v>
      </c>
      <c r="I4" s="9" t="str">
        <f>VLOOKUP(C4,[1]characters!$A:$M,13,FALSE)</f>
        <v>unknown</v>
      </c>
      <c r="J4" s="6">
        <v>1</v>
      </c>
      <c r="K4" s="6">
        <v>0</v>
      </c>
      <c r="L4" s="22">
        <f t="shared" si="1"/>
        <v>0</v>
      </c>
      <c r="M4" s="10">
        <v>0</v>
      </c>
      <c r="N4" s="10">
        <v>0</v>
      </c>
      <c r="O4" s="10">
        <v>0</v>
      </c>
      <c r="P4" s="10">
        <v>0</v>
      </c>
      <c r="Q4" s="10">
        <v>1</v>
      </c>
    </row>
    <row r="5" spans="1:17" ht="21" customHeight="1">
      <c r="A5" s="8" t="str">
        <f t="shared" si="0"/>
        <v>203_7_1</v>
      </c>
      <c r="B5" s="5">
        <v>203</v>
      </c>
      <c r="C5" s="7">
        <v>7</v>
      </c>
      <c r="D5" s="9" t="str">
        <f ca="1">VLOOKUP($C5,OFFSET([1]characters!$A$1,0,0,COUNTA([1]characters!$A:$A),MATCH(D$1,[1]characters!$1:$1,0)-MATCH($C$1,[1]characters!$1:$1,0)+1),MATCH(D$1,[1]characters!$1:$1,0)-MATCH($C$1,[1]characters!$1:$1,0)+1,FALSE)</f>
        <v>エレキポット</v>
      </c>
      <c r="E5" s="9" t="str">
        <f ca="1">VLOOKUP($C5,OFFSET([1]characters!$A$1,0,0,COUNTA([1]characters!$A:$A),MATCH(E$1,[1]characters!$1:$1,0)-MATCH($C$1,[1]characters!$1:$1,0)+1),MATCH(E$1,[1]characters!$1:$1,0)-MATCH($C$1,[1]characters!$1:$1,0)+1,FALSE)</f>
        <v>Drop1T</v>
      </c>
      <c r="F5" s="9">
        <f ca="1">VLOOKUP($C5,OFFSET([1]characters!$A$1,0,0,COUNTA([1]characters!$A:$A),MATCH(F$1,[1]characters!$1:$1,0)-MATCH($C$1,[1]characters!$1:$1,0)+1),MATCH(F$1,[1]characters!$1:$1,0)-MATCH($C$1,[1]characters!$1:$1,0)+1,FALSE)</f>
        <v>1</v>
      </c>
      <c r="G5" s="9" t="str">
        <f ca="1">VLOOKUP($C5,OFFSET([1]characters!$A$1,0,0,COUNTA([1]characters!$A:$A),MATCH(G$1,[1]characters!$1:$1,0)-MATCH($C$1,[1]characters!$1:$1,0)+1),MATCH(G$1,[1]characters!$1:$1,0)-MATCH($C$1,[1]characters!$1:$1,0)+1,FALSE)</f>
        <v>yellow</v>
      </c>
      <c r="H5" s="9" t="str">
        <f>VLOOKUP(C5,[1]characters!$A:$K,11,FALSE)</f>
        <v>attack</v>
      </c>
      <c r="I5" s="9" t="str">
        <f>VLOOKUP(C5,[1]characters!$A:$M,13,FALSE)</f>
        <v>unknown</v>
      </c>
      <c r="J5" s="6">
        <v>1</v>
      </c>
      <c r="K5" s="6">
        <v>0</v>
      </c>
      <c r="L5" s="22">
        <f t="shared" si="1"/>
        <v>0</v>
      </c>
      <c r="M5" s="10">
        <v>0</v>
      </c>
      <c r="N5" s="10">
        <v>0</v>
      </c>
      <c r="O5" s="10">
        <v>0</v>
      </c>
      <c r="P5" s="10">
        <v>0</v>
      </c>
      <c r="Q5" s="10">
        <v>1</v>
      </c>
    </row>
    <row r="6" spans="1:17" ht="21" customHeight="1">
      <c r="A6" s="8" t="str">
        <f t="shared" si="0"/>
        <v>203_9_1</v>
      </c>
      <c r="B6" s="5">
        <v>203</v>
      </c>
      <c r="C6" s="7">
        <v>9</v>
      </c>
      <c r="D6" s="9" t="str">
        <f ca="1">VLOOKUP($C6,OFFSET([1]characters!$A$1,0,0,COUNTA([1]characters!$A:$A),MATCH(D$1,[1]characters!$1:$1,0)-MATCH($C$1,[1]characters!$1:$1,0)+1),MATCH(D$1,[1]characters!$1:$1,0)-MATCH($C$1,[1]characters!$1:$1,0)+1,FALSE)</f>
        <v>ブレット</v>
      </c>
      <c r="E6" s="9" t="str">
        <f ca="1">VLOOKUP($C6,OFFSET([1]characters!$A$1,0,0,COUNTA([1]characters!$A:$A),MATCH(E$1,[1]characters!$1:$1,0)-MATCH($C$1,[1]characters!$1:$1,0)+1),MATCH(E$1,[1]characters!$1:$1,0)-MATCH($C$1,[1]characters!$1:$1,0)+1,FALSE)</f>
        <v>Drop1W</v>
      </c>
      <c r="F6" s="9">
        <f ca="1">VLOOKUP($C6,OFFSET([1]characters!$A$1,0,0,COUNTA([1]characters!$A:$A),MATCH(F$1,[1]characters!$1:$1,0)-MATCH($C$1,[1]characters!$1:$1,0)+1),MATCH(F$1,[1]characters!$1:$1,0)-MATCH($C$1,[1]characters!$1:$1,0)+1,FALSE)</f>
        <v>1</v>
      </c>
      <c r="G6" s="9" t="str">
        <f ca="1">VLOOKUP($C6,OFFSET([1]characters!$A$1,0,0,COUNTA([1]characters!$A:$A),MATCH(G$1,[1]characters!$1:$1,0)-MATCH($C$1,[1]characters!$1:$1,0)+1),MATCH(G$1,[1]characters!$1:$1,0)-MATCH($C$1,[1]characters!$1:$1,0)+1,FALSE)</f>
        <v>red</v>
      </c>
      <c r="H6" s="9" t="str">
        <f>VLOOKUP(C6,[1]characters!$A:$K,11,FALSE)</f>
        <v>attack</v>
      </c>
      <c r="I6" s="9" t="str">
        <f>VLOOKUP(C6,[1]characters!$A:$M,13,FALSE)</f>
        <v>animal</v>
      </c>
      <c r="J6" s="6">
        <v>1</v>
      </c>
      <c r="K6" s="6">
        <v>0</v>
      </c>
      <c r="L6" s="22">
        <f t="shared" si="1"/>
        <v>0</v>
      </c>
      <c r="M6" s="10">
        <v>0</v>
      </c>
      <c r="N6" s="10">
        <v>0</v>
      </c>
      <c r="O6" s="10">
        <v>0</v>
      </c>
      <c r="P6" s="10">
        <v>0</v>
      </c>
      <c r="Q6" s="10">
        <v>1</v>
      </c>
    </row>
    <row r="7" spans="1:17" ht="21" customHeight="1">
      <c r="A7" s="8" t="str">
        <f t="shared" si="0"/>
        <v>203_11_1</v>
      </c>
      <c r="B7" s="5">
        <v>203</v>
      </c>
      <c r="C7" s="7">
        <v>11</v>
      </c>
      <c r="D7" s="9" t="str">
        <f ca="1">VLOOKUP($C7,OFFSET([1]characters!$A$1,0,0,COUNTA([1]characters!$A:$A),MATCH(D$1,[1]characters!$1:$1,0)-MATCH($C$1,[1]characters!$1:$1,0)+1),MATCH(D$1,[1]characters!$1:$1,0)-MATCH($C$1,[1]characters!$1:$1,0)+1,FALSE)</f>
        <v>マグリット</v>
      </c>
      <c r="E7" s="9" t="str">
        <f ca="1">VLOOKUP($C7,OFFSET([1]characters!$A$1,0,0,COUNTA([1]characters!$A:$A),MATCH(E$1,[1]characters!$1:$1,0)-MATCH($C$1,[1]characters!$1:$1,0)+1),MATCH(E$1,[1]characters!$1:$1,0)-MATCH($C$1,[1]characters!$1:$1,0)+1,FALSE)</f>
        <v>Drop1W</v>
      </c>
      <c r="F7" s="9">
        <f ca="1">VLOOKUP($C7,OFFSET([1]characters!$A$1,0,0,COUNTA([1]characters!$A:$A),MATCH(F$1,[1]characters!$1:$1,0)-MATCH($C$1,[1]characters!$1:$1,0)+1),MATCH(F$1,[1]characters!$1:$1,0)-MATCH($C$1,[1]characters!$1:$1,0)+1,FALSE)</f>
        <v>1</v>
      </c>
      <c r="G7" s="9" t="str">
        <f ca="1">VLOOKUP($C7,OFFSET([1]characters!$A$1,0,0,COUNTA([1]characters!$A:$A),MATCH(G$1,[1]characters!$1:$1,0)-MATCH($C$1,[1]characters!$1:$1,0)+1),MATCH(G$1,[1]characters!$1:$1,0)-MATCH($C$1,[1]characters!$1:$1,0)+1,FALSE)</f>
        <v>green</v>
      </c>
      <c r="H7" s="9" t="str">
        <f>VLOOKUP(C7,[1]characters!$A:$K,11,FALSE)</f>
        <v>heal</v>
      </c>
      <c r="I7" s="9" t="str">
        <f>VLOOKUP(C7,[1]characters!$A:$M,13,FALSE)</f>
        <v>animal</v>
      </c>
      <c r="J7" s="6">
        <v>1</v>
      </c>
      <c r="K7" s="6">
        <v>0</v>
      </c>
      <c r="L7" s="22">
        <f t="shared" si="1"/>
        <v>0</v>
      </c>
      <c r="M7" s="10">
        <v>0</v>
      </c>
      <c r="N7" s="10">
        <v>0</v>
      </c>
      <c r="O7" s="10">
        <v>0</v>
      </c>
      <c r="P7" s="10">
        <v>0</v>
      </c>
      <c r="Q7" s="10">
        <v>1</v>
      </c>
    </row>
    <row r="8" spans="1:17" ht="21" customHeight="1">
      <c r="A8" s="8" t="str">
        <f t="shared" si="0"/>
        <v>203_13_1</v>
      </c>
      <c r="B8" s="5">
        <v>203</v>
      </c>
      <c r="C8" s="7">
        <v>13</v>
      </c>
      <c r="D8" s="9" t="str">
        <f ca="1">VLOOKUP($C8,OFFSET([1]characters!$A$1,0,0,COUNTA([1]characters!$A:$A),MATCH(D$1,[1]characters!$1:$1,0)-MATCH($C$1,[1]characters!$1:$1,0)+1),MATCH(D$1,[1]characters!$1:$1,0)-MATCH($C$1,[1]characters!$1:$1,0)+1,FALSE)</f>
        <v>ミミ</v>
      </c>
      <c r="E8" s="9" t="str">
        <f ca="1">VLOOKUP($C8,OFFSET([1]characters!$A$1,0,0,COUNTA([1]characters!$A:$A),MATCH(E$1,[1]characters!$1:$1,0)-MATCH($C$1,[1]characters!$1:$1,0)+1),MATCH(E$1,[1]characters!$1:$1,0)-MATCH($C$1,[1]characters!$1:$1,0)+1,FALSE)</f>
        <v>Drop1W</v>
      </c>
      <c r="F8" s="9">
        <f ca="1">VLOOKUP($C8,OFFSET([1]characters!$A$1,0,0,COUNTA([1]characters!$A:$A),MATCH(F$1,[1]characters!$1:$1,0)-MATCH($C$1,[1]characters!$1:$1,0)+1),MATCH(F$1,[1]characters!$1:$1,0)-MATCH($C$1,[1]characters!$1:$1,0)+1,FALSE)</f>
        <v>1</v>
      </c>
      <c r="G8" s="9" t="str">
        <f ca="1">VLOOKUP($C8,OFFSET([1]characters!$A$1,0,0,COUNTA([1]characters!$A:$A),MATCH(G$1,[1]characters!$1:$1,0)-MATCH($C$1,[1]characters!$1:$1,0)+1),MATCH(G$1,[1]characters!$1:$1,0)-MATCH($C$1,[1]characters!$1:$1,0)+1,FALSE)</f>
        <v>yellow</v>
      </c>
      <c r="H8" s="9" t="str">
        <f>VLOOKUP(C8,[1]characters!$A:$K,11,FALSE)</f>
        <v>attack</v>
      </c>
      <c r="I8" s="9" t="str">
        <f>VLOOKUP(C8,[1]characters!$A:$M,13,FALSE)</f>
        <v>animal</v>
      </c>
      <c r="J8" s="6">
        <v>1</v>
      </c>
      <c r="K8" s="6">
        <v>0</v>
      </c>
      <c r="L8" s="22">
        <f t="shared" si="1"/>
        <v>0</v>
      </c>
      <c r="M8" s="10">
        <v>0</v>
      </c>
      <c r="N8" s="10">
        <v>0</v>
      </c>
      <c r="O8" s="10">
        <v>0</v>
      </c>
      <c r="P8" s="10">
        <v>0</v>
      </c>
      <c r="Q8" s="10">
        <v>1</v>
      </c>
    </row>
    <row r="9" spans="1:17" ht="21" customHeight="1">
      <c r="A9" s="8" t="str">
        <f t="shared" si="0"/>
        <v>203_15_1</v>
      </c>
      <c r="B9" s="5">
        <v>203</v>
      </c>
      <c r="C9" s="7">
        <v>15</v>
      </c>
      <c r="D9" s="9" t="str">
        <f ca="1">VLOOKUP($C9,OFFSET([1]characters!$A$1,0,0,COUNTA([1]characters!$A:$A),MATCH(D$1,[1]characters!$1:$1,0)-MATCH($C$1,[1]characters!$1:$1,0)+1),MATCH(D$1,[1]characters!$1:$1,0)-MATCH($C$1,[1]characters!$1:$1,0)+1,FALSE)</f>
        <v>アカネ</v>
      </c>
      <c r="E9" s="9" t="str">
        <f ca="1">VLOOKUP($C9,OFFSET([1]characters!$A$1,0,0,COUNTA([1]characters!$A:$A),MATCH(E$1,[1]characters!$1:$1,0)-MATCH($C$1,[1]characters!$1:$1,0)+1),MATCH(E$1,[1]characters!$1:$1,0)-MATCH($C$1,[1]characters!$1:$1,0)+1,FALSE)</f>
        <v>Drop1W</v>
      </c>
      <c r="F9" s="9">
        <f ca="1">VLOOKUP($C9,OFFSET([1]characters!$A$1,0,0,COUNTA([1]characters!$A:$A),MATCH(F$1,[1]characters!$1:$1,0)-MATCH($C$1,[1]characters!$1:$1,0)+1),MATCH(F$1,[1]characters!$1:$1,0)-MATCH($C$1,[1]characters!$1:$1,0)+1,FALSE)</f>
        <v>1</v>
      </c>
      <c r="G9" s="9" t="str">
        <f ca="1">VLOOKUP($C9,OFFSET([1]characters!$A$1,0,0,COUNTA([1]characters!$A:$A),MATCH(G$1,[1]characters!$1:$1,0)-MATCH($C$1,[1]characters!$1:$1,0)+1),MATCH(G$1,[1]characters!$1:$1,0)-MATCH($C$1,[1]characters!$1:$1,0)+1,FALSE)</f>
        <v>red</v>
      </c>
      <c r="H9" s="9" t="str">
        <f>VLOOKUP(C9,[1]characters!$A:$K,11,FALSE)</f>
        <v>balance</v>
      </c>
      <c r="I9" s="9" t="str">
        <f>VLOOKUP(C9,[1]characters!$A:$M,13,FALSE)</f>
        <v>human</v>
      </c>
      <c r="J9" s="6">
        <v>1</v>
      </c>
      <c r="K9" s="6">
        <v>0</v>
      </c>
      <c r="L9" s="22">
        <f t="shared" si="1"/>
        <v>0</v>
      </c>
      <c r="M9" s="10">
        <v>0</v>
      </c>
      <c r="N9" s="10">
        <v>0</v>
      </c>
      <c r="O9" s="10">
        <v>0</v>
      </c>
      <c r="P9" s="10">
        <v>0</v>
      </c>
      <c r="Q9" s="10">
        <v>1</v>
      </c>
    </row>
    <row r="10" spans="1:17" ht="21" customHeight="1">
      <c r="A10" s="8" t="str">
        <f t="shared" si="0"/>
        <v>203_17_1</v>
      </c>
      <c r="B10" s="5">
        <v>203</v>
      </c>
      <c r="C10" s="7">
        <v>17</v>
      </c>
      <c r="D10" s="9" t="str">
        <f ca="1">VLOOKUP($C10,OFFSET([1]characters!$A$1,0,0,COUNTA([1]characters!$A:$A),MATCH(D$1,[1]characters!$1:$1,0)-MATCH($C$1,[1]characters!$1:$1,0)+1),MATCH(D$1,[1]characters!$1:$1,0)-MATCH($C$1,[1]characters!$1:$1,0)+1,FALSE)</f>
        <v>リム</v>
      </c>
      <c r="E10" s="9" t="str">
        <f ca="1">VLOOKUP($C10,OFFSET([1]characters!$A$1,0,0,COUNTA([1]characters!$A:$A),MATCH(E$1,[1]characters!$1:$1,0)-MATCH($C$1,[1]characters!$1:$1,0)+1),MATCH(E$1,[1]characters!$1:$1,0)-MATCH($C$1,[1]characters!$1:$1,0)+1,FALSE)</f>
        <v>Drop1W</v>
      </c>
      <c r="F10" s="9">
        <f ca="1">VLOOKUP($C10,OFFSET([1]characters!$A$1,0,0,COUNTA([1]characters!$A:$A),MATCH(F$1,[1]characters!$1:$1,0)-MATCH($C$1,[1]characters!$1:$1,0)+1),MATCH(F$1,[1]characters!$1:$1,0)-MATCH($C$1,[1]characters!$1:$1,0)+1,FALSE)</f>
        <v>1</v>
      </c>
      <c r="G10" s="9" t="str">
        <f ca="1">VLOOKUP($C10,OFFSET([1]characters!$A$1,0,0,COUNTA([1]characters!$A:$A),MATCH(G$1,[1]characters!$1:$1,0)-MATCH($C$1,[1]characters!$1:$1,0)+1),MATCH(G$1,[1]characters!$1:$1,0)-MATCH($C$1,[1]characters!$1:$1,0)+1,FALSE)</f>
        <v>blue</v>
      </c>
      <c r="H10" s="9" t="str">
        <f>VLOOKUP(C10,[1]characters!$A:$K,11,FALSE)</f>
        <v>balance</v>
      </c>
      <c r="I10" s="9" t="str">
        <f>VLOOKUP(C10,[1]characters!$A:$M,13,FALSE)</f>
        <v>human</v>
      </c>
      <c r="J10" s="6">
        <v>1</v>
      </c>
      <c r="K10" s="6">
        <v>0</v>
      </c>
      <c r="L10" s="22">
        <f t="shared" si="1"/>
        <v>0</v>
      </c>
      <c r="M10" s="10">
        <v>0</v>
      </c>
      <c r="N10" s="10">
        <v>0</v>
      </c>
      <c r="O10" s="10">
        <v>0</v>
      </c>
      <c r="P10" s="10">
        <v>0</v>
      </c>
      <c r="Q10" s="10">
        <v>1</v>
      </c>
    </row>
    <row r="11" spans="1:17" ht="21" customHeight="1">
      <c r="A11" s="8" t="str">
        <f t="shared" si="0"/>
        <v>203_19_1</v>
      </c>
      <c r="B11" s="5">
        <v>203</v>
      </c>
      <c r="C11" s="7">
        <v>19</v>
      </c>
      <c r="D11" s="9" t="str">
        <f ca="1">VLOOKUP($C11,OFFSET([1]characters!$A$1,0,0,COUNTA([1]characters!$A:$A),MATCH(D$1,[1]characters!$1:$1,0)-MATCH($C$1,[1]characters!$1:$1,0)+1),MATCH(D$1,[1]characters!$1:$1,0)-MATCH($C$1,[1]characters!$1:$1,0)+1,FALSE)</f>
        <v>ティンク</v>
      </c>
      <c r="E11" s="9" t="str">
        <f ca="1">VLOOKUP($C11,OFFSET([1]characters!$A$1,0,0,COUNTA([1]characters!$A:$A),MATCH(E$1,[1]characters!$1:$1,0)-MATCH($C$1,[1]characters!$1:$1,0)+1),MATCH(E$1,[1]characters!$1:$1,0)-MATCH($C$1,[1]characters!$1:$1,0)+1,FALSE)</f>
        <v>Drop1W</v>
      </c>
      <c r="F11" s="9">
        <f ca="1">VLOOKUP($C11,OFFSET([1]characters!$A$1,0,0,COUNTA([1]characters!$A:$A),MATCH(F$1,[1]characters!$1:$1,0)-MATCH($C$1,[1]characters!$1:$1,0)+1),MATCH(F$1,[1]characters!$1:$1,0)-MATCH($C$1,[1]characters!$1:$1,0)+1,FALSE)</f>
        <v>1</v>
      </c>
      <c r="G11" s="9" t="str">
        <f ca="1">VLOOKUP($C11,OFFSET([1]characters!$A$1,0,0,COUNTA([1]characters!$A:$A),MATCH(G$1,[1]characters!$1:$1,0)-MATCH($C$1,[1]characters!$1:$1,0)+1),MATCH(G$1,[1]characters!$1:$1,0)-MATCH($C$1,[1]characters!$1:$1,0)+1,FALSE)</f>
        <v>yellow</v>
      </c>
      <c r="H11" s="9" t="str">
        <f>VLOOKUP(C11,[1]characters!$A:$K,11,FALSE)</f>
        <v>balance</v>
      </c>
      <c r="I11" s="9" t="str">
        <f>VLOOKUP(C11,[1]characters!$A:$M,13,FALSE)</f>
        <v>human</v>
      </c>
      <c r="J11" s="6">
        <v>1</v>
      </c>
      <c r="K11" s="6">
        <v>0</v>
      </c>
      <c r="L11" s="22">
        <f t="shared" si="1"/>
        <v>0</v>
      </c>
      <c r="M11" s="10">
        <v>0</v>
      </c>
      <c r="N11" s="10">
        <v>0</v>
      </c>
      <c r="O11" s="10">
        <v>0</v>
      </c>
      <c r="P11" s="10">
        <v>0</v>
      </c>
      <c r="Q11" s="10">
        <v>1</v>
      </c>
    </row>
    <row r="12" spans="1:17" ht="21" customHeight="1">
      <c r="A12" s="8" t="str">
        <f t="shared" si="0"/>
        <v>203_21_1</v>
      </c>
      <c r="B12" s="5">
        <v>203</v>
      </c>
      <c r="C12" s="7">
        <v>21</v>
      </c>
      <c r="D12" s="9" t="str">
        <f ca="1">VLOOKUP($C12,OFFSET([1]characters!$A$1,0,0,COUNTA([1]characters!$A:$A),MATCH(D$1,[1]characters!$1:$1,0)-MATCH($C$1,[1]characters!$1:$1,0)+1),MATCH(D$1,[1]characters!$1:$1,0)-MATCH($C$1,[1]characters!$1:$1,0)+1,FALSE)</f>
        <v>ヴェロキー</v>
      </c>
      <c r="E12" s="9" t="str">
        <f ca="1">VLOOKUP($C12,OFFSET([1]characters!$A$1,0,0,COUNTA([1]characters!$A:$A),MATCH(E$1,[1]characters!$1:$1,0)-MATCH($C$1,[1]characters!$1:$1,0)+1),MATCH(E$1,[1]characters!$1:$1,0)-MATCH($C$1,[1]characters!$1:$1,0)+1,FALSE)</f>
        <v>Drop1N</v>
      </c>
      <c r="F12" s="9">
        <f ca="1">VLOOKUP($C12,OFFSET([1]characters!$A$1,0,0,COUNTA([1]characters!$A:$A),MATCH(F$1,[1]characters!$1:$1,0)-MATCH($C$1,[1]characters!$1:$1,0)+1),MATCH(F$1,[1]characters!$1:$1,0)-MATCH($C$1,[1]characters!$1:$1,0)+1,FALSE)</f>
        <v>1</v>
      </c>
      <c r="G12" s="9" t="str">
        <f ca="1">VLOOKUP($C12,OFFSET([1]characters!$A$1,0,0,COUNTA([1]characters!$A:$A),MATCH(G$1,[1]characters!$1:$1,0)-MATCH($C$1,[1]characters!$1:$1,0)+1),MATCH(G$1,[1]characters!$1:$1,0)-MATCH($C$1,[1]characters!$1:$1,0)+1,FALSE)</f>
        <v>red</v>
      </c>
      <c r="H12" s="9" t="str">
        <f>VLOOKUP(C12,[1]characters!$A:$K,11,FALSE)</f>
        <v>hp</v>
      </c>
      <c r="I12" s="9" t="str">
        <f>VLOOKUP(C12,[1]characters!$A:$M,13,FALSE)</f>
        <v>dragon</v>
      </c>
      <c r="J12" s="6">
        <v>1</v>
      </c>
      <c r="K12" s="6">
        <v>0</v>
      </c>
      <c r="L12" s="22">
        <f t="shared" si="1"/>
        <v>0</v>
      </c>
      <c r="M12" s="10">
        <v>0</v>
      </c>
      <c r="N12" s="10">
        <v>0</v>
      </c>
      <c r="O12" s="10">
        <v>0</v>
      </c>
      <c r="P12" s="10">
        <v>0</v>
      </c>
      <c r="Q12" s="10">
        <v>1</v>
      </c>
    </row>
    <row r="13" spans="1:17" ht="21" customHeight="1">
      <c r="A13" s="8" t="str">
        <f t="shared" si="0"/>
        <v>203_23_1</v>
      </c>
      <c r="B13" s="5">
        <v>203</v>
      </c>
      <c r="C13" s="7">
        <v>23</v>
      </c>
      <c r="D13" s="9" t="str">
        <f ca="1">VLOOKUP($C13,OFFSET([1]characters!$A$1,0,0,COUNTA([1]characters!$A:$A),MATCH(D$1,[1]characters!$1:$1,0)-MATCH($C$1,[1]characters!$1:$1,0)+1),MATCH(D$1,[1]characters!$1:$1,0)-MATCH($C$1,[1]characters!$1:$1,0)+1,FALSE)</f>
        <v>ミール</v>
      </c>
      <c r="E13" s="9" t="str">
        <f ca="1">VLOOKUP($C13,OFFSET([1]characters!$A$1,0,0,COUNTA([1]characters!$A:$A),MATCH(E$1,[1]characters!$1:$1,0)-MATCH($C$1,[1]characters!$1:$1,0)+1),MATCH(E$1,[1]characters!$1:$1,0)-MATCH($C$1,[1]characters!$1:$1,0)+1,FALSE)</f>
        <v>Drop1N</v>
      </c>
      <c r="F13" s="9">
        <f ca="1">VLOOKUP($C13,OFFSET([1]characters!$A$1,0,0,COUNTA([1]characters!$A:$A),MATCH(F$1,[1]characters!$1:$1,0)-MATCH($C$1,[1]characters!$1:$1,0)+1),MATCH(F$1,[1]characters!$1:$1,0)-MATCH($C$1,[1]characters!$1:$1,0)+1,FALSE)</f>
        <v>1</v>
      </c>
      <c r="G13" s="9" t="str">
        <f ca="1">VLOOKUP($C13,OFFSET([1]characters!$A$1,0,0,COUNTA([1]characters!$A:$A),MATCH(G$1,[1]characters!$1:$1,0)-MATCH($C$1,[1]characters!$1:$1,0)+1),MATCH(G$1,[1]characters!$1:$1,0)-MATCH($C$1,[1]characters!$1:$1,0)+1,FALSE)</f>
        <v>green</v>
      </c>
      <c r="H13" s="9" t="str">
        <f>VLOOKUP(C13,[1]characters!$A:$K,11,FALSE)</f>
        <v>hp</v>
      </c>
      <c r="I13" s="9" t="str">
        <f>VLOOKUP(C13,[1]characters!$A:$M,13,FALSE)</f>
        <v>animal</v>
      </c>
      <c r="J13" s="6">
        <v>1</v>
      </c>
      <c r="K13" s="6">
        <v>0</v>
      </c>
      <c r="L13" s="22">
        <f t="shared" si="1"/>
        <v>0</v>
      </c>
      <c r="M13" s="10">
        <v>0</v>
      </c>
      <c r="N13" s="10">
        <v>0</v>
      </c>
      <c r="O13" s="10">
        <v>0</v>
      </c>
      <c r="P13" s="10">
        <v>0</v>
      </c>
      <c r="Q13" s="10">
        <v>1</v>
      </c>
    </row>
    <row r="14" spans="1:17" ht="21" customHeight="1">
      <c r="A14" s="8" t="str">
        <f t="shared" si="0"/>
        <v>203_25_1</v>
      </c>
      <c r="B14" s="5">
        <v>203</v>
      </c>
      <c r="C14" s="7">
        <v>25</v>
      </c>
      <c r="D14" s="9" t="str">
        <f ca="1">VLOOKUP($C14,OFFSET([1]characters!$A$1,0,0,COUNTA([1]characters!$A:$A),MATCH(D$1,[1]characters!$1:$1,0)-MATCH($C$1,[1]characters!$1:$1,0)+1),MATCH(D$1,[1]characters!$1:$1,0)-MATCH($C$1,[1]characters!$1:$1,0)+1,FALSE)</f>
        <v>ハチ</v>
      </c>
      <c r="E14" s="9" t="str">
        <f ca="1">VLOOKUP($C14,OFFSET([1]characters!$A$1,0,0,COUNTA([1]characters!$A:$A),MATCH(E$1,[1]characters!$1:$1,0)-MATCH($C$1,[1]characters!$1:$1,0)+1),MATCH(E$1,[1]characters!$1:$1,0)-MATCH($C$1,[1]characters!$1:$1,0)+1,FALSE)</f>
        <v>Drop1N</v>
      </c>
      <c r="F14" s="9">
        <f ca="1">VLOOKUP($C14,OFFSET([1]characters!$A$1,0,0,COUNTA([1]characters!$A:$A),MATCH(F$1,[1]characters!$1:$1,0)-MATCH($C$1,[1]characters!$1:$1,0)+1),MATCH(F$1,[1]characters!$1:$1,0)-MATCH($C$1,[1]characters!$1:$1,0)+1,FALSE)</f>
        <v>1</v>
      </c>
      <c r="G14" s="9" t="str">
        <f ca="1">VLOOKUP($C14,OFFSET([1]characters!$A$1,0,0,COUNTA([1]characters!$A:$A),MATCH(G$1,[1]characters!$1:$1,0)-MATCH($C$1,[1]characters!$1:$1,0)+1),MATCH(G$1,[1]characters!$1:$1,0)-MATCH($C$1,[1]characters!$1:$1,0)+1,FALSE)</f>
        <v>blue</v>
      </c>
      <c r="H14" s="9" t="str">
        <f>VLOOKUP(C14,[1]characters!$A:$K,11,FALSE)</f>
        <v>hp</v>
      </c>
      <c r="I14" s="9" t="str">
        <f>VLOOKUP(C14,[1]characters!$A:$M,13,FALSE)</f>
        <v>animal</v>
      </c>
      <c r="J14" s="6">
        <v>1</v>
      </c>
      <c r="K14" s="6">
        <v>0</v>
      </c>
      <c r="L14" s="22">
        <f t="shared" si="1"/>
        <v>0</v>
      </c>
      <c r="M14" s="10">
        <v>0</v>
      </c>
      <c r="N14" s="10">
        <v>0</v>
      </c>
      <c r="O14" s="10">
        <v>0</v>
      </c>
      <c r="P14" s="10">
        <v>0</v>
      </c>
      <c r="Q14" s="10">
        <v>1</v>
      </c>
    </row>
    <row r="15" spans="1:17" ht="21" customHeight="1">
      <c r="A15" s="8" t="str">
        <f t="shared" si="0"/>
        <v>203_27_1</v>
      </c>
      <c r="B15" s="5">
        <v>203</v>
      </c>
      <c r="C15" s="7">
        <v>27</v>
      </c>
      <c r="D15" s="9" t="str">
        <f ca="1">VLOOKUP($C15,OFFSET([1]characters!$A$1,0,0,COUNTA([1]characters!$A:$A),MATCH(D$1,[1]characters!$1:$1,0)-MATCH($C$1,[1]characters!$1:$1,0)+1),MATCH(D$1,[1]characters!$1:$1,0)-MATCH($C$1,[1]characters!$1:$1,0)+1,FALSE)</f>
        <v>パトライン</v>
      </c>
      <c r="E15" s="9" t="str">
        <f ca="1">VLOOKUP($C15,OFFSET([1]characters!$A$1,0,0,COUNTA([1]characters!$A:$A),MATCH(E$1,[1]characters!$1:$1,0)-MATCH($C$1,[1]characters!$1:$1,0)+1),MATCH(E$1,[1]characters!$1:$1,0)-MATCH($C$1,[1]characters!$1:$1,0)+1,FALSE)</f>
        <v>Drop1N</v>
      </c>
      <c r="F15" s="9">
        <f ca="1">VLOOKUP($C15,OFFSET([1]characters!$A$1,0,0,COUNTA([1]characters!$A:$A),MATCH(F$1,[1]characters!$1:$1,0)-MATCH($C$1,[1]characters!$1:$1,0)+1),MATCH(F$1,[1]characters!$1:$1,0)-MATCH($C$1,[1]characters!$1:$1,0)+1,FALSE)</f>
        <v>1</v>
      </c>
      <c r="G15" s="9" t="str">
        <f ca="1">VLOOKUP($C15,OFFSET([1]characters!$A$1,0,0,COUNTA([1]characters!$A:$A),MATCH(G$1,[1]characters!$1:$1,0)-MATCH($C$1,[1]characters!$1:$1,0)+1),MATCH(G$1,[1]characters!$1:$1,0)-MATCH($C$1,[1]characters!$1:$1,0)+1,FALSE)</f>
        <v>green</v>
      </c>
      <c r="H15" s="9" t="str">
        <f>VLOOKUP(C15,[1]characters!$A:$K,11,FALSE)</f>
        <v>heal</v>
      </c>
      <c r="I15" s="9" t="str">
        <f>VLOOKUP(C15,[1]characters!$A:$M,13,FALSE)</f>
        <v>machine</v>
      </c>
      <c r="J15" s="6">
        <v>1</v>
      </c>
      <c r="K15" s="6">
        <v>0</v>
      </c>
      <c r="L15" s="22">
        <f t="shared" si="1"/>
        <v>0</v>
      </c>
      <c r="M15" s="10">
        <v>0</v>
      </c>
      <c r="N15" s="10">
        <v>0</v>
      </c>
      <c r="O15" s="10">
        <v>0</v>
      </c>
      <c r="P15" s="10">
        <v>0</v>
      </c>
      <c r="Q15" s="10">
        <v>1</v>
      </c>
    </row>
    <row r="16" spans="1:17" ht="21" customHeight="1">
      <c r="A16" s="8" t="str">
        <f t="shared" si="0"/>
        <v>203_29_1</v>
      </c>
      <c r="B16" s="5">
        <v>203</v>
      </c>
      <c r="C16" s="7">
        <v>29</v>
      </c>
      <c r="D16" s="9" t="str">
        <f ca="1">VLOOKUP($C16,OFFSET([1]characters!$A$1,0,0,COUNTA([1]characters!$A:$A),MATCH(D$1,[1]characters!$1:$1,0)-MATCH($C$1,[1]characters!$1:$1,0)+1),MATCH(D$1,[1]characters!$1:$1,0)-MATCH($C$1,[1]characters!$1:$1,0)+1,FALSE)</f>
        <v>スケアクロウ</v>
      </c>
      <c r="E16" s="9" t="str">
        <f ca="1">VLOOKUP($C16,OFFSET([1]characters!$A$1,0,0,COUNTA([1]characters!$A:$A),MATCH(E$1,[1]characters!$1:$1,0)-MATCH($C$1,[1]characters!$1:$1,0)+1),MATCH(E$1,[1]characters!$1:$1,0)-MATCH($C$1,[1]characters!$1:$1,0)+1,FALSE)</f>
        <v>Drop1N</v>
      </c>
      <c r="F16" s="9">
        <f ca="1">VLOOKUP($C16,OFFSET([1]characters!$A$1,0,0,COUNTA([1]characters!$A:$A),MATCH(F$1,[1]characters!$1:$1,0)-MATCH($C$1,[1]characters!$1:$1,0)+1),MATCH(F$1,[1]characters!$1:$1,0)-MATCH($C$1,[1]characters!$1:$1,0)+1,FALSE)</f>
        <v>1</v>
      </c>
      <c r="G16" s="9" t="str">
        <f ca="1">VLOOKUP($C16,OFFSET([1]characters!$A$1,0,0,COUNTA([1]characters!$A:$A),MATCH(G$1,[1]characters!$1:$1,0)-MATCH($C$1,[1]characters!$1:$1,0)+1),MATCH(G$1,[1]characters!$1:$1,0)-MATCH($C$1,[1]characters!$1:$1,0)+1,FALSE)</f>
        <v>blue</v>
      </c>
      <c r="H16" s="9" t="str">
        <f>VLOOKUP(C16,[1]characters!$A:$K,11,FALSE)</f>
        <v>heal</v>
      </c>
      <c r="I16" s="9" t="str">
        <f>VLOOKUP(C16,[1]characters!$A:$M,13,FALSE)</f>
        <v>machine</v>
      </c>
      <c r="J16" s="6">
        <v>1</v>
      </c>
      <c r="K16" s="6">
        <v>0</v>
      </c>
      <c r="L16" s="22">
        <f t="shared" si="1"/>
        <v>0</v>
      </c>
      <c r="M16" s="10">
        <v>0</v>
      </c>
      <c r="N16" s="10">
        <v>0</v>
      </c>
      <c r="O16" s="10">
        <v>0</v>
      </c>
      <c r="P16" s="10">
        <v>0</v>
      </c>
      <c r="Q16" s="10">
        <v>1</v>
      </c>
    </row>
    <row r="17" spans="1:17" ht="21" customHeight="1">
      <c r="A17" s="8" t="str">
        <f t="shared" si="0"/>
        <v>203_31_1</v>
      </c>
      <c r="B17" s="5">
        <v>203</v>
      </c>
      <c r="C17" s="7">
        <v>31</v>
      </c>
      <c r="D17" s="9" t="str">
        <f ca="1">VLOOKUP($C17,OFFSET([1]characters!$A$1,0,0,COUNTA([1]characters!$A:$A),MATCH(D$1,[1]characters!$1:$1,0)-MATCH($C$1,[1]characters!$1:$1,0)+1),MATCH(D$1,[1]characters!$1:$1,0)-MATCH($C$1,[1]characters!$1:$1,0)+1,FALSE)</f>
        <v>マービー</v>
      </c>
      <c r="E17" s="9" t="str">
        <f ca="1">VLOOKUP($C17,OFFSET([1]characters!$A$1,0,0,COUNTA([1]characters!$A:$A),MATCH(E$1,[1]characters!$1:$1,0)-MATCH($C$1,[1]characters!$1:$1,0)+1),MATCH(E$1,[1]characters!$1:$1,0)-MATCH($C$1,[1]characters!$1:$1,0)+1,FALSE)</f>
        <v>Drop1N</v>
      </c>
      <c r="F17" s="9">
        <f ca="1">VLOOKUP($C17,OFFSET([1]characters!$A$1,0,0,COUNTA([1]characters!$A:$A),MATCH(F$1,[1]characters!$1:$1,0)-MATCH($C$1,[1]characters!$1:$1,0)+1),MATCH(F$1,[1]characters!$1:$1,0)-MATCH($C$1,[1]characters!$1:$1,0)+1,FALSE)</f>
        <v>1</v>
      </c>
      <c r="G17" s="9" t="str">
        <f ca="1">VLOOKUP($C17,OFFSET([1]characters!$A$1,0,0,COUNTA([1]characters!$A:$A),MATCH(G$1,[1]characters!$1:$1,0)-MATCH($C$1,[1]characters!$1:$1,0)+1),MATCH(G$1,[1]characters!$1:$1,0)-MATCH($C$1,[1]characters!$1:$1,0)+1,FALSE)</f>
        <v>yellow</v>
      </c>
      <c r="H17" s="9" t="str">
        <f>VLOOKUP(C17,[1]characters!$A:$K,11,FALSE)</f>
        <v>technical</v>
      </c>
      <c r="I17" s="9" t="str">
        <f>VLOOKUP(C17,[1]characters!$A:$M,13,FALSE)</f>
        <v>machine</v>
      </c>
      <c r="J17" s="6">
        <v>1</v>
      </c>
      <c r="K17" s="6">
        <v>0</v>
      </c>
      <c r="L17" s="22">
        <f t="shared" si="1"/>
        <v>0</v>
      </c>
      <c r="M17" s="10">
        <v>0</v>
      </c>
      <c r="N17" s="10">
        <v>0</v>
      </c>
      <c r="O17" s="10">
        <v>0</v>
      </c>
      <c r="P17" s="10">
        <v>0</v>
      </c>
      <c r="Q17" s="10">
        <v>1</v>
      </c>
    </row>
    <row r="18" spans="1:17" ht="21" customHeight="1">
      <c r="A18" s="8" t="str">
        <f t="shared" si="0"/>
        <v>203_33_1</v>
      </c>
      <c r="B18" s="5">
        <v>203</v>
      </c>
      <c r="C18" s="7">
        <v>33</v>
      </c>
      <c r="D18" s="9" t="str">
        <f ca="1">VLOOKUP($C18,OFFSET([1]characters!$A$1,0,0,COUNTA([1]characters!$A:$A),MATCH(D$1,[1]characters!$1:$1,0)-MATCH($C$1,[1]characters!$1:$1,0)+1),MATCH(D$1,[1]characters!$1:$1,0)-MATCH($C$1,[1]characters!$1:$1,0)+1,FALSE)</f>
        <v>ゴクウ</v>
      </c>
      <c r="E18" s="9" t="str">
        <f ca="1">VLOOKUP($C18,OFFSET([1]characters!$A$1,0,0,COUNTA([1]characters!$A:$A),MATCH(E$1,[1]characters!$1:$1,0)-MATCH($C$1,[1]characters!$1:$1,0)+1),MATCH(E$1,[1]characters!$1:$1,0)-MATCH($C$1,[1]characters!$1:$1,0)+1,FALSE)</f>
        <v>Drop1S</v>
      </c>
      <c r="F18" s="9">
        <f ca="1">VLOOKUP($C18,OFFSET([1]characters!$A$1,0,0,COUNTA([1]characters!$A:$A),MATCH(F$1,[1]characters!$1:$1,0)-MATCH($C$1,[1]characters!$1:$1,0)+1),MATCH(F$1,[1]characters!$1:$1,0)-MATCH($C$1,[1]characters!$1:$1,0)+1,FALSE)</f>
        <v>2</v>
      </c>
      <c r="G18" s="9" t="str">
        <f ca="1">VLOOKUP($C18,OFFSET([1]characters!$A$1,0,0,COUNTA([1]characters!$A:$A),MATCH(G$1,[1]characters!$1:$1,0)-MATCH($C$1,[1]characters!$1:$1,0)+1),MATCH(G$1,[1]characters!$1:$1,0)-MATCH($C$1,[1]characters!$1:$1,0)+1,FALSE)</f>
        <v>red</v>
      </c>
      <c r="H18" s="9" t="str">
        <f>VLOOKUP(C18,[1]characters!$A:$K,11,FALSE)</f>
        <v>attack</v>
      </c>
      <c r="I18" s="9" t="str">
        <f>VLOOKUP(C18,[1]characters!$A:$M,13,FALSE)</f>
        <v>animal</v>
      </c>
      <c r="J18" s="6">
        <v>1</v>
      </c>
      <c r="K18" s="6">
        <v>0</v>
      </c>
      <c r="L18" s="22">
        <f t="shared" si="1"/>
        <v>0</v>
      </c>
      <c r="M18" s="10">
        <v>0</v>
      </c>
      <c r="N18" s="10">
        <v>0</v>
      </c>
      <c r="O18" s="10">
        <v>0</v>
      </c>
      <c r="P18" s="10">
        <v>0</v>
      </c>
      <c r="Q18" s="10">
        <v>1</v>
      </c>
    </row>
    <row r="19" spans="1:17" ht="21" customHeight="1">
      <c r="A19" s="8" t="str">
        <f t="shared" si="0"/>
        <v>203_35_1</v>
      </c>
      <c r="B19" s="5">
        <v>203</v>
      </c>
      <c r="C19" s="7">
        <v>35</v>
      </c>
      <c r="D19" s="9" t="str">
        <f ca="1">VLOOKUP($C19,OFFSET([1]characters!$A$1,0,0,COUNTA([1]characters!$A:$A),MATCH(D$1,[1]characters!$1:$1,0)-MATCH($C$1,[1]characters!$1:$1,0)+1),MATCH(D$1,[1]characters!$1:$1,0)-MATCH($C$1,[1]characters!$1:$1,0)+1,FALSE)</f>
        <v>F2</v>
      </c>
      <c r="E19" s="9" t="str">
        <f ca="1">VLOOKUP($C19,OFFSET([1]characters!$A$1,0,0,COUNTA([1]characters!$A:$A),MATCH(E$1,[1]characters!$1:$1,0)-MATCH($C$1,[1]characters!$1:$1,0)+1),MATCH(E$1,[1]characters!$1:$1,0)-MATCH($C$1,[1]characters!$1:$1,0)+1,FALSE)</f>
        <v>Drop1S</v>
      </c>
      <c r="F19" s="9">
        <f ca="1">VLOOKUP($C19,OFFSET([1]characters!$A$1,0,0,COUNTA([1]characters!$A:$A),MATCH(F$1,[1]characters!$1:$1,0)-MATCH($C$1,[1]characters!$1:$1,0)+1),MATCH(F$1,[1]characters!$1:$1,0)-MATCH($C$1,[1]characters!$1:$1,0)+1,FALSE)</f>
        <v>2</v>
      </c>
      <c r="G19" s="9" t="str">
        <f ca="1">VLOOKUP($C19,OFFSET([1]characters!$A$1,0,0,COUNTA([1]characters!$A:$A),MATCH(G$1,[1]characters!$1:$1,0)-MATCH($C$1,[1]characters!$1:$1,0)+1),MATCH(G$1,[1]characters!$1:$1,0)-MATCH($C$1,[1]characters!$1:$1,0)+1,FALSE)</f>
        <v>green</v>
      </c>
      <c r="H19" s="9" t="str">
        <f>VLOOKUP(C19,[1]characters!$A:$K,11,FALSE)</f>
        <v>technical</v>
      </c>
      <c r="I19" s="9" t="str">
        <f>VLOOKUP(C19,[1]characters!$A:$M,13,FALSE)</f>
        <v>machine</v>
      </c>
      <c r="J19" s="6">
        <v>1</v>
      </c>
      <c r="K19" s="6">
        <v>0</v>
      </c>
      <c r="L19" s="22">
        <f t="shared" si="1"/>
        <v>0</v>
      </c>
      <c r="M19" s="10">
        <v>0</v>
      </c>
      <c r="N19" s="10">
        <v>0</v>
      </c>
      <c r="O19" s="10">
        <v>0</v>
      </c>
      <c r="P19" s="10">
        <v>0</v>
      </c>
      <c r="Q19" s="10">
        <v>1</v>
      </c>
    </row>
    <row r="20" spans="1:17" ht="21" customHeight="1">
      <c r="A20" s="8" t="str">
        <f t="shared" si="0"/>
        <v>203_37_1</v>
      </c>
      <c r="B20" s="5">
        <v>203</v>
      </c>
      <c r="C20" s="7">
        <v>37</v>
      </c>
      <c r="D20" s="9" t="str">
        <f ca="1">VLOOKUP($C20,OFFSET([1]characters!$A$1,0,0,COUNTA([1]characters!$A:$A),MATCH(D$1,[1]characters!$1:$1,0)-MATCH($C$1,[1]characters!$1:$1,0)+1),MATCH(D$1,[1]characters!$1:$1,0)-MATCH($C$1,[1]characters!$1:$1,0)+1,FALSE)</f>
        <v>ガイル</v>
      </c>
      <c r="E20" s="9" t="str">
        <f ca="1">VLOOKUP($C20,OFFSET([1]characters!$A$1,0,0,COUNTA([1]characters!$A:$A),MATCH(E$1,[1]characters!$1:$1,0)-MATCH($C$1,[1]characters!$1:$1,0)+1),MATCH(E$1,[1]characters!$1:$1,0)-MATCH($C$1,[1]characters!$1:$1,0)+1,FALSE)</f>
        <v>Drop1S</v>
      </c>
      <c r="F20" s="9">
        <f ca="1">VLOOKUP($C20,OFFSET([1]characters!$A$1,0,0,COUNTA([1]characters!$A:$A),MATCH(F$1,[1]characters!$1:$1,0)-MATCH($C$1,[1]characters!$1:$1,0)+1),MATCH(F$1,[1]characters!$1:$1,0)-MATCH($C$1,[1]characters!$1:$1,0)+1,FALSE)</f>
        <v>2</v>
      </c>
      <c r="G20" s="9" t="str">
        <f ca="1">VLOOKUP($C20,OFFSET([1]characters!$A$1,0,0,COUNTA([1]characters!$A:$A),MATCH(G$1,[1]characters!$1:$1,0)-MATCH($C$1,[1]characters!$1:$1,0)+1),MATCH(G$1,[1]characters!$1:$1,0)-MATCH($C$1,[1]characters!$1:$1,0)+1,FALSE)</f>
        <v>blue</v>
      </c>
      <c r="H20" s="9" t="str">
        <f>VLOOKUP(C20,[1]characters!$A:$K,11,FALSE)</f>
        <v>balance</v>
      </c>
      <c r="I20" s="9" t="str">
        <f>VLOOKUP(C20,[1]characters!$A:$M,13,FALSE)</f>
        <v>animal</v>
      </c>
      <c r="J20" s="6">
        <v>1</v>
      </c>
      <c r="K20" s="6">
        <v>0</v>
      </c>
      <c r="L20" s="22">
        <f t="shared" si="1"/>
        <v>0</v>
      </c>
      <c r="M20" s="10">
        <v>0</v>
      </c>
      <c r="N20" s="10">
        <v>0</v>
      </c>
      <c r="O20" s="10">
        <v>0</v>
      </c>
      <c r="P20" s="10">
        <v>0</v>
      </c>
      <c r="Q20" s="10">
        <v>1</v>
      </c>
    </row>
    <row r="21" spans="1:17" ht="21" customHeight="1">
      <c r="A21" s="8" t="str">
        <f t="shared" si="0"/>
        <v>203_39_1</v>
      </c>
      <c r="B21" s="5">
        <v>203</v>
      </c>
      <c r="C21" s="7">
        <v>39</v>
      </c>
      <c r="D21" s="9" t="str">
        <f ca="1">VLOOKUP($C21,OFFSET([1]characters!$A$1,0,0,COUNTA([1]characters!$A:$A),MATCH(D$1,[1]characters!$1:$1,0)-MATCH($C$1,[1]characters!$1:$1,0)+1),MATCH(D$1,[1]characters!$1:$1,0)-MATCH($C$1,[1]characters!$1:$1,0)+1,FALSE)</f>
        <v>マーロン</v>
      </c>
      <c r="E21" s="9" t="str">
        <f ca="1">VLOOKUP($C21,OFFSET([1]characters!$A$1,0,0,COUNTA([1]characters!$A:$A),MATCH(E$1,[1]characters!$1:$1,0)-MATCH($C$1,[1]characters!$1:$1,0)+1),MATCH(E$1,[1]characters!$1:$1,0)-MATCH($C$1,[1]characters!$1:$1,0)+1,FALSE)</f>
        <v>Drop1S</v>
      </c>
      <c r="F21" s="9">
        <f ca="1">VLOOKUP($C21,OFFSET([1]characters!$A$1,0,0,COUNTA([1]characters!$A:$A),MATCH(F$1,[1]characters!$1:$1,0)-MATCH($C$1,[1]characters!$1:$1,0)+1),MATCH(F$1,[1]characters!$1:$1,0)-MATCH($C$1,[1]characters!$1:$1,0)+1,FALSE)</f>
        <v>2</v>
      </c>
      <c r="G21" s="9" t="str">
        <f ca="1">VLOOKUP($C21,OFFSET([1]characters!$A$1,0,0,COUNTA([1]characters!$A:$A),MATCH(G$1,[1]characters!$1:$1,0)-MATCH($C$1,[1]characters!$1:$1,0)+1),MATCH(G$1,[1]characters!$1:$1,0)-MATCH($C$1,[1]characters!$1:$1,0)+1,FALSE)</f>
        <v>yellow</v>
      </c>
      <c r="H21" s="9" t="str">
        <f>VLOOKUP(C21,[1]characters!$A:$K,11,FALSE)</f>
        <v>balance</v>
      </c>
      <c r="I21" s="9" t="str">
        <f>VLOOKUP(C21,[1]characters!$A:$M,13,FALSE)</f>
        <v>human</v>
      </c>
      <c r="J21" s="6">
        <v>1</v>
      </c>
      <c r="K21" s="6">
        <v>0</v>
      </c>
      <c r="L21" s="22">
        <f t="shared" si="1"/>
        <v>0</v>
      </c>
      <c r="M21" s="10">
        <v>0</v>
      </c>
      <c r="N21" s="10">
        <v>0</v>
      </c>
      <c r="O21" s="10">
        <v>0</v>
      </c>
      <c r="P21" s="10">
        <v>0</v>
      </c>
      <c r="Q21" s="10">
        <v>1</v>
      </c>
    </row>
    <row r="22" spans="1:17" ht="21" customHeight="1">
      <c r="A22" s="8" t="str">
        <f t="shared" si="0"/>
        <v>203_41_1</v>
      </c>
      <c r="B22" s="5">
        <v>203</v>
      </c>
      <c r="C22" s="7">
        <v>41</v>
      </c>
      <c r="D22" s="9" t="str">
        <f ca="1">VLOOKUP($C22,OFFSET([1]characters!$A$1,0,0,COUNTA([1]characters!$A:$A),MATCH(D$1,[1]characters!$1:$1,0)-MATCH($C$1,[1]characters!$1:$1,0)+1),MATCH(D$1,[1]characters!$1:$1,0)-MATCH($C$1,[1]characters!$1:$1,0)+1,FALSE)</f>
        <v>ヒュウガ</v>
      </c>
      <c r="E22" s="9" t="str">
        <f ca="1">VLOOKUP($C22,OFFSET([1]characters!$A$1,0,0,COUNTA([1]characters!$A:$A),MATCH(E$1,[1]characters!$1:$1,0)-MATCH($C$1,[1]characters!$1:$1,0)+1),MATCH(E$1,[1]characters!$1:$1,0)-MATCH($C$1,[1]characters!$1:$1,0)+1,FALSE)</f>
        <v>Drop1N</v>
      </c>
      <c r="F22" s="9">
        <f ca="1">VLOOKUP($C22,OFFSET([1]characters!$A$1,0,0,COUNTA([1]characters!$A:$A),MATCH(F$1,[1]characters!$1:$1,0)-MATCH($C$1,[1]characters!$1:$1,0)+1),MATCH(F$1,[1]characters!$1:$1,0)-MATCH($C$1,[1]characters!$1:$1,0)+1,FALSE)</f>
        <v>2</v>
      </c>
      <c r="G22" s="9" t="str">
        <f ca="1">VLOOKUP($C22,OFFSET([1]characters!$A$1,0,0,COUNTA([1]characters!$A:$A),MATCH(G$1,[1]characters!$1:$1,0)-MATCH($C$1,[1]characters!$1:$1,0)+1),MATCH(G$1,[1]characters!$1:$1,0)-MATCH($C$1,[1]characters!$1:$1,0)+1,FALSE)</f>
        <v>red</v>
      </c>
      <c r="H22" s="9" t="str">
        <f>VLOOKUP(C22,[1]characters!$A:$K,11,FALSE)</f>
        <v>attack</v>
      </c>
      <c r="I22" s="9" t="str">
        <f>VLOOKUP(C22,[1]characters!$A:$M,13,FALSE)</f>
        <v>dragon</v>
      </c>
      <c r="J22" s="6">
        <v>1</v>
      </c>
      <c r="K22" s="6">
        <v>0</v>
      </c>
      <c r="L22" s="22">
        <f t="shared" si="1"/>
        <v>0</v>
      </c>
      <c r="M22" s="10">
        <v>0</v>
      </c>
      <c r="N22" s="10">
        <v>0</v>
      </c>
      <c r="O22" s="10">
        <v>0</v>
      </c>
      <c r="P22" s="10">
        <v>0</v>
      </c>
      <c r="Q22" s="10">
        <v>1</v>
      </c>
    </row>
    <row r="23" spans="1:17" ht="21" customHeight="1">
      <c r="A23" s="8" t="str">
        <f t="shared" si="0"/>
        <v>203_43_1</v>
      </c>
      <c r="B23" s="5">
        <v>203</v>
      </c>
      <c r="C23" s="7">
        <v>43</v>
      </c>
      <c r="D23" s="9" t="str">
        <f ca="1">VLOOKUP($C23,OFFSET([1]characters!$A$1,0,0,COUNTA([1]characters!$A:$A),MATCH(D$1,[1]characters!$1:$1,0)-MATCH($C$1,[1]characters!$1:$1,0)+1),MATCH(D$1,[1]characters!$1:$1,0)-MATCH($C$1,[1]characters!$1:$1,0)+1,FALSE)</f>
        <v>ムゥ</v>
      </c>
      <c r="E23" s="9" t="str">
        <f ca="1">VLOOKUP($C23,OFFSET([1]characters!$A$1,0,0,COUNTA([1]characters!$A:$A),MATCH(E$1,[1]characters!$1:$1,0)-MATCH($C$1,[1]characters!$1:$1,0)+1),MATCH(E$1,[1]characters!$1:$1,0)-MATCH($C$1,[1]characters!$1:$1,0)+1,FALSE)</f>
        <v>Drop1N</v>
      </c>
      <c r="F23" s="9">
        <f ca="1">VLOOKUP($C23,OFFSET([1]characters!$A$1,0,0,COUNTA([1]characters!$A:$A),MATCH(F$1,[1]characters!$1:$1,0)-MATCH($C$1,[1]characters!$1:$1,0)+1),MATCH(F$1,[1]characters!$1:$1,0)-MATCH($C$1,[1]characters!$1:$1,0)+1,FALSE)</f>
        <v>2</v>
      </c>
      <c r="G23" s="9" t="str">
        <f ca="1">VLOOKUP($C23,OFFSET([1]characters!$A$1,0,0,COUNTA([1]characters!$A:$A),MATCH(G$1,[1]characters!$1:$1,0)-MATCH($C$1,[1]characters!$1:$1,0)+1),MATCH(G$1,[1]characters!$1:$1,0)-MATCH($C$1,[1]characters!$1:$1,0)+1,FALSE)</f>
        <v>green</v>
      </c>
      <c r="H23" s="9" t="str">
        <f>VLOOKUP(C23,[1]characters!$A:$K,11,FALSE)</f>
        <v>technical</v>
      </c>
      <c r="I23" s="9" t="str">
        <f>VLOOKUP(C23,[1]characters!$A:$M,13,FALSE)</f>
        <v>dragon</v>
      </c>
      <c r="J23" s="6">
        <v>1</v>
      </c>
      <c r="K23" s="6">
        <v>0</v>
      </c>
      <c r="L23" s="22">
        <f t="shared" si="1"/>
        <v>0</v>
      </c>
      <c r="M23" s="10">
        <v>0</v>
      </c>
      <c r="N23" s="10">
        <v>0</v>
      </c>
      <c r="O23" s="10">
        <v>0</v>
      </c>
      <c r="P23" s="10">
        <v>0</v>
      </c>
      <c r="Q23" s="10">
        <v>1</v>
      </c>
    </row>
    <row r="24" spans="1:17" ht="21" customHeight="1">
      <c r="A24" s="8" t="str">
        <f t="shared" si="0"/>
        <v>203_45_1</v>
      </c>
      <c r="B24" s="5">
        <v>203</v>
      </c>
      <c r="C24" s="7">
        <v>45</v>
      </c>
      <c r="D24" s="9" t="str">
        <f ca="1">VLOOKUP($C24,OFFSET([1]characters!$A$1,0,0,COUNTA([1]characters!$A:$A),MATCH(D$1,[1]characters!$1:$1,0)-MATCH($C$1,[1]characters!$1:$1,0)+1),MATCH(D$1,[1]characters!$1:$1,0)-MATCH($C$1,[1]characters!$1:$1,0)+1,FALSE)</f>
        <v>ショウイン</v>
      </c>
      <c r="E24" s="9" t="str">
        <f ca="1">VLOOKUP($C24,OFFSET([1]characters!$A$1,0,0,COUNTA([1]characters!$A:$A),MATCH(E$1,[1]characters!$1:$1,0)-MATCH($C$1,[1]characters!$1:$1,0)+1),MATCH(E$1,[1]characters!$1:$1,0)-MATCH($C$1,[1]characters!$1:$1,0)+1,FALSE)</f>
        <v>Drop1N</v>
      </c>
      <c r="F24" s="9">
        <f ca="1">VLOOKUP($C24,OFFSET([1]characters!$A$1,0,0,COUNTA([1]characters!$A:$A),MATCH(F$1,[1]characters!$1:$1,0)-MATCH($C$1,[1]characters!$1:$1,0)+1),MATCH(F$1,[1]characters!$1:$1,0)-MATCH($C$1,[1]characters!$1:$1,0)+1,FALSE)</f>
        <v>2</v>
      </c>
      <c r="G24" s="9" t="str">
        <f ca="1">VLOOKUP($C24,OFFSET([1]characters!$A$1,0,0,COUNTA([1]characters!$A:$A),MATCH(G$1,[1]characters!$1:$1,0)-MATCH($C$1,[1]characters!$1:$1,0)+1),MATCH(G$1,[1]characters!$1:$1,0)-MATCH($C$1,[1]characters!$1:$1,0)+1,FALSE)</f>
        <v>blue</v>
      </c>
      <c r="H24" s="9" t="str">
        <f>VLOOKUP(C24,[1]characters!$A:$K,11,FALSE)</f>
        <v>hp</v>
      </c>
      <c r="I24" s="9" t="str">
        <f>VLOOKUP(C24,[1]characters!$A:$M,13,FALSE)</f>
        <v>animal</v>
      </c>
      <c r="J24" s="6">
        <v>1</v>
      </c>
      <c r="K24" s="6">
        <v>0</v>
      </c>
      <c r="L24" s="22">
        <f t="shared" si="1"/>
        <v>0</v>
      </c>
      <c r="M24" s="10">
        <v>0</v>
      </c>
      <c r="N24" s="10">
        <v>0</v>
      </c>
      <c r="O24" s="10">
        <v>0</v>
      </c>
      <c r="P24" s="10">
        <v>0</v>
      </c>
      <c r="Q24" s="10">
        <v>1</v>
      </c>
    </row>
    <row r="25" spans="1:17" ht="21" customHeight="1">
      <c r="A25" s="8" t="str">
        <f t="shared" si="0"/>
        <v>203_47_1</v>
      </c>
      <c r="B25" s="5">
        <v>203</v>
      </c>
      <c r="C25" s="7">
        <v>47</v>
      </c>
      <c r="D25" s="9" t="str">
        <f ca="1">VLOOKUP($C25,OFFSET([1]characters!$A$1,0,0,COUNTA([1]characters!$A:$A),MATCH(D$1,[1]characters!$1:$1,0)-MATCH($C$1,[1]characters!$1:$1,0)+1),MATCH(D$1,[1]characters!$1:$1,0)-MATCH($C$1,[1]characters!$1:$1,0)+1,FALSE)</f>
        <v>ヒロ</v>
      </c>
      <c r="E25" s="9" t="str">
        <f ca="1">VLOOKUP($C25,OFFSET([1]characters!$A$1,0,0,COUNTA([1]characters!$A:$A),MATCH(E$1,[1]characters!$1:$1,0)-MATCH($C$1,[1]characters!$1:$1,0)+1),MATCH(E$1,[1]characters!$1:$1,0)-MATCH($C$1,[1]characters!$1:$1,0)+1,FALSE)</f>
        <v>Drop1N</v>
      </c>
      <c r="F25" s="9">
        <f ca="1">VLOOKUP($C25,OFFSET([1]characters!$A$1,0,0,COUNTA([1]characters!$A:$A),MATCH(F$1,[1]characters!$1:$1,0)-MATCH($C$1,[1]characters!$1:$1,0)+1),MATCH(F$1,[1]characters!$1:$1,0)-MATCH($C$1,[1]characters!$1:$1,0)+1,FALSE)</f>
        <v>2</v>
      </c>
      <c r="G25" s="9" t="str">
        <f ca="1">VLOOKUP($C25,OFFSET([1]characters!$A$1,0,0,COUNTA([1]characters!$A:$A),MATCH(G$1,[1]characters!$1:$1,0)-MATCH($C$1,[1]characters!$1:$1,0)+1),MATCH(G$1,[1]characters!$1:$1,0)-MATCH($C$1,[1]characters!$1:$1,0)+1,FALSE)</f>
        <v>yellow</v>
      </c>
      <c r="H25" s="9" t="str">
        <f>VLOOKUP(C25,[1]characters!$A:$K,11,FALSE)</f>
        <v>attack</v>
      </c>
      <c r="I25" s="9" t="str">
        <f>VLOOKUP(C25,[1]characters!$A:$M,13,FALSE)</f>
        <v>animal</v>
      </c>
      <c r="J25" s="6">
        <v>1</v>
      </c>
      <c r="K25" s="6">
        <v>0</v>
      </c>
      <c r="L25" s="22">
        <f t="shared" si="1"/>
        <v>0</v>
      </c>
      <c r="M25" s="10">
        <v>0</v>
      </c>
      <c r="N25" s="10">
        <v>0</v>
      </c>
      <c r="O25" s="10">
        <v>0</v>
      </c>
      <c r="P25" s="10">
        <v>0</v>
      </c>
      <c r="Q25" s="10">
        <v>1</v>
      </c>
    </row>
    <row r="26" spans="1:17" ht="21" customHeight="1">
      <c r="A26" s="8" t="str">
        <f t="shared" si="0"/>
        <v>203_49_1</v>
      </c>
      <c r="B26" s="5">
        <v>203</v>
      </c>
      <c r="C26" s="7">
        <v>49</v>
      </c>
      <c r="D26" s="9" t="str">
        <f ca="1">VLOOKUP($C26,OFFSET([1]characters!$A$1,0,0,COUNTA([1]characters!$A:$A),MATCH(D$1,[1]characters!$1:$1,0)-MATCH($C$1,[1]characters!$1:$1,0)+1),MATCH(D$1,[1]characters!$1:$1,0)-MATCH($C$1,[1]characters!$1:$1,0)+1,FALSE)</f>
        <v>ヨシタカ</v>
      </c>
      <c r="E26" s="9" t="str">
        <f ca="1">VLOOKUP($C26,OFFSET([1]characters!$A$1,0,0,COUNTA([1]characters!$A:$A),MATCH(E$1,[1]characters!$1:$1,0)-MATCH($C$1,[1]characters!$1:$1,0)+1),MATCH(E$1,[1]characters!$1:$1,0)-MATCH($C$1,[1]characters!$1:$1,0)+1,FALSE)</f>
        <v>Drop1N</v>
      </c>
      <c r="F26" s="9">
        <f ca="1">VLOOKUP($C26,OFFSET([1]characters!$A$1,0,0,COUNTA([1]characters!$A:$A),MATCH(F$1,[1]characters!$1:$1,0)-MATCH($C$1,[1]characters!$1:$1,0)+1),MATCH(F$1,[1]characters!$1:$1,0)-MATCH($C$1,[1]characters!$1:$1,0)+1,FALSE)</f>
        <v>2</v>
      </c>
      <c r="G26" s="9" t="str">
        <f ca="1">VLOOKUP($C26,OFFSET([1]characters!$A$1,0,0,COUNTA([1]characters!$A:$A),MATCH(G$1,[1]characters!$1:$1,0)-MATCH($C$1,[1]characters!$1:$1,0)+1),MATCH(G$1,[1]characters!$1:$1,0)-MATCH($C$1,[1]characters!$1:$1,0)+1,FALSE)</f>
        <v>red</v>
      </c>
      <c r="H26" s="9" t="str">
        <f>VLOOKUP(C26,[1]characters!$A:$K,11,FALSE)</f>
        <v>hp</v>
      </c>
      <c r="I26" s="9" t="str">
        <f>VLOOKUP(C26,[1]characters!$A:$M,13,FALSE)</f>
        <v>human</v>
      </c>
      <c r="J26" s="6">
        <v>1</v>
      </c>
      <c r="K26" s="6">
        <v>0</v>
      </c>
      <c r="L26" s="22">
        <f t="shared" si="1"/>
        <v>0</v>
      </c>
      <c r="M26" s="10">
        <v>0</v>
      </c>
      <c r="N26" s="10">
        <v>0</v>
      </c>
      <c r="O26" s="10">
        <v>0</v>
      </c>
      <c r="P26" s="10">
        <v>0</v>
      </c>
      <c r="Q26" s="10">
        <v>1</v>
      </c>
    </row>
    <row r="27" spans="1:17" ht="21" customHeight="1">
      <c r="A27" s="8" t="str">
        <f t="shared" si="0"/>
        <v>203_51_1</v>
      </c>
      <c r="B27" s="5">
        <v>203</v>
      </c>
      <c r="C27" s="7">
        <v>51</v>
      </c>
      <c r="D27" s="9" t="str">
        <f ca="1">VLOOKUP($C27,OFFSET([1]characters!$A$1,0,0,COUNTA([1]characters!$A:$A),MATCH(D$1,[1]characters!$1:$1,0)-MATCH($C$1,[1]characters!$1:$1,0)+1),MATCH(D$1,[1]characters!$1:$1,0)-MATCH($C$1,[1]characters!$1:$1,0)+1,FALSE)</f>
        <v>マイ</v>
      </c>
      <c r="E27" s="9" t="str">
        <f ca="1">VLOOKUP($C27,OFFSET([1]characters!$A$1,0,0,COUNTA([1]characters!$A:$A),MATCH(E$1,[1]characters!$1:$1,0)-MATCH($C$1,[1]characters!$1:$1,0)+1),MATCH(E$1,[1]characters!$1:$1,0)-MATCH($C$1,[1]characters!$1:$1,0)+1,FALSE)</f>
        <v>Drop1N</v>
      </c>
      <c r="F27" s="9">
        <f ca="1">VLOOKUP($C27,OFFSET([1]characters!$A$1,0,0,COUNTA([1]characters!$A:$A),MATCH(F$1,[1]characters!$1:$1,0)-MATCH($C$1,[1]characters!$1:$1,0)+1),MATCH(F$1,[1]characters!$1:$1,0)-MATCH($C$1,[1]characters!$1:$1,0)+1,FALSE)</f>
        <v>2</v>
      </c>
      <c r="G27" s="9" t="str">
        <f ca="1">VLOOKUP($C27,OFFSET([1]characters!$A$1,0,0,COUNTA([1]characters!$A:$A),MATCH(G$1,[1]characters!$1:$1,0)-MATCH($C$1,[1]characters!$1:$1,0)+1),MATCH(G$1,[1]characters!$1:$1,0)-MATCH($C$1,[1]characters!$1:$1,0)+1,FALSE)</f>
        <v>green</v>
      </c>
      <c r="H27" s="9" t="str">
        <f>VLOOKUP(C27,[1]characters!$A:$K,11,FALSE)</f>
        <v>attack</v>
      </c>
      <c r="I27" s="9" t="str">
        <f>VLOOKUP(C27,[1]characters!$A:$M,13,FALSE)</f>
        <v>human</v>
      </c>
      <c r="J27" s="6">
        <v>1</v>
      </c>
      <c r="K27" s="6">
        <v>0</v>
      </c>
      <c r="L27" s="22">
        <f t="shared" si="1"/>
        <v>0</v>
      </c>
      <c r="M27" s="10">
        <v>0</v>
      </c>
      <c r="N27" s="10">
        <v>0</v>
      </c>
      <c r="O27" s="10">
        <v>0</v>
      </c>
      <c r="P27" s="10">
        <v>0</v>
      </c>
      <c r="Q27" s="10">
        <v>1</v>
      </c>
    </row>
    <row r="28" spans="1:17" ht="21" customHeight="1">
      <c r="A28" s="8" t="str">
        <f t="shared" si="0"/>
        <v>203_53_1</v>
      </c>
      <c r="B28" s="5">
        <v>203</v>
      </c>
      <c r="C28" s="7">
        <v>53</v>
      </c>
      <c r="D28" s="9" t="str">
        <f ca="1">VLOOKUP($C28,OFFSET([1]characters!$A$1,0,0,COUNTA([1]characters!$A:$A),MATCH(D$1,[1]characters!$1:$1,0)-MATCH($C$1,[1]characters!$1:$1,0)+1),MATCH(D$1,[1]characters!$1:$1,0)-MATCH($C$1,[1]characters!$1:$1,0)+1,FALSE)</f>
        <v>ケンジ</v>
      </c>
      <c r="E28" s="9" t="str">
        <f ca="1">VLOOKUP($C28,OFFSET([1]characters!$A$1,0,0,COUNTA([1]characters!$A:$A),MATCH(E$1,[1]characters!$1:$1,0)-MATCH($C$1,[1]characters!$1:$1,0)+1),MATCH(E$1,[1]characters!$1:$1,0)-MATCH($C$1,[1]characters!$1:$1,0)+1,FALSE)</f>
        <v>Drop1N</v>
      </c>
      <c r="F28" s="9">
        <f ca="1">VLOOKUP($C28,OFFSET([1]characters!$A$1,0,0,COUNTA([1]characters!$A:$A),MATCH(F$1,[1]characters!$1:$1,0)-MATCH($C$1,[1]characters!$1:$1,0)+1),MATCH(F$1,[1]characters!$1:$1,0)-MATCH($C$1,[1]characters!$1:$1,0)+1,FALSE)</f>
        <v>2</v>
      </c>
      <c r="G28" s="9" t="str">
        <f ca="1">VLOOKUP($C28,OFFSET([1]characters!$A$1,0,0,COUNTA([1]characters!$A:$A),MATCH(G$1,[1]characters!$1:$1,0)-MATCH($C$1,[1]characters!$1:$1,0)+1),MATCH(G$1,[1]characters!$1:$1,0)-MATCH($C$1,[1]characters!$1:$1,0)+1,FALSE)</f>
        <v>blue</v>
      </c>
      <c r="H28" s="9" t="str">
        <f>VLOOKUP(C28,[1]characters!$A:$K,11,FALSE)</f>
        <v>balance</v>
      </c>
      <c r="I28" s="9" t="str">
        <f>VLOOKUP(C28,[1]characters!$A:$M,13,FALSE)</f>
        <v>human</v>
      </c>
      <c r="J28" s="6">
        <v>1</v>
      </c>
      <c r="K28" s="6">
        <v>0</v>
      </c>
      <c r="L28" s="22">
        <f t="shared" si="1"/>
        <v>0</v>
      </c>
      <c r="M28" s="10">
        <v>0</v>
      </c>
      <c r="N28" s="10">
        <v>0</v>
      </c>
      <c r="O28" s="10">
        <v>0</v>
      </c>
      <c r="P28" s="10">
        <v>0</v>
      </c>
      <c r="Q28" s="10">
        <v>1</v>
      </c>
    </row>
    <row r="29" spans="1:17" ht="21" customHeight="1">
      <c r="A29" s="8" t="str">
        <f t="shared" si="0"/>
        <v>203_55_1</v>
      </c>
      <c r="B29" s="5">
        <v>203</v>
      </c>
      <c r="C29" s="7">
        <v>55</v>
      </c>
      <c r="D29" s="9" t="str">
        <f ca="1">VLOOKUP($C29,OFFSET([1]characters!$A$1,0,0,COUNTA([1]characters!$A:$A),MATCH(D$1,[1]characters!$1:$1,0)-MATCH($C$1,[1]characters!$1:$1,0)+1),MATCH(D$1,[1]characters!$1:$1,0)-MATCH($C$1,[1]characters!$1:$1,0)+1,FALSE)</f>
        <v>マミコ</v>
      </c>
      <c r="E29" s="9" t="str">
        <f ca="1">VLOOKUP($C29,OFFSET([1]characters!$A$1,0,0,COUNTA([1]characters!$A:$A),MATCH(E$1,[1]characters!$1:$1,0)-MATCH($C$1,[1]characters!$1:$1,0)+1),MATCH(E$1,[1]characters!$1:$1,0)-MATCH($C$1,[1]characters!$1:$1,0)+1,FALSE)</f>
        <v>Drop1N</v>
      </c>
      <c r="F29" s="9">
        <f ca="1">VLOOKUP($C29,OFFSET([1]characters!$A$1,0,0,COUNTA([1]characters!$A:$A),MATCH(F$1,[1]characters!$1:$1,0)-MATCH($C$1,[1]characters!$1:$1,0)+1),MATCH(F$1,[1]characters!$1:$1,0)-MATCH($C$1,[1]characters!$1:$1,0)+1,FALSE)</f>
        <v>2</v>
      </c>
      <c r="G29" s="9" t="str">
        <f ca="1">VLOOKUP($C29,OFFSET([1]characters!$A$1,0,0,COUNTA([1]characters!$A:$A),MATCH(G$1,[1]characters!$1:$1,0)-MATCH($C$1,[1]characters!$1:$1,0)+1),MATCH(G$1,[1]characters!$1:$1,0)-MATCH($C$1,[1]characters!$1:$1,0)+1,FALSE)</f>
        <v>yellow</v>
      </c>
      <c r="H29" s="9" t="str">
        <f>VLOOKUP(C29,[1]characters!$A:$K,11,FALSE)</f>
        <v>balance</v>
      </c>
      <c r="I29" s="9" t="str">
        <f>VLOOKUP(C29,[1]characters!$A:$M,13,FALSE)</f>
        <v>human</v>
      </c>
      <c r="J29" s="6">
        <v>1</v>
      </c>
      <c r="K29" s="6">
        <v>0</v>
      </c>
      <c r="L29" s="22">
        <f t="shared" si="1"/>
        <v>0</v>
      </c>
      <c r="M29" s="10">
        <v>0</v>
      </c>
      <c r="N29" s="10">
        <v>0</v>
      </c>
      <c r="O29" s="10">
        <v>0</v>
      </c>
      <c r="P29" s="10">
        <v>0</v>
      </c>
      <c r="Q29" s="10">
        <v>1</v>
      </c>
    </row>
    <row r="30" spans="1:17" ht="21" customHeight="1">
      <c r="A30" s="8" t="str">
        <f t="shared" si="0"/>
        <v>203_57_1</v>
      </c>
      <c r="B30" s="5">
        <v>203</v>
      </c>
      <c r="C30" s="7">
        <v>57</v>
      </c>
      <c r="D30" s="9" t="str">
        <f ca="1">VLOOKUP($C30,OFFSET([1]characters!$A$1,0,0,COUNTA([1]characters!$A:$A),MATCH(D$1,[1]characters!$1:$1,0)-MATCH($C$1,[1]characters!$1:$1,0)+1),MATCH(D$1,[1]characters!$1:$1,0)-MATCH($C$1,[1]characters!$1:$1,0)+1,FALSE)</f>
        <v>チェン・リー</v>
      </c>
      <c r="E30" s="9" t="str">
        <f ca="1">VLOOKUP($C30,OFFSET([1]characters!$A$1,0,0,COUNTA([1]characters!$A:$A),MATCH(E$1,[1]characters!$1:$1,0)-MATCH($C$1,[1]characters!$1:$1,0)+1),MATCH(E$1,[1]characters!$1:$1,0)-MATCH($C$1,[1]characters!$1:$1,0)+1,FALSE)</f>
        <v>Drop1N</v>
      </c>
      <c r="F30" s="9">
        <f ca="1">VLOOKUP($C30,OFFSET([1]characters!$A$1,0,0,COUNTA([1]characters!$A:$A),MATCH(F$1,[1]characters!$1:$1,0)-MATCH($C$1,[1]characters!$1:$1,0)+1),MATCH(F$1,[1]characters!$1:$1,0)-MATCH($C$1,[1]characters!$1:$1,0)+1,FALSE)</f>
        <v>2</v>
      </c>
      <c r="G30" s="9" t="str">
        <f ca="1">VLOOKUP($C30,OFFSET([1]characters!$A$1,0,0,COUNTA([1]characters!$A:$A),MATCH(G$1,[1]characters!$1:$1,0)-MATCH($C$1,[1]characters!$1:$1,0)+1),MATCH(G$1,[1]characters!$1:$1,0)-MATCH($C$1,[1]characters!$1:$1,0)+1,FALSE)</f>
        <v>red</v>
      </c>
      <c r="H30" s="9" t="str">
        <f>VLOOKUP(C30,[1]characters!$A:$K,11,FALSE)</f>
        <v>balance</v>
      </c>
      <c r="I30" s="9" t="str">
        <f>VLOOKUP(C30,[1]characters!$A:$M,13,FALSE)</f>
        <v>animal</v>
      </c>
      <c r="J30" s="6">
        <v>1</v>
      </c>
      <c r="K30" s="6">
        <v>0</v>
      </c>
      <c r="L30" s="22">
        <f t="shared" si="1"/>
        <v>0</v>
      </c>
      <c r="M30" s="10">
        <v>0</v>
      </c>
      <c r="N30" s="10">
        <v>0</v>
      </c>
      <c r="O30" s="10">
        <v>0</v>
      </c>
      <c r="P30" s="10">
        <v>0</v>
      </c>
      <c r="Q30" s="10">
        <v>1</v>
      </c>
    </row>
    <row r="31" spans="1:17" ht="21" customHeight="1">
      <c r="A31" s="8" t="str">
        <f t="shared" si="0"/>
        <v>203_59_1</v>
      </c>
      <c r="B31" s="5">
        <v>203</v>
      </c>
      <c r="C31" s="7">
        <v>59</v>
      </c>
      <c r="D31" s="9" t="str">
        <f ca="1">VLOOKUP($C31,OFFSET([1]characters!$A$1,0,0,COUNTA([1]characters!$A:$A),MATCH(D$1,[1]characters!$1:$1,0)-MATCH($C$1,[1]characters!$1:$1,0)+1),MATCH(D$1,[1]characters!$1:$1,0)-MATCH($C$1,[1]characters!$1:$1,0)+1,FALSE)</f>
        <v>マーチ</v>
      </c>
      <c r="E31" s="9" t="str">
        <f ca="1">VLOOKUP($C31,OFFSET([1]characters!$A$1,0,0,COUNTA([1]characters!$A:$A),MATCH(E$1,[1]characters!$1:$1,0)-MATCH($C$1,[1]characters!$1:$1,0)+1),MATCH(E$1,[1]characters!$1:$1,0)-MATCH($C$1,[1]characters!$1:$1,0)+1,FALSE)</f>
        <v>Drop1N</v>
      </c>
      <c r="F31" s="9">
        <f ca="1">VLOOKUP($C31,OFFSET([1]characters!$A$1,0,0,COUNTA([1]characters!$A:$A),MATCH(F$1,[1]characters!$1:$1,0)-MATCH($C$1,[1]characters!$1:$1,0)+1),MATCH(F$1,[1]characters!$1:$1,0)-MATCH($C$1,[1]characters!$1:$1,0)+1,FALSE)</f>
        <v>2</v>
      </c>
      <c r="G31" s="9" t="str">
        <f ca="1">VLOOKUP($C31,OFFSET([1]characters!$A$1,0,0,COUNTA([1]characters!$A:$A),MATCH(G$1,[1]characters!$1:$1,0)-MATCH($C$1,[1]characters!$1:$1,0)+1),MATCH(G$1,[1]characters!$1:$1,0)-MATCH($C$1,[1]characters!$1:$1,0)+1,FALSE)</f>
        <v>green</v>
      </c>
      <c r="H31" s="9" t="str">
        <f>VLOOKUP(C31,[1]characters!$A:$K,11,FALSE)</f>
        <v>heal</v>
      </c>
      <c r="I31" s="9" t="str">
        <f>VLOOKUP(C31,[1]characters!$A:$M,13,FALSE)</f>
        <v>animal</v>
      </c>
      <c r="J31" s="6">
        <v>1</v>
      </c>
      <c r="K31" s="6">
        <v>0</v>
      </c>
      <c r="L31" s="22">
        <f t="shared" si="1"/>
        <v>0</v>
      </c>
      <c r="M31" s="10">
        <v>0</v>
      </c>
      <c r="N31" s="10">
        <v>0</v>
      </c>
      <c r="O31" s="10">
        <v>0</v>
      </c>
      <c r="P31" s="10">
        <v>0</v>
      </c>
      <c r="Q31" s="10">
        <v>1</v>
      </c>
    </row>
    <row r="32" spans="1:17" ht="21" customHeight="1">
      <c r="A32" s="8" t="str">
        <f t="shared" si="0"/>
        <v>203_61_1</v>
      </c>
      <c r="B32" s="5">
        <v>203</v>
      </c>
      <c r="C32" s="7">
        <v>61</v>
      </c>
      <c r="D32" s="9" t="str">
        <f ca="1">VLOOKUP($C32,OFFSET([1]characters!$A$1,0,0,COUNTA([1]characters!$A:$A),MATCH(D$1,[1]characters!$1:$1,0)-MATCH($C$1,[1]characters!$1:$1,0)+1),MATCH(D$1,[1]characters!$1:$1,0)-MATCH($C$1,[1]characters!$1:$1,0)+1,FALSE)</f>
        <v>クロウ</v>
      </c>
      <c r="E32" s="9" t="str">
        <f ca="1">VLOOKUP($C32,OFFSET([1]characters!$A$1,0,0,COUNTA([1]characters!$A:$A),MATCH(E$1,[1]characters!$1:$1,0)-MATCH($C$1,[1]characters!$1:$1,0)+1),MATCH(E$1,[1]characters!$1:$1,0)-MATCH($C$1,[1]characters!$1:$1,0)+1,FALSE)</f>
        <v>Drop1N</v>
      </c>
      <c r="F32" s="9">
        <f ca="1">VLOOKUP($C32,OFFSET([1]characters!$A$1,0,0,COUNTA([1]characters!$A:$A),MATCH(F$1,[1]characters!$1:$1,0)-MATCH($C$1,[1]characters!$1:$1,0)+1),MATCH(F$1,[1]characters!$1:$1,0)-MATCH($C$1,[1]characters!$1:$1,0)+1,FALSE)</f>
        <v>2</v>
      </c>
      <c r="G32" s="9" t="str">
        <f ca="1">VLOOKUP($C32,OFFSET([1]characters!$A$1,0,0,COUNTA([1]characters!$A:$A),MATCH(G$1,[1]characters!$1:$1,0)-MATCH($C$1,[1]characters!$1:$1,0)+1),MATCH(G$1,[1]characters!$1:$1,0)-MATCH($C$1,[1]characters!$1:$1,0)+1,FALSE)</f>
        <v>blue</v>
      </c>
      <c r="H32" s="9" t="str">
        <f>VLOOKUP(C32,[1]characters!$A:$K,11,FALSE)</f>
        <v>heal</v>
      </c>
      <c r="I32" s="9" t="str">
        <f>VLOOKUP(C32,[1]characters!$A:$M,13,FALSE)</f>
        <v>animal</v>
      </c>
      <c r="J32" s="6">
        <v>1</v>
      </c>
      <c r="K32" s="6">
        <v>0</v>
      </c>
      <c r="L32" s="22">
        <f t="shared" si="1"/>
        <v>0</v>
      </c>
      <c r="M32" s="10">
        <v>0</v>
      </c>
      <c r="N32" s="10">
        <v>0</v>
      </c>
      <c r="O32" s="10">
        <v>0</v>
      </c>
      <c r="P32" s="10">
        <v>0</v>
      </c>
      <c r="Q32" s="10">
        <v>1</v>
      </c>
    </row>
    <row r="33" spans="1:17" ht="21" customHeight="1">
      <c r="A33" s="8" t="str">
        <f t="shared" si="0"/>
        <v>203_63_1</v>
      </c>
      <c r="B33" s="5">
        <v>203</v>
      </c>
      <c r="C33" s="7">
        <v>63</v>
      </c>
      <c r="D33" s="9" t="str">
        <f ca="1">VLOOKUP($C33,OFFSET([1]characters!$A$1,0,0,COUNTA([1]characters!$A:$A),MATCH(D$1,[1]characters!$1:$1,0)-MATCH($C$1,[1]characters!$1:$1,0)+1),MATCH(D$1,[1]characters!$1:$1,0)-MATCH($C$1,[1]characters!$1:$1,0)+1,FALSE)</f>
        <v>トニー</v>
      </c>
      <c r="E33" s="9" t="str">
        <f ca="1">VLOOKUP($C33,OFFSET([1]characters!$A$1,0,0,COUNTA([1]characters!$A:$A),MATCH(E$1,[1]characters!$1:$1,0)-MATCH($C$1,[1]characters!$1:$1,0)+1),MATCH(E$1,[1]characters!$1:$1,0)-MATCH($C$1,[1]characters!$1:$1,0)+1,FALSE)</f>
        <v>Drop1N</v>
      </c>
      <c r="F33" s="9">
        <f ca="1">VLOOKUP($C33,OFFSET([1]characters!$A$1,0,0,COUNTA([1]characters!$A:$A),MATCH(F$1,[1]characters!$1:$1,0)-MATCH($C$1,[1]characters!$1:$1,0)+1),MATCH(F$1,[1]characters!$1:$1,0)-MATCH($C$1,[1]characters!$1:$1,0)+1,FALSE)</f>
        <v>2</v>
      </c>
      <c r="G33" s="9" t="str">
        <f ca="1">VLOOKUP($C33,OFFSET([1]characters!$A$1,0,0,COUNTA([1]characters!$A:$A),MATCH(G$1,[1]characters!$1:$1,0)-MATCH($C$1,[1]characters!$1:$1,0)+1),MATCH(G$1,[1]characters!$1:$1,0)-MATCH($C$1,[1]characters!$1:$1,0)+1,FALSE)</f>
        <v>yellow</v>
      </c>
      <c r="H33" s="9" t="str">
        <f>VLOOKUP(C33,[1]characters!$A:$K,11,FALSE)</f>
        <v>technical</v>
      </c>
      <c r="I33" s="9" t="str">
        <f>VLOOKUP(C33,[1]characters!$A:$M,13,FALSE)</f>
        <v>animal</v>
      </c>
      <c r="J33" s="6">
        <v>1</v>
      </c>
      <c r="K33" s="6">
        <v>0</v>
      </c>
      <c r="L33" s="22">
        <f t="shared" si="1"/>
        <v>0</v>
      </c>
      <c r="M33" s="10">
        <v>0</v>
      </c>
      <c r="N33" s="10">
        <v>0</v>
      </c>
      <c r="O33" s="10">
        <v>0</v>
      </c>
      <c r="P33" s="10">
        <v>0</v>
      </c>
      <c r="Q33" s="10">
        <v>1</v>
      </c>
    </row>
    <row r="34" spans="1:17" ht="21" customHeight="1">
      <c r="A34" s="8" t="str">
        <f t="shared" ref="A34:A65" si="2">B34&amp;"_"&amp;C34&amp;"_"&amp;J34</f>
        <v>203_65_1</v>
      </c>
      <c r="B34" s="5">
        <v>203</v>
      </c>
      <c r="C34" s="7">
        <v>65</v>
      </c>
      <c r="D34" s="9" t="str">
        <f ca="1">VLOOKUP($C34,OFFSET([1]characters!$A$1,0,0,COUNTA([1]characters!$A:$A),MATCH(D$1,[1]characters!$1:$1,0)-MATCH($C$1,[1]characters!$1:$1,0)+1),MATCH(D$1,[1]characters!$1:$1,0)-MATCH($C$1,[1]characters!$1:$1,0)+1,FALSE)</f>
        <v>ファイアフォックス</v>
      </c>
      <c r="E34" s="9" t="str">
        <f ca="1">VLOOKUP($C34,OFFSET([1]characters!$A$1,0,0,COUNTA([1]characters!$A:$A),MATCH(E$1,[1]characters!$1:$1,0)-MATCH($C$1,[1]characters!$1:$1,0)+1),MATCH(E$1,[1]characters!$1:$1,0)-MATCH($C$1,[1]characters!$1:$1,0)+1,FALSE)</f>
        <v>Drop1S</v>
      </c>
      <c r="F34" s="9">
        <f ca="1">VLOOKUP($C34,OFFSET([1]characters!$A$1,0,0,COUNTA([1]characters!$A:$A),MATCH(F$1,[1]characters!$1:$1,0)-MATCH($C$1,[1]characters!$1:$1,0)+1),MATCH(F$1,[1]characters!$1:$1,0)-MATCH($C$1,[1]characters!$1:$1,0)+1,FALSE)</f>
        <v>2</v>
      </c>
      <c r="G34" s="9" t="str">
        <f ca="1">VLOOKUP($C34,OFFSET([1]characters!$A$1,0,0,COUNTA([1]characters!$A:$A),MATCH(G$1,[1]characters!$1:$1,0)-MATCH($C$1,[1]characters!$1:$1,0)+1),MATCH(G$1,[1]characters!$1:$1,0)-MATCH($C$1,[1]characters!$1:$1,0)+1,FALSE)</f>
        <v>red</v>
      </c>
      <c r="H34" s="9" t="str">
        <f>VLOOKUP(C34,[1]characters!$A:$K,11,FALSE)</f>
        <v>attack</v>
      </c>
      <c r="I34" s="9" t="str">
        <f>VLOOKUP(C34,[1]characters!$A:$M,13,FALSE)</f>
        <v>animal</v>
      </c>
      <c r="J34" s="6">
        <v>1</v>
      </c>
      <c r="K34" s="6">
        <v>0</v>
      </c>
      <c r="L34" s="22">
        <f t="shared" si="1"/>
        <v>0</v>
      </c>
      <c r="M34" s="10">
        <v>0</v>
      </c>
      <c r="N34" s="10">
        <v>0</v>
      </c>
      <c r="O34" s="10">
        <v>0</v>
      </c>
      <c r="P34" s="10">
        <v>0</v>
      </c>
      <c r="Q34" s="10">
        <v>1</v>
      </c>
    </row>
    <row r="35" spans="1:17" ht="21" customHeight="1">
      <c r="A35" s="8" t="str">
        <f t="shared" si="2"/>
        <v>203_68_1</v>
      </c>
      <c r="B35" s="5">
        <v>203</v>
      </c>
      <c r="C35" s="7">
        <v>68</v>
      </c>
      <c r="D35" s="9" t="str">
        <f ca="1">VLOOKUP($C35,OFFSET([1]characters!$A$1,0,0,COUNTA([1]characters!$A:$A),MATCH(D$1,[1]characters!$1:$1,0)-MATCH($C$1,[1]characters!$1:$1,0)+1),MATCH(D$1,[1]characters!$1:$1,0)-MATCH($C$1,[1]characters!$1:$1,0)+1,FALSE)</f>
        <v>ストール</v>
      </c>
      <c r="E35" s="9" t="str">
        <f ca="1">VLOOKUP($C35,OFFSET([1]characters!$A$1,0,0,COUNTA([1]characters!$A:$A),MATCH(E$1,[1]characters!$1:$1,0)-MATCH($C$1,[1]characters!$1:$1,0)+1),MATCH(E$1,[1]characters!$1:$1,0)-MATCH($C$1,[1]characters!$1:$1,0)+1,FALSE)</f>
        <v>Drop1S</v>
      </c>
      <c r="F35" s="9">
        <f ca="1">VLOOKUP($C35,OFFSET([1]characters!$A$1,0,0,COUNTA([1]characters!$A:$A),MATCH(F$1,[1]characters!$1:$1,0)-MATCH($C$1,[1]characters!$1:$1,0)+1),MATCH(F$1,[1]characters!$1:$1,0)-MATCH($C$1,[1]characters!$1:$1,0)+1,FALSE)</f>
        <v>2</v>
      </c>
      <c r="G35" s="9" t="str">
        <f ca="1">VLOOKUP($C35,OFFSET([1]characters!$A$1,0,0,COUNTA([1]characters!$A:$A),MATCH(G$1,[1]characters!$1:$1,0)-MATCH($C$1,[1]characters!$1:$1,0)+1),MATCH(G$1,[1]characters!$1:$1,0)-MATCH($C$1,[1]characters!$1:$1,0)+1,FALSE)</f>
        <v>green</v>
      </c>
      <c r="H35" s="9" t="str">
        <f>VLOOKUP(C35,[1]characters!$A:$K,11,FALSE)</f>
        <v>hp</v>
      </c>
      <c r="I35" s="9" t="str">
        <f>VLOOKUP(C35,[1]characters!$A:$M,13,FALSE)</f>
        <v>animal</v>
      </c>
      <c r="J35" s="6">
        <v>1</v>
      </c>
      <c r="K35" s="6">
        <v>0</v>
      </c>
      <c r="L35" s="22">
        <f t="shared" si="1"/>
        <v>0</v>
      </c>
      <c r="M35" s="10">
        <v>0</v>
      </c>
      <c r="N35" s="10">
        <v>0</v>
      </c>
      <c r="O35" s="10">
        <v>0</v>
      </c>
      <c r="P35" s="10">
        <v>0</v>
      </c>
      <c r="Q35" s="10">
        <v>1</v>
      </c>
    </row>
    <row r="36" spans="1:17" ht="21" customHeight="1">
      <c r="A36" s="8" t="str">
        <f t="shared" si="2"/>
        <v>203_71_1</v>
      </c>
      <c r="B36" s="5">
        <v>203</v>
      </c>
      <c r="C36" s="7">
        <v>71</v>
      </c>
      <c r="D36" s="9" t="str">
        <f ca="1">VLOOKUP($C36,OFFSET([1]characters!$A$1,0,0,COUNTA([1]characters!$A:$A),MATCH(D$1,[1]characters!$1:$1,0)-MATCH($C$1,[1]characters!$1:$1,0)+1),MATCH(D$1,[1]characters!$1:$1,0)-MATCH($C$1,[1]characters!$1:$1,0)+1,FALSE)</f>
        <v>ダックス</v>
      </c>
      <c r="E36" s="9" t="str">
        <f ca="1">VLOOKUP($C36,OFFSET([1]characters!$A$1,0,0,COUNTA([1]characters!$A:$A),MATCH(E$1,[1]characters!$1:$1,0)-MATCH($C$1,[1]characters!$1:$1,0)+1),MATCH(E$1,[1]characters!$1:$1,0)-MATCH($C$1,[1]characters!$1:$1,0)+1,FALSE)</f>
        <v>Drop1S</v>
      </c>
      <c r="F36" s="9">
        <f ca="1">VLOOKUP($C36,OFFSET([1]characters!$A$1,0,0,COUNTA([1]characters!$A:$A),MATCH(F$1,[1]characters!$1:$1,0)-MATCH($C$1,[1]characters!$1:$1,0)+1),MATCH(F$1,[1]characters!$1:$1,0)-MATCH($C$1,[1]characters!$1:$1,0)+1,FALSE)</f>
        <v>2</v>
      </c>
      <c r="G36" s="9" t="str">
        <f ca="1">VLOOKUP($C36,OFFSET([1]characters!$A$1,0,0,COUNTA([1]characters!$A:$A),MATCH(G$1,[1]characters!$1:$1,0)-MATCH($C$1,[1]characters!$1:$1,0)+1),MATCH(G$1,[1]characters!$1:$1,0)-MATCH($C$1,[1]characters!$1:$1,0)+1,FALSE)</f>
        <v>blue</v>
      </c>
      <c r="H36" s="9" t="str">
        <f>VLOOKUP(C36,[1]characters!$A:$K,11,FALSE)</f>
        <v>balance</v>
      </c>
      <c r="I36" s="9" t="str">
        <f>VLOOKUP(C36,[1]characters!$A:$M,13,FALSE)</f>
        <v>animal</v>
      </c>
      <c r="J36" s="6">
        <v>1</v>
      </c>
      <c r="K36" s="6">
        <v>0</v>
      </c>
      <c r="L36" s="22">
        <f t="shared" si="1"/>
        <v>0</v>
      </c>
      <c r="M36" s="10">
        <v>0</v>
      </c>
      <c r="N36" s="10">
        <v>0</v>
      </c>
      <c r="O36" s="10">
        <v>0</v>
      </c>
      <c r="P36" s="10">
        <v>0</v>
      </c>
      <c r="Q36" s="10">
        <v>1</v>
      </c>
    </row>
    <row r="37" spans="1:17" ht="21" customHeight="1">
      <c r="A37" s="8" t="str">
        <f t="shared" si="2"/>
        <v>203_74_1</v>
      </c>
      <c r="B37" s="5">
        <v>203</v>
      </c>
      <c r="C37" s="7">
        <v>74</v>
      </c>
      <c r="D37" s="9" t="str">
        <f ca="1">VLOOKUP($C37,OFFSET([1]characters!$A$1,0,0,COUNTA([1]characters!$A:$A),MATCH(D$1,[1]characters!$1:$1,0)-MATCH($C$1,[1]characters!$1:$1,0)+1),MATCH(D$1,[1]characters!$1:$1,0)-MATCH($C$1,[1]characters!$1:$1,0)+1,FALSE)</f>
        <v>サンダーバード</v>
      </c>
      <c r="E37" s="9" t="str">
        <f ca="1">VLOOKUP($C37,OFFSET([1]characters!$A$1,0,0,COUNTA([1]characters!$A:$A),MATCH(E$1,[1]characters!$1:$1,0)-MATCH($C$1,[1]characters!$1:$1,0)+1),MATCH(E$1,[1]characters!$1:$1,0)-MATCH($C$1,[1]characters!$1:$1,0)+1,FALSE)</f>
        <v>Drop1S</v>
      </c>
      <c r="F37" s="9">
        <f ca="1">VLOOKUP($C37,OFFSET([1]characters!$A$1,0,0,COUNTA([1]characters!$A:$A),MATCH(F$1,[1]characters!$1:$1,0)-MATCH($C$1,[1]characters!$1:$1,0)+1),MATCH(F$1,[1]characters!$1:$1,0)-MATCH($C$1,[1]characters!$1:$1,0)+1,FALSE)</f>
        <v>2</v>
      </c>
      <c r="G37" s="9" t="str">
        <f ca="1">VLOOKUP($C37,OFFSET([1]characters!$A$1,0,0,COUNTA([1]characters!$A:$A),MATCH(G$1,[1]characters!$1:$1,0)-MATCH($C$1,[1]characters!$1:$1,0)+1),MATCH(G$1,[1]characters!$1:$1,0)-MATCH($C$1,[1]characters!$1:$1,0)+1,FALSE)</f>
        <v>yellow</v>
      </c>
      <c r="H37" s="9" t="str">
        <f>VLOOKUP(C37,[1]characters!$A:$K,11,FALSE)</f>
        <v>attack</v>
      </c>
      <c r="I37" s="9" t="str">
        <f>VLOOKUP(C37,[1]characters!$A:$M,13,FALSE)</f>
        <v>animal</v>
      </c>
      <c r="J37" s="6">
        <v>1</v>
      </c>
      <c r="K37" s="6">
        <v>0</v>
      </c>
      <c r="L37" s="22">
        <f t="shared" si="1"/>
        <v>0</v>
      </c>
      <c r="M37" s="10">
        <v>0</v>
      </c>
      <c r="N37" s="10">
        <v>0</v>
      </c>
      <c r="O37" s="10">
        <v>0</v>
      </c>
      <c r="P37" s="10">
        <v>0</v>
      </c>
      <c r="Q37" s="10">
        <v>1</v>
      </c>
    </row>
    <row r="38" spans="1:17" ht="21" customHeight="1">
      <c r="A38" s="8" t="str">
        <f t="shared" si="2"/>
        <v>203_2_1</v>
      </c>
      <c r="B38" s="5">
        <v>203</v>
      </c>
      <c r="C38" s="7">
        <v>2</v>
      </c>
      <c r="D38" s="9" t="str">
        <f ca="1">VLOOKUP($C38,OFFSET([1]characters!$A$1,0,0,COUNTA([1]characters!$A:$A),MATCH(D$1,[1]characters!$1:$1,0)-MATCH($C$1,[1]characters!$1:$1,0)+1),MATCH(D$1,[1]characters!$1:$1,0)-MATCH($C$1,[1]characters!$1:$1,0)+1,FALSE)</f>
        <v>イレギュラー・ジェリー</v>
      </c>
      <c r="E38" s="9" t="str">
        <f ca="1">VLOOKUP($C38,OFFSET([1]characters!$A$1,0,0,COUNTA([1]characters!$A:$A),MATCH(E$1,[1]characters!$1:$1,0)-MATCH($C$1,[1]characters!$1:$1,0)+1),MATCH(E$1,[1]characters!$1:$1,0)-MATCH($C$1,[1]characters!$1:$1,0)+1,FALSE)</f>
        <v>Drop1T</v>
      </c>
      <c r="F38" s="9">
        <f ca="1">VLOOKUP($C38,OFFSET([1]characters!$A$1,0,0,COUNTA([1]characters!$A:$A),MATCH(F$1,[1]characters!$1:$1,0)-MATCH($C$1,[1]characters!$1:$1,0)+1),MATCH(F$1,[1]characters!$1:$1,0)-MATCH($C$1,[1]characters!$1:$1,0)+1,FALSE)</f>
        <v>2</v>
      </c>
      <c r="G38" s="9" t="str">
        <f ca="1">VLOOKUP($C38,OFFSET([1]characters!$A$1,0,0,COUNTA([1]characters!$A:$A),MATCH(G$1,[1]characters!$1:$1,0)-MATCH($C$1,[1]characters!$1:$1,0)+1),MATCH(G$1,[1]characters!$1:$1,0)-MATCH($C$1,[1]characters!$1:$1,0)+1,FALSE)</f>
        <v>red</v>
      </c>
      <c r="H38" s="9" t="str">
        <f>VLOOKUP(C38,[1]characters!$A:$K,11,FALSE)</f>
        <v>attack</v>
      </c>
      <c r="I38" s="9" t="str">
        <f>VLOOKUP(C38,[1]characters!$A:$M,13,FALSE)</f>
        <v>unknown</v>
      </c>
      <c r="J38" s="6">
        <v>1</v>
      </c>
      <c r="K38" s="6">
        <v>0</v>
      </c>
      <c r="L38" s="22">
        <f t="shared" si="1"/>
        <v>0</v>
      </c>
      <c r="M38" s="10">
        <v>0</v>
      </c>
      <c r="N38" s="10">
        <v>0</v>
      </c>
      <c r="O38" s="10">
        <v>0</v>
      </c>
      <c r="P38" s="10">
        <v>0</v>
      </c>
      <c r="Q38" s="10">
        <v>1</v>
      </c>
    </row>
    <row r="39" spans="1:17" ht="21" customHeight="1">
      <c r="A39" s="8" t="str">
        <f t="shared" si="2"/>
        <v>203_4_1</v>
      </c>
      <c r="B39" s="5">
        <v>203</v>
      </c>
      <c r="C39" s="7">
        <v>4</v>
      </c>
      <c r="D39" s="9" t="str">
        <f ca="1">VLOOKUP($C39,OFFSET([1]characters!$A$1,0,0,COUNTA([1]characters!$A:$A),MATCH(D$1,[1]characters!$1:$1,0)-MATCH($C$1,[1]characters!$1:$1,0)+1),MATCH(D$1,[1]characters!$1:$1,0)-MATCH($C$1,[1]characters!$1:$1,0)+1,FALSE)</f>
        <v>エースエージェント ジョー</v>
      </c>
      <c r="E39" s="9" t="str">
        <f ca="1">VLOOKUP($C39,OFFSET([1]characters!$A$1,0,0,COUNTA([1]characters!$A:$A),MATCH(E$1,[1]characters!$1:$1,0)-MATCH($C$1,[1]characters!$1:$1,0)+1),MATCH(E$1,[1]characters!$1:$1,0)-MATCH($C$1,[1]characters!$1:$1,0)+1,FALSE)</f>
        <v>Drop1T</v>
      </c>
      <c r="F39" s="9">
        <f ca="1">VLOOKUP($C39,OFFSET([1]characters!$A$1,0,0,COUNTA([1]characters!$A:$A),MATCH(F$1,[1]characters!$1:$1,0)-MATCH($C$1,[1]characters!$1:$1,0)+1),MATCH(F$1,[1]characters!$1:$1,0)-MATCH($C$1,[1]characters!$1:$1,0)+1,FALSE)</f>
        <v>2</v>
      </c>
      <c r="G39" s="9" t="str">
        <f ca="1">VLOOKUP($C39,OFFSET([1]characters!$A$1,0,0,COUNTA([1]characters!$A:$A),MATCH(G$1,[1]characters!$1:$1,0)-MATCH($C$1,[1]characters!$1:$1,0)+1),MATCH(G$1,[1]characters!$1:$1,0)-MATCH($C$1,[1]characters!$1:$1,0)+1,FALSE)</f>
        <v>green</v>
      </c>
      <c r="H39" s="9" t="str">
        <f>VLOOKUP(C39,[1]characters!$A:$K,11,FALSE)</f>
        <v>balance</v>
      </c>
      <c r="I39" s="9" t="str">
        <f>VLOOKUP(C39,[1]characters!$A:$M,13,FALSE)</f>
        <v>unknown</v>
      </c>
      <c r="J39" s="6">
        <v>1</v>
      </c>
      <c r="K39" s="6">
        <v>0</v>
      </c>
      <c r="L39" s="22">
        <f t="shared" si="1"/>
        <v>0</v>
      </c>
      <c r="M39" s="10">
        <v>0</v>
      </c>
      <c r="N39" s="10">
        <v>0</v>
      </c>
      <c r="O39" s="10">
        <v>0</v>
      </c>
      <c r="P39" s="10">
        <v>0</v>
      </c>
      <c r="Q39" s="10">
        <v>1</v>
      </c>
    </row>
    <row r="40" spans="1:17" ht="21" customHeight="1">
      <c r="A40" s="8" t="str">
        <f t="shared" si="2"/>
        <v>203_6_1</v>
      </c>
      <c r="B40" s="5">
        <v>203</v>
      </c>
      <c r="C40" s="7">
        <v>6</v>
      </c>
      <c r="D40" s="9" t="str">
        <f ca="1">VLOOKUP($C40,OFFSET([1]characters!$A$1,0,0,COUNTA([1]characters!$A:$A),MATCH(D$1,[1]characters!$1:$1,0)-MATCH($C$1,[1]characters!$1:$1,0)+1),MATCH(D$1,[1]characters!$1:$1,0)-MATCH($C$1,[1]characters!$1:$1,0)+1,FALSE)</f>
        <v>パトドッグリーダー ポチ</v>
      </c>
      <c r="E40" s="9" t="str">
        <f ca="1">VLOOKUP($C40,OFFSET([1]characters!$A$1,0,0,COUNTA([1]characters!$A:$A),MATCH(E$1,[1]characters!$1:$1,0)-MATCH($C$1,[1]characters!$1:$1,0)+1),MATCH(E$1,[1]characters!$1:$1,0)-MATCH($C$1,[1]characters!$1:$1,0)+1,FALSE)</f>
        <v>Drop1T</v>
      </c>
      <c r="F40" s="9">
        <f ca="1">VLOOKUP($C40,OFFSET([1]characters!$A$1,0,0,COUNTA([1]characters!$A:$A),MATCH(F$1,[1]characters!$1:$1,0)-MATCH($C$1,[1]characters!$1:$1,0)+1),MATCH(F$1,[1]characters!$1:$1,0)-MATCH($C$1,[1]characters!$1:$1,0)+1,FALSE)</f>
        <v>2</v>
      </c>
      <c r="G40" s="9" t="str">
        <f ca="1">VLOOKUP($C40,OFFSET([1]characters!$A$1,0,0,COUNTA([1]characters!$A:$A),MATCH(G$1,[1]characters!$1:$1,0)-MATCH($C$1,[1]characters!$1:$1,0)+1),MATCH(G$1,[1]characters!$1:$1,0)-MATCH($C$1,[1]characters!$1:$1,0)+1,FALSE)</f>
        <v>blue</v>
      </c>
      <c r="H40" s="9" t="str">
        <f>VLOOKUP(C40,[1]characters!$A:$K,11,FALSE)</f>
        <v>heal</v>
      </c>
      <c r="I40" s="9" t="str">
        <f>VLOOKUP(C40,[1]characters!$A:$M,13,FALSE)</f>
        <v>unknown</v>
      </c>
      <c r="J40" s="6">
        <v>1</v>
      </c>
      <c r="K40" s="6">
        <v>0</v>
      </c>
      <c r="L40" s="22">
        <f t="shared" si="1"/>
        <v>0</v>
      </c>
      <c r="M40" s="10">
        <v>0</v>
      </c>
      <c r="N40" s="10">
        <v>0</v>
      </c>
      <c r="O40" s="10">
        <v>0</v>
      </c>
      <c r="P40" s="10">
        <v>0</v>
      </c>
      <c r="Q40" s="10">
        <v>1</v>
      </c>
    </row>
    <row r="41" spans="1:17" ht="21" customHeight="1">
      <c r="A41" s="8" t="str">
        <f t="shared" si="2"/>
        <v>203_8_1</v>
      </c>
      <c r="B41" s="5">
        <v>203</v>
      </c>
      <c r="C41" s="7">
        <v>8</v>
      </c>
      <c r="D41" s="9" t="str">
        <f ca="1">VLOOKUP($C41,OFFSET([1]characters!$A$1,0,0,COUNTA([1]characters!$A:$A),MATCH(D$1,[1]characters!$1:$1,0)-MATCH($C$1,[1]characters!$1:$1,0)+1),MATCH(D$1,[1]characters!$1:$1,0)-MATCH($C$1,[1]characters!$1:$1,0)+1,FALSE)</f>
        <v>ハイボルテージ エレキポット</v>
      </c>
      <c r="E41" s="9" t="str">
        <f ca="1">VLOOKUP($C41,OFFSET([1]characters!$A$1,0,0,COUNTA([1]characters!$A:$A),MATCH(E$1,[1]characters!$1:$1,0)-MATCH($C$1,[1]characters!$1:$1,0)+1),MATCH(E$1,[1]characters!$1:$1,0)-MATCH($C$1,[1]characters!$1:$1,0)+1,FALSE)</f>
        <v>Drop1T</v>
      </c>
      <c r="F41" s="9">
        <f ca="1">VLOOKUP($C41,OFFSET([1]characters!$A$1,0,0,COUNTA([1]characters!$A:$A),MATCH(F$1,[1]characters!$1:$1,0)-MATCH($C$1,[1]characters!$1:$1,0)+1),MATCH(F$1,[1]characters!$1:$1,0)-MATCH($C$1,[1]characters!$1:$1,0)+1,FALSE)</f>
        <v>2</v>
      </c>
      <c r="G41" s="9" t="str">
        <f ca="1">VLOOKUP($C41,OFFSET([1]characters!$A$1,0,0,COUNTA([1]characters!$A:$A),MATCH(G$1,[1]characters!$1:$1,0)-MATCH($C$1,[1]characters!$1:$1,0)+1),MATCH(G$1,[1]characters!$1:$1,0)-MATCH($C$1,[1]characters!$1:$1,0)+1,FALSE)</f>
        <v>yellow</v>
      </c>
      <c r="H41" s="9" t="str">
        <f>VLOOKUP(C41,[1]characters!$A:$K,11,FALSE)</f>
        <v>attack</v>
      </c>
      <c r="I41" s="9" t="str">
        <f>VLOOKUP(C41,[1]characters!$A:$M,13,FALSE)</f>
        <v>unknown</v>
      </c>
      <c r="J41" s="6">
        <v>1</v>
      </c>
      <c r="K41" s="6">
        <v>0</v>
      </c>
      <c r="L41" s="22">
        <f t="shared" si="1"/>
        <v>0</v>
      </c>
      <c r="M41" s="10">
        <v>0</v>
      </c>
      <c r="N41" s="10">
        <v>0</v>
      </c>
      <c r="O41" s="10">
        <v>0</v>
      </c>
      <c r="P41" s="10">
        <v>0</v>
      </c>
      <c r="Q41" s="10">
        <v>1</v>
      </c>
    </row>
    <row r="42" spans="1:17" ht="21" customHeight="1">
      <c r="A42" s="8" t="str">
        <f t="shared" si="2"/>
        <v>203_10_1</v>
      </c>
      <c r="B42" s="5">
        <v>203</v>
      </c>
      <c r="C42" s="7">
        <v>10</v>
      </c>
      <c r="D42" s="9" t="str">
        <f ca="1">VLOOKUP($C42,OFFSET([1]characters!$A$1,0,0,COUNTA([1]characters!$A:$A),MATCH(D$1,[1]characters!$1:$1,0)-MATCH($C$1,[1]characters!$1:$1,0)+1),MATCH(D$1,[1]characters!$1:$1,0)-MATCH($C$1,[1]characters!$1:$1,0)+1,FALSE)</f>
        <v>燃える悪戯魂 ブレット</v>
      </c>
      <c r="E42" s="9" t="str">
        <f ca="1">VLOOKUP($C42,OFFSET([1]characters!$A$1,0,0,COUNTA([1]characters!$A:$A),MATCH(E$1,[1]characters!$1:$1,0)-MATCH($C$1,[1]characters!$1:$1,0)+1),MATCH(E$1,[1]characters!$1:$1,0)-MATCH($C$1,[1]characters!$1:$1,0)+1,FALSE)</f>
        <v>Drop1W</v>
      </c>
      <c r="F42" s="9">
        <f ca="1">VLOOKUP($C42,OFFSET([1]characters!$A$1,0,0,COUNTA([1]characters!$A:$A),MATCH(F$1,[1]characters!$1:$1,0)-MATCH($C$1,[1]characters!$1:$1,0)+1),MATCH(F$1,[1]characters!$1:$1,0)-MATCH($C$1,[1]characters!$1:$1,0)+1,FALSE)</f>
        <v>2</v>
      </c>
      <c r="G42" s="9" t="str">
        <f ca="1">VLOOKUP($C42,OFFSET([1]characters!$A$1,0,0,COUNTA([1]characters!$A:$A),MATCH(G$1,[1]characters!$1:$1,0)-MATCH($C$1,[1]characters!$1:$1,0)+1),MATCH(G$1,[1]characters!$1:$1,0)-MATCH($C$1,[1]characters!$1:$1,0)+1,FALSE)</f>
        <v>red</v>
      </c>
      <c r="H42" s="9" t="str">
        <f>VLOOKUP(C42,[1]characters!$A:$K,11,FALSE)</f>
        <v>attack</v>
      </c>
      <c r="I42" s="9" t="str">
        <f>VLOOKUP(C42,[1]characters!$A:$M,13,FALSE)</f>
        <v>animal</v>
      </c>
      <c r="J42" s="6">
        <v>1</v>
      </c>
      <c r="K42" s="6">
        <v>0</v>
      </c>
      <c r="L42" s="22">
        <f t="shared" si="1"/>
        <v>0</v>
      </c>
      <c r="M42" s="10">
        <v>0</v>
      </c>
      <c r="N42" s="10">
        <v>0</v>
      </c>
      <c r="O42" s="10">
        <v>0</v>
      </c>
      <c r="P42" s="10">
        <v>0</v>
      </c>
      <c r="Q42" s="10">
        <v>1</v>
      </c>
    </row>
    <row r="43" spans="1:17" ht="21" customHeight="1">
      <c r="A43" s="8" t="str">
        <f t="shared" si="2"/>
        <v>203_12_1</v>
      </c>
      <c r="B43" s="5">
        <v>203</v>
      </c>
      <c r="C43" s="7">
        <v>12</v>
      </c>
      <c r="D43" s="9" t="str">
        <f ca="1">VLOOKUP($C43,OFFSET([1]characters!$A$1,0,0,COUNTA([1]characters!$A:$A),MATCH(D$1,[1]characters!$1:$1,0)-MATCH($C$1,[1]characters!$1:$1,0)+1),MATCH(D$1,[1]characters!$1:$1,0)-MATCH($C$1,[1]characters!$1:$1,0)+1,FALSE)</f>
        <v>癒しのグラフィティ マグリット</v>
      </c>
      <c r="E43" s="9" t="str">
        <f ca="1">VLOOKUP($C43,OFFSET([1]characters!$A$1,0,0,COUNTA([1]characters!$A:$A),MATCH(E$1,[1]characters!$1:$1,0)-MATCH($C$1,[1]characters!$1:$1,0)+1),MATCH(E$1,[1]characters!$1:$1,0)-MATCH($C$1,[1]characters!$1:$1,0)+1,FALSE)</f>
        <v>Drop1W</v>
      </c>
      <c r="F43" s="9">
        <f ca="1">VLOOKUP($C43,OFFSET([1]characters!$A$1,0,0,COUNTA([1]characters!$A:$A),MATCH(F$1,[1]characters!$1:$1,0)-MATCH($C$1,[1]characters!$1:$1,0)+1),MATCH(F$1,[1]characters!$1:$1,0)-MATCH($C$1,[1]characters!$1:$1,0)+1,FALSE)</f>
        <v>2</v>
      </c>
      <c r="G43" s="9" t="str">
        <f ca="1">VLOOKUP($C43,OFFSET([1]characters!$A$1,0,0,COUNTA([1]characters!$A:$A),MATCH(G$1,[1]characters!$1:$1,0)-MATCH($C$1,[1]characters!$1:$1,0)+1),MATCH(G$1,[1]characters!$1:$1,0)-MATCH($C$1,[1]characters!$1:$1,0)+1,FALSE)</f>
        <v>green</v>
      </c>
      <c r="H43" s="9" t="str">
        <f>VLOOKUP(C43,[1]characters!$A:$K,11,FALSE)</f>
        <v>heal</v>
      </c>
      <c r="I43" s="9" t="str">
        <f>VLOOKUP(C43,[1]characters!$A:$M,13,FALSE)</f>
        <v>animal</v>
      </c>
      <c r="J43" s="6">
        <v>1</v>
      </c>
      <c r="K43" s="6">
        <v>0</v>
      </c>
      <c r="L43" s="22">
        <f t="shared" si="1"/>
        <v>0</v>
      </c>
      <c r="M43" s="10">
        <v>0</v>
      </c>
      <c r="N43" s="10">
        <v>0</v>
      </c>
      <c r="O43" s="10">
        <v>0</v>
      </c>
      <c r="P43" s="10">
        <v>0</v>
      </c>
      <c r="Q43" s="10">
        <v>1</v>
      </c>
    </row>
    <row r="44" spans="1:17" ht="21" customHeight="1">
      <c r="A44" s="8" t="str">
        <f t="shared" si="2"/>
        <v>203_14_1</v>
      </c>
      <c r="B44" s="5">
        <v>203</v>
      </c>
      <c r="C44" s="7">
        <v>14</v>
      </c>
      <c r="D44" s="9" t="str">
        <f ca="1">VLOOKUP($C44,OFFSET([1]characters!$A$1,0,0,COUNTA([1]characters!$A:$A),MATCH(D$1,[1]characters!$1:$1,0)-MATCH($C$1,[1]characters!$1:$1,0)+1),MATCH(D$1,[1]characters!$1:$1,0)-MATCH($C$1,[1]characters!$1:$1,0)+1,FALSE)</f>
        <v>ミミ・ザ・ガンマンキャット</v>
      </c>
      <c r="E44" s="9" t="str">
        <f ca="1">VLOOKUP($C44,OFFSET([1]characters!$A$1,0,0,COUNTA([1]characters!$A:$A),MATCH(E$1,[1]characters!$1:$1,0)-MATCH($C$1,[1]characters!$1:$1,0)+1),MATCH(E$1,[1]characters!$1:$1,0)-MATCH($C$1,[1]characters!$1:$1,0)+1,FALSE)</f>
        <v>Drop1W</v>
      </c>
      <c r="F44" s="9">
        <f ca="1">VLOOKUP($C44,OFFSET([1]characters!$A$1,0,0,COUNTA([1]characters!$A:$A),MATCH(F$1,[1]characters!$1:$1,0)-MATCH($C$1,[1]characters!$1:$1,0)+1),MATCH(F$1,[1]characters!$1:$1,0)-MATCH($C$1,[1]characters!$1:$1,0)+1,FALSE)</f>
        <v>2</v>
      </c>
      <c r="G44" s="9" t="str">
        <f ca="1">VLOOKUP($C44,OFFSET([1]characters!$A$1,0,0,COUNTA([1]characters!$A:$A),MATCH(G$1,[1]characters!$1:$1,0)-MATCH($C$1,[1]characters!$1:$1,0)+1),MATCH(G$1,[1]characters!$1:$1,0)-MATCH($C$1,[1]characters!$1:$1,0)+1,FALSE)</f>
        <v>yellow</v>
      </c>
      <c r="H44" s="9" t="str">
        <f>VLOOKUP(C44,[1]characters!$A:$K,11,FALSE)</f>
        <v>attack</v>
      </c>
      <c r="I44" s="9" t="str">
        <f>VLOOKUP(C44,[1]characters!$A:$M,13,FALSE)</f>
        <v>animal</v>
      </c>
      <c r="J44" s="6">
        <v>1</v>
      </c>
      <c r="K44" s="6">
        <v>0</v>
      </c>
      <c r="L44" s="22">
        <f t="shared" si="1"/>
        <v>0</v>
      </c>
      <c r="M44" s="10">
        <v>0</v>
      </c>
      <c r="N44" s="10">
        <v>0</v>
      </c>
      <c r="O44" s="10">
        <v>0</v>
      </c>
      <c r="P44" s="10">
        <v>0</v>
      </c>
      <c r="Q44" s="10">
        <v>1</v>
      </c>
    </row>
    <row r="45" spans="1:17" ht="21" customHeight="1">
      <c r="A45" s="8" t="str">
        <f t="shared" si="2"/>
        <v>203_16_1</v>
      </c>
      <c r="B45" s="5">
        <v>203</v>
      </c>
      <c r="C45" s="7">
        <v>16</v>
      </c>
      <c r="D45" s="9" t="str">
        <f ca="1">VLOOKUP($C45,OFFSET([1]characters!$A$1,0,0,COUNTA([1]characters!$A:$A),MATCH(D$1,[1]characters!$1:$1,0)-MATCH($C$1,[1]characters!$1:$1,0)+1),MATCH(D$1,[1]characters!$1:$1,0)-MATCH($C$1,[1]characters!$1:$1,0)+1,FALSE)</f>
        <v>炎戦少女 アカネ</v>
      </c>
      <c r="E45" s="9" t="str">
        <f ca="1">VLOOKUP($C45,OFFSET([1]characters!$A$1,0,0,COUNTA([1]characters!$A:$A),MATCH(E$1,[1]characters!$1:$1,0)-MATCH($C$1,[1]characters!$1:$1,0)+1),MATCH(E$1,[1]characters!$1:$1,0)-MATCH($C$1,[1]characters!$1:$1,0)+1,FALSE)</f>
        <v>Drop1W</v>
      </c>
      <c r="F45" s="9">
        <f ca="1">VLOOKUP($C45,OFFSET([1]characters!$A$1,0,0,COUNTA([1]characters!$A:$A),MATCH(F$1,[1]characters!$1:$1,0)-MATCH($C$1,[1]characters!$1:$1,0)+1),MATCH(F$1,[1]characters!$1:$1,0)-MATCH($C$1,[1]characters!$1:$1,0)+1,FALSE)</f>
        <v>2</v>
      </c>
      <c r="G45" s="9" t="str">
        <f ca="1">VLOOKUP($C45,OFFSET([1]characters!$A$1,0,0,COUNTA([1]characters!$A:$A),MATCH(G$1,[1]characters!$1:$1,0)-MATCH($C$1,[1]characters!$1:$1,0)+1),MATCH(G$1,[1]characters!$1:$1,0)-MATCH($C$1,[1]characters!$1:$1,0)+1,FALSE)</f>
        <v>red</v>
      </c>
      <c r="H45" s="9" t="str">
        <f>VLOOKUP(C45,[1]characters!$A:$K,11,FALSE)</f>
        <v>balance</v>
      </c>
      <c r="I45" s="9" t="str">
        <f>VLOOKUP(C45,[1]characters!$A:$M,13,FALSE)</f>
        <v>human</v>
      </c>
      <c r="J45" s="6">
        <v>1</v>
      </c>
      <c r="K45" s="6">
        <v>0</v>
      </c>
      <c r="L45" s="22">
        <f t="shared" si="1"/>
        <v>0</v>
      </c>
      <c r="M45" s="10">
        <v>0</v>
      </c>
      <c r="N45" s="10">
        <v>0</v>
      </c>
      <c r="O45" s="10">
        <v>0</v>
      </c>
      <c r="P45" s="10">
        <v>0</v>
      </c>
      <c r="Q45" s="10">
        <v>1</v>
      </c>
    </row>
    <row r="46" spans="1:17" ht="21" customHeight="1">
      <c r="A46" s="8" t="str">
        <f t="shared" si="2"/>
        <v>203_18_1</v>
      </c>
      <c r="B46" s="5">
        <v>203</v>
      </c>
      <c r="C46" s="7">
        <v>18</v>
      </c>
      <c r="D46" s="9" t="str">
        <f ca="1">VLOOKUP($C46,OFFSET([1]characters!$A$1,0,0,COUNTA([1]characters!$A:$A),MATCH(D$1,[1]characters!$1:$1,0)-MATCH($C$1,[1]characters!$1:$1,0)+1),MATCH(D$1,[1]characters!$1:$1,0)-MATCH($C$1,[1]characters!$1:$1,0)+1,FALSE)</f>
        <v>戦闘案内人 リム</v>
      </c>
      <c r="E46" s="9" t="str">
        <f ca="1">VLOOKUP($C46,OFFSET([1]characters!$A$1,0,0,COUNTA([1]characters!$A:$A),MATCH(E$1,[1]characters!$1:$1,0)-MATCH($C$1,[1]characters!$1:$1,0)+1),MATCH(E$1,[1]characters!$1:$1,0)-MATCH($C$1,[1]characters!$1:$1,0)+1,FALSE)</f>
        <v>Drop1W</v>
      </c>
      <c r="F46" s="9">
        <f ca="1">VLOOKUP($C46,OFFSET([1]characters!$A$1,0,0,COUNTA([1]characters!$A:$A),MATCH(F$1,[1]characters!$1:$1,0)-MATCH($C$1,[1]characters!$1:$1,0)+1),MATCH(F$1,[1]characters!$1:$1,0)-MATCH($C$1,[1]characters!$1:$1,0)+1,FALSE)</f>
        <v>2</v>
      </c>
      <c r="G46" s="9" t="str">
        <f ca="1">VLOOKUP($C46,OFFSET([1]characters!$A$1,0,0,COUNTA([1]characters!$A:$A),MATCH(G$1,[1]characters!$1:$1,0)-MATCH($C$1,[1]characters!$1:$1,0)+1),MATCH(G$1,[1]characters!$1:$1,0)-MATCH($C$1,[1]characters!$1:$1,0)+1,FALSE)</f>
        <v>blue</v>
      </c>
      <c r="H46" s="9" t="str">
        <f>VLOOKUP(C46,[1]characters!$A:$K,11,FALSE)</f>
        <v>balance</v>
      </c>
      <c r="I46" s="9" t="str">
        <f>VLOOKUP(C46,[1]characters!$A:$M,13,FALSE)</f>
        <v>human</v>
      </c>
      <c r="J46" s="6">
        <v>1</v>
      </c>
      <c r="K46" s="6">
        <v>0</v>
      </c>
      <c r="L46" s="22">
        <f t="shared" si="1"/>
        <v>0</v>
      </c>
      <c r="M46" s="10">
        <v>0</v>
      </c>
      <c r="N46" s="10">
        <v>0</v>
      </c>
      <c r="O46" s="10">
        <v>0</v>
      </c>
      <c r="P46" s="10">
        <v>0</v>
      </c>
      <c r="Q46" s="10">
        <v>1</v>
      </c>
    </row>
    <row r="47" spans="1:17" ht="21" customHeight="1">
      <c r="A47" s="8" t="str">
        <f t="shared" si="2"/>
        <v>203_20_1</v>
      </c>
      <c r="B47" s="5">
        <v>203</v>
      </c>
      <c r="C47" s="7">
        <v>20</v>
      </c>
      <c r="D47" s="9" t="str">
        <f ca="1">VLOOKUP($C47,OFFSET([1]characters!$A$1,0,0,COUNTA([1]characters!$A:$A),MATCH(D$1,[1]characters!$1:$1,0)-MATCH($C$1,[1]characters!$1:$1,0)+1),MATCH(D$1,[1]characters!$1:$1,0)-MATCH($C$1,[1]characters!$1:$1,0)+1,FALSE)</f>
        <v>電子妖精 ティンク</v>
      </c>
      <c r="E47" s="9" t="str">
        <f ca="1">VLOOKUP($C47,OFFSET([1]characters!$A$1,0,0,COUNTA([1]characters!$A:$A),MATCH(E$1,[1]characters!$1:$1,0)-MATCH($C$1,[1]characters!$1:$1,0)+1),MATCH(E$1,[1]characters!$1:$1,0)-MATCH($C$1,[1]characters!$1:$1,0)+1,FALSE)</f>
        <v>Drop1W</v>
      </c>
      <c r="F47" s="9">
        <f ca="1">VLOOKUP($C47,OFFSET([1]characters!$A$1,0,0,COUNTA([1]characters!$A:$A),MATCH(F$1,[1]characters!$1:$1,0)-MATCH($C$1,[1]characters!$1:$1,0)+1),MATCH(F$1,[1]characters!$1:$1,0)-MATCH($C$1,[1]characters!$1:$1,0)+1,FALSE)</f>
        <v>2</v>
      </c>
      <c r="G47" s="9" t="str">
        <f ca="1">VLOOKUP($C47,OFFSET([1]characters!$A$1,0,0,COUNTA([1]characters!$A:$A),MATCH(G$1,[1]characters!$1:$1,0)-MATCH($C$1,[1]characters!$1:$1,0)+1),MATCH(G$1,[1]characters!$1:$1,0)-MATCH($C$1,[1]characters!$1:$1,0)+1,FALSE)</f>
        <v>yellow</v>
      </c>
      <c r="H47" s="9" t="str">
        <f>VLOOKUP(C47,[1]characters!$A:$K,11,FALSE)</f>
        <v>balance</v>
      </c>
      <c r="I47" s="9" t="str">
        <f>VLOOKUP(C47,[1]characters!$A:$M,13,FALSE)</f>
        <v>human</v>
      </c>
      <c r="J47" s="6">
        <v>1</v>
      </c>
      <c r="K47" s="6">
        <v>0</v>
      </c>
      <c r="L47" s="22">
        <f t="shared" si="1"/>
        <v>0</v>
      </c>
      <c r="M47" s="10">
        <v>0</v>
      </c>
      <c r="N47" s="10">
        <v>0</v>
      </c>
      <c r="O47" s="10">
        <v>0</v>
      </c>
      <c r="P47" s="10">
        <v>0</v>
      </c>
      <c r="Q47" s="10">
        <v>1</v>
      </c>
    </row>
    <row r="48" spans="1:17" ht="21" customHeight="1">
      <c r="A48" s="8" t="str">
        <f t="shared" si="2"/>
        <v>203_22_1</v>
      </c>
      <c r="B48" s="5">
        <v>203</v>
      </c>
      <c r="C48" s="7">
        <v>22</v>
      </c>
      <c r="D48" s="9" t="str">
        <f ca="1">VLOOKUP($C48,OFFSET([1]characters!$A$1,0,0,COUNTA([1]characters!$A:$A),MATCH(D$1,[1]characters!$1:$1,0)-MATCH($C$1,[1]characters!$1:$1,0)+1),MATCH(D$1,[1]characters!$1:$1,0)-MATCH($C$1,[1]characters!$1:$1,0)+1,FALSE)</f>
        <v>突然変異ヴェロキー</v>
      </c>
      <c r="E48" s="9" t="str">
        <f ca="1">VLOOKUP($C48,OFFSET([1]characters!$A$1,0,0,COUNTA([1]characters!$A:$A),MATCH(E$1,[1]characters!$1:$1,0)-MATCH($C$1,[1]characters!$1:$1,0)+1),MATCH(E$1,[1]characters!$1:$1,0)-MATCH($C$1,[1]characters!$1:$1,0)+1,FALSE)</f>
        <v>Drop1N</v>
      </c>
      <c r="F48" s="9">
        <f ca="1">VLOOKUP($C48,OFFSET([1]characters!$A$1,0,0,COUNTA([1]characters!$A:$A),MATCH(F$1,[1]characters!$1:$1,0)-MATCH($C$1,[1]characters!$1:$1,0)+1),MATCH(F$1,[1]characters!$1:$1,0)-MATCH($C$1,[1]characters!$1:$1,0)+1,FALSE)</f>
        <v>2</v>
      </c>
      <c r="G48" s="9" t="str">
        <f ca="1">VLOOKUP($C48,OFFSET([1]characters!$A$1,0,0,COUNTA([1]characters!$A:$A),MATCH(G$1,[1]characters!$1:$1,0)-MATCH($C$1,[1]characters!$1:$1,0)+1),MATCH(G$1,[1]characters!$1:$1,0)-MATCH($C$1,[1]characters!$1:$1,0)+1,FALSE)</f>
        <v>red</v>
      </c>
      <c r="H48" s="9" t="str">
        <f>VLOOKUP(C48,[1]characters!$A:$K,11,FALSE)</f>
        <v>hp</v>
      </c>
      <c r="I48" s="9" t="str">
        <f>VLOOKUP(C48,[1]characters!$A:$M,13,FALSE)</f>
        <v>dragon</v>
      </c>
      <c r="J48" s="6">
        <v>1</v>
      </c>
      <c r="K48" s="6">
        <v>0</v>
      </c>
      <c r="L48" s="22">
        <f t="shared" si="1"/>
        <v>0</v>
      </c>
      <c r="M48" s="10">
        <v>0</v>
      </c>
      <c r="N48" s="10">
        <v>0</v>
      </c>
      <c r="O48" s="10">
        <v>0</v>
      </c>
      <c r="P48" s="10">
        <v>0</v>
      </c>
      <c r="Q48" s="10">
        <v>1</v>
      </c>
    </row>
    <row r="49" spans="1:17" ht="21" customHeight="1">
      <c r="A49" s="8" t="str">
        <f t="shared" si="2"/>
        <v>203_24_1</v>
      </c>
      <c r="B49" s="5">
        <v>203</v>
      </c>
      <c r="C49" s="7">
        <v>24</v>
      </c>
      <c r="D49" s="9" t="str">
        <f ca="1">VLOOKUP($C49,OFFSET([1]characters!$A$1,0,0,COUNTA([1]characters!$A:$A),MATCH(D$1,[1]characters!$1:$1,0)-MATCH($C$1,[1]characters!$1:$1,0)+1),MATCH(D$1,[1]characters!$1:$1,0)-MATCH($C$1,[1]characters!$1:$1,0)+1,FALSE)</f>
        <v>天翔のミール</v>
      </c>
      <c r="E49" s="9" t="str">
        <f ca="1">VLOOKUP($C49,OFFSET([1]characters!$A$1,0,0,COUNTA([1]characters!$A:$A),MATCH(E$1,[1]characters!$1:$1,0)-MATCH($C$1,[1]characters!$1:$1,0)+1),MATCH(E$1,[1]characters!$1:$1,0)-MATCH($C$1,[1]characters!$1:$1,0)+1,FALSE)</f>
        <v>Drop1N</v>
      </c>
      <c r="F49" s="9">
        <f ca="1">VLOOKUP($C49,OFFSET([1]characters!$A$1,0,0,COUNTA([1]characters!$A:$A),MATCH(F$1,[1]characters!$1:$1,0)-MATCH($C$1,[1]characters!$1:$1,0)+1),MATCH(F$1,[1]characters!$1:$1,0)-MATCH($C$1,[1]characters!$1:$1,0)+1,FALSE)</f>
        <v>2</v>
      </c>
      <c r="G49" s="9" t="str">
        <f ca="1">VLOOKUP($C49,OFFSET([1]characters!$A$1,0,0,COUNTA([1]characters!$A:$A),MATCH(G$1,[1]characters!$1:$1,0)-MATCH($C$1,[1]characters!$1:$1,0)+1),MATCH(G$1,[1]characters!$1:$1,0)-MATCH($C$1,[1]characters!$1:$1,0)+1,FALSE)</f>
        <v>green</v>
      </c>
      <c r="H49" s="9" t="str">
        <f>VLOOKUP(C49,[1]characters!$A:$K,11,FALSE)</f>
        <v>hp</v>
      </c>
      <c r="I49" s="9" t="str">
        <f>VLOOKUP(C49,[1]characters!$A:$M,13,FALSE)</f>
        <v>animal</v>
      </c>
      <c r="J49" s="6">
        <v>1</v>
      </c>
      <c r="K49" s="6">
        <v>0</v>
      </c>
      <c r="L49" s="22">
        <f t="shared" si="1"/>
        <v>0</v>
      </c>
      <c r="M49" s="10">
        <v>0</v>
      </c>
      <c r="N49" s="10">
        <v>0</v>
      </c>
      <c r="O49" s="10">
        <v>0</v>
      </c>
      <c r="P49" s="10">
        <v>0</v>
      </c>
      <c r="Q49" s="10">
        <v>1</v>
      </c>
    </row>
    <row r="50" spans="1:17" ht="21" customHeight="1">
      <c r="A50" s="8" t="str">
        <f t="shared" si="2"/>
        <v>203_26_1</v>
      </c>
      <c r="B50" s="5">
        <v>203</v>
      </c>
      <c r="C50" s="7">
        <v>26</v>
      </c>
      <c r="D50" s="9" t="str">
        <f ca="1">VLOOKUP($C50,OFFSET([1]characters!$A$1,0,0,COUNTA([1]characters!$A:$A),MATCH(D$1,[1]characters!$1:$1,0)-MATCH($C$1,[1]characters!$1:$1,0)+1),MATCH(D$1,[1]characters!$1:$1,0)-MATCH($C$1,[1]characters!$1:$1,0)+1,FALSE)</f>
        <v>勇犬 ハチ</v>
      </c>
      <c r="E50" s="9" t="str">
        <f ca="1">VLOOKUP($C50,OFFSET([1]characters!$A$1,0,0,COUNTA([1]characters!$A:$A),MATCH(E$1,[1]characters!$1:$1,0)-MATCH($C$1,[1]characters!$1:$1,0)+1),MATCH(E$1,[1]characters!$1:$1,0)-MATCH($C$1,[1]characters!$1:$1,0)+1,FALSE)</f>
        <v>Drop1N</v>
      </c>
      <c r="F50" s="9">
        <f ca="1">VLOOKUP($C50,OFFSET([1]characters!$A$1,0,0,COUNTA([1]characters!$A:$A),MATCH(F$1,[1]characters!$1:$1,0)-MATCH($C$1,[1]characters!$1:$1,0)+1),MATCH(F$1,[1]characters!$1:$1,0)-MATCH($C$1,[1]characters!$1:$1,0)+1,FALSE)</f>
        <v>2</v>
      </c>
      <c r="G50" s="9" t="str">
        <f ca="1">VLOOKUP($C50,OFFSET([1]characters!$A$1,0,0,COUNTA([1]characters!$A:$A),MATCH(G$1,[1]characters!$1:$1,0)-MATCH($C$1,[1]characters!$1:$1,0)+1),MATCH(G$1,[1]characters!$1:$1,0)-MATCH($C$1,[1]characters!$1:$1,0)+1,FALSE)</f>
        <v>blue</v>
      </c>
      <c r="H50" s="9" t="str">
        <f>VLOOKUP(C50,[1]characters!$A:$K,11,FALSE)</f>
        <v>hp</v>
      </c>
      <c r="I50" s="9" t="str">
        <f>VLOOKUP(C50,[1]characters!$A:$M,13,FALSE)</f>
        <v>animal</v>
      </c>
      <c r="J50" s="6">
        <v>1</v>
      </c>
      <c r="K50" s="6">
        <v>0</v>
      </c>
      <c r="L50" s="22">
        <f t="shared" si="1"/>
        <v>0</v>
      </c>
      <c r="M50" s="10">
        <v>0</v>
      </c>
      <c r="N50" s="10">
        <v>0</v>
      </c>
      <c r="O50" s="10">
        <v>0</v>
      </c>
      <c r="P50" s="10">
        <v>0</v>
      </c>
      <c r="Q50" s="10">
        <v>1</v>
      </c>
    </row>
    <row r="51" spans="1:17" ht="21" customHeight="1">
      <c r="A51" s="8" t="str">
        <f t="shared" si="2"/>
        <v>203_28_1</v>
      </c>
      <c r="B51" s="5">
        <v>203</v>
      </c>
      <c r="C51" s="7">
        <v>28</v>
      </c>
      <c r="D51" s="9" t="str">
        <f ca="1">VLOOKUP($C51,OFFSET([1]characters!$A$1,0,0,COUNTA([1]characters!$A:$A),MATCH(D$1,[1]characters!$1:$1,0)-MATCH($C$1,[1]characters!$1:$1,0)+1),MATCH(D$1,[1]characters!$1:$1,0)-MATCH($C$1,[1]characters!$1:$1,0)+1,FALSE)</f>
        <v>現場急行 パトラインカスタム</v>
      </c>
      <c r="E51" s="9" t="str">
        <f ca="1">VLOOKUP($C51,OFFSET([1]characters!$A$1,0,0,COUNTA([1]characters!$A:$A),MATCH(E$1,[1]characters!$1:$1,0)-MATCH($C$1,[1]characters!$1:$1,0)+1),MATCH(E$1,[1]characters!$1:$1,0)-MATCH($C$1,[1]characters!$1:$1,0)+1,FALSE)</f>
        <v>Drop1N</v>
      </c>
      <c r="F51" s="9">
        <f ca="1">VLOOKUP($C51,OFFSET([1]characters!$A$1,0,0,COUNTA([1]characters!$A:$A),MATCH(F$1,[1]characters!$1:$1,0)-MATCH($C$1,[1]characters!$1:$1,0)+1),MATCH(F$1,[1]characters!$1:$1,0)-MATCH($C$1,[1]characters!$1:$1,0)+1,FALSE)</f>
        <v>2</v>
      </c>
      <c r="G51" s="9" t="str">
        <f ca="1">VLOOKUP($C51,OFFSET([1]characters!$A$1,0,0,COUNTA([1]characters!$A:$A),MATCH(G$1,[1]characters!$1:$1,0)-MATCH($C$1,[1]characters!$1:$1,0)+1),MATCH(G$1,[1]characters!$1:$1,0)-MATCH($C$1,[1]characters!$1:$1,0)+1,FALSE)</f>
        <v>green</v>
      </c>
      <c r="H51" s="9" t="str">
        <f>VLOOKUP(C51,[1]characters!$A:$K,11,FALSE)</f>
        <v>heal</v>
      </c>
      <c r="I51" s="9" t="str">
        <f>VLOOKUP(C51,[1]characters!$A:$M,13,FALSE)</f>
        <v>machine</v>
      </c>
      <c r="J51" s="6">
        <v>1</v>
      </c>
      <c r="K51" s="6">
        <v>0</v>
      </c>
      <c r="L51" s="22">
        <f t="shared" si="1"/>
        <v>0</v>
      </c>
      <c r="M51" s="10">
        <v>0</v>
      </c>
      <c r="N51" s="10">
        <v>0</v>
      </c>
      <c r="O51" s="10">
        <v>0</v>
      </c>
      <c r="P51" s="10">
        <v>0</v>
      </c>
      <c r="Q51" s="10">
        <v>1</v>
      </c>
    </row>
    <row r="52" spans="1:17" ht="21" customHeight="1">
      <c r="A52" s="8" t="str">
        <f t="shared" si="2"/>
        <v>203_30_1</v>
      </c>
      <c r="B52" s="5">
        <v>203</v>
      </c>
      <c r="C52" s="7">
        <v>30</v>
      </c>
      <c r="D52" s="9" t="str">
        <f ca="1">VLOOKUP($C52,OFFSET([1]characters!$A$1,0,0,COUNTA([1]characters!$A:$A),MATCH(D$1,[1]characters!$1:$1,0)-MATCH($C$1,[1]characters!$1:$1,0)+1),MATCH(D$1,[1]characters!$1:$1,0)-MATCH($C$1,[1]characters!$1:$1,0)+1,FALSE)</f>
        <v>護衛機人 スケアクロウ</v>
      </c>
      <c r="E52" s="9" t="str">
        <f ca="1">VLOOKUP($C52,OFFSET([1]characters!$A$1,0,0,COUNTA([1]characters!$A:$A),MATCH(E$1,[1]characters!$1:$1,0)-MATCH($C$1,[1]characters!$1:$1,0)+1),MATCH(E$1,[1]characters!$1:$1,0)-MATCH($C$1,[1]characters!$1:$1,0)+1,FALSE)</f>
        <v>Drop1N</v>
      </c>
      <c r="F52" s="9">
        <f ca="1">VLOOKUP($C52,OFFSET([1]characters!$A$1,0,0,COUNTA([1]characters!$A:$A),MATCH(F$1,[1]characters!$1:$1,0)-MATCH($C$1,[1]characters!$1:$1,0)+1),MATCH(F$1,[1]characters!$1:$1,0)-MATCH($C$1,[1]characters!$1:$1,0)+1,FALSE)</f>
        <v>2</v>
      </c>
      <c r="G52" s="9" t="str">
        <f ca="1">VLOOKUP($C52,OFFSET([1]characters!$A$1,0,0,COUNTA([1]characters!$A:$A),MATCH(G$1,[1]characters!$1:$1,0)-MATCH($C$1,[1]characters!$1:$1,0)+1),MATCH(G$1,[1]characters!$1:$1,0)-MATCH($C$1,[1]characters!$1:$1,0)+1,FALSE)</f>
        <v>blue</v>
      </c>
      <c r="H52" s="9" t="str">
        <f>VLOOKUP(C52,[1]characters!$A:$K,11,FALSE)</f>
        <v>heal</v>
      </c>
      <c r="I52" s="9" t="str">
        <f>VLOOKUP(C52,[1]characters!$A:$M,13,FALSE)</f>
        <v>machine</v>
      </c>
      <c r="J52" s="6">
        <v>1</v>
      </c>
      <c r="K52" s="6">
        <v>0</v>
      </c>
      <c r="L52" s="22">
        <f t="shared" si="1"/>
        <v>0</v>
      </c>
      <c r="M52" s="10">
        <v>0</v>
      </c>
      <c r="N52" s="10">
        <v>0</v>
      </c>
      <c r="O52" s="10">
        <v>0</v>
      </c>
      <c r="P52" s="10">
        <v>0</v>
      </c>
      <c r="Q52" s="10">
        <v>1</v>
      </c>
    </row>
    <row r="53" spans="1:17" ht="21" customHeight="1">
      <c r="A53" s="8" t="str">
        <f t="shared" si="2"/>
        <v>203_32_1</v>
      </c>
      <c r="B53" s="5">
        <v>203</v>
      </c>
      <c r="C53" s="7">
        <v>32</v>
      </c>
      <c r="D53" s="9" t="str">
        <f ca="1">VLOOKUP($C53,OFFSET([1]characters!$A$1,0,0,COUNTA([1]characters!$A:$A),MATCH(D$1,[1]characters!$1:$1,0)-MATCH($C$1,[1]characters!$1:$1,0)+1),MATCH(D$1,[1]characters!$1:$1,0)-MATCH($C$1,[1]characters!$1:$1,0)+1,FALSE)</f>
        <v>沈黙のジャミング マービー</v>
      </c>
      <c r="E53" s="9" t="str">
        <f ca="1">VLOOKUP($C53,OFFSET([1]characters!$A$1,0,0,COUNTA([1]characters!$A:$A),MATCH(E$1,[1]characters!$1:$1,0)-MATCH($C$1,[1]characters!$1:$1,0)+1),MATCH(E$1,[1]characters!$1:$1,0)-MATCH($C$1,[1]characters!$1:$1,0)+1,FALSE)</f>
        <v>Drop1N</v>
      </c>
      <c r="F53" s="9">
        <f ca="1">VLOOKUP($C53,OFFSET([1]characters!$A$1,0,0,COUNTA([1]characters!$A:$A),MATCH(F$1,[1]characters!$1:$1,0)-MATCH($C$1,[1]characters!$1:$1,0)+1),MATCH(F$1,[1]characters!$1:$1,0)-MATCH($C$1,[1]characters!$1:$1,0)+1,FALSE)</f>
        <v>2</v>
      </c>
      <c r="G53" s="9" t="str">
        <f ca="1">VLOOKUP($C53,OFFSET([1]characters!$A$1,0,0,COUNTA([1]characters!$A:$A),MATCH(G$1,[1]characters!$1:$1,0)-MATCH($C$1,[1]characters!$1:$1,0)+1),MATCH(G$1,[1]characters!$1:$1,0)-MATCH($C$1,[1]characters!$1:$1,0)+1,FALSE)</f>
        <v>yellow</v>
      </c>
      <c r="H53" s="9" t="str">
        <f>VLOOKUP(C53,[1]characters!$A:$K,11,FALSE)</f>
        <v>technical</v>
      </c>
      <c r="I53" s="9" t="str">
        <f>VLOOKUP(C53,[1]characters!$A:$M,13,FALSE)</f>
        <v>machine</v>
      </c>
      <c r="J53" s="6">
        <v>1</v>
      </c>
      <c r="K53" s="6">
        <v>0</v>
      </c>
      <c r="L53" s="22">
        <f t="shared" si="1"/>
        <v>0</v>
      </c>
      <c r="M53" s="10">
        <v>0</v>
      </c>
      <c r="N53" s="10">
        <v>0</v>
      </c>
      <c r="O53" s="10">
        <v>0</v>
      </c>
      <c r="P53" s="10">
        <v>0</v>
      </c>
      <c r="Q53" s="10">
        <v>1</v>
      </c>
    </row>
    <row r="54" spans="1:17" ht="21" customHeight="1">
      <c r="A54" s="8" t="str">
        <f t="shared" si="2"/>
        <v>203_77_1</v>
      </c>
      <c r="B54" s="5">
        <v>203</v>
      </c>
      <c r="C54" s="7">
        <v>77</v>
      </c>
      <c r="D54" s="9" t="str">
        <f ca="1">VLOOKUP($C54,OFFSET([1]characters!$A$1,0,0,COUNTA([1]characters!$A:$A),MATCH(D$1,[1]characters!$1:$1,0)-MATCH($C$1,[1]characters!$1:$1,0)+1),MATCH(D$1,[1]characters!$1:$1,0)-MATCH($C$1,[1]characters!$1:$1,0)+1,FALSE)</f>
        <v>潜伏型メリッサ</v>
      </c>
      <c r="E54" s="9" t="str">
        <f ca="1">VLOOKUP($C54,OFFSET([1]characters!$A$1,0,0,COUNTA([1]characters!$A:$A),MATCH(E$1,[1]characters!$1:$1,0)-MATCH($C$1,[1]characters!$1:$1,0)+1),MATCH(E$1,[1]characters!$1:$1,0)-MATCH($C$1,[1]characters!$1:$1,0)+1,FALSE)</f>
        <v>PremiumW</v>
      </c>
      <c r="F54" s="9">
        <f ca="1">VLOOKUP($C54,OFFSET([1]characters!$A$1,0,0,COUNTA([1]characters!$A:$A),MATCH(F$1,[1]characters!$1:$1,0)-MATCH($C$1,[1]characters!$1:$1,0)+1),MATCH(F$1,[1]characters!$1:$1,0)-MATCH($C$1,[1]characters!$1:$1,0)+1,FALSE)</f>
        <v>3</v>
      </c>
      <c r="G54" s="9" t="str">
        <f ca="1">VLOOKUP($C54,OFFSET([1]characters!$A$1,0,0,COUNTA([1]characters!$A:$A),MATCH(G$1,[1]characters!$1:$1,0)-MATCH($C$1,[1]characters!$1:$1,0)+1),MATCH(G$1,[1]characters!$1:$1,0)-MATCH($C$1,[1]characters!$1:$1,0)+1,FALSE)</f>
        <v>red</v>
      </c>
      <c r="H54" s="9" t="str">
        <f>VLOOKUP(C54,[1]characters!$A:$K,11,FALSE)</f>
        <v>technical</v>
      </c>
      <c r="I54" s="9" t="str">
        <f>VLOOKUP(C54,[1]characters!$A:$M,13,FALSE)</f>
        <v>unknown</v>
      </c>
      <c r="J54" s="6">
        <v>1</v>
      </c>
      <c r="K54" s="6">
        <v>0</v>
      </c>
      <c r="L54" s="22">
        <f t="shared" si="1"/>
        <v>0</v>
      </c>
      <c r="M54" s="10">
        <v>0</v>
      </c>
      <c r="N54" s="10">
        <v>0</v>
      </c>
      <c r="O54" s="10">
        <v>0</v>
      </c>
      <c r="P54" s="10">
        <v>0</v>
      </c>
      <c r="Q54" s="10">
        <v>1</v>
      </c>
    </row>
    <row r="55" spans="1:17" ht="21" customHeight="1">
      <c r="A55" s="8" t="str">
        <f t="shared" si="2"/>
        <v>203_79_1</v>
      </c>
      <c r="B55" s="5">
        <v>203</v>
      </c>
      <c r="C55" s="7">
        <v>79</v>
      </c>
      <c r="D55" s="9" t="str">
        <f ca="1">VLOOKUP($C55,OFFSET([1]characters!$A$1,0,0,COUNTA([1]characters!$A:$A),MATCH(D$1,[1]characters!$1:$1,0)-MATCH($C$1,[1]characters!$1:$1,0)+1),MATCH(D$1,[1]characters!$1:$1,0)-MATCH($C$1,[1]characters!$1:$1,0)+1,FALSE)</f>
        <v>ハッピー100</v>
      </c>
      <c r="E55" s="9" t="str">
        <f ca="1">VLOOKUP($C55,OFFSET([1]characters!$A$1,0,0,COUNTA([1]characters!$A:$A),MATCH(E$1,[1]characters!$1:$1,0)-MATCH($C$1,[1]characters!$1:$1,0)+1),MATCH(E$1,[1]characters!$1:$1,0)-MATCH($C$1,[1]characters!$1:$1,0)+1,FALSE)</f>
        <v>PremiumW</v>
      </c>
      <c r="F55" s="9">
        <f ca="1">VLOOKUP($C55,OFFSET([1]characters!$A$1,0,0,COUNTA([1]characters!$A:$A),MATCH(F$1,[1]characters!$1:$1,0)-MATCH($C$1,[1]characters!$1:$1,0)+1),MATCH(F$1,[1]characters!$1:$1,0)-MATCH($C$1,[1]characters!$1:$1,0)+1,FALSE)</f>
        <v>3</v>
      </c>
      <c r="G55" s="9" t="str">
        <f ca="1">VLOOKUP($C55,OFFSET([1]characters!$A$1,0,0,COUNTA([1]characters!$A:$A),MATCH(G$1,[1]characters!$1:$1,0)-MATCH($C$1,[1]characters!$1:$1,0)+1),MATCH(G$1,[1]characters!$1:$1,0)-MATCH($C$1,[1]characters!$1:$1,0)+1,FALSE)</f>
        <v>green</v>
      </c>
      <c r="H55" s="9" t="str">
        <f>VLOOKUP(C55,[1]characters!$A:$K,11,FALSE)</f>
        <v>heal</v>
      </c>
      <c r="I55" s="9" t="str">
        <f>VLOOKUP(C55,[1]characters!$A:$M,13,FALSE)</f>
        <v>unknown</v>
      </c>
      <c r="J55" s="6">
        <v>1</v>
      </c>
      <c r="K55" s="6">
        <v>0</v>
      </c>
      <c r="L55" s="22">
        <f t="shared" si="1"/>
        <v>0</v>
      </c>
      <c r="M55" s="10">
        <v>0</v>
      </c>
      <c r="N55" s="10">
        <v>0</v>
      </c>
      <c r="O55" s="10">
        <v>0</v>
      </c>
      <c r="P55" s="10">
        <v>0</v>
      </c>
      <c r="Q55" s="10">
        <v>1</v>
      </c>
    </row>
    <row r="56" spans="1:17" ht="21" customHeight="1">
      <c r="A56" s="8" t="str">
        <f t="shared" si="2"/>
        <v>203_81_1</v>
      </c>
      <c r="B56" s="5">
        <v>203</v>
      </c>
      <c r="C56" s="7">
        <v>81</v>
      </c>
      <c r="D56" s="9" t="str">
        <f ca="1">VLOOKUP($C56,OFFSET([1]characters!$A$1,0,0,COUNTA([1]characters!$A:$A),MATCH(D$1,[1]characters!$1:$1,0)-MATCH($C$1,[1]characters!$1:$1,0)+1),MATCH(D$1,[1]characters!$1:$1,0)-MATCH($C$1,[1]characters!$1:$1,0)+1,FALSE)</f>
        <v>増幅型モリス</v>
      </c>
      <c r="E56" s="9" t="str">
        <f ca="1">VLOOKUP($C56,OFFSET([1]characters!$A$1,0,0,COUNTA([1]characters!$A:$A),MATCH(E$1,[1]characters!$1:$1,0)-MATCH($C$1,[1]characters!$1:$1,0)+1),MATCH(E$1,[1]characters!$1:$1,0)-MATCH($C$1,[1]characters!$1:$1,0)+1,FALSE)</f>
        <v>PremiumW</v>
      </c>
      <c r="F56" s="9">
        <f ca="1">VLOOKUP($C56,OFFSET([1]characters!$A$1,0,0,COUNTA([1]characters!$A:$A),MATCH(F$1,[1]characters!$1:$1,0)-MATCH($C$1,[1]characters!$1:$1,0)+1),MATCH(F$1,[1]characters!$1:$1,0)-MATCH($C$1,[1]characters!$1:$1,0)+1,FALSE)</f>
        <v>3</v>
      </c>
      <c r="G56" s="9" t="str">
        <f ca="1">VLOOKUP($C56,OFFSET([1]characters!$A$1,0,0,COUNTA([1]characters!$A:$A),MATCH(G$1,[1]characters!$1:$1,0)-MATCH($C$1,[1]characters!$1:$1,0)+1),MATCH(G$1,[1]characters!$1:$1,0)-MATCH($C$1,[1]characters!$1:$1,0)+1,FALSE)</f>
        <v>blue</v>
      </c>
      <c r="H56" s="9" t="str">
        <f>VLOOKUP(C56,[1]characters!$A:$K,11,FALSE)</f>
        <v>balance</v>
      </c>
      <c r="I56" s="9" t="str">
        <f>VLOOKUP(C56,[1]characters!$A:$M,13,FALSE)</f>
        <v>unknown</v>
      </c>
      <c r="J56" s="6">
        <v>1</v>
      </c>
      <c r="K56" s="6">
        <v>0</v>
      </c>
      <c r="L56" s="22">
        <f t="shared" si="1"/>
        <v>0</v>
      </c>
      <c r="M56" s="10">
        <v>0</v>
      </c>
      <c r="N56" s="10">
        <v>0</v>
      </c>
      <c r="O56" s="10">
        <v>0</v>
      </c>
      <c r="P56" s="10">
        <v>0</v>
      </c>
      <c r="Q56" s="10">
        <v>1</v>
      </c>
    </row>
    <row r="57" spans="1:17" ht="21" customHeight="1">
      <c r="A57" s="8" t="str">
        <f t="shared" si="2"/>
        <v>203_83_1</v>
      </c>
      <c r="B57" s="5">
        <v>203</v>
      </c>
      <c r="C57" s="7">
        <v>83</v>
      </c>
      <c r="D57" s="9" t="str">
        <f ca="1">VLOOKUP($C57,OFFSET([1]characters!$A$1,0,0,COUNTA([1]characters!$A:$A),MATCH(D$1,[1]characters!$1:$1,0)-MATCH($C$1,[1]characters!$1:$1,0)+1),MATCH(D$1,[1]characters!$1:$1,0)-MATCH($C$1,[1]characters!$1:$1,0)+1,FALSE)</f>
        <v>拡散性ニムダ</v>
      </c>
      <c r="E57" s="9" t="str">
        <f ca="1">VLOOKUP($C57,OFFSET([1]characters!$A$1,0,0,COUNTA([1]characters!$A:$A),MATCH(E$1,[1]characters!$1:$1,0)-MATCH($C$1,[1]characters!$1:$1,0)+1),MATCH(E$1,[1]characters!$1:$1,0)-MATCH($C$1,[1]characters!$1:$1,0)+1,FALSE)</f>
        <v>PremiumW</v>
      </c>
      <c r="F57" s="9">
        <f ca="1">VLOOKUP($C57,OFFSET([1]characters!$A$1,0,0,COUNTA([1]characters!$A:$A),MATCH(F$1,[1]characters!$1:$1,0)-MATCH($C$1,[1]characters!$1:$1,0)+1),MATCH(F$1,[1]characters!$1:$1,0)-MATCH($C$1,[1]characters!$1:$1,0)+1,FALSE)</f>
        <v>3</v>
      </c>
      <c r="G57" s="9" t="str">
        <f ca="1">VLOOKUP($C57,OFFSET([1]characters!$A$1,0,0,COUNTA([1]characters!$A:$A),MATCH(G$1,[1]characters!$1:$1,0)-MATCH($C$1,[1]characters!$1:$1,0)+1),MATCH(G$1,[1]characters!$1:$1,0)-MATCH($C$1,[1]characters!$1:$1,0)+1,FALSE)</f>
        <v>yellow</v>
      </c>
      <c r="H57" s="9" t="str">
        <f>VLOOKUP(C57,[1]characters!$A:$K,11,FALSE)</f>
        <v>heal</v>
      </c>
      <c r="I57" s="9" t="str">
        <f>VLOOKUP(C57,[1]characters!$A:$M,13,FALSE)</f>
        <v>unknown</v>
      </c>
      <c r="J57" s="6">
        <v>1</v>
      </c>
      <c r="K57" s="6">
        <v>0</v>
      </c>
      <c r="L57" s="22">
        <f t="shared" si="1"/>
        <v>0</v>
      </c>
      <c r="M57" s="10">
        <v>0</v>
      </c>
      <c r="N57" s="10">
        <v>0</v>
      </c>
      <c r="O57" s="10">
        <v>0</v>
      </c>
      <c r="P57" s="10">
        <v>0</v>
      </c>
      <c r="Q57" s="10">
        <v>1</v>
      </c>
    </row>
    <row r="58" spans="1:17" ht="21" customHeight="1">
      <c r="A58" s="8" t="str">
        <f t="shared" si="2"/>
        <v>203_85_1</v>
      </c>
      <c r="B58" s="5">
        <v>203</v>
      </c>
      <c r="C58" s="7">
        <v>85</v>
      </c>
      <c r="D58" s="9" t="str">
        <f ca="1">VLOOKUP($C58,OFFSET([1]characters!$A$1,0,0,COUNTA([1]characters!$A:$A),MATCH(D$1,[1]characters!$1:$1,0)-MATCH($C$1,[1]characters!$1:$1,0)+1),MATCH(D$1,[1]characters!$1:$1,0)-MATCH($C$1,[1]characters!$1:$1,0)+1,FALSE)</f>
        <v>朱雀</v>
      </c>
      <c r="E58" s="9" t="str">
        <f ca="1">VLOOKUP($C58,OFFSET([1]characters!$A$1,0,0,COUNTA([1]characters!$A:$A),MATCH(E$1,[1]characters!$1:$1,0)-MATCH($C$1,[1]characters!$1:$1,0)+1),MATCH(E$1,[1]characters!$1:$1,0)-MATCH($C$1,[1]characters!$1:$1,0)+1,FALSE)</f>
        <v>Drop2N</v>
      </c>
      <c r="F58" s="9">
        <f ca="1">VLOOKUP($C58,OFFSET([1]characters!$A$1,0,0,COUNTA([1]characters!$A:$A),MATCH(F$1,[1]characters!$1:$1,0)-MATCH($C$1,[1]characters!$1:$1,0)+1),MATCH(F$1,[1]characters!$1:$1,0)-MATCH($C$1,[1]characters!$1:$1,0)+1,FALSE)</f>
        <v>3</v>
      </c>
      <c r="G58" s="9" t="str">
        <f ca="1">VLOOKUP($C58,OFFSET([1]characters!$A$1,0,0,COUNTA([1]characters!$A:$A),MATCH(G$1,[1]characters!$1:$1,0)-MATCH($C$1,[1]characters!$1:$1,0)+1),MATCH(G$1,[1]characters!$1:$1,0)-MATCH($C$1,[1]characters!$1:$1,0)+1,FALSE)</f>
        <v>red</v>
      </c>
      <c r="H58" s="9" t="str">
        <f>VLOOKUP(C58,[1]characters!$A:$K,11,FALSE)</f>
        <v>balance</v>
      </c>
      <c r="I58" s="9" t="str">
        <f>VLOOKUP(C58,[1]characters!$A:$M,13,FALSE)</f>
        <v>animal</v>
      </c>
      <c r="J58" s="6">
        <v>1</v>
      </c>
      <c r="K58" s="6">
        <v>0</v>
      </c>
      <c r="L58" s="22">
        <f t="shared" si="1"/>
        <v>0</v>
      </c>
      <c r="M58" s="10">
        <v>0</v>
      </c>
      <c r="N58" s="10">
        <v>0</v>
      </c>
      <c r="O58" s="10">
        <v>0</v>
      </c>
      <c r="P58" s="10">
        <v>0</v>
      </c>
      <c r="Q58" s="10">
        <v>1</v>
      </c>
    </row>
    <row r="59" spans="1:17" ht="21" customHeight="1">
      <c r="A59" s="8" t="str">
        <f t="shared" si="2"/>
        <v>203_88_1</v>
      </c>
      <c r="B59" s="5">
        <v>203</v>
      </c>
      <c r="C59" s="7">
        <v>88</v>
      </c>
      <c r="D59" s="9" t="str">
        <f ca="1">VLOOKUP($C59,OFFSET([1]characters!$A$1,0,0,COUNTA([1]characters!$A:$A),MATCH(D$1,[1]characters!$1:$1,0)-MATCH($C$1,[1]characters!$1:$1,0)+1),MATCH(D$1,[1]characters!$1:$1,0)-MATCH($C$1,[1]characters!$1:$1,0)+1,FALSE)</f>
        <v>玄武</v>
      </c>
      <c r="E59" s="9" t="str">
        <f ca="1">VLOOKUP($C59,OFFSET([1]characters!$A$1,0,0,COUNTA([1]characters!$A:$A),MATCH(E$1,[1]characters!$1:$1,0)-MATCH($C$1,[1]characters!$1:$1,0)+1),MATCH(E$1,[1]characters!$1:$1,0)-MATCH($C$1,[1]characters!$1:$1,0)+1,FALSE)</f>
        <v>Drop2N</v>
      </c>
      <c r="F59" s="9">
        <f ca="1">VLOOKUP($C59,OFFSET([1]characters!$A$1,0,0,COUNTA([1]characters!$A:$A),MATCH(F$1,[1]characters!$1:$1,0)-MATCH($C$1,[1]characters!$1:$1,0)+1),MATCH(F$1,[1]characters!$1:$1,0)-MATCH($C$1,[1]characters!$1:$1,0)+1,FALSE)</f>
        <v>3</v>
      </c>
      <c r="G59" s="9" t="str">
        <f ca="1">VLOOKUP($C59,OFFSET([1]characters!$A$1,0,0,COUNTA([1]characters!$A:$A),MATCH(G$1,[1]characters!$1:$1,0)-MATCH($C$1,[1]characters!$1:$1,0)+1),MATCH(G$1,[1]characters!$1:$1,0)-MATCH($C$1,[1]characters!$1:$1,0)+1,FALSE)</f>
        <v>green</v>
      </c>
      <c r="H59" s="9" t="str">
        <f>VLOOKUP(C59,[1]characters!$A:$K,11,FALSE)</f>
        <v>technical</v>
      </c>
      <c r="I59" s="9" t="str">
        <f>VLOOKUP(C59,[1]characters!$A:$M,13,FALSE)</f>
        <v>dragon</v>
      </c>
      <c r="J59" s="6">
        <v>1</v>
      </c>
      <c r="K59" s="6">
        <v>0</v>
      </c>
      <c r="L59" s="22">
        <f t="shared" si="1"/>
        <v>0</v>
      </c>
      <c r="M59" s="10">
        <v>0</v>
      </c>
      <c r="N59" s="10">
        <v>0</v>
      </c>
      <c r="O59" s="10">
        <v>0</v>
      </c>
      <c r="P59" s="10">
        <v>0</v>
      </c>
      <c r="Q59" s="10">
        <v>1</v>
      </c>
    </row>
    <row r="60" spans="1:17" ht="21" customHeight="1">
      <c r="A60" s="8" t="str">
        <f t="shared" si="2"/>
        <v>203_91_1</v>
      </c>
      <c r="B60" s="5">
        <v>203</v>
      </c>
      <c r="C60" s="7">
        <v>91</v>
      </c>
      <c r="D60" s="9" t="str">
        <f ca="1">VLOOKUP($C60,OFFSET([1]characters!$A$1,0,0,COUNTA([1]characters!$A:$A),MATCH(D$1,[1]characters!$1:$1,0)-MATCH($C$1,[1]characters!$1:$1,0)+1),MATCH(D$1,[1]characters!$1:$1,0)-MATCH($C$1,[1]characters!$1:$1,0)+1,FALSE)</f>
        <v>青龍</v>
      </c>
      <c r="E60" s="9" t="str">
        <f ca="1">VLOOKUP($C60,OFFSET([1]characters!$A$1,0,0,COUNTA([1]characters!$A:$A),MATCH(E$1,[1]characters!$1:$1,0)-MATCH($C$1,[1]characters!$1:$1,0)+1),MATCH(E$1,[1]characters!$1:$1,0)-MATCH($C$1,[1]characters!$1:$1,0)+1,FALSE)</f>
        <v>Drop2N</v>
      </c>
      <c r="F60" s="9">
        <f ca="1">VLOOKUP($C60,OFFSET([1]characters!$A$1,0,0,COUNTA([1]characters!$A:$A),MATCH(F$1,[1]characters!$1:$1,0)-MATCH($C$1,[1]characters!$1:$1,0)+1),MATCH(F$1,[1]characters!$1:$1,0)-MATCH($C$1,[1]characters!$1:$1,0)+1,FALSE)</f>
        <v>3</v>
      </c>
      <c r="G60" s="9" t="str">
        <f ca="1">VLOOKUP($C60,OFFSET([1]characters!$A$1,0,0,COUNTA([1]characters!$A:$A),MATCH(G$1,[1]characters!$1:$1,0)-MATCH($C$1,[1]characters!$1:$1,0)+1),MATCH(G$1,[1]characters!$1:$1,0)-MATCH($C$1,[1]characters!$1:$1,0)+1,FALSE)</f>
        <v>blue</v>
      </c>
      <c r="H60" s="9" t="str">
        <f>VLOOKUP(C60,[1]characters!$A:$K,11,FALSE)</f>
        <v>balance</v>
      </c>
      <c r="I60" s="9" t="str">
        <f>VLOOKUP(C60,[1]characters!$A:$M,13,FALSE)</f>
        <v>dragon</v>
      </c>
      <c r="J60" s="6">
        <v>1</v>
      </c>
      <c r="K60" s="6">
        <v>0</v>
      </c>
      <c r="L60" s="22">
        <f t="shared" si="1"/>
        <v>0</v>
      </c>
      <c r="M60" s="10">
        <v>0</v>
      </c>
      <c r="N60" s="10">
        <v>0</v>
      </c>
      <c r="O60" s="10">
        <v>0</v>
      </c>
      <c r="P60" s="10">
        <v>0</v>
      </c>
      <c r="Q60" s="10">
        <v>1</v>
      </c>
    </row>
    <row r="61" spans="1:17" ht="21" customHeight="1">
      <c r="A61" s="8" t="str">
        <f t="shared" si="2"/>
        <v>203_94_1</v>
      </c>
      <c r="B61" s="5">
        <v>203</v>
      </c>
      <c r="C61" s="7">
        <v>94</v>
      </c>
      <c r="D61" s="9" t="str">
        <f ca="1">VLOOKUP($C61,OFFSET([1]characters!$A$1,0,0,COUNTA([1]characters!$A:$A),MATCH(D$1,[1]characters!$1:$1,0)-MATCH($C$1,[1]characters!$1:$1,0)+1),MATCH(D$1,[1]characters!$1:$1,0)-MATCH($C$1,[1]characters!$1:$1,0)+1,FALSE)</f>
        <v>白虎</v>
      </c>
      <c r="E61" s="9" t="str">
        <f ca="1">VLOOKUP($C61,OFFSET([1]characters!$A$1,0,0,COUNTA([1]characters!$A:$A),MATCH(E$1,[1]characters!$1:$1,0)-MATCH($C$1,[1]characters!$1:$1,0)+1),MATCH(E$1,[1]characters!$1:$1,0)-MATCH($C$1,[1]characters!$1:$1,0)+1,FALSE)</f>
        <v>Drop2N</v>
      </c>
      <c r="F61" s="9">
        <f ca="1">VLOOKUP($C61,OFFSET([1]characters!$A$1,0,0,COUNTA([1]characters!$A:$A),MATCH(F$1,[1]characters!$1:$1,0)-MATCH($C$1,[1]characters!$1:$1,0)+1),MATCH(F$1,[1]characters!$1:$1,0)-MATCH($C$1,[1]characters!$1:$1,0)+1,FALSE)</f>
        <v>3</v>
      </c>
      <c r="G61" s="9" t="str">
        <f ca="1">VLOOKUP($C61,OFFSET([1]characters!$A$1,0,0,COUNTA([1]characters!$A:$A),MATCH(G$1,[1]characters!$1:$1,0)-MATCH($C$1,[1]characters!$1:$1,0)+1),MATCH(G$1,[1]characters!$1:$1,0)-MATCH($C$1,[1]characters!$1:$1,0)+1,FALSE)</f>
        <v>yellow</v>
      </c>
      <c r="H61" s="9" t="str">
        <f>VLOOKUP(C61,[1]characters!$A:$K,11,FALSE)</f>
        <v>attack</v>
      </c>
      <c r="I61" s="9" t="str">
        <f>VLOOKUP(C61,[1]characters!$A:$M,13,FALSE)</f>
        <v>animal</v>
      </c>
      <c r="J61" s="6">
        <v>1</v>
      </c>
      <c r="K61" s="6">
        <v>0</v>
      </c>
      <c r="L61" s="22">
        <f t="shared" si="1"/>
        <v>0</v>
      </c>
      <c r="M61" s="10">
        <v>0</v>
      </c>
      <c r="N61" s="10">
        <v>0</v>
      </c>
      <c r="O61" s="10">
        <v>0</v>
      </c>
      <c r="P61" s="10">
        <v>0</v>
      </c>
      <c r="Q61" s="10">
        <v>1</v>
      </c>
    </row>
    <row r="62" spans="1:17" ht="21" customHeight="1">
      <c r="A62" s="8" t="str">
        <f t="shared" si="2"/>
        <v>203_332_1</v>
      </c>
      <c r="B62" s="5">
        <v>203</v>
      </c>
      <c r="C62" s="7">
        <v>332</v>
      </c>
      <c r="D62" s="9" t="str">
        <f ca="1">VLOOKUP($C62,OFFSET([1]characters!$A$1,0,0,COUNTA([1]characters!$A:$A),MATCH(D$1,[1]characters!$1:$1,0)-MATCH($C$1,[1]characters!$1:$1,0)+1),MATCH(D$1,[1]characters!$1:$1,0)-MATCH($C$1,[1]characters!$1:$1,0)+1,FALSE)</f>
        <v>炎のメタルピヨピヨ</v>
      </c>
      <c r="E62" s="9" t="str">
        <f ca="1">VLOOKUP($C62,OFFSET([1]characters!$A$1,0,0,COUNTA([1]characters!$A:$A),MATCH(E$1,[1]characters!$1:$1,0)-MATCH($C$1,[1]characters!$1:$1,0)+1),MATCH(E$1,[1]characters!$1:$1,0)-MATCH($C$1,[1]characters!$1:$1,0)+1,FALSE)</f>
        <v>Material</v>
      </c>
      <c r="F62" s="9">
        <f ca="1">VLOOKUP($C62,OFFSET([1]characters!$A$1,0,0,COUNTA([1]characters!$A:$A),MATCH(F$1,[1]characters!$1:$1,0)-MATCH($C$1,[1]characters!$1:$1,0)+1),MATCH(F$1,[1]characters!$1:$1,0)-MATCH($C$1,[1]characters!$1:$1,0)+1,FALSE)</f>
        <v>3</v>
      </c>
      <c r="G62" s="9" t="str">
        <f ca="1">VLOOKUP($C62,OFFSET([1]characters!$A$1,0,0,COUNTA([1]characters!$A:$A),MATCH(G$1,[1]characters!$1:$1,0)-MATCH($C$1,[1]characters!$1:$1,0)+1),MATCH(G$1,[1]characters!$1:$1,0)-MATCH($C$1,[1]characters!$1:$1,0)+1,FALSE)</f>
        <v>red</v>
      </c>
      <c r="H62" s="9" t="str">
        <f>VLOOKUP(C62,[1]characters!$A:$K,11,FALSE)</f>
        <v>exp</v>
      </c>
      <c r="I62" s="9" t="str">
        <f>VLOOKUP(C62,[1]characters!$A:$M,13,FALSE)</f>
        <v>unknown</v>
      </c>
      <c r="J62" s="6">
        <v>1</v>
      </c>
      <c r="K62" s="6">
        <v>0</v>
      </c>
      <c r="L62" s="22">
        <f t="shared" si="1"/>
        <v>0</v>
      </c>
      <c r="M62" s="10">
        <v>0</v>
      </c>
      <c r="N62" s="10">
        <v>0</v>
      </c>
      <c r="O62" s="10">
        <v>0</v>
      </c>
      <c r="P62" s="10">
        <v>0</v>
      </c>
      <c r="Q62" s="10">
        <v>1</v>
      </c>
    </row>
    <row r="63" spans="1:17" ht="21" customHeight="1">
      <c r="A63" s="8" t="str">
        <f t="shared" si="2"/>
        <v>203_336_1</v>
      </c>
      <c r="B63" s="5">
        <v>203</v>
      </c>
      <c r="C63" s="7">
        <v>336</v>
      </c>
      <c r="D63" s="9" t="str">
        <f ca="1">VLOOKUP($C63,OFFSET([1]characters!$A$1,0,0,COUNTA([1]characters!$A:$A),MATCH(D$1,[1]characters!$1:$1,0)-MATCH($C$1,[1]characters!$1:$1,0)+1),MATCH(D$1,[1]characters!$1:$1,0)-MATCH($C$1,[1]characters!$1:$1,0)+1,FALSE)</f>
        <v>森のメタルピヨピヨ</v>
      </c>
      <c r="E63" s="9" t="str">
        <f ca="1">VLOOKUP($C63,OFFSET([1]characters!$A$1,0,0,COUNTA([1]characters!$A:$A),MATCH(E$1,[1]characters!$1:$1,0)-MATCH($C$1,[1]characters!$1:$1,0)+1),MATCH(E$1,[1]characters!$1:$1,0)-MATCH($C$1,[1]characters!$1:$1,0)+1,FALSE)</f>
        <v>Material</v>
      </c>
      <c r="F63" s="9">
        <f ca="1">VLOOKUP($C63,OFFSET([1]characters!$A$1,0,0,COUNTA([1]characters!$A:$A),MATCH(F$1,[1]characters!$1:$1,0)-MATCH($C$1,[1]characters!$1:$1,0)+1),MATCH(F$1,[1]characters!$1:$1,0)-MATCH($C$1,[1]characters!$1:$1,0)+1,FALSE)</f>
        <v>3</v>
      </c>
      <c r="G63" s="9" t="str">
        <f ca="1">VLOOKUP($C63,OFFSET([1]characters!$A$1,0,0,COUNTA([1]characters!$A:$A),MATCH(G$1,[1]characters!$1:$1,0)-MATCH($C$1,[1]characters!$1:$1,0)+1),MATCH(G$1,[1]characters!$1:$1,0)-MATCH($C$1,[1]characters!$1:$1,0)+1,FALSE)</f>
        <v>green</v>
      </c>
      <c r="H63" s="9" t="str">
        <f>VLOOKUP(C63,[1]characters!$A:$K,11,FALSE)</f>
        <v>exp</v>
      </c>
      <c r="I63" s="9" t="str">
        <f>VLOOKUP(C63,[1]characters!$A:$M,13,FALSE)</f>
        <v>unknown</v>
      </c>
      <c r="J63" s="6">
        <v>1</v>
      </c>
      <c r="K63" s="6">
        <v>0</v>
      </c>
      <c r="L63" s="22">
        <f t="shared" si="1"/>
        <v>0</v>
      </c>
      <c r="M63" s="10">
        <v>0</v>
      </c>
      <c r="N63" s="10">
        <v>0</v>
      </c>
      <c r="O63" s="10">
        <v>0</v>
      </c>
      <c r="P63" s="10">
        <v>0</v>
      </c>
      <c r="Q63" s="10">
        <v>1</v>
      </c>
    </row>
    <row r="64" spans="1:17" ht="21" customHeight="1">
      <c r="A64" s="8" t="str">
        <f t="shared" si="2"/>
        <v>203_340_1</v>
      </c>
      <c r="B64" s="5">
        <v>203</v>
      </c>
      <c r="C64" s="7">
        <v>340</v>
      </c>
      <c r="D64" s="9" t="str">
        <f ca="1">VLOOKUP($C64,OFFSET([1]characters!$A$1,0,0,COUNTA([1]characters!$A:$A),MATCH(D$1,[1]characters!$1:$1,0)-MATCH($C$1,[1]characters!$1:$1,0)+1),MATCH(D$1,[1]characters!$1:$1,0)-MATCH($C$1,[1]characters!$1:$1,0)+1,FALSE)</f>
        <v>水のメタルピヨピヨ</v>
      </c>
      <c r="E64" s="9" t="str">
        <f ca="1">VLOOKUP($C64,OFFSET([1]characters!$A$1,0,0,COUNTA([1]characters!$A:$A),MATCH(E$1,[1]characters!$1:$1,0)-MATCH($C$1,[1]characters!$1:$1,0)+1),MATCH(E$1,[1]characters!$1:$1,0)-MATCH($C$1,[1]characters!$1:$1,0)+1,FALSE)</f>
        <v>Material</v>
      </c>
      <c r="F64" s="9">
        <f ca="1">VLOOKUP($C64,OFFSET([1]characters!$A$1,0,0,COUNTA([1]characters!$A:$A),MATCH(F$1,[1]characters!$1:$1,0)-MATCH($C$1,[1]characters!$1:$1,0)+1),MATCH(F$1,[1]characters!$1:$1,0)-MATCH($C$1,[1]characters!$1:$1,0)+1,FALSE)</f>
        <v>3</v>
      </c>
      <c r="G64" s="9" t="str">
        <f ca="1">VLOOKUP($C64,OFFSET([1]characters!$A$1,0,0,COUNTA([1]characters!$A:$A),MATCH(G$1,[1]characters!$1:$1,0)-MATCH($C$1,[1]characters!$1:$1,0)+1),MATCH(G$1,[1]characters!$1:$1,0)-MATCH($C$1,[1]characters!$1:$1,0)+1,FALSE)</f>
        <v>blue</v>
      </c>
      <c r="H64" s="9" t="str">
        <f>VLOOKUP(C64,[1]characters!$A:$K,11,FALSE)</f>
        <v>exp</v>
      </c>
      <c r="I64" s="9" t="str">
        <f>VLOOKUP(C64,[1]characters!$A:$M,13,FALSE)</f>
        <v>unknown</v>
      </c>
      <c r="J64" s="6">
        <v>1</v>
      </c>
      <c r="K64" s="6">
        <v>0</v>
      </c>
      <c r="L64" s="22">
        <f t="shared" si="1"/>
        <v>0</v>
      </c>
      <c r="M64" s="10">
        <v>0</v>
      </c>
      <c r="N64" s="10">
        <v>0</v>
      </c>
      <c r="O64" s="10">
        <v>0</v>
      </c>
      <c r="P64" s="10">
        <v>0</v>
      </c>
      <c r="Q64" s="10">
        <v>1</v>
      </c>
    </row>
    <row r="65" spans="1:17" ht="21" customHeight="1">
      <c r="A65" s="8" t="str">
        <f t="shared" si="2"/>
        <v>203_344_1</v>
      </c>
      <c r="B65" s="5">
        <v>203</v>
      </c>
      <c r="C65" s="7">
        <v>344</v>
      </c>
      <c r="D65" s="9" t="str">
        <f ca="1">VLOOKUP($C65,OFFSET([1]characters!$A$1,0,0,COUNTA([1]characters!$A:$A),MATCH(D$1,[1]characters!$1:$1,0)-MATCH($C$1,[1]characters!$1:$1,0)+1),MATCH(D$1,[1]characters!$1:$1,0)-MATCH($C$1,[1]characters!$1:$1,0)+1,FALSE)</f>
        <v>雷のメタルピヨピヨ</v>
      </c>
      <c r="E65" s="9" t="str">
        <f ca="1">VLOOKUP($C65,OFFSET([1]characters!$A$1,0,0,COUNTA([1]characters!$A:$A),MATCH(E$1,[1]characters!$1:$1,0)-MATCH($C$1,[1]characters!$1:$1,0)+1),MATCH(E$1,[1]characters!$1:$1,0)-MATCH($C$1,[1]characters!$1:$1,0)+1,FALSE)</f>
        <v>Material</v>
      </c>
      <c r="F65" s="9">
        <f ca="1">VLOOKUP($C65,OFFSET([1]characters!$A$1,0,0,COUNTA([1]characters!$A:$A),MATCH(F$1,[1]characters!$1:$1,0)-MATCH($C$1,[1]characters!$1:$1,0)+1),MATCH(F$1,[1]characters!$1:$1,0)-MATCH($C$1,[1]characters!$1:$1,0)+1,FALSE)</f>
        <v>3</v>
      </c>
      <c r="G65" s="9" t="str">
        <f ca="1">VLOOKUP($C65,OFFSET([1]characters!$A$1,0,0,COUNTA([1]characters!$A:$A),MATCH(G$1,[1]characters!$1:$1,0)-MATCH($C$1,[1]characters!$1:$1,0)+1),MATCH(G$1,[1]characters!$1:$1,0)-MATCH($C$1,[1]characters!$1:$1,0)+1,FALSE)</f>
        <v>yellow</v>
      </c>
      <c r="H65" s="9" t="str">
        <f>VLOOKUP(C65,[1]characters!$A:$K,11,FALSE)</f>
        <v>exp</v>
      </c>
      <c r="I65" s="9" t="str">
        <f>VLOOKUP(C65,[1]characters!$A:$M,13,FALSE)</f>
        <v>unknown</v>
      </c>
      <c r="J65" s="6">
        <v>1</v>
      </c>
      <c r="K65" s="6">
        <v>0</v>
      </c>
      <c r="L65" s="22">
        <f t="shared" si="1"/>
        <v>0</v>
      </c>
      <c r="M65" s="10">
        <v>0</v>
      </c>
      <c r="N65" s="10">
        <v>0</v>
      </c>
      <c r="O65" s="10">
        <v>0</v>
      </c>
      <c r="P65" s="10">
        <v>0</v>
      </c>
      <c r="Q65" s="10">
        <v>1</v>
      </c>
    </row>
    <row r="66" spans="1:17" ht="21" customHeight="1">
      <c r="A66" s="8" t="str">
        <f t="shared" ref="A66:A81" si="3">B66&amp;"_"&amp;C66&amp;"_"&amp;J66</f>
        <v>203_333_1</v>
      </c>
      <c r="B66" s="5">
        <v>203</v>
      </c>
      <c r="C66" s="7">
        <v>333</v>
      </c>
      <c r="D66" s="9" t="str">
        <f ca="1">VLOOKUP($C66,OFFSET([1]characters!$A$1,0,0,COUNTA([1]characters!$A:$A),MATCH(D$1,[1]characters!$1:$1,0)-MATCH($C$1,[1]characters!$1:$1,0)+1),MATCH(D$1,[1]characters!$1:$1,0)-MATCH($C$1,[1]characters!$1:$1,0)+1,FALSE)</f>
        <v>炎のメタルチック</v>
      </c>
      <c r="E66" s="9" t="str">
        <f ca="1">VLOOKUP($C66,OFFSET([1]characters!$A$1,0,0,COUNTA([1]characters!$A:$A),MATCH(E$1,[1]characters!$1:$1,0)-MATCH($C$1,[1]characters!$1:$1,0)+1),MATCH(E$1,[1]characters!$1:$1,0)-MATCH($C$1,[1]characters!$1:$1,0)+1,FALSE)</f>
        <v>Material</v>
      </c>
      <c r="F66" s="9">
        <f ca="1">VLOOKUP($C66,OFFSET([1]characters!$A$1,0,0,COUNTA([1]characters!$A:$A),MATCH(F$1,[1]characters!$1:$1,0)-MATCH($C$1,[1]characters!$1:$1,0)+1),MATCH(F$1,[1]characters!$1:$1,0)-MATCH($C$1,[1]characters!$1:$1,0)+1,FALSE)</f>
        <v>4</v>
      </c>
      <c r="G66" s="9" t="str">
        <f ca="1">VLOOKUP($C66,OFFSET([1]characters!$A$1,0,0,COUNTA([1]characters!$A:$A),MATCH(G$1,[1]characters!$1:$1,0)-MATCH($C$1,[1]characters!$1:$1,0)+1),MATCH(G$1,[1]characters!$1:$1,0)-MATCH($C$1,[1]characters!$1:$1,0)+1,FALSE)</f>
        <v>red</v>
      </c>
      <c r="H66" s="9" t="str">
        <f>VLOOKUP(C66,[1]characters!$A:$K,11,FALSE)</f>
        <v>exp</v>
      </c>
      <c r="I66" s="9" t="str">
        <f>VLOOKUP(C66,[1]characters!$A:$M,13,FALSE)</f>
        <v>unknown</v>
      </c>
      <c r="J66" s="6">
        <v>1</v>
      </c>
      <c r="K66" s="6">
        <v>0</v>
      </c>
      <c r="L66" s="22">
        <f t="shared" si="1"/>
        <v>0</v>
      </c>
      <c r="M66" s="10">
        <v>0</v>
      </c>
      <c r="N66" s="10">
        <v>0</v>
      </c>
      <c r="O66" s="10">
        <v>0</v>
      </c>
      <c r="P66" s="10">
        <v>0</v>
      </c>
      <c r="Q66" s="10">
        <v>1</v>
      </c>
    </row>
    <row r="67" spans="1:17" ht="21" customHeight="1">
      <c r="A67" s="8" t="str">
        <f t="shared" si="3"/>
        <v>203_337_1</v>
      </c>
      <c r="B67" s="5">
        <v>203</v>
      </c>
      <c r="C67" s="7">
        <v>337</v>
      </c>
      <c r="D67" s="9" t="str">
        <f ca="1">VLOOKUP($C67,OFFSET([1]characters!$A$1,0,0,COUNTA([1]characters!$A:$A),MATCH(D$1,[1]characters!$1:$1,0)-MATCH($C$1,[1]characters!$1:$1,0)+1),MATCH(D$1,[1]characters!$1:$1,0)-MATCH($C$1,[1]characters!$1:$1,0)+1,FALSE)</f>
        <v>森のメタルチック</v>
      </c>
      <c r="E67" s="9" t="str">
        <f ca="1">VLOOKUP($C67,OFFSET([1]characters!$A$1,0,0,COUNTA([1]characters!$A:$A),MATCH(E$1,[1]characters!$1:$1,0)-MATCH($C$1,[1]characters!$1:$1,0)+1),MATCH(E$1,[1]characters!$1:$1,0)-MATCH($C$1,[1]characters!$1:$1,0)+1,FALSE)</f>
        <v>Material</v>
      </c>
      <c r="F67" s="9">
        <f ca="1">VLOOKUP($C67,OFFSET([1]characters!$A$1,0,0,COUNTA([1]characters!$A:$A),MATCH(F$1,[1]characters!$1:$1,0)-MATCH($C$1,[1]characters!$1:$1,0)+1),MATCH(F$1,[1]characters!$1:$1,0)-MATCH($C$1,[1]characters!$1:$1,0)+1,FALSE)</f>
        <v>4</v>
      </c>
      <c r="G67" s="9" t="str">
        <f ca="1">VLOOKUP($C67,OFFSET([1]characters!$A$1,0,0,COUNTA([1]characters!$A:$A),MATCH(G$1,[1]characters!$1:$1,0)-MATCH($C$1,[1]characters!$1:$1,0)+1),MATCH(G$1,[1]characters!$1:$1,0)-MATCH($C$1,[1]characters!$1:$1,0)+1,FALSE)</f>
        <v>green</v>
      </c>
      <c r="H67" s="9" t="str">
        <f>VLOOKUP(C67,[1]characters!$A:$K,11,FALSE)</f>
        <v>exp</v>
      </c>
      <c r="I67" s="9" t="str">
        <f>VLOOKUP(C67,[1]characters!$A:$M,13,FALSE)</f>
        <v>unknown</v>
      </c>
      <c r="J67" s="6">
        <v>1</v>
      </c>
      <c r="K67" s="6">
        <v>0</v>
      </c>
      <c r="L67" s="22">
        <f t="shared" ref="L67:L81" si="4">K67/SUM($K$2:$K$81)</f>
        <v>0</v>
      </c>
      <c r="M67" s="10">
        <v>0</v>
      </c>
      <c r="N67" s="10">
        <v>0</v>
      </c>
      <c r="O67" s="10">
        <v>0</v>
      </c>
      <c r="P67" s="10">
        <v>0</v>
      </c>
      <c r="Q67" s="10">
        <v>1</v>
      </c>
    </row>
    <row r="68" spans="1:17" ht="21" customHeight="1">
      <c r="A68" s="8" t="str">
        <f t="shared" si="3"/>
        <v>203_341_1</v>
      </c>
      <c r="B68" s="5">
        <v>203</v>
      </c>
      <c r="C68" s="7">
        <v>341</v>
      </c>
      <c r="D68" s="9" t="str">
        <f ca="1">VLOOKUP($C68,OFFSET([1]characters!$A$1,0,0,COUNTA([1]characters!$A:$A),MATCH(D$1,[1]characters!$1:$1,0)-MATCH($C$1,[1]characters!$1:$1,0)+1),MATCH(D$1,[1]characters!$1:$1,0)-MATCH($C$1,[1]characters!$1:$1,0)+1,FALSE)</f>
        <v>水のメタルチック</v>
      </c>
      <c r="E68" s="9" t="str">
        <f ca="1">VLOOKUP($C68,OFFSET([1]characters!$A$1,0,0,COUNTA([1]characters!$A:$A),MATCH(E$1,[1]characters!$1:$1,0)-MATCH($C$1,[1]characters!$1:$1,0)+1),MATCH(E$1,[1]characters!$1:$1,0)-MATCH($C$1,[1]characters!$1:$1,0)+1,FALSE)</f>
        <v>Material</v>
      </c>
      <c r="F68" s="9">
        <f ca="1">VLOOKUP($C68,OFFSET([1]characters!$A$1,0,0,COUNTA([1]characters!$A:$A),MATCH(F$1,[1]characters!$1:$1,0)-MATCH($C$1,[1]characters!$1:$1,0)+1),MATCH(F$1,[1]characters!$1:$1,0)-MATCH($C$1,[1]characters!$1:$1,0)+1,FALSE)</f>
        <v>4</v>
      </c>
      <c r="G68" s="9" t="str">
        <f ca="1">VLOOKUP($C68,OFFSET([1]characters!$A$1,0,0,COUNTA([1]characters!$A:$A),MATCH(G$1,[1]characters!$1:$1,0)-MATCH($C$1,[1]characters!$1:$1,0)+1),MATCH(G$1,[1]characters!$1:$1,0)-MATCH($C$1,[1]characters!$1:$1,0)+1,FALSE)</f>
        <v>blue</v>
      </c>
      <c r="H68" s="9" t="str">
        <f>VLOOKUP(C68,[1]characters!$A:$K,11,FALSE)</f>
        <v>exp</v>
      </c>
      <c r="I68" s="9" t="str">
        <f>VLOOKUP(C68,[1]characters!$A:$M,13,FALSE)</f>
        <v>unknown</v>
      </c>
      <c r="J68" s="6">
        <v>1</v>
      </c>
      <c r="K68" s="6">
        <v>0</v>
      </c>
      <c r="L68" s="22">
        <f t="shared" si="4"/>
        <v>0</v>
      </c>
      <c r="M68" s="10">
        <v>0</v>
      </c>
      <c r="N68" s="10">
        <v>0</v>
      </c>
      <c r="O68" s="10">
        <v>0</v>
      </c>
      <c r="P68" s="10">
        <v>0</v>
      </c>
      <c r="Q68" s="10">
        <v>1</v>
      </c>
    </row>
    <row r="69" spans="1:17" ht="21" customHeight="1">
      <c r="A69" s="8" t="str">
        <f t="shared" si="3"/>
        <v>203_345_1</v>
      </c>
      <c r="B69" s="5">
        <v>203</v>
      </c>
      <c r="C69" s="7">
        <v>345</v>
      </c>
      <c r="D69" s="9" t="str">
        <f ca="1">VLOOKUP($C69,OFFSET([1]characters!$A$1,0,0,COUNTA([1]characters!$A:$A),MATCH(D$1,[1]characters!$1:$1,0)-MATCH($C$1,[1]characters!$1:$1,0)+1),MATCH(D$1,[1]characters!$1:$1,0)-MATCH($C$1,[1]characters!$1:$1,0)+1,FALSE)</f>
        <v>雷のメタルチック</v>
      </c>
      <c r="E69" s="9" t="str">
        <f ca="1">VLOOKUP($C69,OFFSET([1]characters!$A$1,0,0,COUNTA([1]characters!$A:$A),MATCH(E$1,[1]characters!$1:$1,0)-MATCH($C$1,[1]characters!$1:$1,0)+1),MATCH(E$1,[1]characters!$1:$1,0)-MATCH($C$1,[1]characters!$1:$1,0)+1,FALSE)</f>
        <v>Material</v>
      </c>
      <c r="F69" s="9">
        <f ca="1">VLOOKUP($C69,OFFSET([1]characters!$A$1,0,0,COUNTA([1]characters!$A:$A),MATCH(F$1,[1]characters!$1:$1,0)-MATCH($C$1,[1]characters!$1:$1,0)+1),MATCH(F$1,[1]characters!$1:$1,0)-MATCH($C$1,[1]characters!$1:$1,0)+1,FALSE)</f>
        <v>4</v>
      </c>
      <c r="G69" s="9" t="str">
        <f ca="1">VLOOKUP($C69,OFFSET([1]characters!$A$1,0,0,COUNTA([1]characters!$A:$A),MATCH(G$1,[1]characters!$1:$1,0)-MATCH($C$1,[1]characters!$1:$1,0)+1),MATCH(G$1,[1]characters!$1:$1,0)-MATCH($C$1,[1]characters!$1:$1,0)+1,FALSE)</f>
        <v>yellow</v>
      </c>
      <c r="H69" s="9" t="str">
        <f>VLOOKUP(C69,[1]characters!$A:$K,11,FALSE)</f>
        <v>exp</v>
      </c>
      <c r="I69" s="9" t="str">
        <f>VLOOKUP(C69,[1]characters!$A:$M,13,FALSE)</f>
        <v>unknown</v>
      </c>
      <c r="J69" s="6">
        <v>1</v>
      </c>
      <c r="K69" s="6">
        <v>0</v>
      </c>
      <c r="L69" s="22">
        <f t="shared" si="4"/>
        <v>0</v>
      </c>
      <c r="M69" s="10">
        <v>0</v>
      </c>
      <c r="N69" s="10">
        <v>0</v>
      </c>
      <c r="O69" s="10">
        <v>0</v>
      </c>
      <c r="P69" s="10">
        <v>0</v>
      </c>
      <c r="Q69" s="10">
        <v>1</v>
      </c>
    </row>
    <row r="70" spans="1:17" ht="21" customHeight="1">
      <c r="A70" s="8" t="str">
        <f t="shared" si="3"/>
        <v>203_334_1</v>
      </c>
      <c r="B70" s="5">
        <v>203</v>
      </c>
      <c r="C70" s="7">
        <v>334</v>
      </c>
      <c r="D70" s="9" t="str">
        <f ca="1">VLOOKUP($C70,OFFSET([1]characters!$A$1,0,0,COUNTA([1]characters!$A:$A),MATCH(D$1,[1]characters!$1:$1,0)-MATCH($C$1,[1]characters!$1:$1,0)+1),MATCH(D$1,[1]characters!$1:$1,0)-MATCH($C$1,[1]characters!$1:$1,0)+1,FALSE)</f>
        <v>炎のメタルダック</v>
      </c>
      <c r="E70" s="9" t="str">
        <f ca="1">VLOOKUP($C70,OFFSET([1]characters!$A$1,0,0,COUNTA([1]characters!$A:$A),MATCH(E$1,[1]characters!$1:$1,0)-MATCH($C$1,[1]characters!$1:$1,0)+1),MATCH(E$1,[1]characters!$1:$1,0)-MATCH($C$1,[1]characters!$1:$1,0)+1,FALSE)</f>
        <v>Material</v>
      </c>
      <c r="F70" s="9">
        <f ca="1">VLOOKUP($C70,OFFSET([1]characters!$A$1,0,0,COUNTA([1]characters!$A:$A),MATCH(F$1,[1]characters!$1:$1,0)-MATCH($C$1,[1]characters!$1:$1,0)+1),MATCH(F$1,[1]characters!$1:$1,0)-MATCH($C$1,[1]characters!$1:$1,0)+1,FALSE)</f>
        <v>5</v>
      </c>
      <c r="G70" s="9" t="str">
        <f ca="1">VLOOKUP($C70,OFFSET([1]characters!$A$1,0,0,COUNTA([1]characters!$A:$A),MATCH(G$1,[1]characters!$1:$1,0)-MATCH($C$1,[1]characters!$1:$1,0)+1),MATCH(G$1,[1]characters!$1:$1,0)-MATCH($C$1,[1]characters!$1:$1,0)+1,FALSE)</f>
        <v>red</v>
      </c>
      <c r="H70" s="9" t="str">
        <f>VLOOKUP(C70,[1]characters!$A:$K,11,FALSE)</f>
        <v>exp</v>
      </c>
      <c r="I70" s="9" t="str">
        <f>VLOOKUP(C70,[1]characters!$A:$M,13,FALSE)</f>
        <v>unknown</v>
      </c>
      <c r="J70" s="6">
        <v>1</v>
      </c>
      <c r="K70" s="6">
        <v>0</v>
      </c>
      <c r="L70" s="22">
        <f t="shared" si="4"/>
        <v>0</v>
      </c>
      <c r="M70" s="10">
        <v>0</v>
      </c>
      <c r="N70" s="10">
        <v>0</v>
      </c>
      <c r="O70" s="10">
        <v>0</v>
      </c>
      <c r="P70" s="10">
        <v>0</v>
      </c>
      <c r="Q70" s="10">
        <v>1</v>
      </c>
    </row>
    <row r="71" spans="1:17" ht="21" customHeight="1">
      <c r="A71" s="8" t="str">
        <f t="shared" si="3"/>
        <v>203_338_1</v>
      </c>
      <c r="B71" s="5">
        <v>203</v>
      </c>
      <c r="C71" s="7">
        <v>338</v>
      </c>
      <c r="D71" s="9" t="str">
        <f ca="1">VLOOKUP($C71,OFFSET([1]characters!$A$1,0,0,COUNTA([1]characters!$A:$A),MATCH(D$1,[1]characters!$1:$1,0)-MATCH($C$1,[1]characters!$1:$1,0)+1),MATCH(D$1,[1]characters!$1:$1,0)-MATCH($C$1,[1]characters!$1:$1,0)+1,FALSE)</f>
        <v>森のメタルダック</v>
      </c>
      <c r="E71" s="9" t="str">
        <f ca="1">VLOOKUP($C71,OFFSET([1]characters!$A$1,0,0,COUNTA([1]characters!$A:$A),MATCH(E$1,[1]characters!$1:$1,0)-MATCH($C$1,[1]characters!$1:$1,0)+1),MATCH(E$1,[1]characters!$1:$1,0)-MATCH($C$1,[1]characters!$1:$1,0)+1,FALSE)</f>
        <v>Material</v>
      </c>
      <c r="F71" s="9">
        <f ca="1">VLOOKUP($C71,OFFSET([1]characters!$A$1,0,0,COUNTA([1]characters!$A:$A),MATCH(F$1,[1]characters!$1:$1,0)-MATCH($C$1,[1]characters!$1:$1,0)+1),MATCH(F$1,[1]characters!$1:$1,0)-MATCH($C$1,[1]characters!$1:$1,0)+1,FALSE)</f>
        <v>5</v>
      </c>
      <c r="G71" s="9" t="str">
        <f ca="1">VLOOKUP($C71,OFFSET([1]characters!$A$1,0,0,COUNTA([1]characters!$A:$A),MATCH(G$1,[1]characters!$1:$1,0)-MATCH($C$1,[1]characters!$1:$1,0)+1),MATCH(G$1,[1]characters!$1:$1,0)-MATCH($C$1,[1]characters!$1:$1,0)+1,FALSE)</f>
        <v>green</v>
      </c>
      <c r="H71" s="9" t="str">
        <f>VLOOKUP(C71,[1]characters!$A:$K,11,FALSE)</f>
        <v>exp</v>
      </c>
      <c r="I71" s="9" t="str">
        <f>VLOOKUP(C71,[1]characters!$A:$M,13,FALSE)</f>
        <v>unknown</v>
      </c>
      <c r="J71" s="6">
        <v>1</v>
      </c>
      <c r="K71" s="6">
        <v>0</v>
      </c>
      <c r="L71" s="22">
        <f t="shared" si="4"/>
        <v>0</v>
      </c>
      <c r="M71" s="10">
        <v>0</v>
      </c>
      <c r="N71" s="10">
        <v>0</v>
      </c>
      <c r="O71" s="10">
        <v>0</v>
      </c>
      <c r="P71" s="10">
        <v>0</v>
      </c>
      <c r="Q71" s="10">
        <v>1</v>
      </c>
    </row>
    <row r="72" spans="1:17" ht="21" customHeight="1">
      <c r="A72" s="8" t="str">
        <f t="shared" si="3"/>
        <v>203_342_1</v>
      </c>
      <c r="B72" s="5">
        <v>203</v>
      </c>
      <c r="C72" s="7">
        <v>342</v>
      </c>
      <c r="D72" s="9" t="str">
        <f ca="1">VLOOKUP($C72,OFFSET([1]characters!$A$1,0,0,COUNTA([1]characters!$A:$A),MATCH(D$1,[1]characters!$1:$1,0)-MATCH($C$1,[1]characters!$1:$1,0)+1),MATCH(D$1,[1]characters!$1:$1,0)-MATCH($C$1,[1]characters!$1:$1,0)+1,FALSE)</f>
        <v>水のメタルダック</v>
      </c>
      <c r="E72" s="9" t="str">
        <f ca="1">VLOOKUP($C72,OFFSET([1]characters!$A$1,0,0,COUNTA([1]characters!$A:$A),MATCH(E$1,[1]characters!$1:$1,0)-MATCH($C$1,[1]characters!$1:$1,0)+1),MATCH(E$1,[1]characters!$1:$1,0)-MATCH($C$1,[1]characters!$1:$1,0)+1,FALSE)</f>
        <v>Material</v>
      </c>
      <c r="F72" s="9">
        <f ca="1">VLOOKUP($C72,OFFSET([1]characters!$A$1,0,0,COUNTA([1]characters!$A:$A),MATCH(F$1,[1]characters!$1:$1,0)-MATCH($C$1,[1]characters!$1:$1,0)+1),MATCH(F$1,[1]characters!$1:$1,0)-MATCH($C$1,[1]characters!$1:$1,0)+1,FALSE)</f>
        <v>5</v>
      </c>
      <c r="G72" s="9" t="str">
        <f ca="1">VLOOKUP($C72,OFFSET([1]characters!$A$1,0,0,COUNTA([1]characters!$A:$A),MATCH(G$1,[1]characters!$1:$1,0)-MATCH($C$1,[1]characters!$1:$1,0)+1),MATCH(G$1,[1]characters!$1:$1,0)-MATCH($C$1,[1]characters!$1:$1,0)+1,FALSE)</f>
        <v>blue</v>
      </c>
      <c r="H72" s="9" t="str">
        <f>VLOOKUP(C72,[1]characters!$A:$K,11,FALSE)</f>
        <v>exp</v>
      </c>
      <c r="I72" s="9" t="str">
        <f>VLOOKUP(C72,[1]characters!$A:$M,13,FALSE)</f>
        <v>unknown</v>
      </c>
      <c r="J72" s="6">
        <v>1</v>
      </c>
      <c r="K72" s="6">
        <v>0</v>
      </c>
      <c r="L72" s="22">
        <f t="shared" si="4"/>
        <v>0</v>
      </c>
      <c r="M72" s="10">
        <v>0</v>
      </c>
      <c r="N72" s="10">
        <v>0</v>
      </c>
      <c r="O72" s="10">
        <v>0</v>
      </c>
      <c r="P72" s="10">
        <v>0</v>
      </c>
      <c r="Q72" s="10">
        <v>1</v>
      </c>
    </row>
    <row r="73" spans="1:17" ht="21" customHeight="1">
      <c r="A73" s="8" t="str">
        <f t="shared" si="3"/>
        <v>203_346_1</v>
      </c>
      <c r="B73" s="5">
        <v>203</v>
      </c>
      <c r="C73" s="7">
        <v>346</v>
      </c>
      <c r="D73" s="9" t="str">
        <f ca="1">VLOOKUP($C73,OFFSET([1]characters!$A$1,0,0,COUNTA([1]characters!$A:$A),MATCH(D$1,[1]characters!$1:$1,0)-MATCH($C$1,[1]characters!$1:$1,0)+1),MATCH(D$1,[1]characters!$1:$1,0)-MATCH($C$1,[1]characters!$1:$1,0)+1,FALSE)</f>
        <v>雷のメタルダック</v>
      </c>
      <c r="E73" s="9" t="str">
        <f ca="1">VLOOKUP($C73,OFFSET([1]characters!$A$1,0,0,COUNTA([1]characters!$A:$A),MATCH(E$1,[1]characters!$1:$1,0)-MATCH($C$1,[1]characters!$1:$1,0)+1),MATCH(E$1,[1]characters!$1:$1,0)-MATCH($C$1,[1]characters!$1:$1,0)+1,FALSE)</f>
        <v>Material</v>
      </c>
      <c r="F73" s="9">
        <f ca="1">VLOOKUP($C73,OFFSET([1]characters!$A$1,0,0,COUNTA([1]characters!$A:$A),MATCH(F$1,[1]characters!$1:$1,0)-MATCH($C$1,[1]characters!$1:$1,0)+1),MATCH(F$1,[1]characters!$1:$1,0)-MATCH($C$1,[1]characters!$1:$1,0)+1,FALSE)</f>
        <v>5</v>
      </c>
      <c r="G73" s="9" t="str">
        <f ca="1">VLOOKUP($C73,OFFSET([1]characters!$A$1,0,0,COUNTA([1]characters!$A:$A),MATCH(G$1,[1]characters!$1:$1,0)-MATCH($C$1,[1]characters!$1:$1,0)+1),MATCH(G$1,[1]characters!$1:$1,0)-MATCH($C$1,[1]characters!$1:$1,0)+1,FALSE)</f>
        <v>yellow</v>
      </c>
      <c r="H73" s="9" t="str">
        <f>VLOOKUP(C73,[1]characters!$A:$K,11,FALSE)</f>
        <v>exp</v>
      </c>
      <c r="I73" s="9" t="str">
        <f>VLOOKUP(C73,[1]characters!$A:$M,13,FALSE)</f>
        <v>unknown</v>
      </c>
      <c r="J73" s="6">
        <v>1</v>
      </c>
      <c r="K73" s="6">
        <v>0</v>
      </c>
      <c r="L73" s="22">
        <f t="shared" si="4"/>
        <v>0</v>
      </c>
      <c r="M73" s="10">
        <v>0</v>
      </c>
      <c r="N73" s="10">
        <v>0</v>
      </c>
      <c r="O73" s="10">
        <v>0</v>
      </c>
      <c r="P73" s="10">
        <v>0</v>
      </c>
      <c r="Q73" s="10">
        <v>1</v>
      </c>
    </row>
    <row r="74" spans="1:17" ht="21" customHeight="1">
      <c r="A74" s="8" t="str">
        <f t="shared" si="3"/>
        <v>203_117_1</v>
      </c>
      <c r="B74" s="5">
        <v>203</v>
      </c>
      <c r="C74" s="7">
        <v>117</v>
      </c>
      <c r="D74" s="9" t="str">
        <f ca="1">VLOOKUP($C74,OFFSET([1]characters!$A$1,0,0,COUNTA([1]characters!$A:$A),MATCH(D$1,[1]characters!$1:$1,0)-MATCH($C$1,[1]characters!$1:$1,0)+1),MATCH(D$1,[1]characters!$1:$1,0)-MATCH($C$1,[1]characters!$1:$1,0)+1,FALSE)</f>
        <v>ゴールドピヨピヨ</v>
      </c>
      <c r="E74" s="9" t="str">
        <f ca="1">VLOOKUP($C74,OFFSET([1]characters!$A$1,0,0,COUNTA([1]characters!$A:$A),MATCH(E$1,[1]characters!$1:$1,0)-MATCH($C$1,[1]characters!$1:$1,0)+1),MATCH(E$1,[1]characters!$1:$1,0)-MATCH($C$1,[1]characters!$1:$1,0)+1,FALSE)</f>
        <v>Material</v>
      </c>
      <c r="F74" s="9">
        <f ca="1">VLOOKUP($C74,OFFSET([1]characters!$A$1,0,0,COUNTA([1]characters!$A:$A),MATCH(F$1,[1]characters!$1:$1,0)-MATCH($C$1,[1]characters!$1:$1,0)+1),MATCH(F$1,[1]characters!$1:$1,0)-MATCH($C$1,[1]characters!$1:$1,0)+1,FALSE)</f>
        <v>3</v>
      </c>
      <c r="G74" s="9" t="str">
        <f ca="1">VLOOKUP($C74,OFFSET([1]characters!$A$1,0,0,COUNTA([1]characters!$A:$A),MATCH(G$1,[1]characters!$1:$1,0)-MATCH($C$1,[1]characters!$1:$1,0)+1),MATCH(G$1,[1]characters!$1:$1,0)-MATCH($C$1,[1]characters!$1:$1,0)+1,FALSE)</f>
        <v>yellow</v>
      </c>
      <c r="H74" s="9" t="str">
        <f>VLOOKUP(C74,[1]characters!$A:$K,11,FALSE)</f>
        <v>coin</v>
      </c>
      <c r="I74" s="9" t="str">
        <f>VLOOKUP(C74,[1]characters!$A:$M,13,FALSE)</f>
        <v>unknown</v>
      </c>
      <c r="J74" s="6">
        <v>1</v>
      </c>
      <c r="K74" s="6">
        <v>15800</v>
      </c>
      <c r="L74" s="22">
        <f t="shared" si="4"/>
        <v>0.2</v>
      </c>
      <c r="M74" s="10">
        <v>0</v>
      </c>
      <c r="N74" s="10">
        <v>0</v>
      </c>
      <c r="O74" s="10">
        <v>0</v>
      </c>
      <c r="P74" s="10">
        <v>0</v>
      </c>
      <c r="Q74" s="10">
        <v>1</v>
      </c>
    </row>
    <row r="75" spans="1:17" ht="21" customHeight="1">
      <c r="A75" s="8" t="str">
        <f t="shared" si="3"/>
        <v>203_118_1</v>
      </c>
      <c r="B75" s="5">
        <v>203</v>
      </c>
      <c r="C75" s="7">
        <v>118</v>
      </c>
      <c r="D75" s="9" t="str">
        <f ca="1">VLOOKUP($C75,OFFSET([1]characters!$A$1,0,0,COUNTA([1]characters!$A:$A),MATCH(D$1,[1]characters!$1:$1,0)-MATCH($C$1,[1]characters!$1:$1,0)+1),MATCH(D$1,[1]characters!$1:$1,0)-MATCH($C$1,[1]characters!$1:$1,0)+1,FALSE)</f>
        <v>ゴールドチック</v>
      </c>
      <c r="E75" s="9" t="str">
        <f ca="1">VLOOKUP($C75,OFFSET([1]characters!$A$1,0,0,COUNTA([1]characters!$A:$A),MATCH(E$1,[1]characters!$1:$1,0)-MATCH($C$1,[1]characters!$1:$1,0)+1),MATCH(E$1,[1]characters!$1:$1,0)-MATCH($C$1,[1]characters!$1:$1,0)+1,FALSE)</f>
        <v>Material</v>
      </c>
      <c r="F75" s="9">
        <f ca="1">VLOOKUP($C75,OFFSET([1]characters!$A$1,0,0,COUNTA([1]characters!$A:$A),MATCH(F$1,[1]characters!$1:$1,0)-MATCH($C$1,[1]characters!$1:$1,0)+1),MATCH(F$1,[1]characters!$1:$1,0)-MATCH($C$1,[1]characters!$1:$1,0)+1,FALSE)</f>
        <v>4</v>
      </c>
      <c r="G75" s="9" t="str">
        <f ca="1">VLOOKUP($C75,OFFSET([1]characters!$A$1,0,0,COUNTA([1]characters!$A:$A),MATCH(G$1,[1]characters!$1:$1,0)-MATCH($C$1,[1]characters!$1:$1,0)+1),MATCH(G$1,[1]characters!$1:$1,0)-MATCH($C$1,[1]characters!$1:$1,0)+1,FALSE)</f>
        <v>yellow</v>
      </c>
      <c r="H75" s="9" t="str">
        <f>VLOOKUP(C75,[1]characters!$A:$K,11,FALSE)</f>
        <v>coin</v>
      </c>
      <c r="I75" s="9" t="str">
        <f>VLOOKUP(C75,[1]characters!$A:$M,13,FALSE)</f>
        <v>unknown</v>
      </c>
      <c r="J75" s="6">
        <v>1</v>
      </c>
      <c r="K75" s="6">
        <v>15800</v>
      </c>
      <c r="L75" s="22">
        <f t="shared" si="4"/>
        <v>0.2</v>
      </c>
      <c r="M75" s="10">
        <v>0</v>
      </c>
      <c r="N75" s="10">
        <v>0</v>
      </c>
      <c r="O75" s="10">
        <v>0</v>
      </c>
      <c r="P75" s="10">
        <v>0</v>
      </c>
      <c r="Q75" s="10">
        <v>1</v>
      </c>
    </row>
    <row r="76" spans="1:17" ht="21" customHeight="1">
      <c r="A76" s="8" t="str">
        <f t="shared" si="3"/>
        <v>203_119_1</v>
      </c>
      <c r="B76" s="5">
        <v>203</v>
      </c>
      <c r="C76" s="7">
        <v>119</v>
      </c>
      <c r="D76" s="9" t="str">
        <f ca="1">VLOOKUP($C76,OFFSET([1]characters!$A$1,0,0,COUNTA([1]characters!$A:$A),MATCH(D$1,[1]characters!$1:$1,0)-MATCH($C$1,[1]characters!$1:$1,0)+1),MATCH(D$1,[1]characters!$1:$1,0)-MATCH($C$1,[1]characters!$1:$1,0)+1,FALSE)</f>
        <v>ゴールドダック</v>
      </c>
      <c r="E76" s="9" t="str">
        <f ca="1">VLOOKUP($C76,OFFSET([1]characters!$A$1,0,0,COUNTA([1]characters!$A:$A),MATCH(E$1,[1]characters!$1:$1,0)-MATCH($C$1,[1]characters!$1:$1,0)+1),MATCH(E$1,[1]characters!$1:$1,0)-MATCH($C$1,[1]characters!$1:$1,0)+1,FALSE)</f>
        <v>Material</v>
      </c>
      <c r="F76" s="9">
        <f ca="1">VLOOKUP($C76,OFFSET([1]characters!$A$1,0,0,COUNTA([1]characters!$A:$A),MATCH(F$1,[1]characters!$1:$1,0)-MATCH($C$1,[1]characters!$1:$1,0)+1),MATCH(F$1,[1]characters!$1:$1,0)-MATCH($C$1,[1]characters!$1:$1,0)+1,FALSE)</f>
        <v>5</v>
      </c>
      <c r="G76" s="9" t="str">
        <f ca="1">VLOOKUP($C76,OFFSET([1]characters!$A$1,0,0,COUNTA([1]characters!$A:$A),MATCH(G$1,[1]characters!$1:$1,0)-MATCH($C$1,[1]characters!$1:$1,0)+1),MATCH(G$1,[1]characters!$1:$1,0)-MATCH($C$1,[1]characters!$1:$1,0)+1,FALSE)</f>
        <v>yellow</v>
      </c>
      <c r="H76" s="9" t="str">
        <f>VLOOKUP(C76,[1]characters!$A:$K,11,FALSE)</f>
        <v>coin</v>
      </c>
      <c r="I76" s="9" t="str">
        <f>VLOOKUP(C76,[1]characters!$A:$M,13,FALSE)</f>
        <v>unknown</v>
      </c>
      <c r="J76" s="6">
        <v>1</v>
      </c>
      <c r="K76" s="6">
        <v>39500</v>
      </c>
      <c r="L76" s="22">
        <f t="shared" si="4"/>
        <v>0.5</v>
      </c>
      <c r="M76" s="10">
        <v>0</v>
      </c>
      <c r="N76" s="10">
        <v>0</v>
      </c>
      <c r="O76" s="10">
        <v>0</v>
      </c>
      <c r="P76" s="10">
        <v>0</v>
      </c>
      <c r="Q76" s="10">
        <v>1</v>
      </c>
    </row>
    <row r="77" spans="1:17" ht="21" customHeight="1">
      <c r="A77" s="8" t="str">
        <f t="shared" ref="A77" si="5">B77&amp;"_"&amp;C77&amp;"_"&amp;J77</f>
        <v>203_120_1</v>
      </c>
      <c r="B77" s="5">
        <v>203</v>
      </c>
      <c r="C77" s="7">
        <v>120</v>
      </c>
      <c r="D77" s="9" t="str">
        <f ca="1">VLOOKUP($C77,OFFSET([1]characters!$A$1,0,0,COUNTA([1]characters!$A:$A),MATCH(D$1,[1]characters!$1:$1,0)-MATCH($C$1,[1]characters!$1:$1,0)+1),MATCH(D$1,[1]characters!$1:$1,0)-MATCH($C$1,[1]characters!$1:$1,0)+1,FALSE)</f>
        <v>ゴールドキング</v>
      </c>
      <c r="E77" s="9" t="str">
        <f ca="1">VLOOKUP($C77,OFFSET([1]characters!$A$1,0,0,COUNTA([1]characters!$A:$A),MATCH(E$1,[1]characters!$1:$1,0)-MATCH($C$1,[1]characters!$1:$1,0)+1),MATCH(E$1,[1]characters!$1:$1,0)-MATCH($C$1,[1]characters!$1:$1,0)+1,FALSE)</f>
        <v>Material</v>
      </c>
      <c r="F77" s="9">
        <f ca="1">VLOOKUP($C77,OFFSET([1]characters!$A$1,0,0,COUNTA([1]characters!$A:$A),MATCH(F$1,[1]characters!$1:$1,0)-MATCH($C$1,[1]characters!$1:$1,0)+1),MATCH(F$1,[1]characters!$1:$1,0)-MATCH($C$1,[1]characters!$1:$1,0)+1,FALSE)</f>
        <v>6</v>
      </c>
      <c r="G77" s="9" t="str">
        <f ca="1">VLOOKUP($C77,OFFSET([1]characters!$A$1,0,0,COUNTA([1]characters!$A:$A),MATCH(G$1,[1]characters!$1:$1,0)-MATCH($C$1,[1]characters!$1:$1,0)+1),MATCH(G$1,[1]characters!$1:$1,0)-MATCH($C$1,[1]characters!$1:$1,0)+1,FALSE)</f>
        <v>yellow</v>
      </c>
      <c r="H77" s="9" t="str">
        <f>VLOOKUP(C77,[1]characters!$A:$K,11,FALSE)</f>
        <v>coin</v>
      </c>
      <c r="I77" s="9" t="str">
        <f>VLOOKUP(C77,[1]characters!$A:$M,13,FALSE)</f>
        <v>unknown</v>
      </c>
      <c r="J77" s="6">
        <v>1</v>
      </c>
      <c r="K77" s="6">
        <v>7900</v>
      </c>
      <c r="L77" s="22">
        <f t="shared" si="4"/>
        <v>0.1</v>
      </c>
      <c r="M77" s="10">
        <v>0</v>
      </c>
      <c r="N77" s="10">
        <v>0</v>
      </c>
      <c r="O77" s="10">
        <v>0</v>
      </c>
      <c r="P77" s="10">
        <v>0</v>
      </c>
      <c r="Q77" s="10">
        <v>1</v>
      </c>
    </row>
    <row r="78" spans="1:17" ht="21" customHeight="1">
      <c r="A78" s="8" t="str">
        <f t="shared" si="3"/>
        <v>203_121_1</v>
      </c>
      <c r="B78" s="5">
        <v>203</v>
      </c>
      <c r="C78" s="7">
        <v>121</v>
      </c>
      <c r="D78" s="9" t="str">
        <f ca="1">VLOOKUP($C78,OFFSET([1]characters!$A$1,0,0,COUNTA([1]characters!$A:$A),MATCH(D$1,[1]characters!$1:$1,0)-MATCH($C$1,[1]characters!$1:$1,0)+1),MATCH(D$1,[1]characters!$1:$1,0)-MATCH($C$1,[1]characters!$1:$1,0)+1,FALSE)</f>
        <v>攻めの果実</v>
      </c>
      <c r="E78" s="9" t="str">
        <f ca="1">VLOOKUP($C78,OFFSET([1]characters!$A$1,0,0,COUNTA([1]characters!$A:$A),MATCH(E$1,[1]characters!$1:$1,0)-MATCH($C$1,[1]characters!$1:$1,0)+1),MATCH(E$1,[1]characters!$1:$1,0)-MATCH($C$1,[1]characters!$1:$1,0)+1,FALSE)</f>
        <v>Material</v>
      </c>
      <c r="F78" s="9">
        <f ca="1">VLOOKUP($C78,OFFSET([1]characters!$A$1,0,0,COUNTA([1]characters!$A:$A),MATCH(F$1,[1]characters!$1:$1,0)-MATCH($C$1,[1]characters!$1:$1,0)+1),MATCH(F$1,[1]characters!$1:$1,0)-MATCH($C$1,[1]characters!$1:$1,0)+1,FALSE)</f>
        <v>3</v>
      </c>
      <c r="G78" s="9" t="str">
        <f ca="1">VLOOKUP($C78,OFFSET([1]characters!$A$1,0,0,COUNTA([1]characters!$A:$A),MATCH(G$1,[1]characters!$1:$1,0)-MATCH($C$1,[1]characters!$1:$1,0)+1),MATCH(G$1,[1]characters!$1:$1,0)-MATCH($C$1,[1]characters!$1:$1,0)+1,FALSE)</f>
        <v>red</v>
      </c>
      <c r="H78" s="9" t="str">
        <f>VLOOKUP(C78,[1]characters!$A:$K,11,FALSE)</f>
        <v>attack</v>
      </c>
      <c r="I78" s="9" t="str">
        <f>VLOOKUP(C78,[1]characters!$A:$M,13,FALSE)</f>
        <v>unknown</v>
      </c>
      <c r="J78" s="6">
        <v>1</v>
      </c>
      <c r="K78" s="6">
        <v>0</v>
      </c>
      <c r="L78" s="22">
        <f t="shared" si="4"/>
        <v>0</v>
      </c>
      <c r="M78" s="10">
        <v>0</v>
      </c>
      <c r="N78" s="10">
        <v>0</v>
      </c>
      <c r="O78" s="10">
        <v>0</v>
      </c>
      <c r="P78" s="10">
        <v>0</v>
      </c>
      <c r="Q78" s="10">
        <v>1</v>
      </c>
    </row>
    <row r="79" spans="1:17" ht="21" customHeight="1">
      <c r="A79" s="8" t="str">
        <f t="shared" si="3"/>
        <v>203_122_1</v>
      </c>
      <c r="B79" s="5">
        <v>203</v>
      </c>
      <c r="C79" s="7">
        <v>122</v>
      </c>
      <c r="D79" s="9" t="str">
        <f ca="1">VLOOKUP($C79,OFFSET([1]characters!$A$1,0,0,COUNTA([1]characters!$A:$A),MATCH(D$1,[1]characters!$1:$1,0)-MATCH($C$1,[1]characters!$1:$1,0)+1),MATCH(D$1,[1]characters!$1:$1,0)-MATCH($C$1,[1]characters!$1:$1,0)+1,FALSE)</f>
        <v>生命の果実</v>
      </c>
      <c r="E79" s="9" t="str">
        <f ca="1">VLOOKUP($C79,OFFSET([1]characters!$A$1,0,0,COUNTA([1]characters!$A:$A),MATCH(E$1,[1]characters!$1:$1,0)-MATCH($C$1,[1]characters!$1:$1,0)+1),MATCH(E$1,[1]characters!$1:$1,0)-MATCH($C$1,[1]characters!$1:$1,0)+1,FALSE)</f>
        <v>Material</v>
      </c>
      <c r="F79" s="9">
        <f ca="1">VLOOKUP($C79,OFFSET([1]characters!$A$1,0,0,COUNTA([1]characters!$A:$A),MATCH(F$1,[1]characters!$1:$1,0)-MATCH($C$1,[1]characters!$1:$1,0)+1),MATCH(F$1,[1]characters!$1:$1,0)-MATCH($C$1,[1]characters!$1:$1,0)+1,FALSE)</f>
        <v>3</v>
      </c>
      <c r="G79" s="9" t="str">
        <f ca="1">VLOOKUP($C79,OFFSET([1]characters!$A$1,0,0,COUNTA([1]characters!$A:$A),MATCH(G$1,[1]characters!$1:$1,0)-MATCH($C$1,[1]characters!$1:$1,0)+1),MATCH(G$1,[1]characters!$1:$1,0)-MATCH($C$1,[1]characters!$1:$1,0)+1,FALSE)</f>
        <v>green</v>
      </c>
      <c r="H79" s="9" t="str">
        <f>VLOOKUP(C79,[1]characters!$A:$K,11,FALSE)</f>
        <v>hp</v>
      </c>
      <c r="I79" s="9" t="str">
        <f>VLOOKUP(C79,[1]characters!$A:$M,13,FALSE)</f>
        <v>unknown</v>
      </c>
      <c r="J79" s="6">
        <v>1</v>
      </c>
      <c r="K79" s="6">
        <v>0</v>
      </c>
      <c r="L79" s="22">
        <f t="shared" si="4"/>
        <v>0</v>
      </c>
      <c r="M79" s="10">
        <v>0</v>
      </c>
      <c r="N79" s="10">
        <v>0</v>
      </c>
      <c r="O79" s="10">
        <v>0</v>
      </c>
      <c r="P79" s="10">
        <v>0</v>
      </c>
      <c r="Q79" s="10">
        <v>1</v>
      </c>
    </row>
    <row r="80" spans="1:17" ht="21" customHeight="1">
      <c r="A80" s="8" t="str">
        <f t="shared" si="3"/>
        <v>203_123_1</v>
      </c>
      <c r="B80" s="5">
        <v>203</v>
      </c>
      <c r="C80" s="7">
        <v>123</v>
      </c>
      <c r="D80" s="9" t="str">
        <f ca="1">VLOOKUP($C80,OFFSET([1]characters!$A$1,0,0,COUNTA([1]characters!$A:$A),MATCH(D$1,[1]characters!$1:$1,0)-MATCH($C$1,[1]characters!$1:$1,0)+1),MATCH(D$1,[1]characters!$1:$1,0)-MATCH($C$1,[1]characters!$1:$1,0)+1,FALSE)</f>
        <v>癒しの果実</v>
      </c>
      <c r="E80" s="9" t="str">
        <f ca="1">VLOOKUP($C80,OFFSET([1]characters!$A$1,0,0,COUNTA([1]characters!$A:$A),MATCH(E$1,[1]characters!$1:$1,0)-MATCH($C$1,[1]characters!$1:$1,0)+1),MATCH(E$1,[1]characters!$1:$1,0)-MATCH($C$1,[1]characters!$1:$1,0)+1,FALSE)</f>
        <v>Material</v>
      </c>
      <c r="F80" s="9">
        <f ca="1">VLOOKUP($C80,OFFSET([1]characters!$A$1,0,0,COUNTA([1]characters!$A:$A),MATCH(F$1,[1]characters!$1:$1,0)-MATCH($C$1,[1]characters!$1:$1,0)+1),MATCH(F$1,[1]characters!$1:$1,0)-MATCH($C$1,[1]characters!$1:$1,0)+1,FALSE)</f>
        <v>3</v>
      </c>
      <c r="G80" s="9" t="str">
        <f ca="1">VLOOKUP($C80,OFFSET([1]characters!$A$1,0,0,COUNTA([1]characters!$A:$A),MATCH(G$1,[1]characters!$1:$1,0)-MATCH($C$1,[1]characters!$1:$1,0)+1),MATCH(G$1,[1]characters!$1:$1,0)-MATCH($C$1,[1]characters!$1:$1,0)+1,FALSE)</f>
        <v>blue</v>
      </c>
      <c r="H80" s="9" t="str">
        <f>VLOOKUP(C80,[1]characters!$A:$K,11,FALSE)</f>
        <v>heal</v>
      </c>
      <c r="I80" s="9" t="str">
        <f>VLOOKUP(C80,[1]characters!$A:$M,13,FALSE)</f>
        <v>unknown</v>
      </c>
      <c r="J80" s="6">
        <v>1</v>
      </c>
      <c r="K80" s="6">
        <v>0</v>
      </c>
      <c r="L80" s="22">
        <f t="shared" si="4"/>
        <v>0</v>
      </c>
      <c r="M80" s="10">
        <v>0</v>
      </c>
      <c r="N80" s="10">
        <v>0</v>
      </c>
      <c r="O80" s="10">
        <v>0</v>
      </c>
      <c r="P80" s="10">
        <v>0</v>
      </c>
      <c r="Q80" s="10">
        <v>1</v>
      </c>
    </row>
    <row r="81" spans="1:17" ht="21" customHeight="1">
      <c r="A81" s="8" t="str">
        <f t="shared" si="3"/>
        <v>203_125_1</v>
      </c>
      <c r="B81" s="5">
        <v>203</v>
      </c>
      <c r="C81" s="7">
        <v>125</v>
      </c>
      <c r="D81" s="9" t="str">
        <f ca="1">VLOOKUP($C81,OFFSET([1]characters!$A$1,0,0,COUNTA([1]characters!$A:$A),MATCH(D$1,[1]characters!$1:$1,0)-MATCH($C$1,[1]characters!$1:$1,0)+1),MATCH(D$1,[1]characters!$1:$1,0)-MATCH($C$1,[1]characters!$1:$1,0)+1,FALSE)</f>
        <v>秘術の果実</v>
      </c>
      <c r="E81" s="9" t="str">
        <f ca="1">VLOOKUP($C81,OFFSET([1]characters!$A$1,0,0,COUNTA([1]characters!$A:$A),MATCH(E$1,[1]characters!$1:$1,0)-MATCH($C$1,[1]characters!$1:$1,0)+1),MATCH(E$1,[1]characters!$1:$1,0)-MATCH($C$1,[1]characters!$1:$1,0)+1,FALSE)</f>
        <v>Material</v>
      </c>
      <c r="F81" s="9">
        <f ca="1">VLOOKUP($C81,OFFSET([1]characters!$A$1,0,0,COUNTA([1]characters!$A:$A),MATCH(F$1,[1]characters!$1:$1,0)-MATCH($C$1,[1]characters!$1:$1,0)+1),MATCH(F$1,[1]characters!$1:$1,0)-MATCH($C$1,[1]characters!$1:$1,0)+1,FALSE)</f>
        <v>3</v>
      </c>
      <c r="G81" s="9" t="str">
        <f ca="1">VLOOKUP($C81,OFFSET([1]characters!$A$1,0,0,COUNTA([1]characters!$A:$A),MATCH(G$1,[1]characters!$1:$1,0)-MATCH($C$1,[1]characters!$1:$1,0)+1),MATCH(G$1,[1]characters!$1:$1,0)-MATCH($C$1,[1]characters!$1:$1,0)+1,FALSE)</f>
        <v>blue</v>
      </c>
      <c r="H81" s="9" t="str">
        <f>VLOOKUP(C81,[1]characters!$A:$K,11,FALSE)</f>
        <v>balance</v>
      </c>
      <c r="I81" s="9" t="str">
        <f>VLOOKUP(C81,[1]characters!$A:$M,13,FALSE)</f>
        <v>unknown</v>
      </c>
      <c r="J81" s="6">
        <v>1</v>
      </c>
      <c r="K81" s="6">
        <v>0</v>
      </c>
      <c r="L81" s="22">
        <f t="shared" si="4"/>
        <v>0</v>
      </c>
      <c r="M81" s="10">
        <v>0</v>
      </c>
      <c r="N81" s="10">
        <v>0</v>
      </c>
      <c r="O81" s="10">
        <v>0</v>
      </c>
      <c r="P81" s="10">
        <v>0</v>
      </c>
      <c r="Q81" s="10">
        <v>1</v>
      </c>
    </row>
  </sheetData>
  <autoFilter ref="B1:K81">
    <sortState ref="B2:S126">
      <sortCondition ref="F1:F126"/>
    </sortState>
  </autoFilter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gacha_select_tables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吉澤 曜祐</cp:lastModifiedBy>
  <dcterms:created xsi:type="dcterms:W3CDTF">2015-04-01T12:34:09Z</dcterms:created>
  <dcterms:modified xsi:type="dcterms:W3CDTF">2015-11-11T10:50:44Z</dcterms:modified>
</cp:coreProperties>
</file>