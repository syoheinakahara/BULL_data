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7"/>
  </bookViews>
  <sheets>
    <sheet name="確率の考え方" sheetId="110" r:id="rId1"/>
    <sheet name="Sheet1" sheetId="107" r:id="rId2"/>
    <sheet name="output" sheetId="103" r:id="rId3"/>
    <sheet name="input_528010" sheetId="157" r:id="rId4"/>
    <sheet name="tables_528010" sheetId="158" r:id="rId5"/>
    <sheet name="input_528100" sheetId="153" r:id="rId6"/>
    <sheet name="tables_528100" sheetId="154" r:id="rId7"/>
    <sheet name="tables_settle_528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tables_528010!$A$1:$V$350</definedName>
    <definedName name="_xlnm._FilterDatabase" localSheetId="6" hidden="1">tables_528100!$A$1:$V$294</definedName>
    <definedName name="_xlnm._FilterDatabase" localSheetId="7" hidden="1">tables_settle_528105!$A$1:$V$1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4" i="159" l="1"/>
  <c r="D4" i="159"/>
  <c r="J4" i="159"/>
  <c r="E4" i="159"/>
  <c r="F4" i="159"/>
  <c r="C4" i="159"/>
  <c r="H4" i="159"/>
  <c r="K4" i="159"/>
  <c r="L4" i="159"/>
  <c r="M4" i="159"/>
  <c r="N4" i="159"/>
  <c r="P4" i="159"/>
  <c r="A2" i="153"/>
  <c r="I351" i="154"/>
  <c r="D351" i="154"/>
  <c r="J351" i="154"/>
  <c r="E351" i="154"/>
  <c r="F351" i="154"/>
  <c r="C351" i="154"/>
  <c r="H351" i="154"/>
  <c r="K351" i="154"/>
  <c r="L351" i="154"/>
  <c r="M351" i="154"/>
  <c r="N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R3" i="153"/>
  <c r="O351" i="154"/>
  <c r="B10" i="153"/>
  <c r="E6" i="153"/>
  <c r="E19" i="153"/>
  <c r="B19" i="153"/>
  <c r="E24" i="153"/>
  <c r="B24" i="153"/>
  <c r="B17" i="153"/>
  <c r="G17" i="153"/>
  <c r="E17" i="153"/>
  <c r="H17" i="153"/>
  <c r="O2" i="154"/>
  <c r="E20" i="153"/>
  <c r="B6" i="153"/>
  <c r="B20" i="153"/>
  <c r="E22" i="153"/>
  <c r="E23" i="153"/>
  <c r="B23" i="153"/>
  <c r="B22" i="153"/>
  <c r="E25" i="153"/>
  <c r="B25" i="153"/>
  <c r="E27" i="153"/>
  <c r="B27" i="153"/>
  <c r="C22" i="153"/>
  <c r="B30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C23" i="153"/>
  <c r="C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R4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2" i="154"/>
  <c r="R5" i="153"/>
  <c r="O353" i="154"/>
  <c r="R6" i="153"/>
  <c r="O354" i="154"/>
  <c r="R7" i="153"/>
  <c r="O355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I355" i="158"/>
  <c r="D355" i="158"/>
  <c r="J355" i="158"/>
  <c r="E355" i="158"/>
  <c r="F355" i="158"/>
  <c r="C355" i="158"/>
  <c r="A2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B10" i="157"/>
  <c r="E6" i="157"/>
  <c r="B23" i="157"/>
  <c r="G23" i="157"/>
  <c r="H23" i="157"/>
  <c r="R7" i="157"/>
  <c r="O355" i="158"/>
  <c r="E19" i="157"/>
  <c r="B5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E5" i="157"/>
  <c r="E27" i="157"/>
  <c r="B27" i="157"/>
  <c r="C22" i="157"/>
  <c r="B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C23" i="157"/>
  <c r="C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R3" i="157"/>
  <c r="O351" i="158"/>
  <c r="R4" i="157"/>
  <c r="O352" i="158"/>
  <c r="R5" i="157"/>
  <c r="O353" i="158"/>
  <c r="R6" i="157"/>
  <c r="O354" i="158"/>
  <c r="P355" i="158"/>
  <c r="N355" i="158"/>
  <c r="M355" i="158"/>
  <c r="L355" i="158"/>
  <c r="K355" i="158"/>
  <c r="H355" i="158"/>
  <c r="A355" i="158"/>
  <c r="A351" i="158"/>
  <c r="A352" i="158"/>
  <c r="A353" i="158"/>
  <c r="A354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A346" i="154"/>
  <c r="H346" i="154"/>
  <c r="K346" i="154"/>
  <c r="L346" i="154"/>
  <c r="M346" i="154"/>
  <c r="N346" i="154"/>
  <c r="A347" i="154"/>
  <c r="H347" i="154"/>
  <c r="K347" i="154"/>
  <c r="L347" i="154"/>
  <c r="M347" i="154"/>
  <c r="N347" i="154"/>
  <c r="A348" i="154"/>
  <c r="H348" i="154"/>
  <c r="K348" i="154"/>
  <c r="L348" i="154"/>
  <c r="M348" i="154"/>
  <c r="N348" i="154"/>
  <c r="A349" i="154"/>
  <c r="H349" i="154"/>
  <c r="K349" i="154"/>
  <c r="L349" i="154"/>
  <c r="M349" i="154"/>
  <c r="N349" i="154"/>
  <c r="A350" i="154"/>
  <c r="H350" i="154"/>
  <c r="K350" i="154"/>
  <c r="L350" i="154"/>
  <c r="M350" i="154"/>
  <c r="N350" i="154"/>
  <c r="A345" i="154"/>
  <c r="A350" i="158"/>
  <c r="H350" i="158"/>
  <c r="K350" i="158"/>
  <c r="L350" i="158"/>
  <c r="M350" i="158"/>
  <c r="N350" i="158"/>
  <c r="A349" i="158"/>
  <c r="H349" i="158"/>
  <c r="K349" i="158"/>
  <c r="L349" i="158"/>
  <c r="M349" i="158"/>
  <c r="N349" i="158"/>
  <c r="A346" i="158"/>
  <c r="H346" i="158"/>
  <c r="K346" i="158"/>
  <c r="L346" i="158"/>
  <c r="M346" i="158"/>
  <c r="N346" i="158"/>
  <c r="A347" i="158"/>
  <c r="H347" i="158"/>
  <c r="K347" i="158"/>
  <c r="L347" i="158"/>
  <c r="M347" i="158"/>
  <c r="N347" i="158"/>
  <c r="A348" i="158"/>
  <c r="H348" i="158"/>
  <c r="K348" i="158"/>
  <c r="L348" i="158"/>
  <c r="M348" i="158"/>
  <c r="N348" i="158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H341" i="158"/>
  <c r="K341" i="158"/>
  <c r="L341" i="158"/>
  <c r="M341" i="158"/>
  <c r="N341" i="158"/>
  <c r="H342" i="158"/>
  <c r="K342" i="158"/>
  <c r="L342" i="158"/>
  <c r="M342" i="158"/>
  <c r="N342" i="158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A341" i="158"/>
  <c r="A342" i="158"/>
  <c r="A343" i="158"/>
  <c r="A344" i="158"/>
  <c r="A345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C19" i="157"/>
  <c r="C20" i="157"/>
  <c r="C21" i="157"/>
  <c r="C24" i="157"/>
  <c r="C25" i="157"/>
  <c r="C26" i="157"/>
  <c r="C27" i="157"/>
  <c r="C28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C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5" i="153"/>
  <c r="B46" i="153"/>
  <c r="F40" i="153"/>
  <c r="G40" i="153"/>
  <c r="C19" i="153"/>
  <c r="C20" i="153"/>
  <c r="C21" i="153"/>
  <c r="C24" i="153"/>
  <c r="C25" i="153"/>
  <c r="C26" i="153"/>
  <c r="C27" i="153"/>
  <c r="C28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41" i="153"/>
  <c r="D18" i="157"/>
  <c r="F18" i="157"/>
  <c r="I18" i="157"/>
  <c r="J18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B32" i="157"/>
  <c r="D32" i="157"/>
  <c r="F45" i="157"/>
  <c r="F46" i="157"/>
  <c r="B44" i="157"/>
  <c r="B47" i="157"/>
  <c r="C40" i="157"/>
  <c r="C41" i="157"/>
  <c r="C42" i="157"/>
  <c r="C43" i="157"/>
  <c r="C44" i="157"/>
  <c r="C45" i="157"/>
  <c r="C46" i="157"/>
  <c r="C47" i="157"/>
  <c r="F47" i="157"/>
  <c r="F41" i="157"/>
  <c r="G41" i="157"/>
  <c r="F42" i="157"/>
  <c r="G42" i="157"/>
  <c r="F49" i="157"/>
  <c r="F48" i="157"/>
  <c r="F41" i="153"/>
  <c r="G41" i="153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F49" i="153"/>
  <c r="F42" i="153"/>
  <c r="G42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B32" i="153"/>
  <c r="D32" i="153"/>
  <c r="F45" i="153"/>
  <c r="F46" i="153"/>
  <c r="B44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<sst xmlns="http://schemas.openxmlformats.org/spreadsheetml/2006/main" count="535" uniqueCount="256">
  <si>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</si>
  <si>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</si>
  <si>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</si>
  <si>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</si>
  <si>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</si>
  <si>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</si>
  <si>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</si>
  <si>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</si>
  <si>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</si>
  <si>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</si>
  <si>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</si>
  <si>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</si>
  <si>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</si>
  <si>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</si>
  <si>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</si>
  <si>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</si>
  <si>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</si>
  <si>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</si>
  <si>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</si>
  <si>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</si>
  <si>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</si>
  <si>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</si>
  <si>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</si>
  <si>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</si>
  <si>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</si>
  <si>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</si>
  <si>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</si>
  <si>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</si>
  <si>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</si>
  <si>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</si>
  <si>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</si>
  <si>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</si>
  <si>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</si>
  <si>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</si>
  <si>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</si>
  <si>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</si>
  <si>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</si>
  <si>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</si>
  <si>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</si>
  <si>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</si>
  <si>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</si>
  <si>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</si>
  <si>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</si>
  <si>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</si>
  <si>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</si>
  <si>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</si>
  <si>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</si>
  <si>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</si>
  <si>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</si>
  <si>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</si>
  <si>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</si>
  <si>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</si>
  <si>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</si>
  <si>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</si>
  <si>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</si>
  <si>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</si>
  <si>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</si>
  <si>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</si>
  <si>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</si>
  <si>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</si>
  <si>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</si>
  <si>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</si>
  <si>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</si>
  <si>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</si>
  <si>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</si>
  <si>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</si>
  <si>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</si>
  <si>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</si>
  <si>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</si>
  <si>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</si>
  <si>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</si>
  <si>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</si>
  <si>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</si>
  <si>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</si>
  <si>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</si>
  <si>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</si>
  <si>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</si>
  <si>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</si>
  <si>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</si>
  <si>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</si>
  <si>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</si>
  <si>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</si>
  <si>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</si>
  <si>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</si>
  <si>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</si>
  <si>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</si>
  <si>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</si>
  <si>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</si>
  <si>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</si>
  <si>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</si>
  <si>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</si>
  <si>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</si>
  <si>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</si>
  <si>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</si>
  <si>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</si>
  <si>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</si>
  <si>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</si>
  <si>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</si>
  <si>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</si>
  <si>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</si>
  <si>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</si>
  <si>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</si>
  <si>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</si>
  <si>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</si>
  <si>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</si>
  <si>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</si>
  <si>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</si>
  <si>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</si>
  <si>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</si>
  <si>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</si>
  <si>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</si>
  <si>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</si>
  <si>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</si>
  <si>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</si>
  <si>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</si>
  <si>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</si>
  <si>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</si>
  <si>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</si>
  <si>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</si>
  <si>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</si>
  <si>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</si>
  <si>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</si>
  <si>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</si>
  <si>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</si>
  <si>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</si>
  <si>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</si>
  <si>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</si>
  <si>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</si>
  <si>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</si>
  <si>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</si>
  <si>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</si>
  <si>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</si>
  <si>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</si>
  <si>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</si>
  <si>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</si>
  <si>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</si>
  <si>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</si>
  <si>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</si>
  <si>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</si>
  <si>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</si>
  <si>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</si>
  <si>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</si>
  <si>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</si>
  <si>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</si>
  <si>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</si>
  <si>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</si>
  <si>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</si>
  <si>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</si>
  <si>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</si>
  <si>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</si>
  <si>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</si>
  <si>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</si>
  <si>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</si>
  <si>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</si>
  <si>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</si>
  <si>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</si>
  <si>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</si>
  <si>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</si>
  <si>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</si>
  <si>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</si>
  <si>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</si>
  <si>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</si>
  <si>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</si>
  <si>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</si>
  <si>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</si>
  <si>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</si>
  <si>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</si>
  <si>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</si>
  <si>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</si>
  <si>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</si>
  <si>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</si>
  <si>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</si>
  <si>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</si>
  <si>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</si>
  <si>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</si>
  <si>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</si>
  <si>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</si>
  <si>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</si>
  <si>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</si>
  <si>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</si>
  <si>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</si>
  <si>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</si>
  <si>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</si>
  <si>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</si>
  <si>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</si>
  <si>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</si>
  <si>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</si>
  <si>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</si>
  <si>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</si>
  <si>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</si>
  <si>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</si>
  <si>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</si>
  <si>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</si>
  <si>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</si>
  <si>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</si>
  <si>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</si>
  <si>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</si>
  <si>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</si>
  <si>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</si>
  <si>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</si>
  <si>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</si>
  <si>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</si>
  <si>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</si>
  <si>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</si>
  <si>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</si>
  <si>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</si>
  <si>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</si>
  <si>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</si>
  <si>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</si>
  <si>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</si>
  <si>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</si>
  <si>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</si>
  <si>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</si>
  <si>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</si>
  <si>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</si>
  <si>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</si>
  <si>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</si>
  <si>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</si>
  <si>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</si>
  <si>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</si>
  <si>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</si>
  <si>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</si>
  <si>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</si>
  <si>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</si>
  <si>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</si>
  <si>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</si>
  <si>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</si>
  <si>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</si>
  <si>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</si>
  <si>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</si>
  <si>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</si>
  <si>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</si>
  <si>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</si>
  <si>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</si>
  <si>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</si>
  <si>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</si>
  <si>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</si>
  <si>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</si>
  <si>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</si>
  <si>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</si>
  <si>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</si>
  <si>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</si>
  <si>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</si>
  <si>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</si>
  <si>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</si>
  <si>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</si>
  <si>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</si>
  <si>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</si>
  <si>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</si>
  <si>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</si>
  <si>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</si>
  <si>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</si>
  <si>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</si>
  <si>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tables_528100</t>
    <phoneticPr fontId="22"/>
  </si>
  <si>
    <t>tables_528010</t>
    <phoneticPr fontId="22"/>
  </si>
  <si>
    <t>tables_settle_528105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</si>
</sst>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10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3036" applyFont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4" fillId="0" borderId="0" xfId="0" applyFont="1" applyFill="1" applyBorder="1" applyAlignment="1">
      <alignment vertical="center"/>
    </xf>
    <xf numFmtId="0" fontId="54" fillId="3" borderId="14" xfId="0" applyFont="1" applyFill="1" applyBorder="1" applyAlignment="1">
      <alignment vertical="center"/>
    </xf>
    <xf numFmtId="0" fontId="3" fillId="4" borderId="1" xfId="2978" applyFont="1" applyFill="1" applyBorder="1"/>
    <xf numFmtId="0" fontId="27" fillId="4" borderId="0" xfId="2" applyFont="1" applyFill="1" applyAlignment="1">
      <alignment vertical="center"/>
    </xf>
    <xf numFmtId="0" fontId="27" fillId="4" borderId="14" xfId="2" applyFont="1" applyFill="1" applyBorder="1" applyAlignment="1">
      <alignment vertical="center"/>
    </xf>
    <xf numFmtId="0" fontId="0" fillId="4" borderId="1" xfId="0" applyFill="1" applyBorder="1"/>
    <xf numFmtId="177" fontId="0" fillId="4" borderId="1" xfId="3575" applyNumberFormat="1" applyFont="1" applyFill="1" applyBorder="1"/>
    <xf numFmtId="0" fontId="54" fillId="4" borderId="1" xfId="0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1403</v>
          </cell>
          <cell r="B1372" t="str">
            <v>ja</v>
          </cell>
          <cell r="C1372" t="str">
            <v>炎帝の守護獣神 朱雀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red</v>
          </cell>
          <cell r="I1372">
            <v>6</v>
          </cell>
          <cell r="J1372" t="str">
            <v>Drop2N</v>
          </cell>
          <cell r="K1372" t="str">
            <v>heal</v>
          </cell>
          <cell r="L1372" t="str">
            <v>回復タイプ</v>
          </cell>
          <cell r="M1372" t="str">
            <v>animal</v>
          </cell>
        </row>
        <row r="1373">
          <cell r="A1373">
            <v>1404</v>
          </cell>
          <cell r="B1373" t="str">
            <v>ja</v>
          </cell>
          <cell r="C1373" t="str">
            <v>玄帝の守護獣神 玄武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green</v>
          </cell>
          <cell r="I1373">
            <v>6</v>
          </cell>
          <cell r="J1373" t="str">
            <v>Drop2N</v>
          </cell>
          <cell r="K1373" t="str">
            <v>hp</v>
          </cell>
          <cell r="L1373" t="str">
            <v>体力タイプ</v>
          </cell>
          <cell r="M1373" t="str">
            <v>dragon</v>
          </cell>
        </row>
        <row r="1374">
          <cell r="A1374">
            <v>1405</v>
          </cell>
          <cell r="B1374" t="str">
            <v>ja</v>
          </cell>
          <cell r="C1374" t="str">
            <v>蒼帝の守護獣神 青龍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blue</v>
          </cell>
          <cell r="I1374">
            <v>6</v>
          </cell>
          <cell r="J1374" t="str">
            <v>Drop2N</v>
          </cell>
          <cell r="K1374" t="str">
            <v>balance</v>
          </cell>
          <cell r="L1374" t="str">
            <v>バランスタイプ</v>
          </cell>
          <cell r="M1374" t="str">
            <v>dragon</v>
          </cell>
        </row>
        <row r="1375">
          <cell r="A1375">
            <v>1406</v>
          </cell>
          <cell r="B1375" t="str">
            <v>ja</v>
          </cell>
          <cell r="C1375" t="str">
            <v>白帝の守護獣神 白虎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yellow</v>
          </cell>
          <cell r="I1375">
            <v>6</v>
          </cell>
          <cell r="J1375" t="str">
            <v>Drop2N</v>
          </cell>
          <cell r="K1375" t="str">
            <v>attack</v>
          </cell>
          <cell r="L1375" t="str">
            <v>攻撃タイプ</v>
          </cell>
          <cell r="M1375" t="str">
            <v>animal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  <cell r="D1376" t="str">
            <v>未定</v>
          </cell>
          <cell r="E1376" t="str">
            <v>執行者</v>
          </cell>
          <cell r="F1376" t="str">
            <v>格好いい</v>
          </cell>
          <cell r="G1376" t="str">
            <v>不明</v>
          </cell>
          <cell r="H1376" t="str">
            <v>red</v>
          </cell>
          <cell r="I1376">
            <v>6</v>
          </cell>
          <cell r="J1376" t="str">
            <v>Material</v>
          </cell>
          <cell r="K1376" t="str">
            <v>exp</v>
          </cell>
          <cell r="L1376" t="str">
            <v>強化素材タイプ</v>
          </cell>
          <cell r="M1376" t="str">
            <v>unknown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  <cell r="D1377" t="str">
            <v>未定</v>
          </cell>
          <cell r="E1377" t="str">
            <v>執行者</v>
          </cell>
          <cell r="F1377" t="str">
            <v>格好いい</v>
          </cell>
          <cell r="G1377" t="str">
            <v>不明</v>
          </cell>
          <cell r="H1377" t="str">
            <v>green</v>
          </cell>
          <cell r="I1377">
            <v>6</v>
          </cell>
          <cell r="J1377" t="str">
            <v>Material</v>
          </cell>
          <cell r="K1377" t="str">
            <v>exp</v>
          </cell>
          <cell r="L1377" t="str">
            <v>強化素材タイプ</v>
          </cell>
          <cell r="M1377" t="str">
            <v>unknown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  <cell r="D1378" t="str">
            <v>未定</v>
          </cell>
          <cell r="E1378" t="str">
            <v>執行者</v>
          </cell>
          <cell r="F1378" t="str">
            <v>格好いい</v>
          </cell>
          <cell r="G1378" t="str">
            <v>不明</v>
          </cell>
          <cell r="H1378" t="str">
            <v>blue</v>
          </cell>
          <cell r="I1378">
            <v>6</v>
          </cell>
          <cell r="J1378" t="str">
            <v>Material</v>
          </cell>
          <cell r="K1378" t="str">
            <v>exp</v>
          </cell>
          <cell r="L1378" t="str">
            <v>強化素材タイプ</v>
          </cell>
          <cell r="M1378" t="str">
            <v>unknown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  <cell r="D1379" t="str">
            <v>未定</v>
          </cell>
          <cell r="E1379" t="str">
            <v>執行者</v>
          </cell>
          <cell r="F1379" t="str">
            <v>格好いい</v>
          </cell>
          <cell r="G1379" t="str">
            <v>不明</v>
          </cell>
          <cell r="H1379" t="str">
            <v>yellow</v>
          </cell>
          <cell r="I1379">
            <v>6</v>
          </cell>
          <cell r="J1379" t="str">
            <v>Material</v>
          </cell>
          <cell r="K1379" t="str">
            <v>exp</v>
          </cell>
          <cell r="L1379" t="str">
            <v>強化素材タイプ</v>
          </cell>
          <cell r="M1379" t="str">
            <v>unknown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PremiumSSS</v>
          </cell>
          <cell r="K1380" t="str">
            <v>attack</v>
          </cell>
          <cell r="L1380" t="str">
            <v>攻撃タイプ</v>
          </cell>
          <cell r="M1380" t="str">
            <v>academia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5</v>
          </cell>
          <cell r="J1381" t="str">
            <v>PremiumSSw</v>
          </cell>
          <cell r="K1381" t="str">
            <v>attack</v>
          </cell>
          <cell r="L1381" t="str">
            <v>攻撃タイプ</v>
          </cell>
          <cell r="M1381" t="str">
            <v>god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6</v>
          </cell>
          <cell r="J1382" t="str">
            <v>PremiumSSw</v>
          </cell>
          <cell r="K1382" t="str">
            <v>attack</v>
          </cell>
          <cell r="L1382" t="str">
            <v>攻撃タイプ</v>
          </cell>
          <cell r="M1382" t="str">
            <v>god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5</v>
          </cell>
          <cell r="J1383" t="str">
            <v>DropWizS</v>
          </cell>
          <cell r="K1383" t="str">
            <v>technical</v>
          </cell>
          <cell r="L1383" t="str">
            <v>テクニカルタイプ</v>
          </cell>
          <cell r="M1383" t="str">
            <v>animal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green</v>
          </cell>
          <cell r="I1384">
            <v>6</v>
          </cell>
          <cell r="J1384" t="str">
            <v>DropWizS</v>
          </cell>
          <cell r="K1384" t="str">
            <v>technical</v>
          </cell>
          <cell r="L1384" t="str">
            <v>テクニカルタイプ</v>
          </cell>
          <cell r="M1384" t="str">
            <v>animal</v>
          </cell>
        </row>
        <row r="1385">
          <cell r="A1385">
            <v>5005</v>
          </cell>
          <cell r="B1385" t="str">
            <v>ja</v>
          </cell>
          <cell r="C1385" t="str">
            <v>カーミラ</v>
          </cell>
          <cell r="D1385" t="str">
            <v>ノーマルクエスト</v>
          </cell>
          <cell r="E1385" t="str">
            <v>QoH</v>
          </cell>
          <cell r="F1385" t="str">
            <v>世界観</v>
          </cell>
          <cell r="G1385" t="str">
            <v>不明</v>
          </cell>
          <cell r="H1385" t="str">
            <v>green</v>
          </cell>
          <cell r="I1385">
            <v>5</v>
          </cell>
          <cell r="J1385" t="str">
            <v>PremiumSSw</v>
          </cell>
          <cell r="K1385" t="str">
            <v>balance</v>
          </cell>
          <cell r="L1385" t="str">
            <v>バランスタイプ</v>
          </cell>
          <cell r="M1385" t="str">
            <v>demon</v>
          </cell>
        </row>
        <row r="1386">
          <cell r="A1386">
            <v>5006</v>
          </cell>
          <cell r="B1386" t="str">
            <v>ja</v>
          </cell>
          <cell r="C1386" t="str">
            <v>カーミラ★６</v>
          </cell>
          <cell r="D1386" t="str">
            <v>ノーマルクエスト</v>
          </cell>
          <cell r="E1386" t="str">
            <v>アバター</v>
          </cell>
          <cell r="F1386" t="str">
            <v>世界観</v>
          </cell>
          <cell r="G1386" t="str">
            <v>男性</v>
          </cell>
          <cell r="H1386" t="str">
            <v>green</v>
          </cell>
          <cell r="I1386">
            <v>6</v>
          </cell>
          <cell r="J1386" t="str">
            <v>PremiumSSw</v>
          </cell>
          <cell r="K1386" t="str">
            <v>balance</v>
          </cell>
          <cell r="L1386" t="str">
            <v>バランスタイプ</v>
          </cell>
          <cell r="M1386" t="str">
            <v>demon</v>
          </cell>
        </row>
        <row r="1387">
          <cell r="A1387">
            <v>5007</v>
          </cell>
          <cell r="B1387" t="str">
            <v>ja</v>
          </cell>
          <cell r="C1387" t="str">
            <v>ヘルシング</v>
          </cell>
          <cell r="D1387" t="str">
            <v>リンクガチャ:4神</v>
          </cell>
          <cell r="E1387" t="str">
            <v>守護神</v>
          </cell>
          <cell r="F1387" t="str">
            <v>格好いい</v>
          </cell>
          <cell r="G1387" t="str">
            <v>不明</v>
          </cell>
          <cell r="H1387" t="str">
            <v>yellow</v>
          </cell>
          <cell r="I1387">
            <v>5</v>
          </cell>
          <cell r="J1387" t="str">
            <v>DropWizS</v>
          </cell>
          <cell r="K1387" t="str">
            <v>attack</v>
          </cell>
          <cell r="L1387" t="str">
            <v>攻撃タイプ</v>
          </cell>
          <cell r="M1387" t="str">
            <v>human</v>
          </cell>
        </row>
        <row r="1388">
          <cell r="A1388">
            <v>5008</v>
          </cell>
          <cell r="B1388" t="str">
            <v>ja</v>
          </cell>
          <cell r="C1388" t="str">
            <v>ヘルシング★６</v>
          </cell>
          <cell r="D1388" t="str">
            <v>ノーマルクエスト</v>
          </cell>
          <cell r="E1388" t="str">
            <v>アバター</v>
          </cell>
          <cell r="F1388" t="str">
            <v>世界観</v>
          </cell>
          <cell r="G1388" t="str">
            <v>不明</v>
          </cell>
          <cell r="H1388" t="str">
            <v>yellow</v>
          </cell>
          <cell r="I1388">
            <v>6</v>
          </cell>
          <cell r="J1388" t="str">
            <v>DropWizS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6001</v>
          </cell>
          <cell r="B1389" t="str">
            <v>ja</v>
          </cell>
          <cell r="C1389" t="str">
            <v>ジェリー</v>
          </cell>
          <cell r="D1389" t="str">
            <v>ノーマルクエスト</v>
          </cell>
          <cell r="E1389" t="str">
            <v>QoH</v>
          </cell>
          <cell r="F1389" t="str">
            <v>世界観</v>
          </cell>
          <cell r="G1389" t="str">
            <v>不明</v>
          </cell>
          <cell r="H1389" t="str">
            <v>red</v>
          </cell>
          <cell r="I1389">
            <v>1</v>
          </cell>
          <cell r="J1389" t="str">
            <v>Drop1T</v>
          </cell>
          <cell r="K1389" t="str">
            <v>ra</v>
          </cell>
          <cell r="L1389" t="str">
            <v>ラグランジュチャレンジ</v>
          </cell>
          <cell r="M1389" t="str">
            <v>unknown</v>
          </cell>
        </row>
        <row r="1390">
          <cell r="A1390">
            <v>6002</v>
          </cell>
          <cell r="B1390" t="str">
            <v>ja</v>
          </cell>
          <cell r="C1390" t="str">
            <v>ヨシタカ</v>
          </cell>
          <cell r="D1390" t="str">
            <v>ノーマルクエスト</v>
          </cell>
          <cell r="E1390" t="str">
            <v>アバター</v>
          </cell>
          <cell r="F1390" t="str">
            <v>世界観</v>
          </cell>
          <cell r="G1390" t="str">
            <v>男性</v>
          </cell>
          <cell r="H1390" t="str">
            <v>red</v>
          </cell>
          <cell r="I1390">
            <v>2</v>
          </cell>
          <cell r="J1390" t="str">
            <v>Drop1N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6003</v>
          </cell>
          <cell r="B1391" t="str">
            <v>ja</v>
          </cell>
          <cell r="C1391" t="str">
            <v>朱雀</v>
          </cell>
          <cell r="D1391" t="str">
            <v>リンクガチャ:4神</v>
          </cell>
          <cell r="E1391" t="str">
            <v>守護神</v>
          </cell>
          <cell r="F1391" t="str">
            <v>格好いい</v>
          </cell>
          <cell r="G1391" t="str">
            <v>不明</v>
          </cell>
          <cell r="H1391" t="str">
            <v>red</v>
          </cell>
          <cell r="I1391">
            <v>3</v>
          </cell>
          <cell r="J1391" t="str">
            <v>Drop2N</v>
          </cell>
          <cell r="K1391" t="str">
            <v>ra</v>
          </cell>
          <cell r="L1391" t="str">
            <v>ラグランジュチャレンジ</v>
          </cell>
          <cell r="M1391" t="str">
            <v>animal</v>
          </cell>
        </row>
        <row r="1392">
          <cell r="A1392">
            <v>6004</v>
          </cell>
          <cell r="B1392" t="str">
            <v>ja</v>
          </cell>
          <cell r="C1392" t="str">
            <v>ブレット</v>
          </cell>
          <cell r="D1392" t="str">
            <v>ノーマルクエスト</v>
          </cell>
          <cell r="E1392" t="str">
            <v>アバター</v>
          </cell>
          <cell r="F1392" t="str">
            <v>世界観</v>
          </cell>
          <cell r="G1392" t="str">
            <v>不明</v>
          </cell>
          <cell r="H1392" t="str">
            <v>red</v>
          </cell>
          <cell r="I1392">
            <v>1</v>
          </cell>
          <cell r="J1392" t="str">
            <v>Drop1W</v>
          </cell>
          <cell r="K1392" t="str">
            <v>ra</v>
          </cell>
          <cell r="L1392" t="str">
            <v>ラグランジュチャレンジ</v>
          </cell>
          <cell r="M1392" t="str">
            <v>animal</v>
          </cell>
        </row>
        <row r="1393">
          <cell r="A1393">
            <v>6005</v>
          </cell>
          <cell r="B1393" t="str">
            <v>ja</v>
          </cell>
          <cell r="C1393" t="str">
            <v>孤神 テティス</v>
          </cell>
          <cell r="D1393" t="str">
            <v>初期ガチャ</v>
          </cell>
          <cell r="E1393" t="str">
            <v>管理者</v>
          </cell>
          <cell r="F1393" t="str">
            <v>美しい</v>
          </cell>
          <cell r="G1393" t="str">
            <v>女性</v>
          </cell>
          <cell r="H1393" t="str">
            <v>blue</v>
          </cell>
          <cell r="I1393">
            <v>4</v>
          </cell>
          <cell r="J1393" t="str">
            <v>PremiumN</v>
          </cell>
          <cell r="K1393" t="str">
            <v>ra</v>
          </cell>
          <cell r="L1393" t="str">
            <v>ラグランジュチャレンジ</v>
          </cell>
          <cell r="M1393" t="str">
            <v>god</v>
          </cell>
        </row>
        <row r="1394">
          <cell r="A1394">
            <v>6006</v>
          </cell>
          <cell r="B1394" t="str">
            <v>ja</v>
          </cell>
          <cell r="C1394" t="str">
            <v>海底の孤高神 テティス</v>
          </cell>
          <cell r="D1394" t="str">
            <v>初期ガチャ</v>
          </cell>
          <cell r="E1394" t="str">
            <v>管理者</v>
          </cell>
          <cell r="F1394" t="str">
            <v>美しい</v>
          </cell>
          <cell r="G1394" t="str">
            <v>女性</v>
          </cell>
          <cell r="H1394" t="str">
            <v>blue</v>
          </cell>
          <cell r="I1394">
            <v>5</v>
          </cell>
          <cell r="J1394" t="str">
            <v>PremiumN</v>
          </cell>
          <cell r="K1394" t="str">
            <v>ra</v>
          </cell>
          <cell r="L1394" t="str">
            <v>ラグランジュチャレンジ</v>
          </cell>
          <cell r="M1394" t="str">
            <v>god</v>
          </cell>
        </row>
        <row r="1395">
          <cell r="A1395">
            <v>6007</v>
          </cell>
          <cell r="B1395" t="str">
            <v>ja</v>
          </cell>
          <cell r="C1395" t="str">
            <v>番犬 ケルベロス</v>
          </cell>
          <cell r="D1395" t="str">
            <v>初期ガチャ</v>
          </cell>
          <cell r="E1395" t="str">
            <v>破界者</v>
          </cell>
          <cell r="F1395" t="str">
            <v>可愛い</v>
          </cell>
          <cell r="G1395" t="str">
            <v>女性</v>
          </cell>
          <cell r="H1395" t="str">
            <v>red</v>
          </cell>
          <cell r="I1395">
            <v>4</v>
          </cell>
          <cell r="J1395" t="str">
            <v>PremiumN</v>
          </cell>
          <cell r="K1395" t="str">
            <v>ra</v>
          </cell>
          <cell r="L1395" t="str">
            <v>ラグランジュチャレンジ</v>
          </cell>
          <cell r="M1395" t="str">
            <v>animal</v>
          </cell>
        </row>
        <row r="1396">
          <cell r="A1396">
            <v>6008</v>
          </cell>
          <cell r="B1396" t="str">
            <v>ja</v>
          </cell>
          <cell r="C1396" t="str">
            <v>焔神 プロメテウス</v>
          </cell>
          <cell r="D1396" t="str">
            <v>初期ガチャ</v>
          </cell>
          <cell r="E1396" t="str">
            <v>管理者</v>
          </cell>
          <cell r="F1396" t="str">
            <v>格好いい</v>
          </cell>
          <cell r="G1396" t="str">
            <v>男性</v>
          </cell>
          <cell r="H1396" t="str">
            <v>red</v>
          </cell>
          <cell r="I1396">
            <v>4</v>
          </cell>
          <cell r="J1396" t="str">
            <v>PremiumN</v>
          </cell>
          <cell r="K1396" t="str">
            <v>ra</v>
          </cell>
          <cell r="L1396" t="str">
            <v>ラグランジュチャレンジ</v>
          </cell>
          <cell r="M1396" t="str">
            <v>god</v>
          </cell>
        </row>
        <row r="1397">
          <cell r="A1397">
            <v>6009</v>
          </cell>
          <cell r="B1397" t="str">
            <v>ja</v>
          </cell>
          <cell r="C1397" t="str">
            <v>超越自我 ラグランジュ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red</v>
          </cell>
          <cell r="I1397">
            <v>5</v>
          </cell>
          <cell r="J1397" t="str">
            <v>PremiumSSS</v>
          </cell>
          <cell r="K1397" t="str">
            <v>ra</v>
          </cell>
          <cell r="L1397" t="str">
            <v>ラグランジュチャレンジ</v>
          </cell>
          <cell r="M1397" t="str">
            <v>human</v>
          </cell>
        </row>
        <row r="1398">
          <cell r="A1398">
            <v>6010</v>
          </cell>
          <cell r="B1398" t="str">
            <v>ja</v>
          </cell>
          <cell r="C1398" t="str">
            <v>超越凌駕 ラグランジュ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女性</v>
          </cell>
          <cell r="H1398" t="str">
            <v>red</v>
          </cell>
          <cell r="I1398">
            <v>6</v>
          </cell>
          <cell r="J1398" t="str">
            <v>PremiumSSS</v>
          </cell>
          <cell r="K1398" t="str">
            <v>ra</v>
          </cell>
          <cell r="L1398" t="str">
            <v>ラグランジュチャレンジ</v>
          </cell>
          <cell r="M1398" t="str">
            <v>human</v>
          </cell>
        </row>
        <row r="1399">
          <cell r="A1399">
            <v>6011</v>
          </cell>
          <cell r="B1399" t="str">
            <v>ja</v>
          </cell>
          <cell r="C1399" t="str">
            <v>パトドッグリーダー ポチ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blue</v>
          </cell>
          <cell r="I1399">
            <v>2</v>
          </cell>
          <cell r="J1399" t="str">
            <v>Drop1T</v>
          </cell>
          <cell r="K1399" t="str">
            <v>ra002</v>
          </cell>
          <cell r="L1399" t="str">
            <v>ユークリッドチャレンジ</v>
          </cell>
          <cell r="M1399" t="str">
            <v>unknown</v>
          </cell>
        </row>
        <row r="1400">
          <cell r="A1400">
            <v>6012</v>
          </cell>
          <cell r="B1400" t="str">
            <v>ja</v>
          </cell>
          <cell r="C1400" t="str">
            <v>ミミ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yellow</v>
          </cell>
          <cell r="I1400">
            <v>1</v>
          </cell>
          <cell r="J1400" t="str">
            <v>Drop1W</v>
          </cell>
          <cell r="K1400" t="str">
            <v>ra002</v>
          </cell>
          <cell r="L1400" t="str">
            <v>ユークリッドチャレンジ</v>
          </cell>
          <cell r="M1400" t="str">
            <v>animal</v>
          </cell>
        </row>
        <row r="1401">
          <cell r="A1401">
            <v>6013</v>
          </cell>
          <cell r="B1401" t="str">
            <v>ja</v>
          </cell>
          <cell r="C1401" t="str">
            <v>護衛機人 スケアクロウ</v>
          </cell>
          <cell r="D1401" t="str">
            <v>ガチャ:フィーバーフェス02</v>
          </cell>
          <cell r="E1401" t="str">
            <v>執行者</v>
          </cell>
          <cell r="F1401" t="str">
            <v>格好いい</v>
          </cell>
          <cell r="G1401" t="str">
            <v>男性</v>
          </cell>
          <cell r="H1401" t="str">
            <v>blue</v>
          </cell>
          <cell r="I1401">
            <v>2</v>
          </cell>
          <cell r="J1401" t="str">
            <v>Drop1N</v>
          </cell>
          <cell r="K1401" t="str">
            <v>ra002</v>
          </cell>
          <cell r="L1401" t="str">
            <v>ユークリッドチャレンジ</v>
          </cell>
          <cell r="M1401" t="str">
            <v>machine</v>
          </cell>
        </row>
        <row r="1402">
          <cell r="A1402">
            <v>6014</v>
          </cell>
          <cell r="B1402" t="str">
            <v>ja</v>
          </cell>
          <cell r="C1402" t="str">
            <v>月下の人狼 ローレンス</v>
          </cell>
          <cell r="D1402" t="str">
            <v>ガチャ:フィーバーフェス02</v>
          </cell>
          <cell r="E1402" t="str">
            <v>執行者</v>
          </cell>
          <cell r="F1402" t="str">
            <v>格好いい</v>
          </cell>
          <cell r="G1402" t="str">
            <v>男性</v>
          </cell>
          <cell r="H1402" t="str">
            <v>blue</v>
          </cell>
          <cell r="I1402">
            <v>4</v>
          </cell>
          <cell r="J1402" t="str">
            <v>PremiumW</v>
          </cell>
          <cell r="K1402" t="str">
            <v>ra002</v>
          </cell>
          <cell r="L1402" t="str">
            <v>ユークリッドチャレンジ</v>
          </cell>
          <cell r="M1402" t="str">
            <v>animal</v>
          </cell>
        </row>
        <row r="1403">
          <cell r="A1403">
            <v>6015</v>
          </cell>
          <cell r="B1403" t="str">
            <v>ja</v>
          </cell>
          <cell r="C1403" t="str">
            <v>フレイヤ</v>
          </cell>
          <cell r="D1403" t="str">
            <v>ガチャ:フィーバーフェス02</v>
          </cell>
          <cell r="E1403" t="str">
            <v>執行者</v>
          </cell>
          <cell r="F1403" t="str">
            <v>格好いい</v>
          </cell>
          <cell r="G1403" t="str">
            <v>男性</v>
          </cell>
          <cell r="H1403" t="str">
            <v>blue</v>
          </cell>
          <cell r="I1403">
            <v>4</v>
          </cell>
          <cell r="J1403" t="str">
            <v>PremiumSS</v>
          </cell>
          <cell r="K1403" t="str">
            <v>ra002</v>
          </cell>
          <cell r="L1403" t="str">
            <v>ユークリッドチャレンジ</v>
          </cell>
          <cell r="M1403" t="str">
            <v>animal</v>
          </cell>
        </row>
        <row r="1404">
          <cell r="A1404">
            <v>6016</v>
          </cell>
          <cell r="B1404" t="str">
            <v>ja</v>
          </cell>
          <cell r="C1404" t="str">
            <v>根原論理 ユークリッド</v>
          </cell>
          <cell r="D1404" t="str">
            <v>ガチャ:フィーバーフェス02</v>
          </cell>
          <cell r="E1404" t="str">
            <v>執行者</v>
          </cell>
          <cell r="F1404" t="str">
            <v>格好いい</v>
          </cell>
          <cell r="G1404" t="str">
            <v>男性</v>
          </cell>
          <cell r="H1404" t="str">
            <v>blue</v>
          </cell>
          <cell r="I1404">
            <v>5</v>
          </cell>
          <cell r="J1404" t="str">
            <v>PremiumSSS</v>
          </cell>
          <cell r="K1404" t="str">
            <v>ra002</v>
          </cell>
          <cell r="L1404" t="str">
            <v>ユークリッドチャレンジ</v>
          </cell>
          <cell r="M1404" t="str">
            <v>human</v>
          </cell>
        </row>
        <row r="1405">
          <cell r="A1405">
            <v>6017</v>
          </cell>
          <cell r="B1405" t="str">
            <v>ja</v>
          </cell>
          <cell r="C1405" t="str">
            <v>不朽の極論 ユークリッド</v>
          </cell>
          <cell r="D1405" t="str">
            <v>ガチャ:フィーバーフェス02</v>
          </cell>
          <cell r="E1405" t="str">
            <v>執行者</v>
          </cell>
          <cell r="F1405" t="str">
            <v>格好いい</v>
          </cell>
          <cell r="G1405" t="str">
            <v>男性</v>
          </cell>
          <cell r="H1405" t="str">
            <v>blue</v>
          </cell>
          <cell r="I1405">
            <v>6</v>
          </cell>
          <cell r="J1405" t="str">
            <v>PremiumSSS</v>
          </cell>
          <cell r="K1405" t="str">
            <v>ra002</v>
          </cell>
          <cell r="L1405" t="str">
            <v>ユークリッドチャレンジ</v>
          </cell>
          <cell r="M1405" t="str">
            <v>human</v>
          </cell>
        </row>
        <row r="1406">
          <cell r="A1406">
            <v>6018</v>
          </cell>
          <cell r="B1406" t="str">
            <v>ja</v>
          </cell>
          <cell r="C1406" t="str">
            <v>ハヅル</v>
          </cell>
          <cell r="D1406" t="str">
            <v>ガチャ:フィーバーフェス02</v>
          </cell>
          <cell r="E1406" t="str">
            <v>執行者</v>
          </cell>
          <cell r="F1406" t="str">
            <v>格好いい</v>
          </cell>
          <cell r="G1406" t="str">
            <v>男性</v>
          </cell>
          <cell r="H1406" t="str">
            <v>red</v>
          </cell>
          <cell r="I1406">
            <v>4</v>
          </cell>
          <cell r="J1406" t="str">
            <v>PremiumSS</v>
          </cell>
          <cell r="K1406" t="str">
            <v>ra002</v>
          </cell>
          <cell r="L1406" t="str">
            <v>ユークリッドチャレンジ</v>
          </cell>
          <cell r="M1406" t="str">
            <v>animal</v>
          </cell>
        </row>
        <row r="1407">
          <cell r="A1407">
            <v>6019</v>
          </cell>
          <cell r="B1407" t="str">
            <v>ja</v>
          </cell>
          <cell r="C1407" t="str">
            <v>天織羽鶴 ハヅル</v>
          </cell>
          <cell r="D1407" t="str">
            <v>ガチャ:フィーバーフェス02</v>
          </cell>
          <cell r="E1407" t="str">
            <v>執行者</v>
          </cell>
          <cell r="F1407" t="str">
            <v>格好いい</v>
          </cell>
          <cell r="G1407" t="str">
            <v>男性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ra002</v>
          </cell>
          <cell r="L1407" t="str">
            <v>ユークリッドチャレンジ</v>
          </cell>
          <cell r="M1407" t="str">
            <v>animal</v>
          </cell>
        </row>
        <row r="1408">
          <cell r="A1408">
            <v>6020</v>
          </cell>
          <cell r="B1408" t="str">
            <v>ja</v>
          </cell>
          <cell r="C1408" t="str">
            <v>ミズチ</v>
          </cell>
          <cell r="D1408" t="str">
            <v>ガチャ:フィーバーフェス02</v>
          </cell>
          <cell r="E1408" t="str">
            <v>執行者</v>
          </cell>
          <cell r="F1408" t="str">
            <v>格好いい</v>
          </cell>
          <cell r="G1408" t="str">
            <v>男性</v>
          </cell>
          <cell r="H1408" t="str">
            <v>blue</v>
          </cell>
          <cell r="I1408">
            <v>4</v>
          </cell>
          <cell r="J1408" t="str">
            <v>PremiumS</v>
          </cell>
          <cell r="K1408" t="str">
            <v>ra002</v>
          </cell>
          <cell r="L1408" t="str">
            <v>ユークリッドチャレンジ</v>
          </cell>
          <cell r="M1408" t="str">
            <v>dragon</v>
          </cell>
        </row>
        <row r="1409">
          <cell r="A1409">
            <v>8001</v>
          </cell>
          <cell r="B1409" t="str">
            <v>ja</v>
          </cell>
          <cell r="C1409" t="str">
            <v>媽祖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8002</v>
          </cell>
          <cell r="B1410" t="str">
            <v>ja</v>
          </cell>
          <cell r="C1410" t="str">
            <v>宣導する天海妃 媽祖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yellow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8003</v>
          </cell>
          <cell r="B1411" t="str">
            <v>ja</v>
          </cell>
          <cell r="C1411" t="str">
            <v>蛟龍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hp</v>
          </cell>
          <cell r="L1411" t="str">
            <v>体力タイプ</v>
          </cell>
          <cell r="M1411" t="str">
            <v>dragon</v>
          </cell>
        </row>
        <row r="1412">
          <cell r="A1412">
            <v>8004</v>
          </cell>
          <cell r="B1412" t="str">
            <v>ja</v>
          </cell>
          <cell r="C1412" t="str">
            <v>呼嵐の蒼棲龍 蛟龍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不明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hp</v>
          </cell>
          <cell r="L1412" t="str">
            <v>体力タイプ</v>
          </cell>
          <cell r="M1412" t="str">
            <v>dragon</v>
          </cell>
        </row>
        <row r="1413">
          <cell r="A1413">
            <v>8005</v>
          </cell>
          <cell r="B1413" t="str">
            <v>ja</v>
          </cell>
          <cell r="C1413" t="str">
            <v>三蔵法師</v>
          </cell>
          <cell r="D1413" t="str">
            <v>イベント:ミクコラボ01</v>
          </cell>
          <cell r="E1413" t="str">
            <v>執行者</v>
          </cell>
          <cell r="F1413" t="str">
            <v>格好いい</v>
          </cell>
          <cell r="G1413" t="str">
            <v>不明</v>
          </cell>
          <cell r="H1413" t="str">
            <v>blue</v>
          </cell>
          <cell r="I1413">
            <v>5</v>
          </cell>
          <cell r="J1413" t="str">
            <v>PremiumSS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8006</v>
          </cell>
          <cell r="B1414" t="str">
            <v>ja</v>
          </cell>
          <cell r="C1414" t="str">
            <v>慈戒の呪封使 三蔵法師</v>
          </cell>
          <cell r="D1414" t="str">
            <v>イベント:ミクコラボ01</v>
          </cell>
          <cell r="E1414" t="str">
            <v>執行者</v>
          </cell>
          <cell r="F1414" t="str">
            <v>格好いい</v>
          </cell>
          <cell r="G1414" t="str">
            <v>不明</v>
          </cell>
          <cell r="H1414" t="str">
            <v>blue</v>
          </cell>
          <cell r="I1414">
            <v>6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8007</v>
          </cell>
          <cell r="B1415" t="str">
            <v>ja</v>
          </cell>
          <cell r="C1415" t="str">
            <v>孫悟空</v>
          </cell>
          <cell r="D1415" t="str">
            <v>イベント:ミクコラボ01</v>
          </cell>
          <cell r="E1415" t="str">
            <v>執行者</v>
          </cell>
          <cell r="F1415" t="str">
            <v>格好いい</v>
          </cell>
          <cell r="G1415" t="str">
            <v>不明</v>
          </cell>
          <cell r="H1415" t="str">
            <v>red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animal</v>
          </cell>
        </row>
        <row r="1416">
          <cell r="A1416">
            <v>8008</v>
          </cell>
          <cell r="B1416" t="str">
            <v>ja</v>
          </cell>
          <cell r="C1416" t="str">
            <v>花果の天猿仙人 孫悟空</v>
          </cell>
          <cell r="D1416" t="str">
            <v>イベント:ミクコラボ01</v>
          </cell>
          <cell r="E1416" t="str">
            <v>執行者</v>
          </cell>
          <cell r="F1416" t="str">
            <v>格好いい</v>
          </cell>
          <cell r="G1416" t="str">
            <v>不明</v>
          </cell>
          <cell r="H1416" t="str">
            <v>red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8009</v>
          </cell>
          <cell r="B1417" t="str">
            <v>ja</v>
          </cell>
          <cell r="C1417" t="str">
            <v>西王娘娘</v>
          </cell>
          <cell r="D1417" t="str">
            <v>イベント:ミクコラボ01</v>
          </cell>
          <cell r="E1417" t="str">
            <v>執行者</v>
          </cell>
          <cell r="F1417" t="str">
            <v>格好いい</v>
          </cell>
          <cell r="G1417" t="str">
            <v>不明</v>
          </cell>
          <cell r="H1417" t="str">
            <v>green</v>
          </cell>
          <cell r="I1417">
            <v>5</v>
          </cell>
          <cell r="J1417" t="str">
            <v>PremiumSS</v>
          </cell>
          <cell r="K1417" t="str">
            <v>attack</v>
          </cell>
          <cell r="L1417" t="str">
            <v>攻撃タイプ</v>
          </cell>
          <cell r="M1417" t="str">
            <v>god</v>
          </cell>
        </row>
        <row r="1418">
          <cell r="A1418">
            <v>8010</v>
          </cell>
          <cell r="B1418" t="str">
            <v>ja</v>
          </cell>
          <cell r="C1418" t="str">
            <v>極楽瑶池の聖母 西王娘娘</v>
          </cell>
          <cell r="D1418" t="str">
            <v>イベント:ミクコラボ01</v>
          </cell>
          <cell r="E1418" t="str">
            <v>執行者</v>
          </cell>
          <cell r="F1418" t="str">
            <v>格好いい</v>
          </cell>
          <cell r="G1418" t="str">
            <v>不明</v>
          </cell>
          <cell r="H1418" t="str">
            <v>green</v>
          </cell>
          <cell r="I1418">
            <v>6</v>
          </cell>
          <cell r="J1418" t="str">
            <v>PremiumSS</v>
          </cell>
          <cell r="K1418" t="str">
            <v>attack</v>
          </cell>
          <cell r="L1418" t="str">
            <v>攻撃タイプ</v>
          </cell>
          <cell r="M1418" t="str">
            <v>god</v>
          </cell>
        </row>
        <row r="1419">
          <cell r="A1419">
            <v>8011</v>
          </cell>
          <cell r="B1419" t="str">
            <v>ja</v>
          </cell>
          <cell r="C1419" t="str">
            <v>月下老人</v>
          </cell>
          <cell r="D1419" t="str">
            <v>イベント:ミクコラボ01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yellow</v>
          </cell>
          <cell r="I1419">
            <v>5</v>
          </cell>
          <cell r="J1419" t="str">
            <v>DropWizS</v>
          </cell>
          <cell r="K1419" t="str">
            <v>balance</v>
          </cell>
          <cell r="L1419" t="str">
            <v>バランスタイプ</v>
          </cell>
          <cell r="M1419" t="str">
            <v>god</v>
          </cell>
        </row>
        <row r="1420">
          <cell r="A1420">
            <v>8012</v>
          </cell>
          <cell r="B1420" t="str">
            <v>ja</v>
          </cell>
          <cell r="C1420" t="str">
            <v>破戀斬る縁剣 月下老人</v>
          </cell>
          <cell r="D1420" t="str">
            <v>イベント:ミクコラボ01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yellow</v>
          </cell>
          <cell r="I1420">
            <v>6</v>
          </cell>
          <cell r="J1420" t="str">
            <v>DropWizS</v>
          </cell>
          <cell r="K1420" t="str">
            <v>balance</v>
          </cell>
          <cell r="L1420" t="str">
            <v>バランスタイプ</v>
          </cell>
          <cell r="M1420" t="str">
            <v>god</v>
          </cell>
        </row>
        <row r="1421">
          <cell r="A1421">
            <v>8013</v>
          </cell>
          <cell r="B1421" t="str">
            <v>ja</v>
          </cell>
          <cell r="C1421" t="str">
            <v>初音ミクV3</v>
          </cell>
          <cell r="D1421" t="str">
            <v>初音ミクV3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DropWizS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8014</v>
          </cell>
          <cell r="B1422" t="str">
            <v>ja</v>
          </cell>
          <cell r="C1422" t="str">
            <v>初音ミクV3</v>
          </cell>
          <cell r="D1422" t="str">
            <v>初音ミクV3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DropWizS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8015</v>
          </cell>
          <cell r="B1423" t="str">
            <v>ja</v>
          </cell>
          <cell r="C1423" t="str">
            <v>初音ミク・アペンド</v>
          </cell>
          <cell r="D1423" t="str">
            <v>初音ミク・アペンド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green</v>
          </cell>
          <cell r="I1423">
            <v>4</v>
          </cell>
          <cell r="J1423" t="str">
            <v>PremiumSSS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8016</v>
          </cell>
          <cell r="B1424" t="str">
            <v>ja</v>
          </cell>
          <cell r="C1424" t="str">
            <v>初音ミク・アペンド</v>
          </cell>
          <cell r="D1424" t="str">
            <v>初音ミク・アペンド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8017</v>
          </cell>
          <cell r="B1425" t="str">
            <v>ja</v>
          </cell>
          <cell r="C1425" t="str">
            <v>初音ミク</v>
          </cell>
          <cell r="D1425" t="str">
            <v>初音ミク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4</v>
          </cell>
          <cell r="J1425" t="str">
            <v>PremiumSSS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8018</v>
          </cell>
          <cell r="B1426" t="str">
            <v>ja</v>
          </cell>
          <cell r="C1426" t="str">
            <v>初音ミク</v>
          </cell>
          <cell r="D1426" t="str">
            <v>初音ミク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green</v>
          </cell>
          <cell r="I1426">
            <v>5</v>
          </cell>
          <cell r="J1426" t="str">
            <v>PremiumSSS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8019</v>
          </cell>
          <cell r="B1427" t="str">
            <v>ja</v>
          </cell>
          <cell r="C1427" t="str">
            <v>鏡音リン</v>
          </cell>
          <cell r="D1427" t="str">
            <v>鏡音リン</v>
          </cell>
          <cell r="E1427" t="str">
            <v>執行者</v>
          </cell>
          <cell r="F1427" t="str">
            <v>格好いい</v>
          </cell>
          <cell r="G1427" t="str">
            <v>男性</v>
          </cell>
          <cell r="H1427" t="str">
            <v>yellow</v>
          </cell>
          <cell r="I1427">
            <v>4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unknown</v>
          </cell>
        </row>
        <row r="1428">
          <cell r="A1428">
            <v>8020</v>
          </cell>
          <cell r="B1428" t="str">
            <v>ja</v>
          </cell>
          <cell r="C1428" t="str">
            <v>鏡音リン</v>
          </cell>
          <cell r="D1428" t="str">
            <v>鏡音リン</v>
          </cell>
          <cell r="E1428" t="str">
            <v>執行者</v>
          </cell>
          <cell r="F1428" t="str">
            <v>格好いい</v>
          </cell>
          <cell r="G1428" t="str">
            <v>男性</v>
          </cell>
          <cell r="H1428" t="str">
            <v>yellow</v>
          </cell>
          <cell r="I1428">
            <v>5</v>
          </cell>
          <cell r="J1428" t="str">
            <v>PremiumSS</v>
          </cell>
          <cell r="K1428" t="str">
            <v>balance</v>
          </cell>
          <cell r="L1428" t="str">
            <v>バランスタイプ</v>
          </cell>
          <cell r="M1428" t="str">
            <v>unknown</v>
          </cell>
        </row>
        <row r="1429">
          <cell r="A1429">
            <v>8021</v>
          </cell>
          <cell r="B1429" t="str">
            <v>ja</v>
          </cell>
          <cell r="C1429" t="str">
            <v>鏡音レン</v>
          </cell>
          <cell r="D1429" t="str">
            <v>鏡音レン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yellow</v>
          </cell>
          <cell r="I1429">
            <v>4</v>
          </cell>
          <cell r="J1429" t="str">
            <v>PremiumSS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8022</v>
          </cell>
          <cell r="B1430" t="str">
            <v>ja</v>
          </cell>
          <cell r="C1430" t="str">
            <v>鏡音レン</v>
          </cell>
          <cell r="D1430" t="str">
            <v>鏡音レン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8023</v>
          </cell>
          <cell r="B1431" t="str">
            <v>ja</v>
          </cell>
          <cell r="C1431" t="str">
            <v>巡音ルカ</v>
          </cell>
          <cell r="D1431" t="str">
            <v>巡音ルカ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3</v>
          </cell>
          <cell r="J1431" t="str">
            <v>PremiumS</v>
          </cell>
          <cell r="K1431" t="str">
            <v>attack</v>
          </cell>
          <cell r="L1431" t="str">
            <v>攻撃タイプ</v>
          </cell>
          <cell r="M1431" t="str">
            <v>unknown</v>
          </cell>
        </row>
        <row r="1432">
          <cell r="A1432">
            <v>8024</v>
          </cell>
          <cell r="B1432" t="str">
            <v>ja</v>
          </cell>
          <cell r="C1432" t="str">
            <v>巡音ルカ</v>
          </cell>
          <cell r="D1432" t="str">
            <v>巡音ルカ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4</v>
          </cell>
          <cell r="J1432" t="str">
            <v>PremiumS</v>
          </cell>
          <cell r="K1432" t="str">
            <v>attack</v>
          </cell>
          <cell r="L1432" t="str">
            <v>攻撃タイプ</v>
          </cell>
          <cell r="M1432" t="str">
            <v>unknown</v>
          </cell>
        </row>
        <row r="1433">
          <cell r="A1433">
            <v>8025</v>
          </cell>
          <cell r="B1433" t="str">
            <v>ja</v>
          </cell>
          <cell r="C1433" t="str">
            <v>MEIKO</v>
          </cell>
          <cell r="D1433" t="str">
            <v>MEIKO</v>
          </cell>
          <cell r="E1433" t="str">
            <v>執行者</v>
          </cell>
          <cell r="F1433" t="str">
            <v>格好いい</v>
          </cell>
          <cell r="G1433" t="str">
            <v>男性</v>
          </cell>
          <cell r="H1433" t="str">
            <v>red</v>
          </cell>
          <cell r="I1433">
            <v>3</v>
          </cell>
          <cell r="J1433" t="str">
            <v>PremiumS</v>
          </cell>
          <cell r="K1433" t="str">
            <v>hp</v>
          </cell>
          <cell r="L1433" t="str">
            <v>体力タイプ</v>
          </cell>
          <cell r="M1433" t="str">
            <v>unknown</v>
          </cell>
        </row>
        <row r="1434">
          <cell r="A1434">
            <v>8026</v>
          </cell>
          <cell r="B1434" t="str">
            <v>ja</v>
          </cell>
          <cell r="C1434" t="str">
            <v>MEIKO</v>
          </cell>
          <cell r="D1434" t="str">
            <v>MEIKO</v>
          </cell>
          <cell r="E1434" t="str">
            <v>執行者</v>
          </cell>
          <cell r="F1434" t="str">
            <v>格好いい</v>
          </cell>
          <cell r="G1434" t="str">
            <v>男性</v>
          </cell>
          <cell r="H1434" t="str">
            <v>red</v>
          </cell>
          <cell r="I1434">
            <v>4</v>
          </cell>
          <cell r="J1434" t="str">
            <v>PremiumS</v>
          </cell>
          <cell r="K1434" t="str">
            <v>hp</v>
          </cell>
          <cell r="L1434" t="str">
            <v>体力タイプ</v>
          </cell>
          <cell r="M1434" t="str">
            <v>unknown</v>
          </cell>
        </row>
        <row r="1435">
          <cell r="A1435">
            <v>8027</v>
          </cell>
          <cell r="B1435" t="str">
            <v>ja</v>
          </cell>
          <cell r="C1435" t="str">
            <v>KAITO</v>
          </cell>
          <cell r="D1435" t="str">
            <v>KAITO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3</v>
          </cell>
          <cell r="J1435" t="str">
            <v>PremiumS</v>
          </cell>
          <cell r="K1435" t="str">
            <v>technical</v>
          </cell>
          <cell r="L1435" t="str">
            <v>テクニカルタイプ</v>
          </cell>
          <cell r="M1435" t="str">
            <v>unknown</v>
          </cell>
        </row>
        <row r="1436">
          <cell r="A1436">
            <v>8028</v>
          </cell>
          <cell r="B1436" t="str">
            <v>ja</v>
          </cell>
          <cell r="C1436" t="str">
            <v>KAITO</v>
          </cell>
          <cell r="D1436" t="str">
            <v>KAITO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4</v>
          </cell>
          <cell r="J1436" t="str">
            <v>PremiumS</v>
          </cell>
          <cell r="K1436" t="str">
            <v>technical</v>
          </cell>
          <cell r="L1436" t="str">
            <v>テクニカルタイプ</v>
          </cell>
          <cell r="M1436" t="str">
            <v>unknown</v>
          </cell>
        </row>
        <row r="1437">
          <cell r="A1437">
            <v>8029</v>
          </cell>
          <cell r="B1437" t="str">
            <v>ja</v>
          </cell>
          <cell r="C1437" t="str">
            <v>Expoミク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4</v>
          </cell>
          <cell r="J1437" t="str">
            <v>Drop2N</v>
          </cell>
          <cell r="K1437" t="str">
            <v>heal</v>
          </cell>
          <cell r="L1437" t="str">
            <v>回復タイプ</v>
          </cell>
          <cell r="M1437" t="str">
            <v>unknown</v>
          </cell>
        </row>
        <row r="1438">
          <cell r="A1438">
            <v>8030</v>
          </cell>
          <cell r="B1438" t="str">
            <v>ja</v>
          </cell>
          <cell r="C1438" t="str">
            <v>Expoミク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blue</v>
          </cell>
          <cell r="I1438">
            <v>5</v>
          </cell>
          <cell r="J1438" t="str">
            <v>Drop2N</v>
          </cell>
          <cell r="K1438" t="str">
            <v>heal</v>
          </cell>
          <cell r="L1438" t="str">
            <v>回復タイプ</v>
          </cell>
          <cell r="M1438" t="str">
            <v>unknown</v>
          </cell>
        </row>
        <row r="1439">
          <cell r="A1439">
            <v>8031</v>
          </cell>
          <cell r="B1439" t="str">
            <v>ja</v>
          </cell>
          <cell r="C1439" t="str">
            <v>閻羅王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PremiumSS</v>
          </cell>
          <cell r="K1439" t="str">
            <v>balance</v>
          </cell>
          <cell r="L1439" t="str">
            <v>バランスタイプ</v>
          </cell>
          <cell r="M1439" t="str">
            <v>god</v>
          </cell>
        </row>
        <row r="1440">
          <cell r="A1440">
            <v>8032</v>
          </cell>
          <cell r="B1440" t="str">
            <v>ja</v>
          </cell>
          <cell r="C1440" t="str">
            <v>六道輪廻の絶獄 閻羅王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6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god</v>
          </cell>
        </row>
        <row r="1441">
          <cell r="A1441">
            <v>8033</v>
          </cell>
          <cell r="B1441" t="str">
            <v>ja</v>
          </cell>
          <cell r="C1441" t="str">
            <v>牛頭馬面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green</v>
          </cell>
          <cell r="I1441">
            <v>5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god</v>
          </cell>
        </row>
        <row r="1442">
          <cell r="A1442">
            <v>8034</v>
          </cell>
          <cell r="B1442" t="str">
            <v>ja</v>
          </cell>
          <cell r="C1442" t="str">
            <v>冥府狩る魂使 牛頭馬面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green</v>
          </cell>
          <cell r="I1442">
            <v>6</v>
          </cell>
          <cell r="J1442" t="str">
            <v>DropWizS</v>
          </cell>
          <cell r="K1442" t="str">
            <v>attack</v>
          </cell>
          <cell r="L1442" t="str">
            <v>攻撃タイプ</v>
          </cell>
          <cell r="M1442" t="str">
            <v>god</v>
          </cell>
        </row>
        <row r="1443">
          <cell r="A1443">
            <v>8035</v>
          </cell>
          <cell r="B1443" t="str">
            <v>ja</v>
          </cell>
          <cell r="C1443" t="str">
            <v>飛衛</v>
          </cell>
          <cell r="D1443" t="str">
            <v>Expoミク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blue</v>
          </cell>
          <cell r="I1443">
            <v>5</v>
          </cell>
          <cell r="J1443" t="str">
            <v>PremiumSS</v>
          </cell>
          <cell r="K1443" t="str">
            <v>heal</v>
          </cell>
          <cell r="L1443" t="str">
            <v>回復タイプ</v>
          </cell>
          <cell r="M1443" t="str">
            <v>human</v>
          </cell>
        </row>
        <row r="1444">
          <cell r="A1444">
            <v>8036</v>
          </cell>
          <cell r="B1444" t="str">
            <v>ja</v>
          </cell>
          <cell r="C1444" t="str">
            <v>レア６飛衛</v>
          </cell>
          <cell r="D1444" t="str">
            <v>Expoミク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blue</v>
          </cell>
          <cell r="I1444">
            <v>6</v>
          </cell>
          <cell r="J1444" t="str">
            <v>PremiumSS</v>
          </cell>
          <cell r="K1444" t="str">
            <v>heal</v>
          </cell>
          <cell r="L1444" t="str">
            <v>回復タイプ</v>
          </cell>
          <cell r="M1444" t="str">
            <v>human</v>
          </cell>
        </row>
        <row r="1445">
          <cell r="A1445">
            <v>8037</v>
          </cell>
          <cell r="B1445" t="str">
            <v>ja</v>
          </cell>
          <cell r="C1445" t="str">
            <v>紀昌</v>
          </cell>
          <cell r="D1445" t="str">
            <v>Expoミク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DropWizS</v>
          </cell>
          <cell r="K1445" t="str">
            <v>attack</v>
          </cell>
          <cell r="L1445" t="str">
            <v>攻撃タイプ</v>
          </cell>
          <cell r="M1445" t="str">
            <v>human</v>
          </cell>
        </row>
        <row r="1446">
          <cell r="A1446">
            <v>8038</v>
          </cell>
          <cell r="B1446" t="str">
            <v>ja</v>
          </cell>
          <cell r="C1446" t="str">
            <v>レア６紀昌</v>
          </cell>
          <cell r="D1446" t="str">
            <v>Expoミク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6</v>
          </cell>
          <cell r="J1446" t="str">
            <v>DropWizS</v>
          </cell>
          <cell r="K1446" t="str">
            <v>attack</v>
          </cell>
          <cell r="L1446" t="str">
            <v>攻撃タイプ</v>
          </cell>
          <cell r="M1446" t="str">
            <v>human</v>
          </cell>
        </row>
        <row r="1447">
          <cell r="A1447">
            <v>8039</v>
          </cell>
          <cell r="B1447" t="str">
            <v>ja</v>
          </cell>
          <cell r="C1447" t="str">
            <v>何仙姑</v>
          </cell>
          <cell r="D1447" t="str">
            <v>Expoミク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yellow</v>
          </cell>
          <cell r="I1447">
            <v>5</v>
          </cell>
          <cell r="J1447" t="str">
            <v>PremiumSSw</v>
          </cell>
          <cell r="K1447" t="str">
            <v>hp</v>
          </cell>
          <cell r="L1447" t="str">
            <v>体力タイプ</v>
          </cell>
          <cell r="M1447" t="str">
            <v>god</v>
          </cell>
        </row>
        <row r="1448">
          <cell r="A1448">
            <v>8040</v>
          </cell>
          <cell r="B1448" t="str">
            <v>ja</v>
          </cell>
          <cell r="C1448" t="str">
            <v>レア６何仙姑</v>
          </cell>
          <cell r="D1448" t="str">
            <v>Expoミク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yellow</v>
          </cell>
          <cell r="I1448">
            <v>6</v>
          </cell>
          <cell r="J1448" t="str">
            <v>PremiumSSw</v>
          </cell>
          <cell r="K1448" t="str">
            <v>hp</v>
          </cell>
          <cell r="L1448" t="str">
            <v>体力タイプ</v>
          </cell>
          <cell r="M1448" t="str">
            <v>god</v>
          </cell>
        </row>
        <row r="1449">
          <cell r="A1449">
            <v>8041</v>
          </cell>
          <cell r="B1449" t="str">
            <v>ja</v>
          </cell>
          <cell r="C1449" t="str">
            <v>藍采和</v>
          </cell>
          <cell r="D1449" t="str">
            <v>Expoミク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blue</v>
          </cell>
          <cell r="I1449">
            <v>5</v>
          </cell>
          <cell r="J1449" t="str">
            <v>DropWizS</v>
          </cell>
          <cell r="K1449" t="str">
            <v>balance</v>
          </cell>
          <cell r="L1449" t="str">
            <v>バランスタイプ</v>
          </cell>
          <cell r="M1449" t="str">
            <v>god</v>
          </cell>
        </row>
        <row r="1450">
          <cell r="A1450">
            <v>8042</v>
          </cell>
          <cell r="B1450" t="str">
            <v>ja</v>
          </cell>
          <cell r="C1450" t="str">
            <v>レア６藍采和</v>
          </cell>
          <cell r="D1450" t="str">
            <v>Expoミク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blue</v>
          </cell>
          <cell r="I1450">
            <v>6</v>
          </cell>
          <cell r="J1450" t="str">
            <v>DropWizS</v>
          </cell>
          <cell r="K1450" t="str">
            <v>balance</v>
          </cell>
          <cell r="L1450" t="str">
            <v>バランスタイプ</v>
          </cell>
          <cell r="M1450" t="str">
            <v>god</v>
          </cell>
        </row>
        <row r="1451">
          <cell r="A1451">
            <v>8043</v>
          </cell>
          <cell r="B1451" t="str">
            <v>ja</v>
          </cell>
          <cell r="C1451" t="str">
            <v>サンリオキャラ大集合+アザゼル</v>
          </cell>
          <cell r="D1451" t="str">
            <v>サンリオキャラ大集合+アザゼル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DropWizS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8044</v>
          </cell>
          <cell r="B1452" t="str">
            <v>ja</v>
          </cell>
          <cell r="C1452" t="str">
            <v>サンリオキャラ大集合+アザゼル</v>
          </cell>
          <cell r="D1452" t="str">
            <v>サンリオキャラ大集合+アザゼル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6</v>
          </cell>
          <cell r="J1452" t="str">
            <v>DropWizS</v>
          </cell>
          <cell r="K1452" t="str">
            <v>technical</v>
          </cell>
          <cell r="L1452" t="str">
            <v>テクニカルタイプ</v>
          </cell>
          <cell r="M1452" t="str">
            <v>ss</v>
          </cell>
        </row>
        <row r="1453">
          <cell r="A1453">
            <v>8045</v>
          </cell>
          <cell r="B1453" t="str">
            <v>ja</v>
          </cell>
          <cell r="C1453" t="str">
            <v>ニムダ_サンリオキャラ混じり</v>
          </cell>
          <cell r="D1453" t="str">
            <v>ニムダ_サンリオキャラ混じり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yellow</v>
          </cell>
          <cell r="I1453">
            <v>4</v>
          </cell>
          <cell r="J1453" t="str">
            <v>Drop2N</v>
          </cell>
          <cell r="K1453" t="str">
            <v>technical</v>
          </cell>
          <cell r="L1453" t="str">
            <v>テクニカルタイプ</v>
          </cell>
          <cell r="M1453" t="str">
            <v>ss</v>
          </cell>
        </row>
        <row r="1454">
          <cell r="A1454">
            <v>8046</v>
          </cell>
          <cell r="B1454" t="str">
            <v>ja</v>
          </cell>
          <cell r="C1454" t="str">
            <v>ニムダ_サンリオキャラ混じり</v>
          </cell>
          <cell r="D1454" t="str">
            <v>ニムダ_サンリオキャラ混じり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yellow</v>
          </cell>
          <cell r="I1454">
            <v>5</v>
          </cell>
          <cell r="J1454" t="str">
            <v>Drop2N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8047</v>
          </cell>
          <cell r="B1455" t="str">
            <v>ja</v>
          </cell>
          <cell r="C1455" t="str">
            <v>ハローキティ</v>
          </cell>
          <cell r="D1455" t="str">
            <v>ハローキティ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Drop2N</v>
          </cell>
          <cell r="K1455" t="str">
            <v>balance</v>
          </cell>
          <cell r="L1455" t="str">
            <v>バランスタイプ</v>
          </cell>
          <cell r="M1455" t="str">
            <v>ss</v>
          </cell>
        </row>
        <row r="1456">
          <cell r="A1456">
            <v>8048</v>
          </cell>
          <cell r="B1456" t="str">
            <v>ja</v>
          </cell>
          <cell r="C1456" t="str">
            <v>ハローキティ</v>
          </cell>
          <cell r="D1456" t="str">
            <v>ハローキティ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Drop2N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8049</v>
          </cell>
          <cell r="B1457" t="str">
            <v>ja</v>
          </cell>
          <cell r="C1457" t="str">
            <v>KIRIMIちゃん</v>
          </cell>
          <cell r="D1457" t="str">
            <v>KIRIMIちゃん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red</v>
          </cell>
          <cell r="I1457">
            <v>4</v>
          </cell>
          <cell r="J1457" t="str">
            <v>Drop2N</v>
          </cell>
          <cell r="K1457" t="str">
            <v>hp</v>
          </cell>
          <cell r="L1457" t="str">
            <v>体力タイプ</v>
          </cell>
          <cell r="M1457" t="str">
            <v>ss</v>
          </cell>
        </row>
        <row r="1458">
          <cell r="A1458">
            <v>8050</v>
          </cell>
          <cell r="B1458" t="str">
            <v>ja</v>
          </cell>
          <cell r="C1458" t="str">
            <v>KIRIMIちゃん</v>
          </cell>
          <cell r="D1458" t="str">
            <v>KIRIMIちゃん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5</v>
          </cell>
          <cell r="J1458" t="str">
            <v>Drop2N</v>
          </cell>
          <cell r="K1458" t="str">
            <v>hp</v>
          </cell>
          <cell r="L1458" t="str">
            <v>体力タイプ</v>
          </cell>
          <cell r="M1458" t="str">
            <v>ss</v>
          </cell>
        </row>
        <row r="1459">
          <cell r="A1459">
            <v>8051</v>
          </cell>
          <cell r="B1459" t="str">
            <v>ja</v>
          </cell>
          <cell r="C1459" t="str">
            <v>ハローキティのリボン</v>
          </cell>
          <cell r="D1459" t="str">
            <v>ハローキティのリボン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5</v>
          </cell>
          <cell r="J1459" t="str">
            <v>Drop2N</v>
          </cell>
          <cell r="K1459" t="str">
            <v>evolution</v>
          </cell>
          <cell r="L1459" t="str">
            <v>覚醒素材タイプ</v>
          </cell>
          <cell r="M1459" t="str">
            <v>ss</v>
          </cell>
        </row>
        <row r="1460">
          <cell r="A1460">
            <v>8052</v>
          </cell>
          <cell r="B1460" t="str">
            <v>ja</v>
          </cell>
          <cell r="C1460" t="str">
            <v>ママの作ったアップルパイ</v>
          </cell>
          <cell r="D1460" t="str">
            <v>ママの作ったアップルパイ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red</v>
          </cell>
          <cell r="I1460">
            <v>4</v>
          </cell>
          <cell r="J1460" t="str">
            <v>Drop2N</v>
          </cell>
          <cell r="K1460" t="str">
            <v>evolution</v>
          </cell>
          <cell r="L1460" t="str">
            <v>覚醒素材タイプ</v>
          </cell>
          <cell r="M1460" t="str">
            <v>ss</v>
          </cell>
        </row>
        <row r="1461">
          <cell r="A1461">
            <v>8053</v>
          </cell>
          <cell r="B1461" t="str">
            <v>ja</v>
          </cell>
          <cell r="C1461" t="str">
            <v>D.R.T.H__キティコスプレ</v>
          </cell>
          <cell r="D1461" t="str">
            <v>D.R.T.H__キティコスプレ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8054</v>
          </cell>
          <cell r="B1462" t="str">
            <v>ja</v>
          </cell>
          <cell r="C1462" t="str">
            <v>D.R.T.H__キティコスプレ</v>
          </cell>
          <cell r="D1462" t="str">
            <v>D.R.T.H__キティコスプレ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8055</v>
          </cell>
          <cell r="B1463" t="str">
            <v>ja</v>
          </cell>
          <cell r="C1463" t="str">
            <v>マイメロディ</v>
          </cell>
          <cell r="D1463" t="str">
            <v>マイメロディ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red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8056</v>
          </cell>
          <cell r="B1464" t="str">
            <v>ja</v>
          </cell>
          <cell r="C1464" t="str">
            <v>マイメロディ</v>
          </cell>
          <cell r="D1464" t="str">
            <v>マイメロディ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red</v>
          </cell>
          <cell r="I1464">
            <v>5</v>
          </cell>
          <cell r="J1464" t="str">
            <v>PremiumS</v>
          </cell>
          <cell r="K1464" t="str">
            <v>attack</v>
          </cell>
          <cell r="L1464" t="str">
            <v>攻撃タイプ</v>
          </cell>
          <cell r="M1464" t="str">
            <v>ss</v>
          </cell>
        </row>
        <row r="1465">
          <cell r="A1465">
            <v>8057</v>
          </cell>
          <cell r="B1465" t="str">
            <v>ja</v>
          </cell>
          <cell r="C1465" t="str">
            <v>ニーベルゲン_シナモロールコスプレ</v>
          </cell>
          <cell r="D1465" t="str">
            <v>ニーベルゲン_シナモロールコスプレ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green</v>
          </cell>
          <cell r="I1465">
            <v>4</v>
          </cell>
          <cell r="J1465" t="str">
            <v>PremiumS</v>
          </cell>
          <cell r="K1465" t="str">
            <v>balance</v>
          </cell>
          <cell r="L1465" t="str">
            <v>バランスタイプ</v>
          </cell>
          <cell r="M1465" t="str">
            <v>ss</v>
          </cell>
        </row>
        <row r="1466">
          <cell r="A1466">
            <v>8058</v>
          </cell>
          <cell r="B1466" t="str">
            <v>ja</v>
          </cell>
          <cell r="C1466" t="str">
            <v>ニーベルゲン_シナモロールコスプレ</v>
          </cell>
          <cell r="D1466" t="str">
            <v>ニーベルゲン_シナモロールコスプレ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green</v>
          </cell>
          <cell r="I1466">
            <v>5</v>
          </cell>
          <cell r="J1466" t="str">
            <v>PremiumS</v>
          </cell>
          <cell r="K1466" t="str">
            <v>balance</v>
          </cell>
          <cell r="L1466" t="str">
            <v>バランスタイプ</v>
          </cell>
          <cell r="M1466" t="str">
            <v>ss</v>
          </cell>
        </row>
        <row r="1467">
          <cell r="A1467">
            <v>8059</v>
          </cell>
          <cell r="B1467" t="str">
            <v>ja</v>
          </cell>
          <cell r="C1467" t="str">
            <v>カカシ_マイメロディコスプレ</v>
          </cell>
          <cell r="D1467" t="str">
            <v>カカシ_マイメロディコスプレ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green</v>
          </cell>
          <cell r="I1467">
            <v>4</v>
          </cell>
          <cell r="J1467" t="str">
            <v>PremiumS</v>
          </cell>
          <cell r="K1467" t="str">
            <v>technical</v>
          </cell>
          <cell r="L1467" t="str">
            <v>テクニカルタイプ</v>
          </cell>
          <cell r="M1467" t="str">
            <v>ss</v>
          </cell>
        </row>
        <row r="1468">
          <cell r="A1468">
            <v>8060</v>
          </cell>
          <cell r="B1468" t="str">
            <v>ja</v>
          </cell>
          <cell r="C1468" t="str">
            <v>カカシ_マイメロディコスプレ</v>
          </cell>
          <cell r="D1468" t="str">
            <v>カカシ_マイメロディコスプレ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green</v>
          </cell>
          <cell r="I1468">
            <v>5</v>
          </cell>
          <cell r="J1468" t="str">
            <v>PremiumS</v>
          </cell>
          <cell r="K1468" t="str">
            <v>technical</v>
          </cell>
          <cell r="L1468" t="str">
            <v>テクニカルタイプ</v>
          </cell>
          <cell r="M1468" t="str">
            <v>ss</v>
          </cell>
        </row>
        <row r="1469">
          <cell r="A1469">
            <v>8061</v>
          </cell>
          <cell r="B1469" t="str">
            <v>ja</v>
          </cell>
          <cell r="C1469" t="str">
            <v>ケロケロけろっぴ</v>
          </cell>
          <cell r="D1469" t="str">
            <v>ケロケロけろっぴ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green</v>
          </cell>
          <cell r="I1469">
            <v>3</v>
          </cell>
          <cell r="J1469" t="str">
            <v>PremiumS</v>
          </cell>
          <cell r="K1469" t="str">
            <v>balance</v>
          </cell>
          <cell r="L1469" t="str">
            <v>バランスタイプ</v>
          </cell>
          <cell r="M1469" t="str">
            <v>ss</v>
          </cell>
        </row>
        <row r="1470">
          <cell r="A1470">
            <v>8062</v>
          </cell>
          <cell r="B1470" t="str">
            <v>ja</v>
          </cell>
          <cell r="C1470" t="str">
            <v>ケロケロけろっぴ</v>
          </cell>
          <cell r="D1470" t="str">
            <v>ケロケロけろっぴ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green</v>
          </cell>
          <cell r="I1470">
            <v>4</v>
          </cell>
          <cell r="J1470" t="str">
            <v>PremiumS</v>
          </cell>
          <cell r="K1470" t="str">
            <v>balance</v>
          </cell>
          <cell r="L1470" t="str">
            <v>バランスタイプ</v>
          </cell>
          <cell r="M1470" t="str">
            <v>ss</v>
          </cell>
        </row>
        <row r="1471">
          <cell r="A1471">
            <v>8063</v>
          </cell>
          <cell r="B1471" t="str">
            <v>ja</v>
          </cell>
          <cell r="C1471" t="str">
            <v>モルドレッド_ポムポムプリンコスプレ</v>
          </cell>
          <cell r="D1471" t="str">
            <v>モルドレッド_ポムポムプリンコスプレ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blue</v>
          </cell>
          <cell r="I1471">
            <v>5</v>
          </cell>
          <cell r="J1471" t="str">
            <v>PremiumSS</v>
          </cell>
          <cell r="K1471" t="str">
            <v>heal</v>
          </cell>
          <cell r="L1471" t="str">
            <v>回復タイプ</v>
          </cell>
          <cell r="M1471" t="str">
            <v>ss</v>
          </cell>
        </row>
        <row r="1472">
          <cell r="A1472">
            <v>8064</v>
          </cell>
          <cell r="B1472" t="str">
            <v>ja</v>
          </cell>
          <cell r="C1472" t="str">
            <v>モルドレッド_ポムポムプリンコスプレ</v>
          </cell>
          <cell r="D1472" t="str">
            <v>モルドレッド_ポムポムプリンコスプレ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blue</v>
          </cell>
          <cell r="I1472">
            <v>6</v>
          </cell>
          <cell r="J1472" t="str">
            <v>PremiumSS</v>
          </cell>
          <cell r="K1472" t="str">
            <v>heal</v>
          </cell>
          <cell r="L1472" t="str">
            <v>回復タイプ</v>
          </cell>
          <cell r="M1472" t="str">
            <v>ss</v>
          </cell>
        </row>
        <row r="1473">
          <cell r="A1473">
            <v>8065</v>
          </cell>
          <cell r="B1473" t="str">
            <v>ja</v>
          </cell>
          <cell r="C1473" t="str">
            <v>クロミ</v>
          </cell>
          <cell r="D1473" t="str">
            <v>クロミ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blue</v>
          </cell>
          <cell r="I1473">
            <v>3</v>
          </cell>
          <cell r="J1473" t="str">
            <v>PremiumS</v>
          </cell>
          <cell r="K1473" t="str">
            <v>technical</v>
          </cell>
          <cell r="L1473" t="str">
            <v>テクニカルタイプ</v>
          </cell>
          <cell r="M1473" t="str">
            <v>ss</v>
          </cell>
        </row>
        <row r="1474">
          <cell r="A1474">
            <v>8066</v>
          </cell>
          <cell r="B1474" t="str">
            <v>ja</v>
          </cell>
          <cell r="C1474" t="str">
            <v>クロミ</v>
          </cell>
          <cell r="D1474" t="str">
            <v>クロミ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4</v>
          </cell>
          <cell r="J1474" t="str">
            <v>PremiumS</v>
          </cell>
          <cell r="K1474" t="str">
            <v>technical</v>
          </cell>
          <cell r="L1474" t="str">
            <v>テクニカルタイプ</v>
          </cell>
          <cell r="M1474" t="str">
            <v>ss</v>
          </cell>
        </row>
        <row r="1475">
          <cell r="A1475">
            <v>8067</v>
          </cell>
          <cell r="B1475" t="str">
            <v>ja</v>
          </cell>
          <cell r="C1475" t="str">
            <v>バッドばつ丸</v>
          </cell>
          <cell r="D1475" t="str">
            <v>バッドばつ丸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3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ss</v>
          </cell>
        </row>
        <row r="1476">
          <cell r="A1476">
            <v>8068</v>
          </cell>
          <cell r="B1476" t="str">
            <v>ja</v>
          </cell>
          <cell r="C1476" t="str">
            <v>バッドばつ丸</v>
          </cell>
          <cell r="D1476" t="str">
            <v>バッドばつ丸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blue</v>
          </cell>
          <cell r="I1476">
            <v>4</v>
          </cell>
          <cell r="J1476" t="str">
            <v>PremiumS</v>
          </cell>
          <cell r="K1476" t="str">
            <v>attack</v>
          </cell>
          <cell r="L1476" t="str">
            <v>攻撃タイプ</v>
          </cell>
          <cell r="M1476" t="str">
            <v>ss</v>
          </cell>
        </row>
        <row r="1477">
          <cell r="A1477">
            <v>8069</v>
          </cell>
          <cell r="B1477" t="str">
            <v>ja</v>
          </cell>
          <cell r="C1477" t="str">
            <v>シナモロール</v>
          </cell>
          <cell r="D1477" t="str">
            <v>シナモロール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yellow</v>
          </cell>
          <cell r="I1477">
            <v>4</v>
          </cell>
          <cell r="J1477" t="str">
            <v>PremiumS</v>
          </cell>
          <cell r="K1477" t="str">
            <v>heal</v>
          </cell>
          <cell r="L1477" t="str">
            <v>回復タイプ</v>
          </cell>
          <cell r="M1477" t="str">
            <v>ss</v>
          </cell>
        </row>
        <row r="1478">
          <cell r="A1478">
            <v>8070</v>
          </cell>
          <cell r="B1478" t="str">
            <v>ja</v>
          </cell>
          <cell r="C1478" t="str">
            <v>シナモロール</v>
          </cell>
          <cell r="D1478" t="str">
            <v>シナモロール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yellow</v>
          </cell>
          <cell r="I1478">
            <v>5</v>
          </cell>
          <cell r="J1478" t="str">
            <v>PremiumS</v>
          </cell>
          <cell r="K1478" t="str">
            <v>heal</v>
          </cell>
          <cell r="L1478" t="str">
            <v>回復タイプ</v>
          </cell>
          <cell r="M1478" t="str">
            <v>ss</v>
          </cell>
        </row>
        <row r="1479">
          <cell r="A1479">
            <v>8071</v>
          </cell>
          <cell r="B1479" t="str">
            <v>ja</v>
          </cell>
          <cell r="C1479" t="str">
            <v>ポムポムプリン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yellow</v>
          </cell>
          <cell r="I1479">
            <v>3</v>
          </cell>
          <cell r="J1479" t="str">
            <v>PremiumS</v>
          </cell>
          <cell r="K1479" t="str">
            <v>hp</v>
          </cell>
          <cell r="L1479" t="str">
            <v>体力タイプ</v>
          </cell>
          <cell r="M1479" t="str">
            <v>ss</v>
          </cell>
        </row>
        <row r="1480">
          <cell r="A1480">
            <v>8072</v>
          </cell>
          <cell r="B1480" t="str">
            <v>ja</v>
          </cell>
          <cell r="C1480" t="str">
            <v>ポムポムプリン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4</v>
          </cell>
          <cell r="J1480" t="str">
            <v>PremiumS</v>
          </cell>
          <cell r="K1480" t="str">
            <v>hp</v>
          </cell>
          <cell r="L1480" t="str">
            <v>体力タイプ</v>
          </cell>
          <cell r="M1480" t="str">
            <v>ss</v>
          </cell>
        </row>
        <row r="1481">
          <cell r="A1481">
            <v>8073</v>
          </cell>
          <cell r="B1481" t="str">
            <v>ja</v>
          </cell>
          <cell r="C1481" t="str">
            <v>星海祈る天光妃 媽祖</v>
          </cell>
          <cell r="D1481" t="str">
            <v>Expoミク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6</v>
          </cell>
          <cell r="J1481" t="str">
            <v>PremiumSS</v>
          </cell>
          <cell r="K1481" t="str">
            <v>attack</v>
          </cell>
          <cell r="L1481" t="str">
            <v>攻撃タイプ</v>
          </cell>
          <cell r="M1481" t="str">
            <v>human</v>
          </cell>
        </row>
        <row r="1482">
          <cell r="A1482">
            <v>8074</v>
          </cell>
          <cell r="B1482" t="str">
            <v>ja</v>
          </cell>
          <cell r="C1482" t="str">
            <v>海戀の絶龍姫 蛟龍</v>
          </cell>
          <cell r="D1482" t="str">
            <v>Expoミク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blue</v>
          </cell>
          <cell r="I1482">
            <v>6</v>
          </cell>
          <cell r="J1482" t="str">
            <v>DropWizS</v>
          </cell>
          <cell r="K1482" t="str">
            <v>hp</v>
          </cell>
          <cell r="L1482" t="str">
            <v>体力タイプ</v>
          </cell>
          <cell r="M1482" t="str">
            <v>dragon</v>
          </cell>
        </row>
        <row r="1483">
          <cell r="A1483">
            <v>8075</v>
          </cell>
          <cell r="B1483" t="str">
            <v>ja</v>
          </cell>
          <cell r="C1483" t="str">
            <v>三蔵法師_超覚醒</v>
          </cell>
          <cell r="D1483" t="str">
            <v>Expoミク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PremiumSS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8076</v>
          </cell>
          <cell r="B1484" t="str">
            <v>ja</v>
          </cell>
          <cell r="C1484" t="str">
            <v>孫悟空_超覚醒</v>
          </cell>
          <cell r="D1484" t="str">
            <v>Expoミク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8077</v>
          </cell>
          <cell r="B1485" t="str">
            <v>ja</v>
          </cell>
          <cell r="C1485" t="str">
            <v>鄭成功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blue</v>
          </cell>
          <cell r="I1485">
            <v>5</v>
          </cell>
          <cell r="J1485" t="str">
            <v>PremiumSS</v>
          </cell>
          <cell r="K1485" t="str">
            <v>attack</v>
          </cell>
          <cell r="L1485" t="str">
            <v>攻撃タイプ</v>
          </cell>
          <cell r="M1485" t="str">
            <v>human</v>
          </cell>
        </row>
        <row r="1486">
          <cell r="A1486">
            <v>8078</v>
          </cell>
          <cell r="B1486" t="str">
            <v>ja</v>
          </cell>
          <cell r="C1486" t="str">
            <v>レア６鄭成功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blue</v>
          </cell>
          <cell r="I1486">
            <v>6</v>
          </cell>
          <cell r="J1486" t="str">
            <v>PremiumSS</v>
          </cell>
          <cell r="K1486" t="str">
            <v>attack</v>
          </cell>
          <cell r="L1486" t="str">
            <v>攻撃タイプ</v>
          </cell>
          <cell r="M1486" t="str">
            <v>human</v>
          </cell>
        </row>
        <row r="1487">
          <cell r="A1487">
            <v>8079</v>
          </cell>
          <cell r="B1487" t="str">
            <v>ja</v>
          </cell>
          <cell r="C1487" t="str">
            <v>赤鬼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red</v>
          </cell>
          <cell r="I1487">
            <v>5</v>
          </cell>
          <cell r="J1487" t="str">
            <v>DropWizS</v>
          </cell>
          <cell r="K1487" t="str">
            <v>hp</v>
          </cell>
          <cell r="L1487" t="str">
            <v>体力タイプ</v>
          </cell>
          <cell r="M1487" t="str">
            <v>dragon</v>
          </cell>
        </row>
        <row r="1488">
          <cell r="A1488">
            <v>8080</v>
          </cell>
          <cell r="B1488" t="str">
            <v>ja</v>
          </cell>
          <cell r="C1488" t="str">
            <v>レア６赤鬼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red</v>
          </cell>
          <cell r="I1488">
            <v>6</v>
          </cell>
          <cell r="J1488" t="str">
            <v>DropWizS</v>
          </cell>
          <cell r="K1488" t="str">
            <v>hp</v>
          </cell>
          <cell r="L1488" t="str">
            <v>体力タイプ</v>
          </cell>
          <cell r="M1488" t="str">
            <v>dragon</v>
          </cell>
        </row>
        <row r="1489">
          <cell r="A1489">
            <v>8081</v>
          </cell>
          <cell r="B1489" t="str">
            <v>ja</v>
          </cell>
          <cell r="C1489" t="str">
            <v>関羽</v>
          </cell>
          <cell r="D1489" t="str">
            <v>Expoミク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green</v>
          </cell>
          <cell r="I1489">
            <v>5</v>
          </cell>
          <cell r="J1489" t="str">
            <v>PremiumSSS</v>
          </cell>
          <cell r="K1489" t="str">
            <v>balance</v>
          </cell>
          <cell r="L1489" t="str">
            <v>バランスタイプ</v>
          </cell>
          <cell r="M1489" t="str">
            <v>samurai</v>
          </cell>
        </row>
        <row r="1490">
          <cell r="A1490">
            <v>8082</v>
          </cell>
          <cell r="B1490" t="str">
            <v>ja</v>
          </cell>
          <cell r="C1490" t="str">
            <v>★６関羽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green</v>
          </cell>
          <cell r="I1490">
            <v>6</v>
          </cell>
          <cell r="J1490" t="str">
            <v>PremiumSSS</v>
          </cell>
          <cell r="K1490" t="str">
            <v>balance</v>
          </cell>
          <cell r="L1490" t="str">
            <v>バランスタイプ</v>
          </cell>
          <cell r="M1490" t="str">
            <v>samurai</v>
          </cell>
        </row>
        <row r="1491">
          <cell r="A1491">
            <v>8083</v>
          </cell>
          <cell r="B1491" t="str">
            <v>ja</v>
          </cell>
          <cell r="C1491" t="str">
            <v>曹操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yellow</v>
          </cell>
          <cell r="I1491">
            <v>5</v>
          </cell>
          <cell r="J1491" t="str">
            <v>DropWizSS</v>
          </cell>
          <cell r="K1491" t="str">
            <v>technical</v>
          </cell>
          <cell r="L1491" t="str">
            <v>テクニカルタイプ</v>
          </cell>
          <cell r="M1491" t="str">
            <v>samurai</v>
          </cell>
        </row>
        <row r="1492">
          <cell r="A1492">
            <v>8084</v>
          </cell>
          <cell r="B1492" t="str">
            <v>ja</v>
          </cell>
          <cell r="C1492" t="str">
            <v>★６曹操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DropWizSS</v>
          </cell>
          <cell r="K1492" t="str">
            <v>technical</v>
          </cell>
          <cell r="L1492" t="str">
            <v>テクニカルタイプ</v>
          </cell>
          <cell r="M1492" t="str">
            <v>samurai</v>
          </cell>
        </row>
        <row r="1493">
          <cell r="A1493">
            <v>8087</v>
          </cell>
          <cell r="B1493" t="str">
            <v>ja</v>
          </cell>
          <cell r="C1493" t="str">
            <v>財神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5</v>
          </cell>
          <cell r="J1493" t="str">
            <v>PremiumSSS</v>
          </cell>
          <cell r="K1493" t="str">
            <v>technical</v>
          </cell>
          <cell r="L1493" t="str">
            <v>テクニカルタイプ</v>
          </cell>
          <cell r="M1493" t="str">
            <v>god</v>
          </cell>
        </row>
        <row r="1494">
          <cell r="A1494">
            <v>8088</v>
          </cell>
          <cell r="B1494" t="str">
            <v>ja</v>
          </cell>
          <cell r="C1494" t="str">
            <v>★６財神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red</v>
          </cell>
          <cell r="I1494">
            <v>6</v>
          </cell>
          <cell r="J1494" t="str">
            <v>PremiumSSS</v>
          </cell>
          <cell r="K1494" t="str">
            <v>technical</v>
          </cell>
          <cell r="L1494" t="str">
            <v>テクニカルタイプ</v>
          </cell>
          <cell r="M1494" t="str">
            <v>god</v>
          </cell>
        </row>
        <row r="1495">
          <cell r="A1495">
            <v>8089</v>
          </cell>
          <cell r="B1495" t="str">
            <v>ja</v>
          </cell>
          <cell r="C1495" t="str">
            <v>年獣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5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animal</v>
          </cell>
        </row>
        <row r="1496">
          <cell r="A1496">
            <v>8090</v>
          </cell>
          <cell r="B1496" t="str">
            <v>ja</v>
          </cell>
          <cell r="C1496" t="str">
            <v>★６年獣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green</v>
          </cell>
          <cell r="I1496">
            <v>6</v>
          </cell>
          <cell r="J1496" t="str">
            <v>DropWizS</v>
          </cell>
          <cell r="K1496" t="str">
            <v>attack</v>
          </cell>
          <cell r="L1496" t="str">
            <v>攻撃タイプ</v>
          </cell>
          <cell r="M1496" t="str">
            <v>animal</v>
          </cell>
        </row>
        <row r="1497">
          <cell r="A1497">
            <v>8095</v>
          </cell>
          <cell r="B1497" t="str">
            <v>ja</v>
          </cell>
          <cell r="C1497" t="str">
            <v>バハムートダック赤</v>
          </cell>
          <cell r="D1497" t="str">
            <v>ポムポムプリン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red</v>
          </cell>
          <cell r="I1497">
            <v>6</v>
          </cell>
          <cell r="J1497" t="str">
            <v>Material</v>
          </cell>
          <cell r="K1497" t="str">
            <v>exp</v>
          </cell>
          <cell r="L1497" t="str">
            <v>強化素材タイプ</v>
          </cell>
          <cell r="M1497" t="str">
            <v>unknown</v>
          </cell>
        </row>
        <row r="1498">
          <cell r="A1498">
            <v>8096</v>
          </cell>
          <cell r="B1498" t="str">
            <v>ja</v>
          </cell>
          <cell r="C1498" t="str">
            <v>バハムートダック緑</v>
          </cell>
          <cell r="D1498" t="str">
            <v>ポムポムプリン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green</v>
          </cell>
          <cell r="I1498">
            <v>6</v>
          </cell>
          <cell r="J1498" t="str">
            <v>Material</v>
          </cell>
          <cell r="K1498" t="str">
            <v>exp</v>
          </cell>
          <cell r="L1498" t="str">
            <v>強化素材タイプ</v>
          </cell>
          <cell r="M1498" t="str">
            <v>unknown</v>
          </cell>
        </row>
        <row r="1499">
          <cell r="A1499">
            <v>8097</v>
          </cell>
          <cell r="B1499" t="str">
            <v>ja</v>
          </cell>
          <cell r="C1499" t="str">
            <v>バハムートダック青</v>
          </cell>
          <cell r="D1499" t="str">
            <v>ポムポムプリン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blue</v>
          </cell>
          <cell r="I1499">
            <v>6</v>
          </cell>
          <cell r="J1499" t="str">
            <v>Material</v>
          </cell>
          <cell r="K1499" t="str">
            <v>exp</v>
          </cell>
          <cell r="L1499" t="str">
            <v>強化素材タイプ</v>
          </cell>
          <cell r="M1499" t="str">
            <v>unknown</v>
          </cell>
        </row>
        <row r="1500">
          <cell r="A1500">
            <v>8098</v>
          </cell>
          <cell r="B1500" t="str">
            <v>ja</v>
          </cell>
          <cell r="C1500" t="str">
            <v>バハムートダック黄</v>
          </cell>
          <cell r="D1500" t="str">
            <v>ポムポムプリン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6</v>
          </cell>
          <cell r="J1500" t="str">
            <v>Material</v>
          </cell>
          <cell r="K1500" t="str">
            <v>exp</v>
          </cell>
          <cell r="L1500" t="str">
            <v>強化素材タイプ</v>
          </cell>
          <cell r="M1500" t="str">
            <v>unknown</v>
          </cell>
        </row>
        <row r="1501">
          <cell r="A1501">
            <v>8099</v>
          </cell>
          <cell r="B1501" t="str">
            <v>ja</v>
          </cell>
          <cell r="C1501" t="str">
            <v>リトルハンプティ</v>
          </cell>
          <cell r="D1501" t="str">
            <v>各属性相性良3・黄・R455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green</v>
          </cell>
          <cell r="I1501">
            <v>6</v>
          </cell>
          <cell r="J1501" t="str">
            <v>Material</v>
          </cell>
          <cell r="K1501" t="str">
            <v>evolution</v>
          </cell>
          <cell r="L1501" t="str">
            <v>覚醒素材タイプ</v>
          </cell>
          <cell r="M1501" t="str">
            <v>unknown</v>
          </cell>
        </row>
        <row r="1502">
          <cell r="A1502">
            <v>8042</v>
          </cell>
          <cell r="B1502" t="str">
            <v>ja</v>
          </cell>
          <cell r="C1502" t="str">
            <v>レア６藍采和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8043</v>
          </cell>
          <cell r="B1503" t="str">
            <v>ja</v>
          </cell>
          <cell r="C1503" t="str">
            <v>サンリオキャラ大集合+アザゼル</v>
          </cell>
          <cell r="D1503" t="str">
            <v>サンリオキャラ大集合+アザゼル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technical</v>
          </cell>
          <cell r="L1503" t="str">
            <v>テクニカルタイプ</v>
          </cell>
          <cell r="M1503" t="str">
            <v>ss</v>
          </cell>
        </row>
        <row r="1504">
          <cell r="A1504">
            <v>8044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8045</v>
          </cell>
          <cell r="B1505" t="str">
            <v>ja</v>
          </cell>
          <cell r="C1505" t="str">
            <v>ニムダ_サンリオキャラ混じり</v>
          </cell>
          <cell r="D1505" t="str">
            <v>ニムダ_サンリオキャラ混じり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4</v>
          </cell>
          <cell r="J1505" t="str">
            <v>Drop2N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8046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5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8047</v>
          </cell>
          <cell r="B1507" t="str">
            <v>ja</v>
          </cell>
          <cell r="C1507" t="str">
            <v>ハローキティ</v>
          </cell>
          <cell r="D1507" t="str">
            <v>ハローキティ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red</v>
          </cell>
          <cell r="I1507">
            <v>4</v>
          </cell>
          <cell r="J1507" t="str">
            <v>Drop2N</v>
          </cell>
          <cell r="K1507" t="str">
            <v>balance</v>
          </cell>
          <cell r="L1507" t="str">
            <v>バランスタイプ</v>
          </cell>
          <cell r="M1507" t="str">
            <v>ss</v>
          </cell>
        </row>
        <row r="1508">
          <cell r="A1508">
            <v>8048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5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8049</v>
          </cell>
          <cell r="B1509" t="str">
            <v>ja</v>
          </cell>
          <cell r="C1509" t="str">
            <v>KIRIMIちゃん</v>
          </cell>
          <cell r="D1509" t="str">
            <v>KIRIMIちゃん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4</v>
          </cell>
          <cell r="J1509" t="str">
            <v>Drop2N</v>
          </cell>
          <cell r="K1509" t="str">
            <v>hp</v>
          </cell>
          <cell r="L1509" t="str">
            <v>体力タイプ</v>
          </cell>
          <cell r="M1509" t="str">
            <v>ss</v>
          </cell>
        </row>
        <row r="1510">
          <cell r="A1510">
            <v>8050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5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8051</v>
          </cell>
          <cell r="B1511" t="str">
            <v>ja</v>
          </cell>
          <cell r="C1511" t="str">
            <v>ハローキティのリボン</v>
          </cell>
          <cell r="D1511" t="str">
            <v>ハローキティのリボン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evolution</v>
          </cell>
          <cell r="L1511" t="str">
            <v>覚醒素材タイプ</v>
          </cell>
          <cell r="M1511" t="str">
            <v>ss</v>
          </cell>
        </row>
        <row r="1512">
          <cell r="A1512">
            <v>8052</v>
          </cell>
          <cell r="B1512" t="str">
            <v>ja</v>
          </cell>
          <cell r="C1512" t="str">
            <v>ママの作ったアップルパイ</v>
          </cell>
          <cell r="D1512" t="str">
            <v>ママの作ったアップルパイ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4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8053</v>
          </cell>
          <cell r="B1513" t="str">
            <v>ja</v>
          </cell>
          <cell r="C1513" t="str">
            <v>D.R.T.H__キティコスプレ</v>
          </cell>
          <cell r="D1513" t="str">
            <v>D.R.T.H__キティコスプレ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5</v>
          </cell>
          <cell r="J1513" t="str">
            <v>PremiumSS</v>
          </cell>
          <cell r="K1513" t="str">
            <v>balance</v>
          </cell>
          <cell r="L1513" t="str">
            <v>バランスタイプ</v>
          </cell>
          <cell r="M1513" t="str">
            <v>ss</v>
          </cell>
        </row>
        <row r="1514">
          <cell r="A1514">
            <v>8054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6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8055</v>
          </cell>
          <cell r="B1515" t="str">
            <v>ja</v>
          </cell>
          <cell r="C1515" t="str">
            <v>マイメロディ</v>
          </cell>
          <cell r="D1515" t="str">
            <v>マイメロディ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4</v>
          </cell>
          <cell r="J1515" t="str">
            <v>PremiumS</v>
          </cell>
          <cell r="K1515" t="str">
            <v>attack</v>
          </cell>
          <cell r="L1515" t="str">
            <v>攻撃タイプ</v>
          </cell>
          <cell r="M1515" t="str">
            <v>ss</v>
          </cell>
        </row>
        <row r="1516">
          <cell r="A1516">
            <v>8056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5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8057</v>
          </cell>
          <cell r="B1517" t="str">
            <v>ja</v>
          </cell>
          <cell r="C1517" t="str">
            <v>ニーベルゲン_シナモロールコスプレ</v>
          </cell>
          <cell r="D1517" t="str">
            <v>ニーベルゲン_シナモロールコスプレ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green</v>
          </cell>
          <cell r="I1517">
            <v>4</v>
          </cell>
          <cell r="J1517" t="str">
            <v>PremiumS</v>
          </cell>
          <cell r="K1517" t="str">
            <v>balance</v>
          </cell>
          <cell r="L1517" t="str">
            <v>バランスタイプ</v>
          </cell>
          <cell r="M1517" t="str">
            <v>ss</v>
          </cell>
        </row>
        <row r="1518">
          <cell r="A1518">
            <v>8058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5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8059</v>
          </cell>
          <cell r="B1519" t="str">
            <v>ja</v>
          </cell>
          <cell r="C1519" t="str">
            <v>カカシ_マイメロディコスプレ</v>
          </cell>
          <cell r="D1519" t="str">
            <v>カカシ_マイメロディコスプレ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</v>
          </cell>
          <cell r="K1519" t="str">
            <v>technical</v>
          </cell>
          <cell r="L1519" t="str">
            <v>テクニカルタイプ</v>
          </cell>
          <cell r="M1519" t="str">
            <v>ss</v>
          </cell>
        </row>
        <row r="1520">
          <cell r="A1520">
            <v>8060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8061</v>
          </cell>
          <cell r="B1521" t="str">
            <v>ja</v>
          </cell>
          <cell r="C1521" t="str">
            <v>ケロケロけろっぴ</v>
          </cell>
          <cell r="D1521" t="str">
            <v>ケロケロけろっぴ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3</v>
          </cell>
          <cell r="J1521" t="str">
            <v>PremiumS</v>
          </cell>
          <cell r="K1521" t="str">
            <v>balance</v>
          </cell>
          <cell r="L1521" t="str">
            <v>バランスタイプ</v>
          </cell>
          <cell r="M1521" t="str">
            <v>ss</v>
          </cell>
        </row>
        <row r="1522">
          <cell r="A1522">
            <v>8062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4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8063</v>
          </cell>
          <cell r="B1523" t="str">
            <v>ja</v>
          </cell>
          <cell r="C1523" t="str">
            <v>モルドレッド_ポムポムプリンコスプレ</v>
          </cell>
          <cell r="D1523" t="str">
            <v>モルドレッド_ポムポムプリンコスプレ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5</v>
          </cell>
          <cell r="J1523" t="str">
            <v>PremiumSS</v>
          </cell>
          <cell r="K1523" t="str">
            <v>heal</v>
          </cell>
          <cell r="L1523" t="str">
            <v>回復タイプ</v>
          </cell>
          <cell r="M1523" t="str">
            <v>ss</v>
          </cell>
        </row>
        <row r="1524">
          <cell r="A1524">
            <v>8064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6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8065</v>
          </cell>
          <cell r="B1525" t="str">
            <v>ja</v>
          </cell>
          <cell r="C1525" t="str">
            <v>クロミ</v>
          </cell>
          <cell r="D1525" t="str">
            <v>クロミ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3</v>
          </cell>
          <cell r="J1525" t="str">
            <v>PremiumS</v>
          </cell>
          <cell r="K1525" t="str">
            <v>technical</v>
          </cell>
          <cell r="L1525" t="str">
            <v>テクニカルタイプ</v>
          </cell>
          <cell r="M1525" t="str">
            <v>ss</v>
          </cell>
        </row>
        <row r="1526">
          <cell r="A1526">
            <v>8066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4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8067</v>
          </cell>
          <cell r="B1527" t="str">
            <v>ja</v>
          </cell>
          <cell r="C1527" t="str">
            <v>バッドばつ丸</v>
          </cell>
          <cell r="D1527" t="str">
            <v>バッドばつ丸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ss</v>
          </cell>
        </row>
        <row r="1528">
          <cell r="A1528">
            <v>8068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8069</v>
          </cell>
          <cell r="B1529" t="str">
            <v>ja</v>
          </cell>
          <cell r="C1529" t="str">
            <v>シナモロール</v>
          </cell>
          <cell r="D1529" t="str">
            <v>シナモロール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4</v>
          </cell>
          <cell r="J1529" t="str">
            <v>PremiumS</v>
          </cell>
          <cell r="K1529" t="str">
            <v>heal</v>
          </cell>
          <cell r="L1529" t="str">
            <v>回復タイプ</v>
          </cell>
          <cell r="M1529" t="str">
            <v>ss</v>
          </cell>
        </row>
        <row r="1530">
          <cell r="A1530">
            <v>8070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5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8071</v>
          </cell>
          <cell r="B1531" t="str">
            <v>ja</v>
          </cell>
          <cell r="C1531" t="str">
            <v>ポムポムプリン</v>
          </cell>
          <cell r="D1531" t="str">
            <v>ポムポムプリン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3</v>
          </cell>
          <cell r="J1531" t="str">
            <v>PremiumS</v>
          </cell>
          <cell r="K1531" t="str">
            <v>hp</v>
          </cell>
          <cell r="L1531" t="str">
            <v>体力タイプ</v>
          </cell>
          <cell r="M1531" t="str">
            <v>ss</v>
          </cell>
        </row>
        <row r="1532">
          <cell r="A1532">
            <v>8072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4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8073</v>
          </cell>
          <cell r="B1533" t="str">
            <v>ja</v>
          </cell>
          <cell r="C1533" t="str">
            <v>星海祈る天光妃 媽祖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6</v>
          </cell>
          <cell r="J1533" t="str">
            <v>PremiumSS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8074</v>
          </cell>
          <cell r="B1534" t="str">
            <v>ja</v>
          </cell>
          <cell r="C1534" t="str">
            <v>海戀の絶龍姫 蛟龍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6</v>
          </cell>
          <cell r="J1534" t="str">
            <v>DropWizS</v>
          </cell>
          <cell r="K1534" t="str">
            <v>hp</v>
          </cell>
          <cell r="L1534" t="str">
            <v>体力タイプ</v>
          </cell>
          <cell r="M1534" t="str">
            <v>dragon</v>
          </cell>
        </row>
        <row r="1535">
          <cell r="A1535">
            <v>8075</v>
          </cell>
          <cell r="B1535" t="str">
            <v>ja</v>
          </cell>
          <cell r="C1535" t="str">
            <v>三蔵法師_超覚醒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8076</v>
          </cell>
          <cell r="B1536" t="str">
            <v>ja</v>
          </cell>
          <cell r="C1536" t="str">
            <v>孫悟空_超覚醒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8077</v>
          </cell>
          <cell r="B1537" t="str">
            <v>ja</v>
          </cell>
          <cell r="C1537" t="str">
            <v>鄭成功</v>
          </cell>
          <cell r="D1537" t="str">
            <v>ポムポムプリン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PremiumSS</v>
          </cell>
          <cell r="K1537" t="str">
            <v>attack</v>
          </cell>
          <cell r="L1537" t="str">
            <v>攻撃タイプ</v>
          </cell>
          <cell r="M1537" t="str">
            <v>human</v>
          </cell>
        </row>
        <row r="1538">
          <cell r="A1538">
            <v>8078</v>
          </cell>
          <cell r="B1538" t="str">
            <v>ja</v>
          </cell>
          <cell r="C1538" t="str">
            <v>レア６鄭成功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8079</v>
          </cell>
          <cell r="B1539" t="str">
            <v>ja</v>
          </cell>
          <cell r="C1539" t="str">
            <v>赤鬼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5</v>
          </cell>
          <cell r="J1539" t="str">
            <v>DropWizS</v>
          </cell>
          <cell r="K1539" t="str">
            <v>hp</v>
          </cell>
          <cell r="L1539" t="str">
            <v>体力タイプ</v>
          </cell>
          <cell r="M1539" t="str">
            <v>dragon</v>
          </cell>
        </row>
        <row r="1540">
          <cell r="A1540">
            <v>8080</v>
          </cell>
          <cell r="B1540" t="str">
            <v>ja</v>
          </cell>
          <cell r="C1540" t="str">
            <v>レア６赤鬼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6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8081</v>
          </cell>
          <cell r="B1541" t="str">
            <v>ja</v>
          </cell>
          <cell r="C1541" t="str">
            <v>関羽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green</v>
          </cell>
          <cell r="I1541">
            <v>5</v>
          </cell>
          <cell r="J1541" t="str">
            <v>PremiumSSS</v>
          </cell>
          <cell r="K1541" t="str">
            <v>balance</v>
          </cell>
          <cell r="L1541" t="str">
            <v>バランスタイプ</v>
          </cell>
          <cell r="M1541" t="str">
            <v>samurai</v>
          </cell>
        </row>
        <row r="1542">
          <cell r="A1542">
            <v>8082</v>
          </cell>
          <cell r="B1542" t="str">
            <v>ja</v>
          </cell>
          <cell r="C1542" t="str">
            <v>★６関羽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8083</v>
          </cell>
          <cell r="B1543" t="str">
            <v>ja</v>
          </cell>
          <cell r="C1543" t="str">
            <v>曹操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8084</v>
          </cell>
          <cell r="B1544" t="str">
            <v>ja</v>
          </cell>
          <cell r="C1544" t="str">
            <v>★６曹操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8087</v>
          </cell>
          <cell r="B1545" t="str">
            <v>ja</v>
          </cell>
          <cell r="C1545" t="str">
            <v>財神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8088</v>
          </cell>
          <cell r="B1546" t="str">
            <v>ja</v>
          </cell>
          <cell r="C1546" t="str">
            <v>★６財神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8089</v>
          </cell>
          <cell r="B1547" t="str">
            <v>ja</v>
          </cell>
          <cell r="C1547" t="str">
            <v>年獣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8090</v>
          </cell>
          <cell r="B1548" t="str">
            <v>ja</v>
          </cell>
          <cell r="C1548" t="str">
            <v>★６年獣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8095</v>
          </cell>
          <cell r="B1549" t="str">
            <v>ja</v>
          </cell>
          <cell r="C1549" t="str">
            <v>バハムートダック赤</v>
          </cell>
          <cell r="D1549" t="str">
            <v>ポムポムプリン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8096</v>
          </cell>
          <cell r="B1550" t="str">
            <v>ja</v>
          </cell>
          <cell r="C1550" t="str">
            <v>バハムートダック緑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8097</v>
          </cell>
          <cell r="B1551" t="str">
            <v>ja</v>
          </cell>
          <cell r="C1551" t="str">
            <v>バハムートダック青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blue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8098</v>
          </cell>
          <cell r="B1552" t="str">
            <v>ja</v>
          </cell>
          <cell r="C1552" t="str">
            <v>バハムートダック黄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8099</v>
          </cell>
          <cell r="B1553" t="str">
            <v>ja</v>
          </cell>
          <cell r="C1553" t="str">
            <v>リトルハンプティ</v>
          </cell>
          <cell r="D1553" t="str">
            <v>各属性相性良3・黄・R455</v>
          </cell>
          <cell r="E1553" t="str">
            <v>執行者</v>
          </cell>
          <cell r="F1553" t="str">
            <v>格好いい</v>
          </cell>
          <cell r="G1553" t="str">
            <v>男性</v>
          </cell>
          <cell r="H1553" t="str">
            <v>green</v>
          </cell>
          <cell r="I1553">
            <v>6</v>
          </cell>
          <cell r="J1553" t="str">
            <v>Material</v>
          </cell>
          <cell r="K1553" t="str">
            <v>evolution</v>
          </cell>
          <cell r="L1553" t="str">
            <v>覚醒素材タイプ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528100</v>
      </c>
      <c r="D2" s="19" t="s">
        <v>45</v>
      </c>
      <c r="E2" s="17" t="str">
        <f t="shared" ref="E2" si="1">B2&amp;C2&amp;D2</f>
        <v>gacha_select_tables_528100.tmp</v>
      </c>
      <c r="F2" s="103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528010</v>
      </c>
      <c r="D3" s="19" t="s">
        <v>45</v>
      </c>
      <c r="E3" s="17" t="str">
        <f t="shared" ref="E3:E10" si="3">B3&amp;C3&amp;D3</f>
        <v>gacha_select_tables_528010.tmp</v>
      </c>
      <c r="F3" s="103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528105</v>
      </c>
      <c r="D4" s="19" t="s">
        <v>250</v>
      </c>
      <c r="E4" s="17" t="str">
        <f t="shared" si="3"/>
        <v>gacha_settle_tables_528105.tmp</v>
      </c>
      <c r="F4" s="10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/>
  </sheetViews>
  <sheetFormatPr baseColWidth="12" defaultRowHeight="14" x14ac:dyDescent="0.15"/>
  <cols>
    <col min="1" max="2" width="24.19921875" bestFit="1" customWidth="1"/>
    <col min="17" max="17" width="27.5976562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1332</v>
      </c>
      <c r="M3" s="37" t="str">
        <f>VLOOKUP(L3,[1]characters!$A:$C,3,FALSE)</f>
        <v>タマヨリヒメ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VLOOKUP(L3,tables_528010!B:C,2,FALSE)</f>
        <v>Premium4R3less</v>
      </c>
      <c r="R3" s="62">
        <f t="shared" ref="R3:R20" si="1">N3*A$36</f>
        <v>639200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1336</v>
      </c>
      <c r="M4" s="37" t="str">
        <f>VLOOKUP(L4,[1]characters!$A:$C,3,FALSE)</f>
        <v>イザナギ</v>
      </c>
      <c r="N4" s="63">
        <v>0.03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VLOOKUP(L4,tables_528010!B:C,2,FALSE)</f>
        <v>PremiumSS5R5only</v>
      </c>
      <c r="R4" s="62">
        <f t="shared" si="1"/>
        <v>1917600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1-SUM(B6:B7)</f>
        <v>0.30000000000000004</v>
      </c>
      <c r="D5" t="s">
        <v>201</v>
      </c>
      <c r="E5" s="43">
        <f>(B11-H5)/(F5-I5)</f>
        <v>4.4117647058823526E-4</v>
      </c>
      <c r="F5">
        <f>(COUNTIF(tables_528010!C:C,input_528010!A28)+COUNTIF(tables_528010!C:C,input_528010!A29))</f>
        <v>71</v>
      </c>
      <c r="H5" s="84">
        <v>7.0000000000000007E-2</v>
      </c>
      <c r="I5" s="31">
        <v>3</v>
      </c>
      <c r="L5" s="1">
        <v>1338</v>
      </c>
      <c r="M5" s="37" t="str">
        <f>VLOOKUP(L5,[1]characters!$A:$C,3,FALSE)</f>
        <v>アメノウズメ</v>
      </c>
      <c r="N5" s="63">
        <v>0.03</v>
      </c>
      <c r="O5" s="37">
        <f>VLOOKUP(L5,[1]characters!$A:$I,9,FALSE)</f>
        <v>5</v>
      </c>
      <c r="P5" s="37" t="str">
        <f>VLOOKUP(L5,[1]characters!$A:$J,10,FALSE)</f>
        <v>DropWizS</v>
      </c>
      <c r="Q5" s="37" t="str">
        <f>VLOOKUP(L5,tables_528010!B:C,2,FALSE)</f>
        <v>Premium5R3less</v>
      </c>
      <c r="R5" s="62">
        <f t="shared" si="1"/>
        <v>1917600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8.5106382978723406E-3</v>
      </c>
      <c r="F6">
        <f>(COUNTIF(tables_528010!C:C,input_528010!A25)+COUNTIF(tables_528010!C:C,input_528010!A18)+COUNTIF(tables_528010!C:C,input_528010!A20)+COUNTIF(tables_528010!C:C,input_528010!A22))</f>
        <v>96</v>
      </c>
      <c r="H6" s="89">
        <v>0.1</v>
      </c>
      <c r="I6" s="31">
        <v>2</v>
      </c>
      <c r="L6" s="1">
        <v>1334</v>
      </c>
      <c r="M6" s="37" t="str">
        <f>VLOOKUP(L6,[1]characters!$A:$C,3,FALSE)</f>
        <v>クシナダヒメ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PremiumSSw</v>
      </c>
      <c r="Q6" s="37" t="str">
        <f>VLOOKUP(L6,tables_528010!B:C,2,FALSE)</f>
        <v>PremiumSS5R5only</v>
      </c>
      <c r="R6" s="62">
        <f t="shared" si="1"/>
        <v>3196000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1">
        <v>1335</v>
      </c>
      <c r="M7" s="37" t="str">
        <f>VLOOKUP(L7,[1]characters!$A:$C,3,FALSE)</f>
        <v>神心を射る穂神 クシナダヒメ</v>
      </c>
      <c r="N7" s="63">
        <v>0.05</v>
      </c>
      <c r="O7" s="37">
        <f>VLOOKUP(L7,[1]characters!$A:$I,9,FALSE)</f>
        <v>6</v>
      </c>
      <c r="P7" s="37" t="str">
        <f>VLOOKUP(L7,[1]characters!$A:$J,10,FALSE)</f>
        <v>PremiumSSw</v>
      </c>
      <c r="Q7" s="37" t="str">
        <f>VLOOKUP(L7,tables_528010!B:C,2,FALSE)</f>
        <v>PremiumSS6R5only</v>
      </c>
      <c r="R7" s="62">
        <f t="shared" si="1"/>
        <v>3196000</v>
      </c>
      <c r="S7">
        <v>597</v>
      </c>
      <c r="U7" s="33" t="s">
        <v>196</v>
      </c>
      <c r="V7" s="54">
        <f t="shared" si="0"/>
        <v>0.01</v>
      </c>
    </row>
    <row r="8" spans="1:22" x14ac:dyDescent="0.15">
      <c r="A8" s="57"/>
      <c r="B8" s="71"/>
      <c r="E8" s="76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0.03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0.08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0.15702127659574469</v>
      </c>
      <c r="C17" s="85">
        <f t="shared" ref="C17:C31" si="2">SUMIF(Q:Q,A17,N:N)</f>
        <v>0</v>
      </c>
      <c r="D17" s="74">
        <f t="shared" ref="D17:D32" si="3">B17-C17</f>
        <v>0.15702127659574469</v>
      </c>
      <c r="E17">
        <f>COUNTIF(tables_528010!C:C,input_528010!A17)-COUNTIF(Q:Q,A17)</f>
        <v>20</v>
      </c>
      <c r="F17" s="43">
        <f>IFERROR(B17/E17,0)</f>
        <v>7.8510638297872339E-3</v>
      </c>
      <c r="G17">
        <f t="shared" ref="G17:G31" si="4">A$36*B17</f>
        <v>10036800</v>
      </c>
      <c r="H17">
        <f t="shared" ref="H17:H31" si="5">IFERROR(ROUND(G17/E17,5),0)</f>
        <v>501840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0.12267083854818517</v>
      </c>
      <c r="C18" s="85">
        <f t="shared" si="2"/>
        <v>0</v>
      </c>
      <c r="D18" s="74">
        <f t="shared" si="3"/>
        <v>0.12267083854818517</v>
      </c>
      <c r="E18">
        <f>COUNTIF(tables_528010!C:C,input_528010!A18)-COUNTIF(Q:Q,A18)</f>
        <v>20</v>
      </c>
      <c r="F18" s="43">
        <f>IFERROR(B18/E18,0)</f>
        <v>6.1335419274092581E-3</v>
      </c>
      <c r="G18">
        <f t="shared" si="4"/>
        <v>7841119.9999999963</v>
      </c>
      <c r="H18">
        <f t="shared" si="5"/>
        <v>392056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0.13276595744680855</v>
      </c>
      <c r="C19" s="85">
        <f t="shared" si="2"/>
        <v>0</v>
      </c>
      <c r="D19" s="74">
        <f t="shared" si="3"/>
        <v>0.13276595744680855</v>
      </c>
      <c r="E19">
        <f>COUNTIF(tables_528010!C:C,input_528010!A19)-COUNTIF(Q:Q,A19)</f>
        <v>52</v>
      </c>
      <c r="F19" s="43">
        <f t="shared" ref="F19:F31" si="8">IFERROR(B19/E19,0)</f>
        <v>2.5531914893617029E-3</v>
      </c>
      <c r="G19">
        <f t="shared" si="4"/>
        <v>8486400.0000000019</v>
      </c>
      <c r="H19">
        <f t="shared" si="5"/>
        <v>163200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0.22127659574468087</v>
      </c>
      <c r="C20" s="85">
        <f t="shared" si="2"/>
        <v>0</v>
      </c>
      <c r="D20" s="74">
        <f t="shared" si="3"/>
        <v>0.22127659574468087</v>
      </c>
      <c r="E20">
        <f>COUNTIF(tables_528010!C:C,input_528010!A20)-COUNTIF(Q:Q,A20)</f>
        <v>52</v>
      </c>
      <c r="F20" s="43">
        <f t="shared" si="8"/>
        <v>4.2553191489361703E-3</v>
      </c>
      <c r="G20">
        <f t="shared" si="4"/>
        <v>14144000</v>
      </c>
      <c r="H20">
        <f t="shared" si="5"/>
        <v>272000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2.0079474342928658E-2</v>
      </c>
      <c r="C21" s="85">
        <f t="shared" si="2"/>
        <v>0</v>
      </c>
      <c r="D21" s="74">
        <f t="shared" si="3"/>
        <v>2.0079474342928658E-2</v>
      </c>
      <c r="E21">
        <f>COUNTIF(tables_528010!C:C,input_528010!A21)-COUNTIF(Q:Q,A21)</f>
        <v>52</v>
      </c>
      <c r="F21" s="43">
        <f t="shared" si="8"/>
        <v>3.8614373736401266E-4</v>
      </c>
      <c r="G21">
        <f t="shared" si="4"/>
        <v>1283479.9999999998</v>
      </c>
      <c r="H21">
        <f t="shared" si="5"/>
        <v>24682.307690000001</v>
      </c>
      <c r="I21">
        <f t="shared" si="6"/>
        <v>0.30769000000145752</v>
      </c>
      <c r="J21">
        <f t="shared" si="7"/>
        <v>3.2500243751674187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0.11914893617021277</v>
      </c>
      <c r="C22" s="85">
        <f t="shared" si="2"/>
        <v>0.01</v>
      </c>
      <c r="D22" s="74">
        <f t="shared" si="3"/>
        <v>0.10914893617021278</v>
      </c>
      <c r="E22">
        <f>COUNTIF(tables_528010!C:C,input_528010!A22)-COUNTIF(Q:Q,A22)</f>
        <v>19</v>
      </c>
      <c r="F22" s="43">
        <f t="shared" si="8"/>
        <v>6.2709966405375146E-3</v>
      </c>
      <c r="G22">
        <f t="shared" si="4"/>
        <v>7616000</v>
      </c>
      <c r="H22">
        <f t="shared" si="5"/>
        <v>400842.10525999998</v>
      </c>
      <c r="I22">
        <f t="shared" si="6"/>
        <v>0.10525999998208135</v>
      </c>
      <c r="J22">
        <f t="shared" si="7"/>
        <v>9.5002850101675111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4.2553191489361708E-2</v>
      </c>
      <c r="C23" s="85">
        <f t="shared" si="2"/>
        <v>0.03</v>
      </c>
      <c r="D23" s="74">
        <f t="shared" si="3"/>
        <v>1.2553191489361709E-2</v>
      </c>
      <c r="E23">
        <f>COUNTIF(tables_528010!C:C,input_528010!A23)-COUNTIF(Q:Q,A23)</f>
        <v>25</v>
      </c>
      <c r="F23" s="43">
        <f t="shared" si="8"/>
        <v>1.7021276595744683E-3</v>
      </c>
      <c r="G23">
        <f t="shared" si="4"/>
        <v>2720000.0000000005</v>
      </c>
      <c r="H23">
        <f t="shared" si="5"/>
        <v>108800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1.021276595744681E-2</v>
      </c>
      <c r="C24" s="85">
        <f t="shared" si="2"/>
        <v>0</v>
      </c>
      <c r="D24" s="74">
        <f t="shared" si="3"/>
        <v>1.021276595744681E-2</v>
      </c>
      <c r="E24">
        <f>COUNTIF(tables_528010!C:C,input_528010!A24)-COUNTIF(Q:Q,A24)</f>
        <v>4</v>
      </c>
      <c r="F24" s="43">
        <f t="shared" si="8"/>
        <v>2.5531914893617024E-3</v>
      </c>
      <c r="G24">
        <f t="shared" si="4"/>
        <v>652800.00000000012</v>
      </c>
      <c r="H24">
        <f t="shared" si="5"/>
        <v>163200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1.7021276595744681E-2</v>
      </c>
      <c r="C25" s="85">
        <f t="shared" si="2"/>
        <v>0</v>
      </c>
      <c r="D25" s="74">
        <f t="shared" si="3"/>
        <v>1.7021276595744681E-2</v>
      </c>
      <c r="E25">
        <f>COUNTIF(tables_528010!C:C,input_528010!A25)-COUNTIF(Q:Q,A25)</f>
        <v>4</v>
      </c>
      <c r="F25" s="43">
        <f t="shared" si="8"/>
        <v>4.2553191489361703E-3</v>
      </c>
      <c r="G25">
        <f t="shared" si="4"/>
        <v>1088000</v>
      </c>
      <c r="H25">
        <f t="shared" si="5"/>
        <v>272000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6.8085106382978731E-3</v>
      </c>
      <c r="C26" s="85">
        <f t="shared" si="2"/>
        <v>0</v>
      </c>
      <c r="D26" s="74">
        <f t="shared" si="3"/>
        <v>6.8085106382978731E-3</v>
      </c>
      <c r="E26">
        <f>COUNTIF(tables_528010!C:C,input_528010!A26)-COUNTIF(Q:Q,A26)</f>
        <v>4</v>
      </c>
      <c r="F26" s="43">
        <f t="shared" si="8"/>
        <v>1.7021276595744683E-3</v>
      </c>
      <c r="G26">
        <f t="shared" si="4"/>
        <v>435200.00000000006</v>
      </c>
      <c r="H26">
        <f t="shared" si="5"/>
        <v>108800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9.8823529411764706E-3</v>
      </c>
      <c r="C27" s="85">
        <f t="shared" si="2"/>
        <v>0</v>
      </c>
      <c r="D27" s="74">
        <f t="shared" si="3"/>
        <v>9.8823529411764706E-3</v>
      </c>
      <c r="E27">
        <f>COUNTIF(tables_528010!C:C,input_528010!A27)-COUNTIF(Q:Q,A27)</f>
        <v>28</v>
      </c>
      <c r="F27" s="43">
        <f>IFERROR(B27/E27,0)</f>
        <v>3.5294117647058826E-4</v>
      </c>
      <c r="G27">
        <f t="shared" si="4"/>
        <v>631680</v>
      </c>
      <c r="H27">
        <f t="shared" si="5"/>
        <v>22560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2.4705882352941176E-3</v>
      </c>
      <c r="C28" s="85">
        <f t="shared" si="2"/>
        <v>0</v>
      </c>
      <c r="D28" s="74">
        <f t="shared" si="3"/>
        <v>2.4705882352941176E-3</v>
      </c>
      <c r="E28">
        <f>COUNTIF(tables_528010!C:C,input_528010!A28)-COUNTIF(Q:Q,A28)</f>
        <v>28</v>
      </c>
      <c r="F28" s="43">
        <f t="shared" si="8"/>
        <v>8.8235294117647065E-5</v>
      </c>
      <c r="G28">
        <f t="shared" si="4"/>
        <v>157920</v>
      </c>
      <c r="H28">
        <f t="shared" si="5"/>
        <v>5640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1.8088235294117645E-2</v>
      </c>
      <c r="C29" s="85">
        <f t="shared" si="2"/>
        <v>0.08</v>
      </c>
      <c r="D29" s="74">
        <f t="shared" si="3"/>
        <v>-6.1911764705882361E-2</v>
      </c>
      <c r="E29">
        <f>COUNTIF(tables_528010!C:C,input_528010!A29)-COUNTIF(Q:Q,A29)</f>
        <v>41</v>
      </c>
      <c r="F29" s="43">
        <f t="shared" si="8"/>
        <v>4.4117647058823526E-4</v>
      </c>
      <c r="G29">
        <f t="shared" si="4"/>
        <v>1156199.9999999998</v>
      </c>
      <c r="H29">
        <f t="shared" si="5"/>
        <v>28200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COUNTIF(tables_528010!C:C,input_528010!A30)-COUNTIF(Q:Q,A30)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COUNTIF(tables_528010!C:C,input_528010!A31)-COUNTIF(Q:Q,A31)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0.88</v>
      </c>
      <c r="C32" s="41">
        <f>SUM(C19:C31)</f>
        <v>0.12</v>
      </c>
      <c r="D32" s="42">
        <f t="shared" si="3"/>
        <v>0.76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63920000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SUMIF(tables_528010!C:C,input_528010!A40,tables_528010!O:O)</f>
        <v>8486400</v>
      </c>
      <c r="C40" s="54">
        <f t="shared" ref="C40:C46" ca="1" si="9">B40/B$47</f>
        <v>0.34353054711486897</v>
      </c>
      <c r="E40">
        <v>3</v>
      </c>
      <c r="F40">
        <f ca="1">SUMIF(tables_528010!J:J,input_528010!E40,tables_528010!O:O)</f>
        <v>19176000</v>
      </c>
      <c r="G40">
        <f ca="1">F40/A36</f>
        <v>0.3</v>
      </c>
    </row>
    <row r="41" spans="1:7" x14ac:dyDescent="0.15">
      <c r="A41" s="33" t="s">
        <v>104</v>
      </c>
      <c r="B41">
        <f ca="1">SUMIF(tables_528010!C:C,input_528010!A41,tables_528010!O:O)</f>
        <v>14144000</v>
      </c>
      <c r="C41" s="54">
        <f t="shared" ca="1" si="9"/>
        <v>0.57255091185811491</v>
      </c>
      <c r="E41">
        <v>4</v>
      </c>
      <c r="F41">
        <f ca="1">SUMIF(tables_528010!J:J,input_528010!E41,tables_528010!O:O)</f>
        <v>31959999.999939993</v>
      </c>
      <c r="G41">
        <f ca="1">F41/A36</f>
        <v>0.4999999999990612</v>
      </c>
    </row>
    <row r="42" spans="1:7" x14ac:dyDescent="0.15">
      <c r="A42" s="33" t="s">
        <v>106</v>
      </c>
      <c r="B42">
        <f ca="1">SUMIF(tables_528010!C:C,input_528010!A42,tables_528010!O:O)</f>
        <v>631680</v>
      </c>
      <c r="C42" s="54">
        <f t="shared" ca="1" si="9"/>
        <v>2.5570486425518527E-2</v>
      </c>
      <c r="E42">
        <v>5</v>
      </c>
      <c r="F42">
        <f ca="1">SUMIF(tables_528010!J:J,input_528010!E42,tables_528010!O:O)</f>
        <v>12783999.999880001</v>
      </c>
      <c r="G42">
        <f ca="1">F42/A36</f>
        <v>0.19999999999812268</v>
      </c>
    </row>
    <row r="43" spans="1:7" x14ac:dyDescent="0.15">
      <c r="A43" s="33" t="s">
        <v>109</v>
      </c>
      <c r="B43">
        <f>SUMIF(tables_528010!C:C,input_528010!A43,tables_528010!O:O)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SUMIF(tables_528010!C:C,input_528010!A44,tables_528010!O:O)</f>
        <v>1283479.99988</v>
      </c>
      <c r="C44" s="54">
        <f t="shared" ca="1" si="9"/>
        <v>5.195543299511788E-2</v>
      </c>
      <c r="E44" t="s">
        <v>54</v>
      </c>
      <c r="F44" s="55"/>
    </row>
    <row r="45" spans="1:7" x14ac:dyDescent="0.15">
      <c r="A45" s="33" t="s">
        <v>107</v>
      </c>
      <c r="B45">
        <f ca="1">SUMIF(tables_528010!C:C,input_528010!A45,tables_528010!O:O)</f>
        <v>157920</v>
      </c>
      <c r="C45" s="54">
        <f t="shared" ca="1" si="9"/>
        <v>6.3926216063796316E-3</v>
      </c>
      <c r="E45" t="s">
        <v>204</v>
      </c>
      <c r="F45" s="55">
        <f ca="1">SUMIF(tables_528010!I:I,input_528010!E45,tables_528010!P:P)</f>
        <v>0.27609988676395669</v>
      </c>
    </row>
    <row r="46" spans="1:7" x14ac:dyDescent="0.15">
      <c r="A46" s="33" t="s">
        <v>108</v>
      </c>
      <c r="B46">
        <f>SUMIF(tables_528010!C:C,input_528010!A46,tables_528010!O:O)</f>
        <v>0</v>
      </c>
      <c r="C46" s="54">
        <f t="shared" ca="1" si="9"/>
        <v>0</v>
      </c>
      <c r="E46" t="s">
        <v>205</v>
      </c>
      <c r="F46" s="55">
        <f ca="1">SUMIF(tables_528010!I:I,input_528010!E46,tables_528010!P:P)</f>
        <v>0.14080098979014452</v>
      </c>
    </row>
    <row r="47" spans="1:7" x14ac:dyDescent="0.15">
      <c r="A47" s="39" t="s">
        <v>59</v>
      </c>
      <c r="B47">
        <f ca="1">SUM(B40:B46)</f>
        <v>24703479.999880001</v>
      </c>
      <c r="C47" s="55">
        <f ca="1">SUM(C40:C46)</f>
        <v>0.99999999999999989</v>
      </c>
      <c r="E47" t="s">
        <v>206</v>
      </c>
      <c r="F47" s="55">
        <f ca="1">SUMIF(tables_528010!I:I,input_528010!E47,tables_528010!P:P)</f>
        <v>0.40172657442580506</v>
      </c>
    </row>
    <row r="48" spans="1:7" x14ac:dyDescent="0.15">
      <c r="E48" t="s">
        <v>207</v>
      </c>
      <c r="F48" s="55">
        <f ca="1">SUMIF(tables_528010!I:I,input_528010!E48,tables_528010!P:P)</f>
        <v>5.4201680672414265E-2</v>
      </c>
      <c r="G48" s="55"/>
    </row>
    <row r="49" spans="5:6" x14ac:dyDescent="0.15">
      <c r="E49" t="s">
        <v>251</v>
      </c>
      <c r="F49" s="55">
        <f ca="1">SUMIF(tables_528010!I:I,input_528010!E49,tables_528010!P:P)</f>
        <v>9.8599439776174802E-2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333" activePane="bottomLeft" state="frozen"/>
      <selection activeCell="H276" sqref="H276"/>
      <selection pane="bottomLeft" activeCell="H351" sqref="H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input_528010!A$2</f>
        <v>528010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IFERROR(VLOOKUP(B2,input_528010!L:R,7,FALSE),VLOOKUP(tables_528010!C2,input_528010!A:H,8,FALSE))</f>
        <v>501840</v>
      </c>
      <c r="P2" s="46">
        <f t="shared" ref="P2:P65" ca="1" si="1">O2/SUM(O:O)</f>
        <v>7.4772036474364673E-3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input_528010!A$2</f>
        <v>528010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IFERROR(VLOOKUP(B3,input_528010!L:R,7,FALSE),VLOOKUP(tables_528010!C3,input_528010!A:H,8,FALSE))</f>
        <v>392056</v>
      </c>
      <c r="P3" s="46">
        <f t="shared" ca="1" si="1"/>
        <v>5.8414685023102019E-3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input_528010!A$2</f>
        <v>528010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IFERROR(VLOOKUP(B4,input_528010!L:R,7,FALSE),VLOOKUP(tables_528010!C4,input_528010!A:H,8,FALSE))</f>
        <v>501840</v>
      </c>
      <c r="P4" s="46">
        <f t="shared" ca="1" si="1"/>
        <v>7.4772036474364673E-3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input_528010!A$2</f>
        <v>528010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IFERROR(VLOOKUP(B5,input_528010!L:R,7,FALSE),VLOOKUP(tables_528010!C5,input_528010!A:H,8,FALSE))</f>
        <v>392056</v>
      </c>
      <c r="P5" s="46">
        <f t="shared" ca="1" si="1"/>
        <v>5.8414685023102019E-3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input_528010!A$2</f>
        <v>528010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IFERROR(VLOOKUP(B6,input_528010!L:R,7,FALSE),VLOOKUP(tables_528010!C6,input_528010!A:H,8,FALSE))</f>
        <v>501840</v>
      </c>
      <c r="P6" s="46">
        <f t="shared" ca="1" si="1"/>
        <v>7.4772036474364673E-3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input_528010!A$2</f>
        <v>528010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IFERROR(VLOOKUP(B7,input_528010!L:R,7,FALSE),VLOOKUP(tables_528010!C7,input_528010!A:H,8,FALSE))</f>
        <v>392056</v>
      </c>
      <c r="P7" s="46">
        <f t="shared" ca="1" si="1"/>
        <v>5.8414685023102019E-3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input_528010!A$2</f>
        <v>528010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IFERROR(VLOOKUP(B8,input_528010!L:R,7,FALSE),VLOOKUP(tables_528010!C8,input_528010!A:H,8,FALSE))</f>
        <v>501840</v>
      </c>
      <c r="P8" s="46">
        <f t="shared" ca="1" si="1"/>
        <v>7.4772036474364673E-3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input_528010!A$2</f>
        <v>528010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IFERROR(VLOOKUP(B9,input_528010!L:R,7,FALSE),VLOOKUP(tables_528010!C9,input_528010!A:H,8,FALSE))</f>
        <v>392056</v>
      </c>
      <c r="P9" s="46">
        <f t="shared" ca="1" si="1"/>
        <v>5.8414685023102019E-3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input_528010!A$2</f>
        <v>528010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IFERROR(VLOOKUP(B10,input_528010!L:R,7,FALSE),VLOOKUP(tables_528010!C10,input_528010!A:H,8,FALSE))</f>
        <v>501840</v>
      </c>
      <c r="P10" s="46">
        <f t="shared" ca="1" si="1"/>
        <v>7.4772036474364673E-3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input_528010!A$2</f>
        <v>528010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IFERROR(VLOOKUP(B11,input_528010!L:R,7,FALSE),VLOOKUP(tables_528010!C11,input_528010!A:H,8,FALSE))</f>
        <v>392056</v>
      </c>
      <c r="P11" s="46">
        <f t="shared" ca="1" si="1"/>
        <v>5.8414685023102019E-3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input_528010!A$2</f>
        <v>528010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IFERROR(VLOOKUP(B12,input_528010!L:R,7,FALSE),VLOOKUP(tables_528010!C12,input_528010!A:H,8,FALSE))</f>
        <v>501840</v>
      </c>
      <c r="P12" s="46">
        <f t="shared" ca="1" si="1"/>
        <v>7.4772036474364673E-3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input_528010!A$2</f>
        <v>528010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IFERROR(VLOOKUP(B13,input_528010!L:R,7,FALSE),VLOOKUP(tables_528010!C13,input_528010!A:H,8,FALSE))</f>
        <v>392056</v>
      </c>
      <c r="P13" s="46">
        <f t="shared" ca="1" si="1"/>
        <v>5.8414685023102019E-3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input_528010!A$2</f>
        <v>528010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IFERROR(VLOOKUP(B14,input_528010!L:R,7,FALSE),VLOOKUP(tables_528010!C14,input_528010!A:H,8,FALSE))</f>
        <v>501840</v>
      </c>
      <c r="P14" s="46">
        <f t="shared" ca="1" si="1"/>
        <v>7.4772036474364673E-3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input_528010!A$2</f>
        <v>528010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IFERROR(VLOOKUP(B15,input_528010!L:R,7,FALSE),VLOOKUP(tables_528010!C15,input_528010!A:H,8,FALSE))</f>
        <v>392056</v>
      </c>
      <c r="P15" s="46">
        <f t="shared" ca="1" si="1"/>
        <v>5.8414685023102019E-3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input_528010!A$2</f>
        <v>528010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IFERROR(VLOOKUP(B16,input_528010!L:R,7,FALSE),VLOOKUP(tables_528010!C16,input_528010!A:H,8,FALSE))</f>
        <v>501840</v>
      </c>
      <c r="P16" s="46">
        <f t="shared" ca="1" si="1"/>
        <v>7.4772036474364673E-3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input_528010!A$2</f>
        <v>528010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IFERROR(VLOOKUP(B17,input_528010!L:R,7,FALSE),VLOOKUP(tables_528010!C17,input_528010!A:H,8,FALSE))</f>
        <v>392056</v>
      </c>
      <c r="P17" s="46">
        <f t="shared" ca="1" si="1"/>
        <v>5.8414685023102019E-3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input_528010!A$2</f>
        <v>528010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IFERROR(VLOOKUP(B18,input_528010!L:R,7,FALSE),VLOOKUP(tables_528010!C18,input_528010!A:H,8,FALSE))</f>
        <v>501840</v>
      </c>
      <c r="P18" s="46">
        <f t="shared" ca="1" si="1"/>
        <v>7.4772036474364673E-3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input_528010!A$2</f>
        <v>528010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IFERROR(VLOOKUP(B19,input_528010!L:R,7,FALSE),VLOOKUP(tables_528010!C19,input_528010!A:H,8,FALSE))</f>
        <v>392056</v>
      </c>
      <c r="P19" s="46">
        <f t="shared" ca="1" si="1"/>
        <v>5.8414685023102019E-3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input_528010!A$2</f>
        <v>528010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IFERROR(VLOOKUP(B20,input_528010!L:R,7,FALSE),VLOOKUP(tables_528010!C20,input_528010!A:H,8,FALSE))</f>
        <v>501840</v>
      </c>
      <c r="P20" s="46">
        <f t="shared" ca="1" si="1"/>
        <v>7.4772036474364673E-3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input_528010!A$2</f>
        <v>528010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IFERROR(VLOOKUP(B21,input_528010!L:R,7,FALSE),VLOOKUP(tables_528010!C21,input_528010!A:H,8,FALSE))</f>
        <v>392056</v>
      </c>
      <c r="P21" s="46">
        <f t="shared" ca="1" si="1"/>
        <v>5.8414685023102019E-3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input_528010!A$2</f>
        <v>528010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IFERROR(VLOOKUP(B22,input_528010!L:R,7,FALSE),VLOOKUP(tables_528010!C22,input_528010!A:H,8,FALSE))</f>
        <v>501840</v>
      </c>
      <c r="P22" s="46">
        <f t="shared" ca="1" si="1"/>
        <v>7.4772036474364673E-3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input_528010!A$2</f>
        <v>528010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IFERROR(VLOOKUP(B23,input_528010!L:R,7,FALSE),VLOOKUP(tables_528010!C23,input_528010!A:H,8,FALSE))</f>
        <v>392056</v>
      </c>
      <c r="P23" s="46">
        <f t="shared" ca="1" si="1"/>
        <v>5.8414685023102019E-3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input_528010!A$2</f>
        <v>528010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IFERROR(VLOOKUP(B24,input_528010!L:R,7,FALSE),VLOOKUP(tables_528010!C24,input_528010!A:H,8,FALSE))</f>
        <v>501840</v>
      </c>
      <c r="P24" s="46">
        <f t="shared" ca="1" si="1"/>
        <v>7.4772036474364673E-3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input_528010!A$2</f>
        <v>528010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IFERROR(VLOOKUP(B25,input_528010!L:R,7,FALSE),VLOOKUP(tables_528010!C25,input_528010!A:H,8,FALSE))</f>
        <v>392056</v>
      </c>
      <c r="P25" s="46">
        <f t="shared" ca="1" si="1"/>
        <v>5.8414685023102019E-3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input_528010!A$2</f>
        <v>528010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IFERROR(VLOOKUP(B26,input_528010!L:R,7,FALSE),VLOOKUP(tables_528010!C26,input_528010!A:H,8,FALSE))</f>
        <v>501840</v>
      </c>
      <c r="P26" s="46">
        <f t="shared" ca="1" si="1"/>
        <v>7.4772036474364673E-3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input_528010!A$2</f>
        <v>528010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IFERROR(VLOOKUP(B27,input_528010!L:R,7,FALSE),VLOOKUP(tables_528010!C27,input_528010!A:H,8,FALSE))</f>
        <v>392056</v>
      </c>
      <c r="P27" s="46">
        <f t="shared" ca="1" si="1"/>
        <v>5.8414685023102019E-3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input_528010!A$2</f>
        <v>528010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IFERROR(VLOOKUP(B28,input_528010!L:R,7,FALSE),VLOOKUP(tables_528010!C28,input_528010!A:H,8,FALSE))</f>
        <v>501840</v>
      </c>
      <c r="P28" s="46">
        <f t="shared" ca="1" si="1"/>
        <v>7.4772036474364673E-3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input_528010!A$2</f>
        <v>528010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IFERROR(VLOOKUP(B29,input_528010!L:R,7,FALSE),VLOOKUP(tables_528010!C29,input_528010!A:H,8,FALSE))</f>
        <v>392056</v>
      </c>
      <c r="P29" s="46">
        <f t="shared" ca="1" si="1"/>
        <v>5.8414685023102019E-3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input_528010!A$2</f>
        <v>528010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IFERROR(VLOOKUP(B30,input_528010!L:R,7,FALSE),VLOOKUP(tables_528010!C30,input_528010!A:H,8,FALSE))</f>
        <v>501840</v>
      </c>
      <c r="P30" s="46">
        <f t="shared" ca="1" si="1"/>
        <v>7.4772036474364673E-3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input_528010!A$2</f>
        <v>528010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IFERROR(VLOOKUP(B31,input_528010!L:R,7,FALSE),VLOOKUP(tables_528010!C31,input_528010!A:H,8,FALSE))</f>
        <v>392056</v>
      </c>
      <c r="P31" s="46">
        <f t="shared" ca="1" si="1"/>
        <v>5.8414685023102019E-3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input_528010!A$2</f>
        <v>528010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IFERROR(VLOOKUP(B32,input_528010!L:R,7,FALSE),VLOOKUP(tables_528010!C32,input_528010!A:H,8,FALSE))</f>
        <v>501840</v>
      </c>
      <c r="P32" s="46">
        <f t="shared" ca="1" si="1"/>
        <v>7.4772036474364673E-3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input_528010!A$2</f>
        <v>528010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IFERROR(VLOOKUP(B33,input_528010!L:R,7,FALSE),VLOOKUP(tables_528010!C33,input_528010!A:H,8,FALSE))</f>
        <v>392056</v>
      </c>
      <c r="P33" s="46">
        <f t="shared" ca="1" si="1"/>
        <v>5.8414685023102019E-3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input_528010!A$2</f>
        <v>528010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IFERROR(VLOOKUP(B34,input_528010!L:R,7,FALSE),VLOOKUP(tables_528010!C34,input_528010!A:H,8,FALSE))</f>
        <v>501840</v>
      </c>
      <c r="P34" s="46">
        <f t="shared" ca="1" si="1"/>
        <v>7.4772036474364673E-3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input_528010!A$2</f>
        <v>528010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IFERROR(VLOOKUP(B35,input_528010!L:R,7,FALSE),VLOOKUP(tables_528010!C35,input_528010!A:H,8,FALSE))</f>
        <v>392056</v>
      </c>
      <c r="P35" s="46">
        <f t="shared" ca="1" si="1"/>
        <v>5.8414685023102019E-3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input_528010!A$2</f>
        <v>528010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IFERROR(VLOOKUP(B36,input_528010!L:R,7,FALSE),VLOOKUP(tables_528010!C36,input_528010!A:H,8,FALSE))</f>
        <v>501840</v>
      </c>
      <c r="P36" s="46">
        <f t="shared" ca="1" si="1"/>
        <v>7.4772036474364673E-3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input_528010!A$2</f>
        <v>528010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IFERROR(VLOOKUP(B37,input_528010!L:R,7,FALSE),VLOOKUP(tables_528010!C37,input_528010!A:H,8,FALSE))</f>
        <v>392056</v>
      </c>
      <c r="P37" s="46">
        <f t="shared" ca="1" si="1"/>
        <v>5.8414685023102019E-3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input_528010!A$2</f>
        <v>528010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IFERROR(VLOOKUP(B38,input_528010!L:R,7,FALSE),VLOOKUP(tables_528010!C38,input_528010!A:H,8,FALSE))</f>
        <v>501840</v>
      </c>
      <c r="P38" s="46">
        <f t="shared" ca="1" si="1"/>
        <v>7.4772036474364673E-3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input_528010!A$2</f>
        <v>528010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IFERROR(VLOOKUP(B39,input_528010!L:R,7,FALSE),VLOOKUP(tables_528010!C39,input_528010!A:H,8,FALSE))</f>
        <v>392056</v>
      </c>
      <c r="P39" s="46">
        <f t="shared" ca="1" si="1"/>
        <v>5.8414685023102019E-3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input_528010!A$2</f>
        <v>528010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IFERROR(VLOOKUP(B40,input_528010!L:R,7,FALSE),VLOOKUP(tables_528010!C40,input_528010!A:H,8,FALSE))</f>
        <v>501840</v>
      </c>
      <c r="P40" s="46">
        <f t="shared" ca="1" si="1"/>
        <v>7.4772036474364673E-3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input_528010!A$2</f>
        <v>528010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IFERROR(VLOOKUP(B41,input_528010!L:R,7,FALSE),VLOOKUP(tables_528010!C41,input_528010!A:H,8,FALSE))</f>
        <v>392056</v>
      </c>
      <c r="P41" s="46">
        <f t="shared" ca="1" si="1"/>
        <v>5.8414685023102019E-3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input_528010!A$2</f>
        <v>528010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IFERROR(VLOOKUP(B42,input_528010!L:R,7,FALSE),VLOOKUP(tables_528010!C42,input_528010!A:H,8,FALSE))</f>
        <v>163200</v>
      </c>
      <c r="P42" s="46">
        <f t="shared" ca="1" si="1"/>
        <v>2.4316109422557615E-3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input_528010!A$2</f>
        <v>528010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IFERROR(VLOOKUP(B43,input_528010!L:R,7,FALSE),VLOOKUP(tables_528010!C43,input_528010!A:H,8,FALSE))</f>
        <v>272000</v>
      </c>
      <c r="P43" s="46">
        <f t="shared" ca="1" si="1"/>
        <v>4.0526849037596027E-3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input_528010!A$2</f>
        <v>528010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IFERROR(VLOOKUP(B44,input_528010!L:R,7,FALSE),VLOOKUP(tables_528010!C44,input_528010!A:H,8,FALSE))</f>
        <v>108800</v>
      </c>
      <c r="P44" s="46">
        <f t="shared" ca="1" si="1"/>
        <v>1.6210739615038412E-3</v>
      </c>
      <c r="Q44" s="102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input_528010!A$2</f>
        <v>528010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IFERROR(VLOOKUP(B45,input_528010!L:R,7,FALSE),VLOOKUP(tables_528010!C45,input_528010!A:H,8,FALSE))</f>
        <v>163200</v>
      </c>
      <c r="P45" s="46">
        <f t="shared" ca="1" si="1"/>
        <v>2.4316109422557615E-3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input_528010!A$2</f>
        <v>528010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IFERROR(VLOOKUP(B46,input_528010!L:R,7,FALSE),VLOOKUP(tables_528010!C46,input_528010!A:H,8,FALSE))</f>
        <v>272000</v>
      </c>
      <c r="P46" s="46">
        <f t="shared" ca="1" si="1"/>
        <v>4.0526849037596027E-3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input_528010!A$2</f>
        <v>528010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IFERROR(VLOOKUP(B47,input_528010!L:R,7,FALSE),VLOOKUP(tables_528010!C47,input_528010!A:H,8,FALSE))</f>
        <v>108800</v>
      </c>
      <c r="P47" s="46">
        <f t="shared" ca="1" si="1"/>
        <v>1.6210739615038412E-3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input_528010!A$2</f>
        <v>528010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IFERROR(VLOOKUP(B48,input_528010!L:R,7,FALSE),VLOOKUP(tables_528010!C48,input_528010!A:H,8,FALSE))</f>
        <v>163200</v>
      </c>
      <c r="P48" s="46">
        <f t="shared" ca="1" si="1"/>
        <v>2.4316109422557615E-3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input_528010!A$2</f>
        <v>528010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IFERROR(VLOOKUP(B49,input_528010!L:R,7,FALSE),VLOOKUP(tables_528010!C49,input_528010!A:H,8,FALSE))</f>
        <v>272000</v>
      </c>
      <c r="P49" s="46">
        <f t="shared" ca="1" si="1"/>
        <v>4.0526849037596027E-3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input_528010!A$2</f>
        <v>528010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IFERROR(VLOOKUP(B50,input_528010!L:R,7,FALSE),VLOOKUP(tables_528010!C50,input_528010!A:H,8,FALSE))</f>
        <v>108800</v>
      </c>
      <c r="P50" s="46">
        <f t="shared" ca="1" si="1"/>
        <v>1.6210739615038412E-3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input_528010!A$2</f>
        <v>528010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IFERROR(VLOOKUP(B51,input_528010!L:R,7,FALSE),VLOOKUP(tables_528010!C51,input_528010!A:H,8,FALSE))</f>
        <v>163200</v>
      </c>
      <c r="P51" s="46">
        <f t="shared" ca="1" si="1"/>
        <v>2.4316109422557615E-3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input_528010!A$2</f>
        <v>528010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IFERROR(VLOOKUP(B52,input_528010!L:R,7,FALSE),VLOOKUP(tables_528010!C52,input_528010!A:H,8,FALSE))</f>
        <v>272000</v>
      </c>
      <c r="P52" s="46">
        <f t="shared" ca="1" si="1"/>
        <v>4.0526849037596027E-3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input_528010!A$2</f>
        <v>528010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IFERROR(VLOOKUP(B53,input_528010!L:R,7,FALSE),VLOOKUP(tables_528010!C53,input_528010!A:H,8,FALSE))</f>
        <v>24682.307690000001</v>
      </c>
      <c r="P53" s="46">
        <f t="shared" ca="1" si="1"/>
        <v>3.6775594031328149E-4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input_528010!A$2</f>
        <v>528010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IFERROR(VLOOKUP(B54,input_528010!L:R,7,FALSE),VLOOKUP(tables_528010!C54,input_528010!A:H,8,FALSE))</f>
        <v>163200</v>
      </c>
      <c r="P54" s="46">
        <f t="shared" ca="1" si="1"/>
        <v>2.4316109422557615E-3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input_528010!A$2</f>
        <v>528010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IFERROR(VLOOKUP(B55,input_528010!L:R,7,FALSE),VLOOKUP(tables_528010!C55,input_528010!A:H,8,FALSE))</f>
        <v>272000</v>
      </c>
      <c r="P55" s="46">
        <f t="shared" ca="1" si="1"/>
        <v>4.0526849037596027E-3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input_528010!A$2</f>
        <v>528010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IFERROR(VLOOKUP(B56,input_528010!L:R,7,FALSE),VLOOKUP(tables_528010!C56,input_528010!A:H,8,FALSE))</f>
        <v>24682.307690000001</v>
      </c>
      <c r="P56" s="46">
        <f t="shared" ca="1" si="1"/>
        <v>3.6775594031328149E-4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input_528010!A$2</f>
        <v>528010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IFERROR(VLOOKUP(B57,input_528010!L:R,7,FALSE),VLOOKUP(tables_528010!C57,input_528010!A:H,8,FALSE))</f>
        <v>163200</v>
      </c>
      <c r="P57" s="46">
        <f t="shared" ca="1" si="1"/>
        <v>2.4316109422557615E-3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input_528010!A$2</f>
        <v>528010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IFERROR(VLOOKUP(B58,input_528010!L:R,7,FALSE),VLOOKUP(tables_528010!C58,input_528010!A:H,8,FALSE))</f>
        <v>272000</v>
      </c>
      <c r="P58" s="46">
        <f t="shared" ca="1" si="1"/>
        <v>4.0526849037596027E-3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input_528010!A$2</f>
        <v>528010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IFERROR(VLOOKUP(B59,input_528010!L:R,7,FALSE),VLOOKUP(tables_528010!C59,input_528010!A:H,8,FALSE))</f>
        <v>24682.307690000001</v>
      </c>
      <c r="P59" s="46">
        <f t="shared" ca="1" si="1"/>
        <v>3.6775594031328149E-4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input_528010!A$2</f>
        <v>528010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IFERROR(VLOOKUP(B60,input_528010!L:R,7,FALSE),VLOOKUP(tables_528010!C60,input_528010!A:H,8,FALSE))</f>
        <v>163200</v>
      </c>
      <c r="P60" s="46">
        <f t="shared" ca="1" si="1"/>
        <v>2.4316109422557615E-3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input_528010!A$2</f>
        <v>528010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IFERROR(VLOOKUP(B61,input_528010!L:R,7,FALSE),VLOOKUP(tables_528010!C61,input_528010!A:H,8,FALSE))</f>
        <v>272000</v>
      </c>
      <c r="P61" s="46">
        <f t="shared" ca="1" si="1"/>
        <v>4.0526849037596027E-3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input_528010!A$2</f>
        <v>528010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IFERROR(VLOOKUP(B62,input_528010!L:R,7,FALSE),VLOOKUP(tables_528010!C62,input_528010!A:H,8,FALSE))</f>
        <v>24682.307690000001</v>
      </c>
      <c r="P62" s="46">
        <f t="shared" ca="1" si="1"/>
        <v>3.6775594031328149E-4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input_528010!A$2</f>
        <v>528010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IFERROR(VLOOKUP(B63,input_528010!L:R,7,FALSE),VLOOKUP(tables_528010!C63,input_528010!A:H,8,FALSE))</f>
        <v>163200</v>
      </c>
      <c r="P63" s="46">
        <f t="shared" ca="1" si="1"/>
        <v>2.4316109422557615E-3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input_528010!A$2</f>
        <v>528010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IFERROR(VLOOKUP(B64,input_528010!L:R,7,FALSE),VLOOKUP(tables_528010!C64,input_528010!A:H,8,FALSE))</f>
        <v>272000</v>
      </c>
      <c r="P64" s="46">
        <f t="shared" ca="1" si="1"/>
        <v>4.0526849037596027E-3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input_528010!A$2</f>
        <v>528010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IFERROR(VLOOKUP(B65,input_528010!L:R,7,FALSE),VLOOKUP(tables_528010!C65,input_528010!A:H,8,FALSE))</f>
        <v>24682.307690000001</v>
      </c>
      <c r="P65" s="46">
        <f t="shared" ca="1" si="1"/>
        <v>3.6775594031328149E-4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input_528010!A$2</f>
        <v>528010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IFERROR(VLOOKUP(B66,input_528010!L:R,7,FALSE),VLOOKUP(tables_528010!C66,input_528010!A:H,8,FALSE))</f>
        <v>163200</v>
      </c>
      <c r="P66" s="46">
        <f t="shared" ref="P66:P129" ca="1" si="4">O66/SUM(O:O)</f>
        <v>2.4316109422557615E-3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input_528010!A$2</f>
        <v>528010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IFERROR(VLOOKUP(B67,input_528010!L:R,7,FALSE),VLOOKUP(tables_528010!C67,input_528010!A:H,8,FALSE))</f>
        <v>272000</v>
      </c>
      <c r="P67" s="46">
        <f t="shared" ca="1" si="4"/>
        <v>4.0526849037596027E-3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input_528010!A$2</f>
        <v>528010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IFERROR(VLOOKUP(B68,input_528010!L:R,7,FALSE),VLOOKUP(tables_528010!C68,input_528010!A:H,8,FALSE))</f>
        <v>24682.307690000001</v>
      </c>
      <c r="P68" s="46">
        <f t="shared" ca="1" si="4"/>
        <v>3.6775594031328149E-4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input_528010!A$2</f>
        <v>528010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IFERROR(VLOOKUP(B69,input_528010!L:R,7,FALSE),VLOOKUP(tables_528010!C69,input_528010!A:H,8,FALSE))</f>
        <v>163200</v>
      </c>
      <c r="P69" s="46">
        <f t="shared" ca="1" si="4"/>
        <v>2.4316109422557615E-3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input_528010!A$2</f>
        <v>528010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IFERROR(VLOOKUP(B70,input_528010!L:R,7,FALSE),VLOOKUP(tables_528010!C70,input_528010!A:H,8,FALSE))</f>
        <v>272000</v>
      </c>
      <c r="P70" s="46">
        <f t="shared" ca="1" si="4"/>
        <v>4.0526849037596027E-3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input_528010!A$2</f>
        <v>528010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IFERROR(VLOOKUP(B71,input_528010!L:R,7,FALSE),VLOOKUP(tables_528010!C71,input_528010!A:H,8,FALSE))</f>
        <v>24682.307690000001</v>
      </c>
      <c r="P71" s="46">
        <f t="shared" ca="1" si="4"/>
        <v>3.6775594031328149E-4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input_528010!A$2</f>
        <v>528010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IFERROR(VLOOKUP(B72,input_528010!L:R,7,FALSE),VLOOKUP(tables_528010!C72,input_528010!A:H,8,FALSE))</f>
        <v>163200</v>
      </c>
      <c r="P72" s="46">
        <f t="shared" ca="1" si="4"/>
        <v>2.4316109422557615E-3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input_528010!A$2</f>
        <v>528010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IFERROR(VLOOKUP(B73,input_528010!L:R,7,FALSE),VLOOKUP(tables_528010!C73,input_528010!A:H,8,FALSE))</f>
        <v>272000</v>
      </c>
      <c r="P73" s="46">
        <f t="shared" ca="1" si="4"/>
        <v>4.0526849037596027E-3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input_528010!A$2</f>
        <v>528010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IFERROR(VLOOKUP(B74,input_528010!L:R,7,FALSE),VLOOKUP(tables_528010!C74,input_528010!A:H,8,FALSE))</f>
        <v>24682.307690000001</v>
      </c>
      <c r="P74" s="46">
        <f t="shared" ca="1" si="4"/>
        <v>3.6775594031328149E-4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input_528010!A$2</f>
        <v>528010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IFERROR(VLOOKUP(B75,input_528010!L:R,7,FALSE),VLOOKUP(tables_528010!C75,input_528010!A:H,8,FALSE))</f>
        <v>163200</v>
      </c>
      <c r="P75" s="46">
        <f t="shared" ca="1" si="4"/>
        <v>2.4316109422557615E-3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input_528010!A$2</f>
        <v>528010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IFERROR(VLOOKUP(B76,input_528010!L:R,7,FALSE),VLOOKUP(tables_528010!C76,input_528010!A:H,8,FALSE))</f>
        <v>272000</v>
      </c>
      <c r="P76" s="46">
        <f t="shared" ca="1" si="4"/>
        <v>4.0526849037596027E-3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input_528010!A$2</f>
        <v>528010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IFERROR(VLOOKUP(B77,input_528010!L:R,7,FALSE),VLOOKUP(tables_528010!C77,input_528010!A:H,8,FALSE))</f>
        <v>24682.307690000001</v>
      </c>
      <c r="P77" s="46">
        <f t="shared" ca="1" si="4"/>
        <v>3.6775594031328149E-4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input_528010!A$2</f>
        <v>528010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IFERROR(VLOOKUP(B78,input_528010!L:R,7,FALSE),VLOOKUP(tables_528010!C78,input_528010!A:H,8,FALSE))</f>
        <v>163200</v>
      </c>
      <c r="P78" s="46">
        <f t="shared" ca="1" si="4"/>
        <v>2.4316109422557615E-3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input_528010!A$2</f>
        <v>528010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IFERROR(VLOOKUP(B79,input_528010!L:R,7,FALSE),VLOOKUP(tables_528010!C79,input_528010!A:H,8,FALSE))</f>
        <v>272000</v>
      </c>
      <c r="P79" s="46">
        <f t="shared" ca="1" si="4"/>
        <v>4.0526849037596027E-3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input_528010!A$2</f>
        <v>528010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IFERROR(VLOOKUP(B80,input_528010!L:R,7,FALSE),VLOOKUP(tables_528010!C80,input_528010!A:H,8,FALSE))</f>
        <v>24682.307690000001</v>
      </c>
      <c r="P80" s="46">
        <f t="shared" ca="1" si="4"/>
        <v>3.6775594031328149E-4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input_528010!A$2</f>
        <v>528010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IFERROR(VLOOKUP(B81,input_528010!L:R,7,FALSE),VLOOKUP(tables_528010!C81,input_528010!A:H,8,FALSE))</f>
        <v>163200</v>
      </c>
      <c r="P81" s="46">
        <f t="shared" ca="1" si="4"/>
        <v>2.4316109422557615E-3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input_528010!A$2</f>
        <v>528010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IFERROR(VLOOKUP(B82,input_528010!L:R,7,FALSE),VLOOKUP(tables_528010!C82,input_528010!A:H,8,FALSE))</f>
        <v>272000</v>
      </c>
      <c r="P82" s="46">
        <f t="shared" ca="1" si="4"/>
        <v>4.0526849037596027E-3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input_528010!A$2</f>
        <v>528010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IFERROR(VLOOKUP(B83,input_528010!L:R,7,FALSE),VLOOKUP(tables_528010!C83,input_528010!A:H,8,FALSE))</f>
        <v>24682.307690000001</v>
      </c>
      <c r="P83" s="46">
        <f t="shared" ca="1" si="4"/>
        <v>3.6775594031328149E-4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input_528010!A$2</f>
        <v>528010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IFERROR(VLOOKUP(B84,input_528010!L:R,7,FALSE),VLOOKUP(tables_528010!C84,input_528010!A:H,8,FALSE))</f>
        <v>163200</v>
      </c>
      <c r="P84" s="46">
        <f t="shared" ca="1" si="4"/>
        <v>2.4316109422557615E-3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input_528010!A$2</f>
        <v>528010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IFERROR(VLOOKUP(B85,input_528010!L:R,7,FALSE),VLOOKUP(tables_528010!C85,input_528010!A:H,8,FALSE))</f>
        <v>272000</v>
      </c>
      <c r="P85" s="46">
        <f t="shared" ca="1" si="4"/>
        <v>4.0526849037596027E-3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input_528010!A$2</f>
        <v>528010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IFERROR(VLOOKUP(B86,input_528010!L:R,7,FALSE),VLOOKUP(tables_528010!C86,input_528010!A:H,8,FALSE))</f>
        <v>24682.307690000001</v>
      </c>
      <c r="P86" s="46">
        <f t="shared" ca="1" si="4"/>
        <v>3.6775594031328149E-4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input_528010!A$2</f>
        <v>528010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IFERROR(VLOOKUP(B87,input_528010!L:R,7,FALSE),VLOOKUP(tables_528010!C87,input_528010!A:H,8,FALSE))</f>
        <v>163200</v>
      </c>
      <c r="P87" s="46">
        <f t="shared" ca="1" si="4"/>
        <v>2.4316109422557615E-3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input_528010!A$2</f>
        <v>528010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IFERROR(VLOOKUP(B88,input_528010!L:R,7,FALSE),VLOOKUP(tables_528010!C88,input_528010!A:H,8,FALSE))</f>
        <v>272000</v>
      </c>
      <c r="P88" s="46">
        <f t="shared" ca="1" si="4"/>
        <v>4.0526849037596027E-3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input_528010!A$2</f>
        <v>528010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IFERROR(VLOOKUP(B89,input_528010!L:R,7,FALSE),VLOOKUP(tables_528010!C89,input_528010!A:H,8,FALSE))</f>
        <v>24682.307690000001</v>
      </c>
      <c r="P89" s="46">
        <f t="shared" ca="1" si="4"/>
        <v>3.6775594031328149E-4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input_528010!A$2</f>
        <v>528010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IFERROR(VLOOKUP(B90,input_528010!L:R,7,FALSE),VLOOKUP(tables_528010!C90,input_528010!A:H,8,FALSE))</f>
        <v>163200</v>
      </c>
      <c r="P90" s="46">
        <f t="shared" ca="1" si="4"/>
        <v>2.4316109422557615E-3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input_528010!A$2</f>
        <v>528010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IFERROR(VLOOKUP(B91,input_528010!L:R,7,FALSE),VLOOKUP(tables_528010!C91,input_528010!A:H,8,FALSE))</f>
        <v>272000</v>
      </c>
      <c r="P91" s="46">
        <f t="shared" ca="1" si="4"/>
        <v>4.0526849037596027E-3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input_528010!A$2</f>
        <v>528010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IFERROR(VLOOKUP(B92,input_528010!L:R,7,FALSE),VLOOKUP(tables_528010!C92,input_528010!A:H,8,FALSE))</f>
        <v>24682.307690000001</v>
      </c>
      <c r="P92" s="46">
        <f t="shared" ca="1" si="4"/>
        <v>3.6775594031328149E-4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input_528010!A$2</f>
        <v>528010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IFERROR(VLOOKUP(B93,input_528010!L:R,7,FALSE),VLOOKUP(tables_528010!C93,input_528010!A:H,8,FALSE))</f>
        <v>163200</v>
      </c>
      <c r="P93" s="46">
        <f t="shared" ca="1" si="4"/>
        <v>2.4316109422557615E-3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input_528010!A$2</f>
        <v>528010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IFERROR(VLOOKUP(B94,input_528010!L:R,7,FALSE),VLOOKUP(tables_528010!C94,input_528010!A:H,8,FALSE))</f>
        <v>272000</v>
      </c>
      <c r="P94" s="46">
        <f t="shared" ca="1" si="4"/>
        <v>4.0526849037596027E-3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input_528010!A$2</f>
        <v>528010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IFERROR(VLOOKUP(B95,input_528010!L:R,7,FALSE),VLOOKUP(tables_528010!C95,input_528010!A:H,8,FALSE))</f>
        <v>24682.307690000001</v>
      </c>
      <c r="P95" s="46">
        <f t="shared" ca="1" si="4"/>
        <v>3.6775594031328149E-4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input_528010!A$2</f>
        <v>528010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IFERROR(VLOOKUP(B96,input_528010!L:R,7,FALSE),VLOOKUP(tables_528010!C96,input_528010!A:H,8,FALSE))</f>
        <v>163200</v>
      </c>
      <c r="P96" s="46">
        <f t="shared" ca="1" si="4"/>
        <v>2.4316109422557615E-3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input_528010!A$2</f>
        <v>528010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IFERROR(VLOOKUP(B97,input_528010!L:R,7,FALSE),VLOOKUP(tables_528010!C97,input_528010!A:H,8,FALSE))</f>
        <v>272000</v>
      </c>
      <c r="P97" s="46">
        <f t="shared" ca="1" si="4"/>
        <v>4.0526849037596027E-3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input_528010!A$2</f>
        <v>528010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IFERROR(VLOOKUP(B98,input_528010!L:R,7,FALSE),VLOOKUP(tables_528010!C98,input_528010!A:H,8,FALSE))</f>
        <v>24682.307690000001</v>
      </c>
      <c r="P98" s="46">
        <f t="shared" ca="1" si="4"/>
        <v>3.6775594031328149E-4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input_528010!A$2</f>
        <v>528010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IFERROR(VLOOKUP(B99,input_528010!L:R,7,FALSE),VLOOKUP(tables_528010!C99,input_528010!A:H,8,FALSE))</f>
        <v>163200</v>
      </c>
      <c r="P99" s="46">
        <f t="shared" ca="1" si="4"/>
        <v>2.4316109422557615E-3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input_528010!A$2</f>
        <v>528010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IFERROR(VLOOKUP(B100,input_528010!L:R,7,FALSE),VLOOKUP(tables_528010!C100,input_528010!A:H,8,FALSE))</f>
        <v>272000</v>
      </c>
      <c r="P100" s="46">
        <f t="shared" ca="1" si="4"/>
        <v>4.0526849037596027E-3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input_528010!A$2</f>
        <v>528010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IFERROR(VLOOKUP(B101,input_528010!L:R,7,FALSE),VLOOKUP(tables_528010!C101,input_528010!A:H,8,FALSE))</f>
        <v>24682.307690000001</v>
      </c>
      <c r="P101" s="46">
        <f t="shared" ca="1" si="4"/>
        <v>3.6775594031328149E-4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input_528010!A$2</f>
        <v>528010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IFERROR(VLOOKUP(B102,input_528010!L:R,7,FALSE),VLOOKUP(tables_528010!C102,input_528010!A:H,8,FALSE))</f>
        <v>163200</v>
      </c>
      <c r="P102" s="46">
        <f t="shared" ca="1" si="4"/>
        <v>2.4316109422557615E-3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input_528010!A$2</f>
        <v>528010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IFERROR(VLOOKUP(B103,input_528010!L:R,7,FALSE),VLOOKUP(tables_528010!C103,input_528010!A:H,8,FALSE))</f>
        <v>272000</v>
      </c>
      <c r="P103" s="46">
        <f t="shared" ca="1" si="4"/>
        <v>4.0526849037596027E-3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input_528010!A$2</f>
        <v>528010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IFERROR(VLOOKUP(B104,input_528010!L:R,7,FALSE),VLOOKUP(tables_528010!C104,input_528010!A:H,8,FALSE))</f>
        <v>24682.307690000001</v>
      </c>
      <c r="P104" s="46">
        <f t="shared" ca="1" si="4"/>
        <v>3.6775594031328149E-4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input_528010!A$2</f>
        <v>528010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IFERROR(VLOOKUP(B105,input_528010!L:R,7,FALSE),VLOOKUP(tables_528010!C105,input_528010!A:H,8,FALSE))</f>
        <v>163200</v>
      </c>
      <c r="P105" s="46">
        <f t="shared" ca="1" si="4"/>
        <v>2.4316109422557615E-3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input_528010!A$2</f>
        <v>528010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IFERROR(VLOOKUP(B106,input_528010!L:R,7,FALSE),VLOOKUP(tables_528010!C106,input_528010!A:H,8,FALSE))</f>
        <v>272000</v>
      </c>
      <c r="P106" s="46">
        <f t="shared" ca="1" si="4"/>
        <v>4.0526849037596027E-3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input_528010!A$2</f>
        <v>528010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IFERROR(VLOOKUP(B107,input_528010!L:R,7,FALSE),VLOOKUP(tables_528010!C107,input_528010!A:H,8,FALSE))</f>
        <v>24682.307690000001</v>
      </c>
      <c r="P107" s="46">
        <f t="shared" ca="1" si="4"/>
        <v>3.6775594031328149E-4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input_528010!A$2</f>
        <v>528010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IFERROR(VLOOKUP(B108,input_528010!L:R,7,FALSE),VLOOKUP(tables_528010!C108,input_528010!A:H,8,FALSE))</f>
        <v>163200</v>
      </c>
      <c r="P108" s="46">
        <f t="shared" ca="1" si="4"/>
        <v>2.4316109422557615E-3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input_528010!A$2</f>
        <v>528010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IFERROR(VLOOKUP(B109,input_528010!L:R,7,FALSE),VLOOKUP(tables_528010!C109,input_528010!A:H,8,FALSE))</f>
        <v>272000</v>
      </c>
      <c r="P109" s="46">
        <f t="shared" ca="1" si="4"/>
        <v>4.0526849037596027E-3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input_528010!A$2</f>
        <v>528010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IFERROR(VLOOKUP(B110,input_528010!L:R,7,FALSE),VLOOKUP(tables_528010!C110,input_528010!A:H,8,FALSE))</f>
        <v>24682.307690000001</v>
      </c>
      <c r="P110" s="46">
        <f t="shared" ca="1" si="4"/>
        <v>3.6775594031328149E-4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input_528010!A$2</f>
        <v>528010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IFERROR(VLOOKUP(B111,input_528010!L:R,7,FALSE),VLOOKUP(tables_528010!C111,input_528010!A:H,8,FALSE))</f>
        <v>163200</v>
      </c>
      <c r="P111" s="46">
        <f t="shared" ca="1" si="4"/>
        <v>2.4316109422557615E-3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input_528010!A$2</f>
        <v>528010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IFERROR(VLOOKUP(B112,input_528010!L:R,7,FALSE),VLOOKUP(tables_528010!C112,input_528010!A:H,8,FALSE))</f>
        <v>272000</v>
      </c>
      <c r="P112" s="46">
        <f t="shared" ca="1" si="4"/>
        <v>4.0526849037596027E-3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input_528010!A$2</f>
        <v>528010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IFERROR(VLOOKUP(B113,input_528010!L:R,7,FALSE),VLOOKUP(tables_528010!C113,input_528010!A:H,8,FALSE))</f>
        <v>108800</v>
      </c>
      <c r="P113" s="46">
        <f t="shared" ca="1" si="4"/>
        <v>1.6210739615038412E-3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input_528010!A$2</f>
        <v>528010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IFERROR(VLOOKUP(B114,input_528010!L:R,7,FALSE),VLOOKUP(tables_528010!C114,input_528010!A:H,8,FALSE))</f>
        <v>163200</v>
      </c>
      <c r="P114" s="46">
        <f t="shared" ca="1" si="4"/>
        <v>2.4316109422557615E-3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input_528010!A$2</f>
        <v>528010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IFERROR(VLOOKUP(B115,input_528010!L:R,7,FALSE),VLOOKUP(tables_528010!C115,input_528010!A:H,8,FALSE))</f>
        <v>272000</v>
      </c>
      <c r="P115" s="46">
        <f t="shared" ca="1" si="4"/>
        <v>4.0526849037596027E-3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input_528010!A$2</f>
        <v>528010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IFERROR(VLOOKUP(B116,input_528010!L:R,7,FALSE),VLOOKUP(tables_528010!C116,input_528010!A:H,8,FALSE))</f>
        <v>24682.307690000001</v>
      </c>
      <c r="P116" s="46">
        <f t="shared" ca="1" si="4"/>
        <v>3.6775594031328149E-4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input_528010!A$2</f>
        <v>528010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IFERROR(VLOOKUP(B117,input_528010!L:R,7,FALSE),VLOOKUP(tables_528010!C117,input_528010!A:H,8,FALSE))</f>
        <v>163200</v>
      </c>
      <c r="P117" s="46">
        <f t="shared" ca="1" si="4"/>
        <v>2.4316109422557615E-3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input_528010!A$2</f>
        <v>528010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IFERROR(VLOOKUP(B118,input_528010!L:R,7,FALSE),VLOOKUP(tables_528010!C118,input_528010!A:H,8,FALSE))</f>
        <v>272000</v>
      </c>
      <c r="P118" s="46">
        <f t="shared" ca="1" si="4"/>
        <v>4.0526849037596027E-3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input_528010!A$2</f>
        <v>528010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IFERROR(VLOOKUP(B119,input_528010!L:R,7,FALSE),VLOOKUP(tables_528010!C119,input_528010!A:H,8,FALSE))</f>
        <v>24682.307690000001</v>
      </c>
      <c r="P119" s="46">
        <f t="shared" ca="1" si="4"/>
        <v>3.6775594031328149E-4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input_528010!A$2</f>
        <v>528010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IFERROR(VLOOKUP(B120,input_528010!L:R,7,FALSE),VLOOKUP(tables_528010!C120,input_528010!A:H,8,FALSE))</f>
        <v>163200</v>
      </c>
      <c r="P120" s="46">
        <f t="shared" ca="1" si="4"/>
        <v>2.4316109422557615E-3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input_528010!A$2</f>
        <v>528010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IFERROR(VLOOKUP(B121,input_528010!L:R,7,FALSE),VLOOKUP(tables_528010!C121,input_528010!A:H,8,FALSE))</f>
        <v>272000</v>
      </c>
      <c r="P121" s="46">
        <f t="shared" ca="1" si="4"/>
        <v>4.0526849037596027E-3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input_528010!A$2</f>
        <v>528010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IFERROR(VLOOKUP(B122,input_528010!L:R,7,FALSE),VLOOKUP(tables_528010!C122,input_528010!A:H,8,FALSE))</f>
        <v>24682.307690000001</v>
      </c>
      <c r="P122" s="46">
        <f t="shared" ca="1" si="4"/>
        <v>3.6775594031328149E-4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input_528010!A$2</f>
        <v>528010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IFERROR(VLOOKUP(B123,input_528010!L:R,7,FALSE),VLOOKUP(tables_528010!C123,input_528010!A:H,8,FALSE))</f>
        <v>163200</v>
      </c>
      <c r="P123" s="46">
        <f t="shared" ca="1" si="4"/>
        <v>2.4316109422557615E-3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input_528010!A$2</f>
        <v>528010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IFERROR(VLOOKUP(B124,input_528010!L:R,7,FALSE),VLOOKUP(tables_528010!C124,input_528010!A:H,8,FALSE))</f>
        <v>272000</v>
      </c>
      <c r="P124" s="46">
        <f t="shared" ca="1" si="4"/>
        <v>4.0526849037596027E-3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input_528010!A$2</f>
        <v>528010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IFERROR(VLOOKUP(B125,input_528010!L:R,7,FALSE),VLOOKUP(tables_528010!C125,input_528010!A:H,8,FALSE))</f>
        <v>24682.307690000001</v>
      </c>
      <c r="P125" s="46">
        <f t="shared" ca="1" si="4"/>
        <v>3.6775594031328149E-4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input_528010!A$2</f>
        <v>528010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IFERROR(VLOOKUP(B126,input_528010!L:R,7,FALSE),VLOOKUP(tables_528010!C126,input_528010!A:H,8,FALSE))</f>
        <v>163200</v>
      </c>
      <c r="P126" s="46">
        <f t="shared" ca="1" si="4"/>
        <v>2.4316109422557615E-3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input_528010!A$2</f>
        <v>528010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IFERROR(VLOOKUP(B127,input_528010!L:R,7,FALSE),VLOOKUP(tables_528010!C127,input_528010!A:H,8,FALSE))</f>
        <v>272000</v>
      </c>
      <c r="P127" s="46">
        <f t="shared" ca="1" si="4"/>
        <v>4.0526849037596027E-3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input_528010!A$2</f>
        <v>528010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IFERROR(VLOOKUP(B128,input_528010!L:R,7,FALSE),VLOOKUP(tables_528010!C128,input_528010!A:H,8,FALSE))</f>
        <v>24682.307690000001</v>
      </c>
      <c r="P128" s="46">
        <f t="shared" ca="1" si="4"/>
        <v>3.6775594031328149E-4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input_528010!A$2</f>
        <v>528010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IFERROR(VLOOKUP(B129,input_528010!L:R,7,FALSE),VLOOKUP(tables_528010!C129,input_528010!A:H,8,FALSE))</f>
        <v>163200</v>
      </c>
      <c r="P129" s="46">
        <f t="shared" ca="1" si="4"/>
        <v>2.4316109422557615E-3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input_528010!A$2</f>
        <v>528010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IFERROR(VLOOKUP(B130,input_528010!L:R,7,FALSE),VLOOKUP(tables_528010!C130,input_528010!A:H,8,FALSE))</f>
        <v>272000</v>
      </c>
      <c r="P130" s="46">
        <f t="shared" ref="P130:P193" ca="1" si="7">O130/SUM(O:O)</f>
        <v>4.0526849037596027E-3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input_528010!A$2</f>
        <v>528010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IFERROR(VLOOKUP(B131,input_528010!L:R,7,FALSE),VLOOKUP(tables_528010!C131,input_528010!A:H,8,FALSE))</f>
        <v>24682.307690000001</v>
      </c>
      <c r="P131" s="46">
        <f t="shared" ca="1" si="7"/>
        <v>3.6775594031328149E-4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input_528010!A$2</f>
        <v>528010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IFERROR(VLOOKUP(B132,input_528010!L:R,7,FALSE),VLOOKUP(tables_528010!C132,input_528010!A:H,8,FALSE))</f>
        <v>163200</v>
      </c>
      <c r="P132" s="46">
        <f t="shared" ca="1" si="7"/>
        <v>2.4316109422557615E-3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input_528010!A$2</f>
        <v>528010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IFERROR(VLOOKUP(B133,input_528010!L:R,7,FALSE),VLOOKUP(tables_528010!C133,input_528010!A:H,8,FALSE))</f>
        <v>272000</v>
      </c>
      <c r="P133" s="46">
        <f t="shared" ca="1" si="7"/>
        <v>4.0526849037596027E-3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input_528010!A$2</f>
        <v>528010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IFERROR(VLOOKUP(B134,input_528010!L:R,7,FALSE),VLOOKUP(tables_528010!C134,input_528010!A:H,8,FALSE))</f>
        <v>24682.307690000001</v>
      </c>
      <c r="P134" s="46">
        <f t="shared" ca="1" si="7"/>
        <v>3.6775594031328149E-4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input_528010!A$2</f>
        <v>528010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IFERROR(VLOOKUP(B135,input_528010!L:R,7,FALSE),VLOOKUP(tables_528010!C135,input_528010!A:H,8,FALSE))</f>
        <v>163200</v>
      </c>
      <c r="P135" s="46">
        <f t="shared" ca="1" si="7"/>
        <v>2.4316109422557615E-3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input_528010!A$2</f>
        <v>528010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IFERROR(VLOOKUP(B136,input_528010!L:R,7,FALSE),VLOOKUP(tables_528010!C136,input_528010!A:H,8,FALSE))</f>
        <v>272000</v>
      </c>
      <c r="P136" s="46">
        <f t="shared" ca="1" si="7"/>
        <v>4.0526849037596027E-3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input_528010!A$2</f>
        <v>528010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IFERROR(VLOOKUP(B137,input_528010!L:R,7,FALSE),VLOOKUP(tables_528010!C137,input_528010!A:H,8,FALSE))</f>
        <v>24682.307690000001</v>
      </c>
      <c r="P137" s="46">
        <f t="shared" ca="1" si="7"/>
        <v>3.6775594031328149E-4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input_528010!A$2</f>
        <v>528010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IFERROR(VLOOKUP(B138,input_528010!L:R,7,FALSE),VLOOKUP(tables_528010!C138,input_528010!A:H,8,FALSE))</f>
        <v>22560</v>
      </c>
      <c r="P138" s="46">
        <f t="shared" ca="1" si="7"/>
        <v>3.3613445378241413E-4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input_528010!A$2</f>
        <v>528010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IFERROR(VLOOKUP(B139,input_528010!L:R,7,FALSE),VLOOKUP(tables_528010!C139,input_528010!A:H,8,FALSE))</f>
        <v>5640</v>
      </c>
      <c r="P139" s="46">
        <f t="shared" ca="1" si="7"/>
        <v>8.4033613445603532E-5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input_528010!A$2</f>
        <v>528010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IFERROR(VLOOKUP(B140,input_528010!L:R,7,FALSE),VLOOKUP(tables_528010!C140,input_528010!A:H,8,FALSE))</f>
        <v>22560</v>
      </c>
      <c r="P140" s="46">
        <f t="shared" ca="1" si="7"/>
        <v>3.3613445378241413E-4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input_528010!A$2</f>
        <v>528010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IFERROR(VLOOKUP(B141,input_528010!L:R,7,FALSE),VLOOKUP(tables_528010!C141,input_528010!A:H,8,FALSE))</f>
        <v>5640</v>
      </c>
      <c r="P141" s="46">
        <f t="shared" ca="1" si="7"/>
        <v>8.4033613445603532E-5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input_528010!A$2</f>
        <v>528010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IFERROR(VLOOKUP(B142,input_528010!L:R,7,FALSE),VLOOKUP(tables_528010!C142,input_528010!A:H,8,FALSE))</f>
        <v>22560</v>
      </c>
      <c r="P142" s="46">
        <f t="shared" ca="1" si="7"/>
        <v>3.3613445378241413E-4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input_528010!A$2</f>
        <v>528010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IFERROR(VLOOKUP(B143,input_528010!L:R,7,FALSE),VLOOKUP(tables_528010!C143,input_528010!A:H,8,FALSE))</f>
        <v>5640</v>
      </c>
      <c r="P143" s="46">
        <f t="shared" ca="1" si="7"/>
        <v>8.4033613445603532E-5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input_528010!A$2</f>
        <v>528010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IFERROR(VLOOKUP(B144,input_528010!L:R,7,FALSE),VLOOKUP(tables_528010!C144,input_528010!A:H,8,FALSE))</f>
        <v>22560</v>
      </c>
      <c r="P144" s="46">
        <f t="shared" ca="1" si="7"/>
        <v>3.3613445378241413E-4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input_528010!A$2</f>
        <v>528010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IFERROR(VLOOKUP(B145,input_528010!L:R,7,FALSE),VLOOKUP(tables_528010!C145,input_528010!A:H,8,FALSE))</f>
        <v>5640</v>
      </c>
      <c r="P145" s="46">
        <f t="shared" ca="1" si="7"/>
        <v>8.4033613445603532E-5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input_528010!A$2</f>
        <v>528010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IFERROR(VLOOKUP(B146,input_528010!L:R,7,FALSE),VLOOKUP(tables_528010!C146,input_528010!A:H,8,FALSE))</f>
        <v>163200</v>
      </c>
      <c r="P146" s="46">
        <f t="shared" ca="1" si="7"/>
        <v>2.4316109422557615E-3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input_528010!A$2</f>
        <v>528010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IFERROR(VLOOKUP(B147,input_528010!L:R,7,FALSE),VLOOKUP(tables_528010!C147,input_528010!A:H,8,FALSE))</f>
        <v>272000</v>
      </c>
      <c r="P147" s="46">
        <f t="shared" ca="1" si="7"/>
        <v>4.0526849037596027E-3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input_528010!A$2</f>
        <v>528010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IFERROR(VLOOKUP(B148,input_528010!L:R,7,FALSE),VLOOKUP(tables_528010!C148,input_528010!A:H,8,FALSE))</f>
        <v>24682.307690000001</v>
      </c>
      <c r="P148" s="46">
        <f t="shared" ca="1" si="7"/>
        <v>3.6775594031328149E-4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input_528010!A$2</f>
        <v>528010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IFERROR(VLOOKUP(B149,input_528010!L:R,7,FALSE),VLOOKUP(tables_528010!C149,input_528010!A:H,8,FALSE))</f>
        <v>22560</v>
      </c>
      <c r="P149" s="46">
        <f t="shared" ca="1" si="7"/>
        <v>3.3613445378241413E-4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input_528010!A$2</f>
        <v>528010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IFERROR(VLOOKUP(B150,input_528010!L:R,7,FALSE),VLOOKUP(tables_528010!C150,input_528010!A:H,8,FALSE))</f>
        <v>5640</v>
      </c>
      <c r="P150" s="46">
        <f t="shared" ca="1" si="7"/>
        <v>8.4033613445603532E-5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input_528010!A$2</f>
        <v>528010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IFERROR(VLOOKUP(B151,input_528010!L:R,7,FALSE),VLOOKUP(tables_528010!C151,input_528010!A:H,8,FALSE))</f>
        <v>22560</v>
      </c>
      <c r="P151" s="46">
        <f t="shared" ca="1" si="7"/>
        <v>3.3613445378241413E-4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input_528010!A$2</f>
        <v>528010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IFERROR(VLOOKUP(B152,input_528010!L:R,7,FALSE),VLOOKUP(tables_528010!C152,input_528010!A:H,8,FALSE))</f>
        <v>5640</v>
      </c>
      <c r="P152" s="46">
        <f t="shared" ca="1" si="7"/>
        <v>8.4033613445603532E-5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input_528010!A$2</f>
        <v>528010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IFERROR(VLOOKUP(B153,input_528010!L:R,7,FALSE),VLOOKUP(tables_528010!C153,input_528010!A:H,8,FALSE))</f>
        <v>163200</v>
      </c>
      <c r="P153" s="46">
        <f t="shared" ca="1" si="7"/>
        <v>2.4316109422557615E-3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input_528010!A$2</f>
        <v>528010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IFERROR(VLOOKUP(B154,input_528010!L:R,7,FALSE),VLOOKUP(tables_528010!C154,input_528010!A:H,8,FALSE))</f>
        <v>272000</v>
      </c>
      <c r="P154" s="46">
        <f t="shared" ca="1" si="7"/>
        <v>4.0526849037596027E-3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input_528010!A$2</f>
        <v>528010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IFERROR(VLOOKUP(B155,input_528010!L:R,7,FALSE),VLOOKUP(tables_528010!C155,input_528010!A:H,8,FALSE))</f>
        <v>24682.307690000001</v>
      </c>
      <c r="P155" s="46">
        <f t="shared" ca="1" si="7"/>
        <v>3.6775594031328149E-4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input_528010!A$2</f>
        <v>528010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IFERROR(VLOOKUP(B156,input_528010!L:R,7,FALSE),VLOOKUP(tables_528010!C156,input_528010!A:H,8,FALSE))</f>
        <v>22560</v>
      </c>
      <c r="P156" s="46">
        <f t="shared" ca="1" si="7"/>
        <v>3.3613445378241413E-4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input_528010!A$2</f>
        <v>528010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IFERROR(VLOOKUP(B157,input_528010!L:R,7,FALSE),VLOOKUP(tables_528010!C157,input_528010!A:H,8,FALSE))</f>
        <v>5640</v>
      </c>
      <c r="P157" s="46">
        <f t="shared" ca="1" si="7"/>
        <v>8.4033613445603532E-5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input_528010!A$2</f>
        <v>528010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IFERROR(VLOOKUP(B158,input_528010!L:R,7,FALSE),VLOOKUP(tables_528010!C158,input_528010!A:H,8,FALSE))</f>
        <v>163200</v>
      </c>
      <c r="P158" s="46">
        <f t="shared" ca="1" si="7"/>
        <v>2.4316109422557615E-3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input_528010!A$2</f>
        <v>528010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IFERROR(VLOOKUP(B159,input_528010!L:R,7,FALSE),VLOOKUP(tables_528010!C159,input_528010!A:H,8,FALSE))</f>
        <v>272000</v>
      </c>
      <c r="P159" s="46">
        <f t="shared" ca="1" si="7"/>
        <v>4.0526849037596027E-3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input_528010!A$2</f>
        <v>528010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IFERROR(VLOOKUP(B160,input_528010!L:R,7,FALSE),VLOOKUP(tables_528010!C160,input_528010!A:H,8,FALSE))</f>
        <v>24682.307690000001</v>
      </c>
      <c r="P160" s="46">
        <f t="shared" ca="1" si="7"/>
        <v>3.6775594031328149E-4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input_528010!A$2</f>
        <v>528010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IFERROR(VLOOKUP(B161,input_528010!L:R,7,FALSE),VLOOKUP(tables_528010!C161,input_528010!A:H,8,FALSE))</f>
        <v>163200</v>
      </c>
      <c r="P161" s="46">
        <f t="shared" ca="1" si="7"/>
        <v>2.4316109422557615E-3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input_528010!A$2</f>
        <v>528010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IFERROR(VLOOKUP(B162,input_528010!L:R,7,FALSE),VLOOKUP(tables_528010!C162,input_528010!A:H,8,FALSE))</f>
        <v>272000</v>
      </c>
      <c r="P162" s="46">
        <f t="shared" ca="1" si="7"/>
        <v>4.0526849037596027E-3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input_528010!A$2</f>
        <v>528010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IFERROR(VLOOKUP(B163,input_528010!L:R,7,FALSE),VLOOKUP(tables_528010!C163,input_528010!A:H,8,FALSE))</f>
        <v>24682.307690000001</v>
      </c>
      <c r="P163" s="46">
        <f t="shared" ca="1" si="7"/>
        <v>3.6775594031328149E-4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input_528010!A$2</f>
        <v>528010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IFERROR(VLOOKUP(B164,input_528010!L:R,7,FALSE),VLOOKUP(tables_528010!C164,input_528010!A:H,8,FALSE))</f>
        <v>22560</v>
      </c>
      <c r="P164" s="46">
        <f t="shared" ca="1" si="7"/>
        <v>3.3613445378241413E-4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input_528010!A$2</f>
        <v>528010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IFERROR(VLOOKUP(B165,input_528010!L:R,7,FALSE),VLOOKUP(tables_528010!C165,input_528010!A:H,8,FALSE))</f>
        <v>5640</v>
      </c>
      <c r="P165" s="46">
        <f t="shared" ca="1" si="7"/>
        <v>8.4033613445603532E-5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input_528010!A$2</f>
        <v>528010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IFERROR(VLOOKUP(B166,input_528010!L:R,7,FALSE),VLOOKUP(tables_528010!C166,input_528010!A:H,8,FALSE))</f>
        <v>163200</v>
      </c>
      <c r="P166" s="46">
        <f t="shared" ca="1" si="7"/>
        <v>2.4316109422557615E-3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input_528010!A$2</f>
        <v>528010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IFERROR(VLOOKUP(B167,input_528010!L:R,7,FALSE),VLOOKUP(tables_528010!C167,input_528010!A:H,8,FALSE))</f>
        <v>272000</v>
      </c>
      <c r="P167" s="46">
        <f t="shared" ca="1" si="7"/>
        <v>4.0526849037596027E-3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input_528010!A$2</f>
        <v>528010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IFERROR(VLOOKUP(B168,input_528010!L:R,7,FALSE),VLOOKUP(tables_528010!C168,input_528010!A:H,8,FALSE))</f>
        <v>24682.307690000001</v>
      </c>
      <c r="P168" s="46">
        <f t="shared" ca="1" si="7"/>
        <v>3.6775594031328149E-4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input_528010!A$2</f>
        <v>528010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IFERROR(VLOOKUP(B169,input_528010!L:R,7,FALSE),VLOOKUP(tables_528010!C169,input_528010!A:H,8,FALSE))</f>
        <v>22560</v>
      </c>
      <c r="P169" s="46">
        <f t="shared" ca="1" si="7"/>
        <v>3.3613445378241413E-4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input_528010!A$2</f>
        <v>528010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IFERROR(VLOOKUP(B170,input_528010!L:R,7,FALSE),VLOOKUP(tables_528010!C170,input_528010!A:H,8,FALSE))</f>
        <v>5640</v>
      </c>
      <c r="P170" s="46">
        <f t="shared" ca="1" si="7"/>
        <v>8.4033613445603532E-5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input_528010!A$2</f>
        <v>528010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IFERROR(VLOOKUP(B171,input_528010!L:R,7,FALSE),VLOOKUP(tables_528010!C171,input_528010!A:H,8,FALSE))</f>
        <v>163200</v>
      </c>
      <c r="P171" s="46">
        <f t="shared" ca="1" si="7"/>
        <v>2.4316109422557615E-3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input_528010!A$2</f>
        <v>528010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IFERROR(VLOOKUP(B172,input_528010!L:R,7,FALSE),VLOOKUP(tables_528010!C172,input_528010!A:H,8,FALSE))</f>
        <v>272000</v>
      </c>
      <c r="P172" s="46">
        <f t="shared" ca="1" si="7"/>
        <v>4.0526849037596027E-3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input_528010!A$2</f>
        <v>528010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IFERROR(VLOOKUP(B173,input_528010!L:R,7,FALSE),VLOOKUP(tables_528010!C173,input_528010!A:H,8,FALSE))</f>
        <v>24682.307690000001</v>
      </c>
      <c r="P173" s="46">
        <f t="shared" ca="1" si="7"/>
        <v>3.6775594031328149E-4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input_528010!A$2</f>
        <v>528010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IFERROR(VLOOKUP(B174,input_528010!L:R,7,FALSE),VLOOKUP(tables_528010!C174,input_528010!A:H,8,FALSE))</f>
        <v>22560</v>
      </c>
      <c r="P174" s="46">
        <f t="shared" ca="1" si="7"/>
        <v>3.3613445378241413E-4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input_528010!A$2</f>
        <v>528010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IFERROR(VLOOKUP(B175,input_528010!L:R,7,FALSE),VLOOKUP(tables_528010!C175,input_528010!A:H,8,FALSE))</f>
        <v>5640</v>
      </c>
      <c r="P175" s="46">
        <f t="shared" ca="1" si="7"/>
        <v>8.4033613445603532E-5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input_528010!A$2</f>
        <v>528010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IFERROR(VLOOKUP(B176,input_528010!L:R,7,FALSE),VLOOKUP(tables_528010!C176,input_528010!A:H,8,FALSE))</f>
        <v>22560</v>
      </c>
      <c r="P176" s="46">
        <f t="shared" ca="1" si="7"/>
        <v>3.3613445378241413E-4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input_528010!A$2</f>
        <v>528010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IFERROR(VLOOKUP(B177,input_528010!L:R,7,FALSE),VLOOKUP(tables_528010!C177,input_528010!A:H,8,FALSE))</f>
        <v>5640</v>
      </c>
      <c r="P177" s="46">
        <f t="shared" ca="1" si="7"/>
        <v>8.4033613445603532E-5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input_528010!A$2</f>
        <v>528010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IFERROR(VLOOKUP(B178,input_528010!L:R,7,FALSE),VLOOKUP(tables_528010!C178,input_528010!A:H,8,FALSE))</f>
        <v>163200</v>
      </c>
      <c r="P178" s="46">
        <f t="shared" ca="1" si="7"/>
        <v>2.4316109422557615E-3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input_528010!A$2</f>
        <v>528010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IFERROR(VLOOKUP(B179,input_528010!L:R,7,FALSE),VLOOKUP(tables_528010!C179,input_528010!A:H,8,FALSE))</f>
        <v>272000</v>
      </c>
      <c r="P179" s="46">
        <f t="shared" ca="1" si="7"/>
        <v>4.0526849037596027E-3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input_528010!A$2</f>
        <v>528010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IFERROR(VLOOKUP(B180,input_528010!L:R,7,FALSE),VLOOKUP(tables_528010!C180,input_528010!A:H,8,FALSE))</f>
        <v>24682.307690000001</v>
      </c>
      <c r="P180" s="46">
        <f t="shared" ca="1" si="7"/>
        <v>3.6775594031328149E-4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input_528010!A$2</f>
        <v>528010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IFERROR(VLOOKUP(B181,input_528010!L:R,7,FALSE),VLOOKUP(tables_528010!C181,input_528010!A:H,8,FALSE))</f>
        <v>163200</v>
      </c>
      <c r="P181" s="46">
        <f t="shared" ca="1" si="7"/>
        <v>2.4316109422557615E-3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input_528010!A$2</f>
        <v>528010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IFERROR(VLOOKUP(B182,input_528010!L:R,7,FALSE),VLOOKUP(tables_528010!C182,input_528010!A:H,8,FALSE))</f>
        <v>272000</v>
      </c>
      <c r="P182" s="46">
        <f t="shared" ca="1" si="7"/>
        <v>4.0526849037596027E-3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input_528010!A$2</f>
        <v>528010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IFERROR(VLOOKUP(B183,input_528010!L:R,7,FALSE),VLOOKUP(tables_528010!C183,input_528010!A:H,8,FALSE))</f>
        <v>24682.307690000001</v>
      </c>
      <c r="P183" s="46">
        <f t="shared" ca="1" si="7"/>
        <v>3.6775594031328149E-4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input_528010!A$2</f>
        <v>528010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IFERROR(VLOOKUP(B184,input_528010!L:R,7,FALSE),VLOOKUP(tables_528010!C184,input_528010!A:H,8,FALSE))</f>
        <v>22560</v>
      </c>
      <c r="P184" s="46">
        <f t="shared" ca="1" si="7"/>
        <v>3.3613445378241413E-4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input_528010!A$2</f>
        <v>528010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IFERROR(VLOOKUP(B185,input_528010!L:R,7,FALSE),VLOOKUP(tables_528010!C185,input_528010!A:H,8,FALSE))</f>
        <v>5640</v>
      </c>
      <c r="P185" s="46">
        <f t="shared" ca="1" si="7"/>
        <v>8.4033613445603532E-5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input_528010!A$2</f>
        <v>528010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IFERROR(VLOOKUP(B186,input_528010!L:R,7,FALSE),VLOOKUP(tables_528010!C186,input_528010!A:H,8,FALSE))</f>
        <v>163200</v>
      </c>
      <c r="P186" s="46">
        <f t="shared" ca="1" si="7"/>
        <v>2.4316109422557615E-3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input_528010!A$2</f>
        <v>528010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IFERROR(VLOOKUP(B187,input_528010!L:R,7,FALSE),VLOOKUP(tables_528010!C187,input_528010!A:H,8,FALSE))</f>
        <v>272000</v>
      </c>
      <c r="P187" s="46">
        <f t="shared" ca="1" si="7"/>
        <v>4.0526849037596027E-3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input_528010!A$2</f>
        <v>528010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IFERROR(VLOOKUP(B188,input_528010!L:R,7,FALSE),VLOOKUP(tables_528010!C188,input_528010!A:H,8,FALSE))</f>
        <v>24682.307690000001</v>
      </c>
      <c r="P188" s="46">
        <f t="shared" ca="1" si="7"/>
        <v>3.6775594031328149E-4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input_528010!A$2</f>
        <v>528010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IFERROR(VLOOKUP(B189,input_528010!L:R,7,FALSE),VLOOKUP(tables_528010!C189,input_528010!A:H,8,FALSE))</f>
        <v>22560</v>
      </c>
      <c r="P189" s="46">
        <f t="shared" ca="1" si="7"/>
        <v>3.3613445378241413E-4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input_528010!A$2</f>
        <v>528010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IFERROR(VLOOKUP(B190,input_528010!L:R,7,FALSE),VLOOKUP(tables_528010!C190,input_528010!A:H,8,FALSE))</f>
        <v>5640</v>
      </c>
      <c r="P190" s="46">
        <f t="shared" ca="1" si="7"/>
        <v>8.4033613445603532E-5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input_528010!A$2</f>
        <v>528010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IFERROR(VLOOKUP(B191,input_528010!L:R,7,FALSE),VLOOKUP(tables_528010!C191,input_528010!A:H,8,FALSE))</f>
        <v>22560</v>
      </c>
      <c r="P191" s="46">
        <f t="shared" ca="1" si="7"/>
        <v>3.3613445378241413E-4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input_528010!A$2</f>
        <v>528010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IFERROR(VLOOKUP(B192,input_528010!L:R,7,FALSE),VLOOKUP(tables_528010!C192,input_528010!A:H,8,FALSE))</f>
        <v>5640</v>
      </c>
      <c r="P192" s="46">
        <f t="shared" ca="1" si="7"/>
        <v>8.4033613445603532E-5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input_528010!A$2</f>
        <v>528010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IFERROR(VLOOKUP(B193,input_528010!L:R,7,FALSE),VLOOKUP(tables_528010!C193,input_528010!A:H,8,FALSE))</f>
        <v>163200</v>
      </c>
      <c r="P193" s="46">
        <f t="shared" ca="1" si="7"/>
        <v>2.4316109422557615E-3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input_528010!A$2</f>
        <v>528010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IFERROR(VLOOKUP(B194,input_528010!L:R,7,FALSE),VLOOKUP(tables_528010!C194,input_528010!A:H,8,FALSE))</f>
        <v>272000</v>
      </c>
      <c r="P194" s="46">
        <f t="shared" ref="P194:P257" ca="1" si="10">O194/SUM(O:O)</f>
        <v>4.0526849037596027E-3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input_528010!A$2</f>
        <v>528010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IFERROR(VLOOKUP(B195,input_528010!L:R,7,FALSE),VLOOKUP(tables_528010!C195,input_528010!A:H,8,FALSE))</f>
        <v>24682.307690000001</v>
      </c>
      <c r="P195" s="46">
        <f t="shared" ca="1" si="10"/>
        <v>3.6775594031328149E-4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input_528010!A$2</f>
        <v>528010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IFERROR(VLOOKUP(B196,input_528010!L:R,7,FALSE),VLOOKUP(tables_528010!C196,input_528010!A:H,8,FALSE))</f>
        <v>22560</v>
      </c>
      <c r="P196" s="46">
        <f t="shared" ca="1" si="10"/>
        <v>3.3613445378241413E-4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input_528010!A$2</f>
        <v>528010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IFERROR(VLOOKUP(B197,input_528010!L:R,7,FALSE),VLOOKUP(tables_528010!C197,input_528010!A:H,8,FALSE))</f>
        <v>5640</v>
      </c>
      <c r="P197" s="46">
        <f t="shared" ca="1" si="10"/>
        <v>8.4033613445603532E-5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input_528010!A$2</f>
        <v>528010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IFERROR(VLOOKUP(B198,input_528010!L:R,7,FALSE),VLOOKUP(tables_528010!C198,input_528010!A:H,8,FALSE))</f>
        <v>163200</v>
      </c>
      <c r="P198" s="46">
        <f t="shared" ca="1" si="10"/>
        <v>2.4316109422557615E-3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input_528010!A$2</f>
        <v>528010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IFERROR(VLOOKUP(B199,input_528010!L:R,7,FALSE),VLOOKUP(tables_528010!C199,input_528010!A:H,8,FALSE))</f>
        <v>272000</v>
      </c>
      <c r="P199" s="46">
        <f t="shared" ca="1" si="10"/>
        <v>4.0526849037596027E-3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input_528010!A$2</f>
        <v>528010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IFERROR(VLOOKUP(B200,input_528010!L:R,7,FALSE),VLOOKUP(tables_528010!C200,input_528010!A:H,8,FALSE))</f>
        <v>24682.307690000001</v>
      </c>
      <c r="P200" s="46">
        <f t="shared" ca="1" si="10"/>
        <v>3.6775594031328149E-4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input_528010!A$2</f>
        <v>528010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IFERROR(VLOOKUP(B201,input_528010!L:R,7,FALSE),VLOOKUP(tables_528010!C201,input_528010!A:H,8,FALSE))</f>
        <v>22560</v>
      </c>
      <c r="P201" s="46">
        <f t="shared" ca="1" si="10"/>
        <v>3.3613445378241413E-4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input_528010!A$2</f>
        <v>528010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IFERROR(VLOOKUP(B202,input_528010!L:R,7,FALSE),VLOOKUP(tables_528010!C202,input_528010!A:H,8,FALSE))</f>
        <v>5640</v>
      </c>
      <c r="P202" s="46">
        <f t="shared" ca="1" si="10"/>
        <v>8.4033613445603532E-5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input_528010!A$2</f>
        <v>528010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IFERROR(VLOOKUP(B203,input_528010!L:R,7,FALSE),VLOOKUP(tables_528010!C203,input_528010!A:H,8,FALSE))</f>
        <v>163200</v>
      </c>
      <c r="P203" s="46">
        <f t="shared" ca="1" si="10"/>
        <v>2.4316109422557615E-3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input_528010!A$2</f>
        <v>528010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IFERROR(VLOOKUP(B204,input_528010!L:R,7,FALSE),VLOOKUP(tables_528010!C204,input_528010!A:H,8,FALSE))</f>
        <v>272000</v>
      </c>
      <c r="P204" s="46">
        <f t="shared" ca="1" si="10"/>
        <v>4.0526849037596027E-3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input_528010!A$2</f>
        <v>528010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IFERROR(VLOOKUP(B205,input_528010!L:R,7,FALSE),VLOOKUP(tables_528010!C205,input_528010!A:H,8,FALSE))</f>
        <v>24682.307690000001</v>
      </c>
      <c r="P205" s="46">
        <f t="shared" ca="1" si="10"/>
        <v>3.6775594031328149E-4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input_528010!A$2</f>
        <v>528010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IFERROR(VLOOKUP(B206,input_528010!L:R,7,FALSE),VLOOKUP(tables_528010!C206,input_528010!A:H,8,FALSE))</f>
        <v>22560</v>
      </c>
      <c r="P206" s="46">
        <f t="shared" ca="1" si="10"/>
        <v>3.3613445378241413E-4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input_528010!A$2</f>
        <v>528010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IFERROR(VLOOKUP(B207,input_528010!L:R,7,FALSE),VLOOKUP(tables_528010!C207,input_528010!A:H,8,FALSE))</f>
        <v>5640</v>
      </c>
      <c r="P207" s="46">
        <f t="shared" ca="1" si="10"/>
        <v>8.4033613445603532E-5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input_528010!A$2</f>
        <v>528010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IFERROR(VLOOKUP(B208,input_528010!L:R,7,FALSE),VLOOKUP(tables_528010!C208,input_528010!A:H,8,FALSE))</f>
        <v>22560</v>
      </c>
      <c r="P208" s="46">
        <f t="shared" ca="1" si="10"/>
        <v>3.3613445378241413E-4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input_528010!A$2</f>
        <v>528010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IFERROR(VLOOKUP(B209,input_528010!L:R,7,FALSE),VLOOKUP(tables_528010!C209,input_528010!A:H,8,FALSE))</f>
        <v>5640</v>
      </c>
      <c r="P209" s="46">
        <f t="shared" ca="1" si="10"/>
        <v>8.4033613445603532E-5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input_528010!A$2</f>
        <v>528010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IFERROR(VLOOKUP(B210,input_528010!L:R,7,FALSE),VLOOKUP(tables_528010!C210,input_528010!A:H,8,FALSE))</f>
        <v>163200</v>
      </c>
      <c r="P210" s="46">
        <f t="shared" ca="1" si="10"/>
        <v>2.4316109422557615E-3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input_528010!A$2</f>
        <v>528010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IFERROR(VLOOKUP(B211,input_528010!L:R,7,FALSE),VLOOKUP(tables_528010!C211,input_528010!A:H,8,FALSE))</f>
        <v>272000</v>
      </c>
      <c r="P211" s="46">
        <f t="shared" ca="1" si="10"/>
        <v>4.0526849037596027E-3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input_528010!A$2</f>
        <v>528010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IFERROR(VLOOKUP(B212,input_528010!L:R,7,FALSE),VLOOKUP(tables_528010!C212,input_528010!A:H,8,FALSE))</f>
        <v>24682.307690000001</v>
      </c>
      <c r="P212" s="46">
        <f t="shared" ca="1" si="10"/>
        <v>3.6775594031328149E-4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input_528010!A$2</f>
        <v>528010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IFERROR(VLOOKUP(B213,input_528010!L:R,7,FALSE),VLOOKUP(tables_528010!C213,input_528010!A:H,8,FALSE))</f>
        <v>22560</v>
      </c>
      <c r="P213" s="46">
        <f t="shared" ca="1" si="10"/>
        <v>3.3613445378241413E-4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input_528010!A$2</f>
        <v>528010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IFERROR(VLOOKUP(B214,input_528010!L:R,7,FALSE),VLOOKUP(tables_528010!C214,input_528010!A:H,8,FALSE))</f>
        <v>5640</v>
      </c>
      <c r="P214" s="46">
        <f t="shared" ca="1" si="10"/>
        <v>8.4033613445603532E-5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input_528010!A$2</f>
        <v>528010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IFERROR(VLOOKUP(B215,input_528010!L:R,7,FALSE),VLOOKUP(tables_528010!C215,input_528010!A:H,8,FALSE))</f>
        <v>108800</v>
      </c>
      <c r="P215" s="46">
        <f t="shared" ca="1" si="10"/>
        <v>1.6210739615038412E-3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input_528010!A$2</f>
        <v>528010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IFERROR(VLOOKUP(B216,input_528010!L:R,7,FALSE),VLOOKUP(tables_528010!C216,input_528010!A:H,8,FALSE))</f>
        <v>108800</v>
      </c>
      <c r="P216" s="46">
        <f t="shared" ca="1" si="10"/>
        <v>1.6210739615038412E-3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input_528010!A$2</f>
        <v>528010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IFERROR(VLOOKUP(B217,input_528010!L:R,7,FALSE),VLOOKUP(tables_528010!C217,input_528010!A:H,8,FALSE))</f>
        <v>108800</v>
      </c>
      <c r="P217" s="46">
        <f t="shared" ca="1" si="10"/>
        <v>1.6210739615038412E-3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input_528010!A$2</f>
        <v>528010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IFERROR(VLOOKUP(B218,input_528010!L:R,7,FALSE),VLOOKUP(tables_528010!C218,input_528010!A:H,8,FALSE))</f>
        <v>108800</v>
      </c>
      <c r="P218" s="46">
        <f t="shared" ca="1" si="10"/>
        <v>1.6210739615038412E-3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input_528010!A$2</f>
        <v>528010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IFERROR(VLOOKUP(B219,input_528010!L:R,7,FALSE),VLOOKUP(tables_528010!C219,input_528010!A:H,8,FALSE))</f>
        <v>108800</v>
      </c>
      <c r="P219" s="46">
        <f t="shared" ca="1" si="10"/>
        <v>1.6210739615038412E-3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input_528010!A$2</f>
        <v>528010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IFERROR(VLOOKUP(B220,input_528010!L:R,7,FALSE),VLOOKUP(tables_528010!C220,input_528010!A:H,8,FALSE))</f>
        <v>108800</v>
      </c>
      <c r="P220" s="46">
        <f t="shared" ca="1" si="10"/>
        <v>1.6210739615038412E-3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input_528010!A$2</f>
        <v>528010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IFERROR(VLOOKUP(B221,input_528010!L:R,7,FALSE),VLOOKUP(tables_528010!C221,input_528010!A:H,8,FALSE))</f>
        <v>22560</v>
      </c>
      <c r="P221" s="46">
        <f t="shared" ca="1" si="10"/>
        <v>3.3613445378241413E-4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input_528010!A$2</f>
        <v>528010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IFERROR(VLOOKUP(B222,input_528010!L:R,7,FALSE),VLOOKUP(tables_528010!C222,input_528010!A:H,8,FALSE))</f>
        <v>5640</v>
      </c>
      <c r="P222" s="46">
        <f t="shared" ca="1" si="10"/>
        <v>8.4033613445603532E-5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input_528010!A$2</f>
        <v>528010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IFERROR(VLOOKUP(B223,input_528010!L:R,7,FALSE),VLOOKUP(tables_528010!C223,input_528010!A:H,8,FALSE))</f>
        <v>163200</v>
      </c>
      <c r="P223" s="46">
        <f t="shared" ca="1" si="10"/>
        <v>2.4316109422557615E-3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input_528010!A$2</f>
        <v>528010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IFERROR(VLOOKUP(B224,input_528010!L:R,7,FALSE),VLOOKUP(tables_528010!C224,input_528010!A:H,8,FALSE))</f>
        <v>272000</v>
      </c>
      <c r="P224" s="46">
        <f t="shared" ca="1" si="10"/>
        <v>4.0526849037596027E-3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input_528010!A$2</f>
        <v>528010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IFERROR(VLOOKUP(B225,input_528010!L:R,7,FALSE),VLOOKUP(tables_528010!C225,input_528010!A:H,8,FALSE))</f>
        <v>24682.307690000001</v>
      </c>
      <c r="P225" s="46">
        <f t="shared" ca="1" si="10"/>
        <v>3.6775594031328149E-4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input_528010!A$2</f>
        <v>528010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IFERROR(VLOOKUP(B226,input_528010!L:R,7,FALSE),VLOOKUP(tables_528010!C226,input_528010!A:H,8,FALSE))</f>
        <v>163200</v>
      </c>
      <c r="P226" s="46">
        <f t="shared" ca="1" si="10"/>
        <v>2.4316109422557615E-3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input_528010!A$2</f>
        <v>528010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IFERROR(VLOOKUP(B227,input_528010!L:R,7,FALSE),VLOOKUP(tables_528010!C227,input_528010!A:H,8,FALSE))</f>
        <v>272000</v>
      </c>
      <c r="P227" s="46">
        <f t="shared" ca="1" si="10"/>
        <v>4.0526849037596027E-3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input_528010!A$2</f>
        <v>528010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IFERROR(VLOOKUP(B228,input_528010!L:R,7,FALSE),VLOOKUP(tables_528010!C228,input_528010!A:H,8,FALSE))</f>
        <v>24682.307690000001</v>
      </c>
      <c r="P228" s="46">
        <f t="shared" ca="1" si="10"/>
        <v>3.6775594031328149E-4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input_528010!A$2</f>
        <v>528010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IFERROR(VLOOKUP(B229,input_528010!L:R,7,FALSE),VLOOKUP(tables_528010!C229,input_528010!A:H,8,FALSE))</f>
        <v>22560</v>
      </c>
      <c r="P229" s="46">
        <f t="shared" ca="1" si="10"/>
        <v>3.3613445378241413E-4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input_528010!A$2</f>
        <v>528010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IFERROR(VLOOKUP(B230,input_528010!L:R,7,FALSE),VLOOKUP(tables_528010!C230,input_528010!A:H,8,FALSE))</f>
        <v>5640</v>
      </c>
      <c r="P230" s="46">
        <f t="shared" ca="1" si="10"/>
        <v>8.4033613445603532E-5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input_528010!A$2</f>
        <v>528010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IFERROR(VLOOKUP(B231,input_528010!L:R,7,FALSE),VLOOKUP(tables_528010!C231,input_528010!A:H,8,FALSE))</f>
        <v>163200</v>
      </c>
      <c r="P231" s="46">
        <f t="shared" ca="1" si="10"/>
        <v>2.4316109422557615E-3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input_528010!A$2</f>
        <v>528010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IFERROR(VLOOKUP(B232,input_528010!L:R,7,FALSE),VLOOKUP(tables_528010!C232,input_528010!A:H,8,FALSE))</f>
        <v>272000</v>
      </c>
      <c r="P232" s="46">
        <f t="shared" ca="1" si="10"/>
        <v>4.0526849037596027E-3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input_528010!A$2</f>
        <v>528010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IFERROR(VLOOKUP(B233,input_528010!L:R,7,FALSE),VLOOKUP(tables_528010!C233,input_528010!A:H,8,FALSE))</f>
        <v>24682.307690000001</v>
      </c>
      <c r="P233" s="46">
        <f t="shared" ca="1" si="10"/>
        <v>3.6775594031328149E-4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input_528010!A$2</f>
        <v>528010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IFERROR(VLOOKUP(B234,input_528010!L:R,7,FALSE),VLOOKUP(tables_528010!C234,input_528010!A:H,8,FALSE))</f>
        <v>163200</v>
      </c>
      <c r="P234" s="46">
        <f t="shared" ca="1" si="10"/>
        <v>2.4316109422557615E-3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input_528010!A$2</f>
        <v>528010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IFERROR(VLOOKUP(B235,input_528010!L:R,7,FALSE),VLOOKUP(tables_528010!C235,input_528010!A:H,8,FALSE))</f>
        <v>272000</v>
      </c>
      <c r="P235" s="46">
        <f t="shared" ca="1" si="10"/>
        <v>4.0526849037596027E-3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input_528010!A$2</f>
        <v>528010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IFERROR(VLOOKUP(B236,input_528010!L:R,7,FALSE),VLOOKUP(tables_528010!C236,input_528010!A:H,8,FALSE))</f>
        <v>24682.307690000001</v>
      </c>
      <c r="P236" s="46">
        <f t="shared" ca="1" si="10"/>
        <v>3.6775594031328149E-4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input_528010!A$2</f>
        <v>528010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IFERROR(VLOOKUP(B237,input_528010!L:R,7,FALSE),VLOOKUP(tables_528010!C237,input_528010!A:H,8,FALSE))</f>
        <v>22560</v>
      </c>
      <c r="P237" s="46">
        <f t="shared" ca="1" si="10"/>
        <v>3.3613445378241413E-4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input_528010!A$2</f>
        <v>528010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IFERROR(VLOOKUP(B238,input_528010!L:R,7,FALSE),VLOOKUP(tables_528010!C238,input_528010!A:H,8,FALSE))</f>
        <v>5640</v>
      </c>
      <c r="P238" s="46">
        <f t="shared" ca="1" si="10"/>
        <v>8.4033613445603532E-5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input_528010!A$2</f>
        <v>528010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IFERROR(VLOOKUP(B239,input_528010!L:R,7,FALSE),VLOOKUP(tables_528010!C239,input_528010!A:H,8,FALSE))</f>
        <v>163200</v>
      </c>
      <c r="P239" s="46">
        <f t="shared" ca="1" si="10"/>
        <v>2.4316109422557615E-3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input_528010!A$2</f>
        <v>528010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IFERROR(VLOOKUP(B240,input_528010!L:R,7,FALSE),VLOOKUP(tables_528010!C240,input_528010!A:H,8,FALSE))</f>
        <v>272000</v>
      </c>
      <c r="P240" s="46">
        <f t="shared" ca="1" si="10"/>
        <v>4.0526849037596027E-3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input_528010!A$2</f>
        <v>528010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IFERROR(VLOOKUP(B241,input_528010!L:R,7,FALSE),VLOOKUP(tables_528010!C241,input_528010!A:H,8,FALSE))</f>
        <v>24682.307690000001</v>
      </c>
      <c r="P241" s="46">
        <f t="shared" ca="1" si="10"/>
        <v>3.6775594031328149E-4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input_528010!A$2</f>
        <v>528010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IFERROR(VLOOKUP(B242,input_528010!L:R,7,FALSE),VLOOKUP(tables_528010!C242,input_528010!A:H,8,FALSE))</f>
        <v>22560</v>
      </c>
      <c r="P242" s="46">
        <f t="shared" ca="1" si="10"/>
        <v>3.3613445378241413E-4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input_528010!A$2</f>
        <v>528010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IFERROR(VLOOKUP(B243,input_528010!L:R,7,FALSE),VLOOKUP(tables_528010!C243,input_528010!A:H,8,FALSE))</f>
        <v>5640</v>
      </c>
      <c r="P243" s="46">
        <f t="shared" ca="1" si="10"/>
        <v>8.4033613445603532E-5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input_528010!A$2</f>
        <v>528010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IFERROR(VLOOKUP(B244,input_528010!L:R,7,FALSE),VLOOKUP(tables_528010!C244,input_528010!A:H,8,FALSE))</f>
        <v>22560</v>
      </c>
      <c r="P244" s="46">
        <f t="shared" ca="1" si="10"/>
        <v>3.3613445378241413E-4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input_528010!A$2</f>
        <v>528010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IFERROR(VLOOKUP(B245,input_528010!L:R,7,FALSE),VLOOKUP(tables_528010!C245,input_528010!A:H,8,FALSE))</f>
        <v>5640</v>
      </c>
      <c r="P245" s="46">
        <f t="shared" ca="1" si="10"/>
        <v>8.4033613445603532E-5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input_528010!A$2</f>
        <v>528010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IFERROR(VLOOKUP(B246,input_528010!L:R,7,FALSE),VLOOKUP(tables_528010!C246,input_528010!A:H,8,FALSE))</f>
        <v>163200</v>
      </c>
      <c r="P246" s="46">
        <f t="shared" ca="1" si="10"/>
        <v>2.4316109422557615E-3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input_528010!A$2</f>
        <v>528010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IFERROR(VLOOKUP(B247,input_528010!L:R,7,FALSE),VLOOKUP(tables_528010!C247,input_528010!A:H,8,FALSE))</f>
        <v>272000</v>
      </c>
      <c r="P247" s="46">
        <f t="shared" ca="1" si="10"/>
        <v>4.0526849037596027E-3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input_528010!A$2</f>
        <v>528010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IFERROR(VLOOKUP(B248,input_528010!L:R,7,FALSE),VLOOKUP(tables_528010!C248,input_528010!A:H,8,FALSE))</f>
        <v>24682.307690000001</v>
      </c>
      <c r="P248" s="46">
        <f t="shared" ca="1" si="10"/>
        <v>3.6775594031328149E-4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input_528010!A$2</f>
        <v>528010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IFERROR(VLOOKUP(B249,input_528010!L:R,7,FALSE),VLOOKUP(tables_528010!C249,input_528010!A:H,8,FALSE))</f>
        <v>163200</v>
      </c>
      <c r="P249" s="46">
        <f t="shared" ca="1" si="10"/>
        <v>2.4316109422557615E-3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input_528010!A$2</f>
        <v>528010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IFERROR(VLOOKUP(B250,input_528010!L:R,7,FALSE),VLOOKUP(tables_528010!C250,input_528010!A:H,8,FALSE))</f>
        <v>272000</v>
      </c>
      <c r="P250" s="46">
        <f t="shared" ca="1" si="10"/>
        <v>4.0526849037596027E-3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input_528010!A$2</f>
        <v>528010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IFERROR(VLOOKUP(B251,input_528010!L:R,7,FALSE),VLOOKUP(tables_528010!C251,input_528010!A:H,8,FALSE))</f>
        <v>24682.307690000001</v>
      </c>
      <c r="P251" s="46">
        <f t="shared" ca="1" si="10"/>
        <v>3.6775594031328149E-4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input_528010!A$2</f>
        <v>528010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IFERROR(VLOOKUP(B252,input_528010!L:R,7,FALSE),VLOOKUP(tables_528010!C252,input_528010!A:H,8,FALSE))</f>
        <v>163200</v>
      </c>
      <c r="P252" s="46">
        <f t="shared" ca="1" si="10"/>
        <v>2.4316109422557615E-3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input_528010!A$2</f>
        <v>528010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IFERROR(VLOOKUP(B253,input_528010!L:R,7,FALSE),VLOOKUP(tables_528010!C253,input_528010!A:H,8,FALSE))</f>
        <v>272000</v>
      </c>
      <c r="P253" s="46">
        <f t="shared" ca="1" si="10"/>
        <v>4.0526849037596027E-3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input_528010!A$2</f>
        <v>528010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IFERROR(VLOOKUP(B254,input_528010!L:R,7,FALSE),VLOOKUP(tables_528010!C254,input_528010!A:H,8,FALSE))</f>
        <v>24682.307690000001</v>
      </c>
      <c r="P254" s="46">
        <f t="shared" ca="1" si="10"/>
        <v>3.6775594031328149E-4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input_528010!A$2</f>
        <v>528010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IFERROR(VLOOKUP(B255,input_528010!L:R,7,FALSE),VLOOKUP(tables_528010!C255,input_528010!A:H,8,FALSE))</f>
        <v>163200</v>
      </c>
      <c r="P255" s="46">
        <f t="shared" ca="1" si="10"/>
        <v>2.4316109422557615E-3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input_528010!A$2</f>
        <v>528010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IFERROR(VLOOKUP(B256,input_528010!L:R,7,FALSE),VLOOKUP(tables_528010!C256,input_528010!A:H,8,FALSE))</f>
        <v>272000</v>
      </c>
      <c r="P256" s="46">
        <f t="shared" ca="1" si="10"/>
        <v>4.0526849037596027E-3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input_528010!A$2</f>
        <v>528010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IFERROR(VLOOKUP(B257,input_528010!L:R,7,FALSE),VLOOKUP(tables_528010!C257,input_528010!A:H,8,FALSE))</f>
        <v>24682.307690000001</v>
      </c>
      <c r="P257" s="46">
        <f t="shared" ca="1" si="10"/>
        <v>3.6775594031328149E-4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input_528010!A$2</f>
        <v>528010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IFERROR(VLOOKUP(B258,input_528010!L:R,7,FALSE),VLOOKUP(tables_528010!C258,input_528010!A:H,8,FALSE))</f>
        <v>22560</v>
      </c>
      <c r="P258" s="46">
        <f t="shared" ref="P258:P321" ca="1" si="13">O258/SUM(O:O)</f>
        <v>3.3613445378241413E-4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input_528010!A$2</f>
        <v>528010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IFERROR(VLOOKUP(B259,input_528010!L:R,7,FALSE),VLOOKUP(tables_528010!C259,input_528010!A:H,8,FALSE))</f>
        <v>5640</v>
      </c>
      <c r="P259" s="46">
        <f t="shared" ca="1" si="13"/>
        <v>8.4033613445603532E-5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input_528010!A$2</f>
        <v>528010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IFERROR(VLOOKUP(B260,input_528010!L:R,7,FALSE),VLOOKUP(tables_528010!C260,input_528010!A:H,8,FALSE))</f>
        <v>22560</v>
      </c>
      <c r="P260" s="46">
        <f t="shared" ca="1" si="13"/>
        <v>3.3613445378241413E-4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input_528010!A$2</f>
        <v>528010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IFERROR(VLOOKUP(B261,input_528010!L:R,7,FALSE),VLOOKUP(tables_528010!C261,input_528010!A:H,8,FALSE))</f>
        <v>5640</v>
      </c>
      <c r="P261" s="46">
        <f t="shared" ca="1" si="13"/>
        <v>8.4033613445603532E-5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input_528010!A$2</f>
        <v>528010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IFERROR(VLOOKUP(B262,input_528010!L:R,7,FALSE),VLOOKUP(tables_528010!C262,input_528010!A:H,8,FALSE))</f>
        <v>400842.10525999998</v>
      </c>
      <c r="P262" s="46">
        <f t="shared" ca="1" si="13"/>
        <v>5.9723777528618372E-3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input_528010!A$2</f>
        <v>528010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IFERROR(VLOOKUP(B263,input_528010!L:R,7,FALSE),VLOOKUP(tables_528010!C263,input_528010!A:H,8,FALSE))</f>
        <v>108800</v>
      </c>
      <c r="P263" s="46">
        <f t="shared" ca="1" si="13"/>
        <v>1.6210739615038412E-3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input_528010!A$2</f>
        <v>528010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IFERROR(VLOOKUP(B264,input_528010!L:R,7,FALSE),VLOOKUP(tables_528010!C264,input_528010!A:H,8,FALSE))</f>
        <v>400842.10525999998</v>
      </c>
      <c r="P264" s="46">
        <f t="shared" ca="1" si="13"/>
        <v>5.9723777528618372E-3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input_528010!A$2</f>
        <v>528010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IFERROR(VLOOKUP(B265,input_528010!L:R,7,FALSE),VLOOKUP(tables_528010!C265,input_528010!A:H,8,FALSE))</f>
        <v>108800</v>
      </c>
      <c r="P265" s="46">
        <f t="shared" ca="1" si="13"/>
        <v>1.6210739615038412E-3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input_528010!A$2</f>
        <v>528010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IFERROR(VLOOKUP(B266,input_528010!L:R,7,FALSE),VLOOKUP(tables_528010!C266,input_528010!A:H,8,FALSE))</f>
        <v>28200</v>
      </c>
      <c r="P266" s="46">
        <f t="shared" ca="1" si="13"/>
        <v>4.2016806722801765E-4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input_528010!A$2</f>
        <v>528010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IFERROR(VLOOKUP(B267,input_528010!L:R,7,FALSE),VLOOKUP(tables_528010!C267,input_528010!A:H,8,FALSE))</f>
        <v>28200</v>
      </c>
      <c r="P267" s="46">
        <f t="shared" ca="1" si="13"/>
        <v>4.2016806722801765E-4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input_528010!A$2</f>
        <v>528010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IFERROR(VLOOKUP(B268,input_528010!L:R,7,FALSE),VLOOKUP(tables_528010!C268,input_528010!A:H,8,FALSE))</f>
        <v>28200</v>
      </c>
      <c r="P268" s="46">
        <f t="shared" ca="1" si="13"/>
        <v>4.2016806722801765E-4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input_528010!A$2</f>
        <v>528010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IFERROR(VLOOKUP(B269,input_528010!L:R,7,FALSE),VLOOKUP(tables_528010!C269,input_528010!A:H,8,FALSE))</f>
        <v>28200</v>
      </c>
      <c r="P269" s="46">
        <f t="shared" ca="1" si="13"/>
        <v>4.2016806722801765E-4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input_528010!A$2</f>
        <v>528010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IFERROR(VLOOKUP(B270,input_528010!L:R,7,FALSE),VLOOKUP(tables_528010!C270,input_528010!A:H,8,FALSE))</f>
        <v>400842.10525999998</v>
      </c>
      <c r="P270" s="46">
        <f t="shared" ca="1" si="13"/>
        <v>5.9723777528618372E-3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input_528010!A$2</f>
        <v>528010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IFERROR(VLOOKUP(B271,input_528010!L:R,7,FALSE),VLOOKUP(tables_528010!C271,input_528010!A:H,8,FALSE))</f>
        <v>108800</v>
      </c>
      <c r="P271" s="46">
        <f t="shared" ca="1" si="13"/>
        <v>1.6210739615038412E-3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input_528010!A$2</f>
        <v>528010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IFERROR(VLOOKUP(B272,input_528010!L:R,7,FALSE),VLOOKUP(tables_528010!C272,input_528010!A:H,8,FALSE))</f>
        <v>400842.10525999998</v>
      </c>
      <c r="P272" s="46">
        <f t="shared" ca="1" si="13"/>
        <v>5.9723777528618372E-3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input_528010!A$2</f>
        <v>528010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IFERROR(VLOOKUP(B273,input_528010!L:R,7,FALSE),VLOOKUP(tables_528010!C273,input_528010!A:H,8,FALSE))</f>
        <v>108800</v>
      </c>
      <c r="P273" s="46">
        <f t="shared" ca="1" si="13"/>
        <v>1.6210739615038412E-3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input_528010!A$2</f>
        <v>528010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IFERROR(VLOOKUP(B274,input_528010!L:R,7,FALSE),VLOOKUP(tables_528010!C274,input_528010!A:H,8,FALSE))</f>
        <v>22560</v>
      </c>
      <c r="P274" s="46">
        <f t="shared" ca="1" si="13"/>
        <v>3.3613445378241413E-4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input_528010!A$2</f>
        <v>528010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IFERROR(VLOOKUP(B275,input_528010!L:R,7,FALSE),VLOOKUP(tables_528010!C275,input_528010!A:H,8,FALSE))</f>
        <v>5640</v>
      </c>
      <c r="P275" s="46">
        <f t="shared" ca="1" si="13"/>
        <v>8.4033613445603532E-5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input_528010!A$2</f>
        <v>528010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IFERROR(VLOOKUP(B276,input_528010!L:R,7,FALSE),VLOOKUP(tables_528010!C276,input_528010!A:H,8,FALSE))</f>
        <v>22560</v>
      </c>
      <c r="P276" s="46">
        <f t="shared" ca="1" si="13"/>
        <v>3.3613445378241413E-4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input_528010!A$2</f>
        <v>528010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IFERROR(VLOOKUP(B277,input_528010!L:R,7,FALSE),VLOOKUP(tables_528010!C277,input_528010!A:H,8,FALSE))</f>
        <v>5640</v>
      </c>
      <c r="P277" s="46">
        <f t="shared" ca="1" si="13"/>
        <v>8.4033613445603532E-5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input_528010!A$2</f>
        <v>528010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IFERROR(VLOOKUP(B278,input_528010!L:R,7,FALSE),VLOOKUP(tables_528010!C278,input_528010!A:H,8,FALSE))</f>
        <v>163200</v>
      </c>
      <c r="P278" s="46">
        <f t="shared" ca="1" si="13"/>
        <v>2.4316109422557615E-3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input_528010!A$2</f>
        <v>528010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IFERROR(VLOOKUP(B279,input_528010!L:R,7,FALSE),VLOOKUP(tables_528010!C279,input_528010!A:H,8,FALSE))</f>
        <v>272000</v>
      </c>
      <c r="P279" s="46">
        <f t="shared" ca="1" si="13"/>
        <v>4.0526849037596027E-3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input_528010!A$2</f>
        <v>528010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IFERROR(VLOOKUP(B280,input_528010!L:R,7,FALSE),VLOOKUP(tables_528010!C280,input_528010!A:H,8,FALSE))</f>
        <v>24682.307690000001</v>
      </c>
      <c r="P280" s="46">
        <f t="shared" ca="1" si="13"/>
        <v>3.6775594031328149E-4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input_528010!A$2</f>
        <v>528010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IFERROR(VLOOKUP(B281,input_528010!L:R,7,FALSE),VLOOKUP(tables_528010!C281,input_528010!A:H,8,FALSE))</f>
        <v>163200</v>
      </c>
      <c r="P281" s="46">
        <f t="shared" ca="1" si="13"/>
        <v>2.4316109422557615E-3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input_528010!A$2</f>
        <v>528010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IFERROR(VLOOKUP(B282,input_528010!L:R,7,FALSE),VLOOKUP(tables_528010!C282,input_528010!A:H,8,FALSE))</f>
        <v>272000</v>
      </c>
      <c r="P282" s="46">
        <f t="shared" ca="1" si="13"/>
        <v>4.0526849037596027E-3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input_528010!A$2</f>
        <v>528010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IFERROR(VLOOKUP(B283,input_528010!L:R,7,FALSE),VLOOKUP(tables_528010!C283,input_528010!A:H,8,FALSE))</f>
        <v>24682.307690000001</v>
      </c>
      <c r="P283" s="46">
        <f t="shared" ca="1" si="13"/>
        <v>3.6775594031328149E-4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input_528010!A$2</f>
        <v>528010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IFERROR(VLOOKUP(B284,input_528010!L:R,7,FALSE),VLOOKUP(tables_528010!C284,input_528010!A:H,8,FALSE))</f>
        <v>28200</v>
      </c>
      <c r="P284" s="46">
        <f t="shared" ca="1" si="13"/>
        <v>4.2016806722801765E-4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input_528010!A$2</f>
        <v>528010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IFERROR(VLOOKUP(B285,input_528010!L:R,7,FALSE),VLOOKUP(tables_528010!C285,input_528010!A:H,8,FALSE))</f>
        <v>28200</v>
      </c>
      <c r="P285" s="46">
        <f t="shared" ca="1" si="13"/>
        <v>4.2016806722801765E-4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input_528010!A$2</f>
        <v>528010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IFERROR(VLOOKUP(B286,input_528010!L:R,7,FALSE),VLOOKUP(tables_528010!C286,input_528010!A:H,8,FALSE))</f>
        <v>400842.10525999998</v>
      </c>
      <c r="P286" s="46">
        <f t="shared" ca="1" si="13"/>
        <v>5.9723777528618372E-3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input_528010!A$2</f>
        <v>528010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IFERROR(VLOOKUP(B287,input_528010!L:R,7,FALSE),VLOOKUP(tables_528010!C287,input_528010!A:H,8,FALSE))</f>
        <v>108800</v>
      </c>
      <c r="P287" s="46">
        <f t="shared" ca="1" si="13"/>
        <v>1.6210739615038412E-3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input_528010!A$2</f>
        <v>528010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IFERROR(VLOOKUP(B288,input_528010!L:R,7,FALSE),VLOOKUP(tables_528010!C288,input_528010!A:H,8,FALSE))</f>
        <v>400842.10525999998</v>
      </c>
      <c r="P288" s="46">
        <f t="shared" ca="1" si="13"/>
        <v>5.9723777528618372E-3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input_528010!A$2</f>
        <v>528010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IFERROR(VLOOKUP(B289,input_528010!L:R,7,FALSE),VLOOKUP(tables_528010!C289,input_528010!A:H,8,FALSE))</f>
        <v>108800</v>
      </c>
      <c r="P289" s="46">
        <f t="shared" ca="1" si="13"/>
        <v>1.6210739615038412E-3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input_528010!A$2</f>
        <v>528010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IFERROR(VLOOKUP(B290,input_528010!L:R,7,FALSE),VLOOKUP(tables_528010!C290,input_528010!A:H,8,FALSE))</f>
        <v>400842.10525999998</v>
      </c>
      <c r="P290" s="46">
        <f t="shared" ca="1" si="13"/>
        <v>5.9723777528618372E-3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input_528010!A$2</f>
        <v>528010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IFERROR(VLOOKUP(B291,input_528010!L:R,7,FALSE),VLOOKUP(tables_528010!C291,input_528010!A:H,8,FALSE))</f>
        <v>108800</v>
      </c>
      <c r="P291" s="46">
        <f t="shared" ca="1" si="13"/>
        <v>1.6210739615038412E-3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input_528010!A$2</f>
        <v>528010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IFERROR(VLOOKUP(B292,input_528010!L:R,7,FALSE),VLOOKUP(tables_528010!C292,input_528010!A:H,8,FALSE))</f>
        <v>400842.10525999998</v>
      </c>
      <c r="P292" s="46">
        <f t="shared" ca="1" si="13"/>
        <v>5.9723777528618372E-3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input_528010!A$2</f>
        <v>528010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IFERROR(VLOOKUP(B293,input_528010!L:R,7,FALSE),VLOOKUP(tables_528010!C293,input_528010!A:H,8,FALSE))</f>
        <v>108800</v>
      </c>
      <c r="P293" s="46">
        <f t="shared" ca="1" si="13"/>
        <v>1.6210739615038412E-3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input_528010!A$2</f>
        <v>528010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IFERROR(VLOOKUP(B294,input_528010!L:R,7,FALSE),VLOOKUP(tables_528010!C294,input_528010!A:H,8,FALSE))</f>
        <v>28200</v>
      </c>
      <c r="P294" s="46">
        <f t="shared" ca="1" si="13"/>
        <v>4.2016806722801765E-4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input_528010!A$2</f>
        <v>528010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IFERROR(VLOOKUP(B295,input_528010!L:R,7,FALSE),VLOOKUP(tables_528010!C295,input_528010!A:H,8,FALSE))</f>
        <v>28200</v>
      </c>
      <c r="P295" s="46">
        <f t="shared" ca="1" si="13"/>
        <v>4.2016806722801765E-4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input_528010!A$2</f>
        <v>528010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IFERROR(VLOOKUP(B296,input_528010!L:R,7,FALSE),VLOOKUP(tables_528010!C296,input_528010!A:H,8,FALSE))</f>
        <v>28200</v>
      </c>
      <c r="P296" s="46">
        <f t="shared" ca="1" si="13"/>
        <v>4.2016806722801765E-4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input_528010!A$2</f>
        <v>528010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IFERROR(VLOOKUP(B297,input_528010!L:R,7,FALSE),VLOOKUP(tables_528010!C297,input_528010!A:H,8,FALSE))</f>
        <v>400842.10525999998</v>
      </c>
      <c r="P297" s="46">
        <f t="shared" ca="1" si="13"/>
        <v>5.9723777528618372E-3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input_528010!A$2</f>
        <v>528010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IFERROR(VLOOKUP(B298,input_528010!L:R,7,FALSE),VLOOKUP(tables_528010!C298,input_528010!A:H,8,FALSE))</f>
        <v>108800</v>
      </c>
      <c r="P298" s="46">
        <f t="shared" ca="1" si="13"/>
        <v>1.6210739615038412E-3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input_528010!A$2</f>
        <v>528010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IFERROR(VLOOKUP(B299,input_528010!L:R,7,FALSE),VLOOKUP(tables_528010!C299,input_528010!A:H,8,FALSE))</f>
        <v>28200</v>
      </c>
      <c r="P299" s="46">
        <f t="shared" ca="1" si="13"/>
        <v>4.2016806722801765E-4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input_528010!A$2</f>
        <v>528010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IFERROR(VLOOKUP(B300,input_528010!L:R,7,FALSE),VLOOKUP(tables_528010!C300,input_528010!A:H,8,FALSE))</f>
        <v>28200</v>
      </c>
      <c r="P300" s="46">
        <f t="shared" ca="1" si="13"/>
        <v>4.2016806722801765E-4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input_528010!A$2</f>
        <v>528010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IFERROR(VLOOKUP(B301,input_528010!L:R,7,FALSE),VLOOKUP(tables_528010!C301,input_528010!A:H,8,FALSE))</f>
        <v>28200</v>
      </c>
      <c r="P301" s="46">
        <f t="shared" ca="1" si="13"/>
        <v>4.2016806722801765E-4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input_528010!A$2</f>
        <v>528010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IFERROR(VLOOKUP(B302,input_528010!L:R,7,FALSE),VLOOKUP(tables_528010!C302,input_528010!A:H,8,FALSE))</f>
        <v>28200</v>
      </c>
      <c r="P302" s="46">
        <f t="shared" ca="1" si="13"/>
        <v>4.2016806722801765E-4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input_528010!A$2</f>
        <v>528010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IFERROR(VLOOKUP(B303,input_528010!L:R,7,FALSE),VLOOKUP(tables_528010!C303,input_528010!A:H,8,FALSE))</f>
        <v>400842.10525999998</v>
      </c>
      <c r="P303" s="46">
        <f t="shared" ca="1" si="13"/>
        <v>5.9723777528618372E-3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input_528010!A$2</f>
        <v>528010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IFERROR(VLOOKUP(B304,input_528010!L:R,7,FALSE),VLOOKUP(tables_528010!C304,input_528010!A:H,8,FALSE))</f>
        <v>108800</v>
      </c>
      <c r="P304" s="46">
        <f t="shared" ca="1" si="13"/>
        <v>1.6210739615038412E-3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input_528010!A$2</f>
        <v>528010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IFERROR(VLOOKUP(B305,input_528010!L:R,7,FALSE),VLOOKUP(tables_528010!C305,input_528010!A:H,8,FALSE))</f>
        <v>28200</v>
      </c>
      <c r="P305" s="46">
        <f t="shared" ca="1" si="13"/>
        <v>4.2016806722801765E-4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input_528010!A$2</f>
        <v>528010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IFERROR(VLOOKUP(B306,input_528010!L:R,7,FALSE),VLOOKUP(tables_528010!C306,input_528010!A:H,8,FALSE))</f>
        <v>400842.10525999998</v>
      </c>
      <c r="P306" s="46">
        <f t="shared" ca="1" si="13"/>
        <v>5.9723777528618372E-3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input_528010!A$2</f>
        <v>528010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IFERROR(VLOOKUP(B307,input_528010!L:R,7,FALSE),VLOOKUP(tables_528010!C307,input_528010!A:H,8,FALSE))</f>
        <v>108800</v>
      </c>
      <c r="P307" s="46">
        <f t="shared" ca="1" si="13"/>
        <v>1.6210739615038412E-3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input_528010!A$2</f>
        <v>528010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IFERROR(VLOOKUP(B308,input_528010!L:R,7,FALSE),VLOOKUP(tables_528010!C308,input_528010!A:H,8,FALSE))</f>
        <v>28200</v>
      </c>
      <c r="P308" s="46">
        <f t="shared" ca="1" si="13"/>
        <v>4.2016806722801765E-4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input_528010!A$2</f>
        <v>528010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IFERROR(VLOOKUP(B309,input_528010!L:R,7,FALSE),VLOOKUP(tables_528010!C309,input_528010!A:H,8,FALSE))</f>
        <v>28200</v>
      </c>
      <c r="P309" s="46">
        <f t="shared" ca="1" si="13"/>
        <v>4.2016806722801765E-4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input_528010!A$2</f>
        <v>528010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IFERROR(VLOOKUP(B310,input_528010!L:R,7,FALSE),VLOOKUP(tables_528010!C310,input_528010!A:H,8,FALSE))</f>
        <v>28200</v>
      </c>
      <c r="P310" s="46">
        <f t="shared" ca="1" si="13"/>
        <v>4.2016806722801765E-4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input_528010!A$2</f>
        <v>528010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IFERROR(VLOOKUP(B311,input_528010!L:R,7,FALSE),VLOOKUP(tables_528010!C311,input_528010!A:H,8,FALSE))</f>
        <v>400842.10525999998</v>
      </c>
      <c r="P311" s="46">
        <f t="shared" ca="1" si="13"/>
        <v>5.9723777528618372E-3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input_528010!A$2</f>
        <v>528010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IFERROR(VLOOKUP(B312,input_528010!L:R,7,FALSE),VLOOKUP(tables_528010!C312,input_528010!A:H,8,FALSE))</f>
        <v>108800</v>
      </c>
      <c r="P312" s="46">
        <f t="shared" ca="1" si="13"/>
        <v>1.6210739615038412E-3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input_528010!A$2</f>
        <v>528010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IFERROR(VLOOKUP(B313,input_528010!L:R,7,FALSE),VLOOKUP(tables_528010!C313,input_528010!A:H,8,FALSE))</f>
        <v>28200</v>
      </c>
      <c r="P313" s="46">
        <f t="shared" ca="1" si="13"/>
        <v>4.2016806722801765E-4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input_528010!A$2</f>
        <v>528010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IFERROR(VLOOKUP(B314,input_528010!L:R,7,FALSE),VLOOKUP(tables_528010!C314,input_528010!A:H,8,FALSE))</f>
        <v>28200</v>
      </c>
      <c r="P314" s="46">
        <f t="shared" ca="1" si="13"/>
        <v>4.2016806722801765E-4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input_528010!A$2</f>
        <v>528010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IFERROR(VLOOKUP(B315,input_528010!L:R,7,FALSE),VLOOKUP(tables_528010!C315,input_528010!A:H,8,FALSE))</f>
        <v>28200</v>
      </c>
      <c r="P315" s="46">
        <f t="shared" ca="1" si="13"/>
        <v>4.2016806722801765E-4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input_528010!A$2</f>
        <v>528010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IFERROR(VLOOKUP(B316,input_528010!L:R,7,FALSE),VLOOKUP(tables_528010!C316,input_528010!A:H,8,FALSE))</f>
        <v>28200</v>
      </c>
      <c r="P316" s="46">
        <f t="shared" ca="1" si="13"/>
        <v>4.2016806722801765E-4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input_528010!A$2</f>
        <v>528010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IFERROR(VLOOKUP(B317,input_528010!L:R,7,FALSE),VLOOKUP(tables_528010!C317,input_528010!A:H,8,FALSE))</f>
        <v>28200</v>
      </c>
      <c r="P317" s="46">
        <f t="shared" ca="1" si="13"/>
        <v>4.2016806722801765E-4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input_528010!A$2</f>
        <v>528010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IFERROR(VLOOKUP(B318,input_528010!L:R,7,FALSE),VLOOKUP(tables_528010!C318,input_528010!A:H,8,FALSE))</f>
        <v>400842.10525999998</v>
      </c>
      <c r="P318" s="46">
        <f t="shared" ca="1" si="13"/>
        <v>5.9723777528618372E-3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input_528010!A$2</f>
        <v>528010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IFERROR(VLOOKUP(B319,input_528010!L:R,7,FALSE),VLOOKUP(tables_528010!C319,input_528010!A:H,8,FALSE))</f>
        <v>108800</v>
      </c>
      <c r="P319" s="46">
        <f t="shared" ca="1" si="13"/>
        <v>1.6210739615038412E-3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input_528010!A$2</f>
        <v>528010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IFERROR(VLOOKUP(B320,input_528010!L:R,7,FALSE),VLOOKUP(tables_528010!C320,input_528010!A:H,8,FALSE))</f>
        <v>28200</v>
      </c>
      <c r="P320" s="46">
        <f t="shared" ca="1" si="13"/>
        <v>4.2016806722801765E-4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input_528010!A$2</f>
        <v>528010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IFERROR(VLOOKUP(B321,input_528010!L:R,7,FALSE),VLOOKUP(tables_528010!C321,input_528010!A:H,8,FALSE))</f>
        <v>28200</v>
      </c>
      <c r="P321" s="46">
        <f t="shared" ca="1" si="13"/>
        <v>4.2016806722801765E-4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input_528010!A$2</f>
        <v>528010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IFERROR(VLOOKUP(B322,input_528010!L:R,7,FALSE),VLOOKUP(tables_528010!C322,input_528010!A:H,8,FALSE))</f>
        <v>28200</v>
      </c>
      <c r="P322" s="46">
        <f t="shared" ref="P322:P330" ca="1" si="23">O322/SUM(O:O)</f>
        <v>4.2016806722801765E-4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input_528010!A$2</f>
        <v>528010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IFERROR(VLOOKUP(B323,input_528010!L:R,7,FALSE),VLOOKUP(tables_528010!C323,input_528010!A:H,8,FALSE))</f>
        <v>28200</v>
      </c>
      <c r="P323" s="46">
        <f t="shared" ca="1" si="23"/>
        <v>4.2016806722801765E-4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input_528010!A$2</f>
        <v>528010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IFERROR(VLOOKUP(B324,input_528010!L:R,7,FALSE),VLOOKUP(tables_528010!C324,input_528010!A:H,8,FALSE))</f>
        <v>400842.10525999998</v>
      </c>
      <c r="P324" s="46">
        <f t="shared" ca="1" si="23"/>
        <v>5.9723777528618372E-3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input_528010!A$2</f>
        <v>528010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IFERROR(VLOOKUP(B325,input_528010!L:R,7,FALSE),VLOOKUP(tables_528010!C325,input_528010!A:H,8,FALSE))</f>
        <v>108800</v>
      </c>
      <c r="P325" s="46">
        <f t="shared" ca="1" si="23"/>
        <v>1.6210739615038412E-3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input_528010!A$2</f>
        <v>528010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IFERROR(VLOOKUP(B326,input_528010!L:R,7,FALSE),VLOOKUP(tables_528010!C326,input_528010!A:H,8,FALSE))</f>
        <v>400842.10525999998</v>
      </c>
      <c r="P326" s="46">
        <f t="shared" ca="1" si="23"/>
        <v>5.9723777528618372E-3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input_528010!A$2</f>
        <v>528010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IFERROR(VLOOKUP(B327,input_528010!L:R,7,FALSE),VLOOKUP(tables_528010!C327,input_528010!A:H,8,FALSE))</f>
        <v>108800</v>
      </c>
      <c r="P327" s="46">
        <f t="shared" ca="1" si="23"/>
        <v>1.6210739615038412E-3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input_528010!A$2</f>
        <v>528010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IFERROR(VLOOKUP(B328,input_528010!L:R,7,FALSE),VLOOKUP(tables_528010!C328,input_528010!A:H,8,FALSE))</f>
        <v>28200</v>
      </c>
      <c r="P328" s="46">
        <f t="shared" ca="1" si="23"/>
        <v>4.2016806722801765E-4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input_528010!A$2</f>
        <v>528010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IFERROR(VLOOKUP(B329,input_528010!L:R,7,FALSE),VLOOKUP(tables_528010!C329,input_528010!A:H,8,FALSE))</f>
        <v>28200</v>
      </c>
      <c r="P329" s="46">
        <f t="shared" ca="1" si="23"/>
        <v>4.2016806722801765E-4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input_528010!A$2</f>
        <v>528010</v>
      </c>
      <c r="B330" s="2">
        <v>1157</v>
      </c>
      <c r="C330" s="7" t="str">
        <f t="shared" si="25"/>
        <v>PremiumSS5R5only</v>
      </c>
      <c r="D330" s="98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IFERROR(VLOOKUP(B330,input_528010!L:R,7,FALSE),VLOOKUP(tables_528010!C330,input_528010!A:H,8,FALSE))</f>
        <v>28200</v>
      </c>
      <c r="P330" s="46">
        <f t="shared" ca="1" si="23"/>
        <v>4.2016806722801765E-4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input_528010!A$2</f>
        <v>528010</v>
      </c>
      <c r="B331" s="60">
        <v>1214</v>
      </c>
      <c r="C331" s="7" t="str">
        <f t="shared" ref="C331:C335" si="26">D331&amp;J331&amp;E331&amp;F331&amp;G331</f>
        <v>PremiumSS5R5only</v>
      </c>
      <c r="D331" s="98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IFERROR(VLOOKUP(B331,input_528010!L:R,7,FALSE),VLOOKUP(tables_528010!C331,input_528010!A:H,8,FALSE))</f>
        <v>28200</v>
      </c>
      <c r="P331" s="46">
        <f t="shared" ref="P331:P335" ca="1" si="28">O331/SUM(O:O)</f>
        <v>4.2016806722801765E-4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input_528010!A$2</f>
        <v>528010</v>
      </c>
      <c r="B332" s="60">
        <v>1212</v>
      </c>
      <c r="C332" s="7" t="str">
        <f t="shared" si="26"/>
        <v>PremiumSS5R5only</v>
      </c>
      <c r="D332" s="98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IFERROR(VLOOKUP(B332,input_528010!L:R,7,FALSE),VLOOKUP(tables_528010!C332,input_528010!A:H,8,FALSE))</f>
        <v>28200</v>
      </c>
      <c r="P332" s="46">
        <f t="shared" ca="1" si="28"/>
        <v>4.2016806722801765E-4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input_528010!A$2</f>
        <v>528010</v>
      </c>
      <c r="B333" s="60">
        <v>1208</v>
      </c>
      <c r="C333" s="7" t="str">
        <f t="shared" si="26"/>
        <v>PremiumSS5R5only</v>
      </c>
      <c r="D333" s="98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IFERROR(VLOOKUP(B333,input_528010!L:R,7,FALSE),VLOOKUP(tables_528010!C333,input_528010!A:H,8,FALSE))</f>
        <v>28200</v>
      </c>
      <c r="P333" s="46">
        <f t="shared" ca="1" si="28"/>
        <v>4.2016806722801765E-4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input_528010!A$2</f>
        <v>528010</v>
      </c>
      <c r="B334" s="93">
        <v>1210</v>
      </c>
      <c r="C334" s="7" t="str">
        <f t="shared" si="26"/>
        <v>Premium4R3less</v>
      </c>
      <c r="D334" s="98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IFERROR(VLOOKUP(B334,input_528010!L:R,7,FALSE),VLOOKUP(tables_528010!C334,input_528010!A:H,8,FALSE))</f>
        <v>400842.10525999998</v>
      </c>
      <c r="P334" s="46">
        <f t="shared" ca="1" si="28"/>
        <v>5.9723777528618372E-3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input_528010!A$2</f>
        <v>528010</v>
      </c>
      <c r="B335" s="60">
        <v>1211</v>
      </c>
      <c r="C335" s="7" t="str">
        <f t="shared" si="26"/>
        <v>Premium5R3less</v>
      </c>
      <c r="D335" s="98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IFERROR(VLOOKUP(B335,input_528010!L:R,7,FALSE),VLOOKUP(tables_528010!C335,input_528010!A:H,8,FALSE))</f>
        <v>108800</v>
      </c>
      <c r="P335" s="46">
        <f t="shared" ca="1" si="28"/>
        <v>1.6210739615038412E-3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input_528010!A$2</f>
        <v>528010</v>
      </c>
      <c r="B336" s="60">
        <v>1228</v>
      </c>
      <c r="C336" s="7" t="str">
        <f t="shared" ref="C336:C340" si="29">D336&amp;J336&amp;E336&amp;F336&amp;G336</f>
        <v>PremiumSS5R5only</v>
      </c>
      <c r="D336" s="98" t="str">
        <f t="shared" ref="D336:D340" si="3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IFERROR(VLOOKUP(B336,input_528010!L:R,7,FALSE),VLOOKUP(tables_528010!C336,input_528010!A:H,8,FALSE))</f>
        <v>28200</v>
      </c>
      <c r="P336" s="46">
        <f t="shared" ref="P336:P340" ca="1" si="31">O336/SUM(O:O)</f>
        <v>4.2016806722801765E-4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input_528010!A$2</f>
        <v>528010</v>
      </c>
      <c r="B337" s="60">
        <v>1226</v>
      </c>
      <c r="C337" s="7" t="str">
        <f t="shared" si="29"/>
        <v>PremiumSS5R5only</v>
      </c>
      <c r="D337" s="98" t="str">
        <f t="shared" si="3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IFERROR(VLOOKUP(B337,input_528010!L:R,7,FALSE),VLOOKUP(tables_528010!C337,input_528010!A:H,8,FALSE))</f>
        <v>28200</v>
      </c>
      <c r="P337" s="46">
        <f t="shared" ca="1" si="31"/>
        <v>4.2016806722801765E-4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input_528010!A$2</f>
        <v>528010</v>
      </c>
      <c r="B338" s="60">
        <v>1230</v>
      </c>
      <c r="C338" s="7" t="str">
        <f t="shared" si="29"/>
        <v>PremiumSS5R5only</v>
      </c>
      <c r="D338" s="98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IFERROR(VLOOKUP(B338,input_528010!L:R,7,FALSE),VLOOKUP(tables_528010!C338,input_528010!A:H,8,FALSE))</f>
        <v>28200</v>
      </c>
      <c r="P338" s="46">
        <f t="shared" ca="1" si="31"/>
        <v>4.2016806722801765E-4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input_528010!A$2</f>
        <v>528010</v>
      </c>
      <c r="B339" s="93">
        <v>1224</v>
      </c>
      <c r="C339" s="7" t="str">
        <f t="shared" si="29"/>
        <v>Premium4R3less</v>
      </c>
      <c r="D339" s="98" t="str">
        <f t="shared" si="3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IFERROR(VLOOKUP(B339,input_528010!L:R,7,FALSE),VLOOKUP(tables_528010!C339,input_528010!A:H,8,FALSE))</f>
        <v>400842.10525999998</v>
      </c>
      <c r="P339" s="46">
        <f t="shared" ca="1" si="31"/>
        <v>5.9723777528618372E-3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input_528010!A$2</f>
        <v>528010</v>
      </c>
      <c r="B340" s="60">
        <v>1225</v>
      </c>
      <c r="C340" s="7" t="str">
        <f t="shared" si="29"/>
        <v>Premium5R3less</v>
      </c>
      <c r="D340" s="98" t="str">
        <f t="shared" si="3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IFERROR(VLOOKUP(B340,input_528010!L:R,7,FALSE),VLOOKUP(tables_528010!C340,input_528010!A:H,8,FALSE))</f>
        <v>108800</v>
      </c>
      <c r="P340" s="46">
        <f t="shared" ca="1" si="31"/>
        <v>1.6210739615038412E-3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input_528010!A$2</f>
        <v>528010</v>
      </c>
      <c r="B341" s="1">
        <v>1250</v>
      </c>
      <c r="C341" s="7" t="str">
        <f t="shared" ref="C341:C345" si="32">D341&amp;J341&amp;E341&amp;F341&amp;G341</f>
        <v>PremiumSS5R5only</v>
      </c>
      <c r="D341" s="98" t="str">
        <f t="shared" ref="D341:D345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IFERROR(VLOOKUP(B341,input_528010!L:R,7,FALSE),VLOOKUP(tables_528010!C341,input_528010!A:H,8,FALSE))</f>
        <v>28200</v>
      </c>
      <c r="P341" s="46">
        <f t="shared" ref="P341:P345" ca="1" si="34">O341/SUM(O:O)</f>
        <v>4.2016806722801765E-4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input_528010!A$2</f>
        <v>528010</v>
      </c>
      <c r="B342" s="1">
        <v>1244</v>
      </c>
      <c r="C342" s="7" t="str">
        <f t="shared" si="32"/>
        <v>PremiumSS5R5only</v>
      </c>
      <c r="D342" s="98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IFERROR(VLOOKUP(B342,input_528010!L:R,7,FALSE),VLOOKUP(tables_528010!C342,input_528010!A:H,8,FALSE))</f>
        <v>28200</v>
      </c>
      <c r="P342" s="46">
        <f t="shared" ca="1" si="34"/>
        <v>4.2016806722801765E-4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input_528010!A$2</f>
        <v>528010</v>
      </c>
      <c r="B343" s="1">
        <v>1246</v>
      </c>
      <c r="C343" s="7" t="str">
        <f t="shared" si="32"/>
        <v>PremiumSS5R5only</v>
      </c>
      <c r="D343" s="98" t="str">
        <f t="shared" si="3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IFERROR(VLOOKUP(B343,input_528010!L:R,7,FALSE),VLOOKUP(tables_528010!C343,input_528010!A:H,8,FALSE))</f>
        <v>28200</v>
      </c>
      <c r="P343" s="46">
        <f t="shared" ca="1" si="34"/>
        <v>4.2016806722801765E-4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input_528010!A$2</f>
        <v>528010</v>
      </c>
      <c r="B344" s="1">
        <v>1248</v>
      </c>
      <c r="C344" s="7" t="str">
        <f t="shared" si="32"/>
        <v>Premium4R3less</v>
      </c>
      <c r="D344" s="98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IFERROR(VLOOKUP(B344,input_528010!L:R,7,FALSE),VLOOKUP(tables_528010!C344,input_528010!A:H,8,FALSE))</f>
        <v>400842.10525999998</v>
      </c>
      <c r="P344" s="46">
        <f t="shared" ca="1" si="34"/>
        <v>5.9723777528618372E-3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input_528010!A$2</f>
        <v>528010</v>
      </c>
      <c r="B345" s="1">
        <v>1249</v>
      </c>
      <c r="C345" s="7" t="str">
        <f t="shared" si="32"/>
        <v>Premium5R3less</v>
      </c>
      <c r="D345" s="98" t="str">
        <f t="shared" si="3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IFERROR(VLOOKUP(B345,input_528010!L:R,7,FALSE),VLOOKUP(tables_528010!C345,input_528010!A:H,8,FALSE))</f>
        <v>108800</v>
      </c>
      <c r="P345" s="46">
        <f t="shared" ca="1" si="34"/>
        <v>1.6210739615038412E-3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input_528010!A$2</f>
        <v>528010</v>
      </c>
      <c r="B346" s="1">
        <v>1260</v>
      </c>
      <c r="C346" s="7" t="str">
        <f t="shared" ref="C346:C348" si="35">D346&amp;J346&amp;E346&amp;F346&amp;G346</f>
        <v>PremiumSS5R5only</v>
      </c>
      <c r="D346" s="98" t="str">
        <f t="shared" ref="D346:D348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IFERROR(VLOOKUP(B346,input_528010!L:R,7,FALSE),VLOOKUP(tables_528010!C346,input_528010!A:H,8,FALSE))</f>
        <v>28200</v>
      </c>
      <c r="P346" s="46">
        <f t="shared" ref="P346:P348" ca="1" si="37">O346/SUM(O:O)</f>
        <v>4.2016806722801765E-4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input_528010!A$2</f>
        <v>528010</v>
      </c>
      <c r="B347" s="1">
        <v>1262</v>
      </c>
      <c r="C347" s="7" t="str">
        <f t="shared" si="35"/>
        <v>PremiumSS5R5only</v>
      </c>
      <c r="D347" s="98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IFERROR(VLOOKUP(B347,input_528010!L:R,7,FALSE),VLOOKUP(tables_528010!C347,input_528010!A:H,8,FALSE))</f>
        <v>28200</v>
      </c>
      <c r="P347" s="46">
        <f t="shared" ca="1" si="37"/>
        <v>4.2016806722801765E-4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input_528010!A$2</f>
        <v>528010</v>
      </c>
      <c r="B348" s="1">
        <v>1264</v>
      </c>
      <c r="C348" s="7" t="str">
        <f t="shared" si="35"/>
        <v>PremiumSS5R5only</v>
      </c>
      <c r="D348" s="98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IFERROR(VLOOKUP(B348,input_528010!L:R,7,FALSE),VLOOKUP(tables_528010!C348,input_528010!A:H,8,FALSE))</f>
        <v>28200</v>
      </c>
      <c r="P348" s="46">
        <f t="shared" ca="1" si="37"/>
        <v>4.2016806722801765E-4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input_528010!A$2</f>
        <v>528010</v>
      </c>
      <c r="B349" s="1">
        <v>1266</v>
      </c>
      <c r="C349" s="7" t="str">
        <f t="shared" ref="C349" si="38">D349&amp;J349&amp;E349&amp;F349&amp;G349</f>
        <v>Premium4R3less</v>
      </c>
      <c r="D349" s="98" t="str">
        <f t="shared" ref="D349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IFERROR(VLOOKUP(B349,input_528010!L:R,7,FALSE),VLOOKUP(tables_528010!C349,input_528010!A:H,8,FALSE))</f>
        <v>400842.10525999998</v>
      </c>
      <c r="P349" s="46">
        <f t="shared" ref="P349" ca="1" si="40">O349/SUM(O:O)</f>
        <v>5.9723777528618372E-3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input_528010!A$2</f>
        <v>528010</v>
      </c>
      <c r="B350" s="1">
        <v>1267</v>
      </c>
      <c r="C350" s="7" t="str">
        <f t="shared" ref="C350" si="41">D350&amp;J350&amp;E350&amp;F350&amp;G350</f>
        <v>Premium5R3less</v>
      </c>
      <c r="D350" s="98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IFERROR(VLOOKUP(B350,input_528010!L:R,7,FALSE),VLOOKUP(tables_528010!C350,input_528010!A:H,8,FALSE))</f>
        <v>108800</v>
      </c>
      <c r="P350" s="46">
        <f t="shared" ref="P350" ca="1" si="43">O350/SUM(O:O)</f>
        <v>1.6210739615038412E-3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5" t="str">
        <f ca="1">input_528010!A$2</f>
        <v>528010</v>
      </c>
      <c r="B351" s="104">
        <v>1332</v>
      </c>
      <c r="C351" s="5" t="str">
        <f t="shared" ref="C351:C354" si="44">D351&amp;J351&amp;E351&amp;F351&amp;G351</f>
        <v>Premium4R3less</v>
      </c>
      <c r="D351" s="105" t="str">
        <f t="shared" ref="D351:D354" si="45">IF(OR(I351="PremiumSS",I351="PremiumSSw"),"PremiumSS",IF(I351="PremiumSSS",I351,IF(I351="PremiumW",IF(J351=5,"premium",I351),"Premium")))</f>
        <v>Premium</v>
      </c>
      <c r="E351" s="5" t="str">
        <f>IF(COUNTIF('R6追加前'!A:A,B351)=0,IF(OR(I351="PremiumSS",I351="PremiumSSw"),"R5only","R3less"),"")</f>
        <v>R3less</v>
      </c>
      <c r="F351" s="5" t="str">
        <f>IF(COUNTIF('R6開放'!A:A,B351)&gt;0,"R6release","")</f>
        <v/>
      </c>
      <c r="G351" s="5"/>
      <c r="H351" s="5" t="str">
        <f>VLOOKUP(B351,[1]characters!$A:$C,3,FALSE)</f>
        <v>タマヨリヒメ</v>
      </c>
      <c r="I351" s="5" t="str">
        <f>VLOOKUP(B351,[1]characters!$A:$J,10,FALSE)</f>
        <v>PremiumS</v>
      </c>
      <c r="J351" s="5">
        <f>VLOOKUP(B351,[1]characters!$A:$I,9,FALSE)</f>
        <v>4</v>
      </c>
      <c r="K351" s="5" t="str">
        <f>VLOOKUP(B351,[1]characters!$A:$H,8,FALSE)</f>
        <v>green</v>
      </c>
      <c r="L351" s="5" t="str">
        <f>VLOOKUP(B351,[1]characters!$A:$K,11,FALSE)</f>
        <v>heal</v>
      </c>
      <c r="M351" s="5" t="str">
        <f>VLOOKUP(B351,[1]characters!$A:$M,13,FALSE)</f>
        <v>god</v>
      </c>
      <c r="N351" s="5">
        <f>VLOOKUP(B351,[1]characters!$A:$G,7,FALSE)</f>
        <v>0</v>
      </c>
      <c r="O351" s="106">
        <f>IFERROR(VLOOKUP(B351,input_528010!L:R,7,FALSE),VLOOKUP(tables_528010!C351,input_528010!A:H,8,FALSE))</f>
        <v>639200</v>
      </c>
      <c r="P351" s="107">
        <f t="shared" ref="P351:P354" ca="1" si="46">O351/SUM(O:O)</f>
        <v>9.5238095238350667E-3</v>
      </c>
      <c r="Q351" s="108">
        <v>1</v>
      </c>
      <c r="R351" s="108">
        <v>0</v>
      </c>
      <c r="S351" s="108">
        <v>0</v>
      </c>
      <c r="T351" s="108">
        <v>0</v>
      </c>
      <c r="U351" s="108">
        <v>0</v>
      </c>
      <c r="V351" s="108">
        <v>20</v>
      </c>
    </row>
    <row r="352" spans="1:22" ht="21" customHeight="1" x14ac:dyDescent="0.15">
      <c r="A352" s="5" t="str">
        <f ca="1">input_528010!A$2</f>
        <v>528010</v>
      </c>
      <c r="B352" s="104">
        <v>1336</v>
      </c>
      <c r="C352" s="5" t="str">
        <f t="shared" si="44"/>
        <v>PremiumSS5R5only</v>
      </c>
      <c r="D352" s="105" t="str">
        <f t="shared" si="45"/>
        <v>PremiumSS</v>
      </c>
      <c r="E352" s="5" t="str">
        <f>IF(COUNTIF('R6追加前'!A:A,B352)=0,IF(OR(I352="PremiumSS",I352="PremiumSSw"),"R5only","R3less"),"")</f>
        <v>R5only</v>
      </c>
      <c r="F352" s="5" t="str">
        <f>IF(COUNTIF('R6開放'!A:A,B352)&gt;0,"R6release","")</f>
        <v/>
      </c>
      <c r="G352" s="5"/>
      <c r="H352" s="5" t="str">
        <f>VLOOKUP(B352,[1]characters!$A:$C,3,FALSE)</f>
        <v>イザナギ</v>
      </c>
      <c r="I352" s="5" t="str">
        <f>VLOOKUP(B352,[1]characters!$A:$J,10,FALSE)</f>
        <v>PremiumSS</v>
      </c>
      <c r="J352" s="5">
        <f>VLOOKUP(B352,[1]characters!$A:$I,9,FALSE)</f>
        <v>5</v>
      </c>
      <c r="K352" s="5" t="str">
        <f>VLOOKUP(B352,[1]characters!$A:$H,8,FALSE)</f>
        <v>blue</v>
      </c>
      <c r="L352" s="5" t="str">
        <f>VLOOKUP(B352,[1]characters!$A:$K,11,FALSE)</f>
        <v>technical</v>
      </c>
      <c r="M352" s="5" t="str">
        <f>VLOOKUP(B352,[1]characters!$A:$M,13,FALSE)</f>
        <v>god</v>
      </c>
      <c r="N352" s="5">
        <f>VLOOKUP(B352,[1]characters!$A:$G,7,FALSE)</f>
        <v>0</v>
      </c>
      <c r="O352" s="106">
        <f>IFERROR(VLOOKUP(B352,input_528010!L:R,7,FALSE),VLOOKUP(tables_528010!C352,input_528010!A:H,8,FALSE))</f>
        <v>1917600</v>
      </c>
      <c r="P352" s="107">
        <f t="shared" ca="1" si="46"/>
        <v>2.85714285715052E-2</v>
      </c>
      <c r="Q352" s="108">
        <v>1</v>
      </c>
      <c r="R352" s="108">
        <v>0</v>
      </c>
      <c r="S352" s="108">
        <v>0</v>
      </c>
      <c r="T352" s="108">
        <v>0</v>
      </c>
      <c r="U352" s="108">
        <v>0</v>
      </c>
      <c r="V352" s="108">
        <v>5</v>
      </c>
    </row>
    <row r="353" spans="1:22" ht="21" customHeight="1" x14ac:dyDescent="0.15">
      <c r="A353" s="5" t="str">
        <f ca="1">input_528010!A$2</f>
        <v>528010</v>
      </c>
      <c r="B353" s="104">
        <v>1338</v>
      </c>
      <c r="C353" s="5" t="str">
        <f t="shared" si="44"/>
        <v>Premium5R3less</v>
      </c>
      <c r="D353" s="105" t="str">
        <f t="shared" si="45"/>
        <v>Premium</v>
      </c>
      <c r="E353" s="5" t="str">
        <f>IF(COUNTIF('R6追加前'!A:A,B353)=0,IF(OR(I353="PremiumSS",I353="PremiumSSw"),"R5only","R3less"),"")</f>
        <v>R3less</v>
      </c>
      <c r="F353" s="5" t="str">
        <f>IF(COUNTIF('R6開放'!A:A,B353)&gt;0,"R6release","")</f>
        <v/>
      </c>
      <c r="G353" s="5"/>
      <c r="H353" s="5" t="str">
        <f>VLOOKUP(B353,[1]characters!$A:$C,3,FALSE)</f>
        <v>アメノウズメ</v>
      </c>
      <c r="I353" s="5" t="str">
        <f>VLOOKUP(B353,[1]characters!$A:$J,10,FALSE)</f>
        <v>DropWizS</v>
      </c>
      <c r="J353" s="5">
        <f>VLOOKUP(B353,[1]characters!$A:$I,9,FALSE)</f>
        <v>5</v>
      </c>
      <c r="K353" s="5" t="str">
        <f>VLOOKUP(B353,[1]characters!$A:$H,8,FALSE)</f>
        <v>yellow</v>
      </c>
      <c r="L353" s="5" t="str">
        <f>VLOOKUP(B353,[1]characters!$A:$K,11,FALSE)</f>
        <v>attack</v>
      </c>
      <c r="M353" s="5" t="str">
        <f>VLOOKUP(B353,[1]characters!$A:$M,13,FALSE)</f>
        <v>human</v>
      </c>
      <c r="N353" s="5">
        <f>VLOOKUP(B353,[1]characters!$A:$G,7,FALSE)</f>
        <v>0</v>
      </c>
      <c r="O353" s="106">
        <f>IFERROR(VLOOKUP(B353,input_528010!L:R,7,FALSE),VLOOKUP(tables_528010!C353,input_528010!A:H,8,FALSE))</f>
        <v>1917600</v>
      </c>
      <c r="P353" s="107">
        <f t="shared" ca="1" si="46"/>
        <v>2.85714285715052E-2</v>
      </c>
      <c r="Q353" s="108">
        <v>1</v>
      </c>
      <c r="R353" s="108">
        <v>0</v>
      </c>
      <c r="S353" s="108">
        <v>0</v>
      </c>
      <c r="T353" s="108">
        <v>0</v>
      </c>
      <c r="U353" s="108">
        <v>0</v>
      </c>
      <c r="V353" s="108">
        <v>5</v>
      </c>
    </row>
    <row r="354" spans="1:22" ht="21" customHeight="1" x14ac:dyDescent="0.15">
      <c r="A354" s="5" t="str">
        <f ca="1">input_528010!A$2</f>
        <v>528010</v>
      </c>
      <c r="B354" s="104">
        <v>1334</v>
      </c>
      <c r="C354" s="5" t="str">
        <f t="shared" si="44"/>
        <v>PremiumSS5R5only</v>
      </c>
      <c r="D354" s="105" t="str">
        <f t="shared" si="45"/>
        <v>PremiumSS</v>
      </c>
      <c r="E354" s="5" t="str">
        <f>IF(COUNTIF('R6追加前'!A:A,B354)=0,IF(OR(I354="PremiumSS",I354="PremiumSSw"),"R5only","R3less"),"")</f>
        <v>R5only</v>
      </c>
      <c r="F354" s="5" t="str">
        <f>IF(COUNTIF('R6開放'!A:A,B354)&gt;0,"R6release","")</f>
        <v/>
      </c>
      <c r="G354" s="5"/>
      <c r="H354" s="5" t="str">
        <f>VLOOKUP(B354,[1]characters!$A:$C,3,FALSE)</f>
        <v>クシナダヒメ</v>
      </c>
      <c r="I354" s="5" t="str">
        <f>VLOOKUP(B354,[1]characters!$A:$J,10,FALSE)</f>
        <v>PremiumSSw</v>
      </c>
      <c r="J354" s="5">
        <f>VLOOKUP(B354,[1]characters!$A:$I,9,FALSE)</f>
        <v>5</v>
      </c>
      <c r="K354" s="5" t="str">
        <f>VLOOKUP(B354,[1]characters!$A:$H,8,FALSE)</f>
        <v>red</v>
      </c>
      <c r="L354" s="5" t="str">
        <f>VLOOKUP(B354,[1]characters!$A:$K,11,FALSE)</f>
        <v>hp</v>
      </c>
      <c r="M354" s="5" t="str">
        <f>VLOOKUP(B354,[1]characters!$A:$M,13,FALSE)</f>
        <v>god</v>
      </c>
      <c r="N354" s="5">
        <f>VLOOKUP(B354,[1]characters!$A:$G,7,FALSE)</f>
        <v>0</v>
      </c>
      <c r="O354" s="106">
        <f>IFERROR(VLOOKUP(B354,input_528010!L:R,7,FALSE),VLOOKUP(tables_528010!C354,input_528010!A:H,8,FALSE))</f>
        <v>3196000</v>
      </c>
      <c r="P354" s="107">
        <f t="shared" ca="1" si="46"/>
        <v>4.7619047619175334E-2</v>
      </c>
      <c r="Q354" s="108">
        <v>1</v>
      </c>
      <c r="R354" s="108">
        <v>0</v>
      </c>
      <c r="S354" s="108">
        <v>0</v>
      </c>
      <c r="T354" s="108">
        <v>0</v>
      </c>
      <c r="U354" s="108">
        <v>0</v>
      </c>
      <c r="V354" s="108">
        <v>3</v>
      </c>
    </row>
    <row r="355" spans="1:22" ht="21" customHeight="1" x14ac:dyDescent="0.15">
      <c r="A355" s="5" t="str">
        <f ca="1">input_528010!A$2</f>
        <v>528010</v>
      </c>
      <c r="B355" s="104">
        <v>1335</v>
      </c>
      <c r="C355" s="5" t="str">
        <f t="shared" ref="C355" si="47">D355&amp;J355&amp;E355&amp;F355&amp;G355</f>
        <v>PremiumSS6R5only</v>
      </c>
      <c r="D355" s="105" t="str">
        <f t="shared" ref="D355" si="48">IF(OR(I355="PremiumSS",I355="PremiumSSw"),"PremiumSS",IF(I355="PremiumSSS",I355,IF(I355="PremiumW",IF(J355=5,"premium",I355),"Premium")))</f>
        <v>PremiumSS</v>
      </c>
      <c r="E355" s="5" t="str">
        <f>IF(COUNTIF('R6追加前'!A:A,B355)=0,IF(OR(I355="PremiumSS",I355="PremiumSSw"),"R5only","R3less"),"")</f>
        <v>R5only</v>
      </c>
      <c r="F355" s="5" t="str">
        <f>IF(COUNTIF('R6開放'!A:A,B355)&gt;0,"R6release","")</f>
        <v/>
      </c>
      <c r="G355" s="5"/>
      <c r="H355" s="5" t="str">
        <f>VLOOKUP(B355,[1]characters!$A:$C,3,FALSE)</f>
        <v>神心を射る穂神 クシナダヒメ</v>
      </c>
      <c r="I355" s="5" t="str">
        <f>VLOOKUP(B355,[1]characters!$A:$J,10,FALSE)</f>
        <v>PremiumSSw</v>
      </c>
      <c r="J355" s="5">
        <f>VLOOKUP(B355,[1]characters!$A:$I,9,FALSE)</f>
        <v>6</v>
      </c>
      <c r="K355" s="5" t="str">
        <f>VLOOKUP(B355,[1]characters!$A:$H,8,FALSE)</f>
        <v>red</v>
      </c>
      <c r="L355" s="5" t="str">
        <f>VLOOKUP(B355,[1]characters!$A:$K,11,FALSE)</f>
        <v>hp</v>
      </c>
      <c r="M355" s="5" t="str">
        <f>VLOOKUP(B355,[1]characters!$A:$M,13,FALSE)</f>
        <v>god</v>
      </c>
      <c r="N355" s="5">
        <f>VLOOKUP(B355,[1]characters!$A:$G,7,FALSE)</f>
        <v>0</v>
      </c>
      <c r="O355" s="106">
        <f>IFERROR(VLOOKUP(B355,input_528010!L:R,7,FALSE),VLOOKUP(tables_528010!C355,input_528010!A:H,8,FALSE))</f>
        <v>3196000</v>
      </c>
      <c r="P355" s="107">
        <f t="shared" ref="P355" ca="1" si="49">O355/SUM(O:O)</f>
        <v>4.7619047619175334E-2</v>
      </c>
      <c r="Q355" s="108">
        <v>1</v>
      </c>
      <c r="R355" s="108">
        <v>0</v>
      </c>
      <c r="S355" s="108">
        <v>0</v>
      </c>
      <c r="T355" s="108">
        <v>0</v>
      </c>
      <c r="U355" s="108">
        <v>0</v>
      </c>
      <c r="V355" s="108">
        <v>3</v>
      </c>
    </row>
  </sheetData>
  <autoFilter ref="A1:V35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6" sqref="L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1332</v>
      </c>
      <c r="M3" s="37" t="str">
        <f>VLOOKUP(L3,[1]characters!$A:$C,3,FALSE)</f>
        <v>タマヨリヒメ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VLOOKUP(L3,tables_528100!B:C,2,FALSE)</f>
        <v>Premium4R3less</v>
      </c>
      <c r="R3" s="62">
        <f t="shared" ref="R3:R20" si="1">N3*A$36</f>
        <v>639200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1336</v>
      </c>
      <c r="M4" s="37" t="str">
        <f>VLOOKUP(L4,[1]characters!$A:$C,3,FALSE)</f>
        <v>イザナギ</v>
      </c>
      <c r="N4" s="63">
        <v>0.03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VLOOKUP(L4,tables_528100!B:C,2,FALSE)</f>
        <v>PremiumSS5R5only</v>
      </c>
      <c r="R4" s="62">
        <f t="shared" si="1"/>
        <v>1917600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4.4117647058823526E-4</v>
      </c>
      <c r="F5">
        <f>(COUNTIF(tables_528100!C:C,input_528100!A28)+COUNTIF(tables_528100!C:C,input_528100!A29))</f>
        <v>71</v>
      </c>
      <c r="H5" s="84">
        <v>7.0000000000000007E-2</v>
      </c>
      <c r="I5" s="31">
        <v>3</v>
      </c>
      <c r="L5" s="1">
        <v>1338</v>
      </c>
      <c r="M5" s="37" t="str">
        <f>VLOOKUP(L5,[1]characters!$A:$C,3,FALSE)</f>
        <v>アメノウズメ</v>
      </c>
      <c r="N5" s="63">
        <v>0.03</v>
      </c>
      <c r="O5" s="37">
        <f>VLOOKUP(L5,[1]characters!$A:$I,9,FALSE)</f>
        <v>5</v>
      </c>
      <c r="P5" s="37" t="str">
        <f>VLOOKUP(L5,[1]characters!$A:$J,10,FALSE)</f>
        <v>DropWizS</v>
      </c>
      <c r="Q5" s="37" t="str">
        <f>VLOOKUP(L5,tables_528100!B:C,2,FALSE)</f>
        <v>Premium5R3less</v>
      </c>
      <c r="R5" s="62">
        <f t="shared" si="1"/>
        <v>1917600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</v>
      </c>
      <c r="D6" t="s">
        <v>202</v>
      </c>
      <c r="E6" s="76">
        <f>(B10-H6)/(F6-I6)</f>
        <v>8.5106382978723406E-3</v>
      </c>
      <c r="F6">
        <f>(COUNTIF(tables_528100!C:C,input_528100!A25)+COUNTIF(tables_528100!C:C,input_528100!A18)+COUNTIF(tables_528100!C:C,input_528100!A20)+COUNTIF(tables_528100!C:C,input_528100!A22))</f>
        <v>96</v>
      </c>
      <c r="H6" s="89">
        <v>0.1</v>
      </c>
      <c r="I6" s="31">
        <v>2</v>
      </c>
      <c r="L6" s="1">
        <v>1334</v>
      </c>
      <c r="M6" s="37" t="str">
        <f>VLOOKUP(L6,[1]characters!$A:$C,3,FALSE)</f>
        <v>クシナダヒメ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PremiumSSw</v>
      </c>
      <c r="Q6" s="37" t="str">
        <f>VLOOKUP(L6,tables_528100!B:C,2,FALSE)</f>
        <v>PremiumSS5R5only</v>
      </c>
      <c r="R6" s="62">
        <f t="shared" si="1"/>
        <v>3196000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1">
        <v>1335</v>
      </c>
      <c r="M7" s="37" t="str">
        <f>VLOOKUP(L7,[1]characters!$A:$C,3,FALSE)</f>
        <v>神心を射る穂神 クシナダヒメ</v>
      </c>
      <c r="N7" s="63">
        <v>0.05</v>
      </c>
      <c r="O7" s="37">
        <f>VLOOKUP(L7,[1]characters!$A:$I,9,FALSE)</f>
        <v>6</v>
      </c>
      <c r="P7" s="37" t="str">
        <f>VLOOKUP(L7,[1]characters!$A:$J,10,FALSE)</f>
        <v>PremiumSSw</v>
      </c>
      <c r="Q7" s="37" t="str">
        <f>VLOOKUP(L7,tables_528100!B:C,2,FALSE)</f>
        <v>PremiumSS6R5only</v>
      </c>
      <c r="R7" s="62">
        <f t="shared" si="1"/>
        <v>3196000</v>
      </c>
      <c r="S7">
        <v>597</v>
      </c>
      <c r="U7" s="33" t="s">
        <v>196</v>
      </c>
      <c r="V7" s="54">
        <f t="shared" si="0"/>
        <v>0.01</v>
      </c>
    </row>
    <row r="8" spans="1:22" x14ac:dyDescent="0.15">
      <c r="A8" s="57"/>
      <c r="B8" s="71"/>
      <c r="E8" s="76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0.03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0.08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COUNTIF(tables_528100!C:C,input_528100!A17)-COUNTIF(Q:Q,A17)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0.27969211514392989</v>
      </c>
      <c r="C18" s="85">
        <f t="shared" si="2"/>
        <v>0</v>
      </c>
      <c r="D18" s="74">
        <f t="shared" si="3"/>
        <v>0.27969211514392989</v>
      </c>
      <c r="E18">
        <f>COUNTIF(tables_528100!C:C,input_528100!A18)-COUNTIF(Q:Q,A18)</f>
        <v>20</v>
      </c>
      <c r="F18" s="43">
        <f>IFERROR(B18/E18,0)</f>
        <v>1.3984605757196494E-2</v>
      </c>
      <c r="G18">
        <f t="shared" si="4"/>
        <v>17877920</v>
      </c>
      <c r="H18">
        <f t="shared" si="5"/>
        <v>893896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COUNTIF(tables_528100!C:C,input_528100!A19)-COUNTIF(Q:Q,A19)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0.35404255319148942</v>
      </c>
      <c r="C20" s="85">
        <f t="shared" si="2"/>
        <v>0</v>
      </c>
      <c r="D20" s="74">
        <f t="shared" si="3"/>
        <v>0.35404255319148942</v>
      </c>
      <c r="E20">
        <f>COUNTIF(tables_528100!C:C,input_528100!A20)-COUNTIF(Q:Q,A20)</f>
        <v>52</v>
      </c>
      <c r="F20" s="43">
        <f t="shared" si="8"/>
        <v>6.8085106382978731E-3</v>
      </c>
      <c r="G20">
        <f t="shared" si="4"/>
        <v>22630400.000000004</v>
      </c>
      <c r="H20">
        <f t="shared" si="5"/>
        <v>435200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2.0079474342928658E-2</v>
      </c>
      <c r="C21" s="85">
        <f t="shared" si="2"/>
        <v>0</v>
      </c>
      <c r="D21" s="74">
        <f t="shared" si="3"/>
        <v>2.0079474342928658E-2</v>
      </c>
      <c r="E21">
        <f>COUNTIF(tables_528100!C:C,input_528100!A21)-COUNTIF(Q:Q,A21)</f>
        <v>52</v>
      </c>
      <c r="F21" s="43">
        <f t="shared" si="8"/>
        <v>3.8614373736401266E-4</v>
      </c>
      <c r="G21">
        <f t="shared" si="4"/>
        <v>1283479.9999999998</v>
      </c>
      <c r="H21">
        <f t="shared" si="5"/>
        <v>24682.307690000001</v>
      </c>
      <c r="I21">
        <f t="shared" si="6"/>
        <v>0.30769000000145752</v>
      </c>
      <c r="J21">
        <f t="shared" si="7"/>
        <v>3.2500243751674187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0.11914893617021277</v>
      </c>
      <c r="C22" s="85">
        <f t="shared" si="2"/>
        <v>0.01</v>
      </c>
      <c r="D22" s="74">
        <f t="shared" si="3"/>
        <v>0.10914893617021278</v>
      </c>
      <c r="E22">
        <f>COUNTIF(tables_528100!C:C,input_528100!A22)-COUNTIF(Q:Q,A22)</f>
        <v>19</v>
      </c>
      <c r="F22" s="43">
        <f t="shared" si="8"/>
        <v>6.2709966405375146E-3</v>
      </c>
      <c r="G22">
        <f t="shared" si="4"/>
        <v>7616000</v>
      </c>
      <c r="H22">
        <f t="shared" si="5"/>
        <v>400842.10525999998</v>
      </c>
      <c r="I22">
        <f t="shared" si="6"/>
        <v>0.10525999998208135</v>
      </c>
      <c r="J22">
        <f t="shared" si="7"/>
        <v>9.5002850101675111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4.2553191489361708E-2</v>
      </c>
      <c r="C23" s="85">
        <f t="shared" si="2"/>
        <v>0.03</v>
      </c>
      <c r="D23" s="74">
        <f t="shared" si="3"/>
        <v>1.2553191489361709E-2</v>
      </c>
      <c r="E23">
        <f>COUNTIF(tables_528100!C:C,input_528100!A23)-COUNTIF(Q:Q,A23)</f>
        <v>25</v>
      </c>
      <c r="F23" s="43">
        <f t="shared" si="8"/>
        <v>1.7021276595744683E-3</v>
      </c>
      <c r="G23">
        <f t="shared" si="4"/>
        <v>2720000.0000000005</v>
      </c>
      <c r="H23">
        <f t="shared" si="5"/>
        <v>108800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COUNTIF(tables_528100!C:C,input_528100!A24)-COUNTIF(Q:Q,A24)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2.7234042553191493E-2</v>
      </c>
      <c r="C25" s="85">
        <f t="shared" si="2"/>
        <v>0</v>
      </c>
      <c r="D25" s="74">
        <f t="shared" si="3"/>
        <v>2.7234042553191493E-2</v>
      </c>
      <c r="E25">
        <f>COUNTIF(tables_528100!C:C,input_528100!A25)-COUNTIF(Q:Q,A25)</f>
        <v>4</v>
      </c>
      <c r="F25" s="43">
        <f t="shared" si="8"/>
        <v>6.8085106382978731E-3</v>
      </c>
      <c r="G25">
        <f t="shared" si="4"/>
        <v>1740800.0000000002</v>
      </c>
      <c r="H25">
        <f t="shared" si="5"/>
        <v>435200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6.8085106382978731E-3</v>
      </c>
      <c r="C26" s="85">
        <f t="shared" si="2"/>
        <v>0</v>
      </c>
      <c r="D26" s="74">
        <f t="shared" si="3"/>
        <v>6.8085106382978731E-3</v>
      </c>
      <c r="E26">
        <f>COUNTIF(tables_528100!C:C,input_528100!A26)-COUNTIF(Q:Q,A26)</f>
        <v>4</v>
      </c>
      <c r="F26" s="43">
        <f t="shared" si="8"/>
        <v>1.7021276595744683E-3</v>
      </c>
      <c r="G26">
        <f t="shared" si="4"/>
        <v>435200.00000000006</v>
      </c>
      <c r="H26">
        <f t="shared" si="5"/>
        <v>108800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9.8823529411764706E-3</v>
      </c>
      <c r="C27" s="85">
        <f t="shared" si="2"/>
        <v>0</v>
      </c>
      <c r="D27" s="74">
        <f t="shared" si="3"/>
        <v>9.8823529411764706E-3</v>
      </c>
      <c r="E27">
        <f>COUNTIF(tables_528100!C:C,input_528100!A27)-COUNTIF(Q:Q,A27)</f>
        <v>28</v>
      </c>
      <c r="F27" s="43">
        <f>IFERROR(B27/E27,0)</f>
        <v>3.5294117647058826E-4</v>
      </c>
      <c r="G27">
        <f t="shared" si="4"/>
        <v>631680</v>
      </c>
      <c r="H27">
        <f t="shared" si="5"/>
        <v>22560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2.4705882352941176E-3</v>
      </c>
      <c r="C28" s="85">
        <f t="shared" si="2"/>
        <v>0</v>
      </c>
      <c r="D28" s="74">
        <f t="shared" si="3"/>
        <v>2.4705882352941176E-3</v>
      </c>
      <c r="E28">
        <f>COUNTIF(tables_528100!C:C,input_528100!A28)-COUNTIF(Q:Q,A28)</f>
        <v>28</v>
      </c>
      <c r="F28" s="43">
        <f t="shared" si="8"/>
        <v>8.8235294117647065E-5</v>
      </c>
      <c r="G28">
        <f t="shared" si="4"/>
        <v>157920</v>
      </c>
      <c r="H28">
        <f t="shared" si="5"/>
        <v>5640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1.8088235294117645E-2</v>
      </c>
      <c r="C29" s="85">
        <f t="shared" si="2"/>
        <v>0.08</v>
      </c>
      <c r="D29" s="74">
        <f t="shared" si="3"/>
        <v>-6.1911764705882361E-2</v>
      </c>
      <c r="E29">
        <f>COUNTIF(tables_528100!C:C,input_528100!A29)-COUNTIF(Q:Q,A29)</f>
        <v>41</v>
      </c>
      <c r="F29" s="43">
        <f t="shared" si="8"/>
        <v>4.4117647058823526E-4</v>
      </c>
      <c r="G29">
        <f t="shared" si="4"/>
        <v>1156199.9999999998</v>
      </c>
      <c r="H29">
        <f t="shared" si="5"/>
        <v>28200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COUNTIF(tables_528100!C:C,input_528100!A30)-COUNTIF(Q:Q,A30)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COUNTIF(tables_528100!C:C,input_528100!A31)-COUNTIF(Q:Q,A31)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0.88</v>
      </c>
      <c r="C32" s="41">
        <f>SUM(C19:C31)</f>
        <v>0.12</v>
      </c>
      <c r="D32" s="42">
        <f t="shared" si="3"/>
        <v>0.76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63920000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SUMIF(tables_528100!C:C,input_528100!A40,tables_528100!O:O)</f>
        <v>0</v>
      </c>
      <c r="C40" s="54">
        <f t="shared" ref="C40:C46" ca="1" si="9">B40/B$47</f>
        <v>0</v>
      </c>
      <c r="E40">
        <v>3</v>
      </c>
      <c r="F40">
        <f ca="1">SUMIF(tables_528100!J:J,input_528100!E40,tables_528100!O:O)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SUMIF(tables_528100!C:C,input_528100!A41,tables_528100!O:O)</f>
        <v>22630400</v>
      </c>
      <c r="C41" s="54">
        <f t="shared" ca="1" si="9"/>
        <v>0.91608145897298388</v>
      </c>
      <c r="E41">
        <v>4</v>
      </c>
      <c r="F41">
        <f ca="1">SUMIF(tables_528100!J:J,input_528100!E41,tables_528100!O:O)</f>
        <v>51135999.999939993</v>
      </c>
      <c r="G41">
        <f ca="1">F41/A36</f>
        <v>0.79999999999906124</v>
      </c>
    </row>
    <row r="42" spans="1:7" x14ac:dyDescent="0.15">
      <c r="A42" s="33" t="s">
        <v>106</v>
      </c>
      <c r="B42">
        <f ca="1">SUMIF(tables_528100!C:C,input_528100!A42,tables_528100!O:O)</f>
        <v>631680</v>
      </c>
      <c r="C42" s="54">
        <f t="shared" ca="1" si="9"/>
        <v>2.5570486425518527E-2</v>
      </c>
      <c r="E42">
        <v>5</v>
      </c>
      <c r="F42">
        <f ca="1">SUMIF(tables_528100!J:J,input_528100!E42,tables_528100!O:O)</f>
        <v>12783999.999880001</v>
      </c>
      <c r="G42">
        <f ca="1">F42/A36</f>
        <v>0.19999999999812268</v>
      </c>
    </row>
    <row r="43" spans="1:7" x14ac:dyDescent="0.15">
      <c r="A43" s="33" t="s">
        <v>109</v>
      </c>
      <c r="B43">
        <f>SUMIF(tables_528100!C:C,input_528100!A43,tables_528100!O:O)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SUMIF(tables_528100!C:C,input_528100!A44,tables_528100!O:O)</f>
        <v>1283479.99988</v>
      </c>
      <c r="C44" s="54">
        <f t="shared" ca="1" si="9"/>
        <v>5.195543299511788E-2</v>
      </c>
      <c r="E44" t="s">
        <v>54</v>
      </c>
      <c r="F44" s="55"/>
    </row>
    <row r="45" spans="1:7" x14ac:dyDescent="0.15">
      <c r="A45" s="33" t="s">
        <v>107</v>
      </c>
      <c r="B45">
        <f ca="1">SUMIF(tables_528100!C:C,input_528100!A45,tables_528100!O:O)</f>
        <v>157920</v>
      </c>
      <c r="C45" s="54">
        <f t="shared" ca="1" si="9"/>
        <v>6.3926216063796316E-3</v>
      </c>
      <c r="E45" t="s">
        <v>204</v>
      </c>
      <c r="F45" s="55">
        <f ca="1">SUMIF(tables_528100!I:I,input_528100!E45,tables_528100!P:P)</f>
        <v>0.27609988676395641</v>
      </c>
    </row>
    <row r="46" spans="1:7" x14ac:dyDescent="0.15">
      <c r="A46" s="33" t="s">
        <v>108</v>
      </c>
      <c r="B46">
        <f>SUMIF(tables_528100!C:C,input_528100!A46,tables_528100!O:O)</f>
        <v>0</v>
      </c>
      <c r="C46" s="54">
        <f t="shared" ca="1" si="9"/>
        <v>0</v>
      </c>
      <c r="E46" t="s">
        <v>205</v>
      </c>
      <c r="F46" s="55">
        <f ca="1">SUMIF(tables_528100!I:I,input_528100!E46,tables_528100!P:P)</f>
        <v>0.14080098979014463</v>
      </c>
    </row>
    <row r="47" spans="1:7" x14ac:dyDescent="0.15">
      <c r="A47" s="39" t="s">
        <v>59</v>
      </c>
      <c r="B47">
        <f ca="1">SUM(B40:B46)</f>
        <v>24703479.999880001</v>
      </c>
      <c r="C47" s="55">
        <f ca="1">SUM(C40:C46)</f>
        <v>0.99999999999999989</v>
      </c>
      <c r="E47" t="s">
        <v>206</v>
      </c>
      <c r="F47" s="55">
        <f ca="1">SUMIF(tables_528100!I:I,input_528100!E47,tables_528100!P:P)</f>
        <v>0.40172657442580517</v>
      </c>
    </row>
    <row r="48" spans="1:7" x14ac:dyDescent="0.15">
      <c r="E48" t="s">
        <v>207</v>
      </c>
      <c r="F48" s="55">
        <f ca="1">SUMIF(tables_528100!I:I,input_528100!E48,tables_528100!P:P)</f>
        <v>5.4201680672414265E-2</v>
      </c>
    </row>
    <row r="49" spans="5:6" x14ac:dyDescent="0.15">
      <c r="E49" t="s">
        <v>252</v>
      </c>
      <c r="F49" s="55">
        <f ca="1">SUMIF(tables_528100!I:I,input_528100!E49,tables_528100!P:P)</f>
        <v>9.8599439776174802E-2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338" activePane="bottomLeft" state="frozen"/>
      <selection activeCell="D34" sqref="D34"/>
      <selection pane="bottomLeft" activeCell="H351" sqref="H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input_528100!A$2</f>
        <v>528100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IFERROR(VLOOKUP(B2,input_528100!L:R,7,FALSE),VLOOKUP(tables_528100!C2,input_528100!A:H,8,FALSE))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input_528100!A$2</f>
        <v>528100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IFERROR(VLOOKUP(B3,input_528100!L:R,7,FALSE),VLOOKUP(tables_528100!C3,input_528100!A:H,8,FALSE))</f>
        <v>893896</v>
      </c>
      <c r="P3" s="46">
        <f t="shared" ca="1" si="1"/>
        <v>1.3318672149746668E-2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input_528100!A$2</f>
        <v>528100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IFERROR(VLOOKUP(B4,input_528100!L:R,7,FALSE),VLOOKUP(tables_528100!C4,input_528100!A:H,8,FALSE))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input_528100!A$2</f>
        <v>528100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IFERROR(VLOOKUP(B5,input_528100!L:R,7,FALSE),VLOOKUP(tables_528100!C5,input_528100!A:H,8,FALSE))</f>
        <v>893896</v>
      </c>
      <c r="P5" s="46">
        <f t="shared" ca="1" si="1"/>
        <v>1.3318672149746668E-2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input_528100!A$2</f>
        <v>528100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IFERROR(VLOOKUP(B6,input_528100!L:R,7,FALSE),VLOOKUP(tables_528100!C6,input_528100!A:H,8,FALSE))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input_528100!A$2</f>
        <v>528100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IFERROR(VLOOKUP(B7,input_528100!L:R,7,FALSE),VLOOKUP(tables_528100!C7,input_528100!A:H,8,FALSE))</f>
        <v>893896</v>
      </c>
      <c r="P7" s="46">
        <f t="shared" ca="1" si="1"/>
        <v>1.3318672149746668E-2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input_528100!A$2</f>
        <v>528100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IFERROR(VLOOKUP(B8,input_528100!L:R,7,FALSE),VLOOKUP(tables_528100!C8,input_528100!A:H,8,FALSE))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input_528100!A$2</f>
        <v>528100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IFERROR(VLOOKUP(B9,input_528100!L:R,7,FALSE),VLOOKUP(tables_528100!C9,input_528100!A:H,8,FALSE))</f>
        <v>893896</v>
      </c>
      <c r="P9" s="46">
        <f t="shared" ca="1" si="1"/>
        <v>1.3318672149746668E-2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input_528100!A$2</f>
        <v>528100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IFERROR(VLOOKUP(B10,input_528100!L:R,7,FALSE),VLOOKUP(tables_528100!C10,input_528100!A:H,8,FALSE))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input_528100!A$2</f>
        <v>528100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IFERROR(VLOOKUP(B11,input_528100!L:R,7,FALSE),VLOOKUP(tables_528100!C11,input_528100!A:H,8,FALSE))</f>
        <v>893896</v>
      </c>
      <c r="P11" s="46">
        <f t="shared" ca="1" si="1"/>
        <v>1.3318672149746668E-2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input_528100!A$2</f>
        <v>528100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IFERROR(VLOOKUP(B12,input_528100!L:R,7,FALSE),VLOOKUP(tables_528100!C12,input_528100!A:H,8,FALSE))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input_528100!A$2</f>
        <v>528100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IFERROR(VLOOKUP(B13,input_528100!L:R,7,FALSE),VLOOKUP(tables_528100!C13,input_528100!A:H,8,FALSE))</f>
        <v>893896</v>
      </c>
      <c r="P13" s="46">
        <f t="shared" ca="1" si="1"/>
        <v>1.3318672149746668E-2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input_528100!A$2</f>
        <v>528100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IFERROR(VLOOKUP(B14,input_528100!L:R,7,FALSE),VLOOKUP(tables_528100!C14,input_528100!A:H,8,FALSE))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input_528100!A$2</f>
        <v>528100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IFERROR(VLOOKUP(B15,input_528100!L:R,7,FALSE),VLOOKUP(tables_528100!C15,input_528100!A:H,8,FALSE))</f>
        <v>893896</v>
      </c>
      <c r="P15" s="46">
        <f t="shared" ca="1" si="1"/>
        <v>1.3318672149746668E-2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input_528100!A$2</f>
        <v>528100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IFERROR(VLOOKUP(B16,input_528100!L:R,7,FALSE),VLOOKUP(tables_528100!C16,input_528100!A:H,8,FALSE))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input_528100!A$2</f>
        <v>528100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IFERROR(VLOOKUP(B17,input_528100!L:R,7,FALSE),VLOOKUP(tables_528100!C17,input_528100!A:H,8,FALSE))</f>
        <v>893896</v>
      </c>
      <c r="P17" s="46">
        <f t="shared" ca="1" si="1"/>
        <v>1.3318672149746668E-2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input_528100!A$2</f>
        <v>528100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IFERROR(VLOOKUP(B18,input_528100!L:R,7,FALSE),VLOOKUP(tables_528100!C18,input_528100!A:H,8,FALSE))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input_528100!A$2</f>
        <v>528100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IFERROR(VLOOKUP(B19,input_528100!L:R,7,FALSE),VLOOKUP(tables_528100!C19,input_528100!A:H,8,FALSE))</f>
        <v>893896</v>
      </c>
      <c r="P19" s="46">
        <f t="shared" ca="1" si="1"/>
        <v>1.3318672149746668E-2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input_528100!A$2</f>
        <v>528100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IFERROR(VLOOKUP(B20,input_528100!L:R,7,FALSE),VLOOKUP(tables_528100!C20,input_528100!A:H,8,FALSE))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input_528100!A$2</f>
        <v>528100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IFERROR(VLOOKUP(B21,input_528100!L:R,7,FALSE),VLOOKUP(tables_528100!C21,input_528100!A:H,8,FALSE))</f>
        <v>893896</v>
      </c>
      <c r="P21" s="46">
        <f t="shared" ca="1" si="1"/>
        <v>1.3318672149746668E-2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input_528100!A$2</f>
        <v>528100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IFERROR(VLOOKUP(B22,input_528100!L:R,7,FALSE),VLOOKUP(tables_528100!C22,input_528100!A:H,8,FALSE))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input_528100!A$2</f>
        <v>528100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IFERROR(VLOOKUP(B23,input_528100!L:R,7,FALSE),VLOOKUP(tables_528100!C23,input_528100!A:H,8,FALSE))</f>
        <v>893896</v>
      </c>
      <c r="P23" s="46">
        <f t="shared" ca="1" si="1"/>
        <v>1.3318672149746668E-2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input_528100!A$2</f>
        <v>528100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IFERROR(VLOOKUP(B24,input_528100!L:R,7,FALSE),VLOOKUP(tables_528100!C24,input_528100!A:H,8,FALSE))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input_528100!A$2</f>
        <v>528100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IFERROR(VLOOKUP(B25,input_528100!L:R,7,FALSE),VLOOKUP(tables_528100!C25,input_528100!A:H,8,FALSE))</f>
        <v>893896</v>
      </c>
      <c r="P25" s="46">
        <f t="shared" ca="1" si="1"/>
        <v>1.3318672149746668E-2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input_528100!A$2</f>
        <v>528100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IFERROR(VLOOKUP(B26,input_528100!L:R,7,FALSE),VLOOKUP(tables_528100!C26,input_528100!A:H,8,FALSE))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input_528100!A$2</f>
        <v>528100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IFERROR(VLOOKUP(B27,input_528100!L:R,7,FALSE),VLOOKUP(tables_528100!C27,input_528100!A:H,8,FALSE))</f>
        <v>893896</v>
      </c>
      <c r="P27" s="46">
        <f t="shared" ca="1" si="1"/>
        <v>1.3318672149746668E-2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input_528100!A$2</f>
        <v>528100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IFERROR(VLOOKUP(B28,input_528100!L:R,7,FALSE),VLOOKUP(tables_528100!C28,input_528100!A:H,8,FALSE))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input_528100!A$2</f>
        <v>528100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IFERROR(VLOOKUP(B29,input_528100!L:R,7,FALSE),VLOOKUP(tables_528100!C29,input_528100!A:H,8,FALSE))</f>
        <v>893896</v>
      </c>
      <c r="P29" s="46">
        <f t="shared" ca="1" si="1"/>
        <v>1.3318672149746668E-2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input_528100!A$2</f>
        <v>528100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IFERROR(VLOOKUP(B30,input_528100!L:R,7,FALSE),VLOOKUP(tables_528100!C30,input_528100!A:H,8,FALSE))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input_528100!A$2</f>
        <v>528100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IFERROR(VLOOKUP(B31,input_528100!L:R,7,FALSE),VLOOKUP(tables_528100!C31,input_528100!A:H,8,FALSE))</f>
        <v>893896</v>
      </c>
      <c r="P31" s="46">
        <f t="shared" ca="1" si="1"/>
        <v>1.3318672149746668E-2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input_528100!A$2</f>
        <v>528100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IFERROR(VLOOKUP(B32,input_528100!L:R,7,FALSE),VLOOKUP(tables_528100!C32,input_528100!A:H,8,FALSE))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input_528100!A$2</f>
        <v>528100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IFERROR(VLOOKUP(B33,input_528100!L:R,7,FALSE),VLOOKUP(tables_528100!C33,input_528100!A:H,8,FALSE))</f>
        <v>893896</v>
      </c>
      <c r="P33" s="46">
        <f t="shared" ca="1" si="1"/>
        <v>1.3318672149746668E-2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input_528100!A$2</f>
        <v>528100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IFERROR(VLOOKUP(B34,input_528100!L:R,7,FALSE),VLOOKUP(tables_528100!C34,input_528100!A:H,8,FALSE))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input_528100!A$2</f>
        <v>528100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IFERROR(VLOOKUP(B35,input_528100!L:R,7,FALSE),VLOOKUP(tables_528100!C35,input_528100!A:H,8,FALSE))</f>
        <v>893896</v>
      </c>
      <c r="P35" s="46">
        <f t="shared" ca="1" si="1"/>
        <v>1.3318672149746668E-2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input_528100!A$2</f>
        <v>528100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IFERROR(VLOOKUP(B36,input_528100!L:R,7,FALSE),VLOOKUP(tables_528100!C36,input_528100!A:H,8,FALSE))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input_528100!A$2</f>
        <v>528100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IFERROR(VLOOKUP(B37,input_528100!L:R,7,FALSE),VLOOKUP(tables_528100!C37,input_528100!A:H,8,FALSE))</f>
        <v>893896</v>
      </c>
      <c r="P37" s="46">
        <f t="shared" ca="1" si="1"/>
        <v>1.3318672149746668E-2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input_528100!A$2</f>
        <v>528100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IFERROR(VLOOKUP(B38,input_528100!L:R,7,FALSE),VLOOKUP(tables_528100!C38,input_528100!A:H,8,FALSE))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input_528100!A$2</f>
        <v>528100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IFERROR(VLOOKUP(B39,input_528100!L:R,7,FALSE),VLOOKUP(tables_528100!C39,input_528100!A:H,8,FALSE))</f>
        <v>893896</v>
      </c>
      <c r="P39" s="46">
        <f t="shared" ca="1" si="1"/>
        <v>1.3318672149746668E-2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input_528100!A$2</f>
        <v>528100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IFERROR(VLOOKUP(B40,input_528100!L:R,7,FALSE),VLOOKUP(tables_528100!C40,input_528100!A:H,8,FALSE))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input_528100!A$2</f>
        <v>528100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IFERROR(VLOOKUP(B41,input_528100!L:R,7,FALSE),VLOOKUP(tables_528100!C41,input_528100!A:H,8,FALSE))</f>
        <v>893896</v>
      </c>
      <c r="P41" s="46">
        <f t="shared" ca="1" si="1"/>
        <v>1.3318672149746668E-2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input_528100!A$2</f>
        <v>528100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IFERROR(VLOOKUP(B42,input_528100!L:R,7,FALSE),VLOOKUP(tables_528100!C42,input_528100!A:H,8,FALSE))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input_528100!A$2</f>
        <v>528100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IFERROR(VLOOKUP(B43,input_528100!L:R,7,FALSE),VLOOKUP(tables_528100!C43,input_528100!A:H,8,FALSE))</f>
        <v>435200</v>
      </c>
      <c r="P43" s="46">
        <f t="shared" ca="1" si="1"/>
        <v>6.4842958460153647E-3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input_528100!A$2</f>
        <v>528100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IFERROR(VLOOKUP(B44,input_528100!L:R,7,FALSE),VLOOKUP(tables_528100!C44,input_528100!A:H,8,FALSE))</f>
        <v>108800</v>
      </c>
      <c r="P44" s="46">
        <f t="shared" ca="1" si="1"/>
        <v>1.6210739615038412E-3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input_528100!A$2</f>
        <v>528100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IFERROR(VLOOKUP(B45,input_528100!L:R,7,FALSE),VLOOKUP(tables_528100!C45,input_528100!A:H,8,FALSE))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input_528100!A$2</f>
        <v>528100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IFERROR(VLOOKUP(B46,input_528100!L:R,7,FALSE),VLOOKUP(tables_528100!C46,input_528100!A:H,8,FALSE))</f>
        <v>435200</v>
      </c>
      <c r="P46" s="46">
        <f t="shared" ca="1" si="1"/>
        <v>6.4842958460153647E-3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input_528100!A$2</f>
        <v>528100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IFERROR(VLOOKUP(B47,input_528100!L:R,7,FALSE),VLOOKUP(tables_528100!C47,input_528100!A:H,8,FALSE))</f>
        <v>108800</v>
      </c>
      <c r="P47" s="46">
        <f t="shared" ca="1" si="1"/>
        <v>1.6210739615038412E-3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input_528100!A$2</f>
        <v>528100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IFERROR(VLOOKUP(B48,input_528100!L:R,7,FALSE),VLOOKUP(tables_528100!C48,input_528100!A:H,8,FALSE))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input_528100!A$2</f>
        <v>528100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IFERROR(VLOOKUP(B49,input_528100!L:R,7,FALSE),VLOOKUP(tables_528100!C49,input_528100!A:H,8,FALSE))</f>
        <v>435200</v>
      </c>
      <c r="P49" s="46">
        <f t="shared" ca="1" si="1"/>
        <v>6.4842958460153647E-3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input_528100!A$2</f>
        <v>528100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IFERROR(VLOOKUP(B50,input_528100!L:R,7,FALSE),VLOOKUP(tables_528100!C50,input_528100!A:H,8,FALSE))</f>
        <v>108800</v>
      </c>
      <c r="P50" s="46">
        <f t="shared" ca="1" si="1"/>
        <v>1.6210739615038412E-3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input_528100!A$2</f>
        <v>528100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IFERROR(VLOOKUP(B51,input_528100!L:R,7,FALSE),VLOOKUP(tables_528100!C51,input_528100!A:H,8,FALSE))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input_528100!A$2</f>
        <v>528100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IFERROR(VLOOKUP(B52,input_528100!L:R,7,FALSE),VLOOKUP(tables_528100!C52,input_528100!A:H,8,FALSE))</f>
        <v>435200</v>
      </c>
      <c r="P52" s="46">
        <f t="shared" ca="1" si="1"/>
        <v>6.4842958460153647E-3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input_528100!A$2</f>
        <v>528100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IFERROR(VLOOKUP(B53,input_528100!L:R,7,FALSE),VLOOKUP(tables_528100!C53,input_528100!A:H,8,FALSE))</f>
        <v>24682.307690000001</v>
      </c>
      <c r="P53" s="46">
        <f t="shared" ca="1" si="1"/>
        <v>3.6775594031328149E-4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input_528100!A$2</f>
        <v>528100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IFERROR(VLOOKUP(B54,input_528100!L:R,7,FALSE),VLOOKUP(tables_528100!C54,input_528100!A:H,8,FALSE))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input_528100!A$2</f>
        <v>528100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IFERROR(VLOOKUP(B55,input_528100!L:R,7,FALSE),VLOOKUP(tables_528100!C55,input_528100!A:H,8,FALSE))</f>
        <v>435200</v>
      </c>
      <c r="P55" s="46">
        <f t="shared" ca="1" si="1"/>
        <v>6.4842958460153647E-3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input_528100!A$2</f>
        <v>528100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IFERROR(VLOOKUP(B56,input_528100!L:R,7,FALSE),VLOOKUP(tables_528100!C56,input_528100!A:H,8,FALSE))</f>
        <v>24682.307690000001</v>
      </c>
      <c r="P56" s="46">
        <f t="shared" ca="1" si="1"/>
        <v>3.6775594031328149E-4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input_528100!A$2</f>
        <v>528100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IFERROR(VLOOKUP(B57,input_528100!L:R,7,FALSE),VLOOKUP(tables_528100!C57,input_528100!A:H,8,FALSE))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input_528100!A$2</f>
        <v>528100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IFERROR(VLOOKUP(B58,input_528100!L:R,7,FALSE),VLOOKUP(tables_528100!C58,input_528100!A:H,8,FALSE))</f>
        <v>435200</v>
      </c>
      <c r="P58" s="46">
        <f t="shared" ca="1" si="1"/>
        <v>6.4842958460153647E-3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input_528100!A$2</f>
        <v>528100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IFERROR(VLOOKUP(B59,input_528100!L:R,7,FALSE),VLOOKUP(tables_528100!C59,input_528100!A:H,8,FALSE))</f>
        <v>24682.307690000001</v>
      </c>
      <c r="P59" s="46">
        <f t="shared" ca="1" si="1"/>
        <v>3.6775594031328149E-4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input_528100!A$2</f>
        <v>528100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IFERROR(VLOOKUP(B60,input_528100!L:R,7,FALSE),VLOOKUP(tables_528100!C60,input_528100!A:H,8,FALSE))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input_528100!A$2</f>
        <v>528100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IFERROR(VLOOKUP(B61,input_528100!L:R,7,FALSE),VLOOKUP(tables_528100!C61,input_528100!A:H,8,FALSE))</f>
        <v>435200</v>
      </c>
      <c r="P61" s="46">
        <f t="shared" ca="1" si="1"/>
        <v>6.4842958460153647E-3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input_528100!A$2</f>
        <v>528100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IFERROR(VLOOKUP(B62,input_528100!L:R,7,FALSE),VLOOKUP(tables_528100!C62,input_528100!A:H,8,FALSE))</f>
        <v>24682.307690000001</v>
      </c>
      <c r="P62" s="46">
        <f t="shared" ca="1" si="1"/>
        <v>3.6775594031328149E-4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input_528100!A$2</f>
        <v>528100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IFERROR(VLOOKUP(B63,input_528100!L:R,7,FALSE),VLOOKUP(tables_528100!C63,input_528100!A:H,8,FALSE))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input_528100!A$2</f>
        <v>528100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IFERROR(VLOOKUP(B64,input_528100!L:R,7,FALSE),VLOOKUP(tables_528100!C64,input_528100!A:H,8,FALSE))</f>
        <v>435200</v>
      </c>
      <c r="P64" s="46">
        <f t="shared" ca="1" si="1"/>
        <v>6.4842958460153647E-3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input_528100!A$2</f>
        <v>528100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IFERROR(VLOOKUP(B65,input_528100!L:R,7,FALSE),VLOOKUP(tables_528100!C65,input_528100!A:H,8,FALSE))</f>
        <v>24682.307690000001</v>
      </c>
      <c r="P65" s="46">
        <f t="shared" ca="1" si="1"/>
        <v>3.6775594031328149E-4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input_528100!A$2</f>
        <v>528100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IFERROR(VLOOKUP(B66,input_528100!L:R,7,FALSE),VLOOKUP(tables_528100!C66,input_528100!A:H,8,FALSE))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input_528100!A$2</f>
        <v>528100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IFERROR(VLOOKUP(B67,input_528100!L:R,7,FALSE),VLOOKUP(tables_528100!C67,input_528100!A:H,8,FALSE))</f>
        <v>435200</v>
      </c>
      <c r="P67" s="46">
        <f t="shared" ca="1" si="4"/>
        <v>6.4842958460153647E-3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input_528100!A$2</f>
        <v>528100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IFERROR(VLOOKUP(B68,input_528100!L:R,7,FALSE),VLOOKUP(tables_528100!C68,input_528100!A:H,8,FALSE))</f>
        <v>24682.307690000001</v>
      </c>
      <c r="P68" s="46">
        <f t="shared" ca="1" si="4"/>
        <v>3.6775594031328149E-4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input_528100!A$2</f>
        <v>528100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IFERROR(VLOOKUP(B69,input_528100!L:R,7,FALSE),VLOOKUP(tables_528100!C69,input_528100!A:H,8,FALSE))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input_528100!A$2</f>
        <v>528100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IFERROR(VLOOKUP(B70,input_528100!L:R,7,FALSE),VLOOKUP(tables_528100!C70,input_528100!A:H,8,FALSE))</f>
        <v>435200</v>
      </c>
      <c r="P70" s="46">
        <f t="shared" ca="1" si="4"/>
        <v>6.4842958460153647E-3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input_528100!A$2</f>
        <v>528100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IFERROR(VLOOKUP(B71,input_528100!L:R,7,FALSE),VLOOKUP(tables_528100!C71,input_528100!A:H,8,FALSE))</f>
        <v>24682.307690000001</v>
      </c>
      <c r="P71" s="46">
        <f t="shared" ca="1" si="4"/>
        <v>3.6775594031328149E-4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input_528100!A$2</f>
        <v>528100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IFERROR(VLOOKUP(B72,input_528100!L:R,7,FALSE),VLOOKUP(tables_528100!C72,input_528100!A:H,8,FALSE))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input_528100!A$2</f>
        <v>528100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IFERROR(VLOOKUP(B73,input_528100!L:R,7,FALSE),VLOOKUP(tables_528100!C73,input_528100!A:H,8,FALSE))</f>
        <v>435200</v>
      </c>
      <c r="P73" s="46">
        <f t="shared" ca="1" si="4"/>
        <v>6.4842958460153647E-3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input_528100!A$2</f>
        <v>528100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IFERROR(VLOOKUP(B74,input_528100!L:R,7,FALSE),VLOOKUP(tables_528100!C74,input_528100!A:H,8,FALSE))</f>
        <v>24682.307690000001</v>
      </c>
      <c r="P74" s="46">
        <f t="shared" ca="1" si="4"/>
        <v>3.6775594031328149E-4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input_528100!A$2</f>
        <v>528100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IFERROR(VLOOKUP(B75,input_528100!L:R,7,FALSE),VLOOKUP(tables_528100!C75,input_528100!A:H,8,FALSE))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input_528100!A$2</f>
        <v>528100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IFERROR(VLOOKUP(B76,input_528100!L:R,7,FALSE),VLOOKUP(tables_528100!C76,input_528100!A:H,8,FALSE))</f>
        <v>435200</v>
      </c>
      <c r="P76" s="46">
        <f t="shared" ca="1" si="4"/>
        <v>6.4842958460153647E-3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input_528100!A$2</f>
        <v>528100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IFERROR(VLOOKUP(B77,input_528100!L:R,7,FALSE),VLOOKUP(tables_528100!C77,input_528100!A:H,8,FALSE))</f>
        <v>24682.307690000001</v>
      </c>
      <c r="P77" s="46">
        <f t="shared" ca="1" si="4"/>
        <v>3.6775594031328149E-4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input_528100!A$2</f>
        <v>528100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IFERROR(VLOOKUP(B78,input_528100!L:R,7,FALSE),VLOOKUP(tables_528100!C78,input_528100!A:H,8,FALSE))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input_528100!A$2</f>
        <v>528100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IFERROR(VLOOKUP(B79,input_528100!L:R,7,FALSE),VLOOKUP(tables_528100!C79,input_528100!A:H,8,FALSE))</f>
        <v>435200</v>
      </c>
      <c r="P79" s="46">
        <f t="shared" ca="1" si="4"/>
        <v>6.4842958460153647E-3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input_528100!A$2</f>
        <v>528100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IFERROR(VLOOKUP(B80,input_528100!L:R,7,FALSE),VLOOKUP(tables_528100!C80,input_528100!A:H,8,FALSE))</f>
        <v>24682.307690000001</v>
      </c>
      <c r="P80" s="46">
        <f t="shared" ca="1" si="4"/>
        <v>3.6775594031328149E-4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input_528100!A$2</f>
        <v>528100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IFERROR(VLOOKUP(B81,input_528100!L:R,7,FALSE),VLOOKUP(tables_528100!C81,input_528100!A:H,8,FALSE))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input_528100!A$2</f>
        <v>528100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IFERROR(VLOOKUP(B82,input_528100!L:R,7,FALSE),VLOOKUP(tables_528100!C82,input_528100!A:H,8,FALSE))</f>
        <v>435200</v>
      </c>
      <c r="P82" s="46">
        <f t="shared" ca="1" si="4"/>
        <v>6.4842958460153647E-3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input_528100!A$2</f>
        <v>528100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IFERROR(VLOOKUP(B83,input_528100!L:R,7,FALSE),VLOOKUP(tables_528100!C83,input_528100!A:H,8,FALSE))</f>
        <v>24682.307690000001</v>
      </c>
      <c r="P83" s="46">
        <f t="shared" ca="1" si="4"/>
        <v>3.6775594031328149E-4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input_528100!A$2</f>
        <v>528100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IFERROR(VLOOKUP(B84,input_528100!L:R,7,FALSE),VLOOKUP(tables_528100!C84,input_528100!A:H,8,FALSE))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input_528100!A$2</f>
        <v>528100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IFERROR(VLOOKUP(B85,input_528100!L:R,7,FALSE),VLOOKUP(tables_528100!C85,input_528100!A:H,8,FALSE))</f>
        <v>435200</v>
      </c>
      <c r="P85" s="46">
        <f t="shared" ca="1" si="4"/>
        <v>6.4842958460153647E-3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input_528100!A$2</f>
        <v>528100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IFERROR(VLOOKUP(B86,input_528100!L:R,7,FALSE),VLOOKUP(tables_528100!C86,input_528100!A:H,8,FALSE))</f>
        <v>24682.307690000001</v>
      </c>
      <c r="P86" s="46">
        <f t="shared" ca="1" si="4"/>
        <v>3.6775594031328149E-4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input_528100!A$2</f>
        <v>528100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IFERROR(VLOOKUP(B87,input_528100!L:R,7,FALSE),VLOOKUP(tables_528100!C87,input_528100!A:H,8,FALSE))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input_528100!A$2</f>
        <v>528100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IFERROR(VLOOKUP(B88,input_528100!L:R,7,FALSE),VLOOKUP(tables_528100!C88,input_528100!A:H,8,FALSE))</f>
        <v>435200</v>
      </c>
      <c r="P88" s="46">
        <f t="shared" ca="1" si="4"/>
        <v>6.4842958460153647E-3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input_528100!A$2</f>
        <v>528100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IFERROR(VLOOKUP(B89,input_528100!L:R,7,FALSE),VLOOKUP(tables_528100!C89,input_528100!A:H,8,FALSE))</f>
        <v>24682.307690000001</v>
      </c>
      <c r="P89" s="46">
        <f t="shared" ca="1" si="4"/>
        <v>3.6775594031328149E-4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input_528100!A$2</f>
        <v>528100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IFERROR(VLOOKUP(B90,input_528100!L:R,7,FALSE),VLOOKUP(tables_528100!C90,input_528100!A:H,8,FALSE))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input_528100!A$2</f>
        <v>528100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IFERROR(VLOOKUP(B91,input_528100!L:R,7,FALSE),VLOOKUP(tables_528100!C91,input_528100!A:H,8,FALSE))</f>
        <v>435200</v>
      </c>
      <c r="P91" s="46">
        <f t="shared" ca="1" si="4"/>
        <v>6.4842958460153647E-3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input_528100!A$2</f>
        <v>528100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IFERROR(VLOOKUP(B92,input_528100!L:R,7,FALSE),VLOOKUP(tables_528100!C92,input_528100!A:H,8,FALSE))</f>
        <v>24682.307690000001</v>
      </c>
      <c r="P92" s="46">
        <f t="shared" ca="1" si="4"/>
        <v>3.6775594031328149E-4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input_528100!A$2</f>
        <v>528100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IFERROR(VLOOKUP(B93,input_528100!L:R,7,FALSE),VLOOKUP(tables_528100!C93,input_528100!A:H,8,FALSE))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input_528100!A$2</f>
        <v>528100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IFERROR(VLOOKUP(B94,input_528100!L:R,7,FALSE),VLOOKUP(tables_528100!C94,input_528100!A:H,8,FALSE))</f>
        <v>435200</v>
      </c>
      <c r="P94" s="46">
        <f t="shared" ca="1" si="4"/>
        <v>6.4842958460153647E-3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input_528100!A$2</f>
        <v>528100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IFERROR(VLOOKUP(B95,input_528100!L:R,7,FALSE),VLOOKUP(tables_528100!C95,input_528100!A:H,8,FALSE))</f>
        <v>24682.307690000001</v>
      </c>
      <c r="P95" s="46">
        <f t="shared" ca="1" si="4"/>
        <v>3.6775594031328149E-4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input_528100!A$2</f>
        <v>528100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IFERROR(VLOOKUP(B96,input_528100!L:R,7,FALSE),VLOOKUP(tables_528100!C96,input_528100!A:H,8,FALSE))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input_528100!A$2</f>
        <v>528100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IFERROR(VLOOKUP(B97,input_528100!L:R,7,FALSE),VLOOKUP(tables_528100!C97,input_528100!A:H,8,FALSE))</f>
        <v>435200</v>
      </c>
      <c r="P97" s="46">
        <f t="shared" ca="1" si="4"/>
        <v>6.4842958460153647E-3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input_528100!A$2</f>
        <v>528100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IFERROR(VLOOKUP(B98,input_528100!L:R,7,FALSE),VLOOKUP(tables_528100!C98,input_528100!A:H,8,FALSE))</f>
        <v>24682.307690000001</v>
      </c>
      <c r="P98" s="46">
        <f t="shared" ca="1" si="4"/>
        <v>3.6775594031328149E-4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input_528100!A$2</f>
        <v>528100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IFERROR(VLOOKUP(B99,input_528100!L:R,7,FALSE),VLOOKUP(tables_528100!C99,input_528100!A:H,8,FALSE))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input_528100!A$2</f>
        <v>528100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IFERROR(VLOOKUP(B100,input_528100!L:R,7,FALSE),VLOOKUP(tables_528100!C100,input_528100!A:H,8,FALSE))</f>
        <v>435200</v>
      </c>
      <c r="P100" s="46">
        <f t="shared" ca="1" si="4"/>
        <v>6.4842958460153647E-3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input_528100!A$2</f>
        <v>528100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IFERROR(VLOOKUP(B101,input_528100!L:R,7,FALSE),VLOOKUP(tables_528100!C101,input_528100!A:H,8,FALSE))</f>
        <v>24682.307690000001</v>
      </c>
      <c r="P101" s="46">
        <f t="shared" ca="1" si="4"/>
        <v>3.6775594031328149E-4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input_528100!A$2</f>
        <v>528100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IFERROR(VLOOKUP(B102,input_528100!L:R,7,FALSE),VLOOKUP(tables_528100!C102,input_528100!A:H,8,FALSE))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input_528100!A$2</f>
        <v>528100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IFERROR(VLOOKUP(B103,input_528100!L:R,7,FALSE),VLOOKUP(tables_528100!C103,input_528100!A:H,8,FALSE))</f>
        <v>435200</v>
      </c>
      <c r="P103" s="46">
        <f t="shared" ca="1" si="4"/>
        <v>6.4842958460153647E-3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input_528100!A$2</f>
        <v>528100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IFERROR(VLOOKUP(B104,input_528100!L:R,7,FALSE),VLOOKUP(tables_528100!C104,input_528100!A:H,8,FALSE))</f>
        <v>24682.307690000001</v>
      </c>
      <c r="P104" s="46">
        <f t="shared" ca="1" si="4"/>
        <v>3.6775594031328149E-4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input_528100!A$2</f>
        <v>528100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IFERROR(VLOOKUP(B105,input_528100!L:R,7,FALSE),VLOOKUP(tables_528100!C105,input_528100!A:H,8,FALSE))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input_528100!A$2</f>
        <v>528100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IFERROR(VLOOKUP(B106,input_528100!L:R,7,FALSE),VLOOKUP(tables_528100!C106,input_528100!A:H,8,FALSE))</f>
        <v>435200</v>
      </c>
      <c r="P106" s="46">
        <f t="shared" ca="1" si="4"/>
        <v>6.4842958460153647E-3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input_528100!A$2</f>
        <v>528100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IFERROR(VLOOKUP(B107,input_528100!L:R,7,FALSE),VLOOKUP(tables_528100!C107,input_528100!A:H,8,FALSE))</f>
        <v>24682.307690000001</v>
      </c>
      <c r="P107" s="46">
        <f t="shared" ca="1" si="4"/>
        <v>3.6775594031328149E-4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input_528100!A$2</f>
        <v>528100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IFERROR(VLOOKUP(B108,input_528100!L:R,7,FALSE),VLOOKUP(tables_528100!C108,input_528100!A:H,8,FALSE))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input_528100!A$2</f>
        <v>528100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IFERROR(VLOOKUP(B109,input_528100!L:R,7,FALSE),VLOOKUP(tables_528100!C109,input_528100!A:H,8,FALSE))</f>
        <v>435200</v>
      </c>
      <c r="P109" s="46">
        <f t="shared" ca="1" si="4"/>
        <v>6.4842958460153647E-3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input_528100!A$2</f>
        <v>528100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IFERROR(VLOOKUP(B110,input_528100!L:R,7,FALSE),VLOOKUP(tables_528100!C110,input_528100!A:H,8,FALSE))</f>
        <v>24682.307690000001</v>
      </c>
      <c r="P110" s="46">
        <f t="shared" ca="1" si="4"/>
        <v>3.6775594031328149E-4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input_528100!A$2</f>
        <v>528100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IFERROR(VLOOKUP(B111,input_528100!L:R,7,FALSE),VLOOKUP(tables_528100!C111,input_528100!A:H,8,FALSE))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input_528100!A$2</f>
        <v>528100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IFERROR(VLOOKUP(B112,input_528100!L:R,7,FALSE),VLOOKUP(tables_528100!C112,input_528100!A:H,8,FALSE))</f>
        <v>435200</v>
      </c>
      <c r="P112" s="46">
        <f t="shared" ca="1" si="4"/>
        <v>6.4842958460153647E-3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input_528100!A$2</f>
        <v>528100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IFERROR(VLOOKUP(B113,input_528100!L:R,7,FALSE),VLOOKUP(tables_528100!C113,input_528100!A:H,8,FALSE))</f>
        <v>108800</v>
      </c>
      <c r="P113" s="46">
        <f t="shared" ca="1" si="4"/>
        <v>1.6210739615038412E-3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input_528100!A$2</f>
        <v>528100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IFERROR(VLOOKUP(B114,input_528100!L:R,7,FALSE),VLOOKUP(tables_528100!C114,input_528100!A:H,8,FALSE))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input_528100!A$2</f>
        <v>528100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IFERROR(VLOOKUP(B115,input_528100!L:R,7,FALSE),VLOOKUP(tables_528100!C115,input_528100!A:H,8,FALSE))</f>
        <v>435200</v>
      </c>
      <c r="P115" s="46">
        <f t="shared" ca="1" si="4"/>
        <v>6.4842958460153647E-3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input_528100!A$2</f>
        <v>528100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IFERROR(VLOOKUP(B116,input_528100!L:R,7,FALSE),VLOOKUP(tables_528100!C116,input_528100!A:H,8,FALSE))</f>
        <v>24682.307690000001</v>
      </c>
      <c r="P116" s="46">
        <f t="shared" ca="1" si="4"/>
        <v>3.6775594031328149E-4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input_528100!A$2</f>
        <v>528100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IFERROR(VLOOKUP(B117,input_528100!L:R,7,FALSE),VLOOKUP(tables_528100!C117,input_528100!A:H,8,FALSE))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input_528100!A$2</f>
        <v>528100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IFERROR(VLOOKUP(B118,input_528100!L:R,7,FALSE),VLOOKUP(tables_528100!C118,input_528100!A:H,8,FALSE))</f>
        <v>435200</v>
      </c>
      <c r="P118" s="46">
        <f t="shared" ca="1" si="4"/>
        <v>6.4842958460153647E-3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input_528100!A$2</f>
        <v>528100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IFERROR(VLOOKUP(B119,input_528100!L:R,7,FALSE),VLOOKUP(tables_528100!C119,input_528100!A:H,8,FALSE))</f>
        <v>24682.307690000001</v>
      </c>
      <c r="P119" s="46">
        <f t="shared" ca="1" si="4"/>
        <v>3.6775594031328149E-4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input_528100!A$2</f>
        <v>528100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IFERROR(VLOOKUP(B120,input_528100!L:R,7,FALSE),VLOOKUP(tables_528100!C120,input_528100!A:H,8,FALSE))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input_528100!A$2</f>
        <v>528100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IFERROR(VLOOKUP(B121,input_528100!L:R,7,FALSE),VLOOKUP(tables_528100!C121,input_528100!A:H,8,FALSE))</f>
        <v>435200</v>
      </c>
      <c r="P121" s="46">
        <f t="shared" ca="1" si="4"/>
        <v>6.4842958460153647E-3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input_528100!A$2</f>
        <v>528100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IFERROR(VLOOKUP(B122,input_528100!L:R,7,FALSE),VLOOKUP(tables_528100!C122,input_528100!A:H,8,FALSE))</f>
        <v>24682.307690000001</v>
      </c>
      <c r="P122" s="46">
        <f t="shared" ca="1" si="4"/>
        <v>3.6775594031328149E-4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input_528100!A$2</f>
        <v>528100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IFERROR(VLOOKUP(B123,input_528100!L:R,7,FALSE),VLOOKUP(tables_528100!C123,input_528100!A:H,8,FALSE))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input_528100!A$2</f>
        <v>528100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IFERROR(VLOOKUP(B124,input_528100!L:R,7,FALSE),VLOOKUP(tables_528100!C124,input_528100!A:H,8,FALSE))</f>
        <v>435200</v>
      </c>
      <c r="P124" s="46">
        <f t="shared" ca="1" si="4"/>
        <v>6.4842958460153647E-3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input_528100!A$2</f>
        <v>528100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IFERROR(VLOOKUP(B125,input_528100!L:R,7,FALSE),VLOOKUP(tables_528100!C125,input_528100!A:H,8,FALSE))</f>
        <v>24682.307690000001</v>
      </c>
      <c r="P125" s="46">
        <f t="shared" ca="1" si="4"/>
        <v>3.6775594031328149E-4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input_528100!A$2</f>
        <v>528100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IFERROR(VLOOKUP(B126,input_528100!L:R,7,FALSE),VLOOKUP(tables_528100!C126,input_528100!A:H,8,FALSE))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input_528100!A$2</f>
        <v>528100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IFERROR(VLOOKUP(B127,input_528100!L:R,7,FALSE),VLOOKUP(tables_528100!C127,input_528100!A:H,8,FALSE))</f>
        <v>435200</v>
      </c>
      <c r="P127" s="46">
        <f t="shared" ca="1" si="4"/>
        <v>6.4842958460153647E-3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input_528100!A$2</f>
        <v>528100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IFERROR(VLOOKUP(B128,input_528100!L:R,7,FALSE),VLOOKUP(tables_528100!C128,input_528100!A:H,8,FALSE))</f>
        <v>24682.307690000001</v>
      </c>
      <c r="P128" s="46">
        <f t="shared" ca="1" si="4"/>
        <v>3.6775594031328149E-4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input_528100!A$2</f>
        <v>528100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IFERROR(VLOOKUP(B129,input_528100!L:R,7,FALSE),VLOOKUP(tables_528100!C129,input_528100!A:H,8,FALSE))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input_528100!A$2</f>
        <v>528100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IFERROR(VLOOKUP(B130,input_528100!L:R,7,FALSE),VLOOKUP(tables_528100!C130,input_528100!A:H,8,FALSE))</f>
        <v>435200</v>
      </c>
      <c r="P130" s="46">
        <f t="shared" ref="P130:P193" ca="1" si="7">O130/SUM(O:O)</f>
        <v>6.4842958460153647E-3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input_528100!A$2</f>
        <v>528100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IFERROR(VLOOKUP(B131,input_528100!L:R,7,FALSE),VLOOKUP(tables_528100!C131,input_528100!A:H,8,FALSE))</f>
        <v>24682.307690000001</v>
      </c>
      <c r="P131" s="46">
        <f t="shared" ca="1" si="7"/>
        <v>3.6775594031328149E-4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input_528100!A$2</f>
        <v>528100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IFERROR(VLOOKUP(B132,input_528100!L:R,7,FALSE),VLOOKUP(tables_528100!C132,input_528100!A:H,8,FALSE))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input_528100!A$2</f>
        <v>528100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IFERROR(VLOOKUP(B133,input_528100!L:R,7,FALSE),VLOOKUP(tables_528100!C133,input_528100!A:H,8,FALSE))</f>
        <v>435200</v>
      </c>
      <c r="P133" s="46">
        <f t="shared" ca="1" si="7"/>
        <v>6.4842958460153647E-3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input_528100!A$2</f>
        <v>528100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IFERROR(VLOOKUP(B134,input_528100!L:R,7,FALSE),VLOOKUP(tables_528100!C134,input_528100!A:H,8,FALSE))</f>
        <v>24682.307690000001</v>
      </c>
      <c r="P134" s="46">
        <f t="shared" ca="1" si="7"/>
        <v>3.6775594031328149E-4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input_528100!A$2</f>
        <v>528100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IFERROR(VLOOKUP(B135,input_528100!L:R,7,FALSE),VLOOKUP(tables_528100!C135,input_528100!A:H,8,FALSE))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input_528100!A$2</f>
        <v>528100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IFERROR(VLOOKUP(B136,input_528100!L:R,7,FALSE),VLOOKUP(tables_528100!C136,input_528100!A:H,8,FALSE))</f>
        <v>435200</v>
      </c>
      <c r="P136" s="46">
        <f t="shared" ca="1" si="7"/>
        <v>6.4842958460153647E-3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input_528100!A$2</f>
        <v>528100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IFERROR(VLOOKUP(B137,input_528100!L:R,7,FALSE),VLOOKUP(tables_528100!C137,input_528100!A:H,8,FALSE))</f>
        <v>24682.307690000001</v>
      </c>
      <c r="P137" s="46">
        <f t="shared" ca="1" si="7"/>
        <v>3.6775594031328149E-4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input_528100!A$2</f>
        <v>528100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IFERROR(VLOOKUP(B138,input_528100!L:R,7,FALSE),VLOOKUP(tables_528100!C138,input_528100!A:H,8,FALSE))</f>
        <v>22560</v>
      </c>
      <c r="P138" s="46">
        <f t="shared" ca="1" si="7"/>
        <v>3.3613445378241413E-4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input_528100!A$2</f>
        <v>528100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IFERROR(VLOOKUP(B139,input_528100!L:R,7,FALSE),VLOOKUP(tables_528100!C139,input_528100!A:H,8,FALSE))</f>
        <v>5640</v>
      </c>
      <c r="P139" s="46">
        <f t="shared" ca="1" si="7"/>
        <v>8.4033613445603532E-5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input_528100!A$2</f>
        <v>528100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IFERROR(VLOOKUP(B140,input_528100!L:R,7,FALSE),VLOOKUP(tables_528100!C140,input_528100!A:H,8,FALSE))</f>
        <v>22560</v>
      </c>
      <c r="P140" s="46">
        <f t="shared" ca="1" si="7"/>
        <v>3.3613445378241413E-4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input_528100!A$2</f>
        <v>528100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IFERROR(VLOOKUP(B141,input_528100!L:R,7,FALSE),VLOOKUP(tables_528100!C141,input_528100!A:H,8,FALSE))</f>
        <v>5640</v>
      </c>
      <c r="P141" s="46">
        <f t="shared" ca="1" si="7"/>
        <v>8.4033613445603532E-5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input_528100!A$2</f>
        <v>528100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IFERROR(VLOOKUP(B142,input_528100!L:R,7,FALSE),VLOOKUP(tables_528100!C142,input_528100!A:H,8,FALSE))</f>
        <v>22560</v>
      </c>
      <c r="P142" s="46">
        <f t="shared" ca="1" si="7"/>
        <v>3.3613445378241413E-4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input_528100!A$2</f>
        <v>528100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IFERROR(VLOOKUP(B143,input_528100!L:R,7,FALSE),VLOOKUP(tables_528100!C143,input_528100!A:H,8,FALSE))</f>
        <v>5640</v>
      </c>
      <c r="P143" s="46">
        <f t="shared" ca="1" si="7"/>
        <v>8.4033613445603532E-5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input_528100!A$2</f>
        <v>528100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IFERROR(VLOOKUP(B144,input_528100!L:R,7,FALSE),VLOOKUP(tables_528100!C144,input_528100!A:H,8,FALSE))</f>
        <v>22560</v>
      </c>
      <c r="P144" s="46">
        <f t="shared" ca="1" si="7"/>
        <v>3.3613445378241413E-4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input_528100!A$2</f>
        <v>528100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IFERROR(VLOOKUP(B145,input_528100!L:R,7,FALSE),VLOOKUP(tables_528100!C145,input_528100!A:H,8,FALSE))</f>
        <v>5640</v>
      </c>
      <c r="P145" s="46">
        <f t="shared" ca="1" si="7"/>
        <v>8.4033613445603532E-5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input_528100!A$2</f>
        <v>528100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IFERROR(VLOOKUP(B146,input_528100!L:R,7,FALSE),VLOOKUP(tables_528100!C146,input_528100!A:H,8,FALSE))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input_528100!A$2</f>
        <v>528100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IFERROR(VLOOKUP(B147,input_528100!L:R,7,FALSE),VLOOKUP(tables_528100!C147,input_528100!A:H,8,FALSE))</f>
        <v>435200</v>
      </c>
      <c r="P147" s="46">
        <f t="shared" ca="1" si="7"/>
        <v>6.4842958460153647E-3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input_528100!A$2</f>
        <v>528100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IFERROR(VLOOKUP(B148,input_528100!L:R,7,FALSE),VLOOKUP(tables_528100!C148,input_528100!A:H,8,FALSE))</f>
        <v>24682.307690000001</v>
      </c>
      <c r="P148" s="46">
        <f t="shared" ca="1" si="7"/>
        <v>3.6775594031328149E-4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input_528100!A$2</f>
        <v>528100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IFERROR(VLOOKUP(B149,input_528100!L:R,7,FALSE),VLOOKUP(tables_528100!C149,input_528100!A:H,8,FALSE))</f>
        <v>22560</v>
      </c>
      <c r="P149" s="46">
        <f t="shared" ca="1" si="7"/>
        <v>3.3613445378241413E-4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input_528100!A$2</f>
        <v>528100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IFERROR(VLOOKUP(B150,input_528100!L:R,7,FALSE),VLOOKUP(tables_528100!C150,input_528100!A:H,8,FALSE))</f>
        <v>5640</v>
      </c>
      <c r="P150" s="46">
        <f t="shared" ca="1" si="7"/>
        <v>8.4033613445603532E-5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input_528100!A$2</f>
        <v>528100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IFERROR(VLOOKUP(B151,input_528100!L:R,7,FALSE),VLOOKUP(tables_528100!C151,input_528100!A:H,8,FALSE))</f>
        <v>22560</v>
      </c>
      <c r="P151" s="46">
        <f t="shared" ca="1" si="7"/>
        <v>3.3613445378241413E-4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input_528100!A$2</f>
        <v>528100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IFERROR(VLOOKUP(B152,input_528100!L:R,7,FALSE),VLOOKUP(tables_528100!C152,input_528100!A:H,8,FALSE))</f>
        <v>5640</v>
      </c>
      <c r="P152" s="46">
        <f t="shared" ca="1" si="7"/>
        <v>8.4033613445603532E-5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input_528100!A$2</f>
        <v>528100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IFERROR(VLOOKUP(B153,input_528100!L:R,7,FALSE),VLOOKUP(tables_528100!C153,input_528100!A:H,8,FALSE))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input_528100!A$2</f>
        <v>528100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IFERROR(VLOOKUP(B154,input_528100!L:R,7,FALSE),VLOOKUP(tables_528100!C154,input_528100!A:H,8,FALSE))</f>
        <v>435200</v>
      </c>
      <c r="P154" s="46">
        <f t="shared" ca="1" si="7"/>
        <v>6.4842958460153647E-3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input_528100!A$2</f>
        <v>528100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IFERROR(VLOOKUP(B155,input_528100!L:R,7,FALSE),VLOOKUP(tables_528100!C155,input_528100!A:H,8,FALSE))</f>
        <v>24682.307690000001</v>
      </c>
      <c r="P155" s="46">
        <f t="shared" ca="1" si="7"/>
        <v>3.6775594031328149E-4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input_528100!A$2</f>
        <v>528100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IFERROR(VLOOKUP(B156,input_528100!L:R,7,FALSE),VLOOKUP(tables_528100!C156,input_528100!A:H,8,FALSE))</f>
        <v>22560</v>
      </c>
      <c r="P156" s="46">
        <f t="shared" ca="1" si="7"/>
        <v>3.3613445378241413E-4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input_528100!A$2</f>
        <v>528100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IFERROR(VLOOKUP(B157,input_528100!L:R,7,FALSE),VLOOKUP(tables_528100!C157,input_528100!A:H,8,FALSE))</f>
        <v>5640</v>
      </c>
      <c r="P157" s="46">
        <f t="shared" ca="1" si="7"/>
        <v>8.4033613445603532E-5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input_528100!A$2</f>
        <v>528100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IFERROR(VLOOKUP(B158,input_528100!L:R,7,FALSE),VLOOKUP(tables_528100!C158,input_528100!A:H,8,FALSE))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input_528100!A$2</f>
        <v>528100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IFERROR(VLOOKUP(B159,input_528100!L:R,7,FALSE),VLOOKUP(tables_528100!C159,input_528100!A:H,8,FALSE))</f>
        <v>435200</v>
      </c>
      <c r="P159" s="46">
        <f t="shared" ca="1" si="7"/>
        <v>6.4842958460153647E-3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input_528100!A$2</f>
        <v>528100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IFERROR(VLOOKUP(B160,input_528100!L:R,7,FALSE),VLOOKUP(tables_528100!C160,input_528100!A:H,8,FALSE))</f>
        <v>24682.307690000001</v>
      </c>
      <c r="P160" s="46">
        <f t="shared" ca="1" si="7"/>
        <v>3.6775594031328149E-4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input_528100!A$2</f>
        <v>528100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IFERROR(VLOOKUP(B161,input_528100!L:R,7,FALSE),VLOOKUP(tables_528100!C161,input_528100!A:H,8,FALSE))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input_528100!A$2</f>
        <v>528100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IFERROR(VLOOKUP(B162,input_528100!L:R,7,FALSE),VLOOKUP(tables_528100!C162,input_528100!A:H,8,FALSE))</f>
        <v>435200</v>
      </c>
      <c r="P162" s="46">
        <f t="shared" ca="1" si="7"/>
        <v>6.4842958460153647E-3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input_528100!A$2</f>
        <v>528100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IFERROR(VLOOKUP(B163,input_528100!L:R,7,FALSE),VLOOKUP(tables_528100!C163,input_528100!A:H,8,FALSE))</f>
        <v>24682.307690000001</v>
      </c>
      <c r="P163" s="46">
        <f t="shared" ca="1" si="7"/>
        <v>3.6775594031328149E-4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input_528100!A$2</f>
        <v>528100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IFERROR(VLOOKUP(B164,input_528100!L:R,7,FALSE),VLOOKUP(tables_528100!C164,input_528100!A:H,8,FALSE))</f>
        <v>22560</v>
      </c>
      <c r="P164" s="46">
        <f t="shared" ca="1" si="7"/>
        <v>3.3613445378241413E-4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input_528100!A$2</f>
        <v>528100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IFERROR(VLOOKUP(B165,input_528100!L:R,7,FALSE),VLOOKUP(tables_528100!C165,input_528100!A:H,8,FALSE))</f>
        <v>5640</v>
      </c>
      <c r="P165" s="46">
        <f t="shared" ca="1" si="7"/>
        <v>8.4033613445603532E-5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input_528100!A$2</f>
        <v>528100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IFERROR(VLOOKUP(B166,input_528100!L:R,7,FALSE),VLOOKUP(tables_528100!C166,input_528100!A:H,8,FALSE))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input_528100!A$2</f>
        <v>528100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IFERROR(VLOOKUP(B167,input_528100!L:R,7,FALSE),VLOOKUP(tables_528100!C167,input_528100!A:H,8,FALSE))</f>
        <v>435200</v>
      </c>
      <c r="P167" s="46">
        <f t="shared" ca="1" si="7"/>
        <v>6.4842958460153647E-3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input_528100!A$2</f>
        <v>528100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IFERROR(VLOOKUP(B168,input_528100!L:R,7,FALSE),VLOOKUP(tables_528100!C168,input_528100!A:H,8,FALSE))</f>
        <v>24682.307690000001</v>
      </c>
      <c r="P168" s="46">
        <f t="shared" ca="1" si="7"/>
        <v>3.6775594031328149E-4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input_528100!A$2</f>
        <v>528100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IFERROR(VLOOKUP(B169,input_528100!L:R,7,FALSE),VLOOKUP(tables_528100!C169,input_528100!A:H,8,FALSE))</f>
        <v>22560</v>
      </c>
      <c r="P169" s="46">
        <f t="shared" ca="1" si="7"/>
        <v>3.3613445378241413E-4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input_528100!A$2</f>
        <v>528100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IFERROR(VLOOKUP(B170,input_528100!L:R,7,FALSE),VLOOKUP(tables_528100!C170,input_528100!A:H,8,FALSE))</f>
        <v>5640</v>
      </c>
      <c r="P170" s="46">
        <f t="shared" ca="1" si="7"/>
        <v>8.4033613445603532E-5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input_528100!A$2</f>
        <v>528100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IFERROR(VLOOKUP(B171,input_528100!L:R,7,FALSE),VLOOKUP(tables_528100!C171,input_528100!A:H,8,FALSE))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input_528100!A$2</f>
        <v>528100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IFERROR(VLOOKUP(B172,input_528100!L:R,7,FALSE),VLOOKUP(tables_528100!C172,input_528100!A:H,8,FALSE))</f>
        <v>435200</v>
      </c>
      <c r="P172" s="46">
        <f t="shared" ca="1" si="7"/>
        <v>6.4842958460153647E-3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input_528100!A$2</f>
        <v>528100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IFERROR(VLOOKUP(B173,input_528100!L:R,7,FALSE),VLOOKUP(tables_528100!C173,input_528100!A:H,8,FALSE))</f>
        <v>24682.307690000001</v>
      </c>
      <c r="P173" s="46">
        <f t="shared" ca="1" si="7"/>
        <v>3.6775594031328149E-4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input_528100!A$2</f>
        <v>528100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IFERROR(VLOOKUP(B174,input_528100!L:R,7,FALSE),VLOOKUP(tables_528100!C174,input_528100!A:H,8,FALSE))</f>
        <v>22560</v>
      </c>
      <c r="P174" s="46">
        <f t="shared" ca="1" si="7"/>
        <v>3.3613445378241413E-4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input_528100!A$2</f>
        <v>528100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IFERROR(VLOOKUP(B175,input_528100!L:R,7,FALSE),VLOOKUP(tables_528100!C175,input_528100!A:H,8,FALSE))</f>
        <v>5640</v>
      </c>
      <c r="P175" s="46">
        <f t="shared" ca="1" si="7"/>
        <v>8.4033613445603532E-5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input_528100!A$2</f>
        <v>528100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IFERROR(VLOOKUP(B176,input_528100!L:R,7,FALSE),VLOOKUP(tables_528100!C176,input_528100!A:H,8,FALSE))</f>
        <v>22560</v>
      </c>
      <c r="P176" s="46">
        <f t="shared" ca="1" si="7"/>
        <v>3.3613445378241413E-4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input_528100!A$2</f>
        <v>528100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IFERROR(VLOOKUP(B177,input_528100!L:R,7,FALSE),VLOOKUP(tables_528100!C177,input_528100!A:H,8,FALSE))</f>
        <v>5640</v>
      </c>
      <c r="P177" s="46">
        <f t="shared" ca="1" si="7"/>
        <v>8.4033613445603532E-5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input_528100!A$2</f>
        <v>528100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IFERROR(VLOOKUP(B178,input_528100!L:R,7,FALSE),VLOOKUP(tables_528100!C178,input_528100!A:H,8,FALSE))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input_528100!A$2</f>
        <v>528100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IFERROR(VLOOKUP(B179,input_528100!L:R,7,FALSE),VLOOKUP(tables_528100!C179,input_528100!A:H,8,FALSE))</f>
        <v>435200</v>
      </c>
      <c r="P179" s="46">
        <f t="shared" ca="1" si="7"/>
        <v>6.4842958460153647E-3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input_528100!A$2</f>
        <v>528100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IFERROR(VLOOKUP(B180,input_528100!L:R,7,FALSE),VLOOKUP(tables_528100!C180,input_528100!A:H,8,FALSE))</f>
        <v>24682.307690000001</v>
      </c>
      <c r="P180" s="46">
        <f t="shared" ca="1" si="7"/>
        <v>3.6775594031328149E-4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input_528100!A$2</f>
        <v>528100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IFERROR(VLOOKUP(B181,input_528100!L:R,7,FALSE),VLOOKUP(tables_528100!C181,input_528100!A:H,8,FALSE))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input_528100!A$2</f>
        <v>528100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IFERROR(VLOOKUP(B182,input_528100!L:R,7,FALSE),VLOOKUP(tables_528100!C182,input_528100!A:H,8,FALSE))</f>
        <v>435200</v>
      </c>
      <c r="P182" s="46">
        <f t="shared" ca="1" si="7"/>
        <v>6.4842958460153647E-3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input_528100!A$2</f>
        <v>528100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IFERROR(VLOOKUP(B183,input_528100!L:R,7,FALSE),VLOOKUP(tables_528100!C183,input_528100!A:H,8,FALSE))</f>
        <v>24682.307690000001</v>
      </c>
      <c r="P183" s="46">
        <f t="shared" ca="1" si="7"/>
        <v>3.6775594031328149E-4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input_528100!A$2</f>
        <v>528100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IFERROR(VLOOKUP(B184,input_528100!L:R,7,FALSE),VLOOKUP(tables_528100!C184,input_528100!A:H,8,FALSE))</f>
        <v>22560</v>
      </c>
      <c r="P184" s="46">
        <f t="shared" ca="1" si="7"/>
        <v>3.3613445378241413E-4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input_528100!A$2</f>
        <v>528100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IFERROR(VLOOKUP(B185,input_528100!L:R,7,FALSE),VLOOKUP(tables_528100!C185,input_528100!A:H,8,FALSE))</f>
        <v>5640</v>
      </c>
      <c r="P185" s="46">
        <f t="shared" ca="1" si="7"/>
        <v>8.4033613445603532E-5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input_528100!A$2</f>
        <v>528100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IFERROR(VLOOKUP(B186,input_528100!L:R,7,FALSE),VLOOKUP(tables_528100!C186,input_528100!A:H,8,FALSE))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input_528100!A$2</f>
        <v>528100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IFERROR(VLOOKUP(B187,input_528100!L:R,7,FALSE),VLOOKUP(tables_528100!C187,input_528100!A:H,8,FALSE))</f>
        <v>435200</v>
      </c>
      <c r="P187" s="46">
        <f t="shared" ca="1" si="7"/>
        <v>6.4842958460153647E-3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input_528100!A$2</f>
        <v>528100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IFERROR(VLOOKUP(B188,input_528100!L:R,7,FALSE),VLOOKUP(tables_528100!C188,input_528100!A:H,8,FALSE))</f>
        <v>24682.307690000001</v>
      </c>
      <c r="P188" s="46">
        <f t="shared" ca="1" si="7"/>
        <v>3.6775594031328149E-4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input_528100!A$2</f>
        <v>528100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IFERROR(VLOOKUP(B189,input_528100!L:R,7,FALSE),VLOOKUP(tables_528100!C189,input_528100!A:H,8,FALSE))</f>
        <v>22560</v>
      </c>
      <c r="P189" s="46">
        <f t="shared" ca="1" si="7"/>
        <v>3.3613445378241413E-4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input_528100!A$2</f>
        <v>528100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IFERROR(VLOOKUP(B190,input_528100!L:R,7,FALSE),VLOOKUP(tables_528100!C190,input_528100!A:H,8,FALSE))</f>
        <v>5640</v>
      </c>
      <c r="P190" s="46">
        <f t="shared" ca="1" si="7"/>
        <v>8.4033613445603532E-5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input_528100!A$2</f>
        <v>528100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IFERROR(VLOOKUP(B191,input_528100!L:R,7,FALSE),VLOOKUP(tables_528100!C191,input_528100!A:H,8,FALSE))</f>
        <v>22560</v>
      </c>
      <c r="P191" s="46">
        <f t="shared" ca="1" si="7"/>
        <v>3.3613445378241413E-4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input_528100!A$2</f>
        <v>528100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IFERROR(VLOOKUP(B192,input_528100!L:R,7,FALSE),VLOOKUP(tables_528100!C192,input_528100!A:H,8,FALSE))</f>
        <v>5640</v>
      </c>
      <c r="P192" s="46">
        <f t="shared" ca="1" si="7"/>
        <v>8.4033613445603532E-5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input_528100!A$2</f>
        <v>528100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IFERROR(VLOOKUP(B193,input_528100!L:R,7,FALSE),VLOOKUP(tables_528100!C193,input_528100!A:H,8,FALSE))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input_528100!A$2</f>
        <v>528100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IFERROR(VLOOKUP(B194,input_528100!L:R,7,FALSE),VLOOKUP(tables_528100!C194,input_528100!A:H,8,FALSE))</f>
        <v>435200</v>
      </c>
      <c r="P194" s="46">
        <f t="shared" ref="P194:P257" ca="1" si="10">O194/SUM(O:O)</f>
        <v>6.4842958460153647E-3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input_528100!A$2</f>
        <v>528100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IFERROR(VLOOKUP(B195,input_528100!L:R,7,FALSE),VLOOKUP(tables_528100!C195,input_528100!A:H,8,FALSE))</f>
        <v>24682.307690000001</v>
      </c>
      <c r="P195" s="46">
        <f t="shared" ca="1" si="10"/>
        <v>3.6775594031328149E-4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input_528100!A$2</f>
        <v>528100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IFERROR(VLOOKUP(B196,input_528100!L:R,7,FALSE),VLOOKUP(tables_528100!C196,input_528100!A:H,8,FALSE))</f>
        <v>22560</v>
      </c>
      <c r="P196" s="46">
        <f t="shared" ca="1" si="10"/>
        <v>3.3613445378241413E-4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input_528100!A$2</f>
        <v>528100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IFERROR(VLOOKUP(B197,input_528100!L:R,7,FALSE),VLOOKUP(tables_528100!C197,input_528100!A:H,8,FALSE))</f>
        <v>5640</v>
      </c>
      <c r="P197" s="46">
        <f t="shared" ca="1" si="10"/>
        <v>8.4033613445603532E-5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input_528100!A$2</f>
        <v>528100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IFERROR(VLOOKUP(B198,input_528100!L:R,7,FALSE),VLOOKUP(tables_528100!C198,input_528100!A:H,8,FALSE))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input_528100!A$2</f>
        <v>528100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IFERROR(VLOOKUP(B199,input_528100!L:R,7,FALSE),VLOOKUP(tables_528100!C199,input_528100!A:H,8,FALSE))</f>
        <v>435200</v>
      </c>
      <c r="P199" s="46">
        <f t="shared" ca="1" si="10"/>
        <v>6.4842958460153647E-3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input_528100!A$2</f>
        <v>528100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IFERROR(VLOOKUP(B200,input_528100!L:R,7,FALSE),VLOOKUP(tables_528100!C200,input_528100!A:H,8,FALSE))</f>
        <v>24682.307690000001</v>
      </c>
      <c r="P200" s="46">
        <f t="shared" ca="1" si="10"/>
        <v>3.6775594031328149E-4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input_528100!A$2</f>
        <v>528100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IFERROR(VLOOKUP(B201,input_528100!L:R,7,FALSE),VLOOKUP(tables_528100!C201,input_528100!A:H,8,FALSE))</f>
        <v>22560</v>
      </c>
      <c r="P201" s="46">
        <f t="shared" ca="1" si="10"/>
        <v>3.3613445378241413E-4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input_528100!A$2</f>
        <v>528100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IFERROR(VLOOKUP(B202,input_528100!L:R,7,FALSE),VLOOKUP(tables_528100!C202,input_528100!A:H,8,FALSE))</f>
        <v>5640</v>
      </c>
      <c r="P202" s="46">
        <f t="shared" ca="1" si="10"/>
        <v>8.4033613445603532E-5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input_528100!A$2</f>
        <v>528100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IFERROR(VLOOKUP(B203,input_528100!L:R,7,FALSE),VLOOKUP(tables_528100!C203,input_528100!A:H,8,FALSE))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input_528100!A$2</f>
        <v>528100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IFERROR(VLOOKUP(B204,input_528100!L:R,7,FALSE),VLOOKUP(tables_528100!C204,input_528100!A:H,8,FALSE))</f>
        <v>435200</v>
      </c>
      <c r="P204" s="46">
        <f t="shared" ca="1" si="10"/>
        <v>6.4842958460153647E-3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input_528100!A$2</f>
        <v>528100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IFERROR(VLOOKUP(B205,input_528100!L:R,7,FALSE),VLOOKUP(tables_528100!C205,input_528100!A:H,8,FALSE))</f>
        <v>24682.307690000001</v>
      </c>
      <c r="P205" s="46">
        <f t="shared" ca="1" si="10"/>
        <v>3.6775594031328149E-4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input_528100!A$2</f>
        <v>528100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IFERROR(VLOOKUP(B206,input_528100!L:R,7,FALSE),VLOOKUP(tables_528100!C206,input_528100!A:H,8,FALSE))</f>
        <v>22560</v>
      </c>
      <c r="P206" s="46">
        <f t="shared" ca="1" si="10"/>
        <v>3.3613445378241413E-4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input_528100!A$2</f>
        <v>528100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IFERROR(VLOOKUP(B207,input_528100!L:R,7,FALSE),VLOOKUP(tables_528100!C207,input_528100!A:H,8,FALSE))</f>
        <v>5640</v>
      </c>
      <c r="P207" s="46">
        <f t="shared" ca="1" si="10"/>
        <v>8.4033613445603532E-5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input_528100!A$2</f>
        <v>528100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IFERROR(VLOOKUP(B208,input_528100!L:R,7,FALSE),VLOOKUP(tables_528100!C208,input_528100!A:H,8,FALSE))</f>
        <v>22560</v>
      </c>
      <c r="P208" s="46">
        <f t="shared" ca="1" si="10"/>
        <v>3.3613445378241413E-4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input_528100!A$2</f>
        <v>528100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IFERROR(VLOOKUP(B209,input_528100!L:R,7,FALSE),VLOOKUP(tables_528100!C209,input_528100!A:H,8,FALSE))</f>
        <v>5640</v>
      </c>
      <c r="P209" s="46">
        <f t="shared" ca="1" si="10"/>
        <v>8.4033613445603532E-5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input_528100!A$2</f>
        <v>528100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IFERROR(VLOOKUP(B210,input_528100!L:R,7,FALSE),VLOOKUP(tables_528100!C210,input_528100!A:H,8,FALSE))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input_528100!A$2</f>
        <v>528100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IFERROR(VLOOKUP(B211,input_528100!L:R,7,FALSE),VLOOKUP(tables_528100!C211,input_528100!A:H,8,FALSE))</f>
        <v>435200</v>
      </c>
      <c r="P211" s="46">
        <f t="shared" ca="1" si="10"/>
        <v>6.4842958460153647E-3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input_528100!A$2</f>
        <v>528100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IFERROR(VLOOKUP(B212,input_528100!L:R,7,FALSE),VLOOKUP(tables_528100!C212,input_528100!A:H,8,FALSE))</f>
        <v>24682.307690000001</v>
      </c>
      <c r="P212" s="46">
        <f t="shared" ca="1" si="10"/>
        <v>3.6775594031328149E-4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input_528100!A$2</f>
        <v>528100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IFERROR(VLOOKUP(B213,input_528100!L:R,7,FALSE),VLOOKUP(tables_528100!C213,input_528100!A:H,8,FALSE))</f>
        <v>22560</v>
      </c>
      <c r="P213" s="46">
        <f t="shared" ca="1" si="10"/>
        <v>3.3613445378241413E-4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input_528100!A$2</f>
        <v>528100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IFERROR(VLOOKUP(B214,input_528100!L:R,7,FALSE),VLOOKUP(tables_528100!C214,input_528100!A:H,8,FALSE))</f>
        <v>5640</v>
      </c>
      <c r="P214" s="46">
        <f t="shared" ca="1" si="10"/>
        <v>8.4033613445603532E-5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input_528100!A$2</f>
        <v>528100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IFERROR(VLOOKUP(B215,input_528100!L:R,7,FALSE),VLOOKUP(tables_528100!C215,input_528100!A:H,8,FALSE))</f>
        <v>108800</v>
      </c>
      <c r="P215" s="46">
        <f t="shared" ca="1" si="10"/>
        <v>1.6210739615038412E-3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input_528100!A$2</f>
        <v>528100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IFERROR(VLOOKUP(B216,input_528100!L:R,7,FALSE),VLOOKUP(tables_528100!C216,input_528100!A:H,8,FALSE))</f>
        <v>108800</v>
      </c>
      <c r="P216" s="46">
        <f t="shared" ca="1" si="10"/>
        <v>1.6210739615038412E-3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input_528100!A$2</f>
        <v>528100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IFERROR(VLOOKUP(B217,input_528100!L:R,7,FALSE),VLOOKUP(tables_528100!C217,input_528100!A:H,8,FALSE))</f>
        <v>108800</v>
      </c>
      <c r="P217" s="46">
        <f t="shared" ca="1" si="10"/>
        <v>1.6210739615038412E-3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input_528100!A$2</f>
        <v>528100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IFERROR(VLOOKUP(B218,input_528100!L:R,7,FALSE),VLOOKUP(tables_528100!C218,input_528100!A:H,8,FALSE))</f>
        <v>108800</v>
      </c>
      <c r="P218" s="46">
        <f t="shared" ca="1" si="10"/>
        <v>1.6210739615038412E-3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input_528100!A$2</f>
        <v>528100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IFERROR(VLOOKUP(B219,input_528100!L:R,7,FALSE),VLOOKUP(tables_528100!C219,input_528100!A:H,8,FALSE))</f>
        <v>108800</v>
      </c>
      <c r="P219" s="46">
        <f t="shared" ca="1" si="10"/>
        <v>1.6210739615038412E-3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input_528100!A$2</f>
        <v>528100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IFERROR(VLOOKUP(B220,input_528100!L:R,7,FALSE),VLOOKUP(tables_528100!C220,input_528100!A:H,8,FALSE))</f>
        <v>108800</v>
      </c>
      <c r="P220" s="46">
        <f t="shared" ca="1" si="10"/>
        <v>1.6210739615038412E-3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input_528100!A$2</f>
        <v>528100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IFERROR(VLOOKUP(B221,input_528100!L:R,7,FALSE),VLOOKUP(tables_528100!C221,input_528100!A:H,8,FALSE))</f>
        <v>22560</v>
      </c>
      <c r="P221" s="46">
        <f t="shared" ca="1" si="10"/>
        <v>3.3613445378241413E-4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input_528100!A$2</f>
        <v>528100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IFERROR(VLOOKUP(B222,input_528100!L:R,7,FALSE),VLOOKUP(tables_528100!C222,input_528100!A:H,8,FALSE))</f>
        <v>5640</v>
      </c>
      <c r="P222" s="46">
        <f t="shared" ca="1" si="10"/>
        <v>8.4033613445603532E-5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input_528100!A$2</f>
        <v>528100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IFERROR(VLOOKUP(B223,input_528100!L:R,7,FALSE),VLOOKUP(tables_528100!C223,input_528100!A:H,8,FALSE))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input_528100!A$2</f>
        <v>528100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IFERROR(VLOOKUP(B224,input_528100!L:R,7,FALSE),VLOOKUP(tables_528100!C224,input_528100!A:H,8,FALSE))</f>
        <v>435200</v>
      </c>
      <c r="P224" s="46">
        <f t="shared" ca="1" si="10"/>
        <v>6.4842958460153647E-3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input_528100!A$2</f>
        <v>528100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IFERROR(VLOOKUP(B225,input_528100!L:R,7,FALSE),VLOOKUP(tables_528100!C225,input_528100!A:H,8,FALSE))</f>
        <v>24682.307690000001</v>
      </c>
      <c r="P225" s="46">
        <f t="shared" ca="1" si="10"/>
        <v>3.6775594031328149E-4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input_528100!A$2</f>
        <v>528100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IFERROR(VLOOKUP(B226,input_528100!L:R,7,FALSE),VLOOKUP(tables_528100!C226,input_528100!A:H,8,FALSE))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input_528100!A$2</f>
        <v>528100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IFERROR(VLOOKUP(B227,input_528100!L:R,7,FALSE),VLOOKUP(tables_528100!C227,input_528100!A:H,8,FALSE))</f>
        <v>435200</v>
      </c>
      <c r="P227" s="46">
        <f t="shared" ca="1" si="10"/>
        <v>6.4842958460153647E-3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input_528100!A$2</f>
        <v>528100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IFERROR(VLOOKUP(B228,input_528100!L:R,7,FALSE),VLOOKUP(tables_528100!C228,input_528100!A:H,8,FALSE))</f>
        <v>24682.307690000001</v>
      </c>
      <c r="P228" s="46">
        <f t="shared" ca="1" si="10"/>
        <v>3.6775594031328149E-4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input_528100!A$2</f>
        <v>528100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IFERROR(VLOOKUP(B229,input_528100!L:R,7,FALSE),VLOOKUP(tables_528100!C229,input_528100!A:H,8,FALSE))</f>
        <v>22560</v>
      </c>
      <c r="P229" s="46">
        <f t="shared" ca="1" si="10"/>
        <v>3.3613445378241413E-4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input_528100!A$2</f>
        <v>528100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IFERROR(VLOOKUP(B230,input_528100!L:R,7,FALSE),VLOOKUP(tables_528100!C230,input_528100!A:H,8,FALSE))</f>
        <v>5640</v>
      </c>
      <c r="P230" s="46">
        <f t="shared" ca="1" si="10"/>
        <v>8.4033613445603532E-5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input_528100!A$2</f>
        <v>528100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IFERROR(VLOOKUP(B231,input_528100!L:R,7,FALSE),VLOOKUP(tables_528100!C231,input_528100!A:H,8,FALSE))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input_528100!A$2</f>
        <v>528100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IFERROR(VLOOKUP(B232,input_528100!L:R,7,FALSE),VLOOKUP(tables_528100!C232,input_528100!A:H,8,FALSE))</f>
        <v>435200</v>
      </c>
      <c r="P232" s="46">
        <f t="shared" ca="1" si="10"/>
        <v>6.4842958460153647E-3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input_528100!A$2</f>
        <v>528100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IFERROR(VLOOKUP(B233,input_528100!L:R,7,FALSE),VLOOKUP(tables_528100!C233,input_528100!A:H,8,FALSE))</f>
        <v>24682.307690000001</v>
      </c>
      <c r="P233" s="46">
        <f t="shared" ca="1" si="10"/>
        <v>3.6775594031328149E-4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input_528100!A$2</f>
        <v>528100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IFERROR(VLOOKUP(B234,input_528100!L:R,7,FALSE),VLOOKUP(tables_528100!C234,input_528100!A:H,8,FALSE))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input_528100!A$2</f>
        <v>528100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IFERROR(VLOOKUP(B235,input_528100!L:R,7,FALSE),VLOOKUP(tables_528100!C235,input_528100!A:H,8,FALSE))</f>
        <v>435200</v>
      </c>
      <c r="P235" s="46">
        <f t="shared" ca="1" si="10"/>
        <v>6.4842958460153647E-3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input_528100!A$2</f>
        <v>528100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IFERROR(VLOOKUP(B236,input_528100!L:R,7,FALSE),VLOOKUP(tables_528100!C236,input_528100!A:H,8,FALSE))</f>
        <v>24682.307690000001</v>
      </c>
      <c r="P236" s="46">
        <f t="shared" ca="1" si="10"/>
        <v>3.6775594031328149E-4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input_528100!A$2</f>
        <v>528100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IFERROR(VLOOKUP(B237,input_528100!L:R,7,FALSE),VLOOKUP(tables_528100!C237,input_528100!A:H,8,FALSE))</f>
        <v>22560</v>
      </c>
      <c r="P237" s="46">
        <f t="shared" ca="1" si="10"/>
        <v>3.3613445378241413E-4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input_528100!A$2</f>
        <v>528100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IFERROR(VLOOKUP(B238,input_528100!L:R,7,FALSE),VLOOKUP(tables_528100!C238,input_528100!A:H,8,FALSE))</f>
        <v>5640</v>
      </c>
      <c r="P238" s="46">
        <f t="shared" ca="1" si="10"/>
        <v>8.4033613445603532E-5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input_528100!A$2</f>
        <v>528100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IFERROR(VLOOKUP(B239,input_528100!L:R,7,FALSE),VLOOKUP(tables_528100!C239,input_528100!A:H,8,FALSE))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input_528100!A$2</f>
        <v>528100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IFERROR(VLOOKUP(B240,input_528100!L:R,7,FALSE),VLOOKUP(tables_528100!C240,input_528100!A:H,8,FALSE))</f>
        <v>435200</v>
      </c>
      <c r="P240" s="46">
        <f t="shared" ca="1" si="10"/>
        <v>6.4842958460153647E-3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input_528100!A$2</f>
        <v>528100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IFERROR(VLOOKUP(B241,input_528100!L:R,7,FALSE),VLOOKUP(tables_528100!C241,input_528100!A:H,8,FALSE))</f>
        <v>24682.307690000001</v>
      </c>
      <c r="P241" s="46">
        <f t="shared" ca="1" si="10"/>
        <v>3.6775594031328149E-4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input_528100!A$2</f>
        <v>528100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IFERROR(VLOOKUP(B242,input_528100!L:R,7,FALSE),VLOOKUP(tables_528100!C242,input_528100!A:H,8,FALSE))</f>
        <v>22560</v>
      </c>
      <c r="P242" s="46">
        <f t="shared" ca="1" si="10"/>
        <v>3.3613445378241413E-4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input_528100!A$2</f>
        <v>528100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IFERROR(VLOOKUP(B243,input_528100!L:R,7,FALSE),VLOOKUP(tables_528100!C243,input_528100!A:H,8,FALSE))</f>
        <v>5640</v>
      </c>
      <c r="P243" s="46">
        <f t="shared" ca="1" si="10"/>
        <v>8.4033613445603532E-5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input_528100!A$2</f>
        <v>528100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IFERROR(VLOOKUP(B244,input_528100!L:R,7,FALSE),VLOOKUP(tables_528100!C244,input_528100!A:H,8,FALSE))</f>
        <v>22560</v>
      </c>
      <c r="P244" s="46">
        <f t="shared" ca="1" si="10"/>
        <v>3.3613445378241413E-4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input_528100!A$2</f>
        <v>528100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IFERROR(VLOOKUP(B245,input_528100!L:R,7,FALSE),VLOOKUP(tables_528100!C245,input_528100!A:H,8,FALSE))</f>
        <v>5640</v>
      </c>
      <c r="P245" s="46">
        <f t="shared" ca="1" si="10"/>
        <v>8.4033613445603532E-5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input_528100!A$2</f>
        <v>528100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IFERROR(VLOOKUP(B246,input_528100!L:R,7,FALSE),VLOOKUP(tables_528100!C246,input_528100!A:H,8,FALSE))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input_528100!A$2</f>
        <v>528100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IFERROR(VLOOKUP(B247,input_528100!L:R,7,FALSE),VLOOKUP(tables_528100!C247,input_528100!A:H,8,FALSE))</f>
        <v>435200</v>
      </c>
      <c r="P247" s="46">
        <f t="shared" ca="1" si="10"/>
        <v>6.4842958460153647E-3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input_528100!A$2</f>
        <v>528100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IFERROR(VLOOKUP(B248,input_528100!L:R,7,FALSE),VLOOKUP(tables_528100!C248,input_528100!A:H,8,FALSE))</f>
        <v>24682.307690000001</v>
      </c>
      <c r="P248" s="46">
        <f t="shared" ca="1" si="10"/>
        <v>3.6775594031328149E-4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input_528100!A$2</f>
        <v>528100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IFERROR(VLOOKUP(B249,input_528100!L:R,7,FALSE),VLOOKUP(tables_528100!C249,input_528100!A:H,8,FALSE))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input_528100!A$2</f>
        <v>528100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IFERROR(VLOOKUP(B250,input_528100!L:R,7,FALSE),VLOOKUP(tables_528100!C250,input_528100!A:H,8,FALSE))</f>
        <v>435200</v>
      </c>
      <c r="P250" s="46">
        <f t="shared" ca="1" si="10"/>
        <v>6.4842958460153647E-3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input_528100!A$2</f>
        <v>528100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IFERROR(VLOOKUP(B251,input_528100!L:R,7,FALSE),VLOOKUP(tables_528100!C251,input_528100!A:H,8,FALSE))</f>
        <v>24682.307690000001</v>
      </c>
      <c r="P251" s="46">
        <f t="shared" ca="1" si="10"/>
        <v>3.6775594031328149E-4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input_528100!A$2</f>
        <v>528100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IFERROR(VLOOKUP(B252,input_528100!L:R,7,FALSE),VLOOKUP(tables_528100!C252,input_528100!A:H,8,FALSE))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input_528100!A$2</f>
        <v>528100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IFERROR(VLOOKUP(B253,input_528100!L:R,7,FALSE),VLOOKUP(tables_528100!C253,input_528100!A:H,8,FALSE))</f>
        <v>435200</v>
      </c>
      <c r="P253" s="46">
        <f t="shared" ca="1" si="10"/>
        <v>6.4842958460153647E-3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input_528100!A$2</f>
        <v>528100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IFERROR(VLOOKUP(B254,input_528100!L:R,7,FALSE),VLOOKUP(tables_528100!C254,input_528100!A:H,8,FALSE))</f>
        <v>24682.307690000001</v>
      </c>
      <c r="P254" s="46">
        <f t="shared" ca="1" si="10"/>
        <v>3.6775594031328149E-4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input_528100!A$2</f>
        <v>528100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IFERROR(VLOOKUP(B255,input_528100!L:R,7,FALSE),VLOOKUP(tables_528100!C255,input_528100!A:H,8,FALSE))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input_528100!A$2</f>
        <v>528100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IFERROR(VLOOKUP(B256,input_528100!L:R,7,FALSE),VLOOKUP(tables_528100!C256,input_528100!A:H,8,FALSE))</f>
        <v>435200</v>
      </c>
      <c r="P256" s="46">
        <f t="shared" ca="1" si="10"/>
        <v>6.4842958460153647E-3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input_528100!A$2</f>
        <v>528100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IFERROR(VLOOKUP(B257,input_528100!L:R,7,FALSE),VLOOKUP(tables_528100!C257,input_528100!A:H,8,FALSE))</f>
        <v>24682.307690000001</v>
      </c>
      <c r="P257" s="46">
        <f t="shared" ca="1" si="10"/>
        <v>3.6775594031328149E-4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input_528100!A$2</f>
        <v>528100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IFERROR(VLOOKUP(B258,input_528100!L:R,7,FALSE),VLOOKUP(tables_528100!C258,input_528100!A:H,8,FALSE))</f>
        <v>22560</v>
      </c>
      <c r="P258" s="46">
        <f t="shared" ref="P258:P294" ca="1" si="13">O258/SUM(O:O)</f>
        <v>3.3613445378241413E-4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input_528100!A$2</f>
        <v>528100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IFERROR(VLOOKUP(B259,input_528100!L:R,7,FALSE),VLOOKUP(tables_528100!C259,input_528100!A:H,8,FALSE))</f>
        <v>5640</v>
      </c>
      <c r="P259" s="46">
        <f t="shared" ca="1" si="13"/>
        <v>8.4033613445603532E-5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input_528100!A$2</f>
        <v>528100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IFERROR(VLOOKUP(B260,input_528100!L:R,7,FALSE),VLOOKUP(tables_528100!C260,input_528100!A:H,8,FALSE))</f>
        <v>22560</v>
      </c>
      <c r="P260" s="46">
        <f t="shared" ca="1" si="13"/>
        <v>3.3613445378241413E-4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input_528100!A$2</f>
        <v>528100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IFERROR(VLOOKUP(B261,input_528100!L:R,7,FALSE),VLOOKUP(tables_528100!C261,input_528100!A:H,8,FALSE))</f>
        <v>5640</v>
      </c>
      <c r="P261" s="46">
        <f t="shared" ca="1" si="13"/>
        <v>8.4033613445603532E-5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input_528100!A$2</f>
        <v>528100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IFERROR(VLOOKUP(B262,input_528100!L:R,7,FALSE),VLOOKUP(tables_528100!C262,input_528100!A:H,8,FALSE))</f>
        <v>400842.10525999998</v>
      </c>
      <c r="P262" s="46">
        <f t="shared" ca="1" si="13"/>
        <v>5.9723777528618372E-3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input_528100!A$2</f>
        <v>528100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IFERROR(VLOOKUP(B263,input_528100!L:R,7,FALSE),VLOOKUP(tables_528100!C263,input_528100!A:H,8,FALSE))</f>
        <v>108800</v>
      </c>
      <c r="P263" s="46">
        <f t="shared" ca="1" si="13"/>
        <v>1.6210739615038412E-3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input_528100!A$2</f>
        <v>528100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IFERROR(VLOOKUP(B264,input_528100!L:R,7,FALSE),VLOOKUP(tables_528100!C264,input_528100!A:H,8,FALSE))</f>
        <v>400842.10525999998</v>
      </c>
      <c r="P264" s="46">
        <f t="shared" ca="1" si="13"/>
        <v>5.9723777528618372E-3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input_528100!A$2</f>
        <v>528100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IFERROR(VLOOKUP(B265,input_528100!L:R,7,FALSE),VLOOKUP(tables_528100!C265,input_528100!A:H,8,FALSE))</f>
        <v>108800</v>
      </c>
      <c r="P265" s="46">
        <f t="shared" ca="1" si="13"/>
        <v>1.6210739615038412E-3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input_528100!A$2</f>
        <v>528100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IFERROR(VLOOKUP(B266,input_528100!L:R,7,FALSE),VLOOKUP(tables_528100!C266,input_528100!A:H,8,FALSE))</f>
        <v>28200</v>
      </c>
      <c r="P266" s="46">
        <f t="shared" ca="1" si="13"/>
        <v>4.2016806722801765E-4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input_528100!A$2</f>
        <v>528100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IFERROR(VLOOKUP(B267,input_528100!L:R,7,FALSE),VLOOKUP(tables_528100!C267,input_528100!A:H,8,FALSE))</f>
        <v>28200</v>
      </c>
      <c r="P267" s="46">
        <f t="shared" ca="1" si="13"/>
        <v>4.2016806722801765E-4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input_528100!A$2</f>
        <v>528100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IFERROR(VLOOKUP(B268,input_528100!L:R,7,FALSE),VLOOKUP(tables_528100!C268,input_528100!A:H,8,FALSE))</f>
        <v>28200</v>
      </c>
      <c r="P268" s="46">
        <f t="shared" ca="1" si="13"/>
        <v>4.2016806722801765E-4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input_528100!A$2</f>
        <v>528100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IFERROR(VLOOKUP(B269,input_528100!L:R,7,FALSE),VLOOKUP(tables_528100!C269,input_528100!A:H,8,FALSE))</f>
        <v>28200</v>
      </c>
      <c r="P269" s="46">
        <f t="shared" ca="1" si="13"/>
        <v>4.2016806722801765E-4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input_528100!A$2</f>
        <v>528100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IFERROR(VLOOKUP(B270,input_528100!L:R,7,FALSE),VLOOKUP(tables_528100!C270,input_528100!A:H,8,FALSE))</f>
        <v>400842.10525999998</v>
      </c>
      <c r="P270" s="46">
        <f t="shared" ca="1" si="13"/>
        <v>5.9723777528618372E-3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input_528100!A$2</f>
        <v>528100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IFERROR(VLOOKUP(B271,input_528100!L:R,7,FALSE),VLOOKUP(tables_528100!C271,input_528100!A:H,8,FALSE))</f>
        <v>108800</v>
      </c>
      <c r="P271" s="46">
        <f t="shared" ca="1" si="13"/>
        <v>1.6210739615038412E-3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input_528100!A$2</f>
        <v>528100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IFERROR(VLOOKUP(B272,input_528100!L:R,7,FALSE),VLOOKUP(tables_528100!C272,input_528100!A:H,8,FALSE))</f>
        <v>400842.10525999998</v>
      </c>
      <c r="P272" s="46">
        <f t="shared" ca="1" si="13"/>
        <v>5.9723777528618372E-3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input_528100!A$2</f>
        <v>528100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IFERROR(VLOOKUP(B273,input_528100!L:R,7,FALSE),VLOOKUP(tables_528100!C273,input_528100!A:H,8,FALSE))</f>
        <v>108800</v>
      </c>
      <c r="P273" s="46">
        <f t="shared" ca="1" si="13"/>
        <v>1.6210739615038412E-3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input_528100!A$2</f>
        <v>528100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IFERROR(VLOOKUP(B274,input_528100!L:R,7,FALSE),VLOOKUP(tables_528100!C274,input_528100!A:H,8,FALSE))</f>
        <v>22560</v>
      </c>
      <c r="P274" s="46">
        <f t="shared" ca="1" si="13"/>
        <v>3.3613445378241413E-4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input_528100!A$2</f>
        <v>528100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IFERROR(VLOOKUP(B275,input_528100!L:R,7,FALSE),VLOOKUP(tables_528100!C275,input_528100!A:H,8,FALSE))</f>
        <v>5640</v>
      </c>
      <c r="P275" s="46">
        <f t="shared" ca="1" si="13"/>
        <v>8.4033613445603532E-5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input_528100!A$2</f>
        <v>528100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IFERROR(VLOOKUP(B276,input_528100!L:R,7,FALSE),VLOOKUP(tables_528100!C276,input_528100!A:H,8,FALSE))</f>
        <v>22560</v>
      </c>
      <c r="P276" s="46">
        <f t="shared" ca="1" si="13"/>
        <v>3.3613445378241413E-4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input_528100!A$2</f>
        <v>528100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IFERROR(VLOOKUP(B277,input_528100!L:R,7,FALSE),VLOOKUP(tables_528100!C277,input_528100!A:H,8,FALSE))</f>
        <v>5640</v>
      </c>
      <c r="P277" s="46">
        <f t="shared" ca="1" si="13"/>
        <v>8.4033613445603532E-5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input_528100!A$2</f>
        <v>528100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IFERROR(VLOOKUP(B278,input_528100!L:R,7,FALSE),VLOOKUP(tables_528100!C278,input_528100!A:H,8,FALSE))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input_528100!A$2</f>
        <v>528100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IFERROR(VLOOKUP(B279,input_528100!L:R,7,FALSE),VLOOKUP(tables_528100!C279,input_528100!A:H,8,FALSE))</f>
        <v>435200</v>
      </c>
      <c r="P279" s="46">
        <f t="shared" ca="1" si="13"/>
        <v>6.4842958460153647E-3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input_528100!A$2</f>
        <v>528100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IFERROR(VLOOKUP(B280,input_528100!L:R,7,FALSE),VLOOKUP(tables_528100!C280,input_528100!A:H,8,FALSE))</f>
        <v>24682.307690000001</v>
      </c>
      <c r="P280" s="46">
        <f t="shared" ca="1" si="13"/>
        <v>3.6775594031328149E-4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input_528100!A$2</f>
        <v>528100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IFERROR(VLOOKUP(B281,input_528100!L:R,7,FALSE),VLOOKUP(tables_528100!C281,input_528100!A:H,8,FALSE))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input_528100!A$2</f>
        <v>528100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IFERROR(VLOOKUP(B282,input_528100!L:R,7,FALSE),VLOOKUP(tables_528100!C282,input_528100!A:H,8,FALSE))</f>
        <v>435200</v>
      </c>
      <c r="P282" s="46">
        <f t="shared" ca="1" si="13"/>
        <v>6.4842958460153647E-3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input_528100!A$2</f>
        <v>528100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IFERROR(VLOOKUP(B283,input_528100!L:R,7,FALSE),VLOOKUP(tables_528100!C283,input_528100!A:H,8,FALSE))</f>
        <v>24682.307690000001</v>
      </c>
      <c r="P283" s="46">
        <f t="shared" ca="1" si="13"/>
        <v>3.6775594031328149E-4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input_528100!A$2</f>
        <v>528100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IFERROR(VLOOKUP(B284,input_528100!L:R,7,FALSE),VLOOKUP(tables_528100!C284,input_528100!A:H,8,FALSE))</f>
        <v>28200</v>
      </c>
      <c r="P284" s="46">
        <f t="shared" ca="1" si="13"/>
        <v>4.2016806722801765E-4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input_528100!A$2</f>
        <v>528100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IFERROR(VLOOKUP(B285,input_528100!L:R,7,FALSE),VLOOKUP(tables_528100!C285,input_528100!A:H,8,FALSE))</f>
        <v>28200</v>
      </c>
      <c r="P285" s="46">
        <f t="shared" ca="1" si="13"/>
        <v>4.2016806722801765E-4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input_528100!A$2</f>
        <v>528100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IFERROR(VLOOKUP(B286,input_528100!L:R,7,FALSE),VLOOKUP(tables_528100!C286,input_528100!A:H,8,FALSE))</f>
        <v>400842.10525999998</v>
      </c>
      <c r="P286" s="46">
        <f t="shared" ca="1" si="13"/>
        <v>5.9723777528618372E-3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input_528100!A$2</f>
        <v>528100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IFERROR(VLOOKUP(B287,input_528100!L:R,7,FALSE),VLOOKUP(tables_528100!C287,input_528100!A:H,8,FALSE))</f>
        <v>108800</v>
      </c>
      <c r="P287" s="46">
        <f t="shared" ca="1" si="13"/>
        <v>1.6210739615038412E-3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input_528100!A$2</f>
        <v>528100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IFERROR(VLOOKUP(B288,input_528100!L:R,7,FALSE),VLOOKUP(tables_528100!C288,input_528100!A:H,8,FALSE))</f>
        <v>400842.10525999998</v>
      </c>
      <c r="P288" s="46">
        <f t="shared" ca="1" si="13"/>
        <v>5.9723777528618372E-3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input_528100!A$2</f>
        <v>528100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IFERROR(VLOOKUP(B289,input_528100!L:R,7,FALSE),VLOOKUP(tables_528100!C289,input_528100!A:H,8,FALSE))</f>
        <v>108800</v>
      </c>
      <c r="P289" s="46">
        <f t="shared" ca="1" si="13"/>
        <v>1.6210739615038412E-3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input_528100!A$2</f>
        <v>528100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IFERROR(VLOOKUP(B290,input_528100!L:R,7,FALSE),VLOOKUP(tables_528100!C290,input_528100!A:H,8,FALSE))</f>
        <v>400842.10525999998</v>
      </c>
      <c r="P290" s="46">
        <f t="shared" ca="1" si="13"/>
        <v>5.9723777528618372E-3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input_528100!A$2</f>
        <v>528100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IFERROR(VLOOKUP(B291,input_528100!L:R,7,FALSE),VLOOKUP(tables_528100!C291,input_528100!A:H,8,FALSE))</f>
        <v>108800</v>
      </c>
      <c r="P291" s="46">
        <f t="shared" ca="1" si="13"/>
        <v>1.6210739615038412E-3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input_528100!A$2</f>
        <v>528100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IFERROR(VLOOKUP(B292,input_528100!L:R,7,FALSE),VLOOKUP(tables_528100!C292,input_528100!A:H,8,FALSE))</f>
        <v>400842.10525999998</v>
      </c>
      <c r="P292" s="46">
        <f t="shared" ca="1" si="13"/>
        <v>5.9723777528618372E-3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input_528100!A$2</f>
        <v>528100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IFERROR(VLOOKUP(B293,input_528100!L:R,7,FALSE),VLOOKUP(tables_528100!C293,input_528100!A:H,8,FALSE))</f>
        <v>108800</v>
      </c>
      <c r="P293" s="46">
        <f t="shared" ca="1" si="13"/>
        <v>1.6210739615038412E-3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input_528100!A$2</f>
        <v>528100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IFERROR(VLOOKUP(B294,input_528100!L:R,7,FALSE),VLOOKUP(tables_528100!C294,input_528100!A:H,8,FALSE))</f>
        <v>28200</v>
      </c>
      <c r="P294" s="46">
        <f t="shared" ca="1" si="13"/>
        <v>4.2016806722801765E-4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input_528100!A$2</f>
        <v>528100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IFERROR(VLOOKUP(B295,input_528100!L:R,7,FALSE),VLOOKUP(tables_528100!C295,input_528100!A:H,8,FALSE))</f>
        <v>28200</v>
      </c>
      <c r="P295" s="46">
        <f t="shared" ref="P295:P299" ca="1" si="20">O295/SUM(O:O)</f>
        <v>4.2016806722801765E-4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input_528100!A$2</f>
        <v>528100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IFERROR(VLOOKUP(B296,input_528100!L:R,7,FALSE),VLOOKUP(tables_528100!C296,input_528100!A:H,8,FALSE))</f>
        <v>28200</v>
      </c>
      <c r="P296" s="46">
        <f t="shared" ca="1" si="20"/>
        <v>4.2016806722801765E-4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input_528100!A$2</f>
        <v>528100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IFERROR(VLOOKUP(B297,input_528100!L:R,7,FALSE),VLOOKUP(tables_528100!C297,input_528100!A:H,8,FALSE))</f>
        <v>400842.10525999998</v>
      </c>
      <c r="P297" s="46">
        <f t="shared" ca="1" si="20"/>
        <v>5.9723777528618372E-3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input_528100!A$2</f>
        <v>528100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IFERROR(VLOOKUP(B298,input_528100!L:R,7,FALSE),VLOOKUP(tables_528100!C298,input_528100!A:H,8,FALSE))</f>
        <v>108800</v>
      </c>
      <c r="P298" s="46">
        <f t="shared" ca="1" si="20"/>
        <v>1.6210739615038412E-3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input_528100!A$2</f>
        <v>528100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IFERROR(VLOOKUP(B299,input_528100!L:R,7,FALSE),VLOOKUP(tables_528100!C299,input_528100!A:H,8,FALSE))</f>
        <v>28200</v>
      </c>
      <c r="P299" s="46">
        <f t="shared" ca="1" si="20"/>
        <v>4.2016806722801765E-4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input_528100!A$2</f>
        <v>528100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IFERROR(VLOOKUP(B300,input_528100!L:R,7,FALSE),VLOOKUP(tables_528100!C300,input_528100!A:H,8,FALSE))</f>
        <v>28200</v>
      </c>
      <c r="P300" s="46">
        <f t="shared" ref="P300:P304" ca="1" si="22">O300/SUM(O:O)</f>
        <v>4.2016806722801765E-4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input_528100!A$2</f>
        <v>528100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IFERROR(VLOOKUP(B301,input_528100!L:R,7,FALSE),VLOOKUP(tables_528100!C301,input_528100!A:H,8,FALSE))</f>
        <v>28200</v>
      </c>
      <c r="P301" s="46">
        <f t="shared" ca="1" si="22"/>
        <v>4.2016806722801765E-4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input_528100!A$2</f>
        <v>528100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IFERROR(VLOOKUP(B302,input_528100!L:R,7,FALSE),VLOOKUP(tables_528100!C302,input_528100!A:H,8,FALSE))</f>
        <v>28200</v>
      </c>
      <c r="P302" s="46">
        <f t="shared" ca="1" si="22"/>
        <v>4.2016806722801765E-4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input_528100!A$2</f>
        <v>528100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IFERROR(VLOOKUP(B303,input_528100!L:R,7,FALSE),VLOOKUP(tables_528100!C303,input_528100!A:H,8,FALSE))</f>
        <v>400842.10525999998</v>
      </c>
      <c r="P303" s="46">
        <f t="shared" ca="1" si="22"/>
        <v>5.9723777528618372E-3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input_528100!A$2</f>
        <v>528100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IFERROR(VLOOKUP(B304,input_528100!L:R,7,FALSE),VLOOKUP(tables_528100!C304,input_528100!A:H,8,FALSE))</f>
        <v>108800</v>
      </c>
      <c r="P304" s="46">
        <f t="shared" ca="1" si="22"/>
        <v>1.6210739615038412E-3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input_528100!A$2</f>
        <v>528100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IFERROR(VLOOKUP(B305,input_528100!L:R,7,FALSE),VLOOKUP(tables_528100!C305,input_528100!A:H,8,FALSE))</f>
        <v>28200</v>
      </c>
      <c r="P305" s="46">
        <f t="shared" ref="P305:P308" ca="1" si="24">O305/SUM(O:O)</f>
        <v>4.2016806722801765E-4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input_528100!A$2</f>
        <v>528100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IFERROR(VLOOKUP(B306,input_528100!L:R,7,FALSE),VLOOKUP(tables_528100!C306,input_528100!A:H,8,FALSE))</f>
        <v>400842.10525999998</v>
      </c>
      <c r="P306" s="46">
        <f t="shared" ca="1" si="24"/>
        <v>5.9723777528618372E-3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input_528100!A$2</f>
        <v>528100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IFERROR(VLOOKUP(B307,input_528100!L:R,7,FALSE),VLOOKUP(tables_528100!C307,input_528100!A:H,8,FALSE))</f>
        <v>108800</v>
      </c>
      <c r="P307" s="46">
        <f t="shared" ca="1" si="24"/>
        <v>1.6210739615038412E-3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input_528100!A$2</f>
        <v>528100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IFERROR(VLOOKUP(B308,input_528100!L:R,7,FALSE),VLOOKUP(tables_528100!C308,input_528100!A:H,8,FALSE))</f>
        <v>28200</v>
      </c>
      <c r="P308" s="46">
        <f t="shared" ca="1" si="24"/>
        <v>4.2016806722801765E-4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input_528100!A$2</f>
        <v>528100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IFERROR(VLOOKUP(B309,input_528100!L:R,7,FALSE),VLOOKUP(tables_528100!C309,input_528100!A:H,8,FALSE))</f>
        <v>28200</v>
      </c>
      <c r="P309" s="46">
        <f t="shared" ref="P309" ca="1" si="26">O309/SUM(O:O)</f>
        <v>4.2016806722801765E-4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input_528100!A$2</f>
        <v>528100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IFERROR(VLOOKUP(B310,input_528100!L:R,7,FALSE),VLOOKUP(tables_528100!C310,input_528100!A:H,8,FALSE))</f>
        <v>28200</v>
      </c>
      <c r="P310" s="46">
        <f t="shared" ref="P310:P314" ca="1" si="28">O310/SUM(O:O)</f>
        <v>4.2016806722801765E-4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input_528100!A$2</f>
        <v>528100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IFERROR(VLOOKUP(B311,input_528100!L:R,7,FALSE),VLOOKUP(tables_528100!C311,input_528100!A:H,8,FALSE))</f>
        <v>400842.10525999998</v>
      </c>
      <c r="P311" s="46">
        <f t="shared" ca="1" si="28"/>
        <v>5.9723777528618372E-3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input_528100!A$2</f>
        <v>528100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IFERROR(VLOOKUP(B312,input_528100!L:R,7,FALSE),VLOOKUP(tables_528100!C312,input_528100!A:H,8,FALSE))</f>
        <v>108800</v>
      </c>
      <c r="P312" s="46">
        <f t="shared" ca="1" si="28"/>
        <v>1.6210739615038412E-3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input_528100!A$2</f>
        <v>528100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IFERROR(VLOOKUP(B313,input_528100!L:R,7,FALSE),VLOOKUP(tables_528100!C313,input_528100!A:H,8,FALSE))</f>
        <v>28200</v>
      </c>
      <c r="P313" s="46">
        <f t="shared" ca="1" si="28"/>
        <v>4.2016806722801765E-4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input_528100!A$2</f>
        <v>528100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IFERROR(VLOOKUP(B314,input_528100!L:R,7,FALSE),VLOOKUP(tables_528100!C314,input_528100!A:H,8,FALSE))</f>
        <v>28200</v>
      </c>
      <c r="P314" s="46">
        <f t="shared" ca="1" si="28"/>
        <v>4.2016806722801765E-4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input_528100!A$2</f>
        <v>528100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IFERROR(VLOOKUP(B315,input_528100!L:R,7,FALSE),VLOOKUP(tables_528100!C315,input_528100!A:H,8,FALSE))</f>
        <v>28200</v>
      </c>
      <c r="P315" s="46">
        <f t="shared" ref="P315:P319" ca="1" si="30">O315/SUM(O:O)</f>
        <v>4.2016806722801765E-4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input_528100!A$2</f>
        <v>528100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IFERROR(VLOOKUP(B316,input_528100!L:R,7,FALSE),VLOOKUP(tables_528100!C316,input_528100!A:H,8,FALSE))</f>
        <v>28200</v>
      </c>
      <c r="P316" s="46">
        <f t="shared" ca="1" si="30"/>
        <v>4.2016806722801765E-4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input_528100!A$2</f>
        <v>528100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IFERROR(VLOOKUP(B317,input_528100!L:R,7,FALSE),VLOOKUP(tables_528100!C317,input_528100!A:H,8,FALSE))</f>
        <v>28200</v>
      </c>
      <c r="P317" s="46">
        <f t="shared" ca="1" si="30"/>
        <v>4.2016806722801765E-4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input_528100!A$2</f>
        <v>528100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IFERROR(VLOOKUP(B318,input_528100!L:R,7,FALSE),VLOOKUP(tables_528100!C318,input_528100!A:H,8,FALSE))</f>
        <v>400842.10525999998</v>
      </c>
      <c r="P318" s="46">
        <f t="shared" ca="1" si="30"/>
        <v>5.9723777528618372E-3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input_528100!A$2</f>
        <v>528100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IFERROR(VLOOKUP(B319,input_528100!L:R,7,FALSE),VLOOKUP(tables_528100!C319,input_528100!A:H,8,FALSE))</f>
        <v>108800</v>
      </c>
      <c r="P319" s="46">
        <f t="shared" ca="1" si="30"/>
        <v>1.6210739615038412E-3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input_528100!A$2</f>
        <v>528100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IFERROR(VLOOKUP(B320,input_528100!L:R,7,FALSE),VLOOKUP(tables_528100!C320,input_528100!A:H,8,FALSE))</f>
        <v>28200</v>
      </c>
      <c r="P320" s="46">
        <f t="shared" ref="P320:P324" ca="1" si="32">O320/SUM(O:O)</f>
        <v>4.2016806722801765E-4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input_528100!A$2</f>
        <v>528100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IFERROR(VLOOKUP(B321,input_528100!L:R,7,FALSE),VLOOKUP(tables_528100!C321,input_528100!A:H,8,FALSE))</f>
        <v>28200</v>
      </c>
      <c r="P321" s="46">
        <f t="shared" ca="1" si="32"/>
        <v>4.2016806722801765E-4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input_528100!A$2</f>
        <v>528100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IFERROR(VLOOKUP(B322,input_528100!L:R,7,FALSE),VLOOKUP(tables_528100!C322,input_528100!A:H,8,FALSE))</f>
        <v>28200</v>
      </c>
      <c r="P322" s="46">
        <f t="shared" ca="1" si="32"/>
        <v>4.2016806722801765E-4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input_528100!A$2</f>
        <v>528100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IFERROR(VLOOKUP(B323,input_528100!L:R,7,FALSE),VLOOKUP(tables_528100!C323,input_528100!A:H,8,FALSE))</f>
        <v>28200</v>
      </c>
      <c r="P323" s="46">
        <f t="shared" ca="1" si="32"/>
        <v>4.2016806722801765E-4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input_528100!A$2</f>
        <v>528100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IFERROR(VLOOKUP(B324,input_528100!L:R,7,FALSE),VLOOKUP(tables_528100!C324,input_528100!A:H,8,FALSE))</f>
        <v>400842.10525999998</v>
      </c>
      <c r="P324" s="46">
        <f t="shared" ca="1" si="32"/>
        <v>5.9723777528618372E-3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input_528100!A$2</f>
        <v>528100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IFERROR(VLOOKUP(B325,input_528100!L:R,7,FALSE),VLOOKUP(tables_528100!C325,input_528100!A:H,8,FALSE))</f>
        <v>108800</v>
      </c>
      <c r="P325" s="46">
        <f t="shared" ref="P325:P330" ca="1" si="35">O325/SUM(O:O)</f>
        <v>1.6210739615038412E-3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input_528100!A$2</f>
        <v>528100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IFERROR(VLOOKUP(B326,input_528100!L:R,7,FALSE),VLOOKUP(tables_528100!C326,input_528100!A:H,8,FALSE))</f>
        <v>400842.10525999998</v>
      </c>
      <c r="P326" s="46">
        <f t="shared" ca="1" si="35"/>
        <v>5.9723777528618372E-3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input_528100!A$2</f>
        <v>528100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IFERROR(VLOOKUP(B327,input_528100!L:R,7,FALSE),VLOOKUP(tables_528100!C327,input_528100!A:H,8,FALSE))</f>
        <v>108800</v>
      </c>
      <c r="P327" s="46">
        <f t="shared" ca="1" si="35"/>
        <v>1.6210739615038412E-3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input_528100!A$2</f>
        <v>528100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IFERROR(VLOOKUP(B328,input_528100!L:R,7,FALSE),VLOOKUP(tables_528100!C328,input_528100!A:H,8,FALSE))</f>
        <v>28200</v>
      </c>
      <c r="P328" s="46">
        <f t="shared" ca="1" si="35"/>
        <v>4.2016806722801765E-4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input_528100!A$2</f>
        <v>528100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IFERROR(VLOOKUP(B329,input_528100!L:R,7,FALSE),VLOOKUP(tables_528100!C329,input_528100!A:H,8,FALSE))</f>
        <v>28200</v>
      </c>
      <c r="P329" s="46">
        <f t="shared" ca="1" si="35"/>
        <v>4.2016806722801765E-4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input_528100!A$2</f>
        <v>528100</v>
      </c>
      <c r="B330" s="2">
        <v>1157</v>
      </c>
      <c r="C330" s="7" t="str">
        <f t="shared" si="34"/>
        <v>PremiumSS5R5only</v>
      </c>
      <c r="D330" s="98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IFERROR(VLOOKUP(B330,input_528100!L:R,7,FALSE),VLOOKUP(tables_528100!C330,input_528100!A:H,8,FALSE))</f>
        <v>28200</v>
      </c>
      <c r="P330" s="46">
        <f t="shared" ca="1" si="35"/>
        <v>4.2016806722801765E-4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input_528100!A$2</f>
        <v>528100</v>
      </c>
      <c r="B331" s="60">
        <v>1214</v>
      </c>
      <c r="C331" s="7" t="str">
        <f t="shared" ref="C331:C335" si="36">D331&amp;J331&amp;E331&amp;F331&amp;G331</f>
        <v>PremiumSS5R5only</v>
      </c>
      <c r="D331" s="98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IFERROR(VLOOKUP(B331,input_528100!L:R,7,FALSE),VLOOKUP(tables_528100!C331,input_528100!A:H,8,FALSE))</f>
        <v>28200</v>
      </c>
      <c r="P331" s="46">
        <f t="shared" ref="P331:P335" ca="1" si="38">O331/SUM(O:O)</f>
        <v>4.2016806722801765E-4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input_528100!A$2</f>
        <v>528100</v>
      </c>
      <c r="B332" s="60">
        <v>1212</v>
      </c>
      <c r="C332" s="7" t="str">
        <f t="shared" si="36"/>
        <v>PremiumSS5R5only</v>
      </c>
      <c r="D332" s="98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IFERROR(VLOOKUP(B332,input_528100!L:R,7,FALSE),VLOOKUP(tables_528100!C332,input_528100!A:H,8,FALSE))</f>
        <v>28200</v>
      </c>
      <c r="P332" s="46">
        <f t="shared" ca="1" si="38"/>
        <v>4.2016806722801765E-4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input_528100!A$2</f>
        <v>528100</v>
      </c>
      <c r="B333" s="60">
        <v>1208</v>
      </c>
      <c r="C333" s="7" t="str">
        <f t="shared" si="36"/>
        <v>PremiumSS5R5only</v>
      </c>
      <c r="D333" s="98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IFERROR(VLOOKUP(B333,input_528100!L:R,7,FALSE),VLOOKUP(tables_528100!C333,input_528100!A:H,8,FALSE))</f>
        <v>28200</v>
      </c>
      <c r="P333" s="46">
        <f t="shared" ca="1" si="38"/>
        <v>4.2016806722801765E-4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input_528100!A$2</f>
        <v>528100</v>
      </c>
      <c r="B334" s="93">
        <v>1210</v>
      </c>
      <c r="C334" s="7" t="str">
        <f t="shared" si="36"/>
        <v>Premium4R3less</v>
      </c>
      <c r="D334" s="98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IFERROR(VLOOKUP(B334,input_528100!L:R,7,FALSE),VLOOKUP(tables_528100!C334,input_528100!A:H,8,FALSE))</f>
        <v>400842.10525999998</v>
      </c>
      <c r="P334" s="46">
        <f t="shared" ca="1" si="38"/>
        <v>5.9723777528618372E-3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input_528100!A$2</f>
        <v>528100</v>
      </c>
      <c r="B335" s="60">
        <v>1211</v>
      </c>
      <c r="C335" s="7" t="str">
        <f t="shared" si="36"/>
        <v>Premium5R3less</v>
      </c>
      <c r="D335" s="98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IFERROR(VLOOKUP(B335,input_528100!L:R,7,FALSE),VLOOKUP(tables_528100!C335,input_528100!A:H,8,FALSE))</f>
        <v>108800</v>
      </c>
      <c r="P335" s="46">
        <f t="shared" ca="1" si="38"/>
        <v>1.6210739615038412E-3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input_528100!A$2</f>
        <v>528100</v>
      </c>
      <c r="B336" s="60">
        <v>1228</v>
      </c>
      <c r="C336" s="7" t="str">
        <f t="shared" ref="C336:C340" si="39">D336&amp;J336&amp;E336&amp;F336&amp;G336</f>
        <v>PremiumSS5R5only</v>
      </c>
      <c r="D336" s="98" t="str">
        <f t="shared" ref="D336:D340" si="4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IFERROR(VLOOKUP(B336,input_528100!L:R,7,FALSE),VLOOKUP(tables_528100!C336,input_528100!A:H,8,FALSE))</f>
        <v>28200</v>
      </c>
      <c r="P336" s="46">
        <f t="shared" ref="P336:P340" ca="1" si="41">O336/SUM(O:O)</f>
        <v>4.2016806722801765E-4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input_528100!A$2</f>
        <v>528100</v>
      </c>
      <c r="B337" s="60">
        <v>1226</v>
      </c>
      <c r="C337" s="7" t="str">
        <f t="shared" si="39"/>
        <v>PremiumSS5R5only</v>
      </c>
      <c r="D337" s="98" t="str">
        <f t="shared" si="4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IFERROR(VLOOKUP(B337,input_528100!L:R,7,FALSE),VLOOKUP(tables_528100!C337,input_528100!A:H,8,FALSE))</f>
        <v>28200</v>
      </c>
      <c r="P337" s="46">
        <f t="shared" ca="1" si="41"/>
        <v>4.2016806722801765E-4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input_528100!A$2</f>
        <v>528100</v>
      </c>
      <c r="B338" s="60">
        <v>1230</v>
      </c>
      <c r="C338" s="7" t="str">
        <f t="shared" si="39"/>
        <v>PremiumSS5R5only</v>
      </c>
      <c r="D338" s="98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IFERROR(VLOOKUP(B338,input_528100!L:R,7,FALSE),VLOOKUP(tables_528100!C338,input_528100!A:H,8,FALSE))</f>
        <v>28200</v>
      </c>
      <c r="P338" s="46">
        <f t="shared" ca="1" si="41"/>
        <v>4.2016806722801765E-4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input_528100!A$2</f>
        <v>528100</v>
      </c>
      <c r="B339" s="93">
        <v>1224</v>
      </c>
      <c r="C339" s="7" t="str">
        <f t="shared" si="39"/>
        <v>Premium4R3less</v>
      </c>
      <c r="D339" s="98" t="str">
        <f t="shared" si="4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IFERROR(VLOOKUP(B339,input_528100!L:R,7,FALSE),VLOOKUP(tables_528100!C339,input_528100!A:H,8,FALSE))</f>
        <v>400842.10525999998</v>
      </c>
      <c r="P339" s="46">
        <f t="shared" ca="1" si="41"/>
        <v>5.9723777528618372E-3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input_528100!A$2</f>
        <v>528100</v>
      </c>
      <c r="B340" s="60">
        <v>1225</v>
      </c>
      <c r="C340" s="7" t="str">
        <f t="shared" si="39"/>
        <v>Premium5R3less</v>
      </c>
      <c r="D340" s="98" t="str">
        <f t="shared" si="4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IFERROR(VLOOKUP(B340,input_528100!L:R,7,FALSE),VLOOKUP(tables_528100!C340,input_528100!A:H,8,FALSE))</f>
        <v>108800</v>
      </c>
      <c r="P340" s="46">
        <f t="shared" ca="1" si="41"/>
        <v>1.6210739615038412E-3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input_528100!A$2</f>
        <v>528100</v>
      </c>
      <c r="B341" s="1">
        <v>1250</v>
      </c>
      <c r="C341" s="7" t="str">
        <f t="shared" ref="C341:C345" si="42">D341&amp;J341&amp;E341&amp;F341&amp;G341</f>
        <v>PremiumSS5R5only</v>
      </c>
      <c r="D341" s="98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IFERROR(VLOOKUP(B341,input_528100!L:R,7,FALSE),VLOOKUP(tables_528100!C341,input_528100!A:H,8,FALSE))</f>
        <v>28200</v>
      </c>
      <c r="P341" s="46">
        <f t="shared" ref="P341:P345" ca="1" si="44">O341/SUM(O:O)</f>
        <v>4.2016806722801765E-4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input_528100!A$2</f>
        <v>528100</v>
      </c>
      <c r="B342" s="1">
        <v>1244</v>
      </c>
      <c r="C342" s="7" t="str">
        <f t="shared" si="42"/>
        <v>PremiumSS5R5only</v>
      </c>
      <c r="D342" s="98" t="str">
        <f t="shared" si="4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IFERROR(VLOOKUP(B342,input_528100!L:R,7,FALSE),VLOOKUP(tables_528100!C342,input_528100!A:H,8,FALSE))</f>
        <v>28200</v>
      </c>
      <c r="P342" s="46">
        <f t="shared" ca="1" si="44"/>
        <v>4.2016806722801765E-4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input_528100!A$2</f>
        <v>528100</v>
      </c>
      <c r="B343" s="1">
        <v>1246</v>
      </c>
      <c r="C343" s="7" t="str">
        <f t="shared" si="42"/>
        <v>PremiumSS5R5only</v>
      </c>
      <c r="D343" s="98" t="str">
        <f t="shared" si="4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IFERROR(VLOOKUP(B343,input_528100!L:R,7,FALSE),VLOOKUP(tables_528100!C343,input_528100!A:H,8,FALSE))</f>
        <v>28200</v>
      </c>
      <c r="P343" s="46">
        <f t="shared" ca="1" si="44"/>
        <v>4.2016806722801765E-4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input_528100!A$2</f>
        <v>528100</v>
      </c>
      <c r="B344" s="1">
        <v>1248</v>
      </c>
      <c r="C344" s="7" t="str">
        <f t="shared" si="42"/>
        <v>Premium4R3less</v>
      </c>
      <c r="D344" s="98" t="str">
        <f t="shared" si="4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IFERROR(VLOOKUP(B344,input_528100!L:R,7,FALSE),VLOOKUP(tables_528100!C344,input_528100!A:H,8,FALSE))</f>
        <v>400842.10525999998</v>
      </c>
      <c r="P344" s="46">
        <f t="shared" ca="1" si="44"/>
        <v>5.9723777528618372E-3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input_528100!A$2</f>
        <v>528100</v>
      </c>
      <c r="B345" s="1">
        <v>1249</v>
      </c>
      <c r="C345" s="7" t="str">
        <f t="shared" si="42"/>
        <v>Premium5R3less</v>
      </c>
      <c r="D345" s="98" t="str">
        <f t="shared" si="4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IFERROR(VLOOKUP(B345,input_528100!L:R,7,FALSE),VLOOKUP(tables_528100!C345,input_528100!A:H,8,FALSE))</f>
        <v>108800</v>
      </c>
      <c r="P345" s="46">
        <f t="shared" ca="1" si="44"/>
        <v>1.6210739615038412E-3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input_528100!A$2</f>
        <v>528100</v>
      </c>
      <c r="B346" s="1">
        <v>1260</v>
      </c>
      <c r="C346" s="7" t="str">
        <f t="shared" ref="C346:C350" si="45">D346&amp;J346&amp;E346&amp;F346&amp;G346</f>
        <v>PremiumSS5R5only</v>
      </c>
      <c r="D346" s="98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IFERROR(VLOOKUP(B346,input_528100!L:R,7,FALSE),VLOOKUP(tables_528100!C346,input_528100!A:H,8,FALSE))</f>
        <v>28200</v>
      </c>
      <c r="P346" s="46">
        <f t="shared" ref="P346:P350" ca="1" si="47">O346/SUM(O:O)</f>
        <v>4.2016806722801765E-4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input_528100!A$2</f>
        <v>528100</v>
      </c>
      <c r="B347" s="1">
        <v>1262</v>
      </c>
      <c r="C347" s="7" t="str">
        <f t="shared" si="45"/>
        <v>PremiumSS5R5only</v>
      </c>
      <c r="D347" s="98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IFERROR(VLOOKUP(B347,input_528100!L:R,7,FALSE),VLOOKUP(tables_528100!C347,input_528100!A:H,8,FALSE))</f>
        <v>28200</v>
      </c>
      <c r="P347" s="46">
        <f t="shared" ca="1" si="47"/>
        <v>4.2016806722801765E-4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input_528100!A$2</f>
        <v>528100</v>
      </c>
      <c r="B348" s="1">
        <v>1264</v>
      </c>
      <c r="C348" s="7" t="str">
        <f t="shared" si="45"/>
        <v>PremiumSS5R5only</v>
      </c>
      <c r="D348" s="98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IFERROR(VLOOKUP(B348,input_528100!L:R,7,FALSE),VLOOKUP(tables_528100!C348,input_528100!A:H,8,FALSE))</f>
        <v>28200</v>
      </c>
      <c r="P348" s="46">
        <f t="shared" ca="1" si="47"/>
        <v>4.2016806722801765E-4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input_528100!A$2</f>
        <v>528100</v>
      </c>
      <c r="B349" s="1">
        <v>1266</v>
      </c>
      <c r="C349" s="7" t="str">
        <f t="shared" si="45"/>
        <v>Premium4R3less</v>
      </c>
      <c r="D349" s="98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IFERROR(VLOOKUP(B349,input_528100!L:R,7,FALSE),VLOOKUP(tables_528100!C349,input_528100!A:H,8,FALSE))</f>
        <v>400842.10525999998</v>
      </c>
      <c r="P349" s="46">
        <f t="shared" ca="1" si="47"/>
        <v>5.9723777528618372E-3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input_528100!A$2</f>
        <v>528100</v>
      </c>
      <c r="B350" s="1">
        <v>1267</v>
      </c>
      <c r="C350" s="7" t="str">
        <f t="shared" si="45"/>
        <v>Premium5R3less</v>
      </c>
      <c r="D350" s="98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IFERROR(VLOOKUP(B350,input_528100!L:R,7,FALSE),VLOOKUP(tables_528100!C350,input_528100!A:H,8,FALSE))</f>
        <v>108800</v>
      </c>
      <c r="P350" s="46">
        <f t="shared" ca="1" si="47"/>
        <v>1.6210739615038412E-3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5" t="str">
        <f ca="1">input_528100!A$2</f>
        <v>528100</v>
      </c>
      <c r="B351" s="104">
        <v>1332</v>
      </c>
      <c r="C351" s="5" t="str">
        <f t="shared" ref="C351:C355" si="48">D351&amp;J351&amp;E351&amp;F351&amp;G351</f>
        <v>Premium4R3less</v>
      </c>
      <c r="D351" s="105" t="str">
        <f t="shared" ref="D351:D355" si="49">IF(OR(I351="PremiumSS",I351="PremiumSSw"),"PremiumSS",IF(I351="PremiumSSS",I351,IF(I351="PremiumW",IF(J351=5,"premium",I351),"Premium")))</f>
        <v>Premium</v>
      </c>
      <c r="E351" s="5" t="str">
        <f>IF(COUNTIF('R6追加前'!A:A,B351)=0,IF(OR(I351="PremiumSS",I351="PremiumSSw"),"R5only","R3less"),"")</f>
        <v>R3less</v>
      </c>
      <c r="F351" s="5" t="str">
        <f>IF(COUNTIF('R6開放'!A:A,B351)&gt;0,"R6release","")</f>
        <v/>
      </c>
      <c r="G351" s="5"/>
      <c r="H351" s="5" t="str">
        <f>VLOOKUP(B351,[1]characters!$A:$C,3,FALSE)</f>
        <v>タマヨリヒメ</v>
      </c>
      <c r="I351" s="5" t="str">
        <f>VLOOKUP(B351,[1]characters!$A:$J,10,FALSE)</f>
        <v>PremiumS</v>
      </c>
      <c r="J351" s="5">
        <f>VLOOKUP(B351,[1]characters!$A:$I,9,FALSE)</f>
        <v>4</v>
      </c>
      <c r="K351" s="5" t="str">
        <f>VLOOKUP(B351,[1]characters!$A:$H,8,FALSE)</f>
        <v>green</v>
      </c>
      <c r="L351" s="5" t="str">
        <f>VLOOKUP(B351,[1]characters!$A:$K,11,FALSE)</f>
        <v>heal</v>
      </c>
      <c r="M351" s="5" t="str">
        <f>VLOOKUP(B351,[1]characters!$A:$M,13,FALSE)</f>
        <v>god</v>
      </c>
      <c r="N351" s="5">
        <f>VLOOKUP(B351,[1]characters!$A:$G,7,FALSE)</f>
        <v>0</v>
      </c>
      <c r="O351" s="106">
        <f>IFERROR(VLOOKUP(B351,input_528100!L:R,7,FALSE),VLOOKUP(tables_528100!C351,input_528100!A:H,8,FALSE))</f>
        <v>639200</v>
      </c>
      <c r="P351" s="107">
        <f t="shared" ref="P351:P355" ca="1" si="50">O351/SUM(O:O)</f>
        <v>9.5238095238350667E-3</v>
      </c>
      <c r="Q351" s="108">
        <v>1</v>
      </c>
      <c r="R351" s="108">
        <v>0</v>
      </c>
      <c r="S351" s="108">
        <v>0</v>
      </c>
      <c r="T351" s="108">
        <v>0</v>
      </c>
      <c r="U351" s="108">
        <v>0</v>
      </c>
      <c r="V351" s="108">
        <v>20</v>
      </c>
    </row>
    <row r="352" spans="1:22" ht="21" customHeight="1" x14ac:dyDescent="0.15">
      <c r="A352" s="5" t="str">
        <f ca="1">input_528100!A$2</f>
        <v>528100</v>
      </c>
      <c r="B352" s="104">
        <v>1336</v>
      </c>
      <c r="C352" s="5" t="str">
        <f t="shared" si="48"/>
        <v>PremiumSS5R5only</v>
      </c>
      <c r="D352" s="105" t="str">
        <f t="shared" si="49"/>
        <v>PremiumSS</v>
      </c>
      <c r="E352" s="5" t="str">
        <f>IF(COUNTIF('R6追加前'!A:A,B352)=0,IF(OR(I352="PremiumSS",I352="PremiumSSw"),"R5only","R3less"),"")</f>
        <v>R5only</v>
      </c>
      <c r="F352" s="5" t="str">
        <f>IF(COUNTIF('R6開放'!A:A,B352)&gt;0,"R6release","")</f>
        <v/>
      </c>
      <c r="G352" s="5"/>
      <c r="H352" s="5" t="str">
        <f>VLOOKUP(B352,[1]characters!$A:$C,3,FALSE)</f>
        <v>イザナギ</v>
      </c>
      <c r="I352" s="5" t="str">
        <f>VLOOKUP(B352,[1]characters!$A:$J,10,FALSE)</f>
        <v>PremiumSS</v>
      </c>
      <c r="J352" s="5">
        <f>VLOOKUP(B352,[1]characters!$A:$I,9,FALSE)</f>
        <v>5</v>
      </c>
      <c r="K352" s="5" t="str">
        <f>VLOOKUP(B352,[1]characters!$A:$H,8,FALSE)</f>
        <v>blue</v>
      </c>
      <c r="L352" s="5" t="str">
        <f>VLOOKUP(B352,[1]characters!$A:$K,11,FALSE)</f>
        <v>technical</v>
      </c>
      <c r="M352" s="5" t="str">
        <f>VLOOKUP(B352,[1]characters!$A:$M,13,FALSE)</f>
        <v>god</v>
      </c>
      <c r="N352" s="5">
        <f>VLOOKUP(B352,[1]characters!$A:$G,7,FALSE)</f>
        <v>0</v>
      </c>
      <c r="O352" s="106">
        <f>IFERROR(VLOOKUP(B352,input_528100!L:R,7,FALSE),VLOOKUP(tables_528100!C352,input_528100!A:H,8,FALSE))</f>
        <v>1917600</v>
      </c>
      <c r="P352" s="107">
        <f t="shared" ca="1" si="50"/>
        <v>2.85714285715052E-2</v>
      </c>
      <c r="Q352" s="108">
        <v>1</v>
      </c>
      <c r="R352" s="108">
        <v>0</v>
      </c>
      <c r="S352" s="108">
        <v>0</v>
      </c>
      <c r="T352" s="108">
        <v>0</v>
      </c>
      <c r="U352" s="108">
        <v>0</v>
      </c>
      <c r="V352" s="108">
        <v>5</v>
      </c>
    </row>
    <row r="353" spans="1:22" ht="21" customHeight="1" x14ac:dyDescent="0.15">
      <c r="A353" s="5" t="str">
        <f ca="1">input_528100!A$2</f>
        <v>528100</v>
      </c>
      <c r="B353" s="104">
        <v>1338</v>
      </c>
      <c r="C353" s="5" t="str">
        <f t="shared" si="48"/>
        <v>Premium5R3less</v>
      </c>
      <c r="D353" s="105" t="str">
        <f t="shared" si="49"/>
        <v>Premium</v>
      </c>
      <c r="E353" s="5" t="str">
        <f>IF(COUNTIF('R6追加前'!A:A,B353)=0,IF(OR(I353="PremiumSS",I353="PremiumSSw"),"R5only","R3less"),"")</f>
        <v>R3less</v>
      </c>
      <c r="F353" s="5" t="str">
        <f>IF(COUNTIF('R6開放'!A:A,B353)&gt;0,"R6release","")</f>
        <v/>
      </c>
      <c r="G353" s="5"/>
      <c r="H353" s="5" t="str">
        <f>VLOOKUP(B353,[1]characters!$A:$C,3,FALSE)</f>
        <v>アメノウズメ</v>
      </c>
      <c r="I353" s="5" t="str">
        <f>VLOOKUP(B353,[1]characters!$A:$J,10,FALSE)</f>
        <v>DropWizS</v>
      </c>
      <c r="J353" s="5">
        <f>VLOOKUP(B353,[1]characters!$A:$I,9,FALSE)</f>
        <v>5</v>
      </c>
      <c r="K353" s="5" t="str">
        <f>VLOOKUP(B353,[1]characters!$A:$H,8,FALSE)</f>
        <v>yellow</v>
      </c>
      <c r="L353" s="5" t="str">
        <f>VLOOKUP(B353,[1]characters!$A:$K,11,FALSE)</f>
        <v>attack</v>
      </c>
      <c r="M353" s="5" t="str">
        <f>VLOOKUP(B353,[1]characters!$A:$M,13,FALSE)</f>
        <v>human</v>
      </c>
      <c r="N353" s="5">
        <f>VLOOKUP(B353,[1]characters!$A:$G,7,FALSE)</f>
        <v>0</v>
      </c>
      <c r="O353" s="106">
        <f>IFERROR(VLOOKUP(B353,input_528100!L:R,7,FALSE),VLOOKUP(tables_528100!C353,input_528100!A:H,8,FALSE))</f>
        <v>1917600</v>
      </c>
      <c r="P353" s="107">
        <f t="shared" ca="1" si="50"/>
        <v>2.85714285715052E-2</v>
      </c>
      <c r="Q353" s="108">
        <v>1</v>
      </c>
      <c r="R353" s="108">
        <v>0</v>
      </c>
      <c r="S353" s="108">
        <v>0</v>
      </c>
      <c r="T353" s="108">
        <v>0</v>
      </c>
      <c r="U353" s="108">
        <v>0</v>
      </c>
      <c r="V353" s="108">
        <v>5</v>
      </c>
    </row>
    <row r="354" spans="1:22" ht="21" customHeight="1" x14ac:dyDescent="0.15">
      <c r="A354" s="5" t="str">
        <f ca="1">input_528100!A$2</f>
        <v>528100</v>
      </c>
      <c r="B354" s="104">
        <v>1334</v>
      </c>
      <c r="C354" s="5" t="str">
        <f t="shared" si="48"/>
        <v>PremiumSS5R5only</v>
      </c>
      <c r="D354" s="105" t="str">
        <f t="shared" si="49"/>
        <v>PremiumSS</v>
      </c>
      <c r="E354" s="5" t="str">
        <f>IF(COUNTIF('R6追加前'!A:A,B354)=0,IF(OR(I354="PremiumSS",I354="PremiumSSw"),"R5only","R3less"),"")</f>
        <v>R5only</v>
      </c>
      <c r="F354" s="5" t="str">
        <f>IF(COUNTIF('R6開放'!A:A,B354)&gt;0,"R6release","")</f>
        <v/>
      </c>
      <c r="G354" s="5"/>
      <c r="H354" s="5" t="str">
        <f>VLOOKUP(B354,[1]characters!$A:$C,3,FALSE)</f>
        <v>クシナダヒメ</v>
      </c>
      <c r="I354" s="5" t="str">
        <f>VLOOKUP(B354,[1]characters!$A:$J,10,FALSE)</f>
        <v>PremiumSSw</v>
      </c>
      <c r="J354" s="5">
        <f>VLOOKUP(B354,[1]characters!$A:$I,9,FALSE)</f>
        <v>5</v>
      </c>
      <c r="K354" s="5" t="str">
        <f>VLOOKUP(B354,[1]characters!$A:$H,8,FALSE)</f>
        <v>red</v>
      </c>
      <c r="L354" s="5" t="str">
        <f>VLOOKUP(B354,[1]characters!$A:$K,11,FALSE)</f>
        <v>hp</v>
      </c>
      <c r="M354" s="5" t="str">
        <f>VLOOKUP(B354,[1]characters!$A:$M,13,FALSE)</f>
        <v>god</v>
      </c>
      <c r="N354" s="5">
        <f>VLOOKUP(B354,[1]characters!$A:$G,7,FALSE)</f>
        <v>0</v>
      </c>
      <c r="O354" s="106">
        <f>IFERROR(VLOOKUP(B354,input_528100!L:R,7,FALSE),VLOOKUP(tables_528100!C354,input_528100!A:H,8,FALSE))</f>
        <v>3196000</v>
      </c>
      <c r="P354" s="107">
        <f t="shared" ca="1" si="50"/>
        <v>4.7619047619175334E-2</v>
      </c>
      <c r="Q354" s="108">
        <v>1</v>
      </c>
      <c r="R354" s="108">
        <v>0</v>
      </c>
      <c r="S354" s="108">
        <v>0</v>
      </c>
      <c r="T354" s="108">
        <v>0</v>
      </c>
      <c r="U354" s="108">
        <v>0</v>
      </c>
      <c r="V354" s="108">
        <v>3</v>
      </c>
    </row>
    <row r="355" spans="1:22" ht="21" customHeight="1" x14ac:dyDescent="0.15">
      <c r="A355" s="5" t="str">
        <f ca="1">input_528100!A$2</f>
        <v>528100</v>
      </c>
      <c r="B355" s="104">
        <v>1335</v>
      </c>
      <c r="C355" s="5" t="str">
        <f t="shared" si="48"/>
        <v>PremiumSS6R5only</v>
      </c>
      <c r="D355" s="105" t="str">
        <f t="shared" si="49"/>
        <v>PremiumSS</v>
      </c>
      <c r="E355" s="5" t="str">
        <f>IF(COUNTIF('R6追加前'!A:A,B355)=0,IF(OR(I355="PremiumSS",I355="PremiumSSw"),"R5only","R3less"),"")</f>
        <v>R5only</v>
      </c>
      <c r="F355" s="5" t="str">
        <f>IF(COUNTIF('R6開放'!A:A,B355)&gt;0,"R6release","")</f>
        <v/>
      </c>
      <c r="G355" s="5"/>
      <c r="H355" s="5" t="str">
        <f>VLOOKUP(B355,[1]characters!$A:$C,3,FALSE)</f>
        <v>神心を射る穂神 クシナダヒメ</v>
      </c>
      <c r="I355" s="5" t="str">
        <f>VLOOKUP(B355,[1]characters!$A:$J,10,FALSE)</f>
        <v>PremiumSSw</v>
      </c>
      <c r="J355" s="5">
        <f>VLOOKUP(B355,[1]characters!$A:$I,9,FALSE)</f>
        <v>6</v>
      </c>
      <c r="K355" s="5" t="str">
        <f>VLOOKUP(B355,[1]characters!$A:$H,8,FALSE)</f>
        <v>red</v>
      </c>
      <c r="L355" s="5" t="str">
        <f>VLOOKUP(B355,[1]characters!$A:$K,11,FALSE)</f>
        <v>hp</v>
      </c>
      <c r="M355" s="5" t="str">
        <f>VLOOKUP(B355,[1]characters!$A:$M,13,FALSE)</f>
        <v>god</v>
      </c>
      <c r="N355" s="5">
        <f>VLOOKUP(B355,[1]characters!$A:$G,7,FALSE)</f>
        <v>0</v>
      </c>
      <c r="O355" s="106">
        <f>IFERROR(VLOOKUP(B355,input_528100!L:R,7,FALSE),VLOOKUP(tables_528100!C355,input_528100!A:H,8,FALSE))</f>
        <v>3196000</v>
      </c>
      <c r="P355" s="107">
        <f t="shared" ca="1" si="50"/>
        <v>4.7619047619175334E-2</v>
      </c>
      <c r="Q355" s="108">
        <v>1</v>
      </c>
      <c r="R355" s="108">
        <v>0</v>
      </c>
      <c r="S355" s="108">
        <v>0</v>
      </c>
      <c r="T355" s="108">
        <v>0</v>
      </c>
      <c r="U355" s="108">
        <v>0</v>
      </c>
      <c r="V355" s="108">
        <v>3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528105</v>
      </c>
      <c r="B2" s="104">
        <v>1332</v>
      </c>
      <c r="C2" s="7" t="str">
        <f t="shared" ref="C2:C3" si="0">D2&amp;J2&amp;E2&amp;F2&amp;G2</f>
        <v>Premium4R3less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タマヨリヒメ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green</v>
      </c>
      <c r="L2" s="7" t="str">
        <f>VLOOKUP(B2,[1]characters!$A:$K,11,FALSE)</f>
        <v>heal</v>
      </c>
      <c r="M2" s="7" t="str">
        <f>VLOOKUP(B2,[1]characters!$A:$M,13,FALSE)</f>
        <v>god</v>
      </c>
      <c r="N2" s="7">
        <f>VLOOKUP(B2,[1]characters!$A:$G,7,FALSE)</f>
        <v>0</v>
      </c>
      <c r="O2" s="45">
        <v>30</v>
      </c>
      <c r="P2" s="46">
        <f t="shared" ref="P2:P3" si="1">O2/SUM(O:O)</f>
        <v>0.3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20</v>
      </c>
    </row>
    <row r="3" spans="1:22" ht="21" customHeight="1" x14ac:dyDescent="0.15">
      <c r="A3" s="2">
        <v>528105</v>
      </c>
      <c r="B3" s="104">
        <v>1336</v>
      </c>
      <c r="C3" s="7" t="str">
        <f t="shared" si="0"/>
        <v>PremiumSS5R5only</v>
      </c>
      <c r="D3" s="7" t="str">
        <f t="shared" ref="D3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イザナギ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technical</v>
      </c>
      <c r="M3" s="7" t="str">
        <f>VLOOKUP(B3,[1]characters!$A:$M,13,FALSE)</f>
        <v>god</v>
      </c>
      <c r="N3" s="7">
        <f>VLOOKUP(B3,[1]characters!$A:$G,7,FALSE)</f>
        <v>0</v>
      </c>
      <c r="O3" s="45">
        <v>35</v>
      </c>
      <c r="P3" s="46">
        <f t="shared" si="1"/>
        <v>0.35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5</v>
      </c>
    </row>
    <row r="4" spans="1:22" ht="21" customHeight="1" x14ac:dyDescent="0.15">
      <c r="A4" s="2">
        <v>528105</v>
      </c>
      <c r="B4" s="104">
        <v>1338</v>
      </c>
      <c r="C4" s="7" t="str">
        <f t="shared" ref="C4" si="3">D4&amp;J4&amp;E4&amp;F4&amp;G4</f>
        <v>Premium5R3less</v>
      </c>
      <c r="D4" s="7" t="str">
        <f t="shared" ref="D4" si="4">IF(OR(I4="PremiumSS",I4="PremiumSSw"),"PremiumSS",IF(I4="PremiumSSS",I4,IF(I4="PremiumW",I4,"Premium")))</f>
        <v>Premium</v>
      </c>
      <c r="E4" s="7" t="str">
        <f>IF(COUNTIF('R6追加前'!A:A,B4)=0,IF(OR(I4="PremiumSS",I4="PremiumSSw"),"R5only","R3less"),"")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アメノウズメ</v>
      </c>
      <c r="I4" s="7" t="str">
        <f>VLOOKUP(B4,[1]characters!$A:$J,10,FALSE)</f>
        <v>DropWizS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human</v>
      </c>
      <c r="N4" s="7">
        <f>VLOOKUP(B4,[1]characters!$A:$G,7,FALSE)</f>
        <v>0</v>
      </c>
      <c r="O4" s="45">
        <v>35</v>
      </c>
      <c r="P4" s="46">
        <f t="shared" ref="P4" si="5">O4/SUM(O:O)</f>
        <v>0.35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5</v>
      </c>
    </row>
    <row r="5" spans="1:22" ht="21" customHeight="1" x14ac:dyDescent="0.15">
      <c r="A5" s="2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45"/>
      <c r="P5" s="46"/>
      <c r="Q5" s="30"/>
      <c r="R5" s="30"/>
      <c r="S5" s="30"/>
      <c r="T5" s="30"/>
      <c r="U5" s="30"/>
      <c r="V5" s="30"/>
    </row>
    <row r="6" spans="1:22" ht="21" customHeight="1" x14ac:dyDescent="0.15">
      <c r="A6" s="2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45"/>
      <c r="P6" s="46"/>
      <c r="Q6" s="30"/>
      <c r="R6" s="30"/>
      <c r="S6" s="30"/>
      <c r="T6" s="30"/>
      <c r="U6" s="30"/>
      <c r="V6" s="30"/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99"/>
      <c r="P7" s="100"/>
      <c r="Q7" s="101"/>
      <c r="R7" s="101"/>
      <c r="S7" s="101"/>
      <c r="T7" s="101"/>
      <c r="U7" s="101"/>
      <c r="V7" s="101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99"/>
      <c r="P8" s="100"/>
      <c r="Q8" s="101"/>
      <c r="R8" s="101"/>
      <c r="S8" s="101"/>
      <c r="T8" s="101"/>
      <c r="U8" s="101"/>
      <c r="V8" s="101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99"/>
      <c r="P9" s="100"/>
      <c r="Q9" s="101"/>
      <c r="R9" s="101"/>
      <c r="S9" s="101"/>
      <c r="T9" s="101"/>
      <c r="U9" s="101"/>
      <c r="V9" s="101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99"/>
      <c r="P10" s="100"/>
      <c r="Q10" s="101"/>
      <c r="R10" s="101"/>
      <c r="S10" s="101"/>
      <c r="T10" s="101"/>
      <c r="U10" s="101"/>
      <c r="V10" s="101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99"/>
      <c r="P11" s="100"/>
      <c r="Q11" s="101"/>
      <c r="R11" s="101"/>
      <c r="S11" s="101"/>
      <c r="T11" s="101"/>
      <c r="U11" s="101"/>
      <c r="V11" s="101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99"/>
      <c r="P12" s="100"/>
      <c r="Q12" s="101"/>
      <c r="R12" s="101"/>
      <c r="S12" s="101"/>
      <c r="T12" s="101"/>
      <c r="U12" s="101"/>
      <c r="V12" s="101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99"/>
      <c r="P13" s="100"/>
      <c r="Q13" s="101"/>
      <c r="R13" s="101"/>
      <c r="S13" s="101"/>
      <c r="T13" s="101"/>
      <c r="U13" s="101"/>
      <c r="V13" s="101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99"/>
      <c r="P14" s="100"/>
      <c r="Q14" s="101"/>
      <c r="R14" s="101"/>
      <c r="S14" s="101"/>
      <c r="T14" s="101"/>
      <c r="U14" s="101"/>
      <c r="V14" s="101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99"/>
      <c r="P15" s="100"/>
      <c r="Q15" s="101"/>
      <c r="R15" s="101"/>
      <c r="S15" s="101"/>
      <c r="T15" s="101"/>
      <c r="U15" s="101"/>
      <c r="V15" s="101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99"/>
      <c r="P16" s="100"/>
      <c r="Q16" s="101"/>
      <c r="R16" s="101"/>
      <c r="S16" s="101"/>
      <c r="T16" s="101"/>
      <c r="U16" s="101"/>
      <c r="V16" s="101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99"/>
      <c r="P17" s="100"/>
      <c r="Q17" s="101"/>
      <c r="R17" s="101"/>
      <c r="S17" s="101"/>
      <c r="T17" s="101"/>
      <c r="U17" s="101"/>
      <c r="V17" s="101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99"/>
      <c r="P18" s="100"/>
      <c r="Q18" s="101"/>
      <c r="R18" s="101"/>
      <c r="S18" s="101"/>
      <c r="T18" s="101"/>
      <c r="U18" s="101"/>
      <c r="V18" s="101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99"/>
      <c r="P19" s="100"/>
      <c r="Q19" s="101"/>
      <c r="R19" s="101"/>
      <c r="S19" s="101"/>
      <c r="T19" s="101"/>
      <c r="U19" s="101"/>
      <c r="V19" s="101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99"/>
      <c r="P20" s="100"/>
      <c r="Q20" s="101"/>
      <c r="R20" s="101"/>
      <c r="S20" s="101"/>
      <c r="T20" s="101"/>
      <c r="U20" s="101"/>
      <c r="V20" s="101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99"/>
      <c r="P21" s="100"/>
      <c r="Q21" s="101"/>
      <c r="R21" s="101"/>
      <c r="S21" s="101"/>
      <c r="T21" s="101"/>
      <c r="U21" s="101"/>
      <c r="V21" s="101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99"/>
      <c r="P22" s="100"/>
      <c r="Q22" s="101"/>
      <c r="R22" s="101"/>
      <c r="S22" s="101"/>
      <c r="T22" s="101"/>
      <c r="U22" s="101"/>
      <c r="V22" s="101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99"/>
      <c r="P23" s="100"/>
      <c r="Q23" s="101"/>
      <c r="R23" s="101"/>
      <c r="S23" s="101"/>
      <c r="T23" s="101"/>
      <c r="U23" s="101"/>
      <c r="V23" s="101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99"/>
      <c r="P24" s="100"/>
      <c r="Q24" s="101"/>
      <c r="R24" s="101"/>
      <c r="S24" s="101"/>
      <c r="T24" s="101"/>
      <c r="U24" s="101"/>
      <c r="V24" s="101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99"/>
      <c r="P25" s="100"/>
      <c r="Q25" s="101"/>
      <c r="R25" s="101"/>
      <c r="S25" s="101"/>
      <c r="T25" s="101"/>
      <c r="U25" s="101"/>
      <c r="V25" s="101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99"/>
      <c r="P26" s="100"/>
      <c r="Q26" s="101"/>
      <c r="R26" s="101"/>
      <c r="S26" s="101"/>
      <c r="T26" s="101"/>
      <c r="U26" s="101"/>
      <c r="V26" s="101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99"/>
      <c r="P27" s="100"/>
      <c r="Q27" s="101"/>
      <c r="R27" s="101"/>
      <c r="S27" s="101"/>
      <c r="T27" s="101"/>
      <c r="U27" s="101"/>
      <c r="V27" s="101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99"/>
      <c r="P28" s="100"/>
      <c r="Q28" s="101"/>
      <c r="R28" s="101"/>
      <c r="S28" s="101"/>
      <c r="T28" s="101"/>
      <c r="U28" s="101"/>
      <c r="V28" s="101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99"/>
      <c r="P29" s="100"/>
      <c r="Q29" s="101"/>
      <c r="R29" s="101"/>
      <c r="S29" s="101"/>
      <c r="T29" s="101"/>
      <c r="U29" s="101"/>
      <c r="V29" s="101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99"/>
      <c r="P30" s="100"/>
      <c r="Q30" s="101"/>
      <c r="R30" s="101"/>
      <c r="S30" s="101"/>
      <c r="T30" s="101"/>
      <c r="U30" s="101"/>
      <c r="V30" s="101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99"/>
      <c r="P31" s="100"/>
      <c r="Q31" s="101"/>
      <c r="R31" s="101"/>
      <c r="S31" s="101"/>
      <c r="T31" s="101"/>
      <c r="U31" s="101"/>
      <c r="V31" s="101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99"/>
      <c r="P32" s="100"/>
      <c r="Q32" s="101"/>
      <c r="R32" s="101"/>
      <c r="S32" s="101"/>
      <c r="T32" s="101"/>
      <c r="U32" s="101"/>
      <c r="V32" s="101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99"/>
      <c r="P33" s="100"/>
      <c r="Q33" s="101"/>
      <c r="R33" s="101"/>
      <c r="S33" s="101"/>
      <c r="T33" s="101"/>
      <c r="U33" s="101"/>
      <c r="V33" s="101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99"/>
      <c r="P34" s="100"/>
      <c r="Q34" s="101"/>
      <c r="R34" s="101"/>
      <c r="S34" s="101"/>
      <c r="T34" s="101"/>
      <c r="U34" s="101"/>
      <c r="V34" s="101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99"/>
      <c r="P35" s="100"/>
      <c r="Q35" s="101"/>
      <c r="R35" s="101"/>
      <c r="S35" s="101"/>
      <c r="T35" s="101"/>
      <c r="U35" s="101"/>
      <c r="V35" s="101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99"/>
      <c r="P36" s="100"/>
      <c r="Q36" s="101"/>
      <c r="R36" s="101"/>
      <c r="S36" s="101"/>
      <c r="T36" s="101"/>
      <c r="U36" s="101"/>
      <c r="V36" s="101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99"/>
      <c r="P37" s="100"/>
      <c r="Q37" s="101"/>
      <c r="R37" s="101"/>
      <c r="S37" s="101"/>
      <c r="T37" s="101"/>
      <c r="U37" s="101"/>
      <c r="V37" s="101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99"/>
      <c r="P38" s="100"/>
      <c r="Q38" s="101"/>
      <c r="R38" s="101"/>
      <c r="S38" s="101"/>
      <c r="T38" s="101"/>
      <c r="U38" s="101"/>
      <c r="V38" s="101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99"/>
      <c r="P39" s="100"/>
      <c r="Q39" s="101"/>
      <c r="R39" s="101"/>
      <c r="S39" s="101"/>
      <c r="T39" s="101"/>
      <c r="U39" s="101"/>
      <c r="V39" s="101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99"/>
      <c r="P40" s="100"/>
      <c r="Q40" s="101"/>
      <c r="R40" s="101"/>
      <c r="S40" s="101"/>
      <c r="T40" s="101"/>
      <c r="U40" s="101"/>
      <c r="V40" s="101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99"/>
      <c r="P41" s="100"/>
      <c r="Q41" s="101"/>
      <c r="R41" s="101"/>
      <c r="S41" s="101"/>
      <c r="T41" s="101"/>
      <c r="U41" s="101"/>
      <c r="V41" s="101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99"/>
      <c r="P42" s="100"/>
      <c r="Q42" s="101"/>
      <c r="R42" s="101"/>
      <c r="S42" s="101"/>
      <c r="T42" s="101"/>
      <c r="U42" s="101"/>
      <c r="V42" s="101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99"/>
      <c r="P43" s="100"/>
      <c r="Q43" s="101"/>
      <c r="R43" s="101"/>
      <c r="S43" s="101"/>
      <c r="T43" s="101"/>
      <c r="U43" s="101"/>
      <c r="V43" s="101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99"/>
      <c r="P44" s="100"/>
      <c r="Q44" s="101"/>
      <c r="R44" s="101"/>
      <c r="S44" s="101"/>
      <c r="T44" s="101"/>
      <c r="U44" s="101"/>
      <c r="V44" s="101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99"/>
      <c r="P45" s="100"/>
      <c r="Q45" s="101"/>
      <c r="R45" s="101"/>
      <c r="S45" s="101"/>
      <c r="T45" s="101"/>
      <c r="U45" s="101"/>
      <c r="V45" s="101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99"/>
      <c r="P46" s="100"/>
      <c r="Q46" s="101"/>
      <c r="R46" s="101"/>
      <c r="S46" s="101"/>
      <c r="T46" s="101"/>
      <c r="U46" s="101"/>
      <c r="V46" s="101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99"/>
      <c r="P47" s="100"/>
      <c r="Q47" s="101"/>
      <c r="R47" s="101"/>
      <c r="S47" s="101"/>
      <c r="T47" s="101"/>
      <c r="U47" s="101"/>
      <c r="V47" s="101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99"/>
      <c r="P48" s="100"/>
      <c r="Q48" s="101"/>
      <c r="R48" s="101"/>
      <c r="S48" s="101"/>
      <c r="T48" s="101"/>
      <c r="U48" s="101"/>
      <c r="V48" s="101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99"/>
      <c r="P49" s="100"/>
      <c r="Q49" s="101"/>
      <c r="R49" s="101"/>
      <c r="S49" s="101"/>
      <c r="T49" s="101"/>
      <c r="U49" s="101"/>
      <c r="V49" s="101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99"/>
      <c r="P50" s="100"/>
      <c r="Q50" s="101"/>
      <c r="R50" s="101"/>
      <c r="S50" s="101"/>
      <c r="T50" s="101"/>
      <c r="U50" s="101"/>
      <c r="V50" s="101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99"/>
      <c r="P51" s="100"/>
      <c r="Q51" s="101"/>
      <c r="R51" s="101"/>
      <c r="S51" s="101"/>
      <c r="T51" s="101"/>
      <c r="U51" s="101"/>
      <c r="V51" s="101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99"/>
      <c r="P52" s="100"/>
      <c r="Q52" s="101"/>
      <c r="R52" s="101"/>
      <c r="S52" s="101"/>
      <c r="T52" s="101"/>
      <c r="U52" s="101"/>
      <c r="V52" s="101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99"/>
      <c r="P53" s="100"/>
      <c r="Q53" s="101"/>
      <c r="R53" s="101"/>
      <c r="S53" s="101"/>
      <c r="T53" s="101"/>
      <c r="U53" s="101"/>
      <c r="V53" s="101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99"/>
      <c r="P54" s="100"/>
      <c r="Q54" s="101"/>
      <c r="R54" s="101"/>
      <c r="S54" s="101"/>
      <c r="T54" s="101"/>
      <c r="U54" s="101"/>
      <c r="V54" s="101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99"/>
      <c r="P55" s="100"/>
      <c r="Q55" s="101"/>
      <c r="R55" s="101"/>
      <c r="S55" s="101"/>
      <c r="T55" s="101"/>
      <c r="U55" s="101"/>
      <c r="V55" s="101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99"/>
      <c r="P56" s="100"/>
      <c r="Q56" s="101"/>
      <c r="R56" s="101"/>
      <c r="S56" s="101"/>
      <c r="T56" s="101"/>
      <c r="U56" s="101"/>
      <c r="V56" s="101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99"/>
      <c r="P57" s="100"/>
      <c r="Q57" s="101"/>
      <c r="R57" s="101"/>
      <c r="S57" s="101"/>
      <c r="T57" s="101"/>
      <c r="U57" s="101"/>
      <c r="V57" s="101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99"/>
      <c r="P58" s="100"/>
      <c r="Q58" s="101"/>
      <c r="R58" s="101"/>
      <c r="S58" s="101"/>
      <c r="T58" s="101"/>
      <c r="U58" s="101"/>
      <c r="V58" s="101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99"/>
      <c r="P59" s="100"/>
      <c r="Q59" s="101"/>
      <c r="R59" s="101"/>
      <c r="S59" s="101"/>
      <c r="T59" s="101"/>
      <c r="U59" s="101"/>
      <c r="V59" s="101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99"/>
      <c r="P60" s="100"/>
      <c r="Q60" s="101"/>
      <c r="R60" s="101"/>
      <c r="S60" s="101"/>
      <c r="T60" s="101"/>
      <c r="U60" s="101"/>
      <c r="V60" s="101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99"/>
      <c r="P61" s="100"/>
      <c r="Q61" s="101"/>
      <c r="R61" s="101"/>
      <c r="S61" s="101"/>
      <c r="T61" s="101"/>
      <c r="U61" s="101"/>
      <c r="V61" s="101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99"/>
      <c r="P62" s="100"/>
      <c r="Q62" s="101"/>
      <c r="R62" s="101"/>
      <c r="S62" s="101"/>
      <c r="T62" s="101"/>
      <c r="U62" s="101"/>
      <c r="V62" s="101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99"/>
      <c r="P63" s="100"/>
      <c r="Q63" s="101"/>
      <c r="R63" s="101"/>
      <c r="S63" s="101"/>
      <c r="T63" s="101"/>
      <c r="U63" s="101"/>
      <c r="V63" s="101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99"/>
      <c r="P64" s="100"/>
      <c r="Q64" s="101"/>
      <c r="R64" s="101"/>
      <c r="S64" s="101"/>
      <c r="T64" s="101"/>
      <c r="U64" s="101"/>
      <c r="V64" s="101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99"/>
      <c r="P65" s="100"/>
      <c r="Q65" s="101"/>
      <c r="R65" s="101"/>
      <c r="S65" s="101"/>
      <c r="T65" s="101"/>
      <c r="U65" s="101"/>
      <c r="V65" s="101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99"/>
      <c r="P66" s="100"/>
      <c r="Q66" s="101"/>
      <c r="R66" s="101"/>
      <c r="S66" s="101"/>
      <c r="T66" s="101"/>
      <c r="U66" s="101"/>
      <c r="V66" s="101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99"/>
      <c r="P67" s="100"/>
      <c r="Q67" s="101"/>
      <c r="R67" s="101"/>
      <c r="S67" s="101"/>
      <c r="T67" s="101"/>
      <c r="U67" s="101"/>
      <c r="V67" s="101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99"/>
      <c r="P68" s="100"/>
      <c r="Q68" s="101"/>
      <c r="R68" s="101"/>
      <c r="S68" s="101"/>
      <c r="T68" s="101"/>
      <c r="U68" s="101"/>
      <c r="V68" s="101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99"/>
      <c r="P69" s="100"/>
      <c r="Q69" s="101"/>
      <c r="R69" s="101"/>
      <c r="S69" s="101"/>
      <c r="T69" s="101"/>
      <c r="U69" s="101"/>
      <c r="V69" s="101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99"/>
      <c r="P70" s="100"/>
      <c r="Q70" s="101"/>
      <c r="R70" s="101"/>
      <c r="S70" s="101"/>
      <c r="T70" s="101"/>
      <c r="U70" s="101"/>
      <c r="V70" s="101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99"/>
      <c r="P71" s="100"/>
      <c r="Q71" s="101"/>
      <c r="R71" s="101"/>
      <c r="S71" s="101"/>
      <c r="T71" s="101"/>
      <c r="U71" s="101"/>
      <c r="V71" s="101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99"/>
      <c r="P72" s="100"/>
      <c r="Q72" s="101"/>
      <c r="R72" s="101"/>
      <c r="S72" s="101"/>
      <c r="T72" s="101"/>
      <c r="U72" s="101"/>
      <c r="V72" s="101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99"/>
      <c r="P73" s="100"/>
      <c r="Q73" s="101"/>
      <c r="R73" s="101"/>
      <c r="S73" s="101"/>
      <c r="T73" s="101"/>
      <c r="U73" s="101"/>
      <c r="V73" s="101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99"/>
      <c r="P74" s="100"/>
      <c r="Q74" s="101"/>
      <c r="R74" s="101"/>
      <c r="S74" s="101"/>
      <c r="T74" s="101"/>
      <c r="U74" s="101"/>
      <c r="V74" s="101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99"/>
      <c r="P75" s="100"/>
      <c r="Q75" s="101"/>
      <c r="R75" s="101"/>
      <c r="S75" s="101"/>
      <c r="T75" s="101"/>
      <c r="U75" s="101"/>
      <c r="V75" s="101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99"/>
      <c r="P76" s="100"/>
      <c r="Q76" s="101"/>
      <c r="R76" s="101"/>
      <c r="S76" s="101"/>
      <c r="T76" s="101"/>
      <c r="U76" s="101"/>
      <c r="V76" s="101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99"/>
      <c r="P77" s="100"/>
      <c r="Q77" s="101"/>
      <c r="R77" s="101"/>
      <c r="S77" s="101"/>
      <c r="T77" s="101"/>
      <c r="U77" s="101"/>
      <c r="V77" s="101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99"/>
      <c r="P78" s="100"/>
      <c r="Q78" s="101"/>
      <c r="R78" s="101"/>
      <c r="S78" s="101"/>
      <c r="T78" s="101"/>
      <c r="U78" s="101"/>
      <c r="V78" s="101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99"/>
      <c r="P79" s="100"/>
      <c r="Q79" s="101"/>
      <c r="R79" s="101"/>
      <c r="S79" s="101"/>
      <c r="T79" s="101"/>
      <c r="U79" s="101"/>
      <c r="V79" s="101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99"/>
      <c r="P80" s="100"/>
      <c r="Q80" s="101"/>
      <c r="R80" s="101"/>
      <c r="S80" s="101"/>
      <c r="T80" s="101"/>
      <c r="U80" s="101"/>
      <c r="V80" s="101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99"/>
      <c r="P81" s="100"/>
      <c r="Q81" s="101"/>
      <c r="R81" s="101"/>
      <c r="S81" s="101"/>
      <c r="T81" s="101"/>
      <c r="U81" s="101"/>
      <c r="V81" s="101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99"/>
      <c r="P82" s="100"/>
      <c r="Q82" s="101"/>
      <c r="R82" s="101"/>
      <c r="S82" s="101"/>
      <c r="T82" s="101"/>
      <c r="U82" s="101"/>
      <c r="V82" s="101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99"/>
      <c r="P83" s="100"/>
      <c r="Q83" s="101"/>
      <c r="R83" s="101"/>
      <c r="S83" s="101"/>
      <c r="T83" s="101"/>
      <c r="U83" s="101"/>
      <c r="V83" s="101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99"/>
      <c r="P84" s="100"/>
      <c r="Q84" s="101"/>
      <c r="R84" s="101"/>
      <c r="S84" s="101"/>
      <c r="T84" s="101"/>
      <c r="U84" s="101"/>
      <c r="V84" s="101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99"/>
      <c r="P85" s="100"/>
      <c r="Q85" s="101"/>
      <c r="R85" s="101"/>
      <c r="S85" s="101"/>
      <c r="T85" s="101"/>
      <c r="U85" s="101"/>
      <c r="V85" s="101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99"/>
      <c r="P86" s="100"/>
      <c r="Q86" s="101"/>
      <c r="R86" s="101"/>
      <c r="S86" s="101"/>
      <c r="T86" s="101"/>
      <c r="U86" s="101"/>
      <c r="V86" s="101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99"/>
      <c r="P87" s="100"/>
      <c r="Q87" s="101"/>
      <c r="R87" s="101"/>
      <c r="S87" s="101"/>
      <c r="T87" s="101"/>
      <c r="U87" s="101"/>
      <c r="V87" s="101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99"/>
      <c r="P88" s="100"/>
      <c r="Q88" s="101"/>
      <c r="R88" s="101"/>
      <c r="S88" s="101"/>
      <c r="T88" s="101"/>
      <c r="U88" s="101"/>
      <c r="V88" s="101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99"/>
      <c r="P89" s="100"/>
      <c r="Q89" s="101"/>
      <c r="R89" s="101"/>
      <c r="S89" s="101"/>
      <c r="T89" s="101"/>
      <c r="U89" s="101"/>
      <c r="V89" s="101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99"/>
      <c r="P90" s="100"/>
      <c r="Q90" s="101"/>
      <c r="R90" s="101"/>
      <c r="S90" s="101"/>
      <c r="T90" s="101"/>
      <c r="U90" s="101"/>
      <c r="V90" s="101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99"/>
      <c r="P91" s="100"/>
      <c r="Q91" s="101"/>
      <c r="R91" s="101"/>
      <c r="S91" s="101"/>
      <c r="T91" s="101"/>
      <c r="U91" s="101"/>
      <c r="V91" s="101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99"/>
      <c r="P92" s="100"/>
      <c r="Q92" s="101"/>
      <c r="R92" s="101"/>
      <c r="S92" s="101"/>
      <c r="T92" s="101"/>
      <c r="U92" s="101"/>
      <c r="V92" s="101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99"/>
      <c r="P93" s="100"/>
      <c r="Q93" s="101"/>
      <c r="R93" s="101"/>
      <c r="S93" s="101"/>
      <c r="T93" s="101"/>
      <c r="U93" s="101"/>
      <c r="V93" s="101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99"/>
      <c r="P94" s="100"/>
      <c r="Q94" s="101"/>
      <c r="R94" s="101"/>
      <c r="S94" s="101"/>
      <c r="T94" s="101"/>
      <c r="U94" s="101"/>
      <c r="V94" s="101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99"/>
      <c r="P95" s="100"/>
      <c r="Q95" s="101"/>
      <c r="R95" s="101"/>
      <c r="S95" s="101"/>
      <c r="T95" s="101"/>
      <c r="U95" s="101"/>
      <c r="V95" s="101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99"/>
      <c r="P96" s="100"/>
      <c r="Q96" s="101"/>
      <c r="R96" s="101"/>
      <c r="S96" s="101"/>
      <c r="T96" s="101"/>
      <c r="U96" s="101"/>
      <c r="V96" s="101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99"/>
      <c r="P97" s="100"/>
      <c r="Q97" s="101"/>
      <c r="R97" s="101"/>
      <c r="S97" s="101"/>
      <c r="T97" s="101"/>
      <c r="U97" s="101"/>
      <c r="V97" s="101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99"/>
      <c r="P98" s="100"/>
      <c r="Q98" s="101"/>
      <c r="R98" s="101"/>
      <c r="S98" s="101"/>
      <c r="T98" s="101"/>
      <c r="U98" s="101"/>
      <c r="V98" s="101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99"/>
      <c r="P99" s="100"/>
      <c r="Q99" s="101"/>
      <c r="R99" s="101"/>
      <c r="S99" s="101"/>
      <c r="T99" s="101"/>
      <c r="U99" s="101"/>
      <c r="V99" s="101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99"/>
      <c r="P100" s="100"/>
      <c r="Q100" s="101"/>
      <c r="R100" s="101"/>
      <c r="S100" s="101"/>
      <c r="T100" s="101"/>
      <c r="U100" s="101"/>
      <c r="V100" s="101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99"/>
      <c r="P101" s="100"/>
      <c r="Q101" s="101"/>
      <c r="R101" s="101"/>
      <c r="S101" s="101"/>
      <c r="T101" s="101"/>
      <c r="U101" s="101"/>
      <c r="V101" s="101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99"/>
      <c r="P102" s="100"/>
      <c r="Q102" s="101"/>
      <c r="R102" s="101"/>
      <c r="S102" s="101"/>
      <c r="T102" s="101"/>
      <c r="U102" s="101"/>
      <c r="V102" s="101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99"/>
      <c r="P103" s="100"/>
      <c r="Q103" s="101"/>
      <c r="R103" s="101"/>
      <c r="S103" s="101"/>
      <c r="T103" s="101"/>
      <c r="U103" s="101"/>
      <c r="V103" s="101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99"/>
      <c r="P104" s="100"/>
      <c r="Q104" s="101"/>
      <c r="R104" s="101"/>
      <c r="S104" s="101"/>
      <c r="T104" s="101"/>
      <c r="U104" s="101"/>
      <c r="V104" s="101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99"/>
      <c r="P105" s="100"/>
      <c r="Q105" s="101"/>
      <c r="R105" s="101"/>
      <c r="S105" s="101"/>
      <c r="T105" s="101"/>
      <c r="U105" s="101"/>
      <c r="V105" s="101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99"/>
      <c r="P106" s="100"/>
      <c r="Q106" s="101"/>
      <c r="R106" s="101"/>
      <c r="S106" s="101"/>
      <c r="T106" s="101"/>
      <c r="U106" s="101"/>
      <c r="V106" s="101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99"/>
      <c r="P107" s="100"/>
      <c r="Q107" s="101"/>
      <c r="R107" s="101"/>
      <c r="S107" s="101"/>
      <c r="T107" s="101"/>
      <c r="U107" s="101"/>
      <c r="V107" s="101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99"/>
      <c r="P108" s="100"/>
      <c r="Q108" s="101"/>
      <c r="R108" s="101"/>
      <c r="S108" s="101"/>
      <c r="T108" s="101"/>
      <c r="U108" s="101"/>
      <c r="V108" s="101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99"/>
      <c r="P109" s="100"/>
      <c r="Q109" s="101"/>
      <c r="R109" s="101"/>
      <c r="S109" s="101"/>
      <c r="T109" s="101"/>
      <c r="U109" s="101"/>
      <c r="V109" s="101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99"/>
      <c r="P110" s="100"/>
      <c r="Q110" s="101"/>
      <c r="R110" s="101"/>
      <c r="S110" s="101"/>
      <c r="T110" s="101"/>
      <c r="U110" s="101"/>
      <c r="V110" s="101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99"/>
      <c r="P111" s="100"/>
      <c r="Q111" s="101"/>
      <c r="R111" s="101"/>
      <c r="S111" s="101"/>
      <c r="T111" s="101"/>
      <c r="U111" s="101"/>
      <c r="V111" s="101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99"/>
      <c r="P112" s="100"/>
      <c r="Q112" s="101"/>
      <c r="R112" s="101"/>
      <c r="S112" s="101"/>
      <c r="T112" s="101"/>
      <c r="U112" s="101"/>
      <c r="V112" s="101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99"/>
      <c r="P113" s="100"/>
      <c r="Q113" s="101"/>
      <c r="R113" s="101"/>
      <c r="S113" s="101"/>
      <c r="T113" s="101"/>
      <c r="U113" s="101"/>
      <c r="V113" s="101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99"/>
      <c r="P114" s="100"/>
      <c r="Q114" s="101"/>
      <c r="R114" s="101"/>
      <c r="S114" s="101"/>
      <c r="T114" s="101"/>
      <c r="U114" s="101"/>
      <c r="V114" s="101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99"/>
      <c r="P115" s="100"/>
      <c r="Q115" s="101"/>
      <c r="R115" s="101"/>
      <c r="S115" s="101"/>
      <c r="T115" s="101"/>
      <c r="U115" s="101"/>
      <c r="V115" s="101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99"/>
      <c r="P116" s="100"/>
      <c r="Q116" s="101"/>
      <c r="R116" s="101"/>
      <c r="S116" s="101"/>
      <c r="T116" s="101"/>
      <c r="U116" s="101"/>
      <c r="V116" s="101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99"/>
      <c r="P117" s="100"/>
      <c r="Q117" s="101"/>
      <c r="R117" s="101"/>
      <c r="S117" s="101"/>
      <c r="T117" s="101"/>
      <c r="U117" s="101"/>
      <c r="V117" s="101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99"/>
      <c r="P118" s="100"/>
      <c r="Q118" s="101"/>
      <c r="R118" s="101"/>
      <c r="S118" s="101"/>
      <c r="T118" s="101"/>
      <c r="U118" s="101"/>
      <c r="V118" s="101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99"/>
      <c r="P119" s="100"/>
      <c r="Q119" s="101"/>
      <c r="R119" s="101"/>
      <c r="S119" s="101"/>
      <c r="T119" s="101"/>
      <c r="U119" s="101"/>
      <c r="V119" s="101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99"/>
      <c r="P120" s="100"/>
      <c r="Q120" s="101"/>
      <c r="R120" s="101"/>
      <c r="S120" s="101"/>
      <c r="T120" s="101"/>
      <c r="U120" s="101"/>
      <c r="V120" s="101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99"/>
      <c r="P121" s="100"/>
      <c r="Q121" s="101"/>
      <c r="R121" s="101"/>
      <c r="S121" s="101"/>
      <c r="T121" s="101"/>
      <c r="U121" s="101"/>
      <c r="V121" s="101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99"/>
      <c r="P122" s="100"/>
      <c r="Q122" s="101"/>
      <c r="R122" s="101"/>
      <c r="S122" s="101"/>
      <c r="T122" s="101"/>
      <c r="U122" s="101"/>
      <c r="V122" s="101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99"/>
      <c r="P123" s="100"/>
      <c r="Q123" s="101"/>
      <c r="R123" s="101"/>
      <c r="S123" s="101"/>
      <c r="T123" s="101"/>
      <c r="U123" s="101"/>
      <c r="V123" s="101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99"/>
      <c r="P124" s="100"/>
      <c r="Q124" s="101"/>
      <c r="R124" s="101"/>
      <c r="S124" s="101"/>
      <c r="T124" s="101"/>
      <c r="U124" s="101"/>
      <c r="V124" s="101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99"/>
      <c r="P125" s="100"/>
      <c r="Q125" s="101"/>
      <c r="R125" s="101"/>
      <c r="S125" s="101"/>
      <c r="T125" s="101"/>
      <c r="U125" s="101"/>
      <c r="V125" s="101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99"/>
      <c r="P126" s="100"/>
      <c r="Q126" s="101"/>
      <c r="R126" s="101"/>
      <c r="S126" s="101"/>
      <c r="T126" s="101"/>
      <c r="U126" s="101"/>
      <c r="V126" s="101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99"/>
      <c r="P127" s="100"/>
      <c r="Q127" s="101"/>
      <c r="R127" s="101"/>
      <c r="S127" s="101"/>
      <c r="T127" s="101"/>
      <c r="U127" s="101"/>
      <c r="V127" s="101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99"/>
      <c r="P128" s="100"/>
      <c r="Q128" s="101"/>
      <c r="R128" s="101"/>
      <c r="S128" s="101"/>
      <c r="T128" s="101"/>
      <c r="U128" s="101"/>
      <c r="V128" s="101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99"/>
      <c r="P129" s="100"/>
      <c r="Q129" s="101"/>
      <c r="R129" s="101"/>
      <c r="S129" s="101"/>
      <c r="T129" s="101"/>
      <c r="U129" s="101"/>
      <c r="V129" s="101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99"/>
      <c r="P130" s="100"/>
      <c r="Q130" s="101"/>
      <c r="R130" s="101"/>
      <c r="S130" s="101"/>
      <c r="T130" s="101"/>
      <c r="U130" s="101"/>
      <c r="V130" s="101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99"/>
      <c r="P131" s="100"/>
      <c r="Q131" s="101"/>
      <c r="R131" s="101"/>
      <c r="S131" s="101"/>
      <c r="T131" s="101"/>
      <c r="U131" s="101"/>
      <c r="V131" s="101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99"/>
      <c r="P132" s="100"/>
      <c r="Q132" s="101"/>
      <c r="R132" s="101"/>
      <c r="S132" s="101"/>
      <c r="T132" s="101"/>
      <c r="U132" s="101"/>
      <c r="V132" s="101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99"/>
      <c r="P133" s="100"/>
      <c r="Q133" s="101"/>
      <c r="R133" s="101"/>
      <c r="S133" s="101"/>
      <c r="T133" s="101"/>
      <c r="U133" s="101"/>
      <c r="V133" s="101"/>
    </row>
    <row r="134" spans="1:22" ht="21" customHeight="1" x14ac:dyDescent="0.1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99"/>
      <c r="P134" s="100"/>
      <c r="Q134" s="101"/>
      <c r="R134" s="101"/>
      <c r="S134" s="101"/>
      <c r="T134" s="101"/>
      <c r="U134" s="101"/>
      <c r="V134" s="101"/>
    </row>
    <row r="135" spans="1:22" ht="21" customHeight="1" x14ac:dyDescent="0.1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99"/>
      <c r="P135" s="100"/>
      <c r="Q135" s="101"/>
      <c r="R135" s="101"/>
      <c r="S135" s="101"/>
      <c r="T135" s="101"/>
      <c r="U135" s="101"/>
      <c r="V135" s="101"/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input_528010</vt:lpstr>
      <vt:lpstr>tables_528010</vt:lpstr>
      <vt:lpstr>input_528100</vt:lpstr>
      <vt:lpstr>tables_528100</vt:lpstr>
      <vt:lpstr>tables_settle_528105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2017-02-17T02:45:36Z</dcterms:modified>
</cp:coreProperties>
</file>