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4820" yWindow="1780" windowWidth="20700" windowHeight="1392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8" l="1"/>
  <c r="A4" i="18"/>
  <c r="A5" i="18"/>
  <c r="A6" i="18"/>
  <c r="A7" i="18"/>
  <c r="A8" i="18"/>
  <c r="A2" i="18"/>
  <c r="B2" i="19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27" i="11"/>
  <c r="O21" i="9"/>
  <c r="N21" i="9"/>
  <c r="M21" i="9"/>
  <c r="L21" i="9"/>
  <c r="K21" i="9"/>
  <c r="J21" i="9"/>
  <c r="I21" i="9"/>
  <c r="H21" i="9"/>
  <c r="G21" i="9"/>
  <c r="E21" i="9"/>
  <c r="D21" i="9"/>
  <c r="A21" i="9"/>
  <c r="M27" i="10"/>
  <c r="T27" i="10"/>
  <c r="W27" i="10"/>
  <c r="V27" i="10"/>
  <c r="X27" i="10"/>
  <c r="U27" i="10"/>
  <c r="Y27" i="10"/>
  <c r="M37" i="10"/>
  <c r="M44" i="10"/>
  <c r="N44" i="10"/>
  <c r="Q44" i="10"/>
  <c r="P44" i="10"/>
  <c r="R44" i="10"/>
  <c r="O44" i="10"/>
  <c r="S44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G39" i="10"/>
  <c r="J39" i="10"/>
  <c r="I39" i="10"/>
  <c r="K39" i="10"/>
  <c r="H39" i="10"/>
  <c r="L39" i="10"/>
  <c r="J16" i="11"/>
  <c r="O45" i="9"/>
  <c r="N45" i="9"/>
  <c r="M45" i="9"/>
  <c r="L45" i="9"/>
  <c r="K45" i="9"/>
  <c r="J45" i="9"/>
  <c r="I45" i="9"/>
  <c r="H45" i="9"/>
  <c r="G45" i="9"/>
  <c r="E45" i="9"/>
  <c r="D45" i="9"/>
  <c r="J15" i="11"/>
  <c r="O44" i="9"/>
  <c r="N44" i="9"/>
  <c r="M44" i="9"/>
  <c r="L44" i="9"/>
  <c r="K44" i="9"/>
  <c r="J44" i="9"/>
  <c r="I44" i="9"/>
  <c r="H44" i="9"/>
  <c r="G44" i="9"/>
  <c r="E44" i="9"/>
  <c r="D44" i="9"/>
  <c r="J14" i="11"/>
  <c r="O43" i="9"/>
  <c r="N43" i="9"/>
  <c r="M43" i="9"/>
  <c r="L43" i="9"/>
  <c r="K43" i="9"/>
  <c r="J43" i="9"/>
  <c r="I43" i="9"/>
  <c r="H43" i="9"/>
  <c r="G43" i="9"/>
  <c r="E43" i="9"/>
  <c r="D43" i="9"/>
  <c r="J13" i="11"/>
  <c r="O42" i="9"/>
  <c r="N42" i="9"/>
  <c r="M42" i="9"/>
  <c r="L42" i="9"/>
  <c r="K42" i="9"/>
  <c r="J42" i="9"/>
  <c r="I42" i="9"/>
  <c r="H42" i="9"/>
  <c r="G42" i="9"/>
  <c r="E42" i="9"/>
  <c r="D42" i="9"/>
  <c r="J45" i="11"/>
  <c r="O41" i="9"/>
  <c r="N41" i="9"/>
  <c r="M41" i="9"/>
  <c r="L41" i="9"/>
  <c r="K41" i="9"/>
  <c r="J41" i="9"/>
  <c r="I41" i="9"/>
  <c r="H41" i="9"/>
  <c r="G41" i="9"/>
  <c r="E41" i="9"/>
  <c r="D41" i="9"/>
  <c r="J44" i="11"/>
  <c r="O40" i="9"/>
  <c r="N40" i="9"/>
  <c r="M40" i="9"/>
  <c r="L40" i="9"/>
  <c r="K40" i="9"/>
  <c r="J40" i="9"/>
  <c r="I40" i="9"/>
  <c r="H40" i="9"/>
  <c r="G40" i="9"/>
  <c r="E40" i="9"/>
  <c r="D40" i="9"/>
  <c r="J43" i="11"/>
  <c r="O39" i="9"/>
  <c r="N39" i="9"/>
  <c r="M39" i="9"/>
  <c r="L39" i="9"/>
  <c r="K39" i="9"/>
  <c r="J39" i="9"/>
  <c r="I39" i="9"/>
  <c r="H39" i="9"/>
  <c r="G39" i="9"/>
  <c r="E39" i="9"/>
  <c r="D39" i="9"/>
  <c r="J42" i="11"/>
  <c r="O38" i="9"/>
  <c r="N38" i="9"/>
  <c r="M38" i="9"/>
  <c r="L38" i="9"/>
  <c r="K38" i="9"/>
  <c r="J38" i="9"/>
  <c r="I38" i="9"/>
  <c r="H38" i="9"/>
  <c r="G38" i="9"/>
  <c r="E38" i="9"/>
  <c r="D38" i="9"/>
  <c r="J41" i="11"/>
  <c r="O37" i="9"/>
  <c r="N37" i="9"/>
  <c r="M37" i="9"/>
  <c r="L37" i="9"/>
  <c r="K37" i="9"/>
  <c r="J37" i="9"/>
  <c r="I37" i="9"/>
  <c r="H37" i="9"/>
  <c r="G37" i="9"/>
  <c r="E37" i="9"/>
  <c r="D37" i="9"/>
  <c r="J40" i="11"/>
  <c r="O36" i="9"/>
  <c r="N36" i="9"/>
  <c r="M36" i="9"/>
  <c r="L36" i="9"/>
  <c r="K36" i="9"/>
  <c r="J36" i="9"/>
  <c r="I36" i="9"/>
  <c r="H36" i="9"/>
  <c r="G36" i="9"/>
  <c r="E36" i="9"/>
  <c r="D36" i="9"/>
  <c r="J38" i="11"/>
  <c r="O35" i="9"/>
  <c r="N35" i="9"/>
  <c r="M35" i="9"/>
  <c r="L35" i="9"/>
  <c r="K35" i="9"/>
  <c r="J35" i="9"/>
  <c r="I35" i="9"/>
  <c r="H35" i="9"/>
  <c r="G35" i="9"/>
  <c r="E35" i="9"/>
  <c r="D35" i="9"/>
  <c r="J37" i="11"/>
  <c r="O34" i="9"/>
  <c r="N34" i="9"/>
  <c r="M34" i="9"/>
  <c r="L34" i="9"/>
  <c r="K34" i="9"/>
  <c r="J34" i="9"/>
  <c r="I34" i="9"/>
  <c r="H34" i="9"/>
  <c r="G34" i="9"/>
  <c r="E34" i="9"/>
  <c r="D34" i="9"/>
  <c r="J36" i="11"/>
  <c r="O33" i="9"/>
  <c r="N33" i="9"/>
  <c r="M33" i="9"/>
  <c r="L33" i="9"/>
  <c r="K33" i="9"/>
  <c r="J33" i="9"/>
  <c r="I33" i="9"/>
  <c r="H33" i="9"/>
  <c r="G33" i="9"/>
  <c r="E33" i="9"/>
  <c r="D33" i="9"/>
  <c r="J35" i="11"/>
  <c r="O32" i="9"/>
  <c r="N32" i="9"/>
  <c r="M32" i="9"/>
  <c r="L32" i="9"/>
  <c r="K32" i="9"/>
  <c r="J32" i="9"/>
  <c r="I32" i="9"/>
  <c r="H32" i="9"/>
  <c r="G32" i="9"/>
  <c r="E32" i="9"/>
  <c r="D32" i="9"/>
  <c r="J34" i="11"/>
  <c r="O31" i="9"/>
  <c r="N31" i="9"/>
  <c r="M31" i="9"/>
  <c r="L31" i="9"/>
  <c r="K31" i="9"/>
  <c r="J31" i="9"/>
  <c r="I31" i="9"/>
  <c r="H31" i="9"/>
  <c r="G31" i="9"/>
  <c r="E31" i="9"/>
  <c r="D31" i="9"/>
  <c r="J33" i="11"/>
  <c r="O30" i="9"/>
  <c r="N30" i="9"/>
  <c r="M30" i="9"/>
  <c r="L30" i="9"/>
  <c r="K30" i="9"/>
  <c r="J30" i="9"/>
  <c r="I30" i="9"/>
  <c r="H30" i="9"/>
  <c r="G30" i="9"/>
  <c r="E30" i="9"/>
  <c r="D30" i="9"/>
  <c r="J24" i="11"/>
  <c r="O29" i="9"/>
  <c r="N29" i="9"/>
  <c r="M29" i="9"/>
  <c r="L29" i="9"/>
  <c r="K29" i="9"/>
  <c r="J29" i="9"/>
  <c r="I29" i="9"/>
  <c r="H29" i="9"/>
  <c r="G29" i="9"/>
  <c r="E29" i="9"/>
  <c r="D29" i="9"/>
  <c r="J23" i="11"/>
  <c r="O28" i="9"/>
  <c r="N28" i="9"/>
  <c r="M28" i="9"/>
  <c r="L28" i="9"/>
  <c r="K28" i="9"/>
  <c r="J28" i="9"/>
  <c r="I28" i="9"/>
  <c r="H28" i="9"/>
  <c r="G28" i="9"/>
  <c r="E28" i="9"/>
  <c r="D28" i="9"/>
  <c r="J39" i="11"/>
  <c r="O27" i="9"/>
  <c r="N27" i="9"/>
  <c r="M27" i="9"/>
  <c r="L27" i="9"/>
  <c r="K27" i="9"/>
  <c r="J27" i="9"/>
  <c r="I27" i="9"/>
  <c r="H27" i="9"/>
  <c r="G27" i="9"/>
  <c r="E27" i="9"/>
  <c r="D27" i="9"/>
  <c r="J32" i="11"/>
  <c r="O26" i="9"/>
  <c r="N26" i="9"/>
  <c r="M26" i="9"/>
  <c r="L26" i="9"/>
  <c r="K26" i="9"/>
  <c r="J26" i="9"/>
  <c r="I26" i="9"/>
  <c r="H26" i="9"/>
  <c r="G26" i="9"/>
  <c r="E26" i="9"/>
  <c r="D26" i="9"/>
  <c r="J31" i="11"/>
  <c r="O25" i="9"/>
  <c r="N25" i="9"/>
  <c r="M25" i="9"/>
  <c r="L25" i="9"/>
  <c r="K25" i="9"/>
  <c r="J25" i="9"/>
  <c r="I25" i="9"/>
  <c r="H25" i="9"/>
  <c r="G25" i="9"/>
  <c r="E25" i="9"/>
  <c r="D25" i="9"/>
  <c r="J30" i="11"/>
  <c r="O24" i="9"/>
  <c r="N24" i="9"/>
  <c r="M24" i="9"/>
  <c r="L24" i="9"/>
  <c r="K24" i="9"/>
  <c r="J24" i="9"/>
  <c r="I24" i="9"/>
  <c r="H24" i="9"/>
  <c r="G24" i="9"/>
  <c r="E24" i="9"/>
  <c r="D24" i="9"/>
  <c r="J29" i="11"/>
  <c r="O23" i="9"/>
  <c r="N23" i="9"/>
  <c r="M23" i="9"/>
  <c r="L23" i="9"/>
  <c r="K23" i="9"/>
  <c r="J23" i="9"/>
  <c r="I23" i="9"/>
  <c r="H23" i="9"/>
  <c r="G23" i="9"/>
  <c r="E23" i="9"/>
  <c r="D23" i="9"/>
  <c r="J28" i="11"/>
  <c r="O22" i="9"/>
  <c r="N22" i="9"/>
  <c r="M22" i="9"/>
  <c r="L22" i="9"/>
  <c r="K22" i="9"/>
  <c r="J22" i="9"/>
  <c r="I22" i="9"/>
  <c r="H22" i="9"/>
  <c r="G22" i="9"/>
  <c r="E22" i="9"/>
  <c r="D22" i="9"/>
  <c r="J26" i="11"/>
  <c r="O20" i="9"/>
  <c r="N20" i="9"/>
  <c r="M20" i="9"/>
  <c r="L20" i="9"/>
  <c r="K20" i="9"/>
  <c r="J20" i="9"/>
  <c r="I20" i="9"/>
  <c r="H20" i="9"/>
  <c r="G20" i="9"/>
  <c r="E20" i="9"/>
  <c r="D20" i="9"/>
  <c r="J25" i="11"/>
  <c r="O19" i="9"/>
  <c r="N19" i="9"/>
  <c r="M19" i="9"/>
  <c r="L19" i="9"/>
  <c r="K19" i="9"/>
  <c r="J19" i="9"/>
  <c r="I19" i="9"/>
  <c r="H19" i="9"/>
  <c r="G19" i="9"/>
  <c r="E19" i="9"/>
  <c r="D19" i="9"/>
  <c r="J22" i="11"/>
  <c r="O18" i="9"/>
  <c r="N18" i="9"/>
  <c r="M18" i="9"/>
  <c r="L18" i="9"/>
  <c r="K18" i="9"/>
  <c r="J18" i="9"/>
  <c r="I18" i="9"/>
  <c r="H18" i="9"/>
  <c r="G18" i="9"/>
  <c r="E18" i="9"/>
  <c r="D18" i="9"/>
  <c r="J21" i="11"/>
  <c r="O17" i="9"/>
  <c r="N17" i="9"/>
  <c r="M17" i="9"/>
  <c r="L17" i="9"/>
  <c r="K17" i="9"/>
  <c r="J17" i="9"/>
  <c r="I17" i="9"/>
  <c r="H17" i="9"/>
  <c r="G17" i="9"/>
  <c r="E17" i="9"/>
  <c r="D17" i="9"/>
  <c r="J20" i="11"/>
  <c r="O16" i="9"/>
  <c r="N16" i="9"/>
  <c r="M16" i="9"/>
  <c r="L16" i="9"/>
  <c r="K16" i="9"/>
  <c r="J16" i="9"/>
  <c r="I16" i="9"/>
  <c r="H16" i="9"/>
  <c r="G16" i="9"/>
  <c r="E16" i="9"/>
  <c r="D16" i="9"/>
  <c r="J19" i="11"/>
  <c r="O15" i="9"/>
  <c r="N15" i="9"/>
  <c r="M15" i="9"/>
  <c r="L15" i="9"/>
  <c r="K15" i="9"/>
  <c r="J15" i="9"/>
  <c r="I15" i="9"/>
  <c r="H15" i="9"/>
  <c r="G15" i="9"/>
  <c r="E15" i="9"/>
  <c r="D15" i="9"/>
  <c r="J18" i="11"/>
  <c r="O14" i="9"/>
  <c r="N14" i="9"/>
  <c r="M14" i="9"/>
  <c r="L14" i="9"/>
  <c r="K14" i="9"/>
  <c r="J14" i="9"/>
  <c r="I14" i="9"/>
  <c r="H14" i="9"/>
  <c r="G14" i="9"/>
  <c r="E14" i="9"/>
  <c r="D14" i="9"/>
  <c r="J17" i="11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E9" i="9"/>
  <c r="D9" i="9"/>
  <c r="J8" i="11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E7" i="9"/>
  <c r="D7" i="9"/>
  <c r="J6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E2" i="9"/>
  <c r="D2" i="9"/>
  <c r="G6" i="2"/>
  <c r="A6" i="2"/>
  <c r="H2" i="1"/>
  <c r="H3" i="1"/>
  <c r="H4" i="1"/>
  <c r="H5" i="1"/>
  <c r="H6" i="1"/>
  <c r="H7" i="1"/>
  <c r="H8" i="1"/>
  <c r="H9" i="1"/>
  <c r="B6" i="2"/>
  <c r="G5" i="2"/>
  <c r="A5" i="2"/>
  <c r="B5" i="2"/>
  <c r="G4" i="2"/>
  <c r="A4" i="2"/>
  <c r="B4" i="2"/>
  <c r="G3" i="2"/>
  <c r="A3" i="2"/>
  <c r="B3" i="2"/>
  <c r="G2" i="2"/>
  <c r="A2" i="2"/>
  <c r="B2" i="2"/>
  <c r="B7" i="21"/>
  <c r="B6" i="21"/>
  <c r="B5" i="21"/>
  <c r="B4" i="21"/>
  <c r="B3" i="21"/>
  <c r="B2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G19" i="10"/>
  <c r="H19" i="10"/>
  <c r="I19" i="10"/>
  <c r="J19" i="10"/>
  <c r="K19" i="10"/>
  <c r="L19" i="10"/>
  <c r="M19" i="10"/>
  <c r="M24" i="10"/>
  <c r="M35" i="10"/>
  <c r="M42" i="10"/>
  <c r="N42" i="10"/>
  <c r="Q42" i="10"/>
  <c r="P42" i="10"/>
  <c r="R42" i="10"/>
  <c r="O42" i="10"/>
  <c r="S42" i="10"/>
  <c r="N35" i="10"/>
  <c r="Q35" i="10"/>
  <c r="P35" i="10"/>
  <c r="R35" i="10"/>
  <c r="O35" i="10"/>
  <c r="S35" i="10"/>
  <c r="N24" i="10"/>
  <c r="Q24" i="10"/>
  <c r="P24" i="10"/>
  <c r="R24" i="10"/>
  <c r="O24" i="10"/>
  <c r="S24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Y2" i="7"/>
  <c r="X2" i="1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C2" i="19"/>
  <c r="D2" i="19"/>
  <c r="F2" i="19"/>
  <c r="G2" i="19"/>
  <c r="E12" i="16"/>
  <c r="E11" i="16"/>
  <c r="E10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1"/>
  <c r="E2" i="1"/>
  <c r="F2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<sst xmlns="http://schemas.openxmlformats.org/spreadsheetml/2006/main" count="853" uniqueCount="356">
  <si>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</si>
  <si>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</si>
  <si>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</si>
  <si>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</si>
  <si>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</si>
  <si>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</si>
  <si>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</si>
  <si>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</si>
  <si>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</si>
  <si>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</si>
  <si>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</si>
  <si>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</si>
  <si>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</si>
  <si>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</si>
  <si>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</si>
  <si>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</si>
  <si>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</si>
  <si>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</si>
  <si>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</si>
  <si>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</si>
  <si>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</si>
  <si>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</si>
  <si>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</si>
  <si>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</si>
  <si>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</si>
  <si>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</si>
  <si>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</si>
  <si>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</si>
  <si>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</si>
  <si>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</si>
  <si>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</si>
  <si>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</si>
  <si>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</si>
  <si>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</si>
  <si>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</si>
  <si>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</si>
  <si>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</si>
  <si>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</si>
  <si>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</si>
  <si>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</si>
  <si>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</si>
  <si>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</si>
  <si>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</si>
  <si>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</si>
  <si>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</si>
  <si>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</si>
  <si>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</si>
  <si>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</si>
  <si>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</si>
  <si>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</si>
  <si>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</si>
  <si>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</si>
  <si>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</si>
  <si>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</si>
  <si>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</si>
  <si>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</si>
  <si>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</si>
  <si>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</si>
  <si>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</si>
  <si>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</si>
  <si>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</si>
  <si>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</si>
  <si>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</si>
  <si>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</si>
  <si>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</si>
  <si>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</si>
  <si>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</si>
  <si>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</si>
  <si>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</si>
  <si>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</si>
  <si>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</si>
  <si>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</si>
  <si>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</si>
  <si>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</si>
  <si>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</si>
  <si>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</si>
  <si>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</si>
  <si>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</si>
  <si>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</si>
  <si>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</si>
  <si>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</si>
  <si>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</si>
  <si>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</si>
  <si>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</si>
  <si>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</si>
  <si>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</si>
  <si>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</si>
  <si>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</si>
  <si>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</si>
  <si>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</si>
  <si>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</si>
  <si>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</si>
  <si>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</si>
  <si>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</si>
  <si>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</si>
  <si>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</si>
  <si>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</si>
  <si>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</si>
  <si>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</si>
  <si>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</si>
  <si>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</si>
  <si>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</si>
  <si>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</si>
  <si>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</si>
  <si>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</si>
  <si>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</si>
  <si>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</si>
  <si>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</si>
  <si>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</si>
  <si>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</si>
  <si>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</si>
  <si>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</si>
  <si>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</si>
  <si>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</si>
  <si>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</si>
  <si>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</si>
  <si>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</si>
  <si>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</si>
  <si>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</si>
  <si>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</si>
  <si>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</si>
  <si>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</si>
  <si>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</si>
  <si>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</si>
  <si>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</si>
  <si>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</si>
  <si>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</si>
  <si>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</si>
  <si>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</si>
  <si>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</si>
  <si>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</si>
  <si>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</si>
  <si>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</si>
  <si>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</si>
  <si>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</si>
  <si>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</si>
  <si>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</si>
  <si>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</si>
  <si>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</si>
  <si>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</si>
  <si>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</si>
  <si>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</si>
  <si>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</si>
  <si>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</si>
  <si>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</si>
  <si>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</si>
  <si>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</si>
  <si>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</si>
  <si>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</si>
  <si>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</si>
  <si>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</si>
  <si>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</si>
  <si>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</si>
  <si>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</si>
  <si>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</si>
  <si>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</si>
  <si>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</si>
  <si>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</si>
  <si>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</si>
  <si>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</si>
  <si>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</si>
  <si>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</si>
  <si>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</si>
  <si>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</si>
  <si>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</si>
  <si>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</si>
  <si>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</si>
  <si>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</si>
  <si>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</si>
  <si>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</si>
  <si>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</si>
  <si>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</si>
  <si>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</si>
  <si>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</si>
  <si>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</si>
  <si>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</si>
  <si>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</si>
  <si>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</si>
  <si>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</si>
  <si>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</si>
  <si>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</si>
  <si>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</si>
  <si>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</si>
  <si>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</si>
  <si>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</si>
  <si>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</si>
  <si>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</si>
  <si>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</si>
  <si>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</si>
  <si>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</si>
  <si>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</si>
  <si>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</si>
  <si>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</si>
  <si>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</si>
  <si>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</si>
  <si>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</si>
  <si>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</si>
  <si>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</si>
  <si>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</si>
  <si>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</si>
  <si>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</si>
  <si>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</si>
  <si>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</si>
  <si>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</si>
  <si>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</si>
  <si>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</si>
  <si>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</si>
  <si>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</si>
  <si>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</si>
  <si>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</si>
  <si>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</si>
  <si>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</si>
  <si>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</si>
  <si>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</si>
  <si>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</si>
  <si>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</si>
  <si>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</si>
  <si>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</si>
  <si>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</si>
  <si>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</si>
  <si>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</si>
  <si>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</si>
  <si>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</si>
  <si>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</si>
  <si>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</si>
  <si>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</si>
  <si>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</si>
  <si>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</si>
  <si>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</si>
  <si>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</si>
  <si>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</si>
  <si>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</si>
  <si>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</si>
  <si>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</si>
  <si>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</si>
  <si>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</si>
  <si>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</si>
  <si>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</si>
  <si>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</si>
  <si>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</si>
  <si>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</si>
  <si>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</si>
  <si>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</si>
  <si>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</si>
  <si>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</si>
  <si>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</si>
  <si>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</si>
  <si>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</si>
  <si>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</si>
  <si>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</si>
  <si>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[effect:rush, count:3, val:0.4]</t>
    <phoneticPr fontId="5"/>
  </si>
  <si>
    <t>[effect:suicide, val:0.1, dead_type:suicide, target:enemy_blue, animation:enemy_suicide]</t>
    <phoneticPr fontId="5"/>
  </si>
  <si>
    <t>さぁ、愛し合いましょう</t>
    <rPh sb="3" eb="4">
      <t>アイ</t>
    </rPh>
    <rPh sb="5" eb="11">
      <t>アイマsy</t>
    </rPh>
    <phoneticPr fontId="5"/>
  </si>
  <si>
    <t>[effect:rush, count:5, val:0.2]</t>
    <phoneticPr fontId="5"/>
  </si>
  <si>
    <t>愛し続けてあげる</t>
  </si>
  <si>
    <t>[effect:fix_speed, target:myself, turn:5]</t>
    <phoneticPr fontId="5"/>
  </si>
  <si>
    <t>・・・・・・・？</t>
    <phoneticPr fontId="5"/>
  </si>
  <si>
    <t>『切り裂き魔を追っているのか？』</t>
    <rPh sb="1" eb="6">
      <t>キr</t>
    </rPh>
    <rPh sb="7" eb="15">
      <t>オtt</t>
    </rPh>
    <phoneticPr fontId="5"/>
  </si>
  <si>
    <t>[effect:suicide, val:1, dead_type:escape, target:myself]</t>
    <phoneticPr fontId="5"/>
  </si>
  <si>
    <t>・・・・・・・！</t>
    <phoneticPr fontId="5"/>
  </si>
  <si>
    <t>『おい、待て！』</t>
    <rPh sb="4" eb="6">
      <t>マt</t>
    </rPh>
    <phoneticPr fontId="5"/>
  </si>
  <si>
    <t>[effect:fix_speed, target:myself, turn:1]</t>
    <phoneticPr fontId="5"/>
  </si>
  <si>
    <t>最近よく噂に聞くね</t>
    <rPh sb="0" eb="2">
      <t>サイキン</t>
    </rPh>
    <rPh sb="4" eb="6">
      <t>ウワs</t>
    </rPh>
    <rPh sb="6" eb="9">
      <t>キk</t>
    </rPh>
    <phoneticPr fontId="5"/>
  </si>
  <si>
    <t>関わりたくなさそうだ</t>
    <rPh sb="0" eb="5">
      <t>カカw</t>
    </rPh>
    <phoneticPr fontId="5"/>
  </si>
  <si>
    <t>こっちに行ったはずだよ</t>
    <rPh sb="4" eb="10">
      <t>イッタh</t>
    </rPh>
    <phoneticPr fontId="5"/>
  </si>
  <si>
    <t>道を指差した</t>
    <rPh sb="0" eb="1">
      <t>ミt</t>
    </rPh>
    <phoneticPr fontId="5"/>
  </si>
  <si>
    <t>じゃあね</t>
    <phoneticPr fontId="5"/>
  </si>
  <si>
    <t>手を振って去っていった</t>
    <rPh sb="0" eb="11">
      <t>テw</t>
    </rPh>
    <phoneticPr fontId="5"/>
  </si>
  <si>
    <t>[effect:nothing]</t>
    <phoneticPr fontId="5"/>
  </si>
  <si>
    <t>行きなさい、子供たち</t>
    <rPh sb="0" eb="5">
      <t>イk</t>
    </rPh>
    <rPh sb="6" eb="8">
      <t>コドm</t>
    </rPh>
    <phoneticPr fontId="5"/>
  </si>
  <si>
    <t>赤い目でこちらを見ている</t>
    <rPh sb="0" eb="3">
      <t>アk</t>
    </rPh>
    <rPh sb="8" eb="12">
      <t>ミ</t>
    </rPh>
    <phoneticPr fontId="5"/>
  </si>
  <si>
    <t>[effect:rush, count:2, val:0.6]</t>
    <phoneticPr fontId="5"/>
  </si>
  <si>
    <t>もっと愛してあげる</t>
  </si>
  <si>
    <t>まだよ、あの人に会うまでは・・・！</t>
    <rPh sb="6" eb="7">
      <t>ヒト</t>
    </rPh>
    <rPh sb="8" eb="9">
      <t>ア</t>
    </rPh>
    <phoneticPr fontId="5"/>
  </si>
  <si>
    <t>あなたも私の邪魔をするの？</t>
    <rPh sb="4" eb="6">
      <t>ワタs</t>
    </rPh>
    <rPh sb="6" eb="9">
      <t>ジャm</t>
    </rPh>
    <phoneticPr fontId="5"/>
  </si>
  <si>
    <t>ナイフを構えて襲いかかってくる！</t>
    <rPh sb="4" eb="7">
      <t>カマ</t>
    </rPh>
    <rPh sb="7" eb="15">
      <t>オソ</t>
    </rPh>
    <phoneticPr fontId="5"/>
  </si>
  <si>
    <t>こちらに人影が迫ってくる！</t>
    <rPh sb="4" eb="6">
      <t>ヒt</t>
    </rPh>
    <rPh sb="7" eb="12">
      <t>セm</t>
    </rPh>
    <phoneticPr fontId="5"/>
  </si>
  <si>
    <t>あなたに構う暇は無くなったわ</t>
    <rPh sb="4" eb="6">
      <t>カマ</t>
    </rPh>
    <rPh sb="6" eb="7">
      <t>ヒm</t>
    </rPh>
    <rPh sb="7" eb="8">
      <t>ヒm</t>
    </rPh>
    <rPh sb="8" eb="9">
      <t>ナ</t>
    </rPh>
    <phoneticPr fontId="5"/>
  </si>
  <si>
    <t>私の手で始末してあげるわ</t>
  </si>
  <si>
    <t>罪歌の子達は去っていった</t>
    <rPh sb="0" eb="1">
      <t>ザイ</t>
    </rPh>
    <rPh sb="1" eb="2">
      <t>カ</t>
    </rPh>
    <rPh sb="3" eb="4">
      <t>コ</t>
    </rPh>
    <rPh sb="4" eb="5">
      <t>タチ</t>
    </rPh>
    <rPh sb="6" eb="7">
      <t>サ</t>
    </rPh>
    <phoneticPr fontId="5"/>
  </si>
  <si>
    <t>[effect:critical, val:1.5]</t>
    <phoneticPr fontId="5"/>
  </si>
  <si>
    <t>くだらない人間よね</t>
  </si>
  <si>
    <t>まさか・・・『母』が・・・？</t>
  </si>
  <si>
    <t>ふらふらと去っていった・・・</t>
    <rPh sb="5" eb="6">
      <t>サ</t>
    </rPh>
    <phoneticPr fontId="5"/>
  </si>
  <si>
    <t>[effect:suicide, val:0.1, dead_type:suicide, target:myself, animation:enemy_suicide],[effect:rush, count:10, val:0.1]</t>
    <phoneticPr fontId="5"/>
  </si>
  <si>
    <t>いつまでもあの人と・・・</t>
  </si>
  <si>
    <t>竜ヶ峰君・・・！？なんで・・・！？</t>
    <phoneticPr fontId="5"/>
  </si>
  <si>
    <t>[effect:critical, val:1.5],[effect:panel_freeze, target:block_heart, count:-1, break_count:1]</t>
    <phoneticPr fontId="5"/>
  </si>
  <si>
    <t>これで貸し借りはなしですよ</t>
  </si>
  <si>
    <t>こっちが夢ならいいのに</t>
  </si>
  <si>
    <t>紀田君・・・！？なんで・・・！？</t>
  </si>
  <si>
    <t>[effect:break_attack_fix, val:200, lowest_val:7000, count:-1, block:block_heart, target:unit_one]</t>
    <phoneticPr fontId="5"/>
  </si>
  <si>
    <t>あなたは人を愛せますか？</t>
  </si>
  <si>
    <t>・・・お願い邪魔しないで</t>
  </si>
  <si>
    <t>ちょっと切るだけですから</t>
  </si>
  <si>
    <t>少しの間眠っていてください</t>
  </si>
  <si>
    <t>そうはさせませんよ</t>
  </si>
  <si>
    <t>[effect:critical, val:1.2],[effect:panel_freeze, target:block_heart, count:-1, break_count:1]</t>
    <phoneticPr fontId="5"/>
  </si>
  <si>
    <t>すこしだけ酷いことをしますね</t>
  </si>
  <si>
    <t>日常に戻りたいんです</t>
  </si>
  <si>
    <t>私は寄生虫ですから・・・</t>
  </si>
  <si>
    <t>ハートパネル無効</t>
    <rPh sb="6" eb="8">
      <t>ムコ</t>
    </rPh>
    <phoneticPr fontId="5"/>
  </si>
  <si>
    <t>後は子供たちに任せるわ・・・</t>
    <rPh sb="0" eb="1">
      <t>アト</t>
    </rPh>
    <rPh sb="2" eb="4">
      <t>コドm</t>
    </rPh>
    <rPh sb="7" eb="11">
      <t>マカs</t>
    </rPh>
    <phoneticPr fontId="5"/>
  </si>
  <si>
    <t>・・・・・・・・・！</t>
  </si>
  <si>
    <t>何かに気を取られているようだ・・・</t>
    <rPh sb="0" eb="3">
      <t>ナン</t>
    </rPh>
    <rPh sb="3" eb="14">
      <t>キw</t>
    </rPh>
    <phoneticPr fontId="5"/>
  </si>
  <si>
    <t>何かを追うように去っていく・・・</t>
    <rPh sb="0" eb="3">
      <t>ナン</t>
    </rPh>
    <rPh sb="3" eb="4">
      <t>オtt</t>
    </rPh>
    <rPh sb="8" eb="11">
      <t>サtt</t>
    </rPh>
    <phoneticPr fontId="5"/>
  </si>
  <si>
    <t>今はこの場を切り抜けなきゃ・・・</t>
    <rPh sb="0" eb="1">
      <t>イm</t>
    </rPh>
    <rPh sb="6" eb="7">
      <t>キr</t>
    </rPh>
    <phoneticPr fontId="5"/>
  </si>
  <si>
    <t>ごめんなさい・・・でも、私・・・</t>
    <rPh sb="12" eb="13">
      <t>ワタs</t>
    </rPh>
    <phoneticPr fontId="5"/>
  </si>
  <si>
    <t>セルティさん、どうしてここに・・・</t>
  </si>
  <si>
    <t>貴方を斬らせて貰います</t>
  </si>
  <si>
    <t>3回連続攻撃</t>
    <rPh sb="1" eb="2">
      <t>カイ</t>
    </rPh>
    <rPh sb="2" eb="6">
      <t>レンゾk</t>
    </rPh>
    <phoneticPr fontId="5"/>
  </si>
  <si>
    <t>5回連続攻撃</t>
    <rPh sb="1" eb="2">
      <t>カイ</t>
    </rPh>
    <rPh sb="2" eb="6">
      <t>レンゾk</t>
    </rPh>
    <phoneticPr fontId="5"/>
  </si>
  <si>
    <t>2回連続攻撃</t>
    <rPh sb="1" eb="2">
      <t>カイ</t>
    </rPh>
    <rPh sb="2" eb="6">
      <t>レンゾk</t>
    </rPh>
    <phoneticPr fontId="5"/>
  </si>
  <si>
    <t>3ターン自身の攻撃頻度UP</t>
    <rPh sb="4" eb="6">
      <t>ジシン</t>
    </rPh>
    <phoneticPr fontId="5"/>
  </si>
  <si>
    <t>クリティカル！</t>
    <phoneticPr fontId="5"/>
  </si>
  <si>
    <t>10回連続攻撃+自身の残りHP10%消費</t>
    <rPh sb="2" eb="3">
      <t>カイ</t>
    </rPh>
    <rPh sb="3" eb="7">
      <t>レンゾk</t>
    </rPh>
    <rPh sb="8" eb="10">
      <t>ジシンノ</t>
    </rPh>
    <phoneticPr fontId="5"/>
  </si>
  <si>
    <t>ユニット全体に3ターンスキルバインド</t>
    <phoneticPr fontId="5"/>
  </si>
  <si>
    <t>3回連続攻撃</t>
    <rPh sb="1" eb="2">
      <t>カイ</t>
    </rPh>
    <rPh sb="2" eb="4">
      <t>レンゾk</t>
    </rPh>
    <rPh sb="4" eb="6">
      <t>コウゲk</t>
    </rPh>
    <phoneticPr fontId="5"/>
  </si>
  <si>
    <t>[effect:tolerance, target:myself, turn:-1, count:-1, tolerance_effect:all, animation:enemy_tolerance],[effect:fix_speed, target:myself, turn:1]</t>
    <phoneticPr fontId="5"/>
  </si>
  <si>
    <t>[effect:tolerance, target:myself, turn:-1, count:-1, tolerance_effect:all, animation:enemy_tolerance],[effect:suicide, val:1.0, dead_type:escape, target:enemy_blue]</t>
    <phoneticPr fontId="5"/>
  </si>
  <si>
    <t>[effect:tolerance, target:myself, turn:-1, count:-1, tolerance_effect:all, animation:enemy_tolerance],[effect:hungup, target:unit_all, turn:3, rate:1, animation:hungup01]</t>
    <phoneticPr fontId="5"/>
  </si>
  <si>
    <t>[effect:tolerance, target:myself, turn:-1, count:-1, tolerance_effect:all, animation:enemy_tolerance],[effect:enhance_enemy, target:enemy_all, turn:-1, status:attack, val:0.3, calc:mul, animation:enemy_enhance_attack]</t>
    <phoneticPr fontId="5"/>
  </si>
  <si>
    <t>ハートパネルプロテクト+クリティカル！</t>
    <phoneticPr fontId="5"/>
  </si>
  <si>
    <t>ハートパネルを吸収して攻撃</t>
    <phoneticPr fontId="5"/>
  </si>
  <si>
    <t>状態異常耐性+自身の攻撃力UP</t>
    <rPh sb="7" eb="9">
      <t>ジシン</t>
    </rPh>
    <rPh sb="10" eb="13">
      <t>コウゲk</t>
    </rPh>
    <phoneticPr fontId="5"/>
  </si>
  <si>
    <t>1ターンスキルバインド+クリティカル！</t>
    <phoneticPr fontId="5"/>
  </si>
  <si>
    <t>unit</t>
    <phoneticPr fontId="5"/>
  </si>
  <si>
    <t>no_continue</t>
    <phoneticPr fontId="5"/>
  </si>
  <si>
    <t>full_member</t>
    <phoneticPr fontId="5"/>
  </si>
  <si>
    <t>1フロア目の贄川春奈は
パーティーに対して攻撃を行いません
次のフロアに備えて準備をしましょう</t>
    <rPh sb="4" eb="5">
      <t>メ</t>
    </rPh>
    <phoneticPr fontId="5"/>
  </si>
  <si>
    <t>NULL</t>
    <phoneticPr fontId="5"/>
  </si>
  <si>
    <t>3フロア目のセルティと岸谷神羅は
パーティーに対して攻撃を行いません
次のフロアに備えて準備をしましょう</t>
    <rPh sb="4" eb="5">
      <t>メ</t>
    </rPh>
    <phoneticPr fontId="5"/>
  </si>
  <si>
    <t>両脇にいるおともは防御力が高く
通常の攻撃は全く通じません
中央の贄川春奈を優先して狙いましょう</t>
    <phoneticPr fontId="5"/>
  </si>
  <si>
    <t>2ゲージ目の贄川春奈はHPが減ると
強力な連続攻撃を行ってきます
残りのHPには十分注意しましょう</t>
    <rPh sb="4" eb="5">
      <t>メ</t>
    </rPh>
    <phoneticPr fontId="5"/>
  </si>
  <si>
    <t>園原杏里は2ゲージ目から攻撃が強力になります
速やかに倒せるようスキルやフィーバーは
可能な限り温存しておくとよいでしょう</t>
    <rPh sb="9" eb="10">
      <t>メ</t>
    </rPh>
    <phoneticPr fontId="5"/>
  </si>
  <si>
    <t>園原杏里は特定のタイミングでハートパネルを
吸収して強力な攻撃を行ってきます
ハートパネルをこまめに消して対策しましょう</t>
    <phoneticPr fontId="5"/>
  </si>
  <si>
    <t>old</t>
    <phoneticPr fontId="5"/>
  </si>
  <si>
    <t>状態異常耐性+3ターンユニット全体の攻撃力50%DOWN</t>
    <phoneticPr fontId="5"/>
  </si>
  <si>
    <t>1ターンスリープ+クリティカル！</t>
    <phoneticPr fontId="5"/>
  </si>
  <si>
    <t>[effect:damage_abnormal, target:unit_one, val:1.2, status:hungup, turn:1, rate:1, animation:hungup01]</t>
    <phoneticPr fontId="5"/>
  </si>
  <si>
    <t>[effect:damage_abnormal, target:unit_one, val:1.2, status:sleep, turn:1, rate:1, animation:sleep01]</t>
    <phoneticPr fontId="5"/>
  </si>
  <si>
    <t>[effect:enemy_message, val1:1.2, val2:1.8],[effect:freq_turn, target:myself, turn:3, val:1]</t>
    <phoneticPr fontId="5"/>
  </si>
  <si>
    <t>愛を得るには自分で動かなきゃ</t>
    <phoneticPr fontId="5"/>
  </si>
  <si>
    <t>[effect:enemy_message, val1:1, val2:1.8, dead_type:suicide]</t>
    <phoneticPr fontId="5"/>
  </si>
  <si>
    <t>[effect:enemy_message, val1:1, val2:1.8, dead_type:escape]</t>
    <phoneticPr fontId="5"/>
  </si>
  <si>
    <t>[effect:enemy_message, val1:1.2, val2:1.8],[effect:tolerance, target:myself, turn:-1, count:-1, tolerance_effect:all, animation:enemy_tolerance],[effect:hungup, target:unit_all, turn:3, rate:1, animation:hungup01]</t>
    <phoneticPr fontId="5"/>
  </si>
  <si>
    <t>セルティさん、どうしてここに・・・</t>
    <phoneticPr fontId="5"/>
  </si>
  <si>
    <t>愛するだけじゃもう足りないの</t>
    <phoneticPr fontId="5"/>
  </si>
  <si>
    <t>私の平穏を壊さないでください</t>
    <phoneticPr fontId="5"/>
  </si>
  <si>
    <t>[effect:enemy_message, val1:1.2, val2:2.2],[effect:tolerance, target:myself, turn:-1, count:-1, tolerance_effect:all, animation:enemy_tolerance],[effect:degrade_unit, target:unit_all, turn:3, status:attack, val:0.5, calc:mul]</t>
    <phoneticPr fontId="5"/>
  </si>
  <si>
    <t>ただ壊したくなかっただけなのに・・・</t>
    <phoneticPr fontId="5"/>
  </si>
  <si>
    <t>[effect:enemy_message, val1:1.2, val2:1.8],[effect:critical, val:1.5],[effect:panel_freeze, target:block_heart, count:-1, break_count:1]</t>
    <phoneticPr fontId="5"/>
  </si>
  <si>
    <t>あなたにも『声』を聞かせてあげますよ</t>
    <phoneticPr fontId="5"/>
  </si>
  <si>
    <t>[effect:enemy_message, val1:1.2, val2:1.8],[effect:dis_heart, turn:-1, animation:enemy_dis_heart]</t>
    <phoneticPr fontId="5"/>
  </si>
  <si>
    <t>罪歌の子供が襲いかかってくる！
【青属性の敵の残りHP10%消費】</t>
    <phoneticPr fontId="5"/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</si>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</sst>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2"/>
      <color theme="1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5" applyNumberFormat="0" applyAlignment="0" applyProtection="0"/>
    <xf numFmtId="0" fontId="33" fillId="17" borderId="0" applyNumberFormat="0" applyBorder="0" applyAlignment="0" applyProtection="0"/>
    <xf numFmtId="0" fontId="34" fillId="18" borderId="6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7" applyNumberFormat="0" applyAlignment="0" applyProtection="0"/>
    <xf numFmtId="0" fontId="38" fillId="0" borderId="0" applyNumberFormat="0" applyFill="0" applyBorder="0" applyAlignment="0" applyProtection="0"/>
    <xf numFmtId="0" fontId="39" fillId="0" borderId="8" applyNumberFormat="0" applyFill="0" applyAlignment="0" applyProtection="0"/>
    <xf numFmtId="0" fontId="40" fillId="0" borderId="9" applyNumberFormat="0" applyFill="0" applyAlignment="0" applyProtection="0"/>
    <xf numFmtId="0" fontId="41" fillId="0" borderId="10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1" applyNumberFormat="0" applyFill="0" applyAlignment="0" applyProtection="0"/>
    <xf numFmtId="0" fontId="46" fillId="18" borderId="12" applyNumberFormat="0" applyAlignment="0" applyProtection="0"/>
    <xf numFmtId="0" fontId="46" fillId="29" borderId="12" applyNumberFormat="0" applyAlignment="0" applyProtection="0"/>
    <xf numFmtId="0" fontId="34" fillId="17" borderId="6" applyNumberFormat="0" applyAlignment="0" applyProtection="0"/>
    <xf numFmtId="0" fontId="47" fillId="0" borderId="13" applyNumberFormat="0" applyFill="0" applyAlignment="0" applyProtection="0"/>
    <xf numFmtId="0" fontId="48" fillId="29" borderId="6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4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3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3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6" fillId="0" borderId="3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3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3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vertical="center"/>
    </xf>
    <xf numFmtId="0" fontId="16" fillId="3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3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horizontal="left" vertical="center" wrapText="1"/>
    </xf>
    <xf numFmtId="14" fontId="16" fillId="0" borderId="3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3" xfId="0" applyFont="1" applyFill="1" applyBorder="1"/>
    <xf numFmtId="0" fontId="0" fillId="11" borderId="3" xfId="0" applyFill="1" applyBorder="1"/>
    <xf numFmtId="0" fontId="0" fillId="0" borderId="3" xfId="0" applyBorder="1"/>
    <xf numFmtId="0" fontId="0" fillId="6" borderId="3" xfId="0" applyFill="1" applyBorder="1"/>
    <xf numFmtId="0" fontId="26" fillId="12" borderId="3" xfId="0" applyFont="1" applyFill="1" applyBorder="1"/>
    <xf numFmtId="0" fontId="13" fillId="11" borderId="3" xfId="434" applyFont="1" applyFill="1" applyBorder="1" applyAlignment="1"/>
    <xf numFmtId="0" fontId="24" fillId="0" borderId="3" xfId="434" applyBorder="1" applyAlignment="1"/>
    <xf numFmtId="0" fontId="0" fillId="13" borderId="3" xfId="0" applyFill="1" applyBorder="1"/>
    <xf numFmtId="0" fontId="16" fillId="3" borderId="3" xfId="0" applyFont="1" applyFill="1" applyBorder="1" applyAlignment="1">
      <alignment horizontal="left" vertical="center" wrapText="1"/>
    </xf>
    <xf numFmtId="0" fontId="16" fillId="6" borderId="3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3" xfId="615" applyFont="1" applyFill="1" applyBorder="1"/>
    <xf numFmtId="0" fontId="0" fillId="0" borderId="3" xfId="615" applyFont="1" applyBorder="1"/>
    <xf numFmtId="0" fontId="2" fillId="11" borderId="3" xfId="615" applyFill="1" applyBorder="1"/>
    <xf numFmtId="0" fontId="4" fillId="0" borderId="3" xfId="0" applyFont="1" applyBorder="1" applyAlignment="1">
      <alignment vertical="center"/>
    </xf>
    <xf numFmtId="0" fontId="16" fillId="3" borderId="3" xfId="614" applyFont="1" applyFill="1" applyBorder="1" applyAlignment="1">
      <alignment horizontal="left"/>
    </xf>
    <xf numFmtId="0" fontId="16" fillId="6" borderId="3" xfId="0" applyFont="1" applyFill="1" applyBorder="1" applyAlignment="1">
      <alignment horizontal="center"/>
    </xf>
    <xf numFmtId="56" fontId="16" fillId="6" borderId="3" xfId="0" applyNumberFormat="1" applyFont="1" applyFill="1" applyBorder="1" applyAlignment="1">
      <alignment horizontal="center"/>
    </xf>
    <xf numFmtId="0" fontId="2" fillId="0" borderId="0" xfId="615"/>
    <xf numFmtId="0" fontId="27" fillId="6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0" fillId="15" borderId="3" xfId="0" applyFill="1" applyBorder="1"/>
    <xf numFmtId="0" fontId="27" fillId="0" borderId="3" xfId="0" applyFont="1" applyFill="1" applyBorder="1"/>
    <xf numFmtId="0" fontId="28" fillId="0" borderId="3" xfId="0" applyFont="1" applyFill="1" applyBorder="1"/>
    <xf numFmtId="0" fontId="29" fillId="3" borderId="4" xfId="0" applyFont="1" applyFill="1" applyBorder="1" applyAlignment="1">
      <alignment vertical="center"/>
    </xf>
    <xf numFmtId="0" fontId="30" fillId="0" borderId="3" xfId="0" applyFont="1" applyFill="1" applyBorder="1"/>
    <xf numFmtId="0" fontId="29" fillId="0" borderId="4" xfId="0" applyFont="1" applyFill="1" applyBorder="1" applyAlignment="1">
      <alignment vertical="center"/>
    </xf>
    <xf numFmtId="0" fontId="30" fillId="14" borderId="3" xfId="0" applyFont="1" applyFill="1" applyBorder="1"/>
    <xf numFmtId="0" fontId="31" fillId="0" borderId="3" xfId="0" applyFont="1" applyFill="1" applyBorder="1"/>
    <xf numFmtId="0" fontId="27" fillId="0" borderId="0" xfId="0" applyFont="1" applyFill="1"/>
    <xf numFmtId="0" fontId="16" fillId="30" borderId="3" xfId="0" applyFont="1" applyFill="1" applyBorder="1" applyAlignment="1">
      <alignment horizontal="center"/>
    </xf>
    <xf numFmtId="0" fontId="30" fillId="30" borderId="3" xfId="0" applyFont="1" applyFill="1" applyBorder="1"/>
    <xf numFmtId="0" fontId="16" fillId="13" borderId="3" xfId="0" applyFont="1" applyFill="1" applyBorder="1" applyAlignment="1">
      <alignment horizontal="center"/>
    </xf>
    <xf numFmtId="56" fontId="16" fillId="14" borderId="3" xfId="0" applyNumberFormat="1" applyFont="1" applyFill="1" applyBorder="1" applyAlignment="1">
      <alignment horizontal="center"/>
    </xf>
    <xf numFmtId="0" fontId="31" fillId="14" borderId="3" xfId="0" applyFont="1" applyFill="1" applyBorder="1"/>
    <xf numFmtId="38" fontId="16" fillId="14" borderId="3" xfId="628" applyFont="1" applyFill="1" applyBorder="1" applyAlignment="1"/>
    <xf numFmtId="0" fontId="16" fillId="6" borderId="3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3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3" xfId="0" applyFont="1" applyFill="1" applyBorder="1"/>
    <xf numFmtId="22" fontId="30" fillId="0" borderId="3" xfId="0" quotePrefix="1" applyNumberFormat="1" applyFont="1" applyFill="1" applyBorder="1"/>
    <xf numFmtId="0" fontId="30" fillId="0" borderId="3" xfId="0" quotePrefix="1" applyFont="1" applyFill="1" applyBorder="1"/>
    <xf numFmtId="0" fontId="2" fillId="0" borderId="3" xfId="615" applyBorder="1"/>
    <xf numFmtId="0" fontId="2" fillId="6" borderId="3" xfId="615" applyFill="1" applyBorder="1"/>
    <xf numFmtId="1" fontId="32" fillId="31" borderId="3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2" fillId="7" borderId="15" xfId="0" applyFont="1" applyFill="1" applyBorder="1" applyAlignment="1">
      <alignment vertical="center"/>
    </xf>
    <xf numFmtId="0" fontId="12" fillId="7" borderId="16" xfId="0" applyFont="1" applyFill="1" applyBorder="1" applyAlignment="1">
      <alignment vertical="center"/>
    </xf>
    <xf numFmtId="0" fontId="4" fillId="0" borderId="17" xfId="0" applyFont="1" applyFill="1" applyBorder="1" applyAlignment="1">
      <alignment vertical="center"/>
    </xf>
    <xf numFmtId="0" fontId="6" fillId="5" borderId="17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vertical="center"/>
    </xf>
    <xf numFmtId="0" fontId="4" fillId="3" borderId="17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6" fillId="0" borderId="18" xfId="0" applyFont="1" applyFill="1" applyBorder="1" applyAlignment="1">
      <alignment vertical="center"/>
    </xf>
    <xf numFmtId="0" fontId="12" fillId="7" borderId="19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vertical="center"/>
    </xf>
    <xf numFmtId="0" fontId="12" fillId="7" borderId="21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1" fontId="32" fillId="31" borderId="4" xfId="0" applyNumberFormat="1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4" xfId="0" applyFont="1" applyBorder="1" applyAlignment="1">
      <alignment vertical="center"/>
    </xf>
    <xf numFmtId="0" fontId="12" fillId="7" borderId="23" xfId="0" applyFont="1" applyFill="1" applyBorder="1" applyAlignment="1">
      <alignment horizontal="left" vertical="center"/>
    </xf>
    <xf numFmtId="0" fontId="4" fillId="2" borderId="23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6" borderId="23" xfId="0" applyFont="1" applyFill="1" applyBorder="1" applyAlignment="1">
      <alignment horizontal="left" vertical="center"/>
    </xf>
    <xf numFmtId="0" fontId="4" fillId="31" borderId="23" xfId="0" applyFont="1" applyFill="1" applyBorder="1" applyAlignment="1">
      <alignment horizontal="left" vertical="center"/>
    </xf>
    <xf numFmtId="0" fontId="6" fillId="4" borderId="23" xfId="0" applyFont="1" applyFill="1" applyBorder="1" applyAlignment="1">
      <alignment horizontal="left" vertical="center"/>
    </xf>
    <xf numFmtId="0" fontId="12" fillId="7" borderId="3" xfId="0" applyFont="1" applyFill="1" applyBorder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12" fillId="7" borderId="4" xfId="0" applyFont="1" applyFill="1" applyBorder="1" applyAlignment="1">
      <alignment vertical="center"/>
    </xf>
    <xf numFmtId="176" fontId="4" fillId="0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16" fillId="13" borderId="3" xfId="0" applyFont="1" applyFill="1" applyBorder="1" applyAlignment="1">
      <alignment horizontal="left" vertical="center"/>
    </xf>
    <xf numFmtId="0" fontId="16" fillId="13" borderId="3" xfId="0" applyFont="1" applyFill="1" applyBorder="1" applyAlignment="1">
      <alignment horizontal="left" vertical="center" wrapText="1"/>
    </xf>
    <xf numFmtId="14" fontId="16" fillId="13" borderId="3" xfId="0" applyNumberFormat="1" applyFont="1" applyFill="1" applyBorder="1" applyAlignment="1">
      <alignment horizontal="left" vertical="center"/>
    </xf>
    <xf numFmtId="0" fontId="16" fillId="13" borderId="0" xfId="0" applyFont="1" applyFill="1" applyAlignment="1">
      <alignment vertical="center"/>
    </xf>
    <xf numFmtId="0" fontId="52" fillId="0" borderId="3" xfId="0" applyFont="1" applyFill="1" applyBorder="1" applyAlignment="1"/>
    <xf numFmtId="0" fontId="53" fillId="0" borderId="3" xfId="0" applyFont="1" applyFill="1" applyBorder="1" applyAlignment="1">
      <alignment vertical="center"/>
    </xf>
    <xf numFmtId="38" fontId="16" fillId="0" borderId="3" xfId="628" applyFont="1" applyFill="1" applyBorder="1" applyAlignment="1">
      <alignment wrapText="1"/>
    </xf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24" fillId="0" borderId="3" xfId="615" applyFont="1" applyBorder="1"/>
    <xf numFmtId="0" fontId="0" fillId="0" borderId="0" xfId="0" applyBorder="1"/>
    <xf numFmtId="0" fontId="0" fillId="0" borderId="3" xfId="0" applyFont="1" applyBorder="1"/>
    <xf numFmtId="0" fontId="8" fillId="0" borderId="25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5" xfId="0" applyNumberFormat="1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65529</v>
          </cell>
        </row>
        <row r="313">
          <cell r="A313">
            <v>65530</v>
          </cell>
        </row>
        <row r="314">
          <cell r="A314">
            <v>65531</v>
          </cell>
        </row>
        <row r="315">
          <cell r="A315">
            <v>65532</v>
          </cell>
        </row>
        <row r="316">
          <cell r="A316">
            <v>65533</v>
          </cell>
        </row>
        <row r="317">
          <cell r="A317">
            <v>65534</v>
          </cell>
        </row>
        <row r="318">
          <cell r="A318">
            <v>65535</v>
          </cell>
        </row>
        <row r="319">
          <cell r="A319">
            <v>60021</v>
          </cell>
        </row>
        <row r="320">
          <cell r="A320">
            <v>60022</v>
          </cell>
        </row>
        <row r="321">
          <cell r="A321">
            <v>60023</v>
          </cell>
        </row>
        <row r="322">
          <cell r="A32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65527_1</v>
          </cell>
        </row>
        <row r="907">
          <cell r="A907" t="str">
            <v>65529_1</v>
          </cell>
        </row>
        <row r="908">
          <cell r="A908" t="str">
            <v>65530_1</v>
          </cell>
        </row>
        <row r="909">
          <cell r="A909" t="str">
            <v>65531_1</v>
          </cell>
        </row>
        <row r="910">
          <cell r="A910" t="str">
            <v>65531_2</v>
          </cell>
        </row>
        <row r="911">
          <cell r="A911" t="str">
            <v>65532_1</v>
          </cell>
        </row>
        <row r="912">
          <cell r="A912" t="str">
            <v>65532_2</v>
          </cell>
        </row>
        <row r="913">
          <cell r="A913" t="str">
            <v>65533_1</v>
          </cell>
        </row>
        <row r="914">
          <cell r="A914" t="str">
            <v>65533_2</v>
          </cell>
        </row>
        <row r="915">
          <cell r="A915" t="str">
            <v>65534_1</v>
          </cell>
        </row>
        <row r="916">
          <cell r="A916" t="str">
            <v>65535_1</v>
          </cell>
        </row>
        <row r="917">
          <cell r="A917" t="str">
            <v>65535_2</v>
          </cell>
        </row>
        <row r="918">
          <cell r="A918" t="str">
            <v>65535_3</v>
          </cell>
        </row>
        <row r="919">
          <cell r="A919" t="str">
            <v>65535_4</v>
          </cell>
        </row>
        <row r="920">
          <cell r="A920" t="str">
            <v>65535_5</v>
          </cell>
        </row>
        <row r="921">
          <cell r="A921" t="str">
            <v>65535_6</v>
          </cell>
        </row>
        <row r="922">
          <cell r="A922" t="str">
            <v>65535_7</v>
          </cell>
        </row>
        <row r="923">
          <cell r="A923" t="str">
            <v>65535_8</v>
          </cell>
        </row>
        <row r="924">
          <cell r="A924" t="str">
            <v>65535_9</v>
          </cell>
        </row>
        <row r="925">
          <cell r="A92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36" t="s">
        <v>128</v>
      </c>
      <c r="B1" s="31" t="s">
        <v>99</v>
      </c>
      <c r="C1" s="31" t="s">
        <v>100</v>
      </c>
      <c r="D1" s="31" t="s">
        <v>101</v>
      </c>
      <c r="E1" s="31" t="s">
        <v>102</v>
      </c>
      <c r="F1" s="31" t="s">
        <v>103</v>
      </c>
      <c r="G1" s="31" t="s">
        <v>104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</row>
    <row r="2" spans="1:30" x14ac:dyDescent="0.15">
      <c r="A2" s="37" t="s">
        <v>336</v>
      </c>
      <c r="B2" s="33" t="s">
        <v>105</v>
      </c>
      <c r="C2" s="38">
        <v>49012</v>
      </c>
      <c r="D2" s="33" t="s">
        <v>106</v>
      </c>
      <c r="E2" s="32" t="str">
        <f>B2&amp;C2&amp;D2</f>
        <v>floors_49012.tmp</v>
      </c>
      <c r="F2" s="33" t="s">
        <v>107</v>
      </c>
      <c r="G2" s="34" t="s">
        <v>0</v>
      </c>
      <c r="H2" s="34" t="s">
        <v>1</v>
      </c>
      <c r="I2" s="34" t="s">
        <v>13</v>
      </c>
      <c r="J2" s="34" t="s">
        <v>14</v>
      </c>
      <c r="K2" s="34" t="s">
        <v>15</v>
      </c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</row>
    <row r="3" spans="1:30" x14ac:dyDescent="0.15">
      <c r="A3" s="37" t="s">
        <v>336</v>
      </c>
      <c r="B3" s="33" t="s">
        <v>108</v>
      </c>
      <c r="C3" s="38">
        <v>49012</v>
      </c>
      <c r="D3" s="33" t="s">
        <v>106</v>
      </c>
      <c r="E3" s="32" t="str">
        <f>B3&amp;C3&amp;D3</f>
        <v>enemy_habitats_49012.tmp</v>
      </c>
      <c r="F3" s="33" t="s">
        <v>109</v>
      </c>
      <c r="G3" s="34" t="s">
        <v>0</v>
      </c>
      <c r="H3" s="34" t="s">
        <v>1</v>
      </c>
      <c r="I3" s="34" t="s">
        <v>13</v>
      </c>
      <c r="J3" s="34" t="s">
        <v>2</v>
      </c>
      <c r="K3" s="34" t="s">
        <v>3</v>
      </c>
      <c r="L3" s="34" t="s">
        <v>47</v>
      </c>
      <c r="M3" s="34" t="s">
        <v>49</v>
      </c>
      <c r="N3" s="34" t="s">
        <v>51</v>
      </c>
      <c r="O3" s="34" t="s">
        <v>22</v>
      </c>
      <c r="P3" s="34" t="s">
        <v>5</v>
      </c>
      <c r="Q3" s="34" t="s">
        <v>6</v>
      </c>
      <c r="R3" s="34" t="s">
        <v>7</v>
      </c>
      <c r="S3" s="34" t="s">
        <v>8</v>
      </c>
      <c r="T3" s="34" t="s">
        <v>9</v>
      </c>
      <c r="U3" s="34" t="s">
        <v>10</v>
      </c>
      <c r="V3" s="34" t="s">
        <v>11</v>
      </c>
      <c r="W3" s="34" t="s">
        <v>12</v>
      </c>
      <c r="X3" s="34" t="s">
        <v>37</v>
      </c>
      <c r="Y3" s="34" t="s">
        <v>39</v>
      </c>
      <c r="Z3" s="34" t="s">
        <v>41</v>
      </c>
      <c r="AA3" s="34" t="s">
        <v>43</v>
      </c>
      <c r="AB3" s="34" t="s">
        <v>45</v>
      </c>
      <c r="AC3" s="34" t="s">
        <v>54</v>
      </c>
      <c r="AD3" s="34" t="s">
        <v>175</v>
      </c>
    </row>
    <row r="4" spans="1:30" x14ac:dyDescent="0.15">
      <c r="A4" s="37" t="s">
        <v>336</v>
      </c>
      <c r="B4" s="33" t="s">
        <v>110</v>
      </c>
      <c r="C4" s="38">
        <v>49012</v>
      </c>
      <c r="D4" s="33" t="s">
        <v>106</v>
      </c>
      <c r="E4" s="32" t="str">
        <f>B4&amp;C4&amp;D4</f>
        <v>enemy_habitat_S_49012.tmp</v>
      </c>
      <c r="F4" s="33" t="s">
        <v>111</v>
      </c>
      <c r="G4" s="34" t="s">
        <v>0</v>
      </c>
      <c r="H4" s="34" t="s">
        <v>1</v>
      </c>
      <c r="I4" s="34" t="s">
        <v>13</v>
      </c>
      <c r="J4" s="34" t="s">
        <v>54</v>
      </c>
      <c r="K4" s="34" t="s">
        <v>55</v>
      </c>
      <c r="L4" s="34" t="s">
        <v>56</v>
      </c>
      <c r="M4" s="34" t="s">
        <v>57</v>
      </c>
      <c r="N4" s="34" t="s">
        <v>58</v>
      </c>
      <c r="O4" s="34" t="s">
        <v>59</v>
      </c>
      <c r="P4" s="34" t="s">
        <v>48</v>
      </c>
      <c r="Q4" s="34" t="s">
        <v>50</v>
      </c>
      <c r="R4" s="34" t="s">
        <v>52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</row>
    <row r="5" spans="1:30" x14ac:dyDescent="0.15">
      <c r="A5" s="37" t="s">
        <v>336</v>
      </c>
      <c r="B5" s="33" t="s">
        <v>112</v>
      </c>
      <c r="C5" s="38">
        <v>49012</v>
      </c>
      <c r="D5" s="33" t="s">
        <v>106</v>
      </c>
      <c r="E5" s="32" t="str">
        <f>B5&amp;C5&amp;D5</f>
        <v>enemy_skill_sets_49012.tmp</v>
      </c>
      <c r="F5" s="33" t="s">
        <v>113</v>
      </c>
      <c r="G5" s="35" t="s">
        <v>22</v>
      </c>
      <c r="H5" s="35" t="s">
        <v>98</v>
      </c>
      <c r="I5" s="35" t="s">
        <v>93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</row>
    <row r="6" spans="1:30" x14ac:dyDescent="0.15">
      <c r="A6" s="37" t="s">
        <v>336</v>
      </c>
      <c r="B6" s="33" t="s">
        <v>114</v>
      </c>
      <c r="C6" s="38">
        <v>49012</v>
      </c>
      <c r="D6" s="33" t="s">
        <v>115</v>
      </c>
      <c r="E6" s="32" t="str">
        <f t="shared" ref="E6:E10" si="0">B6&amp;C6&amp;D6</f>
        <v>enemy_skills_tmp_49012.tmp</v>
      </c>
      <c r="F6" s="33" t="s">
        <v>89</v>
      </c>
      <c r="G6" s="34" t="s">
        <v>79</v>
      </c>
      <c r="H6" s="34" t="s">
        <v>80</v>
      </c>
      <c r="I6" s="34" t="s">
        <v>81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</row>
    <row r="7" spans="1:30" x14ac:dyDescent="0.15">
      <c r="A7" s="37" t="s">
        <v>336</v>
      </c>
      <c r="B7" s="33" t="s">
        <v>116</v>
      </c>
      <c r="C7" s="38">
        <v>49012</v>
      </c>
      <c r="D7" s="33" t="s">
        <v>106</v>
      </c>
      <c r="E7" s="32" t="str">
        <f>B7&amp;C7&amp;D7</f>
        <v>enemy_skills_i18n_49012.tmp</v>
      </c>
      <c r="F7" s="33" t="s">
        <v>117</v>
      </c>
      <c r="G7" s="34" t="s">
        <v>79</v>
      </c>
      <c r="H7" s="34" t="s">
        <v>90</v>
      </c>
      <c r="I7" s="34" t="s">
        <v>91</v>
      </c>
      <c r="J7" s="34" t="s">
        <v>92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 x14ac:dyDescent="0.15">
      <c r="A8" s="37" t="s">
        <v>336</v>
      </c>
      <c r="B8" s="33" t="s">
        <v>118</v>
      </c>
      <c r="C8" s="38">
        <v>49012</v>
      </c>
      <c r="D8" s="33" t="s">
        <v>119</v>
      </c>
      <c r="E8" s="32" t="str">
        <f t="shared" si="0"/>
        <v>enemy_skill_triggers_49012.tmp</v>
      </c>
      <c r="F8" s="33" t="s">
        <v>120</v>
      </c>
      <c r="G8" s="34" t="s">
        <v>93</v>
      </c>
      <c r="H8" s="34" t="s">
        <v>94</v>
      </c>
      <c r="I8" s="34" t="s">
        <v>95</v>
      </c>
      <c r="J8" s="34" t="s">
        <v>96</v>
      </c>
      <c r="K8" s="34" t="s">
        <v>121</v>
      </c>
      <c r="L8" s="34" t="s">
        <v>97</v>
      </c>
      <c r="M8" s="34" t="s">
        <v>122</v>
      </c>
      <c r="N8" s="34" t="s">
        <v>123</v>
      </c>
      <c r="O8" s="34" t="s">
        <v>124</v>
      </c>
      <c r="P8" s="34" t="s">
        <v>67</v>
      </c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 x14ac:dyDescent="0.15">
      <c r="A9" s="37" t="s">
        <v>336</v>
      </c>
      <c r="B9" s="43" t="s">
        <v>174</v>
      </c>
      <c r="C9" s="38">
        <v>49012</v>
      </c>
      <c r="D9" s="43" t="s">
        <v>168</v>
      </c>
      <c r="E9" s="44" t="str">
        <f t="shared" si="0"/>
        <v>stage_bug_bonuses_49012.tmp</v>
      </c>
      <c r="F9" s="43" t="s">
        <v>169</v>
      </c>
      <c r="G9" s="40" t="s">
        <v>148</v>
      </c>
      <c r="H9" s="40" t="s">
        <v>170</v>
      </c>
      <c r="I9" s="40" t="s">
        <v>171</v>
      </c>
      <c r="J9" s="42" t="s">
        <v>172</v>
      </c>
      <c r="K9" s="40" t="s">
        <v>173</v>
      </c>
      <c r="L9" s="40" t="s">
        <v>154</v>
      </c>
      <c r="M9" s="40" t="s">
        <v>155</v>
      </c>
      <c r="N9" s="40" t="s">
        <v>156</v>
      </c>
      <c r="O9" s="40" t="s">
        <v>157</v>
      </c>
      <c r="P9" s="40" t="s">
        <v>158</v>
      </c>
      <c r="Q9" s="40" t="s">
        <v>159</v>
      </c>
      <c r="R9" s="40" t="s">
        <v>160</v>
      </c>
      <c r="S9" s="40" t="s">
        <v>161</v>
      </c>
      <c r="T9" s="40" t="s">
        <v>162</v>
      </c>
      <c r="U9" s="40" t="s">
        <v>163</v>
      </c>
      <c r="V9" s="40" t="s">
        <v>164</v>
      </c>
      <c r="W9" s="40" t="s">
        <v>165</v>
      </c>
      <c r="X9" s="33"/>
      <c r="Y9" s="33"/>
      <c r="Z9" s="33"/>
      <c r="AA9" s="33"/>
      <c r="AB9" s="33"/>
      <c r="AC9" s="33"/>
      <c r="AD9" s="33"/>
    </row>
    <row r="10" spans="1:30" s="49" customFormat="1" x14ac:dyDescent="0.15">
      <c r="A10" s="37" t="s">
        <v>336</v>
      </c>
      <c r="B10" s="43" t="s">
        <v>197</v>
      </c>
      <c r="C10" s="38">
        <v>49012</v>
      </c>
      <c r="D10" s="43" t="s">
        <v>177</v>
      </c>
      <c r="E10" s="44" t="str">
        <f t="shared" si="0"/>
        <v>stage_hints_data_c_49012.tmp</v>
      </c>
      <c r="F10" s="43" t="s">
        <v>205</v>
      </c>
      <c r="G10" s="47" t="s">
        <v>178</v>
      </c>
      <c r="H10" s="47" t="s">
        <v>170</v>
      </c>
      <c r="I10" s="48" t="s">
        <v>179</v>
      </c>
      <c r="J10" s="42" t="s">
        <v>180</v>
      </c>
      <c r="K10" s="42" t="s">
        <v>181</v>
      </c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</row>
    <row r="11" spans="1:30" s="49" customFormat="1" x14ac:dyDescent="0.15">
      <c r="A11" s="37" t="s">
        <v>336</v>
      </c>
      <c r="B11" s="43" t="s">
        <v>198</v>
      </c>
      <c r="C11" s="38">
        <v>49012</v>
      </c>
      <c r="D11" s="43" t="s">
        <v>168</v>
      </c>
      <c r="E11" s="44" t="str">
        <f t="shared" ref="E11:E13" si="1">B11&amp;C11&amp;D11</f>
        <v>stage_hints_data_f_49012.tmp</v>
      </c>
      <c r="F11" s="43" t="s">
        <v>207</v>
      </c>
      <c r="G11" s="47" t="s">
        <v>178</v>
      </c>
      <c r="H11" s="47" t="s">
        <v>170</v>
      </c>
      <c r="I11" s="48" t="s">
        <v>179</v>
      </c>
      <c r="J11" s="42" t="s">
        <v>180</v>
      </c>
      <c r="K11" s="42" t="s">
        <v>181</v>
      </c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</row>
    <row r="12" spans="1:30" s="49" customFormat="1" x14ac:dyDescent="0.15">
      <c r="A12" s="151" t="s">
        <v>336</v>
      </c>
      <c r="B12" s="43" t="s">
        <v>199</v>
      </c>
      <c r="C12" s="38">
        <v>49012</v>
      </c>
      <c r="D12" s="43" t="s">
        <v>168</v>
      </c>
      <c r="E12" s="44" t="str">
        <f t="shared" si="1"/>
        <v>stage_hints_i18n_49012.tmp</v>
      </c>
      <c r="F12" s="43" t="s">
        <v>208</v>
      </c>
      <c r="G12" s="48" t="s">
        <v>200</v>
      </c>
      <c r="H12" s="69" t="s">
        <v>201</v>
      </c>
      <c r="I12" s="47" t="s">
        <v>202</v>
      </c>
      <c r="J12" s="77" t="s">
        <v>203</v>
      </c>
      <c r="K12" s="42" t="s">
        <v>204</v>
      </c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</row>
    <row r="13" spans="1:30" s="49" customFormat="1" x14ac:dyDescent="0.15">
      <c r="A13" s="151" t="s">
        <v>336</v>
      </c>
      <c r="B13" s="43" t="s">
        <v>246</v>
      </c>
      <c r="C13" s="38">
        <v>49012</v>
      </c>
      <c r="D13" s="43" t="s">
        <v>227</v>
      </c>
      <c r="E13" s="44" t="str">
        <f t="shared" si="1"/>
        <v>stage_bonuses_49012.tmp</v>
      </c>
      <c r="F13" s="43" t="s">
        <v>226</v>
      </c>
      <c r="G13" s="47" t="s">
        <v>228</v>
      </c>
      <c r="H13" s="47" t="s">
        <v>229</v>
      </c>
      <c r="I13" s="47" t="s">
        <v>230</v>
      </c>
      <c r="J13" s="47" t="s">
        <v>231</v>
      </c>
      <c r="K13" s="47" t="s">
        <v>232</v>
      </c>
      <c r="L13" s="47" t="s">
        <v>233</v>
      </c>
      <c r="M13" s="47" t="s">
        <v>234</v>
      </c>
      <c r="N13" s="47" t="s">
        <v>235</v>
      </c>
      <c r="O13" s="47" t="s">
        <v>236</v>
      </c>
      <c r="P13" s="47" t="s">
        <v>237</v>
      </c>
      <c r="Q13" s="47" t="s">
        <v>238</v>
      </c>
      <c r="R13" s="47" t="s">
        <v>239</v>
      </c>
      <c r="S13" s="47" t="s">
        <v>240</v>
      </c>
      <c r="T13" s="47" t="s">
        <v>241</v>
      </c>
      <c r="U13" s="47" t="s">
        <v>242</v>
      </c>
      <c r="V13" s="47" t="s">
        <v>243</v>
      </c>
      <c r="W13" s="47" t="s">
        <v>244</v>
      </c>
      <c r="X13" s="47" t="s">
        <v>245</v>
      </c>
      <c r="Y13" s="76"/>
      <c r="Z13" s="76"/>
      <c r="AA13" s="76"/>
      <c r="AB13" s="76"/>
      <c r="AC13" s="76"/>
      <c r="AD13" s="76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D14" sqref="D14"/>
    </sheetView>
  </sheetViews>
  <sheetFormatPr baseColWidth="12" defaultColWidth="13" defaultRowHeight="21" customHeight="1" outlineLevelCol="1" x14ac:dyDescent="0.15"/>
  <cols>
    <col min="1" max="1" width="8.83203125" style="11" bestFit="1" customWidth="1"/>
    <col min="2" max="2" width="5" style="11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1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9" t="s">
        <v>30</v>
      </c>
      <c r="B1" s="9" t="s">
        <v>36</v>
      </c>
      <c r="C1" s="1" t="s">
        <v>0</v>
      </c>
      <c r="D1" s="2" t="s">
        <v>18</v>
      </c>
      <c r="E1" s="8" t="s">
        <v>33</v>
      </c>
      <c r="F1" s="1" t="s">
        <v>1</v>
      </c>
      <c r="G1" s="12" t="s">
        <v>32</v>
      </c>
      <c r="H1" s="8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80" t="str">
        <f>G2&amp;"-"&amp;I2</f>
        <v>49012_1-1</v>
      </c>
      <c r="B2" s="81" t="str">
        <f>IF(COUNTIF(enemy_habitats!$H:$H,A2),"OK","NG")</f>
        <v>OK</v>
      </c>
      <c r="C2" s="82">
        <v>49012</v>
      </c>
      <c r="D2" s="83" t="str">
        <f ca="1">VLOOKUP($C2,OFFSET([2]quests!$A$1,0,0,COUNTA([2]quests!$A:$A),MATCH(D$1,[2]quests!$1:$1,0)-MATCH($C$1,[2]quests!$1:$1,0)+1),MATCH(D$1,[2]quests!$1:$1,0)-MATCH($C$1,[2]quests!$1:$1,0)+1,FALSE)</f>
        <v>園原杏里襲来！</v>
      </c>
      <c r="E2" s="83" t="str">
        <f ca="1">VLOOKUP($C2,OFFSET([2]quests!$A$1,0,0,COUNTA([2]quests!$A:$A),MATCH(E$1,[2]quests!$1:$1,0)-MATCH($C$1,[2]quests!$1:$1,0)+1),MATCH(E$1,[2]quests!$1:$1,0)-MATCH($C$1,[2]quests!$1:$1,0)+1,FALSE)</f>
        <v>コラボ降臨2（復刻）</v>
      </c>
      <c r="F2" s="84">
        <v>1</v>
      </c>
      <c r="G2" s="85" t="str">
        <f>C2&amp;"_"&amp;F2</f>
        <v>49012_1</v>
      </c>
      <c r="H2" s="86" t="str">
        <f ca="1">VLOOKUP($G2,OFFSET([2]stages!$A$1,0,0,COUNTA([2]stages!$A:$A),MATCH(H$1,[2]stages!$2:$2,0)-MATCH($G$1,[2]stages!$2:$2,0)+1),MATCH(H$1,[2]stages!$2:$2,0)-MATCH($G$1,[2]stages!$2:$2,0)+1,FALSE)</f>
        <v>【ウィザード級】園原杏里襲来</v>
      </c>
      <c r="I2" s="84">
        <v>1</v>
      </c>
      <c r="J2" s="87">
        <v>60</v>
      </c>
      <c r="K2" s="88">
        <v>60</v>
      </c>
    </row>
    <row r="3" spans="1:11" ht="21" customHeight="1" x14ac:dyDescent="0.15">
      <c r="A3" s="89" t="str">
        <f>G3&amp;"-"&amp;I3</f>
        <v>49012_1-2</v>
      </c>
      <c r="B3" s="90" t="str">
        <f>IF(COUNTIF(enemy_habitats!$H:$H,A3),"OK","NG")</f>
        <v>OK</v>
      </c>
      <c r="C3" s="91">
        <v>49012</v>
      </c>
      <c r="D3" s="10" t="str">
        <f ca="1">VLOOKUP($C3,OFFSET([2]quests!$A$1,0,0,COUNTA([2]quests!$A:$A),MATCH(D$1,[2]quests!$1:$1,0)-MATCH($C$1,[2]quests!$1:$1,0)+1),MATCH(D$1,[2]quests!$1:$1,0)-MATCH($C$1,[2]quests!$1:$1,0)+1,FALSE)</f>
        <v>園原杏里襲来！</v>
      </c>
      <c r="E3" s="10" t="str">
        <f ca="1">VLOOKUP($C3,OFFSET([2]quests!$A$1,0,0,COUNTA([2]quests!$A:$A),MATCH(E$1,[2]quests!$1:$1,0)-MATCH($C$1,[2]quests!$1:$1,0)+1),MATCH(E$1,[2]quests!$1:$1,0)-MATCH($C$1,[2]quests!$1:$1,0)+1,FALSE)</f>
        <v>コラボ降臨2（復刻）</v>
      </c>
      <c r="F3" s="92">
        <v>1</v>
      </c>
      <c r="G3" s="12" t="str">
        <f>C3&amp;"_"&amp;F3</f>
        <v>49012_1</v>
      </c>
      <c r="H3" s="8" t="str">
        <f ca="1">VLOOKUP($G3,OFFSET([2]stages!$A$1,0,0,COUNTA([2]stages!$A:$A),MATCH(H$1,[2]stages!$2:$2,0)-MATCH($G$1,[2]stages!$2:$2,0)+1),MATCH(H$1,[2]stages!$2:$2,0)-MATCH($G$1,[2]stages!$2:$2,0)+1,FALSE)</f>
        <v>【ウィザード級】園原杏里襲来</v>
      </c>
      <c r="I3" s="92">
        <v>2</v>
      </c>
      <c r="J3" s="14">
        <v>60</v>
      </c>
      <c r="K3" s="93">
        <v>60</v>
      </c>
    </row>
    <row r="4" spans="1:11" ht="21" customHeight="1" x14ac:dyDescent="0.15">
      <c r="A4" s="89" t="str">
        <f>G4&amp;"-"&amp;I4</f>
        <v>49012_1-3</v>
      </c>
      <c r="B4" s="90" t="str">
        <f>IF(COUNTIF(enemy_habitats!$H:$H,A4),"OK","NG")</f>
        <v>OK</v>
      </c>
      <c r="C4" s="91">
        <v>49012</v>
      </c>
      <c r="D4" s="10" t="str">
        <f ca="1">VLOOKUP($C4,OFFSET([2]quests!$A$1,0,0,COUNTA([2]quests!$A:$A),MATCH(D$1,[2]quests!$1:$1,0)-MATCH($C$1,[2]quests!$1:$1,0)+1),MATCH(D$1,[2]quests!$1:$1,0)-MATCH($C$1,[2]quests!$1:$1,0)+1,FALSE)</f>
        <v>園原杏里襲来！</v>
      </c>
      <c r="E4" s="10" t="str">
        <f ca="1">VLOOKUP($C4,OFFSET([2]quests!$A$1,0,0,COUNTA([2]quests!$A:$A),MATCH(E$1,[2]quests!$1:$1,0)-MATCH($C$1,[2]quests!$1:$1,0)+1),MATCH(E$1,[2]quests!$1:$1,0)-MATCH($C$1,[2]quests!$1:$1,0)+1,FALSE)</f>
        <v>コラボ降臨2（復刻）</v>
      </c>
      <c r="F4" s="92">
        <v>1</v>
      </c>
      <c r="G4" s="12" t="str">
        <f>C4&amp;"_"&amp;F4</f>
        <v>49012_1</v>
      </c>
      <c r="H4" s="8" t="str">
        <f ca="1">VLOOKUP($G4,OFFSET([2]stages!$A$1,0,0,COUNTA([2]stages!$A:$A),MATCH(H$1,[2]stages!$2:$2,0)-MATCH($G$1,[2]stages!$2:$2,0)+1),MATCH(H$1,[2]stages!$2:$2,0)-MATCH($G$1,[2]stages!$2:$2,0)+1,FALSE)</f>
        <v>【ウィザード級】園原杏里襲来</v>
      </c>
      <c r="I4" s="92">
        <v>3</v>
      </c>
      <c r="J4" s="14">
        <v>60</v>
      </c>
      <c r="K4" s="93">
        <v>60</v>
      </c>
    </row>
    <row r="5" spans="1:11" ht="21" customHeight="1" x14ac:dyDescent="0.15">
      <c r="A5" s="89" t="str">
        <f t="shared" ref="A5:A6" si="0">G5&amp;"-"&amp;I5</f>
        <v>49012_1-4</v>
      </c>
      <c r="B5" s="90" t="str">
        <f>IF(COUNTIF(enemy_habitats!$H:$H,A5),"OK","NG")</f>
        <v>OK</v>
      </c>
      <c r="C5" s="91">
        <v>49012</v>
      </c>
      <c r="D5" s="10" t="str">
        <f ca="1">VLOOKUP($C5,OFFSET([2]quests!$A$1,0,0,COUNTA([2]quests!$A:$A),MATCH(D$1,[2]quests!$1:$1,0)-MATCH($C$1,[2]quests!$1:$1,0)+1),MATCH(D$1,[2]quests!$1:$1,0)-MATCH($C$1,[2]quests!$1:$1,0)+1,FALSE)</f>
        <v>園原杏里襲来！</v>
      </c>
      <c r="E5" s="10" t="str">
        <f ca="1">VLOOKUP($C5,OFFSET([2]quests!$A$1,0,0,COUNTA([2]quests!$A:$A),MATCH(E$1,[2]quests!$1:$1,0)-MATCH($C$1,[2]quests!$1:$1,0)+1),MATCH(E$1,[2]quests!$1:$1,0)-MATCH($C$1,[2]quests!$1:$1,0)+1,FALSE)</f>
        <v>コラボ降臨2（復刻）</v>
      </c>
      <c r="F5" s="92">
        <v>1</v>
      </c>
      <c r="G5" s="12" t="str">
        <f t="shared" ref="G5:G6" si="1">C5&amp;"_"&amp;F5</f>
        <v>49012_1</v>
      </c>
      <c r="H5" s="8" t="str">
        <f ca="1">VLOOKUP($G5,OFFSET([2]stages!$A$1,0,0,COUNTA([2]stages!$A:$A),MATCH(H$1,[2]stages!$2:$2,0)-MATCH($G$1,[2]stages!$2:$2,0)+1),MATCH(H$1,[2]stages!$2:$2,0)-MATCH($G$1,[2]stages!$2:$2,0)+1,FALSE)</f>
        <v>【ウィザード級】園原杏里襲来</v>
      </c>
      <c r="I5" s="92">
        <v>4</v>
      </c>
      <c r="J5" s="14">
        <v>60</v>
      </c>
      <c r="K5" s="93">
        <v>60</v>
      </c>
    </row>
    <row r="6" spans="1:11" ht="21" customHeight="1" thickBot="1" x14ac:dyDescent="0.2">
      <c r="A6" s="94" t="str">
        <f t="shared" si="0"/>
        <v>49012_1-5</v>
      </c>
      <c r="B6" s="95" t="str">
        <f>IF(COUNTIF(enemy_habitats!$H:$H,A6),"OK","NG")</f>
        <v>OK</v>
      </c>
      <c r="C6" s="96">
        <v>49012</v>
      </c>
      <c r="D6" s="97" t="str">
        <f ca="1">VLOOKUP($C6,OFFSET([2]quests!$A$1,0,0,COUNTA([2]quests!$A:$A),MATCH(D$1,[2]quests!$1:$1,0)-MATCH($C$1,[2]quests!$1:$1,0)+1),MATCH(D$1,[2]quests!$1:$1,0)-MATCH($C$1,[2]quests!$1:$1,0)+1,FALSE)</f>
        <v>園原杏里襲来！</v>
      </c>
      <c r="E6" s="97" t="str">
        <f ca="1">VLOOKUP($C6,OFFSET([2]quests!$A$1,0,0,COUNTA([2]quests!$A:$A),MATCH(E$1,[2]quests!$1:$1,0)-MATCH($C$1,[2]quests!$1:$1,0)+1),MATCH(E$1,[2]quests!$1:$1,0)-MATCH($C$1,[2]quests!$1:$1,0)+1,FALSE)</f>
        <v>コラボ降臨2（復刻）</v>
      </c>
      <c r="F6" s="98">
        <v>1</v>
      </c>
      <c r="G6" s="99" t="str">
        <f t="shared" si="1"/>
        <v>49012_1</v>
      </c>
      <c r="H6" s="100" t="str">
        <f ca="1">VLOOKUP($G6,OFFSET([2]stages!$A$1,0,0,COUNTA([2]stages!$A:$A),MATCH(H$1,[2]stages!$2:$2,0)-MATCH($G$1,[2]stages!$2:$2,0)+1),MATCH(H$1,[2]stages!$2:$2,0)-MATCH($G$1,[2]stages!$2:$2,0)+1,FALSE)</f>
        <v>【ウィザード級】園原杏里襲来</v>
      </c>
      <c r="I6" s="98">
        <v>5</v>
      </c>
      <c r="J6" s="101">
        <v>60</v>
      </c>
      <c r="K6" s="10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zoomScale="75" zoomScaleNormal="75" zoomScalePageLayoutView="75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C10" sqref="AC10"/>
    </sheetView>
  </sheetViews>
  <sheetFormatPr baseColWidth="12" defaultColWidth="13" defaultRowHeight="21" customHeight="1" outlineLevelCol="1" x14ac:dyDescent="0.15"/>
  <cols>
    <col min="1" max="1" width="15.83203125" style="11" bestFit="1" customWidth="1"/>
    <col min="2" max="2" width="10.83203125" style="3" bestFit="1" customWidth="1"/>
    <col min="3" max="3" width="10.6640625" style="3" bestFit="1" customWidth="1" collapsed="1"/>
    <col min="4" max="4" width="13" style="7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4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7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6" bestFit="1" customWidth="1" outlineLevel="1"/>
    <col min="32" max="32" width="8" style="7" bestFit="1" customWidth="1" outlineLevel="1"/>
    <col min="33" max="33" width="12" style="7" bestFit="1" customWidth="1" outlineLevel="1"/>
    <col min="34" max="34" width="15" style="5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13" customFormat="1" ht="21" customHeight="1" thickBot="1" x14ac:dyDescent="0.2">
      <c r="A1" s="113" t="s">
        <v>29</v>
      </c>
      <c r="B1" s="114" t="s">
        <v>0</v>
      </c>
      <c r="C1" s="114" t="s">
        <v>1</v>
      </c>
      <c r="D1" s="115" t="s">
        <v>28</v>
      </c>
      <c r="E1" s="115" t="s">
        <v>20</v>
      </c>
      <c r="F1" s="115" t="s">
        <v>20</v>
      </c>
      <c r="G1" s="114" t="s">
        <v>19</v>
      </c>
      <c r="H1" s="115" t="s">
        <v>35</v>
      </c>
      <c r="I1" s="115" t="s">
        <v>14</v>
      </c>
      <c r="J1" s="115" t="s">
        <v>15</v>
      </c>
      <c r="K1" s="116" t="s">
        <v>54</v>
      </c>
      <c r="L1" s="116" t="s">
        <v>2</v>
      </c>
      <c r="M1" s="115" t="s">
        <v>21</v>
      </c>
      <c r="N1" s="115" t="s">
        <v>24</v>
      </c>
      <c r="O1" s="115" t="s">
        <v>23</v>
      </c>
      <c r="P1" s="115" t="s">
        <v>26</v>
      </c>
      <c r="Q1" s="115" t="s">
        <v>25</v>
      </c>
      <c r="R1" s="114" t="s">
        <v>3</v>
      </c>
      <c r="S1" s="114" t="s">
        <v>48</v>
      </c>
      <c r="T1" s="117" t="s">
        <v>247</v>
      </c>
      <c r="U1" s="114" t="s">
        <v>50</v>
      </c>
      <c r="V1" s="117" t="s">
        <v>248</v>
      </c>
      <c r="W1" s="114" t="s">
        <v>52</v>
      </c>
      <c r="X1" s="115" t="s">
        <v>31</v>
      </c>
      <c r="Y1" s="114" t="s">
        <v>4</v>
      </c>
      <c r="Z1" s="114" t="s">
        <v>5</v>
      </c>
      <c r="AA1" s="114" t="s">
        <v>6</v>
      </c>
      <c r="AB1" s="114" t="s">
        <v>7</v>
      </c>
      <c r="AC1" s="114" t="s">
        <v>8</v>
      </c>
      <c r="AD1" s="114" t="s">
        <v>9</v>
      </c>
      <c r="AE1" s="118" t="s">
        <v>16</v>
      </c>
      <c r="AF1" s="118" t="s">
        <v>17</v>
      </c>
      <c r="AG1" s="118" t="s">
        <v>27</v>
      </c>
      <c r="AH1" s="114" t="s">
        <v>10</v>
      </c>
      <c r="AI1" s="114" t="s">
        <v>11</v>
      </c>
      <c r="AJ1" s="114" t="s">
        <v>12</v>
      </c>
      <c r="AK1" s="114" t="s">
        <v>38</v>
      </c>
      <c r="AL1" s="114" t="s">
        <v>40</v>
      </c>
      <c r="AM1" s="114" t="s">
        <v>42</v>
      </c>
      <c r="AN1" s="114" t="s">
        <v>44</v>
      </c>
      <c r="AO1" s="114" t="s">
        <v>46</v>
      </c>
      <c r="AP1" s="116" t="s">
        <v>176</v>
      </c>
    </row>
    <row r="2" spans="1:42" ht="21" customHeight="1" x14ac:dyDescent="0.15">
      <c r="A2" s="129" t="str">
        <f t="shared" ref="A2:A9" si="0">B2&amp;"_"&amp;C2&amp;"-"&amp;G2&amp;"/"&amp;L2&amp;"&lt;lv"&amp;R2&amp;"&gt;s"&amp;AC2</f>
        <v>49012_1-1/704&lt;lv60&gt;s1</v>
      </c>
      <c r="B2" s="130">
        <v>49012</v>
      </c>
      <c r="C2" s="105">
        <v>1</v>
      </c>
      <c r="D2" s="106" t="str">
        <f t="shared" ref="D2:D9" si="1">B2&amp;"_"&amp;C2</f>
        <v>49012_1</v>
      </c>
      <c r="E2" s="131" t="str">
        <f ca="1">VLOOKUP($B2,OFFSET([2]quests!$A$1,0,0,COUNTA([2]quests!$A:$A),MATCH(E$1,[2]quests!$1:$1,0)-MATCH($B$1,[2]quests!$1:$1,0)+1),MATCH(E$1,[2]quests!$1:$1,0)-MATCH($B$1,[2]quests!$1:$1,0)+1,FALSE)</f>
        <v>園原杏里襲来！</v>
      </c>
      <c r="F2" s="131" t="str">
        <f ca="1">VLOOKUP($D2,OFFSET([2]stages!$A$1,0,0,COUNTA([2]stages!$A:$A),MATCH(F$1,[2]stages!$2:$2,0)-MATCH($D$1,[2]stages!$2:$2,0)+1),MATCH(F$1,[2]stages!$2:$2,0)-MATCH($D$1,[2]stages!$2:$2,0)+1,FALSE)</f>
        <v>【ウィザード級】園原杏里襲来</v>
      </c>
      <c r="G2" s="105">
        <v>1</v>
      </c>
      <c r="H2" s="106" t="str">
        <f t="shared" ref="H2:H9" si="2">B2&amp;"_"&amp;C2&amp;"-"&amp;G2</f>
        <v>49012_1-1</v>
      </c>
      <c r="I2" s="131">
        <f ca="1">VLOOKUP($H2,OFFSET(floors!$A$1,0,0,COUNTA(floors!$A:$A),MATCH(I$1,floors!$1:$1,0)-MATCH($H$1,floors!$1:$1,0)+1),MATCH(I$1,floors!$1:$1,0)-MATCH($H$1,floors!$1:$1,0)+1,FALSE)</f>
        <v>60</v>
      </c>
      <c r="J2" s="131">
        <f ca="1">VLOOKUP($H2,OFFSET(floors!$A$1,0,0,COUNTA(floors!$A:$A),MATCH(J$1,floors!$1:$1,0)-MATCH($H$1,floors!$1:$1,0)+1),MATCH(J$1,floors!$1:$1,0)-MATCH($H$1,floors!$1:$1,0)+1,FALSE)</f>
        <v>60</v>
      </c>
      <c r="K2" s="107" t="s">
        <v>53</v>
      </c>
      <c r="L2" s="108">
        <v>704</v>
      </c>
      <c r="M2" s="131" t="str">
        <f ca="1">VLOOKUP($L2,OFFSET([3]enemies!$A$1,0,0,COUNTA([3]enemies!$A:$A),MATCH(M$1,[3]enemies!$1:$1,0)-MATCH($L$1,[3]enemies!$1:$1,0)+1),MATCH(M$1,[3]enemies!$1:$1,0)-MATCH($L$1,[3]enemies!$1:$1,0)+1,FALSE)</f>
        <v>贄川春奈</v>
      </c>
      <c r="N2" s="131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31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31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31">
        <f ca="1">VLOOKUP($L2,OFFSET([3]enemies!$A$1,0,0,COUNTA([3]enemies!$A:$A),MATCH(Q$1,[3]enemies!$1:$1,0)-MATCH($L$1,[3]enemies!$1:$1,0)+1),MATCH(Q$1,[3]enemies!$1:$1,0)-MATCH($L$1,[3]enemies!$1:$1,0)+1,FALSE)</f>
        <v>25</v>
      </c>
      <c r="R2" s="154">
        <v>60</v>
      </c>
      <c r="S2" s="157">
        <v>1</v>
      </c>
      <c r="T2" s="10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69372</v>
      </c>
      <c r="U2" s="157">
        <v>1</v>
      </c>
      <c r="V2" s="10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6055</v>
      </c>
      <c r="W2" s="132">
        <v>10000</v>
      </c>
      <c r="X2" s="131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ナイフを構えて襲いかかってくる！</v>
      </c>
      <c r="Y2" s="107">
        <v>49012010</v>
      </c>
      <c r="Z2" s="112">
        <v>1</v>
      </c>
      <c r="AA2" s="112">
        <v>100</v>
      </c>
      <c r="AB2" s="112">
        <v>1</v>
      </c>
      <c r="AC2" s="107">
        <v>1</v>
      </c>
      <c r="AD2" s="110">
        <f t="shared" ref="AD2:AD9" si="3">L2</f>
        <v>704</v>
      </c>
      <c r="AE2" s="131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贄川春奈</v>
      </c>
      <c r="AF2" s="131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131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" s="111">
        <v>1</v>
      </c>
      <c r="AI2" s="110">
        <f t="shared" ref="AI2:AI9" ca="1" si="4">AF2</f>
        <v>3</v>
      </c>
      <c r="AJ2" s="112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1</v>
      </c>
      <c r="AP2" s="112">
        <v>1</v>
      </c>
    </row>
    <row r="3" spans="1:42" ht="21" customHeight="1" x14ac:dyDescent="0.15">
      <c r="A3" s="119" t="str">
        <f t="shared" si="0"/>
        <v>49012_1-2/53&lt;lv55&gt;s1</v>
      </c>
      <c r="B3" s="120">
        <v>49012</v>
      </c>
      <c r="C3" s="92">
        <v>1</v>
      </c>
      <c r="D3" s="8" t="str">
        <f t="shared" si="1"/>
        <v>49012_1</v>
      </c>
      <c r="E3" s="10" t="str">
        <f ca="1">VLOOKUP($B3,OFFSET([2]quests!$A$1,0,0,COUNTA([2]quests!$A:$A),MATCH(E$1,[2]quests!$1:$1,0)-MATCH($B$1,[2]quests!$1:$1,0)+1),MATCH(E$1,[2]quests!$1:$1,0)-MATCH($B$1,[2]quests!$1:$1,0)+1,FALSE)</f>
        <v>園原杏里襲来！</v>
      </c>
      <c r="F3" s="10" t="str">
        <f ca="1">VLOOKUP($D3,OFFSET([2]stages!$A$1,0,0,COUNTA([2]stages!$A:$A),MATCH(F$1,[2]stages!$2:$2,0)-MATCH($D$1,[2]stages!$2:$2,0)+1),MATCH(F$1,[2]stages!$2:$2,0)-MATCH($D$1,[2]stages!$2:$2,0)+1,FALSE)</f>
        <v>【ウィザード級】園原杏里襲来</v>
      </c>
      <c r="G3" s="92">
        <v>2</v>
      </c>
      <c r="H3" s="8" t="str">
        <f t="shared" si="2"/>
        <v>49012_1-2</v>
      </c>
      <c r="I3" s="10">
        <f ca="1">VLOOKUP($H3,OFFSET(floors!$A$1,0,0,COUNTA(floors!$A:$A),MATCH(I$1,floors!$1:$1,0)-MATCH($H$1,floors!$1:$1,0)+1),MATCH(I$1,floors!$1:$1,0)-MATCH($H$1,floors!$1:$1,0)+1,FALSE)</f>
        <v>60</v>
      </c>
      <c r="J3" s="10">
        <f ca="1">VLOOKUP($H3,OFFSET(floors!$A$1,0,0,COUNTA(floors!$A:$A),MATCH(J$1,floors!$1:$1,0)-MATCH($H$1,floors!$1:$1,0)+1),MATCH(J$1,floors!$1:$1,0)-MATCH($H$1,floors!$1:$1,0)+1,FALSE)</f>
        <v>60</v>
      </c>
      <c r="K3" s="14" t="s">
        <v>53</v>
      </c>
      <c r="L3" s="103">
        <v>53</v>
      </c>
      <c r="M3" s="10" t="str">
        <f ca="1">VLOOKUP($L3,OFFSET([3]enemies!$A$1,0,0,COUNTA([3]enemies!$A:$A),MATCH(M$1,[3]enemies!$1:$1,0)-MATCH($L$1,[3]enemies!$1:$1,0)+1),MATCH(M$1,[3]enemies!$1:$1,0)-MATCH($L$1,[3]enemies!$1:$1,0)+1,FALSE)</f>
        <v>ケンジ</v>
      </c>
      <c r="N3" s="10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0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0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0">
        <f ca="1">VLOOKUP($L3,OFFSET([3]enemies!$A$1,0,0,COUNTA([3]enemies!$A:$A),MATCH(Q$1,[3]enemies!$1:$1,0)-MATCH($L$1,[3]enemies!$1:$1,0)+1),MATCH(Q$1,[3]enemies!$1:$1,0)-MATCH($L$1,[3]enemies!$1:$1,0)+1,FALSE)</f>
        <v>15</v>
      </c>
      <c r="R3" s="155">
        <v>55</v>
      </c>
      <c r="S3" s="158">
        <v>1.5</v>
      </c>
      <c r="T3" s="7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15933</v>
      </c>
      <c r="U3" s="158">
        <v>1.2</v>
      </c>
      <c r="V3" s="7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3946.7999999999997</v>
      </c>
      <c r="W3" s="121">
        <v>0</v>
      </c>
      <c r="X3" s="10" t="str">
        <f ca="1">VLOOKUP($Y3,OFFSET(enemy_skill_sets!$B$1,0,0,COUNTA(enemy_skill_sets!$B:$B),MATCH(M$1,enemy_skill_sets!$1:$1,0)-MATCH($Y$1,enemy_skill_sets!$1:$1,0)+2),MATCH(M$1,enemy_skill_sets!$1:$1,0)-MATCH($Y$1,enemy_skill_sets!$1:$1,0)+2,FALSE)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3" s="14">
        <v>49012001</v>
      </c>
      <c r="Z3" s="45">
        <v>2</v>
      </c>
      <c r="AA3" s="45">
        <v>100</v>
      </c>
      <c r="AB3" s="45">
        <v>0</v>
      </c>
      <c r="AC3" s="14">
        <v>1</v>
      </c>
      <c r="AD3" s="122">
        <f t="shared" si="3"/>
        <v>53</v>
      </c>
      <c r="AE3" s="10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3" s="10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10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91">
        <v>1</v>
      </c>
      <c r="AI3" s="122">
        <f t="shared" ca="1" si="4"/>
        <v>2</v>
      </c>
      <c r="AJ3" s="45">
        <v>0</v>
      </c>
      <c r="AK3" s="91">
        <v>0</v>
      </c>
      <c r="AL3" s="91">
        <v>0</v>
      </c>
      <c r="AM3" s="91">
        <v>0</v>
      </c>
      <c r="AN3" s="91">
        <v>0</v>
      </c>
      <c r="AO3" s="91">
        <v>1</v>
      </c>
      <c r="AP3" s="45">
        <v>1</v>
      </c>
    </row>
    <row r="4" spans="1:42" ht="21" customHeight="1" x14ac:dyDescent="0.15">
      <c r="A4" s="119" t="str">
        <f t="shared" si="0"/>
        <v>49012_1-2/162&lt;lv50&gt;s2</v>
      </c>
      <c r="B4" s="120">
        <v>49012</v>
      </c>
      <c r="C4" s="92">
        <v>1</v>
      </c>
      <c r="D4" s="8" t="str">
        <f t="shared" si="1"/>
        <v>49012_1</v>
      </c>
      <c r="E4" s="10" t="str">
        <f ca="1">VLOOKUP($B4,OFFSET([2]quests!$A$1,0,0,COUNTA([2]quests!$A:$A),MATCH(E$1,[2]quests!$1:$1,0)-MATCH($B$1,[2]quests!$1:$1,0)+1),MATCH(E$1,[2]quests!$1:$1,0)-MATCH($B$1,[2]quests!$1:$1,0)+1,FALSE)</f>
        <v>園原杏里襲来！</v>
      </c>
      <c r="F4" s="10" t="str">
        <f ca="1">VLOOKUP($D4,OFFSET([2]stages!$A$1,0,0,COUNTA([2]stages!$A:$A),MATCH(F$1,[2]stages!$2:$2,0)-MATCH($D$1,[2]stages!$2:$2,0)+1),MATCH(F$1,[2]stages!$2:$2,0)-MATCH($D$1,[2]stages!$2:$2,0)+1,FALSE)</f>
        <v>【ウィザード級】園原杏里襲来</v>
      </c>
      <c r="G4" s="92">
        <v>2</v>
      </c>
      <c r="H4" s="8" t="str">
        <f t="shared" si="2"/>
        <v>49012_1-2</v>
      </c>
      <c r="I4" s="10">
        <f ca="1">VLOOKUP($H4,OFFSET(floors!$A$1,0,0,COUNTA(floors!$A:$A),MATCH(I$1,floors!$1:$1,0)-MATCH($H$1,floors!$1:$1,0)+1),MATCH(I$1,floors!$1:$1,0)-MATCH($H$1,floors!$1:$1,0)+1,FALSE)</f>
        <v>60</v>
      </c>
      <c r="J4" s="10">
        <f ca="1">VLOOKUP($H4,OFFSET(floors!$A$1,0,0,COUNTA(floors!$A:$A),MATCH(J$1,floors!$1:$1,0)-MATCH($H$1,floors!$1:$1,0)+1),MATCH(J$1,floors!$1:$1,0)-MATCH($H$1,floors!$1:$1,0)+1,FALSE)</f>
        <v>60</v>
      </c>
      <c r="K4" s="14" t="s">
        <v>53</v>
      </c>
      <c r="L4" s="103">
        <v>162</v>
      </c>
      <c r="M4" s="10" t="str">
        <f ca="1">VLOOKUP($L4,OFFSET([3]enemies!$A$1,0,0,COUNTA([3]enemies!$A:$A),MATCH(M$1,[3]enemies!$1:$1,0)-MATCH($L$1,[3]enemies!$1:$1,0)+1),MATCH(M$1,[3]enemies!$1:$1,0)-MATCH($L$1,[3]enemies!$1:$1,0)+1,FALSE)</f>
        <v>狂女 クララ</v>
      </c>
      <c r="N4" s="10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0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0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0">
        <f ca="1">VLOOKUP($L4,OFFSET([3]enemies!$A$1,0,0,COUNTA([3]enemies!$A:$A),MATCH(Q$1,[3]enemies!$1:$1,0)-MATCH($L$1,[3]enemies!$1:$1,0)+1),MATCH(Q$1,[3]enemies!$1:$1,0)-MATCH($L$1,[3]enemies!$1:$1,0)+1,FALSE)</f>
        <v>20</v>
      </c>
      <c r="R4" s="155">
        <v>50</v>
      </c>
      <c r="S4" s="158">
        <v>1.2</v>
      </c>
      <c r="T4" s="7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63901.2</v>
      </c>
      <c r="U4" s="158">
        <v>1</v>
      </c>
      <c r="V4" s="7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6220</v>
      </c>
      <c r="W4" s="121">
        <v>0</v>
      </c>
      <c r="X4" s="10" t="str">
        <f ca="1">VLOOKUP($Y4,OFFSET(enemy_skill_sets!$B$1,0,0,COUNTA(enemy_skill_sets!$B:$B),MATCH(M$1,enemy_skill_sets!$1:$1,0)-MATCH($Y$1,enemy_skill_sets!$1:$1,0)+2),MATCH(M$1,enemy_skill_sets!$1:$1,0)-MATCH($Y$1,enemy_skill_sets!$1:$1,0)+2,FALSE)</f>
        <v>罪歌の子供が襲いかかってくる！_x000D_【青属性の敵の残りHP10%消費】</v>
      </c>
      <c r="Y4" s="14">
        <v>49012002</v>
      </c>
      <c r="Z4" s="45">
        <v>1</v>
      </c>
      <c r="AA4" s="45">
        <v>100</v>
      </c>
      <c r="AB4" s="45">
        <v>1</v>
      </c>
      <c r="AC4" s="14">
        <v>2</v>
      </c>
      <c r="AD4" s="122">
        <f t="shared" si="3"/>
        <v>162</v>
      </c>
      <c r="AE4" s="10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狂女 クララ</v>
      </c>
      <c r="AF4" s="10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10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91">
        <v>1</v>
      </c>
      <c r="AI4" s="122">
        <f t="shared" ca="1" si="4"/>
        <v>3</v>
      </c>
      <c r="AJ4" s="45">
        <v>0</v>
      </c>
      <c r="AK4" s="91">
        <v>0</v>
      </c>
      <c r="AL4" s="91">
        <v>0</v>
      </c>
      <c r="AM4" s="91">
        <v>0</v>
      </c>
      <c r="AN4" s="91">
        <v>0</v>
      </c>
      <c r="AO4" s="91">
        <v>1</v>
      </c>
      <c r="AP4" s="45">
        <v>1</v>
      </c>
    </row>
    <row r="5" spans="1:42" ht="21" customHeight="1" x14ac:dyDescent="0.15">
      <c r="A5" s="119" t="str">
        <f t="shared" si="0"/>
        <v>49012_1-3/696&lt;lv60&gt;s1</v>
      </c>
      <c r="B5" s="120">
        <v>49012</v>
      </c>
      <c r="C5" s="92">
        <v>1</v>
      </c>
      <c r="D5" s="8" t="str">
        <f t="shared" si="1"/>
        <v>49012_1</v>
      </c>
      <c r="E5" s="10" t="str">
        <f ca="1">VLOOKUP($B5,OFFSET([2]quests!$A$1,0,0,COUNTA([2]quests!$A:$A),MATCH(E$1,[2]quests!$1:$1,0)-MATCH($B$1,[2]quests!$1:$1,0)+1),MATCH(E$1,[2]quests!$1:$1,0)-MATCH($B$1,[2]quests!$1:$1,0)+1,FALSE)</f>
        <v>園原杏里襲来！</v>
      </c>
      <c r="F5" s="10" t="str">
        <f ca="1">VLOOKUP($D5,OFFSET([2]stages!$A$1,0,0,COUNTA([2]stages!$A:$A),MATCH(F$1,[2]stages!$2:$2,0)-MATCH($D$1,[2]stages!$2:$2,0)+1),MATCH(F$1,[2]stages!$2:$2,0)-MATCH($D$1,[2]stages!$2:$2,0)+1,FALSE)</f>
        <v>【ウィザード級】園原杏里襲来</v>
      </c>
      <c r="G5" s="92">
        <v>3</v>
      </c>
      <c r="H5" s="8" t="str">
        <f t="shared" si="2"/>
        <v>49012_1-3</v>
      </c>
      <c r="I5" s="10">
        <f ca="1">VLOOKUP($H5,OFFSET(floors!$A$1,0,0,COUNTA(floors!$A:$A),MATCH(I$1,floors!$1:$1,0)-MATCH($H$1,floors!$1:$1,0)+1),MATCH(I$1,floors!$1:$1,0)-MATCH($H$1,floors!$1:$1,0)+1,FALSE)</f>
        <v>60</v>
      </c>
      <c r="J5" s="10">
        <f ca="1">VLOOKUP($H5,OFFSET(floors!$A$1,0,0,COUNTA(floors!$A:$A),MATCH(J$1,floors!$1:$1,0)-MATCH($H$1,floors!$1:$1,0)+1),MATCH(J$1,floors!$1:$1,0)-MATCH($H$1,floors!$1:$1,0)+1,FALSE)</f>
        <v>60</v>
      </c>
      <c r="K5" s="14" t="s">
        <v>53</v>
      </c>
      <c r="L5" s="103">
        <v>696</v>
      </c>
      <c r="M5" s="10" t="str">
        <f ca="1">VLOOKUP($L5,OFFSET([3]enemies!$A$1,0,0,COUNTA([3]enemies!$A:$A),MATCH(M$1,[3]enemies!$1:$1,0)-MATCH($L$1,[3]enemies!$1:$1,0)+1),MATCH(M$1,[3]enemies!$1:$1,0)-MATCH($L$1,[3]enemies!$1:$1,0)+1,FALSE)</f>
        <v>生きる都市伝説　セルティ</v>
      </c>
      <c r="N5" s="1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0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0">
        <f ca="1">VLOOKUP($L5,OFFSET([3]enemies!$A$1,0,0,COUNTA([3]enemies!$A:$A),MATCH(Q$1,[3]enemies!$1:$1,0)-MATCH($L$1,[3]enemies!$1:$1,0)+1),MATCH(Q$1,[3]enemies!$1:$1,0)-MATCH($L$1,[3]enemies!$1:$1,0)+1,FALSE)</f>
        <v>30</v>
      </c>
      <c r="R5" s="155">
        <v>60</v>
      </c>
      <c r="S5" s="158">
        <v>1</v>
      </c>
      <c r="T5" s="7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78351</v>
      </c>
      <c r="U5" s="158">
        <v>1</v>
      </c>
      <c r="V5" s="7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6298</v>
      </c>
      <c r="W5" s="121">
        <v>10000</v>
      </c>
      <c r="X5" s="10" t="str">
        <f ca="1">VLOOKUP($Y5,OFFSET(enemy_skill_sets!$B$1,0,0,COUNTA(enemy_skill_sets!$B:$B),MATCH(M$1,enemy_skill_sets!$1:$1,0)-MATCH($Y$1,enemy_skill_sets!$1:$1,0)+2),MATCH(M$1,enemy_skill_sets!$1:$1,0)-MATCH($Y$1,enemy_skill_sets!$1:$1,0)+2,FALSE)</f>
        <v>『切り裂き魔を追っているのか？』</v>
      </c>
      <c r="Y5" s="14">
        <v>49012003</v>
      </c>
      <c r="Z5" s="45">
        <v>1</v>
      </c>
      <c r="AA5" s="45">
        <v>100</v>
      </c>
      <c r="AB5" s="45">
        <v>1</v>
      </c>
      <c r="AC5" s="14">
        <v>1</v>
      </c>
      <c r="AD5" s="122">
        <f t="shared" si="3"/>
        <v>696</v>
      </c>
      <c r="AE5" s="10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生きる都市伝説　セルティ</v>
      </c>
      <c r="AF5" s="10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10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91">
        <v>1</v>
      </c>
      <c r="AI5" s="122">
        <f t="shared" ca="1" si="4"/>
        <v>4</v>
      </c>
      <c r="AJ5" s="45">
        <v>0</v>
      </c>
      <c r="AK5" s="91">
        <v>0</v>
      </c>
      <c r="AL5" s="91">
        <v>0</v>
      </c>
      <c r="AM5" s="91">
        <v>0</v>
      </c>
      <c r="AN5" s="91">
        <v>0</v>
      </c>
      <c r="AO5" s="91">
        <v>1</v>
      </c>
      <c r="AP5" s="45">
        <v>1</v>
      </c>
    </row>
    <row r="6" spans="1:42" ht="21" customHeight="1" x14ac:dyDescent="0.15">
      <c r="A6" s="119" t="str">
        <f t="shared" si="0"/>
        <v>49012_1-3/706&lt;lv60&gt;s1</v>
      </c>
      <c r="B6" s="120">
        <v>49012</v>
      </c>
      <c r="C6" s="92">
        <v>1</v>
      </c>
      <c r="D6" s="8" t="str">
        <f t="shared" si="1"/>
        <v>49012_1</v>
      </c>
      <c r="E6" s="10" t="str">
        <f ca="1">VLOOKUP($B6,OFFSET([2]quests!$A$1,0,0,COUNTA([2]quests!$A:$A),MATCH(E$1,[2]quests!$1:$1,0)-MATCH($B$1,[2]quests!$1:$1,0)+1),MATCH(E$1,[2]quests!$1:$1,0)-MATCH($B$1,[2]quests!$1:$1,0)+1,FALSE)</f>
        <v>園原杏里襲来！</v>
      </c>
      <c r="F6" s="10" t="str">
        <f ca="1">VLOOKUP($D6,OFFSET([2]stages!$A$1,0,0,COUNTA([2]stages!$A:$A),MATCH(F$1,[2]stages!$2:$2,0)-MATCH($D$1,[2]stages!$2:$2,0)+1),MATCH(F$1,[2]stages!$2:$2,0)-MATCH($D$1,[2]stages!$2:$2,0)+1,FALSE)</f>
        <v>【ウィザード級】園原杏里襲来</v>
      </c>
      <c r="G6" s="92">
        <v>3</v>
      </c>
      <c r="H6" s="8" t="str">
        <f t="shared" si="2"/>
        <v>49012_1-3</v>
      </c>
      <c r="I6" s="10">
        <f ca="1">VLOOKUP($H6,OFFSET(floors!$A$1,0,0,COUNTA(floors!$A:$A),MATCH(I$1,floors!$1:$1,0)-MATCH($H$1,floors!$1:$1,0)+1),MATCH(I$1,floors!$1:$1,0)-MATCH($H$1,floors!$1:$1,0)+1,FALSE)</f>
        <v>60</v>
      </c>
      <c r="J6" s="10">
        <f ca="1">VLOOKUP($H6,OFFSET(floors!$A$1,0,0,COUNTA(floors!$A:$A),MATCH(J$1,floors!$1:$1,0)-MATCH($H$1,floors!$1:$1,0)+1),MATCH(J$1,floors!$1:$1,0)-MATCH($H$1,floors!$1:$1,0)+1,FALSE)</f>
        <v>60</v>
      </c>
      <c r="K6" s="14" t="s">
        <v>53</v>
      </c>
      <c r="L6" s="103">
        <v>706</v>
      </c>
      <c r="M6" s="10" t="str">
        <f ca="1">VLOOKUP($L6,OFFSET([3]enemies!$A$1,0,0,COUNTA([3]enemies!$A:$A),MATCH(M$1,[3]enemies!$1:$1,0)-MATCH($L$1,[3]enemies!$1:$1,0)+1),MATCH(M$1,[3]enemies!$1:$1,0)-MATCH($L$1,[3]enemies!$1:$1,0)+1,FALSE)</f>
        <v>岸谷新羅</v>
      </c>
      <c r="N6" s="10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0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0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0">
        <f ca="1">VLOOKUP($L6,OFFSET([3]enemies!$A$1,0,0,COUNTA([3]enemies!$A:$A),MATCH(Q$1,[3]enemies!$1:$1,0)-MATCH($L$1,[3]enemies!$1:$1,0)+1),MATCH(Q$1,[3]enemies!$1:$1,0)-MATCH($L$1,[3]enemies!$1:$1,0)+1,FALSE)</f>
        <v>30</v>
      </c>
      <c r="R6" s="155">
        <v>60</v>
      </c>
      <c r="S6" s="158">
        <v>1</v>
      </c>
      <c r="T6" s="7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76656</v>
      </c>
      <c r="U6" s="158">
        <v>1</v>
      </c>
      <c r="V6" s="7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6050</v>
      </c>
      <c r="W6" s="121">
        <v>10000</v>
      </c>
      <c r="X6" s="10" t="str">
        <f ca="1">VLOOKUP($Y6,OFFSET(enemy_skill_sets!$B$1,0,0,COUNTA(enemy_skill_sets!$B:$B),MATCH(M$1,enemy_skill_sets!$1:$1,0)-MATCH($Y$1,enemy_skill_sets!$1:$1,0)+2),MATCH(M$1,enemy_skill_sets!$1:$1,0)-MATCH($Y$1,enemy_skill_sets!$1:$1,0)+2,FALSE)</f>
        <v>関わりたくなさそうだ</v>
      </c>
      <c r="Y6" s="14">
        <v>49012004</v>
      </c>
      <c r="Z6" s="45">
        <v>1</v>
      </c>
      <c r="AA6" s="45">
        <v>100</v>
      </c>
      <c r="AB6" s="45">
        <v>1</v>
      </c>
      <c r="AC6" s="14">
        <v>1</v>
      </c>
      <c r="AD6" s="122">
        <f t="shared" si="3"/>
        <v>706</v>
      </c>
      <c r="AE6" s="10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岸谷新羅</v>
      </c>
      <c r="AF6" s="10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0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91">
        <v>1</v>
      </c>
      <c r="AI6" s="122">
        <f t="shared" ca="1" si="4"/>
        <v>4</v>
      </c>
      <c r="AJ6" s="45">
        <v>0</v>
      </c>
      <c r="AK6" s="91">
        <v>0</v>
      </c>
      <c r="AL6" s="91">
        <v>0</v>
      </c>
      <c r="AM6" s="91">
        <v>0</v>
      </c>
      <c r="AN6" s="91">
        <v>0</v>
      </c>
      <c r="AO6" s="91">
        <v>1</v>
      </c>
      <c r="AP6" s="45">
        <v>1</v>
      </c>
    </row>
    <row r="7" spans="1:42" ht="21" customHeight="1" x14ac:dyDescent="0.15">
      <c r="A7" s="119" t="str">
        <f t="shared" si="0"/>
        <v>49012_1-4/374&lt;lv55&gt;s2</v>
      </c>
      <c r="B7" s="120">
        <v>49012</v>
      </c>
      <c r="C7" s="92">
        <v>1</v>
      </c>
      <c r="D7" s="8" t="str">
        <f t="shared" si="1"/>
        <v>49012_1</v>
      </c>
      <c r="E7" s="10" t="str">
        <f ca="1">VLOOKUP($B7,OFFSET([2]quests!$A$1,0,0,COUNTA([2]quests!$A:$A),MATCH(E$1,[2]quests!$1:$1,0)-MATCH($B$1,[2]quests!$1:$1,0)+1),MATCH(E$1,[2]quests!$1:$1,0)-MATCH($B$1,[2]quests!$1:$1,0)+1,FALSE)</f>
        <v>園原杏里襲来！</v>
      </c>
      <c r="F7" s="10" t="str">
        <f ca="1">VLOOKUP($D7,OFFSET([2]stages!$A$1,0,0,COUNTA([2]stages!$A:$A),MATCH(F$1,[2]stages!$2:$2,0)-MATCH($D$1,[2]stages!$2:$2,0)+1),MATCH(F$1,[2]stages!$2:$2,0)-MATCH($D$1,[2]stages!$2:$2,0)+1,FALSE)</f>
        <v>【ウィザード級】園原杏里襲来</v>
      </c>
      <c r="G7" s="92">
        <v>4</v>
      </c>
      <c r="H7" s="8" t="str">
        <f t="shared" si="2"/>
        <v>49012_1-4</v>
      </c>
      <c r="I7" s="10">
        <f ca="1">VLOOKUP($H7,OFFSET(floors!$A$1,0,0,COUNTA(floors!$A:$A),MATCH(I$1,floors!$1:$1,0)-MATCH($H$1,floors!$1:$1,0)+1),MATCH(I$1,floors!$1:$1,0)-MATCH($H$1,floors!$1:$1,0)+1,FALSE)</f>
        <v>60</v>
      </c>
      <c r="J7" s="10">
        <f ca="1">VLOOKUP($H7,OFFSET(floors!$A$1,0,0,COUNTA(floors!$A:$A),MATCH(J$1,floors!$1:$1,0)-MATCH($H$1,floors!$1:$1,0)+1),MATCH(J$1,floors!$1:$1,0)-MATCH($H$1,floors!$1:$1,0)+1,FALSE)</f>
        <v>60</v>
      </c>
      <c r="K7" s="14" t="s">
        <v>53</v>
      </c>
      <c r="L7" s="103">
        <v>374</v>
      </c>
      <c r="M7" s="10" t="str">
        <f ca="1">VLOOKUP($L7,OFFSET([3]enemies!$A$1,0,0,COUNTA([3]enemies!$A:$A),MATCH(M$1,[3]enemies!$1:$1,0)-MATCH($L$1,[3]enemies!$1:$1,0)+1),MATCH(M$1,[3]enemies!$1:$1,0)-MATCH($L$1,[3]enemies!$1:$1,0)+1,FALSE)</f>
        <v>影丸</v>
      </c>
      <c r="N7" s="10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0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0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0">
        <f ca="1">VLOOKUP($L7,OFFSET([3]enemies!$A$1,0,0,COUNTA([3]enemies!$A:$A),MATCH(Q$1,[3]enemies!$1:$1,0)-MATCH($L$1,[3]enemies!$1:$1,0)+1),MATCH(Q$1,[3]enemies!$1:$1,0)-MATCH($L$1,[3]enemies!$1:$1,0)+1,FALSE)</f>
        <v>15</v>
      </c>
      <c r="R7" s="155">
        <v>55</v>
      </c>
      <c r="S7" s="158">
        <v>10</v>
      </c>
      <c r="T7" s="7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101700</v>
      </c>
      <c r="U7" s="158">
        <v>1.6</v>
      </c>
      <c r="V7" s="7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5262.4000000000005</v>
      </c>
      <c r="W7" s="121">
        <v>10000</v>
      </c>
      <c r="X7" s="10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14">
        <v>0</v>
      </c>
      <c r="Z7" s="45">
        <v>2</v>
      </c>
      <c r="AA7" s="45">
        <v>100</v>
      </c>
      <c r="AB7" s="45">
        <v>0</v>
      </c>
      <c r="AC7" s="14">
        <v>2</v>
      </c>
      <c r="AD7" s="122">
        <f t="shared" si="3"/>
        <v>374</v>
      </c>
      <c r="AE7" s="10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影丸</v>
      </c>
      <c r="AF7" s="10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10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91">
        <v>1</v>
      </c>
      <c r="AI7" s="122">
        <f t="shared" ca="1" si="4"/>
        <v>2</v>
      </c>
      <c r="AJ7" s="45">
        <v>0</v>
      </c>
      <c r="AK7" s="91">
        <v>0</v>
      </c>
      <c r="AL7" s="91">
        <v>0</v>
      </c>
      <c r="AM7" s="91">
        <v>0</v>
      </c>
      <c r="AN7" s="91">
        <v>0</v>
      </c>
      <c r="AO7" s="91">
        <v>1</v>
      </c>
      <c r="AP7" s="45">
        <v>1</v>
      </c>
    </row>
    <row r="8" spans="1:42" ht="21" customHeight="1" x14ac:dyDescent="0.15">
      <c r="A8" s="119" t="str">
        <f t="shared" si="0"/>
        <v>49012_1-4/704&lt;lv60&gt;s2</v>
      </c>
      <c r="B8" s="120">
        <v>49012</v>
      </c>
      <c r="C8" s="92">
        <v>1</v>
      </c>
      <c r="D8" s="8" t="str">
        <f t="shared" si="1"/>
        <v>49012_1</v>
      </c>
      <c r="E8" s="10" t="str">
        <f ca="1">VLOOKUP($B8,OFFSET([2]quests!$A$1,0,0,COUNTA([2]quests!$A:$A),MATCH(E$1,[2]quests!$1:$1,0)-MATCH($B$1,[2]quests!$1:$1,0)+1),MATCH(E$1,[2]quests!$1:$1,0)-MATCH($B$1,[2]quests!$1:$1,0)+1,FALSE)</f>
        <v>園原杏里襲来！</v>
      </c>
      <c r="F8" s="10" t="str">
        <f ca="1">VLOOKUP($D8,OFFSET([2]stages!$A$1,0,0,COUNTA([2]stages!$A:$A),MATCH(F$1,[2]stages!$2:$2,0)-MATCH($D$1,[2]stages!$2:$2,0)+1),MATCH(F$1,[2]stages!$2:$2,0)-MATCH($D$1,[2]stages!$2:$2,0)+1,FALSE)</f>
        <v>【ウィザード級】園原杏里襲来</v>
      </c>
      <c r="G8" s="92">
        <v>4</v>
      </c>
      <c r="H8" s="8" t="str">
        <f t="shared" si="2"/>
        <v>49012_1-4</v>
      </c>
      <c r="I8" s="10">
        <f ca="1">VLOOKUP($H8,OFFSET(floors!$A$1,0,0,COUNTA(floors!$A:$A),MATCH(I$1,floors!$1:$1,0)-MATCH($H$1,floors!$1:$1,0)+1),MATCH(I$1,floors!$1:$1,0)-MATCH($H$1,floors!$1:$1,0)+1,FALSE)</f>
        <v>60</v>
      </c>
      <c r="J8" s="10">
        <f ca="1">VLOOKUP($H8,OFFSET(floors!$A$1,0,0,COUNTA(floors!$A:$A),MATCH(J$1,floors!$1:$1,0)-MATCH($H$1,floors!$1:$1,0)+1),MATCH(J$1,floors!$1:$1,0)-MATCH($H$1,floors!$1:$1,0)+1,FALSE)</f>
        <v>60</v>
      </c>
      <c r="K8" s="14">
        <v>1</v>
      </c>
      <c r="L8" s="103">
        <v>704</v>
      </c>
      <c r="M8" s="10" t="str">
        <f ca="1">VLOOKUP($L8,OFFSET([3]enemies!$A$1,0,0,COUNTA([3]enemies!$A:$A),MATCH(M$1,[3]enemies!$1:$1,0)-MATCH($L$1,[3]enemies!$1:$1,0)+1),MATCH(M$1,[3]enemies!$1:$1,0)-MATCH($L$1,[3]enemies!$1:$1,0)+1,FALSE)</f>
        <v>贄川春奈</v>
      </c>
      <c r="N8" s="1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0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0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0">
        <f ca="1">VLOOKUP($L8,OFFSET([3]enemies!$A$1,0,0,COUNTA([3]enemies!$A:$A),MATCH(Q$1,[3]enemies!$1:$1,0)-MATCH($L$1,[3]enemies!$1:$1,0)+1),MATCH(Q$1,[3]enemies!$1:$1,0)-MATCH($L$1,[3]enemies!$1:$1,0)+1,FALSE)</f>
        <v>25</v>
      </c>
      <c r="R8" s="155">
        <v>60</v>
      </c>
      <c r="S8" s="158">
        <v>2</v>
      </c>
      <c r="T8" s="7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138744</v>
      </c>
      <c r="U8" s="158">
        <v>1.2</v>
      </c>
      <c r="V8" s="7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7266</v>
      </c>
      <c r="W8" s="121">
        <v>0</v>
      </c>
      <c r="X8" s="10" t="str">
        <f ca="1">VLOOKUP($Y8,OFFSET(enemy_skill_sets!$B$1,0,0,COUNTA(enemy_skill_sets!$B:$B),MATCH(M$1,enemy_skill_sets!$1:$1,0)-MATCH($Y$1,enemy_skill_sets!$1:$1,0)+2),MATCH(M$1,enemy_skill_sets!$1:$1,0)-MATCH($Y$1,enemy_skill_sets!$1:$1,0)+2,FALSE)</f>
        <v>赤い目でこちらを見ている</v>
      </c>
      <c r="Y8" s="14">
        <v>49012005</v>
      </c>
      <c r="Z8" s="45">
        <v>1</v>
      </c>
      <c r="AA8" s="45">
        <v>100</v>
      </c>
      <c r="AB8" s="45">
        <v>1</v>
      </c>
      <c r="AC8" s="14">
        <v>2</v>
      </c>
      <c r="AD8" s="122">
        <f t="shared" si="3"/>
        <v>704</v>
      </c>
      <c r="AE8" s="10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贄川春奈</v>
      </c>
      <c r="AF8" s="10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10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91">
        <v>1</v>
      </c>
      <c r="AI8" s="122">
        <f t="shared" ca="1" si="4"/>
        <v>3</v>
      </c>
      <c r="AJ8" s="45">
        <v>0</v>
      </c>
      <c r="AK8" s="91">
        <v>0</v>
      </c>
      <c r="AL8" s="91">
        <v>0</v>
      </c>
      <c r="AM8" s="91">
        <v>0</v>
      </c>
      <c r="AN8" s="91">
        <v>0</v>
      </c>
      <c r="AO8" s="91">
        <v>1</v>
      </c>
      <c r="AP8" s="45">
        <v>1</v>
      </c>
    </row>
    <row r="9" spans="1:42" ht="21" customHeight="1" thickBot="1" x14ac:dyDescent="0.2">
      <c r="A9" s="123" t="str">
        <f t="shared" si="0"/>
        <v>49012_1-5/698&lt;lv70&gt;s2</v>
      </c>
      <c r="B9" s="124">
        <v>49012</v>
      </c>
      <c r="C9" s="98">
        <v>1</v>
      </c>
      <c r="D9" s="100" t="str">
        <f t="shared" si="1"/>
        <v>49012_1</v>
      </c>
      <c r="E9" s="97" t="str">
        <f ca="1">VLOOKUP($B9,OFFSET([2]quests!$A$1,0,0,COUNTA([2]quests!$A:$A),MATCH(E$1,[2]quests!$1:$1,0)-MATCH($B$1,[2]quests!$1:$1,0)+1),MATCH(E$1,[2]quests!$1:$1,0)-MATCH($B$1,[2]quests!$1:$1,0)+1,FALSE)</f>
        <v>園原杏里襲来！</v>
      </c>
      <c r="F9" s="97" t="str">
        <f ca="1">VLOOKUP($D9,OFFSET([2]stages!$A$1,0,0,COUNTA([2]stages!$A:$A),MATCH(F$1,[2]stages!$2:$2,0)-MATCH($D$1,[2]stages!$2:$2,0)+1),MATCH(F$1,[2]stages!$2:$2,0)-MATCH($D$1,[2]stages!$2:$2,0)+1,FALSE)</f>
        <v>【ウィザード級】園原杏里襲来</v>
      </c>
      <c r="G9" s="98">
        <v>5</v>
      </c>
      <c r="H9" s="100" t="str">
        <f t="shared" si="2"/>
        <v>49012_1-5</v>
      </c>
      <c r="I9" s="97">
        <f ca="1">VLOOKUP($H9,OFFSET(floors!$A$1,0,0,COUNTA(floors!$A:$A),MATCH(I$1,floors!$1:$1,0)-MATCH($H$1,floors!$1:$1,0)+1),MATCH(I$1,floors!$1:$1,0)-MATCH($H$1,floors!$1:$1,0)+1,FALSE)</f>
        <v>60</v>
      </c>
      <c r="J9" s="97">
        <f ca="1">VLOOKUP($H9,OFFSET(floors!$A$1,0,0,COUNTA(floors!$A:$A),MATCH(J$1,floors!$1:$1,0)-MATCH($H$1,floors!$1:$1,0)+1),MATCH(J$1,floors!$1:$1,0)-MATCH($H$1,floors!$1:$1,0)+1,FALSE)</f>
        <v>60</v>
      </c>
      <c r="K9" s="101">
        <v>2</v>
      </c>
      <c r="L9" s="104">
        <v>698</v>
      </c>
      <c r="M9" s="97" t="str">
        <f ca="1">VLOOKUP($L9,OFFSET([3]enemies!$A$1,0,0,COUNTA([3]enemies!$A:$A),MATCH(M$1,[3]enemies!$1:$1,0)-MATCH($L$1,[3]enemies!$1:$1,0)+1),MATCH(M$1,[3]enemies!$1:$1,0)-MATCH($L$1,[3]enemies!$1:$1,0)+1,FALSE)</f>
        <v>園原杏里</v>
      </c>
      <c r="N9" s="9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9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9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97">
        <f ca="1">VLOOKUP($L9,OFFSET([3]enemies!$A$1,0,0,COUNTA([3]enemies!$A:$A),MATCH(Q$1,[3]enemies!$1:$1,0)-MATCH($L$1,[3]enemies!$1:$1,0)+1),MATCH(Q$1,[3]enemies!$1:$1,0)-MATCH($L$1,[3]enemies!$1:$1,0)+1,FALSE)</f>
        <v>60</v>
      </c>
      <c r="R9" s="156">
        <v>70</v>
      </c>
      <c r="S9" s="159">
        <v>2</v>
      </c>
      <c r="T9" s="126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228514</v>
      </c>
      <c r="U9" s="159">
        <v>1</v>
      </c>
      <c r="V9" s="126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7884</v>
      </c>
      <c r="W9" s="125">
        <v>0</v>
      </c>
      <c r="X9" s="97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ユニット全体に3ターンスキルバインド</v>
      </c>
      <c r="Y9" s="101">
        <v>49012007</v>
      </c>
      <c r="Z9" s="127">
        <v>1</v>
      </c>
      <c r="AA9" s="127">
        <v>100</v>
      </c>
      <c r="AB9" s="127">
        <v>1</v>
      </c>
      <c r="AC9" s="101">
        <v>2</v>
      </c>
      <c r="AD9" s="128">
        <f t="shared" si="3"/>
        <v>698</v>
      </c>
      <c r="AE9" s="97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園原杏里</v>
      </c>
      <c r="AF9" s="97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97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96">
        <v>1</v>
      </c>
      <c r="AI9" s="128">
        <f t="shared" ca="1" si="4"/>
        <v>5</v>
      </c>
      <c r="AJ9" s="127">
        <v>30</v>
      </c>
      <c r="AK9" s="96">
        <v>0</v>
      </c>
      <c r="AL9" s="96">
        <v>0</v>
      </c>
      <c r="AM9" s="96">
        <v>0</v>
      </c>
      <c r="AN9" s="96">
        <v>0</v>
      </c>
      <c r="AO9" s="96">
        <v>1</v>
      </c>
      <c r="AP9" s="12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7" sqref="G7"/>
    </sheetView>
  </sheetViews>
  <sheetFormatPr baseColWidth="12" defaultColWidth="13" defaultRowHeight="21" customHeight="1" outlineLevelCol="1" x14ac:dyDescent="0.15"/>
  <cols>
    <col min="1" max="1" width="17" style="11" bestFit="1" customWidth="1"/>
    <col min="2" max="2" width="10.83203125" style="3" bestFit="1" customWidth="1"/>
    <col min="3" max="3" width="10.6640625" style="3" bestFit="1" customWidth="1" collapsed="1"/>
    <col min="4" max="4" width="13" style="7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4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13" customFormat="1" ht="21" customHeight="1" thickBot="1" x14ac:dyDescent="0.2">
      <c r="A1" s="113" t="s">
        <v>29</v>
      </c>
      <c r="B1" s="114" t="s">
        <v>0</v>
      </c>
      <c r="C1" s="114" t="s">
        <v>1</v>
      </c>
      <c r="D1" s="115" t="s">
        <v>28</v>
      </c>
      <c r="E1" s="115" t="s">
        <v>16</v>
      </c>
      <c r="F1" s="115" t="s">
        <v>16</v>
      </c>
      <c r="G1" s="114" t="s">
        <v>19</v>
      </c>
      <c r="H1" s="115" t="s">
        <v>30</v>
      </c>
      <c r="I1" s="115" t="s">
        <v>14</v>
      </c>
      <c r="J1" s="115" t="s">
        <v>15</v>
      </c>
      <c r="K1" s="116" t="s">
        <v>54</v>
      </c>
      <c r="L1" s="116" t="s">
        <v>55</v>
      </c>
      <c r="M1" s="116" t="s">
        <v>2</v>
      </c>
      <c r="N1" s="115" t="s">
        <v>16</v>
      </c>
      <c r="O1" s="115" t="s">
        <v>24</v>
      </c>
      <c r="P1" s="115" t="s">
        <v>23</v>
      </c>
      <c r="Q1" s="115" t="s">
        <v>26</v>
      </c>
      <c r="R1" s="115" t="s">
        <v>25</v>
      </c>
      <c r="S1" s="114" t="s">
        <v>3</v>
      </c>
      <c r="T1" s="114" t="s">
        <v>48</v>
      </c>
      <c r="U1" s="117" t="s">
        <v>247</v>
      </c>
      <c r="V1" s="114" t="s">
        <v>50</v>
      </c>
      <c r="W1" s="117" t="s">
        <v>248</v>
      </c>
      <c r="X1" s="114" t="s">
        <v>52</v>
      </c>
      <c r="Y1" s="114" t="s">
        <v>127</v>
      </c>
      <c r="Z1" s="115" t="s">
        <v>126</v>
      </c>
      <c r="AA1" s="114" t="s">
        <v>8</v>
      </c>
    </row>
    <row r="2" spans="1:27" ht="21" customHeight="1" x14ac:dyDescent="0.15">
      <c r="A2" s="129" t="str">
        <f>B2&amp;"_"&amp;C2&amp;"-"&amp;G2&amp;"/"&amp;M2&amp;"&lt;lv"&amp;S2&amp;"&gt;sq"&amp;K2&amp;"st"&amp;L2</f>
        <v>49012_1-4/705&lt;lv60&gt;sq1st2</v>
      </c>
      <c r="B2" s="130">
        <v>49012</v>
      </c>
      <c r="C2" s="105">
        <v>1</v>
      </c>
      <c r="D2" s="106" t="str">
        <f>B2&amp;"_"&amp;C2</f>
        <v>49012_1</v>
      </c>
      <c r="E2" s="131" t="str">
        <f ca="1">VLOOKUP($B2,OFFSET([2]quests!$A$1,0,0,COUNTA([2]quests!$A:$A),MATCH(E$1,[2]quests!$1:$1,0)-MATCH($B$1,[2]quests!$1:$1,0)+1),MATCH(E$1,[2]quests!$1:$1,0)-MATCH($B$1,[2]quests!$1:$1,0)+1,FALSE)</f>
        <v>園原杏里襲来！</v>
      </c>
      <c r="F2" s="131" t="str">
        <f ca="1">VLOOKUP($D2,OFFSET([2]stages!$A$1,0,0,COUNTA([2]stages!$A:$A),MATCH(F$1,[2]stages!$2:$2,0)-MATCH($D$1,[2]stages!$2:$2,0)+1),MATCH(F$1,[2]stages!$2:$2,0)-MATCH($D$1,[2]stages!$2:$2,0)+1,FALSE)</f>
        <v>【ウィザード級】園原杏里襲来</v>
      </c>
      <c r="G2" s="105">
        <v>4</v>
      </c>
      <c r="H2" s="106" t="str">
        <f>B2&amp;"_"&amp;C2&amp;"-"&amp;G2</f>
        <v>49012_1-4</v>
      </c>
      <c r="I2" s="131">
        <f ca="1">VLOOKUP($H2,OFFSET(floors!$A$1,0,0,COUNTA(floors!$A:$A),MATCH(I$1,floors!$1:$1,0)-MATCH($H$1,floors!$1:$1,0)+1),MATCH(I$1,floors!$1:$1,0)-MATCH($H$1,floors!$1:$1,0)+1,FALSE)</f>
        <v>60</v>
      </c>
      <c r="J2" s="131">
        <f ca="1">VLOOKUP($H2,OFFSET(floors!$A$1,0,0,COUNTA(floors!$A:$A),MATCH(J$1,floors!$1:$1,0)-MATCH($H$1,floors!$1:$1,0)+1),MATCH(J$1,floors!$1:$1,0)-MATCH($H$1,floors!$1:$1,0)+1,FALSE)</f>
        <v>60</v>
      </c>
      <c r="K2" s="107">
        <v>1</v>
      </c>
      <c r="L2" s="107">
        <v>2</v>
      </c>
      <c r="M2" s="108">
        <v>705</v>
      </c>
      <c r="N2" s="131" t="str">
        <f ca="1">VLOOKUP($M2,OFFSET([3]enemies!$A$1,0,0,COUNTA([3]enemies!$A:$A),MATCH(N$1,[3]enemies!$1:$1,0)-MATCH($M$1,[3]enemies!$1:$1,0)+1),MATCH(N$1,[3]enemies!$1:$1,0)-MATCH($M$1,[3]enemies!$1:$1,0)+1,FALSE)</f>
        <v>狂愛なる罪歌の子　贄川春奈</v>
      </c>
      <c r="O2" s="131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31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31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31">
        <f ca="1">VLOOKUP($M2,OFFSET([3]enemies!$A$1,0,0,COUNTA([3]enemies!$A:$A),MATCH(R$1,[3]enemies!$1:$1,0)-MATCH($M$1,[3]enemies!$1:$1,0)+1),MATCH(R$1,[3]enemies!$1:$1,0)-MATCH($M$1,[3]enemies!$1:$1,0)+1,FALSE)</f>
        <v>30</v>
      </c>
      <c r="S2" s="154">
        <v>60</v>
      </c>
      <c r="T2" s="157">
        <v>2</v>
      </c>
      <c r="U2" s="10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150306</v>
      </c>
      <c r="V2" s="157">
        <v>1</v>
      </c>
      <c r="W2" s="10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6297</v>
      </c>
      <c r="X2" s="132">
        <v>0</v>
      </c>
      <c r="Y2" s="131" t="str">
        <f ca="1">VLOOKUP($Z2,OFFSET(enemy_skill_sets!$B$1,0,0,COUNTA(enemy_skill_sets!$B:$B),MATCH(N$1,enemy_skill_sets!$1:$1,0)-MATCH($Z$1,enemy_skill_sets!$1:$1,0)+2),MATCH(N$1,enemy_skill_sets!$1:$1,0)-MATCH($Z$1,enemy_skill_sets!$1:$1,0)+2,FALSE)</f>
        <v>罪歌の子達は去っていった</v>
      </c>
      <c r="Z2" s="107">
        <v>49012006</v>
      </c>
      <c r="AA2" s="107">
        <v>1</v>
      </c>
    </row>
    <row r="3" spans="1:27" ht="21" customHeight="1" x14ac:dyDescent="0.15">
      <c r="A3" s="119" t="str">
        <f>B3&amp;"_"&amp;C3&amp;"-"&amp;G3&amp;"/"&amp;M3&amp;"&lt;lv"&amp;S3&amp;"&gt;sq"&amp;K3&amp;"st"&amp;L3</f>
        <v>49012_1-5/699&lt;lv75&gt;sq2st2</v>
      </c>
      <c r="B3" s="120">
        <v>49012</v>
      </c>
      <c r="C3" s="92">
        <v>1</v>
      </c>
      <c r="D3" s="8" t="str">
        <f>B3&amp;"_"&amp;C3</f>
        <v>49012_1</v>
      </c>
      <c r="E3" s="10" t="str">
        <f ca="1">VLOOKUP($B3,OFFSET([2]quests!$A$1,0,0,COUNTA([2]quests!$A:$A),MATCH(E$1,[2]quests!$1:$1,0)-MATCH($B$1,[2]quests!$1:$1,0)+1),MATCH(E$1,[2]quests!$1:$1,0)-MATCH($B$1,[2]quests!$1:$1,0)+1,FALSE)</f>
        <v>園原杏里襲来！</v>
      </c>
      <c r="F3" s="10" t="str">
        <f ca="1">VLOOKUP($D3,OFFSET([2]stages!$A$1,0,0,COUNTA([2]stages!$A:$A),MATCH(F$1,[2]stages!$2:$2,0)-MATCH($D$1,[2]stages!$2:$2,0)+1),MATCH(F$1,[2]stages!$2:$2,0)-MATCH($D$1,[2]stages!$2:$2,0)+1,FALSE)</f>
        <v>【ウィザード級】園原杏里襲来</v>
      </c>
      <c r="G3" s="92">
        <v>5</v>
      </c>
      <c r="H3" s="8" t="str">
        <f>B3&amp;"_"&amp;C3&amp;"-"&amp;G3</f>
        <v>49012_1-5</v>
      </c>
      <c r="I3" s="10">
        <f ca="1">VLOOKUP($H3,OFFSET(floors!$A$1,0,0,COUNTA(floors!$A:$A),MATCH(I$1,floors!$1:$1,0)-MATCH($H$1,floors!$1:$1,0)+1),MATCH(I$1,floors!$1:$1,0)-MATCH($H$1,floors!$1:$1,0)+1,FALSE)</f>
        <v>60</v>
      </c>
      <c r="J3" s="10">
        <f ca="1">VLOOKUP($H3,OFFSET(floors!$A$1,0,0,COUNTA(floors!$A:$A),MATCH(J$1,floors!$1:$1,0)-MATCH($H$1,floors!$1:$1,0)+1),MATCH(J$1,floors!$1:$1,0)-MATCH($H$1,floors!$1:$1,0)+1,FALSE)</f>
        <v>60</v>
      </c>
      <c r="K3" s="14">
        <v>2</v>
      </c>
      <c r="L3" s="14">
        <v>2</v>
      </c>
      <c r="M3" s="103">
        <v>699</v>
      </c>
      <c r="N3" s="10" t="str">
        <f ca="1">VLOOKUP($M3,OFFSET([3]enemies!$A$1,0,0,COUNTA([3]enemies!$A:$A),MATCH(N$1,[3]enemies!$1:$1,0)-MATCH($M$1,[3]enemies!$1:$1,0)+1),MATCH(N$1,[3]enemies!$1:$1,0)-MATCH($M$1,[3]enemies!$1:$1,0)+1,FALSE)</f>
        <v>依存の母愛　園原杏里</v>
      </c>
      <c r="O3" s="1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0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0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0">
        <f ca="1">VLOOKUP($M3,OFFSET([3]enemies!$A$1,0,0,COUNTA([3]enemies!$A:$A),MATCH(R$1,[3]enemies!$1:$1,0)-MATCH($M$1,[3]enemies!$1:$1,0)+1),MATCH(R$1,[3]enemies!$1:$1,0)-MATCH($M$1,[3]enemies!$1:$1,0)+1,FALSE)</f>
        <v>60</v>
      </c>
      <c r="S3" s="155">
        <v>75</v>
      </c>
      <c r="T3" s="158">
        <v>2</v>
      </c>
      <c r="U3" s="7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244494</v>
      </c>
      <c r="V3" s="158">
        <v>0.9</v>
      </c>
      <c r="W3" s="7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7592.4000000000005</v>
      </c>
      <c r="X3" s="121">
        <v>0</v>
      </c>
      <c r="Y3" s="10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状態異常耐性+3ターンユニット全体の攻撃力50%DOWN</v>
      </c>
      <c r="Z3" s="107">
        <v>49012008</v>
      </c>
      <c r="AA3" s="14">
        <v>1</v>
      </c>
    </row>
    <row r="4" spans="1:27" ht="21" customHeight="1" thickBot="1" x14ac:dyDescent="0.2">
      <c r="A4" s="123" t="str">
        <f>B4&amp;"_"&amp;C4&amp;"-"&amp;G4&amp;"/"&amp;M4&amp;"&lt;lv"&amp;S4&amp;"&gt;sq"&amp;K4&amp;"st"&amp;L4</f>
        <v>49012_1-5/699&lt;lv75&gt;sq2st3</v>
      </c>
      <c r="B4" s="124">
        <v>49012</v>
      </c>
      <c r="C4" s="98">
        <v>1</v>
      </c>
      <c r="D4" s="100" t="str">
        <f>B4&amp;"_"&amp;C4</f>
        <v>49012_1</v>
      </c>
      <c r="E4" s="97" t="str">
        <f ca="1">VLOOKUP($B4,OFFSET([2]quests!$A$1,0,0,COUNTA([2]quests!$A:$A),MATCH(E$1,[2]quests!$1:$1,0)-MATCH($B$1,[2]quests!$1:$1,0)+1),MATCH(E$1,[2]quests!$1:$1,0)-MATCH($B$1,[2]quests!$1:$1,0)+1,FALSE)</f>
        <v>園原杏里襲来！</v>
      </c>
      <c r="F4" s="97" t="str">
        <f ca="1">VLOOKUP($D4,OFFSET([2]stages!$A$1,0,0,COUNTA([2]stages!$A:$A),MATCH(F$1,[2]stages!$2:$2,0)-MATCH($D$1,[2]stages!$2:$2,0)+1),MATCH(F$1,[2]stages!$2:$2,0)-MATCH($D$1,[2]stages!$2:$2,0)+1,FALSE)</f>
        <v>【ウィザード級】園原杏里襲来</v>
      </c>
      <c r="G4" s="98">
        <v>5</v>
      </c>
      <c r="H4" s="100" t="str">
        <f>B4&amp;"_"&amp;C4&amp;"-"&amp;G4</f>
        <v>49012_1-5</v>
      </c>
      <c r="I4" s="97">
        <f ca="1">VLOOKUP($H4,OFFSET(floors!$A$1,0,0,COUNTA(floors!$A:$A),MATCH(I$1,floors!$1:$1,0)-MATCH($H$1,floors!$1:$1,0)+1),MATCH(I$1,floors!$1:$1,0)-MATCH($H$1,floors!$1:$1,0)+1,FALSE)</f>
        <v>60</v>
      </c>
      <c r="J4" s="97">
        <f ca="1">VLOOKUP($H4,OFFSET(floors!$A$1,0,0,COUNTA(floors!$A:$A),MATCH(J$1,floors!$1:$1,0)-MATCH($H$1,floors!$1:$1,0)+1),MATCH(J$1,floors!$1:$1,0)-MATCH($H$1,floors!$1:$1,0)+1,FALSE)</f>
        <v>60</v>
      </c>
      <c r="K4" s="101">
        <v>2</v>
      </c>
      <c r="L4" s="101">
        <v>3</v>
      </c>
      <c r="M4" s="104">
        <v>699</v>
      </c>
      <c r="N4" s="97" t="str">
        <f ca="1">VLOOKUP($M4,OFFSET([3]enemies!$A$1,0,0,COUNTA([3]enemies!$A:$A),MATCH(N$1,[3]enemies!$1:$1,0)-MATCH($M$1,[3]enemies!$1:$1,0)+1),MATCH(N$1,[3]enemies!$1:$1,0)-MATCH($M$1,[3]enemies!$1:$1,0)+1,FALSE)</f>
        <v>依存の母愛　園原杏里</v>
      </c>
      <c r="O4" s="9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9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9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97">
        <f ca="1">VLOOKUP($M4,OFFSET([3]enemies!$A$1,0,0,COUNTA([3]enemies!$A:$A),MATCH(R$1,[3]enemies!$1:$1,0)-MATCH($M$1,[3]enemies!$1:$1,0)+1),MATCH(R$1,[3]enemies!$1:$1,0)-MATCH($M$1,[3]enemies!$1:$1,0)+1,FALSE)</f>
        <v>60</v>
      </c>
      <c r="S4" s="156">
        <v>75</v>
      </c>
      <c r="T4" s="159">
        <v>2.5</v>
      </c>
      <c r="U4" s="12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305617.5</v>
      </c>
      <c r="V4" s="159">
        <v>0.9</v>
      </c>
      <c r="W4" s="12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7592.4000000000005</v>
      </c>
      <c r="X4" s="125">
        <v>0</v>
      </c>
      <c r="Y4" s="97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状態異常耐性+自身の攻撃力UP</v>
      </c>
      <c r="Z4" s="101">
        <v>49012009</v>
      </c>
      <c r="AA4" s="10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5"/>
  <sheetViews>
    <sheetView showGridLines="0" zoomScale="75" zoomScaleNormal="75" zoomScalePageLayoutView="75" workbookViewId="0">
      <pane ySplit="1" topLeftCell="A27" activePane="bottomLeft" state="frozenSplit"/>
      <selection pane="bottomLeft" activeCell="E27" sqref="E27"/>
    </sheetView>
  </sheetViews>
  <sheetFormatPr baseColWidth="12" defaultColWidth="12.83203125" defaultRowHeight="21" customHeight="1" outlineLevelCol="1" x14ac:dyDescent="0.15"/>
  <cols>
    <col min="1" max="1" width="12.83203125" style="25"/>
    <col min="2" max="2" width="67.1640625" style="25" customWidth="1"/>
    <col min="3" max="4" width="12.83203125" style="25"/>
    <col min="5" max="5" width="23.6640625" style="25" bestFit="1" customWidth="1"/>
    <col min="6" max="6" width="44.1640625" style="25" bestFit="1" customWidth="1"/>
    <col min="7" max="7" width="52" style="25" hidden="1" customWidth="1" outlineLevel="1"/>
    <col min="8" max="8" width="18.33203125" style="25" hidden="1" customWidth="1" outlineLevel="1"/>
    <col min="9" max="11" width="18.6640625" style="25" hidden="1" customWidth="1" outlineLevel="1"/>
    <col min="12" max="12" width="23.6640625" style="25" customWidth="1" collapsed="1"/>
    <col min="13" max="18" width="23.6640625" style="25" hidden="1" customWidth="1" outlineLevel="1"/>
    <col min="19" max="19" width="23.6640625" style="25" customWidth="1" collapsed="1"/>
    <col min="20" max="24" width="23.6640625" style="25" hidden="1" customWidth="1" outlineLevel="1"/>
    <col min="25" max="25" width="23.6640625" style="25" customWidth="1" collapsed="1"/>
    <col min="26" max="27" width="12.83203125" style="25"/>
    <col min="28" max="28" width="44.5" style="25" customWidth="1"/>
    <col min="29" max="16384" width="12.83203125" style="25"/>
  </cols>
  <sheetData>
    <row r="1" spans="1:28" ht="21" customHeight="1" x14ac:dyDescent="0.15">
      <c r="A1" s="16" t="s">
        <v>79</v>
      </c>
      <c r="B1" s="16" t="s">
        <v>80</v>
      </c>
      <c r="C1" s="16" t="s">
        <v>81</v>
      </c>
      <c r="D1" s="16" t="s">
        <v>125</v>
      </c>
      <c r="E1" s="16" t="s">
        <v>82</v>
      </c>
      <c r="F1" s="16" t="s">
        <v>83</v>
      </c>
      <c r="G1" s="17" t="s">
        <v>130</v>
      </c>
      <c r="H1" s="17" t="s">
        <v>136</v>
      </c>
      <c r="I1" s="17" t="s">
        <v>138</v>
      </c>
      <c r="J1" s="17" t="s">
        <v>137</v>
      </c>
      <c r="K1" s="17" t="s">
        <v>139</v>
      </c>
      <c r="L1" s="17" t="s">
        <v>131</v>
      </c>
      <c r="M1" s="17" t="s">
        <v>129</v>
      </c>
      <c r="N1" s="17" t="s">
        <v>132</v>
      </c>
      <c r="O1" s="17" t="s">
        <v>140</v>
      </c>
      <c r="P1" s="17" t="s">
        <v>141</v>
      </c>
      <c r="Q1" s="17" t="s">
        <v>142</v>
      </c>
      <c r="R1" s="17" t="s">
        <v>143</v>
      </c>
      <c r="S1" s="17" t="s">
        <v>133</v>
      </c>
      <c r="T1" s="17" t="s">
        <v>134</v>
      </c>
      <c r="U1" s="17" t="s">
        <v>144</v>
      </c>
      <c r="V1" s="17" t="s">
        <v>145</v>
      </c>
      <c r="W1" s="17" t="s">
        <v>146</v>
      </c>
      <c r="X1" s="17" t="s">
        <v>147</v>
      </c>
      <c r="Y1" s="17" t="s">
        <v>135</v>
      </c>
      <c r="Z1" s="17" t="s">
        <v>76</v>
      </c>
      <c r="AA1" s="17" t="s">
        <v>77</v>
      </c>
      <c r="AB1" s="17" t="s">
        <v>78</v>
      </c>
    </row>
    <row r="2" spans="1:28" ht="21" customHeight="1" x14ac:dyDescent="0.15">
      <c r="A2" s="23">
        <v>49012001</v>
      </c>
      <c r="B2" s="23" t="s">
        <v>250</v>
      </c>
      <c r="C2" s="26">
        <v>3</v>
      </c>
      <c r="D2" s="26" t="s">
        <v>249</v>
      </c>
      <c r="E2" s="27" t="s">
        <v>347</v>
      </c>
      <c r="F2" s="27" t="s">
        <v>310</v>
      </c>
      <c r="G2" s="39" t="str">
        <f t="shared" ref="G2:G45" si="0">IFERROR(LEFT(B2,FIND("],",B2)),B2)</f>
        <v>[effect:rush, count:3, val:0.4]</v>
      </c>
      <c r="H2" s="39">
        <f t="shared" ref="H2:H45" si="1">FIND("effect:",G2)+7</f>
        <v>9</v>
      </c>
      <c r="I2" s="39">
        <f t="shared" ref="I2:I45" si="2">IFERROR(FIND(",",G2),LEN(G2))</f>
        <v>13</v>
      </c>
      <c r="J2" s="39" t="e">
        <f t="shared" ref="J2:J45" si="3">FIND("target:",G2)+7</f>
        <v>#VALUE!</v>
      </c>
      <c r="K2" s="39">
        <f t="shared" ref="K2:K45" si="4">FIND(",",G2,I2+1)</f>
        <v>22</v>
      </c>
      <c r="L2" s="39" t="str">
        <f>IFERROR(VLOOKUP(MID(G2,J2,K2-J2),[5]skilldef!$C:$D,2,FALSE),"-") &amp; " / " &amp; IFERROR(VLOOKUP(MID(G2,H2,I2-H2),[5]skilldef!$A:$B,2,FALSE),"-")</f>
        <v>- / 連続攻撃</v>
      </c>
      <c r="M2" s="39" t="str">
        <f t="shared" ref="M2:M45" si="5">IFERROR(RIGHT(B2,LEN(B2)-FIND("],",B2)-1),"none")</f>
        <v>none</v>
      </c>
      <c r="N2" s="24" t="str">
        <f>IFERROR(LEFT(M2,FIND("],",M2)+S6),M2)</f>
        <v>none</v>
      </c>
      <c r="O2" s="39" t="e">
        <f t="shared" ref="O2:O45" si="6">FIND("effect:",N2)+7</f>
        <v>#VALUE!</v>
      </c>
      <c r="P2" s="39">
        <f t="shared" ref="P2:P45" si="7">IFERROR(FIND(",",N2),LEN(N2))</f>
        <v>4</v>
      </c>
      <c r="Q2" s="39" t="e">
        <f t="shared" ref="Q2:Q45" si="8">FIND("target:",N2)+7</f>
        <v>#VALUE!</v>
      </c>
      <c r="R2" s="39" t="e">
        <f t="shared" ref="R2:R45" si="9">FIND(",",N2,P2+1)</f>
        <v>#VALUE!</v>
      </c>
      <c r="S2" s="39" t="str">
        <f>IFERROR(VLOOKUP(MID(N2,Q2,R2-Q2),[5]skilldef!$C:$D,2,FALSE),"-") &amp; " / " &amp; IFERROR(VLOOKUP(MID(N2,O2,P2-O2),[5]skilldef!$A:$B,2,FALSE),"-")</f>
        <v>- / -</v>
      </c>
      <c r="T2" s="24" t="str">
        <f t="shared" ref="T2:T45" si="10">IFERROR(RIGHT(M2,LEN(M2)-FIND("],",M2)-1),"none")</f>
        <v>none</v>
      </c>
      <c r="U2" s="39" t="e">
        <f t="shared" ref="U2:U45" si="11">FIND("effect:",T2)+7</f>
        <v>#VALUE!</v>
      </c>
      <c r="V2" s="39">
        <f t="shared" ref="V2:V45" si="12">IFERROR(FIND(",",T2),LEN(T2))</f>
        <v>4</v>
      </c>
      <c r="W2" s="39" t="e">
        <f t="shared" ref="W2:W45" si="13">FIND("target:",T2)+7</f>
        <v>#VALUE!</v>
      </c>
      <c r="X2" s="39" t="e">
        <f t="shared" ref="X2:X45" si="14">FIND(",",T2,V2+1)</f>
        <v>#VALUE!</v>
      </c>
      <c r="Y2" s="39" t="str">
        <f>IFERROR(VLOOKUP(MID(T2,W2,X2-W2),[5]skilldef!$C:$D,2,FALSE),"-") &amp; " / " &amp; IFERROR(VLOOKUP(MID(T2,U2,V2-U2),[5]skilldef!$A:$B,2,FALSE),"-")</f>
        <v>- / -</v>
      </c>
      <c r="Z2" s="26"/>
      <c r="AA2" s="28"/>
      <c r="AB2" s="26"/>
    </row>
    <row r="3" spans="1:28" ht="21" customHeight="1" x14ac:dyDescent="0.15">
      <c r="A3" s="23">
        <v>49012002</v>
      </c>
      <c r="B3" s="23" t="s">
        <v>251</v>
      </c>
      <c r="C3" s="26">
        <v>3</v>
      </c>
      <c r="D3" s="26" t="s">
        <v>249</v>
      </c>
      <c r="E3" s="27" t="s">
        <v>252</v>
      </c>
      <c r="F3" s="27" t="s">
        <v>354</v>
      </c>
      <c r="G3" s="39" t="str">
        <f t="shared" si="0"/>
        <v>[effect:suicide, val:0.1, dead_type:suicide, target:enemy_blue, animation:enemy_suicide]</v>
      </c>
      <c r="H3" s="39">
        <f t="shared" si="1"/>
        <v>9</v>
      </c>
      <c r="I3" s="39">
        <f t="shared" si="2"/>
        <v>16</v>
      </c>
      <c r="J3" s="39">
        <f t="shared" si="3"/>
        <v>53</v>
      </c>
      <c r="K3" s="39">
        <f t="shared" si="4"/>
        <v>25</v>
      </c>
      <c r="L3" s="39" t="str">
        <f>IFERROR(VLOOKUP(MID(G3,J3,K3-J3),[5]skilldef!$C:$D,2,FALSE),"-") &amp; " / " &amp; IFERROR(VLOOKUP(MID(G3,H3,I3-H3),[5]skilldef!$A:$B,2,FALSE),"-")</f>
        <v>- / -</v>
      </c>
      <c r="M3" s="39" t="str">
        <f t="shared" si="5"/>
        <v>none</v>
      </c>
      <c r="N3" s="24" t="str">
        <f>IFERROR(LEFT(M3,FIND("],",M3)+S7),M3)</f>
        <v>none</v>
      </c>
      <c r="O3" s="39" t="e">
        <f t="shared" si="6"/>
        <v>#VALUE!</v>
      </c>
      <c r="P3" s="39">
        <f t="shared" si="7"/>
        <v>4</v>
      </c>
      <c r="Q3" s="39" t="e">
        <f t="shared" si="8"/>
        <v>#VALUE!</v>
      </c>
      <c r="R3" s="39" t="e">
        <f t="shared" si="9"/>
        <v>#VALUE!</v>
      </c>
      <c r="S3" s="39" t="str">
        <f>IFERROR(VLOOKUP(MID(N3,Q3,R3-Q3),[5]skilldef!$C:$D,2,FALSE),"-") &amp; " / " &amp; IFERROR(VLOOKUP(MID(N3,O3,P3-O3),[5]skilldef!$A:$B,2,FALSE),"-")</f>
        <v>- / -</v>
      </c>
      <c r="T3" s="24" t="str">
        <f t="shared" si="10"/>
        <v>none</v>
      </c>
      <c r="U3" s="39" t="e">
        <f t="shared" si="11"/>
        <v>#VALUE!</v>
      </c>
      <c r="V3" s="39">
        <f t="shared" si="12"/>
        <v>4</v>
      </c>
      <c r="W3" s="39" t="e">
        <f t="shared" si="13"/>
        <v>#VALUE!</v>
      </c>
      <c r="X3" s="39" t="e">
        <f t="shared" si="14"/>
        <v>#VALUE!</v>
      </c>
      <c r="Y3" s="39" t="str">
        <f>IFERROR(VLOOKUP(MID(T3,W3,X3-W3),[5]skilldef!$C:$D,2,FALSE),"-") &amp; " / " &amp; IFERROR(VLOOKUP(MID(T3,U3,V3-U3),[5]skilldef!$A:$B,2,FALSE),"-")</f>
        <v>- / -</v>
      </c>
      <c r="Z3" s="26"/>
      <c r="AA3" s="28"/>
      <c r="AB3" s="26"/>
    </row>
    <row r="4" spans="1:28" ht="21" customHeight="1" x14ac:dyDescent="0.15">
      <c r="A4" s="23">
        <v>49012003</v>
      </c>
      <c r="B4" s="23" t="s">
        <v>253</v>
      </c>
      <c r="C4" s="26">
        <v>3</v>
      </c>
      <c r="D4" s="26" t="s">
        <v>249</v>
      </c>
      <c r="E4" s="27" t="s">
        <v>254</v>
      </c>
      <c r="F4" s="27" t="s">
        <v>311</v>
      </c>
      <c r="G4" s="39" t="str">
        <f t="shared" si="0"/>
        <v>[effect:rush, count:5, val:0.2]</v>
      </c>
      <c r="H4" s="39">
        <f t="shared" si="1"/>
        <v>9</v>
      </c>
      <c r="I4" s="39">
        <f t="shared" si="2"/>
        <v>13</v>
      </c>
      <c r="J4" s="39" t="e">
        <f t="shared" si="3"/>
        <v>#VALUE!</v>
      </c>
      <c r="K4" s="39">
        <f t="shared" si="4"/>
        <v>22</v>
      </c>
      <c r="L4" s="39" t="str">
        <f>IFERROR(VLOOKUP(MID(G4,J4,K4-J4),[5]skilldef!$C:$D,2,FALSE),"-") &amp; " / " &amp; IFERROR(VLOOKUP(MID(G4,H4,I4-H4),[5]skilldef!$A:$B,2,FALSE),"-")</f>
        <v>- / 連続攻撃</v>
      </c>
      <c r="M4" s="39" t="str">
        <f t="shared" si="5"/>
        <v>none</v>
      </c>
      <c r="N4" s="24" t="str">
        <f>IFERROR(LEFT(M4,FIND("],",M4)+S8),M4)</f>
        <v>none</v>
      </c>
      <c r="O4" s="39" t="e">
        <f t="shared" si="6"/>
        <v>#VALUE!</v>
      </c>
      <c r="P4" s="39">
        <f t="shared" si="7"/>
        <v>4</v>
      </c>
      <c r="Q4" s="39" t="e">
        <f t="shared" si="8"/>
        <v>#VALUE!</v>
      </c>
      <c r="R4" s="39" t="e">
        <f t="shared" si="9"/>
        <v>#VALUE!</v>
      </c>
      <c r="S4" s="39" t="str">
        <f>IFERROR(VLOOKUP(MID(N4,Q4,R4-Q4),[5]skilldef!$C:$D,2,FALSE),"-") &amp; " / " &amp; IFERROR(VLOOKUP(MID(N4,O4,P4-O4),[5]skilldef!$A:$B,2,FALSE),"-")</f>
        <v>- / -</v>
      </c>
      <c r="T4" s="24" t="str">
        <f t="shared" si="10"/>
        <v>none</v>
      </c>
      <c r="U4" s="39" t="e">
        <f t="shared" si="11"/>
        <v>#VALUE!</v>
      </c>
      <c r="V4" s="39">
        <f t="shared" si="12"/>
        <v>4</v>
      </c>
      <c r="W4" s="39" t="e">
        <f t="shared" si="13"/>
        <v>#VALUE!</v>
      </c>
      <c r="X4" s="39" t="e">
        <f t="shared" si="14"/>
        <v>#VALUE!</v>
      </c>
      <c r="Y4" s="39" t="str">
        <f>IFERROR(VLOOKUP(MID(T4,W4,X4-W4),[5]skilldef!$C:$D,2,FALSE),"-") &amp; " / " &amp; IFERROR(VLOOKUP(MID(T4,U4,V4-U4),[5]skilldef!$A:$B,2,FALSE),"-")</f>
        <v>- / -</v>
      </c>
      <c r="Z4" s="26"/>
      <c r="AA4" s="28"/>
      <c r="AB4" s="26"/>
    </row>
    <row r="5" spans="1:28" ht="21" customHeight="1" x14ac:dyDescent="0.15">
      <c r="A5" s="23">
        <v>49012004</v>
      </c>
      <c r="B5" s="23" t="s">
        <v>255</v>
      </c>
      <c r="C5" s="26">
        <v>3</v>
      </c>
      <c r="D5" s="26" t="s">
        <v>249</v>
      </c>
      <c r="E5" s="27" t="s">
        <v>256</v>
      </c>
      <c r="F5" s="27" t="s">
        <v>257</v>
      </c>
      <c r="G5" s="39" t="str">
        <f t="shared" si="0"/>
        <v>[effect:fix_speed, target:myself, turn:5]</v>
      </c>
      <c r="H5" s="39">
        <f t="shared" si="1"/>
        <v>9</v>
      </c>
      <c r="I5" s="39">
        <f t="shared" si="2"/>
        <v>18</v>
      </c>
      <c r="J5" s="39">
        <f t="shared" si="3"/>
        <v>27</v>
      </c>
      <c r="K5" s="39">
        <f t="shared" si="4"/>
        <v>33</v>
      </c>
      <c r="L5" s="39" t="str">
        <f>IFERROR(VLOOKUP(MID(G5,J5,K5-J5),[5]skilldef!$C:$D,2,FALSE),"-") &amp; " / " &amp; IFERROR(VLOOKUP(MID(G5,H5,I5-H5),[5]skilldef!$A:$B,2,FALSE),"-")</f>
        <v>自分自身に / 行動値設定</v>
      </c>
      <c r="M5" s="39" t="str">
        <f t="shared" si="5"/>
        <v>none</v>
      </c>
      <c r="N5" s="24" t="str">
        <f>IFERROR(LEFT(M5,FIND("],",M5)+#REF!),M5)</f>
        <v>none</v>
      </c>
      <c r="O5" s="39" t="e">
        <f t="shared" si="6"/>
        <v>#VALUE!</v>
      </c>
      <c r="P5" s="39">
        <f t="shared" si="7"/>
        <v>4</v>
      </c>
      <c r="Q5" s="39" t="e">
        <f t="shared" si="8"/>
        <v>#VALUE!</v>
      </c>
      <c r="R5" s="39" t="e">
        <f t="shared" si="9"/>
        <v>#VALUE!</v>
      </c>
      <c r="S5" s="39" t="str">
        <f>IFERROR(VLOOKUP(MID(N5,Q5,R5-Q5),[5]skilldef!$C:$D,2,FALSE),"-") &amp; " / " &amp; IFERROR(VLOOKUP(MID(N5,O5,P5-O5),[5]skilldef!$A:$B,2,FALSE),"-")</f>
        <v>- / -</v>
      </c>
      <c r="T5" s="24" t="str">
        <f t="shared" si="10"/>
        <v>none</v>
      </c>
      <c r="U5" s="39" t="e">
        <f t="shared" si="11"/>
        <v>#VALUE!</v>
      </c>
      <c r="V5" s="39">
        <f t="shared" si="12"/>
        <v>4</v>
      </c>
      <c r="W5" s="39" t="e">
        <f t="shared" si="13"/>
        <v>#VALUE!</v>
      </c>
      <c r="X5" s="39" t="e">
        <f t="shared" si="14"/>
        <v>#VALUE!</v>
      </c>
      <c r="Y5" s="39" t="str">
        <f>IFERROR(VLOOKUP(MID(T5,W5,X5-W5),[5]skilldef!$C:$D,2,FALSE),"-") &amp; " / " &amp; IFERROR(VLOOKUP(MID(T5,U5,V5-U5),[5]skilldef!$A:$B,2,FALSE),"-")</f>
        <v>- / -</v>
      </c>
      <c r="Z5" s="26"/>
      <c r="AA5" s="28"/>
      <c r="AB5" s="26"/>
    </row>
    <row r="6" spans="1:28" ht="21" customHeight="1" x14ac:dyDescent="0.15">
      <c r="A6" s="23">
        <v>49012005</v>
      </c>
      <c r="B6" s="23" t="s">
        <v>258</v>
      </c>
      <c r="C6" s="26">
        <v>3</v>
      </c>
      <c r="D6" s="26" t="s">
        <v>249</v>
      </c>
      <c r="E6" s="27" t="s">
        <v>259</v>
      </c>
      <c r="F6" s="27" t="s">
        <v>260</v>
      </c>
      <c r="G6" s="39" t="str">
        <f t="shared" si="0"/>
        <v>[effect:suicide, val:1, dead_type:escape, target:myself]</v>
      </c>
      <c r="H6" s="39">
        <f t="shared" si="1"/>
        <v>9</v>
      </c>
      <c r="I6" s="39">
        <f t="shared" si="2"/>
        <v>16</v>
      </c>
      <c r="J6" s="39">
        <f t="shared" si="3"/>
        <v>50</v>
      </c>
      <c r="K6" s="39">
        <f t="shared" si="4"/>
        <v>23</v>
      </c>
      <c r="L6" s="39" t="str">
        <f>IFERROR(VLOOKUP(MID(G6,J6,K6-J6),[5]skilldef!$C:$D,2,FALSE),"-") &amp; " / " &amp; IFERROR(VLOOKUP(MID(G6,H6,I6-H6),[5]skilldef!$A:$B,2,FALSE),"-")</f>
        <v>- / -</v>
      </c>
      <c r="M6" s="39" t="str">
        <f t="shared" si="5"/>
        <v>none</v>
      </c>
      <c r="N6" s="24" t="str">
        <f>IFERROR(LEFT(M6,FIND("],",M6)+#REF!),M6)</f>
        <v>none</v>
      </c>
      <c r="O6" s="39" t="e">
        <f t="shared" si="6"/>
        <v>#VALUE!</v>
      </c>
      <c r="P6" s="39">
        <f t="shared" si="7"/>
        <v>4</v>
      </c>
      <c r="Q6" s="39" t="e">
        <f t="shared" si="8"/>
        <v>#VALUE!</v>
      </c>
      <c r="R6" s="39" t="e">
        <f t="shared" si="9"/>
        <v>#VALUE!</v>
      </c>
      <c r="S6" s="39" t="str">
        <f>IFERROR(VLOOKUP(MID(N6,Q6,R6-Q6),[5]skilldef!$C:$D,2,FALSE),"-") &amp; " / " &amp; IFERROR(VLOOKUP(MID(N6,O6,P6-O6),[5]skilldef!$A:$B,2,FALSE),"-")</f>
        <v>- / -</v>
      </c>
      <c r="T6" s="24" t="str">
        <f t="shared" si="10"/>
        <v>none</v>
      </c>
      <c r="U6" s="39" t="e">
        <f t="shared" si="11"/>
        <v>#VALUE!</v>
      </c>
      <c r="V6" s="39">
        <f t="shared" si="12"/>
        <v>4</v>
      </c>
      <c r="W6" s="39" t="e">
        <f t="shared" si="13"/>
        <v>#VALUE!</v>
      </c>
      <c r="X6" s="39" t="e">
        <f t="shared" si="14"/>
        <v>#VALUE!</v>
      </c>
      <c r="Y6" s="39" t="str">
        <f>IFERROR(VLOOKUP(MID(T6,W6,X6-W6),[5]skilldef!$C:$D,2,FALSE),"-") &amp; " / " &amp; IFERROR(VLOOKUP(MID(T6,U6,V6-U6),[5]skilldef!$A:$B,2,FALSE),"-")</f>
        <v>- / -</v>
      </c>
      <c r="Z6" s="26"/>
      <c r="AA6" s="28"/>
      <c r="AB6" s="26"/>
    </row>
    <row r="7" spans="1:28" ht="21" customHeight="1" x14ac:dyDescent="0.15">
      <c r="A7" s="23">
        <v>49012006</v>
      </c>
      <c r="B7" s="23" t="s">
        <v>261</v>
      </c>
      <c r="C7" s="26">
        <v>3</v>
      </c>
      <c r="D7" s="26" t="s">
        <v>249</v>
      </c>
      <c r="E7" s="27" t="s">
        <v>262</v>
      </c>
      <c r="F7" s="27" t="s">
        <v>263</v>
      </c>
      <c r="G7" s="39" t="str">
        <f t="shared" si="0"/>
        <v>[effect:fix_speed, target:myself, turn:1]</v>
      </c>
      <c r="H7" s="39">
        <f t="shared" si="1"/>
        <v>9</v>
      </c>
      <c r="I7" s="39">
        <f t="shared" si="2"/>
        <v>18</v>
      </c>
      <c r="J7" s="39">
        <f t="shared" si="3"/>
        <v>27</v>
      </c>
      <c r="K7" s="39">
        <f t="shared" si="4"/>
        <v>33</v>
      </c>
      <c r="L7" s="39" t="str">
        <f>IFERROR(VLOOKUP(MID(G7,J7,K7-J7),[5]skilldef!$C:$D,2,FALSE),"-") &amp; " / " &amp; IFERROR(VLOOKUP(MID(G7,H7,I7-H7),[5]skilldef!$A:$B,2,FALSE),"-")</f>
        <v>自分自身に / 行動値設定</v>
      </c>
      <c r="M7" s="39" t="str">
        <f t="shared" si="5"/>
        <v>none</v>
      </c>
      <c r="N7" s="24" t="str">
        <f>IFERROR(LEFT(M7,FIND("],",M7)+#REF!),M7)</f>
        <v>none</v>
      </c>
      <c r="O7" s="39" t="e">
        <f t="shared" si="6"/>
        <v>#VALUE!</v>
      </c>
      <c r="P7" s="39">
        <f t="shared" si="7"/>
        <v>4</v>
      </c>
      <c r="Q7" s="39" t="e">
        <f t="shared" si="8"/>
        <v>#VALUE!</v>
      </c>
      <c r="R7" s="39" t="e">
        <f t="shared" si="9"/>
        <v>#VALUE!</v>
      </c>
      <c r="S7" s="39" t="str">
        <f>IFERROR(VLOOKUP(MID(N7,Q7,R7-Q7),[5]skilldef!$C:$D,2,FALSE),"-") &amp; " / " &amp; IFERROR(VLOOKUP(MID(N7,O7,P7-O7),[5]skilldef!$A:$B,2,FALSE),"-")</f>
        <v>- / -</v>
      </c>
      <c r="T7" s="24" t="str">
        <f t="shared" si="10"/>
        <v>none</v>
      </c>
      <c r="U7" s="39" t="e">
        <f t="shared" si="11"/>
        <v>#VALUE!</v>
      </c>
      <c r="V7" s="39">
        <f t="shared" si="12"/>
        <v>4</v>
      </c>
      <c r="W7" s="39" t="e">
        <f t="shared" si="13"/>
        <v>#VALUE!</v>
      </c>
      <c r="X7" s="39" t="e">
        <f t="shared" si="14"/>
        <v>#VALUE!</v>
      </c>
      <c r="Y7" s="39" t="str">
        <f>IFERROR(VLOOKUP(MID(T7,W7,X7-W7),[5]skilldef!$C:$D,2,FALSE),"-") &amp; " / " &amp; IFERROR(VLOOKUP(MID(T7,U7,V7-U7),[5]skilldef!$A:$B,2,FALSE),"-")</f>
        <v>- / -</v>
      </c>
      <c r="Z7" s="26"/>
      <c r="AA7" s="28"/>
      <c r="AB7" s="26"/>
    </row>
    <row r="8" spans="1:28" ht="21" customHeight="1" x14ac:dyDescent="0.15">
      <c r="A8" s="23">
        <v>49012007</v>
      </c>
      <c r="B8" s="23" t="s">
        <v>258</v>
      </c>
      <c r="C8" s="26">
        <v>3</v>
      </c>
      <c r="D8" s="26" t="s">
        <v>249</v>
      </c>
      <c r="E8" s="27" t="s">
        <v>264</v>
      </c>
      <c r="F8" s="27" t="s">
        <v>265</v>
      </c>
      <c r="G8" s="39" t="str">
        <f t="shared" si="0"/>
        <v>[effect:suicide, val:1, dead_type:escape, target:myself]</v>
      </c>
      <c r="H8" s="39">
        <f t="shared" si="1"/>
        <v>9</v>
      </c>
      <c r="I8" s="39">
        <f t="shared" si="2"/>
        <v>16</v>
      </c>
      <c r="J8" s="39">
        <f t="shared" si="3"/>
        <v>50</v>
      </c>
      <c r="K8" s="39">
        <f t="shared" si="4"/>
        <v>23</v>
      </c>
      <c r="L8" s="39" t="str">
        <f>IFERROR(VLOOKUP(MID(G8,J8,K8-J8),[5]skilldef!$C:$D,2,FALSE),"-") &amp; " / " &amp; IFERROR(VLOOKUP(MID(G8,H8,I8-H8),[5]skilldef!$A:$B,2,FALSE),"-")</f>
        <v>- / -</v>
      </c>
      <c r="M8" s="39" t="str">
        <f t="shared" si="5"/>
        <v>none</v>
      </c>
      <c r="N8" s="24" t="str">
        <f>IFERROR(LEFT(M8,FIND("],",M8)+#REF!),M8)</f>
        <v>none</v>
      </c>
      <c r="O8" s="39" t="e">
        <f t="shared" si="6"/>
        <v>#VALUE!</v>
      </c>
      <c r="P8" s="39">
        <f t="shared" si="7"/>
        <v>4</v>
      </c>
      <c r="Q8" s="39" t="e">
        <f t="shared" si="8"/>
        <v>#VALUE!</v>
      </c>
      <c r="R8" s="39" t="e">
        <f t="shared" si="9"/>
        <v>#VALUE!</v>
      </c>
      <c r="S8" s="39" t="str">
        <f>IFERROR(VLOOKUP(MID(N8,Q8,R8-Q8),[5]skilldef!$C:$D,2,FALSE),"-") &amp; " / " &amp; IFERROR(VLOOKUP(MID(N8,O8,P8-O8),[5]skilldef!$A:$B,2,FALSE),"-")</f>
        <v>- / -</v>
      </c>
      <c r="T8" s="24" t="str">
        <f t="shared" si="10"/>
        <v>none</v>
      </c>
      <c r="U8" s="39" t="e">
        <f t="shared" si="11"/>
        <v>#VALUE!</v>
      </c>
      <c r="V8" s="39">
        <f t="shared" si="12"/>
        <v>4</v>
      </c>
      <c r="W8" s="39" t="e">
        <f t="shared" si="13"/>
        <v>#VALUE!</v>
      </c>
      <c r="X8" s="39" t="e">
        <f t="shared" si="14"/>
        <v>#VALUE!</v>
      </c>
      <c r="Y8" s="39" t="str">
        <f>IFERROR(VLOOKUP(MID(T8,W8,X8-W8),[5]skilldef!$C:$D,2,FALSE),"-") &amp; " / " &amp; IFERROR(VLOOKUP(MID(T8,U8,V8-U8),[5]skilldef!$A:$B,2,FALSE),"-")</f>
        <v>- / -</v>
      </c>
      <c r="Z8" s="26"/>
      <c r="AA8" s="28"/>
      <c r="AB8" s="26"/>
    </row>
    <row r="9" spans="1:28" ht="21" customHeight="1" x14ac:dyDescent="0.15">
      <c r="A9" s="23">
        <v>49012008</v>
      </c>
      <c r="B9" s="23" t="s">
        <v>344</v>
      </c>
      <c r="C9" s="26">
        <v>3</v>
      </c>
      <c r="D9" s="26" t="s">
        <v>249</v>
      </c>
      <c r="E9" s="27" t="s">
        <v>266</v>
      </c>
      <c r="F9" s="27" t="s">
        <v>267</v>
      </c>
      <c r="G9" s="39" t="str">
        <f t="shared" si="0"/>
        <v>[effect:enemy_message, val1:1, val2:1.8, dead_type:escape]</v>
      </c>
      <c r="H9" s="39">
        <f t="shared" si="1"/>
        <v>9</v>
      </c>
      <c r="I9" s="39">
        <f t="shared" si="2"/>
        <v>22</v>
      </c>
      <c r="J9" s="39" t="e">
        <f t="shared" si="3"/>
        <v>#VALUE!</v>
      </c>
      <c r="K9" s="39">
        <f t="shared" si="4"/>
        <v>30</v>
      </c>
      <c r="L9" s="39" t="str">
        <f>IFERROR(VLOOKUP(MID(G9,J9,K9-J9),[5]skilldef!$C:$D,2,FALSE),"-") &amp; " / " &amp; IFERROR(VLOOKUP(MID(G9,H9,I9-H9),[5]skilldef!$A:$B,2,FALSE),"-")</f>
        <v>- / -</v>
      </c>
      <c r="M9" s="39" t="str">
        <f t="shared" si="5"/>
        <v>none</v>
      </c>
      <c r="N9" s="24" t="str">
        <f>IFERROR(LEFT(M9,FIND("],",M9)+#REF!),M9)</f>
        <v>none</v>
      </c>
      <c r="O9" s="39" t="e">
        <f t="shared" si="6"/>
        <v>#VALUE!</v>
      </c>
      <c r="P9" s="39">
        <f t="shared" si="7"/>
        <v>4</v>
      </c>
      <c r="Q9" s="39" t="e">
        <f t="shared" si="8"/>
        <v>#VALUE!</v>
      </c>
      <c r="R9" s="39" t="e">
        <f t="shared" si="9"/>
        <v>#VALUE!</v>
      </c>
      <c r="S9" s="39" t="str">
        <f>IFERROR(VLOOKUP(MID(N9,Q9,R9-Q9),[5]skilldef!$C:$D,2,FALSE),"-") &amp; " / " &amp; IFERROR(VLOOKUP(MID(N9,O9,P9-O9),[5]skilldef!$A:$B,2,FALSE),"-")</f>
        <v>- / -</v>
      </c>
      <c r="T9" s="24" t="str">
        <f t="shared" si="10"/>
        <v>none</v>
      </c>
      <c r="U9" s="39" t="e">
        <f t="shared" si="11"/>
        <v>#VALUE!</v>
      </c>
      <c r="V9" s="39">
        <f t="shared" si="12"/>
        <v>4</v>
      </c>
      <c r="W9" s="39" t="e">
        <f t="shared" si="13"/>
        <v>#VALUE!</v>
      </c>
      <c r="X9" s="39" t="e">
        <f t="shared" si="14"/>
        <v>#VALUE!</v>
      </c>
      <c r="Y9" s="39" t="str">
        <f>IFERROR(VLOOKUP(MID(T9,W9,X9-W9),[5]skilldef!$C:$D,2,FALSE),"-") &amp; " / " &amp; IFERROR(VLOOKUP(MID(T9,U9,V9-U9),[5]skilldef!$A:$B,2,FALSE),"-")</f>
        <v>- / -</v>
      </c>
      <c r="Z9" s="26"/>
      <c r="AA9" s="28"/>
      <c r="AB9" s="26"/>
    </row>
    <row r="10" spans="1:28" ht="21" customHeight="1" x14ac:dyDescent="0.15">
      <c r="A10" s="23">
        <v>49012009</v>
      </c>
      <c r="B10" s="23" t="s">
        <v>268</v>
      </c>
      <c r="C10" s="26">
        <v>3</v>
      </c>
      <c r="D10" s="26" t="s">
        <v>249</v>
      </c>
      <c r="E10" s="27" t="s">
        <v>269</v>
      </c>
      <c r="F10" s="27" t="s">
        <v>270</v>
      </c>
      <c r="G10" s="39" t="str">
        <f t="shared" si="0"/>
        <v>[effect:nothing]</v>
      </c>
      <c r="H10" s="39">
        <f t="shared" si="1"/>
        <v>9</v>
      </c>
      <c r="I10" s="39">
        <f t="shared" si="2"/>
        <v>16</v>
      </c>
      <c r="J10" s="39" t="e">
        <f t="shared" si="3"/>
        <v>#VALUE!</v>
      </c>
      <c r="K10" s="39" t="e">
        <f t="shared" si="4"/>
        <v>#VALUE!</v>
      </c>
      <c r="L10" s="39" t="str">
        <f>IFERROR(VLOOKUP(MID(G10,J10,K10-J10),[5]skilldef!$C:$D,2,FALSE),"-") &amp; " / " &amp; IFERROR(VLOOKUP(MID(G10,H10,I10-H10),[5]skilldef!$A:$B,2,FALSE),"-")</f>
        <v>- / 何もしない</v>
      </c>
      <c r="M10" s="39" t="str">
        <f t="shared" si="5"/>
        <v>none</v>
      </c>
      <c r="N10" s="24" t="str">
        <f>IFERROR(LEFT(M10,FIND("],",M10)+S17),M10)</f>
        <v>none</v>
      </c>
      <c r="O10" s="39" t="e">
        <f t="shared" si="6"/>
        <v>#VALUE!</v>
      </c>
      <c r="P10" s="39">
        <f t="shared" si="7"/>
        <v>4</v>
      </c>
      <c r="Q10" s="39" t="e">
        <f t="shared" si="8"/>
        <v>#VALUE!</v>
      </c>
      <c r="R10" s="39" t="e">
        <f t="shared" si="9"/>
        <v>#VALUE!</v>
      </c>
      <c r="S10" s="39" t="str">
        <f>IFERROR(VLOOKUP(MID(N10,Q10,R10-Q10),[5]skilldef!$C:$D,2,FALSE),"-") &amp; " / " &amp; IFERROR(VLOOKUP(MID(N10,O10,P10-O10),[5]skilldef!$A:$B,2,FALSE),"-")</f>
        <v>- / -</v>
      </c>
      <c r="T10" s="24" t="str">
        <f t="shared" si="10"/>
        <v>none</v>
      </c>
      <c r="U10" s="39" t="e">
        <f t="shared" si="11"/>
        <v>#VALUE!</v>
      </c>
      <c r="V10" s="39">
        <f t="shared" si="12"/>
        <v>4</v>
      </c>
      <c r="W10" s="39" t="e">
        <f t="shared" si="13"/>
        <v>#VALUE!</v>
      </c>
      <c r="X10" s="39" t="e">
        <f t="shared" si="14"/>
        <v>#VALUE!</v>
      </c>
      <c r="Y10" s="39" t="str">
        <f>IFERROR(VLOOKUP(MID(T10,W10,X10-W10),[5]skilldef!$C:$D,2,FALSE),"-") &amp; " / " &amp; IFERROR(VLOOKUP(MID(T10,U10,V10-U10),[5]skilldef!$A:$B,2,FALSE),"-")</f>
        <v>- / -</v>
      </c>
      <c r="Z10" s="26"/>
      <c r="AA10" s="28"/>
      <c r="AB10" s="26"/>
    </row>
    <row r="11" spans="1:28" ht="21" customHeight="1" x14ac:dyDescent="0.15">
      <c r="A11" s="23">
        <v>49012010</v>
      </c>
      <c r="B11" s="23" t="s">
        <v>271</v>
      </c>
      <c r="C11" s="26">
        <v>3</v>
      </c>
      <c r="D11" s="26" t="s">
        <v>249</v>
      </c>
      <c r="E11" s="27" t="s">
        <v>272</v>
      </c>
      <c r="F11" s="27" t="s">
        <v>312</v>
      </c>
      <c r="G11" s="39" t="str">
        <f t="shared" si="0"/>
        <v>[effect:rush, count:2, val:0.6]</v>
      </c>
      <c r="H11" s="39">
        <f t="shared" si="1"/>
        <v>9</v>
      </c>
      <c r="I11" s="39">
        <f t="shared" si="2"/>
        <v>13</v>
      </c>
      <c r="J11" s="39" t="e">
        <f t="shared" si="3"/>
        <v>#VALUE!</v>
      </c>
      <c r="K11" s="39">
        <f t="shared" si="4"/>
        <v>22</v>
      </c>
      <c r="L11" s="39" t="str">
        <f>IFERROR(VLOOKUP(MID(G11,J11,K11-J11),[5]skilldef!$C:$D,2,FALSE),"-") &amp; " / " &amp; IFERROR(VLOOKUP(MID(G11,H11,I11-H11),[5]skilldef!$A:$B,2,FALSE),"-")</f>
        <v>- / 連続攻撃</v>
      </c>
      <c r="M11" s="39" t="str">
        <f t="shared" si="5"/>
        <v>none</v>
      </c>
      <c r="N11" s="24" t="str">
        <f>IFERROR(LEFT(M11,FIND("],",M11)+S18),M11)</f>
        <v>none</v>
      </c>
      <c r="O11" s="39" t="e">
        <f t="shared" si="6"/>
        <v>#VALUE!</v>
      </c>
      <c r="P11" s="39">
        <f t="shared" si="7"/>
        <v>4</v>
      </c>
      <c r="Q11" s="39" t="e">
        <f t="shared" si="8"/>
        <v>#VALUE!</v>
      </c>
      <c r="R11" s="39" t="e">
        <f t="shared" si="9"/>
        <v>#VALUE!</v>
      </c>
      <c r="S11" s="39" t="str">
        <f>IFERROR(VLOOKUP(MID(N11,Q11,R11-Q11),[5]skilldef!$C:$D,2,FALSE),"-") &amp; " / " &amp; IFERROR(VLOOKUP(MID(N11,O11,P11-O11),[5]skilldef!$A:$B,2,FALSE),"-")</f>
        <v>- / -</v>
      </c>
      <c r="T11" s="24" t="str">
        <f t="shared" si="10"/>
        <v>none</v>
      </c>
      <c r="U11" s="39" t="e">
        <f t="shared" si="11"/>
        <v>#VALUE!</v>
      </c>
      <c r="V11" s="39">
        <f t="shared" si="12"/>
        <v>4</v>
      </c>
      <c r="W11" s="39" t="e">
        <f t="shared" si="13"/>
        <v>#VALUE!</v>
      </c>
      <c r="X11" s="39" t="e">
        <f t="shared" si="14"/>
        <v>#VALUE!</v>
      </c>
      <c r="Y11" s="39" t="str">
        <f>IFERROR(VLOOKUP(MID(T11,W11,X11-W11),[5]skilldef!$C:$D,2,FALSE),"-") &amp; " / " &amp; IFERROR(VLOOKUP(MID(T11,U11,V11-U11),[5]skilldef!$A:$B,2,FALSE),"-")</f>
        <v>- / -</v>
      </c>
      <c r="Z11" s="26"/>
      <c r="AA11" s="28"/>
      <c r="AB11" s="26"/>
    </row>
    <row r="12" spans="1:28" ht="21" customHeight="1" x14ac:dyDescent="0.15">
      <c r="A12" s="23">
        <v>49012011</v>
      </c>
      <c r="B12" s="23" t="s">
        <v>341</v>
      </c>
      <c r="C12" s="26">
        <v>3</v>
      </c>
      <c r="D12" s="26" t="s">
        <v>249</v>
      </c>
      <c r="E12" s="27" t="s">
        <v>273</v>
      </c>
      <c r="F12" s="27" t="s">
        <v>313</v>
      </c>
      <c r="G12" s="39" t="str">
        <f t="shared" si="0"/>
        <v>[effect:enemy_message, val1:1.2, val2:1.8]</v>
      </c>
      <c r="H12" s="39">
        <f t="shared" si="1"/>
        <v>9</v>
      </c>
      <c r="I12" s="39">
        <f t="shared" si="2"/>
        <v>22</v>
      </c>
      <c r="J12" s="39" t="e">
        <f t="shared" si="3"/>
        <v>#VALUE!</v>
      </c>
      <c r="K12" s="39">
        <f t="shared" si="4"/>
        <v>32</v>
      </c>
      <c r="L12" s="39" t="str">
        <f>IFERROR(VLOOKUP(MID(G12,J12,K12-J12),[5]skilldef!$C:$D,2,FALSE),"-") &amp; " / " &amp; IFERROR(VLOOKUP(MID(G12,H12,I12-H12),[5]skilldef!$A:$B,2,FALSE),"-")</f>
        <v>- / -</v>
      </c>
      <c r="M12" s="39" t="str">
        <f t="shared" si="5"/>
        <v>[effect:freq_turn, target:myself, turn:3, val:1]</v>
      </c>
      <c r="N12" s="24" t="str">
        <f>IFERROR(LEFT(M12,FIND("],",M12)+S19),M12)</f>
        <v>[effect:freq_turn, target:myself, turn:3, val:1]</v>
      </c>
      <c r="O12" s="39">
        <f t="shared" si="6"/>
        <v>9</v>
      </c>
      <c r="P12" s="39">
        <f t="shared" si="7"/>
        <v>18</v>
      </c>
      <c r="Q12" s="39">
        <f t="shared" si="8"/>
        <v>27</v>
      </c>
      <c r="R12" s="39">
        <f t="shared" si="9"/>
        <v>33</v>
      </c>
      <c r="S12" s="39" t="str">
        <f>IFERROR(VLOOKUP(MID(N12,Q12,R12-Q12),[5]skilldef!$C:$D,2,FALSE),"-") &amp; " / " &amp; IFERROR(VLOOKUP(MID(N12,O12,P12-O12),[5]skilldef!$A:$B,2,FALSE),"-")</f>
        <v>自分自身に / 攻撃頻度がUP</v>
      </c>
      <c r="T12" s="24" t="str">
        <f t="shared" si="10"/>
        <v>none</v>
      </c>
      <c r="U12" s="39" t="e">
        <f t="shared" si="11"/>
        <v>#VALUE!</v>
      </c>
      <c r="V12" s="39">
        <f t="shared" si="12"/>
        <v>4</v>
      </c>
      <c r="W12" s="39" t="e">
        <f t="shared" si="13"/>
        <v>#VALUE!</v>
      </c>
      <c r="X12" s="39" t="e">
        <f t="shared" si="14"/>
        <v>#VALUE!</v>
      </c>
      <c r="Y12" s="39" t="str">
        <f>IFERROR(VLOOKUP(MID(T12,W12,X12-W12),[5]skilldef!$C:$D,2,FALSE),"-") &amp; " / " &amp; IFERROR(VLOOKUP(MID(T12,U12,V12-U12),[5]skilldef!$A:$B,2,FALSE),"-")</f>
        <v>- / -</v>
      </c>
      <c r="Z12" s="26"/>
      <c r="AA12" s="28"/>
      <c r="AB12" s="26"/>
    </row>
    <row r="13" spans="1:28" ht="21" customHeight="1" x14ac:dyDescent="0.15">
      <c r="A13" s="23">
        <v>49012012</v>
      </c>
      <c r="B13" s="23" t="s">
        <v>318</v>
      </c>
      <c r="C13" s="26">
        <v>3</v>
      </c>
      <c r="D13" s="26" t="s">
        <v>249</v>
      </c>
      <c r="E13" s="27" t="s">
        <v>274</v>
      </c>
      <c r="F13" s="27" t="s">
        <v>275</v>
      </c>
      <c r="G13" s="39" t="str">
        <f t="shared" si="0"/>
        <v>[effect:tolerance, target:myself, turn:-1, count:-1, tolerance_effect:all, animation:enemy_tolerance]</v>
      </c>
      <c r="H13" s="39">
        <f t="shared" si="1"/>
        <v>9</v>
      </c>
      <c r="I13" s="39">
        <f t="shared" si="2"/>
        <v>18</v>
      </c>
      <c r="J13" s="39">
        <f t="shared" si="3"/>
        <v>27</v>
      </c>
      <c r="K13" s="39">
        <f t="shared" si="4"/>
        <v>33</v>
      </c>
      <c r="L13" s="39" t="str">
        <f>IFERROR(VLOOKUP(MID(G13,J13,K13-J13),[5]skilldef!$C:$D,2,FALSE),"-") &amp; " / " &amp; IFERROR(VLOOKUP(MID(G13,H13,I13-H13),[5]skilldef!$A:$B,2,FALSE),"-")</f>
        <v>自分自身に / 状態異常耐性</v>
      </c>
      <c r="M13" s="39" t="str">
        <f t="shared" si="5"/>
        <v>[effect:fix_speed, target:myself, turn:1]</v>
      </c>
      <c r="N13" s="24" t="str">
        <f>IFERROR(LEFT(M13,FIND("],",M13)+#REF!),M13)</f>
        <v>[effect:fix_speed, target:myself, turn:1]</v>
      </c>
      <c r="O13" s="39">
        <f t="shared" si="6"/>
        <v>9</v>
      </c>
      <c r="P13" s="39">
        <f t="shared" si="7"/>
        <v>18</v>
      </c>
      <c r="Q13" s="39">
        <f t="shared" si="8"/>
        <v>27</v>
      </c>
      <c r="R13" s="39">
        <f t="shared" si="9"/>
        <v>33</v>
      </c>
      <c r="S13" s="39" t="str">
        <f>IFERROR(VLOOKUP(MID(N13,Q13,R13-Q13),[5]skilldef!$C:$D,2,FALSE),"-") &amp; " / " &amp; IFERROR(VLOOKUP(MID(N13,O13,P13-O13),[5]skilldef!$A:$B,2,FALSE),"-")</f>
        <v>自分自身に / 行動値設定</v>
      </c>
      <c r="T13" s="24" t="str">
        <f t="shared" si="10"/>
        <v>none</v>
      </c>
      <c r="U13" s="39" t="e">
        <f t="shared" si="11"/>
        <v>#VALUE!</v>
      </c>
      <c r="V13" s="39">
        <f t="shared" si="12"/>
        <v>4</v>
      </c>
      <c r="W13" s="39" t="e">
        <f t="shared" si="13"/>
        <v>#VALUE!</v>
      </c>
      <c r="X13" s="39" t="e">
        <f t="shared" si="14"/>
        <v>#VALUE!</v>
      </c>
      <c r="Y13" s="39" t="str">
        <f>IFERROR(VLOOKUP(MID(T13,W13,X13-W13),[5]skilldef!$C:$D,2,FALSE),"-") &amp; " / " &amp; IFERROR(VLOOKUP(MID(T13,U13,V13-U13),[5]skilldef!$A:$B,2,FALSE),"-")</f>
        <v>- / -</v>
      </c>
      <c r="Z13" s="26"/>
      <c r="AA13" s="28"/>
      <c r="AB13" s="26"/>
    </row>
    <row r="14" spans="1:28" ht="21" customHeight="1" x14ac:dyDescent="0.15">
      <c r="A14" s="23">
        <v>49012013</v>
      </c>
      <c r="B14" s="23" t="s">
        <v>344</v>
      </c>
      <c r="C14" s="26">
        <v>3</v>
      </c>
      <c r="D14" s="26" t="s">
        <v>249</v>
      </c>
      <c r="E14" s="27" t="s">
        <v>302</v>
      </c>
      <c r="F14" s="27" t="s">
        <v>276</v>
      </c>
      <c r="G14" s="39" t="str">
        <f t="shared" si="0"/>
        <v>[effect:enemy_message, val1:1, val2:1.8, dead_type:escape]</v>
      </c>
      <c r="H14" s="39">
        <f t="shared" si="1"/>
        <v>9</v>
      </c>
      <c r="I14" s="39">
        <f t="shared" si="2"/>
        <v>22</v>
      </c>
      <c r="J14" s="39" t="e">
        <f t="shared" si="3"/>
        <v>#VALUE!</v>
      </c>
      <c r="K14" s="39">
        <f t="shared" si="4"/>
        <v>30</v>
      </c>
      <c r="L14" s="39" t="str">
        <f>IFERROR(VLOOKUP(MID(G14,J14,K14-J14),[5]skilldef!$C:$D,2,FALSE),"-") &amp; " / " &amp; IFERROR(VLOOKUP(MID(G14,H14,I14-H14),[5]skilldef!$A:$B,2,FALSE),"-")</f>
        <v>- / -</v>
      </c>
      <c r="M14" s="39" t="str">
        <f t="shared" si="5"/>
        <v>none</v>
      </c>
      <c r="N14" s="24" t="str">
        <f>IFERROR(LEFT(M14,FIND("],",M14)+#REF!),M14)</f>
        <v>none</v>
      </c>
      <c r="O14" s="39" t="e">
        <f t="shared" si="6"/>
        <v>#VALUE!</v>
      </c>
      <c r="P14" s="39">
        <f t="shared" si="7"/>
        <v>4</v>
      </c>
      <c r="Q14" s="39" t="e">
        <f t="shared" si="8"/>
        <v>#VALUE!</v>
      </c>
      <c r="R14" s="39" t="e">
        <f t="shared" si="9"/>
        <v>#VALUE!</v>
      </c>
      <c r="S14" s="39" t="str">
        <f>IFERROR(VLOOKUP(MID(N14,Q14,R14-Q14),[5]skilldef!$C:$D,2,FALSE),"-") &amp; " / " &amp; IFERROR(VLOOKUP(MID(N14,O14,P14-O14),[5]skilldef!$A:$B,2,FALSE),"-")</f>
        <v>- / -</v>
      </c>
      <c r="T14" s="24" t="str">
        <f t="shared" si="10"/>
        <v>none</v>
      </c>
      <c r="U14" s="39" t="e">
        <f t="shared" si="11"/>
        <v>#VALUE!</v>
      </c>
      <c r="V14" s="39">
        <f t="shared" si="12"/>
        <v>4</v>
      </c>
      <c r="W14" s="39" t="e">
        <f t="shared" si="13"/>
        <v>#VALUE!</v>
      </c>
      <c r="X14" s="39" t="e">
        <f t="shared" si="14"/>
        <v>#VALUE!</v>
      </c>
      <c r="Y14" s="39" t="str">
        <f>IFERROR(VLOOKUP(MID(T14,W14,X14-W14),[5]skilldef!$C:$D,2,FALSE),"-") &amp; " / " &amp; IFERROR(VLOOKUP(MID(T14,U14,V14-U14),[5]skilldef!$A:$B,2,FALSE),"-")</f>
        <v>- / -</v>
      </c>
      <c r="Z14" s="26"/>
      <c r="AA14" s="28"/>
      <c r="AB14" s="26"/>
    </row>
    <row r="15" spans="1:28" ht="21" customHeight="1" x14ac:dyDescent="0.15">
      <c r="A15" s="23">
        <v>49012014</v>
      </c>
      <c r="B15" s="23" t="s">
        <v>268</v>
      </c>
      <c r="C15" s="26">
        <v>3</v>
      </c>
      <c r="D15" s="26" t="s">
        <v>249</v>
      </c>
      <c r="E15" s="27" t="s">
        <v>303</v>
      </c>
      <c r="F15" s="27" t="s">
        <v>304</v>
      </c>
      <c r="G15" s="39" t="str">
        <f t="shared" si="0"/>
        <v>[effect:nothing]</v>
      </c>
      <c r="H15" s="39">
        <f t="shared" si="1"/>
        <v>9</v>
      </c>
      <c r="I15" s="39">
        <f t="shared" si="2"/>
        <v>16</v>
      </c>
      <c r="J15" s="39" t="e">
        <f t="shared" si="3"/>
        <v>#VALUE!</v>
      </c>
      <c r="K15" s="39" t="e">
        <f t="shared" si="4"/>
        <v>#VALUE!</v>
      </c>
      <c r="L15" s="39" t="str">
        <f>IFERROR(VLOOKUP(MID(G15,J15,K15-J15),[5]skilldef!$C:$D,2,FALSE),"-") &amp; " / " &amp; IFERROR(VLOOKUP(MID(G15,H15,I15-H15),[5]skilldef!$A:$B,2,FALSE),"-")</f>
        <v>- / 何もしない</v>
      </c>
      <c r="M15" s="39" t="str">
        <f t="shared" si="5"/>
        <v>none</v>
      </c>
      <c r="N15" s="24" t="str">
        <f>IFERROR(LEFT(M15,FIND("],",M15)+#REF!),M15)</f>
        <v>none</v>
      </c>
      <c r="O15" s="39" t="e">
        <f t="shared" si="6"/>
        <v>#VALUE!</v>
      </c>
      <c r="P15" s="39">
        <f t="shared" si="7"/>
        <v>4</v>
      </c>
      <c r="Q15" s="39" t="e">
        <f t="shared" si="8"/>
        <v>#VALUE!</v>
      </c>
      <c r="R15" s="39" t="e">
        <f t="shared" si="9"/>
        <v>#VALUE!</v>
      </c>
      <c r="S15" s="39" t="str">
        <f>IFERROR(VLOOKUP(MID(N15,Q15,R15-Q15),[5]skilldef!$C:$D,2,FALSE),"-") &amp; " / " &amp; IFERROR(VLOOKUP(MID(N15,O15,P15-O15),[5]skilldef!$A:$B,2,FALSE),"-")</f>
        <v>- / -</v>
      </c>
      <c r="T15" s="24" t="str">
        <f t="shared" si="10"/>
        <v>none</v>
      </c>
      <c r="U15" s="39" t="e">
        <f t="shared" si="11"/>
        <v>#VALUE!</v>
      </c>
      <c r="V15" s="39">
        <f t="shared" si="12"/>
        <v>4</v>
      </c>
      <c r="W15" s="39" t="e">
        <f t="shared" si="13"/>
        <v>#VALUE!</v>
      </c>
      <c r="X15" s="39" t="e">
        <f t="shared" si="14"/>
        <v>#VALUE!</v>
      </c>
      <c r="Y15" s="39" t="str">
        <f>IFERROR(VLOOKUP(MID(T15,W15,X15-W15),[5]skilldef!$C:$D,2,FALSE),"-") &amp; " / " &amp; IFERROR(VLOOKUP(MID(T15,U15,V15-U15),[5]skilldef!$A:$B,2,FALSE),"-")</f>
        <v>- / -</v>
      </c>
      <c r="Z15" s="26"/>
      <c r="AA15" s="28"/>
      <c r="AB15" s="26"/>
    </row>
    <row r="16" spans="1:28" ht="21" customHeight="1" x14ac:dyDescent="0.15">
      <c r="A16" s="23">
        <v>49012015</v>
      </c>
      <c r="B16" s="23" t="s">
        <v>258</v>
      </c>
      <c r="C16" s="26">
        <v>3</v>
      </c>
      <c r="D16" s="26" t="s">
        <v>249</v>
      </c>
      <c r="E16" s="27" t="s">
        <v>277</v>
      </c>
      <c r="F16" s="27" t="s">
        <v>305</v>
      </c>
      <c r="G16" s="39" t="str">
        <f t="shared" si="0"/>
        <v>[effect:suicide, val:1, dead_type:escape, target:myself]</v>
      </c>
      <c r="H16" s="39">
        <f t="shared" si="1"/>
        <v>9</v>
      </c>
      <c r="I16" s="39">
        <f t="shared" si="2"/>
        <v>16</v>
      </c>
      <c r="J16" s="39">
        <f t="shared" si="3"/>
        <v>50</v>
      </c>
      <c r="K16" s="39">
        <f t="shared" si="4"/>
        <v>23</v>
      </c>
      <c r="L16" s="39" t="str">
        <f>IFERROR(VLOOKUP(MID(G16,J16,K16-J16),[5]skilldef!$C:$D,2,FALSE),"-") &amp; " / " &amp; IFERROR(VLOOKUP(MID(G16,H16,I16-H16),[5]skilldef!$A:$B,2,FALSE),"-")</f>
        <v>- / -</v>
      </c>
      <c r="M16" s="39" t="str">
        <f t="shared" si="5"/>
        <v>none</v>
      </c>
      <c r="N16" s="24" t="str">
        <f>IFERROR(LEFT(M16,FIND("],",M16)+#REF!),M16)</f>
        <v>none</v>
      </c>
      <c r="O16" s="39" t="e">
        <f t="shared" si="6"/>
        <v>#VALUE!</v>
      </c>
      <c r="P16" s="39">
        <f t="shared" si="7"/>
        <v>4</v>
      </c>
      <c r="Q16" s="39" t="e">
        <f t="shared" si="8"/>
        <v>#VALUE!</v>
      </c>
      <c r="R16" s="39" t="e">
        <f t="shared" si="9"/>
        <v>#VALUE!</v>
      </c>
      <c r="S16" s="39" t="str">
        <f>IFERROR(VLOOKUP(MID(N16,Q16,R16-Q16),[5]skilldef!$C:$D,2,FALSE),"-") &amp; " / " &amp; IFERROR(VLOOKUP(MID(N16,O16,P16-O16),[5]skilldef!$A:$B,2,FALSE),"-")</f>
        <v>- / -</v>
      </c>
      <c r="T16" s="24" t="str">
        <f t="shared" si="10"/>
        <v>none</v>
      </c>
      <c r="U16" s="39" t="e">
        <f t="shared" si="11"/>
        <v>#VALUE!</v>
      </c>
      <c r="V16" s="39">
        <f t="shared" si="12"/>
        <v>4</v>
      </c>
      <c r="W16" s="39" t="e">
        <f t="shared" si="13"/>
        <v>#VALUE!</v>
      </c>
      <c r="X16" s="39" t="e">
        <f t="shared" si="14"/>
        <v>#VALUE!</v>
      </c>
      <c r="Y16" s="39" t="str">
        <f>IFERROR(VLOOKUP(MID(T16,W16,X16-W16),[5]skilldef!$C:$D,2,FALSE),"-") &amp; " / " &amp; IFERROR(VLOOKUP(MID(T16,U16,V16-U16),[5]skilldef!$A:$B,2,FALSE),"-")</f>
        <v>- / -</v>
      </c>
      <c r="Z16" s="26"/>
      <c r="AA16" s="28"/>
      <c r="AB16" s="26"/>
    </row>
    <row r="17" spans="1:28" ht="21" customHeight="1" x14ac:dyDescent="0.15">
      <c r="A17" s="23">
        <v>49012016</v>
      </c>
      <c r="B17" s="23" t="s">
        <v>319</v>
      </c>
      <c r="C17" s="26">
        <v>3</v>
      </c>
      <c r="D17" s="26" t="s">
        <v>249</v>
      </c>
      <c r="E17" s="27" t="s">
        <v>278</v>
      </c>
      <c r="F17" s="27" t="s">
        <v>279</v>
      </c>
      <c r="G17" s="39" t="str">
        <f t="shared" si="0"/>
        <v>[effect:tolerance, target:myself, turn:-1, count:-1, tolerance_effect:all, animation:enemy_tolerance]</v>
      </c>
      <c r="H17" s="39">
        <f t="shared" si="1"/>
        <v>9</v>
      </c>
      <c r="I17" s="39">
        <f t="shared" si="2"/>
        <v>18</v>
      </c>
      <c r="J17" s="39">
        <f t="shared" si="3"/>
        <v>27</v>
      </c>
      <c r="K17" s="39">
        <f t="shared" si="4"/>
        <v>33</v>
      </c>
      <c r="L17" s="39" t="str">
        <f>IFERROR(VLOOKUP(MID(G17,J17,K17-J17),[5]skilldef!$C:$D,2,FALSE),"-") &amp; " / " &amp; IFERROR(VLOOKUP(MID(G17,H17,I17-H17),[5]skilldef!$A:$B,2,FALSE),"-")</f>
        <v>自分自身に / 状態異常耐性</v>
      </c>
      <c r="M17" s="39" t="str">
        <f t="shared" si="5"/>
        <v>[effect:suicide, val:1.0, dead_type:escape, target:enemy_blue]</v>
      </c>
      <c r="N17" s="24" t="str">
        <f>IFERROR(LEFT(M17,FIND("],",M17)+S22),M17)</f>
        <v>[effect:suicide, val:1.0, dead_type:escape, target:enemy_blue]</v>
      </c>
      <c r="O17" s="39">
        <f t="shared" si="6"/>
        <v>9</v>
      </c>
      <c r="P17" s="39">
        <f t="shared" si="7"/>
        <v>16</v>
      </c>
      <c r="Q17" s="39">
        <f t="shared" si="8"/>
        <v>52</v>
      </c>
      <c r="R17" s="39">
        <f t="shared" si="9"/>
        <v>25</v>
      </c>
      <c r="S17" s="39" t="str">
        <f>IFERROR(VLOOKUP(MID(N17,Q17,R17-Q17),[5]skilldef!$C:$D,2,FALSE),"-") &amp; " / " &amp; IFERROR(VLOOKUP(MID(N17,O17,P17-O17),[5]skilldef!$A:$B,2,FALSE),"-")</f>
        <v>- / -</v>
      </c>
      <c r="T17" s="24" t="str">
        <f t="shared" si="10"/>
        <v>none</v>
      </c>
      <c r="U17" s="39" t="e">
        <f t="shared" si="11"/>
        <v>#VALUE!</v>
      </c>
      <c r="V17" s="39">
        <f t="shared" si="12"/>
        <v>4</v>
      </c>
      <c r="W17" s="39" t="e">
        <f t="shared" si="13"/>
        <v>#VALUE!</v>
      </c>
      <c r="X17" s="39" t="e">
        <f t="shared" si="14"/>
        <v>#VALUE!</v>
      </c>
      <c r="Y17" s="39" t="str">
        <f>IFERROR(VLOOKUP(MID(T17,W17,X17-W17),[5]skilldef!$C:$D,2,FALSE),"-") &amp; " / " &amp; IFERROR(VLOOKUP(MID(T17,U17,V17-U17),[5]skilldef!$A:$B,2,FALSE),"-")</f>
        <v>- / -</v>
      </c>
      <c r="Z17" s="26"/>
      <c r="AA17" s="28"/>
      <c r="AB17" s="26"/>
    </row>
    <row r="18" spans="1:28" ht="21" customHeight="1" x14ac:dyDescent="0.15">
      <c r="A18" s="23">
        <v>49012017</v>
      </c>
      <c r="B18" s="23" t="s">
        <v>280</v>
      </c>
      <c r="C18" s="26">
        <v>3</v>
      </c>
      <c r="D18" s="26" t="s">
        <v>249</v>
      </c>
      <c r="E18" s="27" t="s">
        <v>342</v>
      </c>
      <c r="F18" s="27" t="s">
        <v>314</v>
      </c>
      <c r="G18" s="39" t="str">
        <f t="shared" si="0"/>
        <v>[effect:critical, val:1.5]</v>
      </c>
      <c r="H18" s="39">
        <f t="shared" si="1"/>
        <v>9</v>
      </c>
      <c r="I18" s="39">
        <f t="shared" si="2"/>
        <v>17</v>
      </c>
      <c r="J18" s="39" t="e">
        <f t="shared" si="3"/>
        <v>#VALUE!</v>
      </c>
      <c r="K18" s="39" t="e">
        <f t="shared" si="4"/>
        <v>#VALUE!</v>
      </c>
      <c r="L18" s="39" t="str">
        <f>IFERROR(VLOOKUP(MID(G18,J18,K18-J18),[5]skilldef!$C:$D,2,FALSE),"-") &amp; " / " &amp; IFERROR(VLOOKUP(MID(G18,H18,I18-H18),[5]skilldef!$A:$B,2,FALSE),"-")</f>
        <v>- / 大攻撃</v>
      </c>
      <c r="M18" s="39" t="str">
        <f t="shared" si="5"/>
        <v>none</v>
      </c>
      <c r="N18" s="24" t="str">
        <f>IFERROR(LEFT(M18,FIND("],",M18)+S23),M18)</f>
        <v>none</v>
      </c>
      <c r="O18" s="39" t="e">
        <f t="shared" si="6"/>
        <v>#VALUE!</v>
      </c>
      <c r="P18" s="39">
        <f t="shared" si="7"/>
        <v>4</v>
      </c>
      <c r="Q18" s="39" t="e">
        <f t="shared" si="8"/>
        <v>#VALUE!</v>
      </c>
      <c r="R18" s="39" t="e">
        <f t="shared" si="9"/>
        <v>#VALUE!</v>
      </c>
      <c r="S18" s="39" t="str">
        <f>IFERROR(VLOOKUP(MID(N18,Q18,R18-Q18),[5]skilldef!$C:$D,2,FALSE),"-") &amp; " / " &amp; IFERROR(VLOOKUP(MID(N18,O18,P18-O18),[5]skilldef!$A:$B,2,FALSE),"-")</f>
        <v>- / -</v>
      </c>
      <c r="T18" s="24" t="str">
        <f t="shared" si="10"/>
        <v>none</v>
      </c>
      <c r="U18" s="39" t="e">
        <f t="shared" si="11"/>
        <v>#VALUE!</v>
      </c>
      <c r="V18" s="39">
        <f t="shared" si="12"/>
        <v>4</v>
      </c>
      <c r="W18" s="39" t="e">
        <f t="shared" si="13"/>
        <v>#VALUE!</v>
      </c>
      <c r="X18" s="39" t="e">
        <f t="shared" si="14"/>
        <v>#VALUE!</v>
      </c>
      <c r="Y18" s="39" t="str">
        <f>IFERROR(VLOOKUP(MID(T18,W18,X18-W18),[5]skilldef!$C:$D,2,FALSE),"-") &amp; " / " &amp; IFERROR(VLOOKUP(MID(T18,U18,V18-U18),[5]skilldef!$A:$B,2,FALSE),"-")</f>
        <v>- / -</v>
      </c>
      <c r="Z18" s="26"/>
      <c r="AA18" s="28"/>
      <c r="AB18" s="26"/>
    </row>
    <row r="19" spans="1:28" ht="21" customHeight="1" x14ac:dyDescent="0.15">
      <c r="A19" s="23">
        <v>49012018</v>
      </c>
      <c r="B19" s="23" t="s">
        <v>271</v>
      </c>
      <c r="C19" s="26">
        <v>3</v>
      </c>
      <c r="D19" s="26" t="s">
        <v>249</v>
      </c>
      <c r="E19" s="27" t="s">
        <v>281</v>
      </c>
      <c r="F19" s="27" t="s">
        <v>312</v>
      </c>
      <c r="G19" s="39" t="str">
        <f t="shared" si="0"/>
        <v>[effect:rush, count:2, val:0.6]</v>
      </c>
      <c r="H19" s="39">
        <f t="shared" si="1"/>
        <v>9</v>
      </c>
      <c r="I19" s="39">
        <f t="shared" si="2"/>
        <v>13</v>
      </c>
      <c r="J19" s="39" t="e">
        <f t="shared" si="3"/>
        <v>#VALUE!</v>
      </c>
      <c r="K19" s="39">
        <f t="shared" si="4"/>
        <v>22</v>
      </c>
      <c r="L19" s="39" t="str">
        <f>IFERROR(VLOOKUP(MID(G19,J19,K19-J19),[5]skilldef!$C:$D,2,FALSE),"-") &amp; " / " &amp; IFERROR(VLOOKUP(MID(G19,H19,I19-H19),[5]skilldef!$A:$B,2,FALSE),"-")</f>
        <v>- / 連続攻撃</v>
      </c>
      <c r="M19" s="39" t="str">
        <f t="shared" si="5"/>
        <v>none</v>
      </c>
      <c r="N19" s="24" t="str">
        <f>IFERROR(LEFT(M19,FIND("],",M19)+S24),M19)</f>
        <v>none</v>
      </c>
      <c r="O19" s="39" t="e">
        <f t="shared" si="6"/>
        <v>#VALUE!</v>
      </c>
      <c r="P19" s="39">
        <f t="shared" si="7"/>
        <v>4</v>
      </c>
      <c r="Q19" s="39" t="e">
        <f t="shared" si="8"/>
        <v>#VALUE!</v>
      </c>
      <c r="R19" s="39" t="e">
        <f t="shared" si="9"/>
        <v>#VALUE!</v>
      </c>
      <c r="S19" s="39" t="str">
        <f>IFERROR(VLOOKUP(MID(N19,Q19,R19-Q19),[5]skilldef!$C:$D,2,FALSE),"-") &amp; " / " &amp; IFERROR(VLOOKUP(MID(N19,O19,P19-O19),[5]skilldef!$A:$B,2,FALSE),"-")</f>
        <v>- / -</v>
      </c>
      <c r="T19" s="24" t="str">
        <f t="shared" si="10"/>
        <v>none</v>
      </c>
      <c r="U19" s="39" t="e">
        <f t="shared" si="11"/>
        <v>#VALUE!</v>
      </c>
      <c r="V19" s="39">
        <f t="shared" si="12"/>
        <v>4</v>
      </c>
      <c r="W19" s="39" t="e">
        <f t="shared" si="13"/>
        <v>#VALUE!</v>
      </c>
      <c r="X19" s="39" t="e">
        <f t="shared" si="14"/>
        <v>#VALUE!</v>
      </c>
      <c r="Y19" s="39" t="str">
        <f>IFERROR(VLOOKUP(MID(T19,W19,X19-W19),[5]skilldef!$C:$D,2,FALSE),"-") &amp; " / " &amp; IFERROR(VLOOKUP(MID(T19,U19,V19-U19),[5]skilldef!$A:$B,2,FALSE),"-")</f>
        <v>- / -</v>
      </c>
      <c r="Z19" s="26"/>
      <c r="AA19" s="28"/>
      <c r="AB19" s="26"/>
    </row>
    <row r="20" spans="1:28" ht="21" customHeight="1" x14ac:dyDescent="0.15">
      <c r="A20" s="23">
        <v>49012019</v>
      </c>
      <c r="B20" s="23" t="s">
        <v>343</v>
      </c>
      <c r="C20" s="26">
        <v>3</v>
      </c>
      <c r="D20" s="26" t="s">
        <v>249</v>
      </c>
      <c r="E20" s="27" t="s">
        <v>282</v>
      </c>
      <c r="F20" s="27" t="s">
        <v>283</v>
      </c>
      <c r="G20" s="39" t="str">
        <f t="shared" si="0"/>
        <v>[effect:enemy_message, val1:1, val2:1.8, dead_type:suicide]</v>
      </c>
      <c r="H20" s="39">
        <f t="shared" si="1"/>
        <v>9</v>
      </c>
      <c r="I20" s="39">
        <f t="shared" si="2"/>
        <v>22</v>
      </c>
      <c r="J20" s="39" t="e">
        <f t="shared" si="3"/>
        <v>#VALUE!</v>
      </c>
      <c r="K20" s="39">
        <f t="shared" si="4"/>
        <v>30</v>
      </c>
      <c r="L20" s="39" t="str">
        <f>IFERROR(VLOOKUP(MID(G20,J20,K20-J20),[5]skilldef!$C:$D,2,FALSE),"-") &amp; " / " &amp; IFERROR(VLOOKUP(MID(G20,H20,I20-H20),[5]skilldef!$A:$B,2,FALSE),"-")</f>
        <v>- / -</v>
      </c>
      <c r="M20" s="39" t="str">
        <f t="shared" si="5"/>
        <v>none</v>
      </c>
      <c r="N20" s="24" t="str">
        <f>IFERROR(LEFT(M20,FIND("],",M20)+S25),M20)</f>
        <v>none</v>
      </c>
      <c r="O20" s="39" t="e">
        <f t="shared" si="6"/>
        <v>#VALUE!</v>
      </c>
      <c r="P20" s="39">
        <f t="shared" si="7"/>
        <v>4</v>
      </c>
      <c r="Q20" s="39" t="e">
        <f t="shared" si="8"/>
        <v>#VALUE!</v>
      </c>
      <c r="R20" s="39" t="e">
        <f t="shared" si="9"/>
        <v>#VALUE!</v>
      </c>
      <c r="S20" s="39" t="str">
        <f>IFERROR(VLOOKUP(MID(N20,Q20,R20-Q20),[5]skilldef!$C:$D,2,FALSE),"-") &amp; " / " &amp; IFERROR(VLOOKUP(MID(N20,O20,P20-O20),[5]skilldef!$A:$B,2,FALSE),"-")</f>
        <v>- / -</v>
      </c>
      <c r="T20" s="24" t="str">
        <f t="shared" si="10"/>
        <v>none</v>
      </c>
      <c r="U20" s="39" t="e">
        <f t="shared" si="11"/>
        <v>#VALUE!</v>
      </c>
      <c r="V20" s="39">
        <f t="shared" si="12"/>
        <v>4</v>
      </c>
      <c r="W20" s="39" t="e">
        <f t="shared" si="13"/>
        <v>#VALUE!</v>
      </c>
      <c r="X20" s="39" t="e">
        <f t="shared" si="14"/>
        <v>#VALUE!</v>
      </c>
      <c r="Y20" s="39" t="str">
        <f>IFERROR(VLOOKUP(MID(T20,W20,X20-W20),[5]skilldef!$C:$D,2,FALSE),"-") &amp; " / " &amp; IFERROR(VLOOKUP(MID(T20,U20,V20-U20),[5]skilldef!$A:$B,2,FALSE),"-")</f>
        <v>- / -</v>
      </c>
      <c r="Z20" s="26"/>
      <c r="AA20" s="28"/>
      <c r="AB20" s="26"/>
    </row>
    <row r="21" spans="1:28" ht="21" customHeight="1" x14ac:dyDescent="0.15">
      <c r="A21" s="23">
        <v>49012020</v>
      </c>
      <c r="B21" s="23" t="s">
        <v>284</v>
      </c>
      <c r="C21" s="26">
        <v>3</v>
      </c>
      <c r="D21" s="26" t="s">
        <v>249</v>
      </c>
      <c r="E21" s="27" t="s">
        <v>285</v>
      </c>
      <c r="F21" s="27" t="s">
        <v>315</v>
      </c>
      <c r="G21" s="39" t="str">
        <f t="shared" si="0"/>
        <v>[effect:suicide, val:0.1, dead_type:suicide, target:myself, animation:enemy_suicide]</v>
      </c>
      <c r="H21" s="39">
        <f t="shared" si="1"/>
        <v>9</v>
      </c>
      <c r="I21" s="39">
        <f t="shared" si="2"/>
        <v>16</v>
      </c>
      <c r="J21" s="39">
        <f t="shared" si="3"/>
        <v>53</v>
      </c>
      <c r="K21" s="39">
        <f t="shared" si="4"/>
        <v>25</v>
      </c>
      <c r="L21" s="39" t="str">
        <f>IFERROR(VLOOKUP(MID(G21,J21,K21-J21),[5]skilldef!$C:$D,2,FALSE),"-") &amp; " / " &amp; IFERROR(VLOOKUP(MID(G21,H21,I21-H21),[5]skilldef!$A:$B,2,FALSE),"-")</f>
        <v>- / -</v>
      </c>
      <c r="M21" s="39" t="str">
        <f t="shared" si="5"/>
        <v>[effect:rush, count:10, val:0.1]</v>
      </c>
      <c r="N21" s="24" t="str">
        <f>IFERROR(LEFT(M21,FIND("],",M21)+S26),M21)</f>
        <v>[effect:rush, count:10, val:0.1]</v>
      </c>
      <c r="O21" s="39">
        <f t="shared" si="6"/>
        <v>9</v>
      </c>
      <c r="P21" s="39">
        <f t="shared" si="7"/>
        <v>13</v>
      </c>
      <c r="Q21" s="39" t="e">
        <f t="shared" si="8"/>
        <v>#VALUE!</v>
      </c>
      <c r="R21" s="39">
        <f t="shared" si="9"/>
        <v>23</v>
      </c>
      <c r="S21" s="39" t="str">
        <f>IFERROR(VLOOKUP(MID(N21,Q21,R21-Q21),[5]skilldef!$C:$D,2,FALSE),"-") &amp; " / " &amp; IFERROR(VLOOKUP(MID(N21,O21,P21-O21),[5]skilldef!$A:$B,2,FALSE),"-")</f>
        <v>- / 連続攻撃</v>
      </c>
      <c r="T21" s="24" t="str">
        <f t="shared" si="10"/>
        <v>none</v>
      </c>
      <c r="U21" s="39" t="e">
        <f t="shared" si="11"/>
        <v>#VALUE!</v>
      </c>
      <c r="V21" s="39">
        <f t="shared" si="12"/>
        <v>4</v>
      </c>
      <c r="W21" s="39" t="e">
        <f t="shared" si="13"/>
        <v>#VALUE!</v>
      </c>
      <c r="X21" s="39" t="e">
        <f t="shared" si="14"/>
        <v>#VALUE!</v>
      </c>
      <c r="Y21" s="39" t="str">
        <f>IFERROR(VLOOKUP(MID(T21,W21,X21-W21),[5]skilldef!$C:$D,2,FALSE),"-") &amp; " / " &amp; IFERROR(VLOOKUP(MID(T21,U21,V21-U21),[5]skilldef!$A:$B,2,FALSE),"-")</f>
        <v>- / -</v>
      </c>
      <c r="Z21" s="26"/>
      <c r="AA21" s="28"/>
      <c r="AB21" s="26"/>
    </row>
    <row r="22" spans="1:28" s="137" customFormat="1" ht="21" customHeight="1" x14ac:dyDescent="0.15">
      <c r="A22" s="23">
        <v>49012021</v>
      </c>
      <c r="B22" s="133" t="s">
        <v>345</v>
      </c>
      <c r="C22" s="26">
        <v>3</v>
      </c>
      <c r="D22" s="134" t="s">
        <v>249</v>
      </c>
      <c r="E22" s="135" t="s">
        <v>286</v>
      </c>
      <c r="F22" s="135" t="s">
        <v>316</v>
      </c>
      <c r="G22" s="135" t="str">
        <f t="shared" si="0"/>
        <v>[effect:enemy_message, val1:1.2, val2:1.8]</v>
      </c>
      <c r="H22" s="135">
        <f t="shared" si="1"/>
        <v>9</v>
      </c>
      <c r="I22" s="135">
        <f t="shared" si="2"/>
        <v>22</v>
      </c>
      <c r="J22" s="135" t="e">
        <f t="shared" si="3"/>
        <v>#VALUE!</v>
      </c>
      <c r="K22" s="135">
        <f t="shared" si="4"/>
        <v>32</v>
      </c>
      <c r="L22" s="135" t="str">
        <f>IFERROR(VLOOKUP(MID(G22,J22,K22-J22),[5]skilldef!$C:$D,2,FALSE),"-") &amp; " / " &amp; IFERROR(VLOOKUP(MID(G22,H22,I22-H22),[5]skilldef!$A:$B,2,FALSE),"-")</f>
        <v>- / -</v>
      </c>
      <c r="M22" s="135" t="str">
        <f t="shared" si="5"/>
        <v>[effect:tolerance, target:myself, turn:-1, count:-1, tolerance_effect:all, animation:enemy_tolerance],[effect:hungup, target:unit_all, turn:3, rate:1, animation:hungup01]</v>
      </c>
      <c r="N22" s="133" t="str">
        <f>IFERROR(LEFT(M22,FIND("],",M22)+S33),M22)</f>
        <v>[effect:tolerance, target:myself, turn:-1, count:-1, tolerance_effect:all, animation:enemy_tolerance],[effect:hungup, target:unit_all, turn:3, rate:1, animation:hungup01]</v>
      </c>
      <c r="O22" s="135">
        <f t="shared" si="6"/>
        <v>9</v>
      </c>
      <c r="P22" s="135">
        <f t="shared" si="7"/>
        <v>18</v>
      </c>
      <c r="Q22" s="135">
        <f t="shared" si="8"/>
        <v>27</v>
      </c>
      <c r="R22" s="135">
        <f t="shared" si="9"/>
        <v>33</v>
      </c>
      <c r="S22" s="135" t="str">
        <f>IFERROR(VLOOKUP(MID(N22,Q22,R22-Q22),[5]skilldef!$C:$D,2,FALSE),"-") &amp; " / " &amp; IFERROR(VLOOKUP(MID(N22,O22,P22-O22),[5]skilldef!$A:$B,2,FALSE),"-")</f>
        <v>自分自身に / 状態異常耐性</v>
      </c>
      <c r="T22" s="133" t="str">
        <f t="shared" si="10"/>
        <v>[effect:hungup, target:unit_all, turn:3, rate:1, animation:hungup01]</v>
      </c>
      <c r="U22" s="135">
        <f t="shared" si="11"/>
        <v>9</v>
      </c>
      <c r="V22" s="135">
        <f t="shared" si="12"/>
        <v>15</v>
      </c>
      <c r="W22" s="135">
        <f t="shared" si="13"/>
        <v>24</v>
      </c>
      <c r="X22" s="135">
        <f t="shared" si="14"/>
        <v>32</v>
      </c>
      <c r="Y22" s="135" t="str">
        <f>IFERROR(VLOOKUP(MID(T22,W22,X22-W22),[5]skilldef!$C:$D,2,FALSE),"-") &amp; " / " &amp; IFERROR(VLOOKUP(MID(T22,U22,V22-U22),[5]skilldef!$A:$B,2,FALSE),"-")</f>
        <v>味方全体に / ハングアップ</v>
      </c>
      <c r="Z22" s="134"/>
      <c r="AA22" s="136"/>
      <c r="AB22" s="134"/>
    </row>
    <row r="23" spans="1:28" ht="21" customHeight="1" x14ac:dyDescent="0.15">
      <c r="A23" s="23">
        <v>49012022</v>
      </c>
      <c r="B23" s="23" t="s">
        <v>287</v>
      </c>
      <c r="C23" s="26">
        <v>3</v>
      </c>
      <c r="D23" s="26" t="s">
        <v>249</v>
      </c>
      <c r="E23" s="27" t="s">
        <v>288</v>
      </c>
      <c r="F23" s="27" t="s">
        <v>322</v>
      </c>
      <c r="G23" s="39" t="str">
        <f t="shared" si="0"/>
        <v>[effect:critical, val:1.5]</v>
      </c>
      <c r="H23" s="39">
        <f t="shared" si="1"/>
        <v>9</v>
      </c>
      <c r="I23" s="39">
        <f t="shared" si="2"/>
        <v>17</v>
      </c>
      <c r="J23" s="39" t="e">
        <f t="shared" si="3"/>
        <v>#VALUE!</v>
      </c>
      <c r="K23" s="39" t="e">
        <f t="shared" si="4"/>
        <v>#VALUE!</v>
      </c>
      <c r="L23" s="39" t="str">
        <f>IFERROR(VLOOKUP(MID(G23,J23,K23-J23),[5]skilldef!$C:$D,2,FALSE),"-") &amp; " / " &amp; IFERROR(VLOOKUP(MID(G23,H23,I23-H23),[5]skilldef!$A:$B,2,FALSE),"-")</f>
        <v>- / 大攻撃</v>
      </c>
      <c r="M23" s="39" t="str">
        <f t="shared" si="5"/>
        <v>[effect:panel_freeze, target:block_heart, count:-1, break_count:1]</v>
      </c>
      <c r="N23" s="24" t="str">
        <f>IFERROR(LEFT(M23,FIND("],",M23)+S34),M23)</f>
        <v>[effect:panel_freeze, target:block_heart, count:-1, break_count:1]</v>
      </c>
      <c r="O23" s="39">
        <f t="shared" si="6"/>
        <v>9</v>
      </c>
      <c r="P23" s="39">
        <f t="shared" si="7"/>
        <v>21</v>
      </c>
      <c r="Q23" s="39">
        <f t="shared" si="8"/>
        <v>30</v>
      </c>
      <c r="R23" s="39">
        <f t="shared" si="9"/>
        <v>41</v>
      </c>
      <c r="S23" s="39" t="str">
        <f>IFERROR(VLOOKUP(MID(N23,Q23,R23-Q23),[5]skilldef!$C:$D,2,FALSE),"-") &amp; " / " &amp; IFERROR(VLOOKUP(MID(N23,O23,P23-O23),[5]skilldef!$A:$B,2,FALSE),"-")</f>
        <v>ハートパネルを / -</v>
      </c>
      <c r="T23" s="24" t="str">
        <f t="shared" si="10"/>
        <v>none</v>
      </c>
      <c r="U23" s="39" t="e">
        <f t="shared" si="11"/>
        <v>#VALUE!</v>
      </c>
      <c r="V23" s="39">
        <f t="shared" si="12"/>
        <v>4</v>
      </c>
      <c r="W23" s="39" t="e">
        <f t="shared" si="13"/>
        <v>#VALUE!</v>
      </c>
      <c r="X23" s="39" t="e">
        <f t="shared" si="14"/>
        <v>#VALUE!</v>
      </c>
      <c r="Y23" s="39" t="str">
        <f>IFERROR(VLOOKUP(MID(T23,W23,X23-W23),[5]skilldef!$C:$D,2,FALSE),"-") &amp; " / " &amp; IFERROR(VLOOKUP(MID(T23,U23,V23-U23),[5]skilldef!$A:$B,2,FALSE),"-")</f>
        <v>- / -</v>
      </c>
      <c r="Z23" s="26"/>
      <c r="AA23" s="28"/>
      <c r="AB23" s="26"/>
    </row>
    <row r="24" spans="1:28" ht="21" customHeight="1" x14ac:dyDescent="0.15">
      <c r="A24" s="23">
        <v>49012023</v>
      </c>
      <c r="B24" s="23" t="s">
        <v>250</v>
      </c>
      <c r="C24" s="26">
        <v>3</v>
      </c>
      <c r="D24" s="26" t="s">
        <v>249</v>
      </c>
      <c r="E24" s="27" t="s">
        <v>289</v>
      </c>
      <c r="F24" s="27" t="s">
        <v>317</v>
      </c>
      <c r="G24" s="39" t="str">
        <f t="shared" si="0"/>
        <v>[effect:rush, count:3, val:0.4]</v>
      </c>
      <c r="H24" s="39">
        <f t="shared" si="1"/>
        <v>9</v>
      </c>
      <c r="I24" s="39">
        <f t="shared" si="2"/>
        <v>13</v>
      </c>
      <c r="J24" s="39" t="e">
        <f t="shared" si="3"/>
        <v>#VALUE!</v>
      </c>
      <c r="K24" s="39">
        <f t="shared" si="4"/>
        <v>22</v>
      </c>
      <c r="L24" s="39" t="str">
        <f>IFERROR(VLOOKUP(MID(G24,J24,K24-J24),[5]skilldef!$C:$D,2,FALSE),"-") &amp; " / " &amp; IFERROR(VLOOKUP(MID(G24,H24,I24-H24),[5]skilldef!$A:$B,2,FALSE),"-")</f>
        <v>- / 連続攻撃</v>
      </c>
      <c r="M24" s="39" t="str">
        <f t="shared" si="5"/>
        <v>none</v>
      </c>
      <c r="N24" s="24" t="str">
        <f>IFERROR(LEFT(M24,FIND("],",M24)+S35),M24)</f>
        <v>none</v>
      </c>
      <c r="O24" s="39" t="e">
        <f t="shared" si="6"/>
        <v>#VALUE!</v>
      </c>
      <c r="P24" s="39">
        <f t="shared" si="7"/>
        <v>4</v>
      </c>
      <c r="Q24" s="39" t="e">
        <f t="shared" si="8"/>
        <v>#VALUE!</v>
      </c>
      <c r="R24" s="39" t="e">
        <f t="shared" si="9"/>
        <v>#VALUE!</v>
      </c>
      <c r="S24" s="39" t="str">
        <f>IFERROR(VLOOKUP(MID(N24,Q24,R24-Q24),[5]skilldef!$C:$D,2,FALSE),"-") &amp; " / " &amp; IFERROR(VLOOKUP(MID(N24,O24,P24-O24),[5]skilldef!$A:$B,2,FALSE),"-")</f>
        <v>- / -</v>
      </c>
      <c r="T24" s="24" t="str">
        <f t="shared" si="10"/>
        <v>none</v>
      </c>
      <c r="U24" s="39" t="e">
        <f t="shared" si="11"/>
        <v>#VALUE!</v>
      </c>
      <c r="V24" s="39">
        <f t="shared" si="12"/>
        <v>4</v>
      </c>
      <c r="W24" s="39" t="e">
        <f t="shared" si="13"/>
        <v>#VALUE!</v>
      </c>
      <c r="X24" s="39" t="e">
        <f t="shared" si="14"/>
        <v>#VALUE!</v>
      </c>
      <c r="Y24" s="39" t="str">
        <f>IFERROR(VLOOKUP(MID(T24,W24,X24-W24),[5]skilldef!$C:$D,2,FALSE),"-") &amp; " / " &amp; IFERROR(VLOOKUP(MID(T24,U24,V24-U24),[5]skilldef!$A:$B,2,FALSE),"-")</f>
        <v>- / -</v>
      </c>
      <c r="Z24" s="26"/>
      <c r="AA24" s="28"/>
      <c r="AB24" s="26"/>
    </row>
    <row r="25" spans="1:28" s="137" customFormat="1" ht="21" customHeight="1" x14ac:dyDescent="0.15">
      <c r="A25" s="23">
        <v>49012024</v>
      </c>
      <c r="B25" s="133" t="s">
        <v>320</v>
      </c>
      <c r="C25" s="26">
        <v>3</v>
      </c>
      <c r="D25" s="134" t="s">
        <v>249</v>
      </c>
      <c r="E25" s="135" t="s">
        <v>290</v>
      </c>
      <c r="F25" s="135" t="s">
        <v>316</v>
      </c>
      <c r="G25" s="135" t="str">
        <f t="shared" si="0"/>
        <v>[effect:tolerance, target:myself, turn:-1, count:-1, tolerance_effect:all, animation:enemy_tolerance]</v>
      </c>
      <c r="H25" s="135">
        <f t="shared" si="1"/>
        <v>9</v>
      </c>
      <c r="I25" s="135">
        <f t="shared" si="2"/>
        <v>18</v>
      </c>
      <c r="J25" s="135">
        <f t="shared" si="3"/>
        <v>27</v>
      </c>
      <c r="K25" s="135">
        <f t="shared" si="4"/>
        <v>33</v>
      </c>
      <c r="L25" s="135" t="str">
        <f>IFERROR(VLOOKUP(MID(G25,J25,K25-J25),[5]skilldef!$C:$D,2,FALSE),"-") &amp; " / " &amp; IFERROR(VLOOKUP(MID(G25,H25,I25-H25),[5]skilldef!$A:$B,2,FALSE),"-")</f>
        <v>自分自身に / 状態異常耐性</v>
      </c>
      <c r="M25" s="135" t="str">
        <f t="shared" si="5"/>
        <v>[effect:hungup, target:unit_all, turn:3, rate:1, animation:hungup01]</v>
      </c>
      <c r="N25" s="133" t="str">
        <f>IFERROR(LEFT(M25,FIND("],",M25)+S36),M25)</f>
        <v>[effect:hungup, target:unit_all, turn:3, rate:1, animation:hungup01]</v>
      </c>
      <c r="O25" s="135">
        <f t="shared" si="6"/>
        <v>9</v>
      </c>
      <c r="P25" s="135">
        <f t="shared" si="7"/>
        <v>15</v>
      </c>
      <c r="Q25" s="135">
        <f t="shared" si="8"/>
        <v>24</v>
      </c>
      <c r="R25" s="135">
        <f t="shared" si="9"/>
        <v>32</v>
      </c>
      <c r="S25" s="135" t="str">
        <f>IFERROR(VLOOKUP(MID(N25,Q25,R25-Q25),[5]skilldef!$C:$D,2,FALSE),"-") &amp; " / " &amp; IFERROR(VLOOKUP(MID(N25,O25,P25-O25),[5]skilldef!$A:$B,2,FALSE),"-")</f>
        <v>味方全体に / ハングアップ</v>
      </c>
      <c r="T25" s="133" t="str">
        <f t="shared" si="10"/>
        <v>none</v>
      </c>
      <c r="U25" s="135" t="e">
        <f t="shared" si="11"/>
        <v>#VALUE!</v>
      </c>
      <c r="V25" s="135">
        <f t="shared" si="12"/>
        <v>4</v>
      </c>
      <c r="W25" s="135" t="e">
        <f t="shared" si="13"/>
        <v>#VALUE!</v>
      </c>
      <c r="X25" s="135" t="e">
        <f t="shared" si="14"/>
        <v>#VALUE!</v>
      </c>
      <c r="Y25" s="135" t="str">
        <f>IFERROR(VLOOKUP(MID(T25,W25,X25-W25),[5]skilldef!$C:$D,2,FALSE),"-") &amp; " / " &amp; IFERROR(VLOOKUP(MID(T25,U25,V25-U25),[5]skilldef!$A:$B,2,FALSE),"-")</f>
        <v>- / -</v>
      </c>
      <c r="Z25" s="134"/>
      <c r="AA25" s="136"/>
      <c r="AB25" s="134"/>
    </row>
    <row r="26" spans="1:28" s="137" customFormat="1" ht="21" customHeight="1" x14ac:dyDescent="0.15">
      <c r="A26" s="23">
        <v>49012025</v>
      </c>
      <c r="B26" s="133" t="s">
        <v>320</v>
      </c>
      <c r="C26" s="26">
        <v>3</v>
      </c>
      <c r="D26" s="134" t="s">
        <v>249</v>
      </c>
      <c r="E26" s="135" t="s">
        <v>290</v>
      </c>
      <c r="F26" s="135" t="s">
        <v>316</v>
      </c>
      <c r="G26" s="135" t="str">
        <f t="shared" si="0"/>
        <v>[effect:tolerance, target:myself, turn:-1, count:-1, tolerance_effect:all, animation:enemy_tolerance]</v>
      </c>
      <c r="H26" s="135">
        <f t="shared" si="1"/>
        <v>9</v>
      </c>
      <c r="I26" s="135">
        <f t="shared" si="2"/>
        <v>18</v>
      </c>
      <c r="J26" s="135">
        <f t="shared" si="3"/>
        <v>27</v>
      </c>
      <c r="K26" s="135">
        <f t="shared" si="4"/>
        <v>33</v>
      </c>
      <c r="L26" s="135" t="str">
        <f>IFERROR(VLOOKUP(MID(G26,J26,K26-J26),[5]skilldef!$C:$D,2,FALSE),"-") &amp; " / " &amp; IFERROR(VLOOKUP(MID(G26,H26,I26-H26),[5]skilldef!$A:$B,2,FALSE),"-")</f>
        <v>自分自身に / 状態異常耐性</v>
      </c>
      <c r="M26" s="135" t="str">
        <f t="shared" si="5"/>
        <v>[effect:hungup, target:unit_all, turn:3, rate:1, animation:hungup01]</v>
      </c>
      <c r="N26" s="133" t="str">
        <f>IFERROR(LEFT(M26,FIND("],",M26)+S37),M26)</f>
        <v>[effect:hungup, target:unit_all, turn:3, rate:1, animation:hungup01]</v>
      </c>
      <c r="O26" s="135">
        <f t="shared" si="6"/>
        <v>9</v>
      </c>
      <c r="P26" s="135">
        <f t="shared" si="7"/>
        <v>15</v>
      </c>
      <c r="Q26" s="135">
        <f t="shared" si="8"/>
        <v>24</v>
      </c>
      <c r="R26" s="135">
        <f t="shared" si="9"/>
        <v>32</v>
      </c>
      <c r="S26" s="135" t="str">
        <f>IFERROR(VLOOKUP(MID(N26,Q26,R26-Q26),[5]skilldef!$C:$D,2,FALSE),"-") &amp; " / " &amp; IFERROR(VLOOKUP(MID(N26,O26,P26-O26),[5]skilldef!$A:$B,2,FALSE),"-")</f>
        <v>味方全体に / ハングアップ</v>
      </c>
      <c r="T26" s="133" t="str">
        <f t="shared" si="10"/>
        <v>none</v>
      </c>
      <c r="U26" s="135" t="e">
        <f t="shared" si="11"/>
        <v>#VALUE!</v>
      </c>
      <c r="V26" s="135">
        <f t="shared" si="12"/>
        <v>4</v>
      </c>
      <c r="W26" s="135" t="e">
        <f t="shared" si="13"/>
        <v>#VALUE!</v>
      </c>
      <c r="X26" s="135" t="e">
        <f t="shared" si="14"/>
        <v>#VALUE!</v>
      </c>
      <c r="Y26" s="135" t="str">
        <f>IFERROR(VLOOKUP(MID(T26,W26,X26-W26),[5]skilldef!$C:$D,2,FALSE),"-") &amp; " / " &amp; IFERROR(VLOOKUP(MID(T26,U26,V26-U26),[5]skilldef!$A:$B,2,FALSE),"-")</f>
        <v>- / -</v>
      </c>
      <c r="Z26" s="134"/>
      <c r="AA26" s="136"/>
      <c r="AB26" s="134"/>
    </row>
    <row r="27" spans="1:28" s="137" customFormat="1" ht="21" customHeight="1" x14ac:dyDescent="0.15">
      <c r="A27" s="23">
        <v>49012026</v>
      </c>
      <c r="B27" s="133" t="s">
        <v>345</v>
      </c>
      <c r="C27" s="26">
        <v>3</v>
      </c>
      <c r="D27" s="134" t="s">
        <v>249</v>
      </c>
      <c r="E27" s="135" t="s">
        <v>346</v>
      </c>
      <c r="F27" s="135" t="s">
        <v>316</v>
      </c>
      <c r="G27" s="135" t="str">
        <f t="shared" ref="G27" si="15">IFERROR(LEFT(B27,FIND("],",B27)),B27)</f>
        <v>[effect:enemy_message, val1:1.2, val2:1.8]</v>
      </c>
      <c r="H27" s="135">
        <f t="shared" ref="H27" si="16">FIND("effect:",G27)+7</f>
        <v>9</v>
      </c>
      <c r="I27" s="135">
        <f t="shared" ref="I27" si="17">IFERROR(FIND(",",G27),LEN(G27))</f>
        <v>22</v>
      </c>
      <c r="J27" s="135" t="e">
        <f t="shared" ref="J27" si="18">FIND("target:",G27)+7</f>
        <v>#VALUE!</v>
      </c>
      <c r="K27" s="135">
        <f t="shared" ref="K27" si="19">FIND(",",G27,I27+1)</f>
        <v>32</v>
      </c>
      <c r="L27" s="135" t="str">
        <f>IFERROR(VLOOKUP(MID(G27,J27,K27-J27),[5]skilldef!$C:$D,2,FALSE),"-") &amp; " / " &amp; IFERROR(VLOOKUP(MID(G27,H27,I27-H27),[5]skilldef!$A:$B,2,FALSE),"-")</f>
        <v>- / -</v>
      </c>
      <c r="M27" s="135" t="str">
        <f t="shared" ref="M27" si="20">IFERROR(RIGHT(B27,LEN(B27)-FIND("],",B27)-1),"none")</f>
        <v>[effect:tolerance, target:myself, turn:-1, count:-1, tolerance_effect:all, animation:enemy_tolerance],[effect:hungup, target:unit_all, turn:3, rate:1, animation:hungup01]</v>
      </c>
      <c r="N27" s="133" t="str">
        <f t="shared" ref="N27" si="21">IFERROR(LEFT(M27,FIND("],",M27)+S37),M27)</f>
        <v>[effect:tolerance, target:myself, turn:-1, count:-1, tolerance_effect:all, animation:enemy_tolerance],[effect:hungup, target:unit_all, turn:3, rate:1, animation:hungup01]</v>
      </c>
      <c r="O27" s="135">
        <f t="shared" ref="O27" si="22">FIND("effect:",N27)+7</f>
        <v>9</v>
      </c>
      <c r="P27" s="135">
        <f t="shared" ref="P27" si="23">IFERROR(FIND(",",N27),LEN(N27))</f>
        <v>18</v>
      </c>
      <c r="Q27" s="135">
        <f t="shared" ref="Q27" si="24">FIND("target:",N27)+7</f>
        <v>27</v>
      </c>
      <c r="R27" s="135">
        <f t="shared" ref="R27" si="25">FIND(",",N27,P27+1)</f>
        <v>33</v>
      </c>
      <c r="S27" s="135" t="str">
        <f>IFERROR(VLOOKUP(MID(N27,Q27,R27-Q27),[5]skilldef!$C:$D,2,FALSE),"-") &amp; " / " &amp; IFERROR(VLOOKUP(MID(N27,O27,P27-O27),[5]skilldef!$A:$B,2,FALSE),"-")</f>
        <v>自分自身に / 状態異常耐性</v>
      </c>
      <c r="T27" s="133" t="str">
        <f t="shared" ref="T27" si="26">IFERROR(RIGHT(M27,LEN(M27)-FIND("],",M27)-1),"none")</f>
        <v>[effect:hungup, target:unit_all, turn:3, rate:1, animation:hungup01]</v>
      </c>
      <c r="U27" s="135">
        <f t="shared" ref="U27" si="27">FIND("effect:",T27)+7</f>
        <v>9</v>
      </c>
      <c r="V27" s="135">
        <f t="shared" ref="V27" si="28">IFERROR(FIND(",",T27),LEN(T27))</f>
        <v>15</v>
      </c>
      <c r="W27" s="135">
        <f t="shared" ref="W27" si="29">FIND("target:",T27)+7</f>
        <v>24</v>
      </c>
      <c r="X27" s="135">
        <f t="shared" ref="X27" si="30">FIND(",",T27,V27+1)</f>
        <v>32</v>
      </c>
      <c r="Y27" s="135" t="str">
        <f>IFERROR(VLOOKUP(MID(T27,W27,X27-W27),[5]skilldef!$C:$D,2,FALSE),"-") &amp; " / " &amp; IFERROR(VLOOKUP(MID(T27,U27,V27-U27),[5]skilldef!$A:$B,2,FALSE),"-")</f>
        <v>味方全体に / ハングアップ</v>
      </c>
      <c r="Z27" s="134"/>
      <c r="AA27" s="136"/>
      <c r="AB27" s="134"/>
    </row>
    <row r="28" spans="1:28" s="137" customFormat="1" ht="21" customHeight="1" x14ac:dyDescent="0.15">
      <c r="A28" s="23">
        <v>49012027</v>
      </c>
      <c r="B28" s="133" t="s">
        <v>345</v>
      </c>
      <c r="C28" s="26">
        <v>3</v>
      </c>
      <c r="D28" s="134" t="s">
        <v>249</v>
      </c>
      <c r="E28" s="135" t="s">
        <v>346</v>
      </c>
      <c r="F28" s="135" t="s">
        <v>316</v>
      </c>
      <c r="G28" s="135" t="str">
        <f t="shared" si="0"/>
        <v>[effect:enemy_message, val1:1.2, val2:1.8]</v>
      </c>
      <c r="H28" s="135">
        <f t="shared" si="1"/>
        <v>9</v>
      </c>
      <c r="I28" s="135">
        <f t="shared" si="2"/>
        <v>22</v>
      </c>
      <c r="J28" s="135" t="e">
        <f t="shared" si="3"/>
        <v>#VALUE!</v>
      </c>
      <c r="K28" s="135">
        <f t="shared" si="4"/>
        <v>32</v>
      </c>
      <c r="L28" s="135" t="str">
        <f>IFERROR(VLOOKUP(MID(G28,J28,K28-J28),[5]skilldef!$C:$D,2,FALSE),"-") &amp; " / " &amp; IFERROR(VLOOKUP(MID(G28,H28,I28-H28),[5]skilldef!$A:$B,2,FALSE),"-")</f>
        <v>- / -</v>
      </c>
      <c r="M28" s="135" t="str">
        <f t="shared" si="5"/>
        <v>[effect:tolerance, target:myself, turn:-1, count:-1, tolerance_effect:all, animation:enemy_tolerance],[effect:hungup, target:unit_all, turn:3, rate:1, animation:hungup01]</v>
      </c>
      <c r="N28" s="133" t="str">
        <f t="shared" ref="N28:N29" si="31">IFERROR(LEFT(M28,FIND("],",M28)+S38),M28)</f>
        <v>[effect:tolerance, target:myself, turn:-1, count:-1, tolerance_effect:all, animation:enemy_tolerance],[effect:hungup, target:unit_all, turn:3, rate:1, animation:hungup01]</v>
      </c>
      <c r="O28" s="135">
        <f t="shared" si="6"/>
        <v>9</v>
      </c>
      <c r="P28" s="135">
        <f t="shared" si="7"/>
        <v>18</v>
      </c>
      <c r="Q28" s="135">
        <f t="shared" si="8"/>
        <v>27</v>
      </c>
      <c r="R28" s="135">
        <f t="shared" si="9"/>
        <v>33</v>
      </c>
      <c r="S28" s="135" t="str">
        <f>IFERROR(VLOOKUP(MID(N28,Q28,R28-Q28),[5]skilldef!$C:$D,2,FALSE),"-") &amp; " / " &amp; IFERROR(VLOOKUP(MID(N28,O28,P28-O28),[5]skilldef!$A:$B,2,FALSE),"-")</f>
        <v>自分自身に / 状態異常耐性</v>
      </c>
      <c r="T28" s="133" t="str">
        <f t="shared" si="10"/>
        <v>[effect:hungup, target:unit_all, turn:3, rate:1, animation:hungup01]</v>
      </c>
      <c r="U28" s="135">
        <f t="shared" si="11"/>
        <v>9</v>
      </c>
      <c r="V28" s="135">
        <f t="shared" si="12"/>
        <v>15</v>
      </c>
      <c r="W28" s="135">
        <f t="shared" si="13"/>
        <v>24</v>
      </c>
      <c r="X28" s="135">
        <f t="shared" si="14"/>
        <v>32</v>
      </c>
      <c r="Y28" s="135" t="str">
        <f>IFERROR(VLOOKUP(MID(T28,W28,X28-W28),[5]skilldef!$C:$D,2,FALSE),"-") &amp; " / " &amp; IFERROR(VLOOKUP(MID(T28,U28,V28-U28),[5]skilldef!$A:$B,2,FALSE),"-")</f>
        <v>味方全体に / ハングアップ</v>
      </c>
      <c r="Z28" s="134"/>
      <c r="AA28" s="136"/>
      <c r="AB28" s="134"/>
    </row>
    <row r="29" spans="1:28" s="137" customFormat="1" ht="22" customHeight="1" x14ac:dyDescent="0.15">
      <c r="A29" s="23">
        <v>49012028</v>
      </c>
      <c r="B29" s="133" t="s">
        <v>345</v>
      </c>
      <c r="C29" s="26">
        <v>3</v>
      </c>
      <c r="D29" s="134" t="s">
        <v>249</v>
      </c>
      <c r="E29" s="135" t="s">
        <v>308</v>
      </c>
      <c r="F29" s="135" t="s">
        <v>316</v>
      </c>
      <c r="G29" s="135" t="str">
        <f t="shared" si="0"/>
        <v>[effect:enemy_message, val1:1.2, val2:1.8]</v>
      </c>
      <c r="H29" s="135">
        <f t="shared" si="1"/>
        <v>9</v>
      </c>
      <c r="I29" s="135">
        <f t="shared" si="2"/>
        <v>22</v>
      </c>
      <c r="J29" s="135" t="e">
        <f t="shared" si="3"/>
        <v>#VALUE!</v>
      </c>
      <c r="K29" s="135">
        <f t="shared" si="4"/>
        <v>32</v>
      </c>
      <c r="L29" s="135" t="str">
        <f>IFERROR(VLOOKUP(MID(G29,J29,K29-J29),[5]skilldef!$C:$D,2,FALSE),"-") &amp; " / " &amp; IFERROR(VLOOKUP(MID(G29,H29,I29-H29),[5]skilldef!$A:$B,2,FALSE),"-")</f>
        <v>- / -</v>
      </c>
      <c r="M29" s="135" t="str">
        <f t="shared" si="5"/>
        <v>[effect:tolerance, target:myself, turn:-1, count:-1, tolerance_effect:all, animation:enemy_tolerance],[effect:hungup, target:unit_all, turn:3, rate:1, animation:hungup01]</v>
      </c>
      <c r="N29" s="133" t="str">
        <f t="shared" si="31"/>
        <v>[effect:tolerance, target:myself, turn:-1, count:-1, tolerance_effect:all, animation:enemy_tolerance],[effect:hungup, target:unit_all, turn:3, rate:1, animation:hungup01]</v>
      </c>
      <c r="O29" s="135">
        <f t="shared" si="6"/>
        <v>9</v>
      </c>
      <c r="P29" s="135">
        <f t="shared" si="7"/>
        <v>18</v>
      </c>
      <c r="Q29" s="135">
        <f t="shared" si="8"/>
        <v>27</v>
      </c>
      <c r="R29" s="135">
        <f t="shared" si="9"/>
        <v>33</v>
      </c>
      <c r="S29" s="135" t="str">
        <f>IFERROR(VLOOKUP(MID(N29,Q29,R29-Q29),[5]skilldef!$C:$D,2,FALSE),"-") &amp; " / " &amp; IFERROR(VLOOKUP(MID(N29,O29,P29-O29),[5]skilldef!$A:$B,2,FALSE),"-")</f>
        <v>自分自身に / 状態異常耐性</v>
      </c>
      <c r="T29" s="133" t="str">
        <f t="shared" si="10"/>
        <v>[effect:hungup, target:unit_all, turn:3, rate:1, animation:hungup01]</v>
      </c>
      <c r="U29" s="135">
        <f t="shared" si="11"/>
        <v>9</v>
      </c>
      <c r="V29" s="135">
        <f t="shared" si="12"/>
        <v>15</v>
      </c>
      <c r="W29" s="135">
        <f t="shared" si="13"/>
        <v>24</v>
      </c>
      <c r="X29" s="135">
        <f t="shared" si="14"/>
        <v>32</v>
      </c>
      <c r="Y29" s="135" t="str">
        <f>IFERROR(VLOOKUP(MID(T29,W29,X29-W29),[5]skilldef!$C:$D,2,FALSE),"-") &amp; " / " &amp; IFERROR(VLOOKUP(MID(T29,U29,V29-U29),[5]skilldef!$A:$B,2,FALSE),"-")</f>
        <v>味方全体に / ハングアップ</v>
      </c>
      <c r="Z29" s="134"/>
      <c r="AA29" s="136"/>
      <c r="AB29" s="134"/>
    </row>
    <row r="30" spans="1:28" s="137" customFormat="1" ht="21" customHeight="1" x14ac:dyDescent="0.15">
      <c r="A30" s="23">
        <v>49012029</v>
      </c>
      <c r="B30" s="133" t="s">
        <v>320</v>
      </c>
      <c r="C30" s="26">
        <v>3</v>
      </c>
      <c r="D30" s="134" t="s">
        <v>249</v>
      </c>
      <c r="E30" s="135" t="s">
        <v>309</v>
      </c>
      <c r="F30" s="135" t="s">
        <v>316</v>
      </c>
      <c r="G30" s="135" t="str">
        <f t="shared" si="0"/>
        <v>[effect:tolerance, target:myself, turn:-1, count:-1, tolerance_effect:all, animation:enemy_tolerance]</v>
      </c>
      <c r="H30" s="135">
        <f t="shared" si="1"/>
        <v>9</v>
      </c>
      <c r="I30" s="135">
        <f t="shared" si="2"/>
        <v>18</v>
      </c>
      <c r="J30" s="135">
        <f t="shared" si="3"/>
        <v>27</v>
      </c>
      <c r="K30" s="135">
        <f t="shared" si="4"/>
        <v>33</v>
      </c>
      <c r="L30" s="135" t="str">
        <f>IFERROR(VLOOKUP(MID(G30,J30,K30-J30),[5]skilldef!$C:$D,2,FALSE),"-") &amp; " / " &amp; IFERROR(VLOOKUP(MID(G30,H30,I30-H30),[5]skilldef!$A:$B,2,FALSE),"-")</f>
        <v>自分自身に / 状態異常耐性</v>
      </c>
      <c r="M30" s="135" t="str">
        <f t="shared" si="5"/>
        <v>[effect:hungup, target:unit_all, turn:3, rate:1, animation:hungup01]</v>
      </c>
      <c r="N30" s="133" t="str">
        <f>IFERROR(LEFT(M30,FIND("],",M30)+#REF!),M30)</f>
        <v>[effect:hungup, target:unit_all, turn:3, rate:1, animation:hungup01]</v>
      </c>
      <c r="O30" s="135">
        <f t="shared" si="6"/>
        <v>9</v>
      </c>
      <c r="P30" s="135">
        <f t="shared" si="7"/>
        <v>15</v>
      </c>
      <c r="Q30" s="135">
        <f t="shared" si="8"/>
        <v>24</v>
      </c>
      <c r="R30" s="135">
        <f t="shared" si="9"/>
        <v>32</v>
      </c>
      <c r="S30" s="135" t="str">
        <f>IFERROR(VLOOKUP(MID(N30,Q30,R30-Q30),[5]skilldef!$C:$D,2,FALSE),"-") &amp; " / " &amp; IFERROR(VLOOKUP(MID(N30,O30,P30-O30),[5]skilldef!$A:$B,2,FALSE),"-")</f>
        <v>味方全体に / ハングアップ</v>
      </c>
      <c r="T30" s="133" t="str">
        <f t="shared" si="10"/>
        <v>none</v>
      </c>
      <c r="U30" s="135" t="e">
        <f t="shared" si="11"/>
        <v>#VALUE!</v>
      </c>
      <c r="V30" s="135">
        <f t="shared" si="12"/>
        <v>4</v>
      </c>
      <c r="W30" s="135" t="e">
        <f t="shared" si="13"/>
        <v>#VALUE!</v>
      </c>
      <c r="X30" s="135" t="e">
        <f t="shared" si="14"/>
        <v>#VALUE!</v>
      </c>
      <c r="Y30" s="135" t="str">
        <f>IFERROR(VLOOKUP(MID(T30,W30,X30-W30),[5]skilldef!$C:$D,2,FALSE),"-") &amp; " / " &amp; IFERROR(VLOOKUP(MID(T30,U30,V30-U30),[5]skilldef!$A:$B,2,FALSE),"-")</f>
        <v>- / -</v>
      </c>
      <c r="Z30" s="134"/>
      <c r="AA30" s="136"/>
      <c r="AB30" s="134"/>
    </row>
    <row r="31" spans="1:28" s="137" customFormat="1" ht="21" customHeight="1" x14ac:dyDescent="0.15">
      <c r="A31" s="23">
        <v>49012030</v>
      </c>
      <c r="B31" s="133" t="s">
        <v>320</v>
      </c>
      <c r="C31" s="26">
        <v>3</v>
      </c>
      <c r="D31" s="134" t="s">
        <v>249</v>
      </c>
      <c r="E31" s="135" t="s">
        <v>309</v>
      </c>
      <c r="F31" s="135" t="s">
        <v>316</v>
      </c>
      <c r="G31" s="135" t="str">
        <f t="shared" si="0"/>
        <v>[effect:tolerance, target:myself, turn:-1, count:-1, tolerance_effect:all, animation:enemy_tolerance]</v>
      </c>
      <c r="H31" s="135">
        <f t="shared" si="1"/>
        <v>9</v>
      </c>
      <c r="I31" s="135">
        <f t="shared" si="2"/>
        <v>18</v>
      </c>
      <c r="J31" s="135">
        <f t="shared" si="3"/>
        <v>27</v>
      </c>
      <c r="K31" s="135">
        <f t="shared" si="4"/>
        <v>33</v>
      </c>
      <c r="L31" s="135" t="str">
        <f>IFERROR(VLOOKUP(MID(G31,J31,K31-J31),[5]skilldef!$C:$D,2,FALSE),"-") &amp; " / " &amp; IFERROR(VLOOKUP(MID(G31,H31,I31-H31),[5]skilldef!$A:$B,2,FALSE),"-")</f>
        <v>自分自身に / 状態異常耐性</v>
      </c>
      <c r="M31" s="135" t="str">
        <f t="shared" si="5"/>
        <v>[effect:hungup, target:unit_all, turn:3, rate:1, animation:hungup01]</v>
      </c>
      <c r="N31" s="133" t="str">
        <f>IFERROR(LEFT(M31,FIND("],",M31)+#REF!),M31)</f>
        <v>[effect:hungup, target:unit_all, turn:3, rate:1, animation:hungup01]</v>
      </c>
      <c r="O31" s="135">
        <f t="shared" si="6"/>
        <v>9</v>
      </c>
      <c r="P31" s="135">
        <f t="shared" si="7"/>
        <v>15</v>
      </c>
      <c r="Q31" s="135">
        <f t="shared" si="8"/>
        <v>24</v>
      </c>
      <c r="R31" s="135">
        <f t="shared" si="9"/>
        <v>32</v>
      </c>
      <c r="S31" s="135" t="str">
        <f>IFERROR(VLOOKUP(MID(N31,Q31,R31-Q31),[5]skilldef!$C:$D,2,FALSE),"-") &amp; " / " &amp; IFERROR(VLOOKUP(MID(N31,O31,P31-O31),[5]skilldef!$A:$B,2,FALSE),"-")</f>
        <v>味方全体に / ハングアップ</v>
      </c>
      <c r="T31" s="133" t="str">
        <f t="shared" si="10"/>
        <v>none</v>
      </c>
      <c r="U31" s="135" t="e">
        <f t="shared" si="11"/>
        <v>#VALUE!</v>
      </c>
      <c r="V31" s="135">
        <f t="shared" si="12"/>
        <v>4</v>
      </c>
      <c r="W31" s="135" t="e">
        <f t="shared" si="13"/>
        <v>#VALUE!</v>
      </c>
      <c r="X31" s="135" t="e">
        <f t="shared" si="14"/>
        <v>#VALUE!</v>
      </c>
      <c r="Y31" s="135" t="str">
        <f>IFERROR(VLOOKUP(MID(T31,W31,X31-W31),[5]skilldef!$C:$D,2,FALSE),"-") &amp; " / " &amp; IFERROR(VLOOKUP(MID(T31,U31,V31-U31),[5]skilldef!$A:$B,2,FALSE),"-")</f>
        <v>- / -</v>
      </c>
      <c r="Z31" s="134"/>
      <c r="AA31" s="136"/>
      <c r="AB31" s="134"/>
    </row>
    <row r="32" spans="1:28" s="137" customFormat="1" ht="21" customHeight="1" x14ac:dyDescent="0.15">
      <c r="A32" s="23">
        <v>49012031</v>
      </c>
      <c r="B32" s="133" t="s">
        <v>320</v>
      </c>
      <c r="C32" s="26">
        <v>3</v>
      </c>
      <c r="D32" s="134" t="s">
        <v>249</v>
      </c>
      <c r="E32" s="135" t="s">
        <v>348</v>
      </c>
      <c r="F32" s="135" t="s">
        <v>316</v>
      </c>
      <c r="G32" s="135" t="str">
        <f t="shared" si="0"/>
        <v>[effect:tolerance, target:myself, turn:-1, count:-1, tolerance_effect:all, animation:enemy_tolerance]</v>
      </c>
      <c r="H32" s="135">
        <f t="shared" si="1"/>
        <v>9</v>
      </c>
      <c r="I32" s="135">
        <f t="shared" si="2"/>
        <v>18</v>
      </c>
      <c r="J32" s="135">
        <f t="shared" si="3"/>
        <v>27</v>
      </c>
      <c r="K32" s="135">
        <f t="shared" si="4"/>
        <v>33</v>
      </c>
      <c r="L32" s="135" t="str">
        <f>IFERROR(VLOOKUP(MID(G32,J32,K32-J32),[5]skilldef!$C:$D,2,FALSE),"-") &amp; " / " &amp; IFERROR(VLOOKUP(MID(G32,H32,I32-H32),[5]skilldef!$A:$B,2,FALSE),"-")</f>
        <v>自分自身に / 状態異常耐性</v>
      </c>
      <c r="M32" s="135" t="str">
        <f t="shared" si="5"/>
        <v>[effect:hungup, target:unit_all, turn:3, rate:1, animation:hungup01]</v>
      </c>
      <c r="N32" s="133" t="str">
        <f>IFERROR(LEFT(M32,FIND("],",M32)+#REF!),M32)</f>
        <v>[effect:hungup, target:unit_all, turn:3, rate:1, animation:hungup01]</v>
      </c>
      <c r="O32" s="135">
        <f t="shared" si="6"/>
        <v>9</v>
      </c>
      <c r="P32" s="135">
        <f t="shared" si="7"/>
        <v>15</v>
      </c>
      <c r="Q32" s="135">
        <f t="shared" si="8"/>
        <v>24</v>
      </c>
      <c r="R32" s="135">
        <f t="shared" si="9"/>
        <v>32</v>
      </c>
      <c r="S32" s="135" t="str">
        <f>IFERROR(VLOOKUP(MID(N32,Q32,R32-Q32),[5]skilldef!$C:$D,2,FALSE),"-") &amp; " / " &amp; IFERROR(VLOOKUP(MID(N32,O32,P32-O32),[5]skilldef!$A:$B,2,FALSE),"-")</f>
        <v>味方全体に / ハングアップ</v>
      </c>
      <c r="T32" s="133" t="str">
        <f t="shared" si="10"/>
        <v>none</v>
      </c>
      <c r="U32" s="135" t="e">
        <f t="shared" si="11"/>
        <v>#VALUE!</v>
      </c>
      <c r="V32" s="135">
        <f t="shared" si="12"/>
        <v>4</v>
      </c>
      <c r="W32" s="135" t="e">
        <f t="shared" si="13"/>
        <v>#VALUE!</v>
      </c>
      <c r="X32" s="135" t="e">
        <f t="shared" si="14"/>
        <v>#VALUE!</v>
      </c>
      <c r="Y32" s="135" t="str">
        <f>IFERROR(VLOOKUP(MID(T32,W32,X32-W32),[5]skilldef!$C:$D,2,FALSE),"-") &amp; " / " &amp; IFERROR(VLOOKUP(MID(T32,U32,V32-U32),[5]skilldef!$A:$B,2,FALSE),"-")</f>
        <v>- / -</v>
      </c>
      <c r="Z32" s="134"/>
      <c r="AA32" s="136"/>
      <c r="AB32" s="134"/>
    </row>
    <row r="33" spans="1:28" ht="21" customHeight="1" x14ac:dyDescent="0.15">
      <c r="A33" s="23">
        <v>49012032</v>
      </c>
      <c r="B33" s="23" t="s">
        <v>349</v>
      </c>
      <c r="C33" s="26">
        <v>3</v>
      </c>
      <c r="D33" s="26" t="s">
        <v>249</v>
      </c>
      <c r="E33" s="27" t="s">
        <v>306</v>
      </c>
      <c r="F33" s="27" t="s">
        <v>337</v>
      </c>
      <c r="G33" s="39" t="str">
        <f t="shared" si="0"/>
        <v>[effect:enemy_message, val1:1.2, val2:2.2]</v>
      </c>
      <c r="H33" s="39">
        <f t="shared" si="1"/>
        <v>9</v>
      </c>
      <c r="I33" s="39">
        <f t="shared" si="2"/>
        <v>22</v>
      </c>
      <c r="J33" s="39" t="e">
        <f t="shared" si="3"/>
        <v>#VALUE!</v>
      </c>
      <c r="K33" s="39">
        <f t="shared" si="4"/>
        <v>32</v>
      </c>
      <c r="L33" s="39" t="str">
        <f>IFERROR(VLOOKUP(MID(G33,J33,K33-J33),[5]skilldef!$C:$D,2,FALSE),"-") &amp; " / " &amp; IFERROR(VLOOKUP(MID(G33,H33,I33-H33),[5]skilldef!$A:$B,2,FALSE),"-")</f>
        <v>- / -</v>
      </c>
      <c r="M33" s="39" t="str">
        <f t="shared" si="5"/>
        <v>[effect:tolerance, target:myself, turn:-1, count:-1, tolerance_effect:all, animation:enemy_tolerance],[effect:degrade_unit, target:unit_all, turn:3, status:attack, val:0.5, calc:mul]</v>
      </c>
      <c r="N33" s="24" t="str">
        <f t="shared" ref="N33:N38" si="32">IFERROR(LEFT(M33,FIND("],",M33)+S40),M33)</f>
        <v>[effect:tolerance, target:myself, turn:-1, count:-1, tolerance_effect:all, animation:enemy_tolerance],[effect:degrade_unit, target:unit_all, turn:3, status:attack, val:0.5, calc:mul]</v>
      </c>
      <c r="O33" s="39">
        <f t="shared" si="6"/>
        <v>9</v>
      </c>
      <c r="P33" s="39">
        <f t="shared" si="7"/>
        <v>18</v>
      </c>
      <c r="Q33" s="39">
        <f t="shared" si="8"/>
        <v>27</v>
      </c>
      <c r="R33" s="39">
        <f t="shared" si="9"/>
        <v>33</v>
      </c>
      <c r="S33" s="39" t="str">
        <f>IFERROR(VLOOKUP(MID(N33,Q33,R33-Q33),[5]skilldef!$C:$D,2,FALSE),"-") &amp; " / " &amp; IFERROR(VLOOKUP(MID(N33,O33,P33-O33),[5]skilldef!$A:$B,2,FALSE),"-")</f>
        <v>自分自身に / 状態異常耐性</v>
      </c>
      <c r="T33" s="24" t="str">
        <f t="shared" si="10"/>
        <v>[effect:degrade_unit, target:unit_all, turn:3, status:attack, val:0.5, calc:mul]</v>
      </c>
      <c r="U33" s="39">
        <f t="shared" si="11"/>
        <v>9</v>
      </c>
      <c r="V33" s="39">
        <f t="shared" si="12"/>
        <v>21</v>
      </c>
      <c r="W33" s="39">
        <f t="shared" si="13"/>
        <v>30</v>
      </c>
      <c r="X33" s="39">
        <f t="shared" si="14"/>
        <v>38</v>
      </c>
      <c r="Y33" s="39" t="str">
        <f>IFERROR(VLOOKUP(MID(T33,W33,X33-W33),[5]skilldef!$C:$D,2,FALSE),"-") &amp; " / " &amp; IFERROR(VLOOKUP(MID(T33,U33,V33-U33),[5]skilldef!$A:$B,2,FALSE),"-")</f>
        <v>味方全体に / ステータスDOWN</v>
      </c>
      <c r="Z33" s="26"/>
      <c r="AA33" s="28"/>
      <c r="AB33" s="26"/>
    </row>
    <row r="34" spans="1:28" ht="21" customHeight="1" x14ac:dyDescent="0.15">
      <c r="A34" s="23">
        <v>49012033</v>
      </c>
      <c r="B34" s="23" t="s">
        <v>291</v>
      </c>
      <c r="C34" s="26">
        <v>3</v>
      </c>
      <c r="D34" s="26" t="s">
        <v>249</v>
      </c>
      <c r="E34" s="27" t="s">
        <v>292</v>
      </c>
      <c r="F34" s="27" t="s">
        <v>323</v>
      </c>
      <c r="G34" s="39" t="str">
        <f t="shared" si="0"/>
        <v>[effect:break_attack_fix, val:200, lowest_val:7000, count:-1, block:block_heart, target:unit_one]</v>
      </c>
      <c r="H34" s="39">
        <f t="shared" si="1"/>
        <v>9</v>
      </c>
      <c r="I34" s="39">
        <f t="shared" si="2"/>
        <v>25</v>
      </c>
      <c r="J34" s="39">
        <f t="shared" si="3"/>
        <v>89</v>
      </c>
      <c r="K34" s="39">
        <f t="shared" si="4"/>
        <v>34</v>
      </c>
      <c r="L34" s="39" t="str">
        <f>IFERROR(VLOOKUP(MID(G34,J34,K34-J34),[5]skilldef!$C:$D,2,FALSE),"-") &amp; " / " &amp; IFERROR(VLOOKUP(MID(G34,H34,I34-H34),[5]skilldef!$A:$B,2,FALSE),"-")</f>
        <v>- / -</v>
      </c>
      <c r="M34" s="39" t="str">
        <f t="shared" si="5"/>
        <v>none</v>
      </c>
      <c r="N34" s="24" t="str">
        <f t="shared" si="32"/>
        <v>none</v>
      </c>
      <c r="O34" s="39" t="e">
        <f t="shared" si="6"/>
        <v>#VALUE!</v>
      </c>
      <c r="P34" s="39">
        <f t="shared" si="7"/>
        <v>4</v>
      </c>
      <c r="Q34" s="39" t="e">
        <f t="shared" si="8"/>
        <v>#VALUE!</v>
      </c>
      <c r="R34" s="39" t="e">
        <f t="shared" si="9"/>
        <v>#VALUE!</v>
      </c>
      <c r="S34" s="39" t="str">
        <f>IFERROR(VLOOKUP(MID(N34,Q34,R34-Q34),[5]skilldef!$C:$D,2,FALSE),"-") &amp; " / " &amp; IFERROR(VLOOKUP(MID(N34,O34,P34-O34),[5]skilldef!$A:$B,2,FALSE),"-")</f>
        <v>- / -</v>
      </c>
      <c r="T34" s="24" t="str">
        <f t="shared" si="10"/>
        <v>none</v>
      </c>
      <c r="U34" s="39" t="e">
        <f t="shared" si="11"/>
        <v>#VALUE!</v>
      </c>
      <c r="V34" s="39">
        <f t="shared" si="12"/>
        <v>4</v>
      </c>
      <c r="W34" s="39" t="e">
        <f t="shared" si="13"/>
        <v>#VALUE!</v>
      </c>
      <c r="X34" s="39" t="e">
        <f t="shared" si="14"/>
        <v>#VALUE!</v>
      </c>
      <c r="Y34" s="39" t="str">
        <f>IFERROR(VLOOKUP(MID(T34,W34,X34-W34),[5]skilldef!$C:$D,2,FALSE),"-") &amp; " / " &amp; IFERROR(VLOOKUP(MID(T34,U34,V34-U34),[5]skilldef!$A:$B,2,FALSE),"-")</f>
        <v>- / -</v>
      </c>
      <c r="Z34" s="26"/>
      <c r="AA34" s="28"/>
      <c r="AB34" s="26"/>
    </row>
    <row r="35" spans="1:28" ht="21" customHeight="1" x14ac:dyDescent="0.15">
      <c r="A35" s="23">
        <v>49012034</v>
      </c>
      <c r="B35" s="23" t="s">
        <v>280</v>
      </c>
      <c r="C35" s="26">
        <v>3</v>
      </c>
      <c r="D35" s="26" t="s">
        <v>249</v>
      </c>
      <c r="E35" s="27" t="s">
        <v>293</v>
      </c>
      <c r="F35" s="27" t="s">
        <v>314</v>
      </c>
      <c r="G35" s="39" t="str">
        <f t="shared" si="0"/>
        <v>[effect:critical, val:1.5]</v>
      </c>
      <c r="H35" s="39">
        <f t="shared" si="1"/>
        <v>9</v>
      </c>
      <c r="I35" s="39">
        <f t="shared" si="2"/>
        <v>17</v>
      </c>
      <c r="J35" s="39" t="e">
        <f t="shared" si="3"/>
        <v>#VALUE!</v>
      </c>
      <c r="K35" s="39" t="e">
        <f t="shared" si="4"/>
        <v>#VALUE!</v>
      </c>
      <c r="L35" s="39" t="str">
        <f>IFERROR(VLOOKUP(MID(G35,J35,K35-J35),[5]skilldef!$C:$D,2,FALSE),"-") &amp; " / " &amp; IFERROR(VLOOKUP(MID(G35,H35,I35-H35),[5]skilldef!$A:$B,2,FALSE),"-")</f>
        <v>- / 大攻撃</v>
      </c>
      <c r="M35" s="39" t="str">
        <f t="shared" si="5"/>
        <v>none</v>
      </c>
      <c r="N35" s="24" t="str">
        <f t="shared" si="32"/>
        <v>none</v>
      </c>
      <c r="O35" s="39" t="e">
        <f t="shared" si="6"/>
        <v>#VALUE!</v>
      </c>
      <c r="P35" s="39">
        <f t="shared" si="7"/>
        <v>4</v>
      </c>
      <c r="Q35" s="39" t="e">
        <f t="shared" si="8"/>
        <v>#VALUE!</v>
      </c>
      <c r="R35" s="39" t="e">
        <f t="shared" si="9"/>
        <v>#VALUE!</v>
      </c>
      <c r="S35" s="39" t="str">
        <f>IFERROR(VLOOKUP(MID(N35,Q35,R35-Q35),[5]skilldef!$C:$D,2,FALSE),"-") &amp; " / " &amp; IFERROR(VLOOKUP(MID(N35,O35,P35-O35),[5]skilldef!$A:$B,2,FALSE),"-")</f>
        <v>- / -</v>
      </c>
      <c r="T35" s="24" t="str">
        <f t="shared" si="10"/>
        <v>none</v>
      </c>
      <c r="U35" s="39" t="e">
        <f t="shared" si="11"/>
        <v>#VALUE!</v>
      </c>
      <c r="V35" s="39">
        <f t="shared" si="12"/>
        <v>4</v>
      </c>
      <c r="W35" s="39" t="e">
        <f t="shared" si="13"/>
        <v>#VALUE!</v>
      </c>
      <c r="X35" s="39" t="e">
        <f t="shared" si="14"/>
        <v>#VALUE!</v>
      </c>
      <c r="Y35" s="39" t="str">
        <f>IFERROR(VLOOKUP(MID(T35,W35,X35-W35),[5]skilldef!$C:$D,2,FALSE),"-") &amp; " / " &amp; IFERROR(VLOOKUP(MID(T35,U35,V35-U35),[5]skilldef!$A:$B,2,FALSE),"-")</f>
        <v>- / -</v>
      </c>
      <c r="Z35" s="26"/>
      <c r="AA35" s="28"/>
      <c r="AB35" s="26"/>
    </row>
    <row r="36" spans="1:28" ht="21" customHeight="1" x14ac:dyDescent="0.15">
      <c r="A36" s="23">
        <v>49012035</v>
      </c>
      <c r="B36" s="23" t="s">
        <v>351</v>
      </c>
      <c r="C36" s="26">
        <v>3</v>
      </c>
      <c r="D36" s="26" t="s">
        <v>249</v>
      </c>
      <c r="E36" s="27" t="s">
        <v>350</v>
      </c>
      <c r="F36" s="27" t="s">
        <v>322</v>
      </c>
      <c r="G36" s="39" t="str">
        <f t="shared" si="0"/>
        <v>[effect:enemy_message, val1:1.2, val2:1.8]</v>
      </c>
      <c r="H36" s="39">
        <f t="shared" si="1"/>
        <v>9</v>
      </c>
      <c r="I36" s="39">
        <f t="shared" si="2"/>
        <v>22</v>
      </c>
      <c r="J36" s="39" t="e">
        <f t="shared" si="3"/>
        <v>#VALUE!</v>
      </c>
      <c r="K36" s="39">
        <f t="shared" si="4"/>
        <v>32</v>
      </c>
      <c r="L36" s="39" t="str">
        <f>IFERROR(VLOOKUP(MID(G36,J36,K36-J36),[5]skilldef!$C:$D,2,FALSE),"-") &amp; " / " &amp; IFERROR(VLOOKUP(MID(G36,H36,I36-H36),[5]skilldef!$A:$B,2,FALSE),"-")</f>
        <v>- / -</v>
      </c>
      <c r="M36" s="39" t="str">
        <f t="shared" si="5"/>
        <v>[effect:critical, val:1.5],[effect:panel_freeze, target:block_heart, count:-1, break_count:1]</v>
      </c>
      <c r="N36" s="24" t="str">
        <f t="shared" si="32"/>
        <v>[effect:critical, val:1.5],[effect:panel_freeze, target:block_heart, count:-1, break_count:1]</v>
      </c>
      <c r="O36" s="39">
        <f t="shared" si="6"/>
        <v>9</v>
      </c>
      <c r="P36" s="39">
        <f t="shared" si="7"/>
        <v>17</v>
      </c>
      <c r="Q36" s="39">
        <f t="shared" si="8"/>
        <v>57</v>
      </c>
      <c r="R36" s="39">
        <f t="shared" si="9"/>
        <v>27</v>
      </c>
      <c r="S36" s="39" t="str">
        <f>IFERROR(VLOOKUP(MID(N36,Q36,R36-Q36),[5]skilldef!$C:$D,2,FALSE),"-") &amp; " / " &amp; IFERROR(VLOOKUP(MID(N36,O36,P36-O36),[5]skilldef!$A:$B,2,FALSE),"-")</f>
        <v>- / 大攻撃</v>
      </c>
      <c r="T36" s="24" t="str">
        <f t="shared" si="10"/>
        <v>[effect:panel_freeze, target:block_heart, count:-1, break_count:1]</v>
      </c>
      <c r="U36" s="39">
        <f t="shared" si="11"/>
        <v>9</v>
      </c>
      <c r="V36" s="39">
        <f t="shared" si="12"/>
        <v>21</v>
      </c>
      <c r="W36" s="39">
        <f t="shared" si="13"/>
        <v>30</v>
      </c>
      <c r="X36" s="39">
        <f t="shared" si="14"/>
        <v>41</v>
      </c>
      <c r="Y36" s="39" t="str">
        <f>IFERROR(VLOOKUP(MID(T36,W36,X36-W36),[5]skilldef!$C:$D,2,FALSE),"-") &amp; " / " &amp; IFERROR(VLOOKUP(MID(T36,U36,V36-U36),[5]skilldef!$A:$B,2,FALSE),"-")</f>
        <v>ハートパネルを / -</v>
      </c>
      <c r="Z36" s="26"/>
      <c r="AA36" s="28"/>
      <c r="AB36" s="26"/>
    </row>
    <row r="37" spans="1:28" ht="21" customHeight="1" x14ac:dyDescent="0.15">
      <c r="A37" s="23">
        <v>49012036</v>
      </c>
      <c r="B37" s="23" t="s">
        <v>250</v>
      </c>
      <c r="C37" s="26">
        <v>3</v>
      </c>
      <c r="D37" s="26" t="s">
        <v>249</v>
      </c>
      <c r="E37" s="27" t="s">
        <v>294</v>
      </c>
      <c r="F37" s="27" t="s">
        <v>310</v>
      </c>
      <c r="G37" s="39" t="str">
        <f t="shared" si="0"/>
        <v>[effect:rush, count:3, val:0.4]</v>
      </c>
      <c r="H37" s="39">
        <f t="shared" si="1"/>
        <v>9</v>
      </c>
      <c r="I37" s="39">
        <f t="shared" si="2"/>
        <v>13</v>
      </c>
      <c r="J37" s="39" t="e">
        <f t="shared" si="3"/>
        <v>#VALUE!</v>
      </c>
      <c r="K37" s="39">
        <f t="shared" si="4"/>
        <v>22</v>
      </c>
      <c r="L37" s="39" t="str">
        <f>IFERROR(VLOOKUP(MID(G37,J37,K37-J37),[5]skilldef!$C:$D,2,FALSE),"-") &amp; " / " &amp; IFERROR(VLOOKUP(MID(G37,H37,I37-H37),[5]skilldef!$A:$B,2,FALSE),"-")</f>
        <v>- / 連続攻撃</v>
      </c>
      <c r="M37" s="39" t="str">
        <f t="shared" si="5"/>
        <v>none</v>
      </c>
      <c r="N37" s="24" t="str">
        <f t="shared" si="32"/>
        <v>none</v>
      </c>
      <c r="O37" s="39" t="e">
        <f t="shared" si="6"/>
        <v>#VALUE!</v>
      </c>
      <c r="P37" s="39">
        <f t="shared" si="7"/>
        <v>4</v>
      </c>
      <c r="Q37" s="39" t="e">
        <f t="shared" si="8"/>
        <v>#VALUE!</v>
      </c>
      <c r="R37" s="39" t="e">
        <f t="shared" si="9"/>
        <v>#VALUE!</v>
      </c>
      <c r="S37" s="39" t="str">
        <f>IFERROR(VLOOKUP(MID(N37,Q37,R37-Q37),[5]skilldef!$C:$D,2,FALSE),"-") &amp; " / " &amp; IFERROR(VLOOKUP(MID(N37,O37,P37-O37),[5]skilldef!$A:$B,2,FALSE),"-")</f>
        <v>- / -</v>
      </c>
      <c r="T37" s="24" t="str">
        <f t="shared" si="10"/>
        <v>none</v>
      </c>
      <c r="U37" s="39" t="e">
        <f t="shared" si="11"/>
        <v>#VALUE!</v>
      </c>
      <c r="V37" s="39">
        <f t="shared" si="12"/>
        <v>4</v>
      </c>
      <c r="W37" s="39" t="e">
        <f t="shared" si="13"/>
        <v>#VALUE!</v>
      </c>
      <c r="X37" s="39" t="e">
        <f t="shared" si="14"/>
        <v>#VALUE!</v>
      </c>
      <c r="Y37" s="39" t="str">
        <f>IFERROR(VLOOKUP(MID(T37,W37,X37-W37),[5]skilldef!$C:$D,2,FALSE),"-") &amp; " / " &amp; IFERROR(VLOOKUP(MID(T37,U37,V37-U37),[5]skilldef!$A:$B,2,FALSE),"-")</f>
        <v>- / -</v>
      </c>
      <c r="Z37" s="26"/>
      <c r="AA37" s="28"/>
      <c r="AB37" s="26"/>
    </row>
    <row r="38" spans="1:28" ht="21" customHeight="1" x14ac:dyDescent="0.15">
      <c r="A38" s="23">
        <v>49012037</v>
      </c>
      <c r="B38" s="23" t="s">
        <v>340</v>
      </c>
      <c r="C38" s="26">
        <v>3</v>
      </c>
      <c r="D38" s="26" t="s">
        <v>249</v>
      </c>
      <c r="E38" s="27" t="s">
        <v>295</v>
      </c>
      <c r="F38" s="27" t="s">
        <v>338</v>
      </c>
      <c r="G38" s="39" t="str">
        <f t="shared" si="0"/>
        <v>[effect:damage_abnormal, target:unit_one, val:1.2, status:sleep, turn:1, rate:1, animation:sleep01]</v>
      </c>
      <c r="H38" s="39">
        <f t="shared" si="1"/>
        <v>9</v>
      </c>
      <c r="I38" s="39">
        <f t="shared" si="2"/>
        <v>24</v>
      </c>
      <c r="J38" s="39">
        <f t="shared" si="3"/>
        <v>33</v>
      </c>
      <c r="K38" s="39">
        <f t="shared" si="4"/>
        <v>41</v>
      </c>
      <c r="L38" s="39" t="str">
        <f>IFERROR(VLOOKUP(MID(G38,J38,K38-J38),[5]skilldef!$C:$D,2,FALSE),"-") &amp; " / " &amp; IFERROR(VLOOKUP(MID(G38,H38,I38-H38),[5]skilldef!$A:$B,2,FALSE),"-")</f>
        <v>味方単体に / -</v>
      </c>
      <c r="M38" s="39" t="str">
        <f t="shared" si="5"/>
        <v>none</v>
      </c>
      <c r="N38" s="24" t="str">
        <f t="shared" si="32"/>
        <v>none</v>
      </c>
      <c r="O38" s="39" t="e">
        <f t="shared" si="6"/>
        <v>#VALUE!</v>
      </c>
      <c r="P38" s="39">
        <f t="shared" si="7"/>
        <v>4</v>
      </c>
      <c r="Q38" s="39" t="e">
        <f t="shared" si="8"/>
        <v>#VALUE!</v>
      </c>
      <c r="R38" s="39" t="e">
        <f t="shared" si="9"/>
        <v>#VALUE!</v>
      </c>
      <c r="S38" s="39" t="str">
        <f>IFERROR(VLOOKUP(MID(N38,Q38,R38-Q38),[5]skilldef!$C:$D,2,FALSE),"-") &amp; " / " &amp; IFERROR(VLOOKUP(MID(N38,O38,P38-O38),[5]skilldef!$A:$B,2,FALSE),"-")</f>
        <v>- / -</v>
      </c>
      <c r="T38" s="24" t="str">
        <f t="shared" si="10"/>
        <v>none</v>
      </c>
      <c r="U38" s="39" t="e">
        <f t="shared" si="11"/>
        <v>#VALUE!</v>
      </c>
      <c r="V38" s="39">
        <f t="shared" si="12"/>
        <v>4</v>
      </c>
      <c r="W38" s="39" t="e">
        <f t="shared" si="13"/>
        <v>#VALUE!</v>
      </c>
      <c r="X38" s="39" t="e">
        <f t="shared" si="14"/>
        <v>#VALUE!</v>
      </c>
      <c r="Y38" s="39" t="str">
        <f>IFERROR(VLOOKUP(MID(T38,W38,X38-W38),[5]skilldef!$C:$D,2,FALSE),"-") &amp; " / " &amp; IFERROR(VLOOKUP(MID(T38,U38,V38-U38),[5]skilldef!$A:$B,2,FALSE),"-")</f>
        <v>- / -</v>
      </c>
      <c r="Z38" s="26"/>
      <c r="AA38" s="28"/>
      <c r="AB38" s="26"/>
    </row>
    <row r="39" spans="1:28" s="137" customFormat="1" ht="21" customHeight="1" x14ac:dyDescent="0.15">
      <c r="A39" s="23">
        <v>49012038</v>
      </c>
      <c r="B39" s="133" t="s">
        <v>345</v>
      </c>
      <c r="C39" s="26">
        <v>3</v>
      </c>
      <c r="D39" s="134" t="s">
        <v>249</v>
      </c>
      <c r="E39" s="135" t="s">
        <v>286</v>
      </c>
      <c r="F39" s="135" t="s">
        <v>316</v>
      </c>
      <c r="G39" s="135" t="str">
        <f t="shared" si="0"/>
        <v>[effect:enemy_message, val1:1.2, val2:1.8]</v>
      </c>
      <c r="H39" s="135">
        <f t="shared" si="1"/>
        <v>9</v>
      </c>
      <c r="I39" s="135">
        <f t="shared" si="2"/>
        <v>22</v>
      </c>
      <c r="J39" s="135" t="e">
        <f t="shared" si="3"/>
        <v>#VALUE!</v>
      </c>
      <c r="K39" s="135">
        <f t="shared" si="4"/>
        <v>32</v>
      </c>
      <c r="L39" s="135" t="str">
        <f>IFERROR(VLOOKUP(MID(G39,J39,K39-J39),[5]skilldef!$C:$D,2,FALSE),"-") &amp; " / " &amp; IFERROR(VLOOKUP(MID(G39,H39,I39-H39),[5]skilldef!$A:$B,2,FALSE),"-")</f>
        <v>- / -</v>
      </c>
      <c r="M39" s="135" t="str">
        <f t="shared" si="5"/>
        <v>[effect:tolerance, target:myself, turn:-1, count:-1, tolerance_effect:all, animation:enemy_tolerance],[effect:hungup, target:unit_all, turn:3, rate:1, animation:hungup01]</v>
      </c>
      <c r="N39" s="133" t="str">
        <f>IFERROR(LEFT(M39,FIND("],",M39)+#REF!),M39)</f>
        <v>[effect:tolerance, target:myself, turn:-1, count:-1, tolerance_effect:all, animation:enemy_tolerance],[effect:hungup, target:unit_all, turn:3, rate:1, animation:hungup01]</v>
      </c>
      <c r="O39" s="135">
        <f t="shared" si="6"/>
        <v>9</v>
      </c>
      <c r="P39" s="135">
        <f t="shared" si="7"/>
        <v>18</v>
      </c>
      <c r="Q39" s="135">
        <f t="shared" si="8"/>
        <v>27</v>
      </c>
      <c r="R39" s="135">
        <f t="shared" si="9"/>
        <v>33</v>
      </c>
      <c r="S39" s="135" t="str">
        <f>IFERROR(VLOOKUP(MID(N39,Q39,R39-Q39),[5]skilldef!$C:$D,2,FALSE),"-") &amp; " / " &amp; IFERROR(VLOOKUP(MID(N39,O39,P39-O39),[5]skilldef!$A:$B,2,FALSE),"-")</f>
        <v>自分自身に / 状態異常耐性</v>
      </c>
      <c r="T39" s="133" t="str">
        <f t="shared" si="10"/>
        <v>[effect:hungup, target:unit_all, turn:3, rate:1, animation:hungup01]</v>
      </c>
      <c r="U39" s="135">
        <f t="shared" si="11"/>
        <v>9</v>
      </c>
      <c r="V39" s="135">
        <f t="shared" si="12"/>
        <v>15</v>
      </c>
      <c r="W39" s="135">
        <f t="shared" si="13"/>
        <v>24</v>
      </c>
      <c r="X39" s="135">
        <f t="shared" si="14"/>
        <v>32</v>
      </c>
      <c r="Y39" s="135" t="str">
        <f>IFERROR(VLOOKUP(MID(T39,W39,X39-W39),[5]skilldef!$C:$D,2,FALSE),"-") &amp; " / " &amp; IFERROR(VLOOKUP(MID(T39,U39,V39-U39),[5]skilldef!$A:$B,2,FALSE),"-")</f>
        <v>味方全体に / ハングアップ</v>
      </c>
      <c r="Z39" s="134"/>
      <c r="AA39" s="136"/>
      <c r="AB39" s="134"/>
    </row>
    <row r="40" spans="1:28" ht="21" customHeight="1" x14ac:dyDescent="0.15">
      <c r="A40" s="23">
        <v>49012039</v>
      </c>
      <c r="B40" s="23" t="s">
        <v>321</v>
      </c>
      <c r="C40" s="26">
        <v>3</v>
      </c>
      <c r="D40" s="26" t="s">
        <v>249</v>
      </c>
      <c r="E40" s="27" t="s">
        <v>307</v>
      </c>
      <c r="F40" s="27" t="s">
        <v>324</v>
      </c>
      <c r="G40" s="39" t="str">
        <f t="shared" si="0"/>
        <v>[effect:tolerance, target:myself, turn:-1, count:-1, tolerance_effect:all, animation:enemy_tolerance]</v>
      </c>
      <c r="H40" s="39">
        <f t="shared" si="1"/>
        <v>9</v>
      </c>
      <c r="I40" s="39">
        <f t="shared" si="2"/>
        <v>18</v>
      </c>
      <c r="J40" s="39">
        <f t="shared" si="3"/>
        <v>27</v>
      </c>
      <c r="K40" s="39">
        <f t="shared" si="4"/>
        <v>33</v>
      </c>
      <c r="L40" s="39" t="str">
        <f>IFERROR(VLOOKUP(MID(G40,J40,K40-J40),[5]skilldef!$C:$D,2,FALSE),"-") &amp; " / " &amp; IFERROR(VLOOKUP(MID(G40,H40,I40-H40),[5]skilldef!$A:$B,2,FALSE),"-")</f>
        <v>自分自身に / 状態異常耐性</v>
      </c>
      <c r="M40" s="39" t="str">
        <f t="shared" si="5"/>
        <v>[effect:enhance_enemy, target:enemy_all, turn:-1, status:attack, val:0.3, calc:mul, animation:enemy_enhance_attack]</v>
      </c>
      <c r="N40" s="24" t="str">
        <f>IFERROR(LEFT(M40,FIND("],",M40)+#REF!),M40)</f>
        <v>[effect:enhance_enemy, target:enemy_all, turn:-1, status:attack, val:0.3, calc:mul, animation:enemy_enhance_attack]</v>
      </c>
      <c r="O40" s="39">
        <f t="shared" si="6"/>
        <v>9</v>
      </c>
      <c r="P40" s="39">
        <f t="shared" si="7"/>
        <v>22</v>
      </c>
      <c r="Q40" s="39">
        <f t="shared" si="8"/>
        <v>31</v>
      </c>
      <c r="R40" s="39">
        <f t="shared" si="9"/>
        <v>40</v>
      </c>
      <c r="S40" s="39" t="str">
        <f>IFERROR(VLOOKUP(MID(N40,Q40,R40-Q40),[5]skilldef!$C:$D,2,FALSE),"-") &amp; " / " &amp; IFERROR(VLOOKUP(MID(N40,O40,P40-O40),[5]skilldef!$A:$B,2,FALSE),"-")</f>
        <v>敵全体に / ステータス強化</v>
      </c>
      <c r="T40" s="24" t="str">
        <f t="shared" si="10"/>
        <v>none</v>
      </c>
      <c r="U40" s="39" t="e">
        <f t="shared" si="11"/>
        <v>#VALUE!</v>
      </c>
      <c r="V40" s="39">
        <f t="shared" si="12"/>
        <v>4</v>
      </c>
      <c r="W40" s="39" t="e">
        <f t="shared" si="13"/>
        <v>#VALUE!</v>
      </c>
      <c r="X40" s="39" t="e">
        <f t="shared" si="14"/>
        <v>#VALUE!</v>
      </c>
      <c r="Y40" s="39" t="str">
        <f>IFERROR(VLOOKUP(MID(T40,W40,X40-W40),[5]skilldef!$C:$D,2,FALSE),"-") &amp; " / " &amp; IFERROR(VLOOKUP(MID(T40,U40,V40-U40),[5]skilldef!$A:$B,2,FALSE),"-")</f>
        <v>- / -</v>
      </c>
      <c r="Z40" s="26"/>
      <c r="AA40" s="28"/>
      <c r="AB40" s="26"/>
    </row>
    <row r="41" spans="1:28" ht="21" customHeight="1" x14ac:dyDescent="0.15">
      <c r="A41" s="23">
        <v>49012040</v>
      </c>
      <c r="B41" s="23" t="s">
        <v>291</v>
      </c>
      <c r="C41" s="26">
        <v>3</v>
      </c>
      <c r="D41" s="26" t="s">
        <v>249</v>
      </c>
      <c r="E41" s="27" t="s">
        <v>296</v>
      </c>
      <c r="F41" s="27" t="s">
        <v>323</v>
      </c>
      <c r="G41" s="39" t="str">
        <f t="shared" si="0"/>
        <v>[effect:break_attack_fix, val:200, lowest_val:7000, count:-1, block:block_heart, target:unit_one]</v>
      </c>
      <c r="H41" s="39">
        <f t="shared" si="1"/>
        <v>9</v>
      </c>
      <c r="I41" s="39">
        <f t="shared" si="2"/>
        <v>25</v>
      </c>
      <c r="J41" s="39">
        <f t="shared" si="3"/>
        <v>89</v>
      </c>
      <c r="K41" s="39">
        <f t="shared" si="4"/>
        <v>34</v>
      </c>
      <c r="L41" s="39" t="str">
        <f>IFERROR(VLOOKUP(MID(G41,J41,K41-J41),[5]skilldef!$C:$D,2,FALSE),"-") &amp; " / " &amp; IFERROR(VLOOKUP(MID(G41,H41,I41-H41),[5]skilldef!$A:$B,2,FALSE),"-")</f>
        <v>- / -</v>
      </c>
      <c r="M41" s="39" t="str">
        <f t="shared" si="5"/>
        <v>none</v>
      </c>
      <c r="N41" s="24" t="str">
        <f>IFERROR(LEFT(M41,FIND("],",M41)+#REF!),M41)</f>
        <v>none</v>
      </c>
      <c r="O41" s="39" t="e">
        <f t="shared" si="6"/>
        <v>#VALUE!</v>
      </c>
      <c r="P41" s="39">
        <f t="shared" si="7"/>
        <v>4</v>
      </c>
      <c r="Q41" s="39" t="e">
        <f t="shared" si="8"/>
        <v>#VALUE!</v>
      </c>
      <c r="R41" s="39" t="e">
        <f t="shared" si="9"/>
        <v>#VALUE!</v>
      </c>
      <c r="S41" s="39" t="str">
        <f>IFERROR(VLOOKUP(MID(N41,Q41,R41-Q41),[5]skilldef!$C:$D,2,FALSE),"-") &amp; " / " &amp; IFERROR(VLOOKUP(MID(N41,O41,P41-O41),[5]skilldef!$A:$B,2,FALSE),"-")</f>
        <v>- / -</v>
      </c>
      <c r="T41" s="24" t="str">
        <f t="shared" si="10"/>
        <v>none</v>
      </c>
      <c r="U41" s="39" t="e">
        <f t="shared" si="11"/>
        <v>#VALUE!</v>
      </c>
      <c r="V41" s="39">
        <f t="shared" si="12"/>
        <v>4</v>
      </c>
      <c r="W41" s="39" t="e">
        <f t="shared" si="13"/>
        <v>#VALUE!</v>
      </c>
      <c r="X41" s="39" t="e">
        <f t="shared" si="14"/>
        <v>#VALUE!</v>
      </c>
      <c r="Y41" s="39" t="str">
        <f>IFERROR(VLOOKUP(MID(T41,W41,X41-W41),[5]skilldef!$C:$D,2,FALSE),"-") &amp; " / " &amp; IFERROR(VLOOKUP(MID(T41,U41,V41-U41),[5]skilldef!$A:$B,2,FALSE),"-")</f>
        <v>- / -</v>
      </c>
      <c r="Z41" s="26"/>
      <c r="AA41" s="28"/>
      <c r="AB41" s="26"/>
    </row>
    <row r="42" spans="1:28" ht="21" customHeight="1" x14ac:dyDescent="0.15">
      <c r="A42" s="23">
        <v>49012041</v>
      </c>
      <c r="B42" s="23" t="s">
        <v>297</v>
      </c>
      <c r="C42" s="26">
        <v>3</v>
      </c>
      <c r="D42" s="26" t="s">
        <v>249</v>
      </c>
      <c r="E42" s="27" t="s">
        <v>298</v>
      </c>
      <c r="F42" s="27" t="s">
        <v>322</v>
      </c>
      <c r="G42" s="39" t="str">
        <f t="shared" si="0"/>
        <v>[effect:critical, val:1.2]</v>
      </c>
      <c r="H42" s="39">
        <f t="shared" si="1"/>
        <v>9</v>
      </c>
      <c r="I42" s="39">
        <f t="shared" si="2"/>
        <v>17</v>
      </c>
      <c r="J42" s="39" t="e">
        <f t="shared" si="3"/>
        <v>#VALUE!</v>
      </c>
      <c r="K42" s="39" t="e">
        <f t="shared" si="4"/>
        <v>#VALUE!</v>
      </c>
      <c r="L42" s="39" t="str">
        <f>IFERROR(VLOOKUP(MID(G42,J42,K42-J42),[5]skilldef!$C:$D,2,FALSE),"-") &amp; " / " &amp; IFERROR(VLOOKUP(MID(G42,H42,I42-H42),[5]skilldef!$A:$B,2,FALSE),"-")</f>
        <v>- / 大攻撃</v>
      </c>
      <c r="M42" s="39" t="str">
        <f t="shared" si="5"/>
        <v>[effect:panel_freeze, target:block_heart, count:-1, break_count:1]</v>
      </c>
      <c r="N42" s="24" t="str">
        <f>IFERROR(LEFT(M42,FIND("],",M42)+#REF!),M42)</f>
        <v>[effect:panel_freeze, target:block_heart, count:-1, break_count:1]</v>
      </c>
      <c r="O42" s="39">
        <f t="shared" si="6"/>
        <v>9</v>
      </c>
      <c r="P42" s="39">
        <f t="shared" si="7"/>
        <v>21</v>
      </c>
      <c r="Q42" s="39">
        <f t="shared" si="8"/>
        <v>30</v>
      </c>
      <c r="R42" s="39">
        <f t="shared" si="9"/>
        <v>41</v>
      </c>
      <c r="S42" s="39" t="str">
        <f>IFERROR(VLOOKUP(MID(N42,Q42,R42-Q42),[5]skilldef!$C:$D,2,FALSE),"-") &amp; " / " &amp; IFERROR(VLOOKUP(MID(N42,O42,P42-O42),[5]skilldef!$A:$B,2,FALSE),"-")</f>
        <v>ハートパネルを / -</v>
      </c>
      <c r="T42" s="24" t="str">
        <f t="shared" si="10"/>
        <v>none</v>
      </c>
      <c r="U42" s="39" t="e">
        <f t="shared" si="11"/>
        <v>#VALUE!</v>
      </c>
      <c r="V42" s="39">
        <f t="shared" si="12"/>
        <v>4</v>
      </c>
      <c r="W42" s="39" t="e">
        <f t="shared" si="13"/>
        <v>#VALUE!</v>
      </c>
      <c r="X42" s="39" t="e">
        <f t="shared" si="14"/>
        <v>#VALUE!</v>
      </c>
      <c r="Y42" s="39" t="str">
        <f>IFERROR(VLOOKUP(MID(T42,W42,X42-W42),[5]skilldef!$C:$D,2,FALSE),"-") &amp; " / " &amp; IFERROR(VLOOKUP(MID(T42,U42,V42-U42),[5]skilldef!$A:$B,2,FALSE),"-")</f>
        <v>- / -</v>
      </c>
      <c r="Z42" s="26"/>
      <c r="AA42" s="28"/>
      <c r="AB42" s="26"/>
    </row>
    <row r="43" spans="1:28" ht="21" customHeight="1" x14ac:dyDescent="0.15">
      <c r="A43" s="23">
        <v>49012042</v>
      </c>
      <c r="B43" s="23" t="s">
        <v>250</v>
      </c>
      <c r="C43" s="26">
        <v>3</v>
      </c>
      <c r="D43" s="26" t="s">
        <v>249</v>
      </c>
      <c r="E43" s="27" t="s">
        <v>299</v>
      </c>
      <c r="F43" s="27" t="s">
        <v>310</v>
      </c>
      <c r="G43" s="39" t="str">
        <f t="shared" si="0"/>
        <v>[effect:rush, count:3, val:0.4]</v>
      </c>
      <c r="H43" s="39">
        <f t="shared" si="1"/>
        <v>9</v>
      </c>
      <c r="I43" s="39">
        <f t="shared" si="2"/>
        <v>13</v>
      </c>
      <c r="J43" s="39" t="e">
        <f t="shared" si="3"/>
        <v>#VALUE!</v>
      </c>
      <c r="K43" s="39">
        <f t="shared" si="4"/>
        <v>22</v>
      </c>
      <c r="L43" s="39" t="str">
        <f>IFERROR(VLOOKUP(MID(G43,J43,K43-J43),[5]skilldef!$C:$D,2,FALSE),"-") &amp; " / " &amp; IFERROR(VLOOKUP(MID(G43,H43,I43-H43),[5]skilldef!$A:$B,2,FALSE),"-")</f>
        <v>- / 連続攻撃</v>
      </c>
      <c r="M43" s="39" t="str">
        <f t="shared" si="5"/>
        <v>none</v>
      </c>
      <c r="N43" s="24" t="str">
        <f>IFERROR(LEFT(M43,FIND("],",M43)+#REF!),M43)</f>
        <v>none</v>
      </c>
      <c r="O43" s="39" t="e">
        <f t="shared" si="6"/>
        <v>#VALUE!</v>
      </c>
      <c r="P43" s="39">
        <f t="shared" si="7"/>
        <v>4</v>
      </c>
      <c r="Q43" s="39" t="e">
        <f t="shared" si="8"/>
        <v>#VALUE!</v>
      </c>
      <c r="R43" s="39" t="e">
        <f t="shared" si="9"/>
        <v>#VALUE!</v>
      </c>
      <c r="S43" s="39" t="str">
        <f>IFERROR(VLOOKUP(MID(N43,Q43,R43-Q43),[5]skilldef!$C:$D,2,FALSE),"-") &amp; " / " &amp; IFERROR(VLOOKUP(MID(N43,O43,P43-O43),[5]skilldef!$A:$B,2,FALSE),"-")</f>
        <v>- / -</v>
      </c>
      <c r="T43" s="24" t="str">
        <f t="shared" si="10"/>
        <v>none</v>
      </c>
      <c r="U43" s="39" t="e">
        <f t="shared" si="11"/>
        <v>#VALUE!</v>
      </c>
      <c r="V43" s="39">
        <f t="shared" si="12"/>
        <v>4</v>
      </c>
      <c r="W43" s="39" t="e">
        <f t="shared" si="13"/>
        <v>#VALUE!</v>
      </c>
      <c r="X43" s="39" t="e">
        <f t="shared" si="14"/>
        <v>#VALUE!</v>
      </c>
      <c r="Y43" s="39" t="str">
        <f>IFERROR(VLOOKUP(MID(T43,W43,X43-W43),[5]skilldef!$C:$D,2,FALSE),"-") &amp; " / " &amp; IFERROR(VLOOKUP(MID(T43,U43,V43-U43),[5]skilldef!$A:$B,2,FALSE),"-")</f>
        <v>- / -</v>
      </c>
      <c r="Z43" s="26"/>
      <c r="AA43" s="28"/>
      <c r="AB43" s="26"/>
    </row>
    <row r="44" spans="1:28" ht="21" customHeight="1" x14ac:dyDescent="0.15">
      <c r="A44" s="23">
        <v>49012043</v>
      </c>
      <c r="B44" s="23" t="s">
        <v>339</v>
      </c>
      <c r="C44" s="26">
        <v>3</v>
      </c>
      <c r="D44" s="26" t="s">
        <v>249</v>
      </c>
      <c r="E44" s="27" t="s">
        <v>300</v>
      </c>
      <c r="F44" s="27" t="s">
        <v>325</v>
      </c>
      <c r="G44" s="39" t="str">
        <f t="shared" si="0"/>
        <v>[effect:damage_abnormal, target:unit_one, val:1.2, status:hungup, turn:1, rate:1, animation:hungup01]</v>
      </c>
      <c r="H44" s="39">
        <f t="shared" si="1"/>
        <v>9</v>
      </c>
      <c r="I44" s="39">
        <f t="shared" si="2"/>
        <v>24</v>
      </c>
      <c r="J44" s="39">
        <f t="shared" si="3"/>
        <v>33</v>
      </c>
      <c r="K44" s="39">
        <f t="shared" si="4"/>
        <v>41</v>
      </c>
      <c r="L44" s="39" t="str">
        <f>IFERROR(VLOOKUP(MID(G44,J44,K44-J44),[5]skilldef!$C:$D,2,FALSE),"-") &amp; " / " &amp; IFERROR(VLOOKUP(MID(G44,H44,I44-H44),[5]skilldef!$A:$B,2,FALSE),"-")</f>
        <v>味方単体に / -</v>
      </c>
      <c r="M44" s="39" t="str">
        <f t="shared" si="5"/>
        <v>none</v>
      </c>
      <c r="N44" s="24" t="str">
        <f>IFERROR(LEFT(M44,FIND("],",M44)+S46),M44)</f>
        <v>none</v>
      </c>
      <c r="O44" s="39" t="e">
        <f t="shared" si="6"/>
        <v>#VALUE!</v>
      </c>
      <c r="P44" s="39">
        <f t="shared" si="7"/>
        <v>4</v>
      </c>
      <c r="Q44" s="39" t="e">
        <f t="shared" si="8"/>
        <v>#VALUE!</v>
      </c>
      <c r="R44" s="39" t="e">
        <f t="shared" si="9"/>
        <v>#VALUE!</v>
      </c>
      <c r="S44" s="39" t="str">
        <f>IFERROR(VLOOKUP(MID(N44,Q44,R44-Q44),[5]skilldef!$C:$D,2,FALSE),"-") &amp; " / " &amp; IFERROR(VLOOKUP(MID(N44,O44,P44-O44),[5]skilldef!$A:$B,2,FALSE),"-")</f>
        <v>- / -</v>
      </c>
      <c r="T44" s="24" t="str">
        <f t="shared" si="10"/>
        <v>none</v>
      </c>
      <c r="U44" s="39" t="e">
        <f t="shared" si="11"/>
        <v>#VALUE!</v>
      </c>
      <c r="V44" s="39">
        <f t="shared" si="12"/>
        <v>4</v>
      </c>
      <c r="W44" s="39" t="e">
        <f t="shared" si="13"/>
        <v>#VALUE!</v>
      </c>
      <c r="X44" s="39" t="e">
        <f t="shared" si="14"/>
        <v>#VALUE!</v>
      </c>
      <c r="Y44" s="39" t="str">
        <f>IFERROR(VLOOKUP(MID(T44,W44,X44-W44),[5]skilldef!$C:$D,2,FALSE),"-") &amp; " / " &amp; IFERROR(VLOOKUP(MID(T44,U44,V44-U44),[5]skilldef!$A:$B,2,FALSE),"-")</f>
        <v>- / -</v>
      </c>
      <c r="Z44" s="26"/>
      <c r="AA44" s="28"/>
      <c r="AB44" s="26"/>
    </row>
    <row r="45" spans="1:28" ht="21" customHeight="1" x14ac:dyDescent="0.15">
      <c r="A45" s="23">
        <v>49012044</v>
      </c>
      <c r="B45" s="23" t="s">
        <v>353</v>
      </c>
      <c r="C45" s="26">
        <v>3</v>
      </c>
      <c r="D45" s="26" t="s">
        <v>249</v>
      </c>
      <c r="E45" s="27" t="s">
        <v>352</v>
      </c>
      <c r="F45" s="27" t="s">
        <v>301</v>
      </c>
      <c r="G45" s="39" t="str">
        <f t="shared" si="0"/>
        <v>[effect:enemy_message, val1:1.2, val2:1.8]</v>
      </c>
      <c r="H45" s="39">
        <f t="shared" si="1"/>
        <v>9</v>
      </c>
      <c r="I45" s="39">
        <f t="shared" si="2"/>
        <v>22</v>
      </c>
      <c r="J45" s="39" t="e">
        <f t="shared" si="3"/>
        <v>#VALUE!</v>
      </c>
      <c r="K45" s="39">
        <f t="shared" si="4"/>
        <v>32</v>
      </c>
      <c r="L45" s="39" t="str">
        <f>IFERROR(VLOOKUP(MID(G45,J45,K45-J45),[5]skilldef!$C:$D,2,FALSE),"-") &amp; " / " &amp; IFERROR(VLOOKUP(MID(G45,H45,I45-H45),[5]skilldef!$A:$B,2,FALSE),"-")</f>
        <v>- / -</v>
      </c>
      <c r="M45" s="39" t="str">
        <f t="shared" si="5"/>
        <v>[effect:dis_heart, turn:-1, animation:enemy_dis_heart]</v>
      </c>
      <c r="N45" s="24" t="str">
        <f>IFERROR(LEFT(M45,FIND("],",M45)+S47),M45)</f>
        <v>[effect:dis_heart, turn:-1, animation:enemy_dis_heart]</v>
      </c>
      <c r="O45" s="39">
        <f t="shared" si="6"/>
        <v>9</v>
      </c>
      <c r="P45" s="39">
        <f t="shared" si="7"/>
        <v>18</v>
      </c>
      <c r="Q45" s="39" t="e">
        <f t="shared" si="8"/>
        <v>#VALUE!</v>
      </c>
      <c r="R45" s="39">
        <f t="shared" si="9"/>
        <v>27</v>
      </c>
      <c r="S45" s="39" t="str">
        <f>IFERROR(VLOOKUP(MID(N45,Q45,R45-Q45),[5]skilldef!$C:$D,2,FALSE),"-") &amp; " / " &amp; IFERROR(VLOOKUP(MID(N45,O45,P45-O45),[5]skilldef!$A:$B,2,FALSE),"-")</f>
        <v>- / ディスハート</v>
      </c>
      <c r="T45" s="24" t="str">
        <f t="shared" si="10"/>
        <v>none</v>
      </c>
      <c r="U45" s="39" t="e">
        <f t="shared" si="11"/>
        <v>#VALUE!</v>
      </c>
      <c r="V45" s="39">
        <f t="shared" si="12"/>
        <v>4</v>
      </c>
      <c r="W45" s="39" t="e">
        <f t="shared" si="13"/>
        <v>#VALUE!</v>
      </c>
      <c r="X45" s="39" t="e">
        <f t="shared" si="14"/>
        <v>#VALUE!</v>
      </c>
      <c r="Y45" s="39" t="str">
        <f>IFERROR(VLOOKUP(MID(T45,W45,X45-W45),[5]skilldef!$C:$D,2,FALSE),"-") &amp; " / " &amp; IFERROR(VLOOKUP(MID(T45,U45,V45-U45),[5]skilldef!$A:$B,2,FALSE),"-")</f>
        <v>- / -</v>
      </c>
      <c r="Z45" s="26"/>
      <c r="AA45" s="28"/>
      <c r="AB45" s="26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5"/>
  <sheetViews>
    <sheetView showGridLines="0" zoomScale="75" zoomScaleNormal="75" zoomScalePageLayoutView="75" workbookViewId="0">
      <pane ySplit="1" topLeftCell="A12" activePane="bottomLeft" state="frozenSplit"/>
      <selection pane="bottomLeft" activeCell="A45" sqref="A45"/>
    </sheetView>
  </sheetViews>
  <sheetFormatPr baseColWidth="12" defaultColWidth="12.83203125" defaultRowHeight="21" customHeight="1" x14ac:dyDescent="0.15"/>
  <cols>
    <col min="1" max="1" width="16.1640625" style="25" bestFit="1" customWidth="1"/>
    <col min="2" max="2" width="13.33203125" style="25" bestFit="1" customWidth="1"/>
    <col min="3" max="3" width="11.83203125" style="25" bestFit="1" customWidth="1"/>
    <col min="4" max="4" width="14.6640625" style="25" bestFit="1" customWidth="1"/>
    <col min="5" max="5" width="15.6640625" style="25" bestFit="1" customWidth="1"/>
    <col min="6" max="6" width="17" style="25" bestFit="1" customWidth="1"/>
    <col min="7" max="7" width="15.6640625" style="25" bestFit="1" customWidth="1"/>
    <col min="8" max="9" width="14.6640625" style="25" customWidth="1"/>
    <col min="10" max="10" width="14.6640625" style="25" bestFit="1" customWidth="1"/>
    <col min="11" max="11" width="22.83203125" style="15" bestFit="1" customWidth="1"/>
    <col min="12" max="16384" width="12.83203125" style="21"/>
  </cols>
  <sheetData>
    <row r="1" spans="1:11" ht="21" customHeight="1" x14ac:dyDescent="0.15">
      <c r="A1" s="18" t="s">
        <v>84</v>
      </c>
      <c r="B1" s="18" t="s">
        <v>85</v>
      </c>
      <c r="C1" s="18" t="s">
        <v>86</v>
      </c>
      <c r="D1" s="18" t="s">
        <v>87</v>
      </c>
      <c r="E1" s="18" t="s">
        <v>70</v>
      </c>
      <c r="F1" s="29" t="s">
        <v>71</v>
      </c>
      <c r="G1" s="29" t="s">
        <v>72</v>
      </c>
      <c r="H1" s="18" t="s">
        <v>73</v>
      </c>
      <c r="I1" s="18" t="s">
        <v>74</v>
      </c>
      <c r="J1" s="18" t="s">
        <v>75</v>
      </c>
      <c r="K1" s="30" t="s">
        <v>88</v>
      </c>
    </row>
    <row r="2" spans="1:11" ht="21" customHeight="1" x14ac:dyDescent="0.15">
      <c r="A2" s="23">
        <v>49012001</v>
      </c>
      <c r="B2" s="23">
        <v>0</v>
      </c>
      <c r="C2" s="23" t="s">
        <v>53</v>
      </c>
      <c r="D2" s="23">
        <v>20</v>
      </c>
      <c r="E2" s="23" t="s">
        <v>53</v>
      </c>
      <c r="F2" s="23" t="s">
        <v>53</v>
      </c>
      <c r="G2" s="23" t="s">
        <v>53</v>
      </c>
      <c r="H2" s="23" t="s">
        <v>53</v>
      </c>
      <c r="I2" s="23" t="s">
        <v>53</v>
      </c>
      <c r="J2" s="24">
        <f t="shared" ref="J2:J45" si="0">D2</f>
        <v>20</v>
      </c>
    </row>
    <row r="3" spans="1:11" ht="21" customHeight="1" x14ac:dyDescent="0.15">
      <c r="A3" s="23">
        <v>49012002</v>
      </c>
      <c r="B3" s="23">
        <v>1</v>
      </c>
      <c r="C3" s="23" t="s">
        <v>53</v>
      </c>
      <c r="D3" s="23">
        <v>100</v>
      </c>
      <c r="E3" s="23" t="s">
        <v>53</v>
      </c>
      <c r="F3" s="23" t="s">
        <v>53</v>
      </c>
      <c r="G3" s="23">
        <v>1</v>
      </c>
      <c r="H3" s="23" t="s">
        <v>53</v>
      </c>
      <c r="I3" s="23" t="s">
        <v>53</v>
      </c>
      <c r="J3" s="24">
        <f t="shared" si="0"/>
        <v>100</v>
      </c>
    </row>
    <row r="4" spans="1:11" ht="21" customHeight="1" x14ac:dyDescent="0.15">
      <c r="A4" s="23">
        <v>49012003</v>
      </c>
      <c r="B4" s="23">
        <v>0</v>
      </c>
      <c r="C4" s="23" t="s">
        <v>53</v>
      </c>
      <c r="D4" s="23">
        <v>20</v>
      </c>
      <c r="E4" s="23" t="s">
        <v>53</v>
      </c>
      <c r="F4" s="23" t="s">
        <v>53</v>
      </c>
      <c r="G4" s="23" t="s">
        <v>53</v>
      </c>
      <c r="H4" s="23" t="s">
        <v>53</v>
      </c>
      <c r="I4" s="23" t="s">
        <v>53</v>
      </c>
      <c r="J4" s="24">
        <f t="shared" si="0"/>
        <v>20</v>
      </c>
    </row>
    <row r="5" spans="1:11" ht="21" customHeight="1" x14ac:dyDescent="0.15">
      <c r="A5" s="23">
        <v>49012004</v>
      </c>
      <c r="B5" s="23">
        <v>1</v>
      </c>
      <c r="C5" s="23" t="s">
        <v>53</v>
      </c>
      <c r="D5" s="23">
        <v>100</v>
      </c>
      <c r="E5" s="23" t="s">
        <v>53</v>
      </c>
      <c r="F5" s="23" t="s">
        <v>53</v>
      </c>
      <c r="G5" s="23">
        <v>1</v>
      </c>
      <c r="H5" s="23" t="s">
        <v>53</v>
      </c>
      <c r="I5" s="23" t="s">
        <v>53</v>
      </c>
      <c r="J5" s="24">
        <f t="shared" si="0"/>
        <v>100</v>
      </c>
    </row>
    <row r="6" spans="1:11" ht="21" customHeight="1" x14ac:dyDescent="0.15">
      <c r="A6" s="23">
        <v>49012005</v>
      </c>
      <c r="B6" s="23">
        <v>0</v>
      </c>
      <c r="C6" s="23" t="s">
        <v>53</v>
      </c>
      <c r="D6" s="23">
        <v>100</v>
      </c>
      <c r="E6" s="23" t="s">
        <v>53</v>
      </c>
      <c r="F6" s="23" t="s">
        <v>53</v>
      </c>
      <c r="G6" s="23">
        <v>1</v>
      </c>
      <c r="H6" s="23" t="s">
        <v>53</v>
      </c>
      <c r="I6" s="23">
        <v>706</v>
      </c>
      <c r="J6" s="24">
        <f t="shared" si="0"/>
        <v>100</v>
      </c>
    </row>
    <row r="7" spans="1:11" ht="21" customHeight="1" x14ac:dyDescent="0.15">
      <c r="A7" s="23">
        <v>49012006</v>
      </c>
      <c r="B7" s="23">
        <v>1</v>
      </c>
      <c r="C7" s="23" t="s">
        <v>53</v>
      </c>
      <c r="D7" s="23">
        <v>100</v>
      </c>
      <c r="E7" s="23" t="s">
        <v>53</v>
      </c>
      <c r="F7" s="23" t="s">
        <v>53</v>
      </c>
      <c r="G7" s="23">
        <v>1</v>
      </c>
      <c r="H7" s="23" t="s">
        <v>53</v>
      </c>
      <c r="I7" s="23" t="s">
        <v>53</v>
      </c>
      <c r="J7" s="24">
        <f t="shared" si="0"/>
        <v>100</v>
      </c>
    </row>
    <row r="8" spans="1:11" ht="21" customHeight="1" x14ac:dyDescent="0.15">
      <c r="A8" s="23">
        <v>49012007</v>
      </c>
      <c r="B8" s="23">
        <v>0</v>
      </c>
      <c r="C8" s="23">
        <v>100</v>
      </c>
      <c r="D8" s="23">
        <v>100</v>
      </c>
      <c r="E8" s="23" t="s">
        <v>53</v>
      </c>
      <c r="F8" s="23" t="s">
        <v>53</v>
      </c>
      <c r="G8" s="23">
        <v>1</v>
      </c>
      <c r="H8" s="23" t="s">
        <v>53</v>
      </c>
      <c r="I8" s="23" t="s">
        <v>53</v>
      </c>
      <c r="J8" s="24">
        <f t="shared" si="0"/>
        <v>100</v>
      </c>
    </row>
    <row r="9" spans="1:11" ht="21" customHeight="1" x14ac:dyDescent="0.15">
      <c r="A9" s="23">
        <v>49012008</v>
      </c>
      <c r="B9" s="23">
        <v>0</v>
      </c>
      <c r="C9" s="23">
        <v>90</v>
      </c>
      <c r="D9" s="23">
        <v>100</v>
      </c>
      <c r="E9" s="23" t="s">
        <v>53</v>
      </c>
      <c r="F9" s="23" t="s">
        <v>53</v>
      </c>
      <c r="G9" s="23">
        <v>0</v>
      </c>
      <c r="H9" s="23" t="s">
        <v>53</v>
      </c>
      <c r="I9" s="23">
        <v>0</v>
      </c>
      <c r="J9" s="24">
        <f t="shared" si="0"/>
        <v>100</v>
      </c>
    </row>
    <row r="10" spans="1:11" ht="21" customHeight="1" x14ac:dyDescent="0.15">
      <c r="A10" s="23">
        <v>49012009</v>
      </c>
      <c r="B10" s="23">
        <v>1</v>
      </c>
      <c r="C10" s="23" t="s">
        <v>53</v>
      </c>
      <c r="D10" s="23">
        <v>100</v>
      </c>
      <c r="E10" s="23" t="s">
        <v>53</v>
      </c>
      <c r="F10" s="23" t="s">
        <v>53</v>
      </c>
      <c r="G10" s="23">
        <v>1</v>
      </c>
      <c r="H10" s="23" t="s">
        <v>53</v>
      </c>
      <c r="I10" s="23" t="s">
        <v>53</v>
      </c>
      <c r="J10" s="24">
        <f t="shared" si="0"/>
        <v>100</v>
      </c>
    </row>
    <row r="11" spans="1:11" ht="21" customHeight="1" x14ac:dyDescent="0.15">
      <c r="A11" s="23">
        <v>49012010</v>
      </c>
      <c r="B11" s="23">
        <v>0</v>
      </c>
      <c r="C11" s="23" t="s">
        <v>53</v>
      </c>
      <c r="D11" s="23">
        <v>20</v>
      </c>
      <c r="E11" s="23" t="s">
        <v>53</v>
      </c>
      <c r="F11" s="23" t="s">
        <v>53</v>
      </c>
      <c r="G11" s="23" t="s">
        <v>53</v>
      </c>
      <c r="H11" s="23" t="s">
        <v>53</v>
      </c>
      <c r="I11" s="23" t="s">
        <v>53</v>
      </c>
      <c r="J11" s="24">
        <f t="shared" si="0"/>
        <v>20</v>
      </c>
    </row>
    <row r="12" spans="1:11" ht="21" customHeight="1" x14ac:dyDescent="0.15">
      <c r="A12" s="23">
        <v>49012011</v>
      </c>
      <c r="B12" s="23">
        <v>0</v>
      </c>
      <c r="C12" s="23" t="s">
        <v>53</v>
      </c>
      <c r="D12" s="23">
        <v>100</v>
      </c>
      <c r="E12" s="23">
        <v>30</v>
      </c>
      <c r="F12" s="23" t="s">
        <v>53</v>
      </c>
      <c r="G12" s="23">
        <v>1</v>
      </c>
      <c r="H12" s="23" t="s">
        <v>53</v>
      </c>
      <c r="I12" s="23" t="s">
        <v>53</v>
      </c>
      <c r="J12" s="24">
        <f t="shared" si="0"/>
        <v>100</v>
      </c>
    </row>
    <row r="13" spans="1:11" ht="21" customHeight="1" x14ac:dyDescent="0.15">
      <c r="A13" s="23">
        <v>49012012</v>
      </c>
      <c r="B13" s="23">
        <v>1</v>
      </c>
      <c r="C13" s="23" t="s">
        <v>53</v>
      </c>
      <c r="D13" s="23">
        <v>100</v>
      </c>
      <c r="E13" s="23" t="s">
        <v>53</v>
      </c>
      <c r="F13" s="23" t="s">
        <v>53</v>
      </c>
      <c r="G13" s="23">
        <v>1</v>
      </c>
      <c r="H13" s="23" t="s">
        <v>53</v>
      </c>
      <c r="I13" s="23" t="s">
        <v>53</v>
      </c>
      <c r="J13" s="24">
        <f t="shared" si="0"/>
        <v>100</v>
      </c>
    </row>
    <row r="14" spans="1:11" ht="21" customHeight="1" x14ac:dyDescent="0.15">
      <c r="A14" s="23">
        <v>49012013</v>
      </c>
      <c r="B14" s="23">
        <v>0</v>
      </c>
      <c r="C14" s="23" t="s">
        <v>53</v>
      </c>
      <c r="D14" s="23">
        <v>100</v>
      </c>
      <c r="E14" s="23" t="s">
        <v>53</v>
      </c>
      <c r="F14" s="23" t="s">
        <v>53</v>
      </c>
      <c r="G14" s="23">
        <v>0</v>
      </c>
      <c r="H14" s="23" t="s">
        <v>53</v>
      </c>
      <c r="I14" s="23">
        <v>0</v>
      </c>
      <c r="J14" s="24">
        <f t="shared" si="0"/>
        <v>100</v>
      </c>
    </row>
    <row r="15" spans="1:11" ht="21" customHeight="1" x14ac:dyDescent="0.15">
      <c r="A15" s="23">
        <v>49012014</v>
      </c>
      <c r="B15" s="23">
        <v>0</v>
      </c>
      <c r="C15" s="23">
        <v>100</v>
      </c>
      <c r="D15" s="23">
        <v>100</v>
      </c>
      <c r="E15" s="23" t="s">
        <v>53</v>
      </c>
      <c r="F15" s="23" t="s">
        <v>53</v>
      </c>
      <c r="G15" s="23">
        <v>1</v>
      </c>
      <c r="H15" s="23" t="s">
        <v>53</v>
      </c>
      <c r="I15" s="23" t="s">
        <v>53</v>
      </c>
      <c r="J15" s="24">
        <f t="shared" si="0"/>
        <v>100</v>
      </c>
    </row>
    <row r="16" spans="1:11" ht="21" customHeight="1" x14ac:dyDescent="0.15">
      <c r="A16" s="23">
        <v>49012015</v>
      </c>
      <c r="B16" s="23">
        <v>0</v>
      </c>
      <c r="C16" s="23">
        <v>90</v>
      </c>
      <c r="D16" s="23">
        <v>100</v>
      </c>
      <c r="E16" s="23" t="s">
        <v>53</v>
      </c>
      <c r="F16" s="23" t="s">
        <v>53</v>
      </c>
      <c r="G16" s="23">
        <v>1</v>
      </c>
      <c r="H16" s="23" t="s">
        <v>53</v>
      </c>
      <c r="I16" s="23" t="s">
        <v>53</v>
      </c>
      <c r="J16" s="24">
        <f t="shared" si="0"/>
        <v>100</v>
      </c>
    </row>
    <row r="17" spans="1:10" ht="21" customHeight="1" x14ac:dyDescent="0.15">
      <c r="A17" s="23">
        <v>49012016</v>
      </c>
      <c r="B17" s="23">
        <v>1</v>
      </c>
      <c r="C17" s="23" t="s">
        <v>53</v>
      </c>
      <c r="D17" s="23">
        <v>100</v>
      </c>
      <c r="E17" s="23" t="s">
        <v>53</v>
      </c>
      <c r="F17" s="23" t="s">
        <v>53</v>
      </c>
      <c r="G17" s="23">
        <v>1</v>
      </c>
      <c r="H17" s="23" t="s">
        <v>53</v>
      </c>
      <c r="I17" s="23" t="s">
        <v>53</v>
      </c>
      <c r="J17" s="24">
        <f t="shared" si="0"/>
        <v>100</v>
      </c>
    </row>
    <row r="18" spans="1:10" ht="21" customHeight="1" x14ac:dyDescent="0.15">
      <c r="A18" s="23">
        <v>49012017</v>
      </c>
      <c r="B18" s="23">
        <v>0</v>
      </c>
      <c r="C18" s="23" t="s">
        <v>53</v>
      </c>
      <c r="D18" s="23">
        <v>20</v>
      </c>
      <c r="E18" s="23" t="s">
        <v>53</v>
      </c>
      <c r="F18" s="23" t="s">
        <v>53</v>
      </c>
      <c r="G18" s="23" t="s">
        <v>53</v>
      </c>
      <c r="H18" s="23" t="s">
        <v>53</v>
      </c>
      <c r="I18" s="23" t="s">
        <v>53</v>
      </c>
      <c r="J18" s="24">
        <f t="shared" si="0"/>
        <v>20</v>
      </c>
    </row>
    <row r="19" spans="1:10" ht="21" customHeight="1" x14ac:dyDescent="0.15">
      <c r="A19" s="23">
        <v>49012018</v>
      </c>
      <c r="B19" s="23">
        <v>0</v>
      </c>
      <c r="C19" s="23" t="s">
        <v>53</v>
      </c>
      <c r="D19" s="23">
        <v>20</v>
      </c>
      <c r="E19" s="23" t="s">
        <v>53</v>
      </c>
      <c r="F19" s="23" t="s">
        <v>53</v>
      </c>
      <c r="G19" s="23" t="s">
        <v>53</v>
      </c>
      <c r="H19" s="23" t="s">
        <v>53</v>
      </c>
      <c r="I19" s="23" t="s">
        <v>53</v>
      </c>
      <c r="J19" s="24">
        <f t="shared" si="0"/>
        <v>20</v>
      </c>
    </row>
    <row r="20" spans="1:10" ht="21" customHeight="1" x14ac:dyDescent="0.15">
      <c r="A20" s="23">
        <v>49012019</v>
      </c>
      <c r="B20" s="23">
        <v>0</v>
      </c>
      <c r="C20" s="23" t="s">
        <v>53</v>
      </c>
      <c r="D20" s="23">
        <v>100</v>
      </c>
      <c r="E20" s="23" t="s">
        <v>53</v>
      </c>
      <c r="F20" s="23" t="s">
        <v>53</v>
      </c>
      <c r="G20" s="23">
        <v>0</v>
      </c>
      <c r="H20" s="23" t="s">
        <v>53</v>
      </c>
      <c r="I20" s="23">
        <v>0</v>
      </c>
      <c r="J20" s="24">
        <f t="shared" si="0"/>
        <v>100</v>
      </c>
    </row>
    <row r="21" spans="1:10" ht="21" customHeight="1" x14ac:dyDescent="0.15">
      <c r="A21" s="23">
        <v>49012020</v>
      </c>
      <c r="B21" s="23">
        <v>0</v>
      </c>
      <c r="C21" s="23" t="s">
        <v>53</v>
      </c>
      <c r="D21" s="23">
        <v>100</v>
      </c>
      <c r="E21" s="23">
        <v>50</v>
      </c>
      <c r="F21" s="23" t="s">
        <v>53</v>
      </c>
      <c r="G21" s="23" t="s">
        <v>53</v>
      </c>
      <c r="H21" s="23" t="s">
        <v>53</v>
      </c>
      <c r="I21" s="23" t="s">
        <v>53</v>
      </c>
      <c r="J21" s="24">
        <f t="shared" si="0"/>
        <v>100</v>
      </c>
    </row>
    <row r="22" spans="1:10" ht="21" customHeight="1" x14ac:dyDescent="0.15">
      <c r="A22" s="23">
        <v>49012021</v>
      </c>
      <c r="B22" s="23">
        <v>1</v>
      </c>
      <c r="C22" s="133">
        <v>100</v>
      </c>
      <c r="D22" s="23">
        <v>100</v>
      </c>
      <c r="E22" s="23" t="s">
        <v>53</v>
      </c>
      <c r="F22" s="23" t="s">
        <v>53</v>
      </c>
      <c r="G22" s="23">
        <v>1</v>
      </c>
      <c r="H22" s="23" t="s">
        <v>53</v>
      </c>
      <c r="I22" s="133">
        <v>712</v>
      </c>
      <c r="J22" s="24">
        <f t="shared" si="0"/>
        <v>100</v>
      </c>
    </row>
    <row r="23" spans="1:10" ht="21" customHeight="1" x14ac:dyDescent="0.15">
      <c r="A23" s="23">
        <v>49012022</v>
      </c>
      <c r="B23" s="23">
        <v>0</v>
      </c>
      <c r="C23" s="23" t="s">
        <v>53</v>
      </c>
      <c r="D23" s="23">
        <v>100</v>
      </c>
      <c r="E23" s="23" t="s">
        <v>53</v>
      </c>
      <c r="F23" s="23" t="s">
        <v>53</v>
      </c>
      <c r="G23" s="23" t="s">
        <v>53</v>
      </c>
      <c r="H23" s="23">
        <v>3</v>
      </c>
      <c r="I23" s="23" t="s">
        <v>53</v>
      </c>
      <c r="J23" s="24">
        <f t="shared" si="0"/>
        <v>100</v>
      </c>
    </row>
    <row r="24" spans="1:10" ht="21" customHeight="1" x14ac:dyDescent="0.15">
      <c r="A24" s="23">
        <v>49012023</v>
      </c>
      <c r="B24" s="23">
        <v>0</v>
      </c>
      <c r="C24" s="23" t="s">
        <v>53</v>
      </c>
      <c r="D24" s="23">
        <v>20</v>
      </c>
      <c r="E24" s="23" t="s">
        <v>53</v>
      </c>
      <c r="F24" s="23" t="s">
        <v>53</v>
      </c>
      <c r="G24" s="23" t="s">
        <v>53</v>
      </c>
      <c r="H24" s="23" t="s">
        <v>53</v>
      </c>
      <c r="I24" s="23" t="s">
        <v>53</v>
      </c>
      <c r="J24" s="24">
        <f t="shared" si="0"/>
        <v>20</v>
      </c>
    </row>
    <row r="25" spans="1:10" ht="21" customHeight="1" x14ac:dyDescent="0.15">
      <c r="A25" s="23">
        <v>49012024</v>
      </c>
      <c r="B25" s="23">
        <v>1</v>
      </c>
      <c r="C25" s="133">
        <v>90</v>
      </c>
      <c r="D25" s="23">
        <v>100</v>
      </c>
      <c r="E25" s="23" t="s">
        <v>53</v>
      </c>
      <c r="F25" s="23" t="s">
        <v>53</v>
      </c>
      <c r="G25" s="23">
        <v>1</v>
      </c>
      <c r="H25" s="23" t="s">
        <v>53</v>
      </c>
      <c r="I25" s="133">
        <v>693</v>
      </c>
      <c r="J25" s="24">
        <f t="shared" si="0"/>
        <v>100</v>
      </c>
    </row>
    <row r="26" spans="1:10" ht="21" customHeight="1" x14ac:dyDescent="0.15">
      <c r="A26" s="23">
        <v>49012025</v>
      </c>
      <c r="B26" s="23">
        <v>1</v>
      </c>
      <c r="C26" s="133">
        <v>90</v>
      </c>
      <c r="D26" s="23">
        <v>100</v>
      </c>
      <c r="E26" s="23" t="s">
        <v>53</v>
      </c>
      <c r="F26" s="23" t="s">
        <v>53</v>
      </c>
      <c r="G26" s="23">
        <v>1</v>
      </c>
      <c r="H26" s="23" t="s">
        <v>53</v>
      </c>
      <c r="I26" s="133">
        <v>694</v>
      </c>
      <c r="J26" s="24">
        <f t="shared" si="0"/>
        <v>100</v>
      </c>
    </row>
    <row r="27" spans="1:10" ht="21" customHeight="1" x14ac:dyDescent="0.15">
      <c r="A27" s="23">
        <v>49012026</v>
      </c>
      <c r="B27" s="23">
        <v>1</v>
      </c>
      <c r="C27" s="133">
        <v>80</v>
      </c>
      <c r="D27" s="23">
        <v>100</v>
      </c>
      <c r="E27" s="23" t="s">
        <v>53</v>
      </c>
      <c r="F27" s="23" t="s">
        <v>53</v>
      </c>
      <c r="G27" s="23">
        <v>1</v>
      </c>
      <c r="H27" s="23" t="s">
        <v>53</v>
      </c>
      <c r="I27" s="133">
        <v>695</v>
      </c>
      <c r="J27" s="24">
        <f t="shared" ref="J27" si="1">D27</f>
        <v>100</v>
      </c>
    </row>
    <row r="28" spans="1:10" ht="21" customHeight="1" x14ac:dyDescent="0.15">
      <c r="A28" s="23">
        <v>49012027</v>
      </c>
      <c r="B28" s="23">
        <v>1</v>
      </c>
      <c r="C28" s="133">
        <v>80</v>
      </c>
      <c r="D28" s="23">
        <v>100</v>
      </c>
      <c r="E28" s="23" t="s">
        <v>53</v>
      </c>
      <c r="F28" s="23" t="s">
        <v>53</v>
      </c>
      <c r="G28" s="23">
        <v>1</v>
      </c>
      <c r="H28" s="23" t="s">
        <v>53</v>
      </c>
      <c r="I28" s="133">
        <v>696</v>
      </c>
      <c r="J28" s="24">
        <f t="shared" si="0"/>
        <v>100</v>
      </c>
    </row>
    <row r="29" spans="1:10" ht="21" customHeight="1" x14ac:dyDescent="0.15">
      <c r="A29" s="23">
        <v>49012028</v>
      </c>
      <c r="B29" s="23">
        <v>1</v>
      </c>
      <c r="C29" s="133">
        <v>80</v>
      </c>
      <c r="D29" s="23">
        <v>100</v>
      </c>
      <c r="E29" s="23" t="s">
        <v>53</v>
      </c>
      <c r="F29" s="23" t="s">
        <v>53</v>
      </c>
      <c r="G29" s="23">
        <v>1</v>
      </c>
      <c r="H29" s="23" t="s">
        <v>53</v>
      </c>
      <c r="I29" s="133">
        <v>697</v>
      </c>
      <c r="J29" s="24">
        <f t="shared" si="0"/>
        <v>100</v>
      </c>
    </row>
    <row r="30" spans="1:10" ht="21" customHeight="1" x14ac:dyDescent="0.15">
      <c r="A30" s="23">
        <v>49012029</v>
      </c>
      <c r="B30" s="23">
        <v>1</v>
      </c>
      <c r="C30" s="133">
        <v>70</v>
      </c>
      <c r="D30" s="23">
        <v>100</v>
      </c>
      <c r="E30" s="23" t="s">
        <v>53</v>
      </c>
      <c r="F30" s="23" t="s">
        <v>53</v>
      </c>
      <c r="G30" s="23">
        <v>1</v>
      </c>
      <c r="H30" s="23" t="s">
        <v>53</v>
      </c>
      <c r="I30" s="133">
        <v>700</v>
      </c>
      <c r="J30" s="24">
        <f t="shared" si="0"/>
        <v>100</v>
      </c>
    </row>
    <row r="31" spans="1:10" ht="21" customHeight="1" x14ac:dyDescent="0.15">
      <c r="A31" s="23">
        <v>49012030</v>
      </c>
      <c r="B31" s="23">
        <v>1</v>
      </c>
      <c r="C31" s="133">
        <v>70</v>
      </c>
      <c r="D31" s="23">
        <v>100</v>
      </c>
      <c r="E31" s="23" t="s">
        <v>53</v>
      </c>
      <c r="F31" s="23" t="s">
        <v>53</v>
      </c>
      <c r="G31" s="23">
        <v>1</v>
      </c>
      <c r="H31" s="23" t="s">
        <v>53</v>
      </c>
      <c r="I31" s="133">
        <v>701</v>
      </c>
      <c r="J31" s="24">
        <f t="shared" si="0"/>
        <v>100</v>
      </c>
    </row>
    <row r="32" spans="1:10" ht="21" customHeight="1" x14ac:dyDescent="0.15">
      <c r="A32" s="23">
        <v>49012031</v>
      </c>
      <c r="B32" s="23">
        <v>1</v>
      </c>
      <c r="C32" s="133">
        <v>60</v>
      </c>
      <c r="D32" s="23">
        <v>100</v>
      </c>
      <c r="E32" s="23" t="s">
        <v>53</v>
      </c>
      <c r="F32" s="23" t="s">
        <v>53</v>
      </c>
      <c r="G32" s="23">
        <v>1</v>
      </c>
      <c r="H32" s="23" t="s">
        <v>53</v>
      </c>
      <c r="I32" s="133" t="s">
        <v>53</v>
      </c>
      <c r="J32" s="24">
        <f t="shared" si="0"/>
        <v>100</v>
      </c>
    </row>
    <row r="33" spans="1:10" ht="21" customHeight="1" x14ac:dyDescent="0.15">
      <c r="A33" s="23">
        <v>49012032</v>
      </c>
      <c r="B33" s="23">
        <v>1</v>
      </c>
      <c r="C33" s="23" t="s">
        <v>53</v>
      </c>
      <c r="D33" s="23">
        <v>100</v>
      </c>
      <c r="E33" s="23" t="s">
        <v>53</v>
      </c>
      <c r="F33" s="23" t="s">
        <v>53</v>
      </c>
      <c r="G33" s="23">
        <v>1</v>
      </c>
      <c r="H33" s="23" t="s">
        <v>53</v>
      </c>
      <c r="I33" s="23" t="s">
        <v>53</v>
      </c>
      <c r="J33" s="24">
        <f t="shared" si="0"/>
        <v>100</v>
      </c>
    </row>
    <row r="34" spans="1:10" ht="21" customHeight="1" x14ac:dyDescent="0.15">
      <c r="A34" s="23">
        <v>49012033</v>
      </c>
      <c r="B34" s="23">
        <v>0</v>
      </c>
      <c r="C34" s="23" t="s">
        <v>53</v>
      </c>
      <c r="D34" s="23">
        <v>100</v>
      </c>
      <c r="E34" s="23" t="s">
        <v>53</v>
      </c>
      <c r="F34" s="23" t="s">
        <v>53</v>
      </c>
      <c r="G34" s="23" t="s">
        <v>53</v>
      </c>
      <c r="H34" s="23">
        <v>3</v>
      </c>
      <c r="I34" s="23" t="s">
        <v>53</v>
      </c>
      <c r="J34" s="24">
        <f t="shared" si="0"/>
        <v>100</v>
      </c>
    </row>
    <row r="35" spans="1:10" ht="21" customHeight="1" x14ac:dyDescent="0.15">
      <c r="A35" s="23">
        <v>49012034</v>
      </c>
      <c r="B35" s="23">
        <v>0</v>
      </c>
      <c r="C35" s="23" t="s">
        <v>53</v>
      </c>
      <c r="D35" s="23">
        <v>20</v>
      </c>
      <c r="E35" s="23" t="s">
        <v>53</v>
      </c>
      <c r="F35" s="23" t="s">
        <v>53</v>
      </c>
      <c r="G35" s="23" t="s">
        <v>53</v>
      </c>
      <c r="H35" s="23" t="s">
        <v>53</v>
      </c>
      <c r="I35" s="23" t="s">
        <v>53</v>
      </c>
      <c r="J35" s="24">
        <f t="shared" si="0"/>
        <v>20</v>
      </c>
    </row>
    <row r="36" spans="1:10" ht="21" customHeight="1" x14ac:dyDescent="0.15">
      <c r="A36" s="23">
        <v>49012035</v>
      </c>
      <c r="B36" s="23">
        <v>0</v>
      </c>
      <c r="C36" s="23" t="s">
        <v>53</v>
      </c>
      <c r="D36" s="23">
        <v>20</v>
      </c>
      <c r="E36" s="23" t="s">
        <v>53</v>
      </c>
      <c r="F36" s="23" t="s">
        <v>53</v>
      </c>
      <c r="G36" s="23" t="s">
        <v>53</v>
      </c>
      <c r="H36" s="23" t="s">
        <v>53</v>
      </c>
      <c r="I36" s="23" t="s">
        <v>53</v>
      </c>
      <c r="J36" s="24">
        <f t="shared" si="0"/>
        <v>20</v>
      </c>
    </row>
    <row r="37" spans="1:10" ht="21" customHeight="1" x14ac:dyDescent="0.15">
      <c r="A37" s="23">
        <v>49012036</v>
      </c>
      <c r="B37" s="23">
        <v>0</v>
      </c>
      <c r="C37" s="23" t="s">
        <v>53</v>
      </c>
      <c r="D37" s="23">
        <v>20</v>
      </c>
      <c r="E37" s="23" t="s">
        <v>53</v>
      </c>
      <c r="F37" s="23" t="s">
        <v>53</v>
      </c>
      <c r="G37" s="23" t="s">
        <v>53</v>
      </c>
      <c r="H37" s="23" t="s">
        <v>53</v>
      </c>
      <c r="I37" s="23" t="s">
        <v>53</v>
      </c>
      <c r="J37" s="24">
        <f t="shared" si="0"/>
        <v>20</v>
      </c>
    </row>
    <row r="38" spans="1:10" ht="21" customHeight="1" x14ac:dyDescent="0.15">
      <c r="A38" s="23">
        <v>49012037</v>
      </c>
      <c r="B38" s="23">
        <v>0</v>
      </c>
      <c r="C38" s="23">
        <v>100</v>
      </c>
      <c r="D38" s="23">
        <v>100</v>
      </c>
      <c r="E38" s="23">
        <v>50</v>
      </c>
      <c r="F38" s="23" t="s">
        <v>53</v>
      </c>
      <c r="G38" s="23">
        <v>1</v>
      </c>
      <c r="H38" s="23" t="s">
        <v>53</v>
      </c>
      <c r="I38" s="23" t="s">
        <v>53</v>
      </c>
      <c r="J38" s="24">
        <f t="shared" si="0"/>
        <v>100</v>
      </c>
    </row>
    <row r="39" spans="1:10" ht="21" customHeight="1" x14ac:dyDescent="0.15">
      <c r="A39" s="23">
        <v>49012038</v>
      </c>
      <c r="B39" s="23">
        <v>1</v>
      </c>
      <c r="C39" s="133">
        <v>100</v>
      </c>
      <c r="D39" s="23">
        <v>100</v>
      </c>
      <c r="E39" s="23" t="s">
        <v>53</v>
      </c>
      <c r="F39" s="23" t="s">
        <v>53</v>
      </c>
      <c r="G39" s="23">
        <v>1</v>
      </c>
      <c r="H39" s="23" t="s">
        <v>53</v>
      </c>
      <c r="I39" s="133">
        <v>713</v>
      </c>
      <c r="J39" s="24">
        <f t="shared" si="0"/>
        <v>100</v>
      </c>
    </row>
    <row r="40" spans="1:10" ht="21" customHeight="1" x14ac:dyDescent="0.15">
      <c r="A40" s="23">
        <v>49012039</v>
      </c>
      <c r="B40" s="23">
        <v>1</v>
      </c>
      <c r="C40" s="23" t="s">
        <v>53</v>
      </c>
      <c r="D40" s="23">
        <v>100</v>
      </c>
      <c r="E40" s="23" t="s">
        <v>53</v>
      </c>
      <c r="F40" s="23" t="s">
        <v>53</v>
      </c>
      <c r="G40" s="23">
        <v>1</v>
      </c>
      <c r="H40" s="23" t="s">
        <v>53</v>
      </c>
      <c r="I40" s="23" t="s">
        <v>53</v>
      </c>
      <c r="J40" s="24">
        <f t="shared" si="0"/>
        <v>100</v>
      </c>
    </row>
    <row r="41" spans="1:10" ht="21" customHeight="1" x14ac:dyDescent="0.15">
      <c r="A41" s="23">
        <v>49012040</v>
      </c>
      <c r="B41" s="23">
        <v>0</v>
      </c>
      <c r="C41" s="23" t="s">
        <v>53</v>
      </c>
      <c r="D41" s="23">
        <v>100</v>
      </c>
      <c r="E41" s="23" t="s">
        <v>53</v>
      </c>
      <c r="F41" s="23" t="s">
        <v>53</v>
      </c>
      <c r="G41" s="23" t="s">
        <v>53</v>
      </c>
      <c r="H41" s="23">
        <v>3</v>
      </c>
      <c r="I41" s="23" t="s">
        <v>53</v>
      </c>
      <c r="J41" s="24">
        <f t="shared" si="0"/>
        <v>100</v>
      </c>
    </row>
    <row r="42" spans="1:10" ht="21" customHeight="1" x14ac:dyDescent="0.15">
      <c r="A42" s="23">
        <v>49012041</v>
      </c>
      <c r="B42" s="23">
        <v>0</v>
      </c>
      <c r="C42" s="23" t="s">
        <v>53</v>
      </c>
      <c r="D42" s="23">
        <v>20</v>
      </c>
      <c r="E42" s="23" t="s">
        <v>53</v>
      </c>
      <c r="F42" s="23" t="s">
        <v>53</v>
      </c>
      <c r="G42" s="23" t="s">
        <v>53</v>
      </c>
      <c r="H42" s="23" t="s">
        <v>53</v>
      </c>
      <c r="I42" s="23" t="s">
        <v>53</v>
      </c>
      <c r="J42" s="24">
        <f t="shared" si="0"/>
        <v>20</v>
      </c>
    </row>
    <row r="43" spans="1:10" ht="21" customHeight="1" x14ac:dyDescent="0.15">
      <c r="A43" s="23">
        <v>49012042</v>
      </c>
      <c r="B43" s="23">
        <v>0</v>
      </c>
      <c r="C43" s="23" t="s">
        <v>53</v>
      </c>
      <c r="D43" s="23">
        <v>20</v>
      </c>
      <c r="E43" s="23" t="s">
        <v>53</v>
      </c>
      <c r="F43" s="23" t="s">
        <v>53</v>
      </c>
      <c r="G43" s="23" t="s">
        <v>53</v>
      </c>
      <c r="H43" s="23" t="s">
        <v>53</v>
      </c>
      <c r="I43" s="23" t="s">
        <v>53</v>
      </c>
      <c r="J43" s="24">
        <f t="shared" si="0"/>
        <v>20</v>
      </c>
    </row>
    <row r="44" spans="1:10" ht="21" customHeight="1" x14ac:dyDescent="0.15">
      <c r="A44" s="23">
        <v>49012043</v>
      </c>
      <c r="B44" s="23">
        <v>0</v>
      </c>
      <c r="C44" s="23" t="s">
        <v>53</v>
      </c>
      <c r="D44" s="23">
        <v>10</v>
      </c>
      <c r="E44" s="23">
        <v>70</v>
      </c>
      <c r="F44" s="23" t="s">
        <v>53</v>
      </c>
      <c r="G44" s="23">
        <v>1</v>
      </c>
      <c r="H44" s="23" t="s">
        <v>53</v>
      </c>
      <c r="I44" s="23" t="s">
        <v>53</v>
      </c>
      <c r="J44" s="24">
        <f t="shared" si="0"/>
        <v>10</v>
      </c>
    </row>
    <row r="45" spans="1:10" ht="21" customHeight="1" x14ac:dyDescent="0.15">
      <c r="A45" s="23">
        <v>49012044</v>
      </c>
      <c r="B45" s="23">
        <v>0</v>
      </c>
      <c r="C45" s="23" t="s">
        <v>53</v>
      </c>
      <c r="D45" s="23">
        <v>100</v>
      </c>
      <c r="E45" s="23">
        <v>50</v>
      </c>
      <c r="F45" s="23" t="s">
        <v>53</v>
      </c>
      <c r="G45" s="23">
        <v>1</v>
      </c>
      <c r="H45" s="23" t="s">
        <v>53</v>
      </c>
      <c r="I45" s="23" t="s">
        <v>53</v>
      </c>
      <c r="J45" s="24">
        <f t="shared" si="0"/>
        <v>100</v>
      </c>
    </row>
  </sheetData>
  <autoFilter ref="A1:G1"/>
  <phoneticPr fontId="5"/>
  <conditionalFormatting sqref="K46:K1048576 K1">
    <cfRule type="duplicateValues" dxfId="2" priority="4"/>
  </conditionalFormatting>
  <conditionalFormatting sqref="K2:K26 K28:K45">
    <cfRule type="duplicateValues" dxfId="1" priority="8"/>
  </conditionalFormatting>
  <conditionalFormatting sqref="K2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5"/>
  <sheetViews>
    <sheetView showGridLines="0" workbookViewId="0">
      <pane xSplit="5" ySplit="1" topLeftCell="F24" activePane="bottomRight" state="frozen"/>
      <selection pane="topRight"/>
      <selection pane="bottomLeft"/>
      <selection pane="bottomRight" activeCell="C38" sqref="C38"/>
    </sheetView>
  </sheetViews>
  <sheetFormatPr baseColWidth="12" defaultColWidth="12.83203125" defaultRowHeight="21" customHeight="1" outlineLevelCol="1" x14ac:dyDescent="0.15"/>
  <cols>
    <col min="1" max="1" width="11.33203125" style="15" bestFit="1" customWidth="1"/>
    <col min="2" max="2" width="9.5" style="25" bestFit="1" customWidth="1"/>
    <col min="3" max="3" width="9.6640625" style="25" customWidth="1"/>
    <col min="4" max="4" width="18.5" style="25" customWidth="1" outlineLevel="1"/>
    <col min="5" max="5" width="44.1640625" style="25" bestFit="1" customWidth="1" outlineLevel="1"/>
    <col min="6" max="6" width="10.83203125" style="25" bestFit="1" customWidth="1"/>
    <col min="7" max="7" width="8.33203125" style="25" bestFit="1" customWidth="1" outlineLevel="1"/>
    <col min="8" max="9" width="12.83203125" style="25" outlineLevel="1"/>
    <col min="10" max="10" width="17.6640625" style="25" bestFit="1" customWidth="1" outlineLevel="1"/>
    <col min="11" max="15" width="12.83203125" style="25" outlineLevel="1"/>
    <col min="16" max="16" width="8.33203125" style="21" bestFit="1" customWidth="1"/>
    <col min="17" max="17" width="9.6640625" style="21" customWidth="1"/>
    <col min="18" max="18" width="56.5" style="21" bestFit="1" customWidth="1"/>
    <col min="19" max="16384" width="12.83203125" style="21"/>
  </cols>
  <sheetData>
    <row r="1" spans="1:18" ht="21" customHeight="1" x14ac:dyDescent="0.15">
      <c r="A1" s="15" t="s">
        <v>60</v>
      </c>
      <c r="B1" s="16" t="s">
        <v>61</v>
      </c>
      <c r="C1" s="16" t="s">
        <v>62</v>
      </c>
      <c r="D1" s="17" t="s">
        <v>63</v>
      </c>
      <c r="E1" s="17" t="s">
        <v>64</v>
      </c>
      <c r="F1" s="18" t="s">
        <v>65</v>
      </c>
      <c r="G1" s="19" t="s">
        <v>66</v>
      </c>
      <c r="H1" s="19" t="s">
        <v>68</v>
      </c>
      <c r="I1" s="19" t="s">
        <v>69</v>
      </c>
      <c r="J1" s="19" t="s">
        <v>70</v>
      </c>
      <c r="K1" s="20" t="s">
        <v>71</v>
      </c>
      <c r="L1" s="20" t="s">
        <v>72</v>
      </c>
      <c r="M1" s="19" t="s">
        <v>73</v>
      </c>
      <c r="N1" s="19" t="s">
        <v>74</v>
      </c>
      <c r="O1" s="19" t="s">
        <v>75</v>
      </c>
      <c r="P1" s="17" t="s">
        <v>76</v>
      </c>
      <c r="Q1" s="17" t="s">
        <v>77</v>
      </c>
      <c r="R1" s="17" t="s">
        <v>78</v>
      </c>
    </row>
    <row r="2" spans="1:18" ht="21" customHeight="1" x14ac:dyDescent="0.15">
      <c r="A2" s="15" t="str">
        <f t="shared" ref="A2:A45" si="0">B2&amp;"_"&amp;C2</f>
        <v>49012001_49012001</v>
      </c>
      <c r="B2" s="23">
        <v>49012001</v>
      </c>
      <c r="C2" s="23">
        <v>49012001</v>
      </c>
      <c r="D2" s="22" t="str">
        <f ca="1">VLOOKUP($C2,OFFSET(enemy_skills!$A$1,0,0,COUNTA(enemy_skills!$A:$A),MATCH(D$1,enemy_skills!$1:$1,0)-MATCH("enemy_skill_id",enemy_skills!$1:$1,0)+1),MATCH(D$1,enemy_skills!$1:$1,0)-MATCH("enemy_skill_id",enemy_skills!$1:$1,0)+1,FALSE)</f>
        <v>愛するだけじゃもう足りないの</v>
      </c>
      <c r="E2" s="22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23">
        <v>49012001</v>
      </c>
      <c r="G2" s="2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24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2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2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2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24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24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2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2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23"/>
      <c r="Q2" s="23"/>
      <c r="R2" s="23"/>
    </row>
    <row r="3" spans="1:18" ht="21" customHeight="1" x14ac:dyDescent="0.15">
      <c r="A3" s="15" t="str">
        <f t="shared" si="0"/>
        <v>49012002_49012002</v>
      </c>
      <c r="B3" s="23">
        <v>49012002</v>
      </c>
      <c r="C3" s="23">
        <v>49012002</v>
      </c>
      <c r="D3" s="2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さぁ、愛し合いましょう</v>
      </c>
      <c r="E3" s="22" t="str">
        <f ca="1">VLOOKUP($C3,OFFSET(enemy_skills!$A$1,0,0,COUNTA(enemy_skills!$A:$A),MATCH(E$1,enemy_skills!$1:$1,0)-MATCH("enemy_skill_id",enemy_skills!$1:$1,0)+1),MATCH(E$1,enemy_skills!$1:$1,0)-MATCH("enemy_skill_id",enemy_skills!$1:$1,0)+1,FALSE)</f>
        <v>罪歌の子供が襲いかかってくる！_x000D_【青属性の敵の残りHP10%消費】</v>
      </c>
      <c r="F3" s="23">
        <v>49012002</v>
      </c>
      <c r="G3" s="2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24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2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2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2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2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2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2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2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23"/>
      <c r="Q3" s="23"/>
      <c r="R3" s="23"/>
    </row>
    <row r="4" spans="1:18" ht="21" customHeight="1" x14ac:dyDescent="0.15">
      <c r="A4" s="15" t="str">
        <f t="shared" si="0"/>
        <v>49012002_49012003</v>
      </c>
      <c r="B4" s="23">
        <v>49012002</v>
      </c>
      <c r="C4" s="23">
        <v>49012003</v>
      </c>
      <c r="D4" s="22" t="str">
        <f ca="1">VLOOKUP($C4,OFFSET(enemy_skills!$A$1,0,0,COUNTA(enemy_skills!$A:$A),MATCH(D$1,enemy_skills!$1:$1,0)-MATCH("enemy_skill_id",enemy_skills!$1:$1,0)+1),MATCH(D$1,enemy_skills!$1:$1,0)-MATCH("enemy_skill_id",enemy_skills!$1:$1,0)+1,FALSE)</f>
        <v>愛し続けてあげる</v>
      </c>
      <c r="E4" s="22" t="str">
        <f ca="1">VLOOKUP($C4,OFFSET(enemy_skills!$A$1,0,0,COUNTA(enemy_skills!$A:$A),MATCH(E$1,enemy_skills!$1:$1,0)-MATCH("enemy_skill_id",enemy_skills!$1:$1,0)+1),MATCH(E$1,enemy_skills!$1:$1,0)-MATCH("enemy_skill_id",enemy_skills!$1:$1,0)+1,FALSE)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" s="23">
        <v>49012003</v>
      </c>
      <c r="G4" s="2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24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2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2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2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24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24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2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2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23"/>
      <c r="Q4" s="23"/>
      <c r="R4" s="23"/>
    </row>
    <row r="5" spans="1:18" ht="21" customHeight="1" x14ac:dyDescent="0.15">
      <c r="A5" s="15" t="str">
        <f t="shared" si="0"/>
        <v>49012003_49012004</v>
      </c>
      <c r="B5" s="23">
        <v>49012003</v>
      </c>
      <c r="C5" s="23">
        <v>49012004</v>
      </c>
      <c r="D5" s="2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・・・・・・・？</v>
      </c>
      <c r="E5" s="22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『切り裂き魔を追っているのか？』</v>
      </c>
      <c r="F5" s="23">
        <v>49012004</v>
      </c>
      <c r="G5" s="2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24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2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2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2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24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2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2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2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23"/>
      <c r="Q5" s="23"/>
      <c r="R5" s="23"/>
    </row>
    <row r="6" spans="1:18" ht="21" customHeight="1" x14ac:dyDescent="0.15">
      <c r="A6" s="15" t="str">
        <f t="shared" si="0"/>
        <v>49012003_49012005</v>
      </c>
      <c r="B6" s="23">
        <v>49012003</v>
      </c>
      <c r="C6" s="23">
        <v>49012005</v>
      </c>
      <c r="D6" s="2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・・・・・・・！</v>
      </c>
      <c r="E6" s="22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『おい、待て！』</v>
      </c>
      <c r="F6" s="23">
        <v>49012005</v>
      </c>
      <c r="G6" s="2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2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2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2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2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2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2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24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6" s="2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3"/>
      <c r="Q6" s="23"/>
      <c r="R6" s="23"/>
    </row>
    <row r="7" spans="1:18" ht="21" customHeight="1" x14ac:dyDescent="0.15">
      <c r="A7" s="15" t="str">
        <f t="shared" si="0"/>
        <v>49012004_49012006</v>
      </c>
      <c r="B7" s="23">
        <v>49012004</v>
      </c>
      <c r="C7" s="23">
        <v>49012006</v>
      </c>
      <c r="D7" s="22" t="str">
        <f ca="1">VLOOKUP($C7,OFFSET(enemy_skills!$A$1,0,0,COUNTA(enemy_skills!$A:$A),MATCH(D$1,enemy_skills!$1:$1,0)-MATCH("enemy_skill_id",enemy_skills!$1:$1,0)+1),MATCH(D$1,enemy_skills!$1:$1,0)-MATCH("enemy_skill_id",enemy_skills!$1:$1,0)+1,FALSE)</f>
        <v>最近よく噂に聞くね</v>
      </c>
      <c r="E7" s="22" t="str">
        <f ca="1">VLOOKUP($C7,OFFSET(enemy_skills!$A$1,0,0,COUNTA(enemy_skills!$A:$A),MATCH(E$1,enemy_skills!$1:$1,0)-MATCH("enemy_skill_id",enemy_skills!$1:$1,0)+1),MATCH(E$1,enemy_skills!$1:$1,0)-MATCH("enemy_skill_id",enemy_skills!$1:$1,0)+1,FALSE)</f>
        <v>関わりたくなさそうだ</v>
      </c>
      <c r="F7" s="23">
        <v>49012006</v>
      </c>
      <c r="G7" s="2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24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2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2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24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24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2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24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2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23"/>
      <c r="Q7" s="23"/>
      <c r="R7" s="23"/>
    </row>
    <row r="8" spans="1:18" ht="21" customHeight="1" x14ac:dyDescent="0.15">
      <c r="A8" s="15" t="str">
        <f t="shared" si="0"/>
        <v>49012004_49012007</v>
      </c>
      <c r="B8" s="23">
        <v>49012004</v>
      </c>
      <c r="C8" s="23">
        <v>49012007</v>
      </c>
      <c r="D8" s="2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こっちに行ったはずだよ</v>
      </c>
      <c r="E8" s="22" t="str">
        <f ca="1">VLOOKUP($C8,OFFSET(enemy_skills!$A$1,0,0,COUNTA(enemy_skills!$A:$A),MATCH(E$1,enemy_skills!$1:$1,0)-MATCH("enemy_skill_id",enemy_skills!$1:$1,0)+1),MATCH(E$1,enemy_skills!$1:$1,0)-MATCH("enemy_skill_id",enemy_skills!$1:$1,0)+1,FALSE)</f>
        <v>道を指差した</v>
      </c>
      <c r="F8" s="23">
        <v>49012007</v>
      </c>
      <c r="G8" s="2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24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2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2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2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2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2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2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2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23"/>
      <c r="Q8" s="23"/>
      <c r="R8" s="23"/>
    </row>
    <row r="9" spans="1:18" ht="21" customHeight="1" x14ac:dyDescent="0.15">
      <c r="A9" s="15" t="str">
        <f t="shared" si="0"/>
        <v>49012004_49012008</v>
      </c>
      <c r="B9" s="23">
        <v>49012004</v>
      </c>
      <c r="C9" s="23">
        <v>49012008</v>
      </c>
      <c r="D9" s="2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じゃあね</v>
      </c>
      <c r="E9" s="22" t="str">
        <f ca="1">VLOOKUP($C9,OFFSET(enemy_skills!$A$1,0,0,COUNTA(enemy_skills!$A:$A),MATCH(E$1,enemy_skills!$1:$1,0)-MATCH("enemy_skill_id",enemy_skills!$1:$1,0)+1),MATCH(E$1,enemy_skills!$1:$1,0)-MATCH("enemy_skill_id",enemy_skills!$1:$1,0)+1,FALSE)</f>
        <v>手を振って去っていった</v>
      </c>
      <c r="F9" s="23">
        <v>49012008</v>
      </c>
      <c r="G9" s="2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2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2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2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2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2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2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24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2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23"/>
      <c r="Q9" s="23"/>
      <c r="R9" s="23"/>
    </row>
    <row r="10" spans="1:18" ht="21" customHeight="1" x14ac:dyDescent="0.15">
      <c r="A10" s="15" t="str">
        <f t="shared" si="0"/>
        <v>49012005_49012009</v>
      </c>
      <c r="B10" s="23">
        <v>49012005</v>
      </c>
      <c r="C10" s="23">
        <v>49012009</v>
      </c>
      <c r="D10" s="2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行きなさい、子供たち</v>
      </c>
      <c r="E10" s="2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赤い目でこちらを見ている</v>
      </c>
      <c r="F10" s="23">
        <v>49012009</v>
      </c>
      <c r="G10" s="2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24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2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2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2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2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2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2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2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23"/>
      <c r="Q10" s="23"/>
      <c r="R10" s="23"/>
    </row>
    <row r="11" spans="1:18" ht="21" customHeight="1" x14ac:dyDescent="0.15">
      <c r="A11" s="15" t="str">
        <f t="shared" si="0"/>
        <v>49012005_49012010</v>
      </c>
      <c r="B11" s="23">
        <v>49012005</v>
      </c>
      <c r="C11" s="23">
        <v>49012010</v>
      </c>
      <c r="D11" s="2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もっと愛してあげる</v>
      </c>
      <c r="E11" s="2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1" s="23">
        <v>49012010</v>
      </c>
      <c r="G11" s="2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24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2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" s="24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24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24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2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2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2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" s="23"/>
      <c r="Q11" s="23"/>
      <c r="R11" s="23"/>
    </row>
    <row r="12" spans="1:18" ht="21" customHeight="1" x14ac:dyDescent="0.15">
      <c r="A12" s="15" t="str">
        <f t="shared" si="0"/>
        <v>49012005_49012011</v>
      </c>
      <c r="B12" s="23">
        <v>49012005</v>
      </c>
      <c r="C12" s="23">
        <v>49012011</v>
      </c>
      <c r="D12" s="2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まだよ、あの人に会うまでは・・・！</v>
      </c>
      <c r="E12" s="2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3ターン自身の攻撃頻度UP</v>
      </c>
      <c r="F12" s="23">
        <v>49012011</v>
      </c>
      <c r="G12" s="2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24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2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2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" s="2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2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2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2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2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23"/>
      <c r="Q12" s="23"/>
      <c r="R12" s="23"/>
    </row>
    <row r="13" spans="1:18" ht="21" customHeight="1" x14ac:dyDescent="0.15">
      <c r="A13" s="15" t="str">
        <f t="shared" si="0"/>
        <v>49012006_49012016</v>
      </c>
      <c r="B13" s="23">
        <v>49012006</v>
      </c>
      <c r="C13" s="23">
        <v>49012016</v>
      </c>
      <c r="D13" s="2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私の手で始末してあげるわ</v>
      </c>
      <c r="E13" s="2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罪歌の子達は去っていった</v>
      </c>
      <c r="F13" s="23">
        <v>49012016</v>
      </c>
      <c r="G13" s="2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24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2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2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2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2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2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2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2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23"/>
      <c r="Q13" s="23"/>
      <c r="R13" s="23"/>
    </row>
    <row r="14" spans="1:18" ht="21" customHeight="1" x14ac:dyDescent="0.15">
      <c r="A14" s="15" t="str">
        <f t="shared" si="0"/>
        <v>49012006_49012017</v>
      </c>
      <c r="B14" s="23">
        <v>49012006</v>
      </c>
      <c r="C14" s="23">
        <v>49012017</v>
      </c>
      <c r="D14" s="2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愛を得るには自分で動かなきゃ</v>
      </c>
      <c r="E14" s="2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23">
        <v>49012017</v>
      </c>
      <c r="G14" s="2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24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2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4" s="2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4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2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2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4" s="23"/>
      <c r="Q14" s="23"/>
      <c r="R14" s="23"/>
    </row>
    <row r="15" spans="1:18" ht="21" customHeight="1" x14ac:dyDescent="0.15">
      <c r="A15" s="15" t="str">
        <f t="shared" si="0"/>
        <v>49012006_49012018</v>
      </c>
      <c r="B15" s="23">
        <v>49012006</v>
      </c>
      <c r="C15" s="23">
        <v>49012018</v>
      </c>
      <c r="D15" s="2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くだらない人間よね</v>
      </c>
      <c r="E15" s="2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5" s="23">
        <v>49012018</v>
      </c>
      <c r="G15" s="2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24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2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2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2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24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2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2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2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23"/>
      <c r="Q15" s="23"/>
      <c r="R15" s="23"/>
    </row>
    <row r="16" spans="1:18" ht="21" customHeight="1" x14ac:dyDescent="0.15">
      <c r="A16" s="15" t="str">
        <f t="shared" si="0"/>
        <v>49012006_49012019</v>
      </c>
      <c r="B16" s="23">
        <v>49012006</v>
      </c>
      <c r="C16" s="23">
        <v>49012019</v>
      </c>
      <c r="D16" s="2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まさか・・・『母』が・・・？</v>
      </c>
      <c r="E16" s="2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ふらふらと去っていった・・・</v>
      </c>
      <c r="F16" s="23">
        <v>49012019</v>
      </c>
      <c r="G16" s="2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24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2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2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2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2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2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24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" s="2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23"/>
      <c r="Q16" s="23"/>
      <c r="R16" s="23"/>
    </row>
    <row r="17" spans="1:18" ht="21" customHeight="1" x14ac:dyDescent="0.15">
      <c r="A17" s="15" t="str">
        <f t="shared" si="0"/>
        <v>49012006_49012020</v>
      </c>
      <c r="B17" s="23">
        <v>49012006</v>
      </c>
      <c r="C17" s="23">
        <v>49012020</v>
      </c>
      <c r="D17" s="2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いつまでもあの人と・・・</v>
      </c>
      <c r="E17" s="2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10回連続攻撃+自身の残りHP10%消費</v>
      </c>
      <c r="F17" s="23">
        <v>49012020</v>
      </c>
      <c r="G17" s="2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24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2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24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2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24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2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2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2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23"/>
      <c r="Q17" s="23"/>
      <c r="R17" s="23"/>
    </row>
    <row r="18" spans="1:18" ht="21" customHeight="1" x14ac:dyDescent="0.15">
      <c r="A18" s="15" t="str">
        <f t="shared" si="0"/>
        <v>49012007_49012021</v>
      </c>
      <c r="B18" s="133">
        <v>49012007</v>
      </c>
      <c r="C18" s="133">
        <v>49012021</v>
      </c>
      <c r="D18" s="2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竜ヶ峰君・・・！？なんで・・・！？</v>
      </c>
      <c r="E18" s="2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18" s="133">
        <v>49012021</v>
      </c>
      <c r="G18" s="2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2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2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2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2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2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2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24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8" s="2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23"/>
      <c r="Q18" s="23"/>
      <c r="R18" s="23"/>
    </row>
    <row r="19" spans="1:18" ht="21" customHeight="1" x14ac:dyDescent="0.15">
      <c r="A19" s="15" t="str">
        <f t="shared" si="0"/>
        <v>49012007_49012024</v>
      </c>
      <c r="B19" s="133">
        <v>49012007</v>
      </c>
      <c r="C19" s="133">
        <v>49012024</v>
      </c>
      <c r="D19" s="2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紀田君・・・！？なんで・・・！？</v>
      </c>
      <c r="E19" s="2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19" s="133">
        <v>49012024</v>
      </c>
      <c r="G19" s="2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2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2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2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2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2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2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24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19" s="2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23"/>
      <c r="Q19" s="23"/>
      <c r="R19" s="23"/>
    </row>
    <row r="20" spans="1:18" ht="21" customHeight="1" x14ac:dyDescent="0.15">
      <c r="A20" s="15" t="str">
        <f t="shared" si="0"/>
        <v>49012007_49012025</v>
      </c>
      <c r="B20" s="133">
        <v>49012007</v>
      </c>
      <c r="C20" s="133">
        <v>49012025</v>
      </c>
      <c r="D20" s="2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紀田君・・・！？なんで・・・！？</v>
      </c>
      <c r="E20" s="2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0" s="133">
        <v>49012025</v>
      </c>
      <c r="G20" s="2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2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2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2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2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2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2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24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20" s="2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23"/>
      <c r="Q20" s="23"/>
      <c r="R20" s="23"/>
    </row>
    <row r="21" spans="1:18" ht="21" customHeight="1" x14ac:dyDescent="0.15">
      <c r="A21" s="15" t="str">
        <f t="shared" ref="A21" si="1">B21&amp;"_"&amp;C21</f>
        <v>49012007_49012026</v>
      </c>
      <c r="B21" s="133">
        <v>49012007</v>
      </c>
      <c r="C21" s="133">
        <v>49012026</v>
      </c>
      <c r="D21" s="2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セルティさん、どうしてここに・・・</v>
      </c>
      <c r="E21" s="2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1" s="133">
        <v>49012026</v>
      </c>
      <c r="G21" s="2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2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2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2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2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2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2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24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21" s="2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23"/>
      <c r="Q21" s="23"/>
      <c r="R21" s="23"/>
    </row>
    <row r="22" spans="1:18" ht="21" customHeight="1" x14ac:dyDescent="0.15">
      <c r="A22" s="15" t="str">
        <f t="shared" si="0"/>
        <v>49012007_49012027</v>
      </c>
      <c r="B22" s="133">
        <v>49012007</v>
      </c>
      <c r="C22" s="133">
        <v>49012027</v>
      </c>
      <c r="D22" s="2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セルティさん、どうしてここに・・・</v>
      </c>
      <c r="E22" s="2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2" s="133">
        <v>49012027</v>
      </c>
      <c r="G22" s="2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2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2" s="2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2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2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2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2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2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696</v>
      </c>
      <c r="O22" s="2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23"/>
      <c r="Q22" s="23"/>
      <c r="R22" s="23"/>
    </row>
    <row r="23" spans="1:18" ht="21" customHeight="1" x14ac:dyDescent="0.15">
      <c r="A23" s="15" t="str">
        <f t="shared" si="0"/>
        <v>49012007_49012028</v>
      </c>
      <c r="B23" s="133">
        <v>49012007</v>
      </c>
      <c r="C23" s="133">
        <v>49012028</v>
      </c>
      <c r="D23" s="2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セルティさん、どうしてここに・・・</v>
      </c>
      <c r="E23" s="2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3" s="133">
        <v>49012028</v>
      </c>
      <c r="G23" s="2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2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2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2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2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2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2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24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23" s="2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23"/>
      <c r="Q23" s="23"/>
      <c r="R23" s="23"/>
    </row>
    <row r="24" spans="1:18" ht="21" customHeight="1" x14ac:dyDescent="0.15">
      <c r="A24" s="15" t="str">
        <f t="shared" si="0"/>
        <v>49012007_49012029</v>
      </c>
      <c r="B24" s="133">
        <v>49012007</v>
      </c>
      <c r="C24" s="133">
        <v>49012029</v>
      </c>
      <c r="D24" s="2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貴方を斬らせて貰います</v>
      </c>
      <c r="E24" s="2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4" s="133">
        <v>49012029</v>
      </c>
      <c r="G24" s="2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2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2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2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2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2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2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24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24" s="2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23"/>
      <c r="Q24" s="23"/>
      <c r="R24" s="23"/>
    </row>
    <row r="25" spans="1:18" ht="21" customHeight="1" x14ac:dyDescent="0.15">
      <c r="A25" s="15" t="str">
        <f t="shared" si="0"/>
        <v>49012007_49012030</v>
      </c>
      <c r="B25" s="133">
        <v>49012007</v>
      </c>
      <c r="C25" s="133">
        <v>49012030</v>
      </c>
      <c r="D25" s="2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貴方を斬らせて貰います</v>
      </c>
      <c r="E25" s="2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5" s="133">
        <v>49012030</v>
      </c>
      <c r="G25" s="2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2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2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2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2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2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2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24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25" s="2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23"/>
      <c r="Q25" s="23"/>
      <c r="R25" s="23"/>
    </row>
    <row r="26" spans="1:18" ht="21" customHeight="1" x14ac:dyDescent="0.15">
      <c r="A26" s="15" t="str">
        <f t="shared" si="0"/>
        <v>49012007_49012031</v>
      </c>
      <c r="B26" s="133">
        <v>49012007</v>
      </c>
      <c r="C26" s="133">
        <v>49012031</v>
      </c>
      <c r="D26" s="2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私の平穏を壊さないでください</v>
      </c>
      <c r="E26" s="2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6" s="133">
        <v>49012031</v>
      </c>
      <c r="G26" s="2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2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2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2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2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2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2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2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2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3"/>
      <c r="Q26" s="23"/>
      <c r="R26" s="23"/>
    </row>
    <row r="27" spans="1:18" ht="21" customHeight="1" x14ac:dyDescent="0.15">
      <c r="A27" s="15" t="str">
        <f t="shared" si="0"/>
        <v>49012007_49012038</v>
      </c>
      <c r="B27" s="133">
        <v>49012007</v>
      </c>
      <c r="C27" s="133">
        <v>49012038</v>
      </c>
      <c r="D27" s="2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竜ヶ峰君・・・！？なんで・・・！？</v>
      </c>
      <c r="E27" s="2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ユニット全体に3ターンスキルバインド</v>
      </c>
      <c r="F27" s="133">
        <v>49012038</v>
      </c>
      <c r="G27" s="2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2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2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2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2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2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2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24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7" s="2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23"/>
      <c r="Q27" s="23"/>
      <c r="R27" s="23"/>
    </row>
    <row r="28" spans="1:18" ht="21" customHeight="1" x14ac:dyDescent="0.15">
      <c r="A28" s="15" t="str">
        <f t="shared" si="0"/>
        <v>49012007_49012022</v>
      </c>
      <c r="B28" s="23">
        <v>49012007</v>
      </c>
      <c r="C28" s="23">
        <v>49012022</v>
      </c>
      <c r="D28" s="2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これで貸し借りはなしですよ</v>
      </c>
      <c r="E28" s="2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ハートパネルプロテクト+クリティカル！</v>
      </c>
      <c r="F28" s="23">
        <v>49012022</v>
      </c>
      <c r="G28" s="2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24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2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2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2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24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24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8" s="2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2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23"/>
      <c r="Q28" s="23"/>
      <c r="R28" s="23"/>
    </row>
    <row r="29" spans="1:18" ht="21" customHeight="1" x14ac:dyDescent="0.15">
      <c r="A29" s="15" t="str">
        <f t="shared" si="0"/>
        <v>49012007_49012023</v>
      </c>
      <c r="B29" s="23">
        <v>49012007</v>
      </c>
      <c r="C29" s="23">
        <v>49012023</v>
      </c>
      <c r="D29" s="2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こっちが夢ならいいのに</v>
      </c>
      <c r="E29" s="2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9" s="23">
        <v>49012023</v>
      </c>
      <c r="G29" s="2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24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2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9" s="24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2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24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24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2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2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9" s="23"/>
      <c r="Q29" s="23"/>
      <c r="R29" s="23"/>
    </row>
    <row r="30" spans="1:18" ht="21" customHeight="1" x14ac:dyDescent="0.15">
      <c r="A30" s="15" t="str">
        <f t="shared" si="0"/>
        <v>49012008_49012032</v>
      </c>
      <c r="B30" s="23">
        <v>49012008</v>
      </c>
      <c r="C30" s="23">
        <v>49012032</v>
      </c>
      <c r="D30" s="2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今はこの場を切り抜けなきゃ・・・</v>
      </c>
      <c r="E30" s="2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状態異常耐性+3ターンユニット全体の攻撃力50%DOWN</v>
      </c>
      <c r="F30" s="23">
        <v>49012032</v>
      </c>
      <c r="G30" s="2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24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2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24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2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2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2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2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2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23"/>
      <c r="Q30" s="23"/>
      <c r="R30" s="23"/>
    </row>
    <row r="31" spans="1:18" ht="21" customHeight="1" x14ac:dyDescent="0.15">
      <c r="A31" s="15" t="str">
        <f t="shared" si="0"/>
        <v>49012008_49012033</v>
      </c>
      <c r="B31" s="23">
        <v>49012008</v>
      </c>
      <c r="C31" s="23">
        <v>49012033</v>
      </c>
      <c r="D31" s="2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あなたは人を愛せますか？</v>
      </c>
      <c r="E31" s="2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31" s="23">
        <v>49012033</v>
      </c>
      <c r="G31" s="2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24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2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2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2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24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24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2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2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23"/>
      <c r="Q31" s="23"/>
      <c r="R31" s="23"/>
    </row>
    <row r="32" spans="1:18" ht="21" customHeight="1" x14ac:dyDescent="0.15">
      <c r="A32" s="15" t="str">
        <f t="shared" si="0"/>
        <v>49012008_49012034</v>
      </c>
      <c r="B32" s="23">
        <v>49012008</v>
      </c>
      <c r="C32" s="23">
        <v>49012034</v>
      </c>
      <c r="D32" s="2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・・・お願い邪魔しないで</v>
      </c>
      <c r="E32" s="2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2" s="23">
        <v>49012034</v>
      </c>
      <c r="G32" s="2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24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2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2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2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2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2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2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2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23"/>
      <c r="Q32" s="23"/>
      <c r="R32" s="23"/>
    </row>
    <row r="33" spans="1:18" ht="21" customHeight="1" x14ac:dyDescent="0.15">
      <c r="A33" s="15" t="str">
        <f t="shared" si="0"/>
        <v>49012008_49012035</v>
      </c>
      <c r="B33" s="23">
        <v>49012008</v>
      </c>
      <c r="C33" s="23">
        <v>49012035</v>
      </c>
      <c r="D33" s="2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ただ壊したくなかっただけなのに・・・</v>
      </c>
      <c r="E33" s="2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ハートパネルプロテクト+クリティカル！</v>
      </c>
      <c r="F33" s="23">
        <v>49012035</v>
      </c>
      <c r="G33" s="2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24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2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3" s="2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2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2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2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2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2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3" s="23"/>
      <c r="Q33" s="23"/>
      <c r="R33" s="23"/>
    </row>
    <row r="34" spans="1:18" ht="21" customHeight="1" x14ac:dyDescent="0.15">
      <c r="A34" s="15" t="str">
        <f t="shared" si="0"/>
        <v>49012008_49012036</v>
      </c>
      <c r="B34" s="23">
        <v>49012008</v>
      </c>
      <c r="C34" s="23">
        <v>49012036</v>
      </c>
      <c r="D34" s="2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ちょっと切るだけですから</v>
      </c>
      <c r="E34" s="2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4" s="23">
        <v>49012036</v>
      </c>
      <c r="G34" s="2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24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2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4" s="24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2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24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2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2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2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4" s="23"/>
      <c r="Q34" s="23"/>
      <c r="R34" s="23"/>
    </row>
    <row r="35" spans="1:18" ht="21" customHeight="1" x14ac:dyDescent="0.15">
      <c r="A35" s="15" t="str">
        <f t="shared" si="0"/>
        <v>49012008_49012037</v>
      </c>
      <c r="B35" s="23">
        <v>49012008</v>
      </c>
      <c r="C35" s="23">
        <v>49012037</v>
      </c>
      <c r="D35" s="22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少しの間眠っていてください</v>
      </c>
      <c r="E35" s="22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1ターンスリープ+クリティカル！</v>
      </c>
      <c r="F35" s="23">
        <v>49012037</v>
      </c>
      <c r="G35" s="24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24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24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24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24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24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24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24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24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23"/>
      <c r="Q35" s="23"/>
      <c r="R35" s="23"/>
    </row>
    <row r="36" spans="1:18" ht="21" customHeight="1" x14ac:dyDescent="0.15">
      <c r="A36" s="15" t="str">
        <f t="shared" si="0"/>
        <v>49012009_49012039</v>
      </c>
      <c r="B36" s="23">
        <v>49012009</v>
      </c>
      <c r="C36" s="23">
        <v>49012039</v>
      </c>
      <c r="D36" s="2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ごめんなさい・・・でも、私・・・</v>
      </c>
      <c r="E36" s="2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状態異常耐性+自身の攻撃力UP</v>
      </c>
      <c r="F36" s="23">
        <v>49012039</v>
      </c>
      <c r="G36" s="2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24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2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2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2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24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2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2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2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23"/>
      <c r="Q36" s="23"/>
      <c r="R36" s="23"/>
    </row>
    <row r="37" spans="1:18" ht="21" customHeight="1" x14ac:dyDescent="0.15">
      <c r="A37" s="15" t="str">
        <f t="shared" si="0"/>
        <v>49012009_49012040</v>
      </c>
      <c r="B37" s="23">
        <v>49012009</v>
      </c>
      <c r="C37" s="23">
        <v>49012040</v>
      </c>
      <c r="D37" s="2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そうはさせませんよ</v>
      </c>
      <c r="E37" s="2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37" s="23">
        <v>49012040</v>
      </c>
      <c r="G37" s="2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24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2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2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2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2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24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2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2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23"/>
      <c r="Q37" s="23"/>
      <c r="R37" s="23"/>
    </row>
    <row r="38" spans="1:18" ht="21" customHeight="1" x14ac:dyDescent="0.15">
      <c r="A38" s="15" t="str">
        <f t="shared" si="0"/>
        <v>49012009_49012041</v>
      </c>
      <c r="B38" s="23">
        <v>49012009</v>
      </c>
      <c r="C38" s="23">
        <v>49012041</v>
      </c>
      <c r="D38" s="2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すこしだけ酷いことをしますね</v>
      </c>
      <c r="E38" s="2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ハートパネルプロテクト+クリティカル！</v>
      </c>
      <c r="F38" s="23">
        <v>49012041</v>
      </c>
      <c r="G38" s="2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24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2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8" s="2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2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24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2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2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2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8" s="23"/>
      <c r="Q38" s="23"/>
      <c r="R38" s="23"/>
    </row>
    <row r="39" spans="1:18" ht="21" customHeight="1" x14ac:dyDescent="0.15">
      <c r="A39" s="15" t="str">
        <f t="shared" si="0"/>
        <v>49012009_49012042</v>
      </c>
      <c r="B39" s="23">
        <v>49012009</v>
      </c>
      <c r="C39" s="23">
        <v>49012042</v>
      </c>
      <c r="D39" s="2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日常に戻りたいんです</v>
      </c>
      <c r="E39" s="2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9" s="23">
        <v>49012042</v>
      </c>
      <c r="G39" s="2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24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2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9" s="2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2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2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2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2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2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9" s="23"/>
      <c r="Q39" s="23"/>
      <c r="R39" s="23"/>
    </row>
    <row r="40" spans="1:18" ht="21" customHeight="1" x14ac:dyDescent="0.15">
      <c r="A40" s="15" t="str">
        <f t="shared" si="0"/>
        <v>49012009_49012043</v>
      </c>
      <c r="B40" s="23">
        <v>49012009</v>
      </c>
      <c r="C40" s="23">
        <v>49012043</v>
      </c>
      <c r="D40" s="2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私は寄生虫ですから・・・</v>
      </c>
      <c r="E40" s="2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1ターンスキルバインド+クリティカル！</v>
      </c>
      <c r="F40" s="23">
        <v>49012043</v>
      </c>
      <c r="G40" s="2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24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2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40" s="24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0" s="2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24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2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2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2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40" s="23"/>
      <c r="Q40" s="23"/>
      <c r="R40" s="23"/>
    </row>
    <row r="41" spans="1:18" ht="21" customHeight="1" x14ac:dyDescent="0.15">
      <c r="A41" s="15" t="str">
        <f t="shared" si="0"/>
        <v>49012009_49012044</v>
      </c>
      <c r="B41" s="23">
        <v>49012009</v>
      </c>
      <c r="C41" s="23">
        <v>49012044</v>
      </c>
      <c r="D41" s="2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あなたにも『声』を聞かせてあげますよ</v>
      </c>
      <c r="E41" s="2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ハートパネル無効</v>
      </c>
      <c r="F41" s="23">
        <v>49012044</v>
      </c>
      <c r="G41" s="2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24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2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24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2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2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2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2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2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23"/>
      <c r="Q41" s="23"/>
      <c r="R41" s="23"/>
    </row>
    <row r="42" spans="1:18" ht="21" customHeight="1" x14ac:dyDescent="0.15">
      <c r="A42" s="15" t="str">
        <f t="shared" si="0"/>
        <v>49012010_49012012</v>
      </c>
      <c r="B42" s="23">
        <v>49012010</v>
      </c>
      <c r="C42" s="23">
        <v>49012012</v>
      </c>
      <c r="D42" s="22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あなたも私の邪魔をするの？</v>
      </c>
      <c r="E42" s="2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ナイフを構えて襲いかかってくる！</v>
      </c>
      <c r="F42" s="23">
        <v>49012012</v>
      </c>
      <c r="G42" s="24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24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24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24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24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24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24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24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24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23"/>
      <c r="Q42" s="23"/>
      <c r="R42" s="23"/>
    </row>
    <row r="43" spans="1:18" ht="21" customHeight="1" x14ac:dyDescent="0.15">
      <c r="A43" s="15" t="str">
        <f t="shared" si="0"/>
        <v>49012010_49012013</v>
      </c>
      <c r="B43" s="23">
        <v>49012010</v>
      </c>
      <c r="C43" s="23">
        <v>49012013</v>
      </c>
      <c r="D43" s="2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後は子供たちに任せるわ・・・</v>
      </c>
      <c r="E43" s="2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こちらに人影が迫ってくる！</v>
      </c>
      <c r="F43" s="23">
        <v>49012013</v>
      </c>
      <c r="G43" s="2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24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2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24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2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2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2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24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3" s="2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23"/>
      <c r="Q43" s="23"/>
      <c r="R43" s="23"/>
    </row>
    <row r="44" spans="1:18" ht="21" customHeight="1" x14ac:dyDescent="0.15">
      <c r="A44" s="15" t="str">
        <f t="shared" si="0"/>
        <v>49012010_49012014</v>
      </c>
      <c r="B44" s="23">
        <v>49012010</v>
      </c>
      <c r="C44" s="23">
        <v>49012014</v>
      </c>
      <c r="D44" s="2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・・・・・・・・・！</v>
      </c>
      <c r="E44" s="2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何かに気を取られているようだ・・・</v>
      </c>
      <c r="F44" s="23">
        <v>49012014</v>
      </c>
      <c r="G44" s="2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2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2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2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2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2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2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2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2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23"/>
      <c r="Q44" s="23"/>
      <c r="R44" s="23"/>
    </row>
    <row r="45" spans="1:18" ht="21" customHeight="1" x14ac:dyDescent="0.15">
      <c r="A45" s="15" t="str">
        <f t="shared" si="0"/>
        <v>49012010_49012015</v>
      </c>
      <c r="B45" s="23">
        <v>49012010</v>
      </c>
      <c r="C45" s="23">
        <v>49012015</v>
      </c>
      <c r="D45" s="2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あなたに構う暇は無くなったわ</v>
      </c>
      <c r="E45" s="2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何かを追うように去っていく・・・</v>
      </c>
      <c r="F45" s="23">
        <v>49012015</v>
      </c>
      <c r="G45" s="2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2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2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24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2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2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2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24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2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23"/>
      <c r="Q45" s="23"/>
      <c r="R45" s="23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topLeftCell="E1" workbookViewId="0">
      <selection activeCell="D10" sqref="D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0" t="s">
        <v>148</v>
      </c>
      <c r="B1" s="40" t="s">
        <v>149</v>
      </c>
      <c r="C1" s="41" t="s">
        <v>150</v>
      </c>
      <c r="D1" s="46" t="s">
        <v>151</v>
      </c>
      <c r="E1" s="42" t="s">
        <v>152</v>
      </c>
      <c r="F1" s="40" t="s">
        <v>153</v>
      </c>
      <c r="G1" s="40" t="s">
        <v>154</v>
      </c>
      <c r="H1" s="40" t="s">
        <v>155</v>
      </c>
      <c r="I1" s="40" t="s">
        <v>156</v>
      </c>
      <c r="J1" s="40" t="s">
        <v>157</v>
      </c>
      <c r="K1" s="40" t="s">
        <v>158</v>
      </c>
      <c r="L1" s="40" t="s">
        <v>159</v>
      </c>
      <c r="M1" s="40" t="s">
        <v>160</v>
      </c>
      <c r="N1" s="40" t="s">
        <v>161</v>
      </c>
      <c r="O1" s="40" t="s">
        <v>162</v>
      </c>
      <c r="P1" s="40" t="s">
        <v>163</v>
      </c>
      <c r="Q1" s="40" t="s">
        <v>164</v>
      </c>
      <c r="R1" s="40" t="s">
        <v>165</v>
      </c>
    </row>
    <row r="2" spans="1:18" x14ac:dyDescent="0.15">
      <c r="A2" s="153">
        <f>floors!$C$2</f>
        <v>49012</v>
      </c>
      <c r="B2" s="138">
        <v>1</v>
      </c>
      <c r="C2" s="138" t="str">
        <f t="shared" ref="C2:C8" si="0">A2&amp; "_"&amp;B2</f>
        <v>49012_1</v>
      </c>
      <c r="D2" s="13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38">
        <v>1</v>
      </c>
      <c r="F2" s="138" t="s">
        <v>355</v>
      </c>
      <c r="G2" s="138">
        <v>698</v>
      </c>
      <c r="H2" s="138">
        <v>1</v>
      </c>
      <c r="I2" s="138">
        <v>1</v>
      </c>
      <c r="J2" s="138">
        <v>1</v>
      </c>
      <c r="K2" s="138">
        <v>0</v>
      </c>
      <c r="L2" s="138">
        <v>0</v>
      </c>
      <c r="M2" s="138">
        <v>0</v>
      </c>
      <c r="N2" s="138">
        <v>0</v>
      </c>
      <c r="O2" s="138">
        <v>1</v>
      </c>
      <c r="P2" s="138">
        <v>500</v>
      </c>
      <c r="Q2" s="138" t="s">
        <v>166</v>
      </c>
      <c r="R2" s="138" t="s">
        <v>167</v>
      </c>
    </row>
    <row r="3" spans="1:18" x14ac:dyDescent="0.15">
      <c r="A3" s="153">
        <f>floors!$C$2</f>
        <v>49012</v>
      </c>
      <c r="B3" s="138">
        <v>1</v>
      </c>
      <c r="C3" s="138" t="str">
        <f t="shared" si="0"/>
        <v>49012_1</v>
      </c>
      <c r="D3" s="13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38">
        <v>2</v>
      </c>
      <c r="F3" s="138" t="s">
        <v>355</v>
      </c>
      <c r="G3" s="138">
        <v>334</v>
      </c>
      <c r="H3" s="138">
        <v>1</v>
      </c>
      <c r="I3" s="138">
        <v>1</v>
      </c>
      <c r="J3" s="138">
        <v>1</v>
      </c>
      <c r="K3" s="138">
        <v>0</v>
      </c>
      <c r="L3" s="138">
        <v>0</v>
      </c>
      <c r="M3" s="138">
        <v>0</v>
      </c>
      <c r="N3" s="138">
        <v>0</v>
      </c>
      <c r="O3" s="138">
        <v>1</v>
      </c>
      <c r="P3" s="138">
        <v>50</v>
      </c>
      <c r="Q3" s="138" t="s">
        <v>166</v>
      </c>
      <c r="R3" s="138" t="s">
        <v>167</v>
      </c>
    </row>
    <row r="4" spans="1:18" x14ac:dyDescent="0.15">
      <c r="A4" s="153">
        <f>floors!$C$2</f>
        <v>49012</v>
      </c>
      <c r="B4" s="138">
        <v>1</v>
      </c>
      <c r="C4" s="138" t="str">
        <f t="shared" si="0"/>
        <v>49012_1</v>
      </c>
      <c r="D4" s="13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38">
        <v>3</v>
      </c>
      <c r="F4" s="138" t="s">
        <v>355</v>
      </c>
      <c r="G4" s="138">
        <v>348</v>
      </c>
      <c r="H4" s="138">
        <v>1</v>
      </c>
      <c r="I4" s="138">
        <v>1</v>
      </c>
      <c r="J4" s="138">
        <v>1</v>
      </c>
      <c r="K4" s="138">
        <v>0</v>
      </c>
      <c r="L4" s="138">
        <v>0</v>
      </c>
      <c r="M4" s="138">
        <v>0</v>
      </c>
      <c r="N4" s="138">
        <v>0</v>
      </c>
      <c r="O4" s="138">
        <v>1</v>
      </c>
      <c r="P4" s="138">
        <v>120</v>
      </c>
      <c r="Q4" s="138" t="s">
        <v>166</v>
      </c>
      <c r="R4" s="138" t="s">
        <v>167</v>
      </c>
    </row>
    <row r="5" spans="1:18" x14ac:dyDescent="0.15">
      <c r="A5" s="153">
        <f>floors!$C$2</f>
        <v>49012</v>
      </c>
      <c r="B5" s="138">
        <v>1</v>
      </c>
      <c r="C5" s="138" t="str">
        <f t="shared" si="0"/>
        <v>49012_1</v>
      </c>
      <c r="D5" s="13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38">
        <v>4</v>
      </c>
      <c r="F5" s="138" t="s">
        <v>355</v>
      </c>
      <c r="G5" s="138">
        <v>607</v>
      </c>
      <c r="H5" s="138">
        <v>1</v>
      </c>
      <c r="I5" s="138">
        <v>1</v>
      </c>
      <c r="J5" s="138">
        <v>1</v>
      </c>
      <c r="K5" s="138">
        <v>0</v>
      </c>
      <c r="L5" s="138">
        <v>0</v>
      </c>
      <c r="M5" s="138">
        <v>0</v>
      </c>
      <c r="N5" s="138">
        <v>0</v>
      </c>
      <c r="O5" s="138">
        <v>1</v>
      </c>
      <c r="P5" s="138">
        <v>100</v>
      </c>
      <c r="Q5" s="138" t="s">
        <v>166</v>
      </c>
      <c r="R5" s="138" t="s">
        <v>167</v>
      </c>
    </row>
    <row r="6" spans="1:18" x14ac:dyDescent="0.15">
      <c r="A6" s="153">
        <f>floors!$C$2</f>
        <v>49012</v>
      </c>
      <c r="B6" s="138">
        <v>1</v>
      </c>
      <c r="C6" s="138" t="str">
        <f t="shared" si="0"/>
        <v>49012_1</v>
      </c>
      <c r="D6" s="13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38">
        <v>5</v>
      </c>
      <c r="F6" s="138" t="s">
        <v>355</v>
      </c>
      <c r="G6" s="138">
        <v>608</v>
      </c>
      <c r="H6" s="138">
        <v>1</v>
      </c>
      <c r="I6" s="138">
        <v>1</v>
      </c>
      <c r="J6" s="138">
        <v>1</v>
      </c>
      <c r="K6" s="138">
        <v>0</v>
      </c>
      <c r="L6" s="138">
        <v>0</v>
      </c>
      <c r="M6" s="138">
        <v>0</v>
      </c>
      <c r="N6" s="138">
        <v>0</v>
      </c>
      <c r="O6" s="138">
        <v>1</v>
      </c>
      <c r="P6" s="138">
        <v>100</v>
      </c>
      <c r="Q6" s="138" t="s">
        <v>166</v>
      </c>
      <c r="R6" s="138" t="s">
        <v>167</v>
      </c>
    </row>
    <row r="7" spans="1:18" x14ac:dyDescent="0.15">
      <c r="A7" s="153">
        <f>floors!$C$2</f>
        <v>49012</v>
      </c>
      <c r="B7" s="138">
        <v>1</v>
      </c>
      <c r="C7" s="138" t="str">
        <f t="shared" si="0"/>
        <v>49012_1</v>
      </c>
      <c r="D7" s="13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38">
        <v>6</v>
      </c>
      <c r="F7" s="138" t="s">
        <v>355</v>
      </c>
      <c r="G7" s="139">
        <v>609</v>
      </c>
      <c r="H7" s="138">
        <v>1</v>
      </c>
      <c r="I7" s="138">
        <v>1</v>
      </c>
      <c r="J7" s="138">
        <v>1</v>
      </c>
      <c r="K7" s="138">
        <v>0</v>
      </c>
      <c r="L7" s="138">
        <v>0</v>
      </c>
      <c r="M7" s="138">
        <v>0</v>
      </c>
      <c r="N7" s="138">
        <v>0</v>
      </c>
      <c r="O7" s="138">
        <v>1</v>
      </c>
      <c r="P7" s="138">
        <v>100</v>
      </c>
      <c r="Q7" s="138" t="s">
        <v>166</v>
      </c>
      <c r="R7" s="138" t="s">
        <v>167</v>
      </c>
    </row>
    <row r="8" spans="1:18" s="152" customFormat="1" x14ac:dyDescent="0.15">
      <c r="A8" s="153">
        <f>floors!$C$2</f>
        <v>49012</v>
      </c>
      <c r="B8" s="138">
        <v>1</v>
      </c>
      <c r="C8" s="138" t="str">
        <f t="shared" si="0"/>
        <v>49012_1</v>
      </c>
      <c r="D8" s="13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38">
        <v>7</v>
      </c>
      <c r="F8" s="138" t="s">
        <v>355</v>
      </c>
      <c r="G8" s="138">
        <v>125</v>
      </c>
      <c r="H8" s="138">
        <v>1</v>
      </c>
      <c r="I8" s="138">
        <v>1</v>
      </c>
      <c r="J8" s="138">
        <v>1</v>
      </c>
      <c r="K8" s="138">
        <v>0</v>
      </c>
      <c r="L8" s="138">
        <v>0</v>
      </c>
      <c r="M8" s="138">
        <v>0</v>
      </c>
      <c r="N8" s="138">
        <v>0</v>
      </c>
      <c r="O8" s="138">
        <v>1</v>
      </c>
      <c r="P8" s="138">
        <v>30</v>
      </c>
      <c r="Q8" s="138" t="s">
        <v>166</v>
      </c>
      <c r="R8" s="138" t="s">
        <v>167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6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0" t="s">
        <v>184</v>
      </c>
      <c r="B1" s="47" t="s">
        <v>185</v>
      </c>
      <c r="C1" s="51" t="s">
        <v>186</v>
      </c>
      <c r="D1" s="51" t="s">
        <v>33</v>
      </c>
      <c r="E1" s="47" t="s">
        <v>187</v>
      </c>
      <c r="F1" s="51" t="s">
        <v>188</v>
      </c>
      <c r="G1" s="51" t="s">
        <v>33</v>
      </c>
      <c r="H1" s="47" t="s">
        <v>189</v>
      </c>
      <c r="I1" s="65" t="s">
        <v>191</v>
      </c>
      <c r="J1" s="53" t="s">
        <v>125</v>
      </c>
      <c r="K1" s="52" t="s">
        <v>183</v>
      </c>
      <c r="L1" s="66" t="s">
        <v>182</v>
      </c>
      <c r="M1" s="54" t="s">
        <v>192</v>
      </c>
    </row>
    <row r="2" spans="1:13" x14ac:dyDescent="0.15">
      <c r="A2" s="55" t="s">
        <v>196</v>
      </c>
      <c r="B2" s="56">
        <f>floors!$C$2</f>
        <v>49012</v>
      </c>
      <c r="C2" s="57" t="str">
        <f ca="1">VLOOKUP($B2,OFFSET([2]quests!$A$1,0,0,COUNTA([2]quests!$A:$A),MATCH(C$1,[2]quests!$1:$1,0)-MATCH($B$1,[2]quests!$1:$1,0)+1),MATCH(C$1,[2]quests!$1:$1,0)-MATCH($B$1,[2]quests!$1:$1,0)+1,FALSE)</f>
        <v>園原杏里襲来！</v>
      </c>
      <c r="D2" s="57" t="str">
        <f ca="1">VLOOKUP($B2,OFFSET([2]quests!$A$1,0,0,COUNTA([2]quests!$A:$A),MATCH(D$1,[2]quests!$1:$1,0)-MATCH($B$1,[2]quests!$1:$1,0)+1),MATCH(D$1,[2]quests!$1:$1,0)-MATCH($B$1,[2]quests!$1:$1,0)+1,FALSE)</f>
        <v>コラボ降臨2（復刻）</v>
      </c>
      <c r="E2" s="61">
        <v>1</v>
      </c>
      <c r="F2" s="57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2" s="57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コラボ降臨2（復刻）</v>
      </c>
      <c r="H2" s="59">
        <v>0</v>
      </c>
      <c r="I2">
        <v>12</v>
      </c>
      <c r="J2" s="58" t="s">
        <v>194</v>
      </c>
      <c r="K2" s="67" t="str">
        <f>VLOOKUP(I2,[6]stage_hints!$A:$C,3,FALSE)</f>
        <v>ユニットのお気に入り登録</v>
      </c>
      <c r="L2" s="68" t="str">
        <f>VLOOKUP(I2,[6]stage_hints!$A:$D,4,FALSE)</f>
        <v>大事なユニットを誤って消さないように_x000D_フォルダから「お気に入り登録」しましょう</v>
      </c>
      <c r="M2" s="33" t="s">
        <v>206</v>
      </c>
    </row>
    <row r="3" spans="1:13" x14ac:dyDescent="0.15">
      <c r="A3" s="55" t="s">
        <v>196</v>
      </c>
      <c r="B3" s="56">
        <f>floors!$C$2</f>
        <v>49012</v>
      </c>
      <c r="C3" s="57" t="str">
        <f ca="1">VLOOKUP($B3,OFFSET([2]quests!$A$1,0,0,COUNTA([2]quests!$A:$A),MATCH(C$1,[2]quests!$1:$1,0)-MATCH($B$1,[2]quests!$1:$1,0)+1),MATCH(C$1,[2]quests!$1:$1,0)-MATCH($B$1,[2]quests!$1:$1,0)+1,FALSE)</f>
        <v>園原杏里襲来！</v>
      </c>
      <c r="D3" s="57" t="str">
        <f ca="1">VLOOKUP($B3,OFFSET([2]quests!$A$1,0,0,COUNTA([2]quests!$A:$A),MATCH(D$1,[2]quests!$1:$1,0)-MATCH($B$1,[2]quests!$1:$1,0)+1),MATCH(D$1,[2]quests!$1:$1,0)-MATCH($B$1,[2]quests!$1:$1,0)+1,FALSE)</f>
        <v>コラボ降臨2（復刻）</v>
      </c>
      <c r="E3" s="61">
        <v>1</v>
      </c>
      <c r="F3" s="57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3" s="57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コラボ降臨2（復刻）</v>
      </c>
      <c r="H3" s="59">
        <v>0</v>
      </c>
      <c r="I3">
        <v>17</v>
      </c>
      <c r="J3" s="58" t="s">
        <v>194</v>
      </c>
      <c r="K3" s="67" t="str">
        <f>VLOOKUP(I3,[6]stage_hints!$A:$C,3,FALSE)</f>
        <v>リンクガチャ</v>
      </c>
      <c r="L3" s="68" t="str">
        <f>VLOOKUP(I3,[6]stage_hints!$A:$D,4,FALSE)</f>
        <v>無料のリンクガチャを回して_x000D_経験値素材や売却素材を獲得しましょう</v>
      </c>
      <c r="M3" s="33" t="s">
        <v>206</v>
      </c>
    </row>
    <row r="4" spans="1:13" x14ac:dyDescent="0.15">
      <c r="A4" s="55" t="s">
        <v>196</v>
      </c>
      <c r="B4" s="56">
        <f>floors!$C$2</f>
        <v>49012</v>
      </c>
      <c r="C4" s="57" t="str">
        <f ca="1">VLOOKUP($B4,OFFSET([2]quests!$A$1,0,0,COUNTA([2]quests!$A:$A),MATCH(C$1,[2]quests!$1:$1,0)-MATCH($B$1,[2]quests!$1:$1,0)+1),MATCH(C$1,[2]quests!$1:$1,0)-MATCH($B$1,[2]quests!$1:$1,0)+1,FALSE)</f>
        <v>園原杏里襲来！</v>
      </c>
      <c r="D4" s="57" t="str">
        <f ca="1">VLOOKUP($B4,OFFSET([2]quests!$A$1,0,0,COUNTA([2]quests!$A:$A),MATCH(D$1,[2]quests!$1:$1,0)-MATCH($B$1,[2]quests!$1:$1,0)+1),MATCH(D$1,[2]quests!$1:$1,0)-MATCH($B$1,[2]quests!$1:$1,0)+1,FALSE)</f>
        <v>コラボ降臨2（復刻）</v>
      </c>
      <c r="E4" s="61">
        <v>1</v>
      </c>
      <c r="F4" s="57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4" s="57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コラボ降臨2（復刻）</v>
      </c>
      <c r="H4" s="59">
        <v>0</v>
      </c>
      <c r="I4">
        <v>19</v>
      </c>
      <c r="J4" s="58" t="s">
        <v>194</v>
      </c>
      <c r="K4" s="67" t="str">
        <f>VLOOKUP(I4,[6]stage_hints!$A:$C,3,FALSE)</f>
        <v>ソロ専用チャレンジタワー</v>
      </c>
      <c r="L4" s="68" t="str">
        <f>VLOOKUP(I4,[6]stage_hints!$A:$D,4,FALSE)</f>
        <v>ソロ専用の「チャレンジタワー」では_x000D_各フロアごとにクリア報酬がもらえます</v>
      </c>
      <c r="M4" s="33" t="s">
        <v>206</v>
      </c>
    </row>
    <row r="5" spans="1:13" x14ac:dyDescent="0.15">
      <c r="A5" s="55" t="s">
        <v>196</v>
      </c>
      <c r="B5" s="56">
        <f>floors!$C$2</f>
        <v>49012</v>
      </c>
      <c r="C5" s="57" t="str">
        <f ca="1">VLOOKUP($B5,OFFSET([2]quests!$A$1,0,0,COUNTA([2]quests!$A:$A),MATCH(C$1,[2]quests!$1:$1,0)-MATCH($B$1,[2]quests!$1:$1,0)+1),MATCH(C$1,[2]quests!$1:$1,0)-MATCH($B$1,[2]quests!$1:$1,0)+1,FALSE)</f>
        <v>園原杏里襲来！</v>
      </c>
      <c r="D5" s="57" t="str">
        <f ca="1">VLOOKUP($B5,OFFSET([2]quests!$A$1,0,0,COUNTA([2]quests!$A:$A),MATCH(D$1,[2]quests!$1:$1,0)-MATCH($B$1,[2]quests!$1:$1,0)+1),MATCH(D$1,[2]quests!$1:$1,0)-MATCH($B$1,[2]quests!$1:$1,0)+1,FALSE)</f>
        <v>コラボ降臨2（復刻）</v>
      </c>
      <c r="E5" s="61">
        <v>1</v>
      </c>
      <c r="F5" s="57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5" s="57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コラボ降臨2（復刻）</v>
      </c>
      <c r="H5" s="59">
        <v>0</v>
      </c>
      <c r="I5">
        <v>21</v>
      </c>
      <c r="J5" s="58" t="s">
        <v>194</v>
      </c>
      <c r="K5" s="67" t="str">
        <f>VLOOKUP(I5,[6]stage_hints!$A:$C,3,FALSE)</f>
        <v>スキルを有効に</v>
      </c>
      <c r="L5" s="68" t="str">
        <f>VLOOKUP(I5,[6]stage_hints!$A:$D,4,FALSE)</f>
        <v>ターン経過でユニットのスキルが使えます_x000D_強力スキルでバトルを有利に進めましょう</v>
      </c>
      <c r="M5" s="33" t="s">
        <v>206</v>
      </c>
    </row>
    <row r="6" spans="1:13" x14ac:dyDescent="0.15">
      <c r="A6" s="55" t="s">
        <v>196</v>
      </c>
      <c r="B6" s="56">
        <f>floors!$C$2</f>
        <v>49012</v>
      </c>
      <c r="C6" s="57" t="str">
        <f ca="1">VLOOKUP($B6,OFFSET([2]quests!$A$1,0,0,COUNTA([2]quests!$A:$A),MATCH(C$1,[2]quests!$1:$1,0)-MATCH($B$1,[2]quests!$1:$1,0)+1),MATCH(C$1,[2]quests!$1:$1,0)-MATCH($B$1,[2]quests!$1:$1,0)+1,FALSE)</f>
        <v>園原杏里襲来！</v>
      </c>
      <c r="D6" s="57" t="str">
        <f ca="1">VLOOKUP($B6,OFFSET([2]quests!$A$1,0,0,COUNTA([2]quests!$A:$A),MATCH(D$1,[2]quests!$1:$1,0)-MATCH($B$1,[2]quests!$1:$1,0)+1),MATCH(D$1,[2]quests!$1:$1,0)-MATCH($B$1,[2]quests!$1:$1,0)+1,FALSE)</f>
        <v>コラボ降臨2（復刻）</v>
      </c>
      <c r="E6" s="61">
        <v>1</v>
      </c>
      <c r="F6" s="57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6" s="57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コラボ降臨2（復刻）</v>
      </c>
      <c r="H6" s="59">
        <v>0</v>
      </c>
      <c r="I6">
        <v>29</v>
      </c>
      <c r="J6" s="58" t="s">
        <v>194</v>
      </c>
      <c r="K6" s="67" t="str">
        <f>VLOOKUP(I6,[6]stage_hints!$A:$C,3,FALSE)</f>
        <v>「バグ」のメリット</v>
      </c>
      <c r="L6" s="68" t="str">
        <f>VLOOKUP(I6,[6]stage_hints!$A:$D,4,FALSE)</f>
        <v>ユニットの「バグ」を増やすと_x000D_報酬をもらえる確率がアップします</v>
      </c>
      <c r="M6" s="33" t="s">
        <v>206</v>
      </c>
    </row>
    <row r="7" spans="1:13" x14ac:dyDescent="0.15">
      <c r="A7" s="55" t="s">
        <v>196</v>
      </c>
      <c r="B7" s="56">
        <f>floors!$C$2</f>
        <v>49012</v>
      </c>
      <c r="C7" s="57" t="str">
        <f ca="1">VLOOKUP($B7,OFFSET([2]quests!$A$1,0,0,COUNTA([2]quests!$A:$A),MATCH(C$1,[2]quests!$1:$1,0)-MATCH($B$1,[2]quests!$1:$1,0)+1),MATCH(C$1,[2]quests!$1:$1,0)-MATCH($B$1,[2]quests!$1:$1,0)+1,FALSE)</f>
        <v>園原杏里襲来！</v>
      </c>
      <c r="D7" s="57" t="str">
        <f ca="1">VLOOKUP($B7,OFFSET([2]quests!$A$1,0,0,COUNTA([2]quests!$A:$A),MATCH(D$1,[2]quests!$1:$1,0)-MATCH($B$1,[2]quests!$1:$1,0)+1),MATCH(D$1,[2]quests!$1:$1,0)-MATCH($B$1,[2]quests!$1:$1,0)+1,FALSE)</f>
        <v>コラボ降臨2（復刻）</v>
      </c>
      <c r="E7" s="61">
        <v>1</v>
      </c>
      <c r="F7" s="57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7" s="57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コラボ降臨2（復刻）</v>
      </c>
      <c r="H7" s="59">
        <v>0</v>
      </c>
      <c r="I7">
        <v>30</v>
      </c>
      <c r="J7" s="58" t="s">
        <v>194</v>
      </c>
      <c r="K7" s="67" t="str">
        <f>VLOOKUP(I7,[6]stage_hints!$A:$C,3,FALSE)</f>
        <v>「バグ」の増やし方</v>
      </c>
      <c r="L7" s="68" t="str">
        <f>VLOOKUP(I7,[6]stage_hints!$A:$D,4,FALSE)</f>
        <v>同じユニット同士を強化で合成すると_x000D_「バグ」を増やすことができます</v>
      </c>
      <c r="M7" s="33" t="s">
        <v>206</v>
      </c>
    </row>
    <row r="8" spans="1:13" x14ac:dyDescent="0.15">
      <c r="A8" s="55" t="s">
        <v>196</v>
      </c>
      <c r="B8" s="56">
        <f>floors!$C$2</f>
        <v>49012</v>
      </c>
      <c r="C8" s="57" t="str">
        <f ca="1">VLOOKUP($B8,OFFSET([2]quests!$A$1,0,0,COUNTA([2]quests!$A:$A),MATCH(C$1,[2]quests!$1:$1,0)-MATCH($B$1,[2]quests!$1:$1,0)+1),MATCH(C$1,[2]quests!$1:$1,0)-MATCH($B$1,[2]quests!$1:$1,0)+1,FALSE)</f>
        <v>園原杏里襲来！</v>
      </c>
      <c r="D8" s="57" t="str">
        <f ca="1">VLOOKUP($B8,OFFSET([2]quests!$A$1,0,0,COUNTA([2]quests!$A:$A),MATCH(D$1,[2]quests!$1:$1,0)-MATCH($B$1,[2]quests!$1:$1,0)+1),MATCH(D$1,[2]quests!$1:$1,0)-MATCH($B$1,[2]quests!$1:$1,0)+1,FALSE)</f>
        <v>コラボ降臨2（復刻）</v>
      </c>
      <c r="E8" s="61">
        <v>1</v>
      </c>
      <c r="F8" s="57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8" s="57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コラボ降臨2（復刻）</v>
      </c>
      <c r="H8" s="59">
        <v>0</v>
      </c>
      <c r="I8">
        <v>32</v>
      </c>
      <c r="J8" s="58" t="s">
        <v>194</v>
      </c>
      <c r="K8" s="67" t="str">
        <f>VLOOKUP(I8,[6]stage_hints!$A:$C,3,FALSE)</f>
        <v>敵の連続攻撃には</v>
      </c>
      <c r="L8" s="68" t="str">
        <f>VLOOKUP(I8,[6]stage_hints!$A:$D,4,FALSE)</f>
        <v>カウンタースキルを持つユニットがいれば_x000D_ダメージ回数分の反撃ができます</v>
      </c>
      <c r="M8" s="33" t="s">
        <v>206</v>
      </c>
    </row>
    <row r="9" spans="1:13" x14ac:dyDescent="0.15">
      <c r="A9" s="55" t="s">
        <v>196</v>
      </c>
      <c r="B9" s="56">
        <f>floors!$C$2</f>
        <v>49012</v>
      </c>
      <c r="C9" s="57" t="str">
        <f ca="1">VLOOKUP($B9,OFFSET([2]quests!$A$1,0,0,COUNTA([2]quests!$A:$A),MATCH(C$1,[2]quests!$1:$1,0)-MATCH($B$1,[2]quests!$1:$1,0)+1),MATCH(C$1,[2]quests!$1:$1,0)-MATCH($B$1,[2]quests!$1:$1,0)+1,FALSE)</f>
        <v>園原杏里襲来！</v>
      </c>
      <c r="D9" s="57" t="str">
        <f ca="1">VLOOKUP($B9,OFFSET([2]quests!$A$1,0,0,COUNTA([2]quests!$A:$A),MATCH(D$1,[2]quests!$1:$1,0)-MATCH($B$1,[2]quests!$1:$1,0)+1),MATCH(D$1,[2]quests!$1:$1,0)-MATCH($B$1,[2]quests!$1:$1,0)+1,FALSE)</f>
        <v>コラボ降臨2（復刻）</v>
      </c>
      <c r="E9" s="61">
        <v>1</v>
      </c>
      <c r="F9" s="57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9" s="57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コラボ降臨2（復刻）</v>
      </c>
      <c r="H9" s="59">
        <v>0</v>
      </c>
      <c r="I9">
        <v>33</v>
      </c>
      <c r="J9" s="58" t="s">
        <v>194</v>
      </c>
      <c r="K9" s="67" t="str">
        <f>VLOOKUP(I9,[6]stage_hints!$A:$C,3,FALSE)</f>
        <v>敵のカウンター攻撃には</v>
      </c>
      <c r="L9" s="68" t="str">
        <f>VLOOKUP(I9,[6]stage_hints!$A:$D,4,FALSE)</f>
        <v>カウンターブレイクスキルを持っていれば_x000D_敵のカウンターを解除して攻撃ができます</v>
      </c>
      <c r="M9" s="33" t="s">
        <v>206</v>
      </c>
    </row>
    <row r="10" spans="1:13" x14ac:dyDescent="0.15">
      <c r="A10" s="55" t="s">
        <v>196</v>
      </c>
      <c r="B10" s="56">
        <f>floors!$C$2</f>
        <v>49012</v>
      </c>
      <c r="C10" s="57" t="str">
        <f ca="1">VLOOKUP($B10,OFFSET([2]quests!$A$1,0,0,COUNTA([2]quests!$A:$A),MATCH(C$1,[2]quests!$1:$1,0)-MATCH($B$1,[2]quests!$1:$1,0)+1),MATCH(C$1,[2]quests!$1:$1,0)-MATCH($B$1,[2]quests!$1:$1,0)+1,FALSE)</f>
        <v>園原杏里襲来！</v>
      </c>
      <c r="D10" s="57" t="str">
        <f ca="1">VLOOKUP($B10,OFFSET([2]quests!$A$1,0,0,COUNTA([2]quests!$A:$A),MATCH(D$1,[2]quests!$1:$1,0)-MATCH($B$1,[2]quests!$1:$1,0)+1),MATCH(D$1,[2]quests!$1:$1,0)-MATCH($B$1,[2]quests!$1:$1,0)+1,FALSE)</f>
        <v>コラボ降臨2（復刻）</v>
      </c>
      <c r="E10" s="61">
        <v>1</v>
      </c>
      <c r="F10" s="57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10" s="57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コラボ降臨2（復刻）</v>
      </c>
      <c r="H10" s="59">
        <v>0</v>
      </c>
      <c r="I10">
        <v>34</v>
      </c>
      <c r="J10" s="58" t="s">
        <v>194</v>
      </c>
      <c r="K10" s="67" t="str">
        <f>VLOOKUP(I10,[6]stage_hints!$A:$C,3,FALSE)</f>
        <v>ステータスをスキルで下げられたら</v>
      </c>
      <c r="L10" s="68" t="str">
        <f>VLOOKUP(I10,[6]stage_hints!$A:$D,4,FALSE)</f>
        <v>ステータスダウンのスキルを受けたら_x000D_ステータスアップスキルで上書きしましょう</v>
      </c>
      <c r="M10" s="33" t="s">
        <v>206</v>
      </c>
    </row>
    <row r="11" spans="1:13" x14ac:dyDescent="0.15">
      <c r="A11" s="55" t="s">
        <v>196</v>
      </c>
      <c r="B11" s="56">
        <f>floors!$C$2</f>
        <v>49012</v>
      </c>
      <c r="C11" s="57" t="str">
        <f ca="1">VLOOKUP($B11,OFFSET([2]quests!$A$1,0,0,COUNTA([2]quests!$A:$A),MATCH(C$1,[2]quests!$1:$1,0)-MATCH($B$1,[2]quests!$1:$1,0)+1),MATCH(C$1,[2]quests!$1:$1,0)-MATCH($B$1,[2]quests!$1:$1,0)+1,FALSE)</f>
        <v>園原杏里襲来！</v>
      </c>
      <c r="D11" s="57" t="str">
        <f ca="1">VLOOKUP($B11,OFFSET([2]quests!$A$1,0,0,COUNTA([2]quests!$A:$A),MATCH(D$1,[2]quests!$1:$1,0)-MATCH($B$1,[2]quests!$1:$1,0)+1),MATCH(D$1,[2]quests!$1:$1,0)-MATCH($B$1,[2]quests!$1:$1,0)+1,FALSE)</f>
        <v>コラボ降臨2（復刻）</v>
      </c>
      <c r="E11" s="61">
        <v>1</v>
      </c>
      <c r="F11" s="57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11" s="57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コラボ降臨2（復刻）</v>
      </c>
      <c r="H11" s="59">
        <v>0</v>
      </c>
      <c r="I11">
        <v>35</v>
      </c>
      <c r="J11" s="58" t="s">
        <v>194</v>
      </c>
      <c r="K11" s="67" t="str">
        <f>VLOOKUP(I11,[6]stage_hints!$A:$C,3,FALSE)</f>
        <v>敵のステータスがスキルで上がったら</v>
      </c>
      <c r="L11" s="68" t="str">
        <f>VLOOKUP(I11,[6]stage_hints!$A:$D,4,FALSE)</f>
        <v>敵のステータスがスキルでアップしたときは_x000D_ステータスダウンスキルで上書きしましょう</v>
      </c>
      <c r="M11" s="33" t="s">
        <v>206</v>
      </c>
    </row>
    <row r="12" spans="1:13" x14ac:dyDescent="0.15">
      <c r="A12" s="55" t="s">
        <v>196</v>
      </c>
      <c r="B12" s="56">
        <f>floors!$C$2</f>
        <v>49012</v>
      </c>
      <c r="C12" s="57" t="str">
        <f ca="1">VLOOKUP($B12,OFFSET([2]quests!$A$1,0,0,COUNTA([2]quests!$A:$A),MATCH(C$1,[2]quests!$1:$1,0)-MATCH($B$1,[2]quests!$1:$1,0)+1),MATCH(C$1,[2]quests!$1:$1,0)-MATCH($B$1,[2]quests!$1:$1,0)+1,FALSE)</f>
        <v>園原杏里襲来！</v>
      </c>
      <c r="D12" s="57" t="str">
        <f ca="1">VLOOKUP($B12,OFFSET([2]quests!$A$1,0,0,COUNTA([2]quests!$A:$A),MATCH(D$1,[2]quests!$1:$1,0)-MATCH($B$1,[2]quests!$1:$1,0)+1),MATCH(D$1,[2]quests!$1:$1,0)-MATCH($B$1,[2]quests!$1:$1,0)+1,FALSE)</f>
        <v>コラボ降臨2（復刻）</v>
      </c>
      <c r="E12" s="61">
        <v>1</v>
      </c>
      <c r="F12" s="57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12" s="57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コラボ降臨2（復刻）</v>
      </c>
      <c r="H12" s="59">
        <v>0</v>
      </c>
      <c r="I12">
        <v>36</v>
      </c>
      <c r="J12" s="58" t="s">
        <v>194</v>
      </c>
      <c r="K12" s="67" t="str">
        <f>VLOOKUP(I12,[6]stage_hints!$A:$C,3,FALSE)</f>
        <v>チャレンジタワーのボス</v>
      </c>
      <c r="L12" s="68" t="str">
        <f>VLOOKUP(I12,[6]stage_hints!$A:$D,4,FALSE)</f>
        <v>チャレンジタワーでのみ登場するボスは_x000D_一定確率で獲得することができます</v>
      </c>
      <c r="M12" s="33" t="s">
        <v>206</v>
      </c>
    </row>
    <row r="13" spans="1:13" x14ac:dyDescent="0.15">
      <c r="A13" s="55" t="s">
        <v>196</v>
      </c>
      <c r="B13" s="56">
        <f>floors!$C$2</f>
        <v>49012</v>
      </c>
      <c r="C13" s="57" t="str">
        <f ca="1">VLOOKUP($B13,OFFSET([2]quests!$A$1,0,0,COUNTA([2]quests!$A:$A),MATCH(C$1,[2]quests!$1:$1,0)-MATCH($B$1,[2]quests!$1:$1,0)+1),MATCH(C$1,[2]quests!$1:$1,0)-MATCH($B$1,[2]quests!$1:$1,0)+1,FALSE)</f>
        <v>園原杏里襲来！</v>
      </c>
      <c r="D13" s="57" t="str">
        <f ca="1">VLOOKUP($B13,OFFSET([2]quests!$A$1,0,0,COUNTA([2]quests!$A:$A),MATCH(D$1,[2]quests!$1:$1,0)-MATCH($B$1,[2]quests!$1:$1,0)+1),MATCH(D$1,[2]quests!$1:$1,0)-MATCH($B$1,[2]quests!$1:$1,0)+1,FALSE)</f>
        <v>コラボ降臨2（復刻）</v>
      </c>
      <c r="E13" s="61">
        <v>1</v>
      </c>
      <c r="F13" s="57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13" s="57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コラボ降臨2（復刻）</v>
      </c>
      <c r="H13" s="59">
        <v>0</v>
      </c>
      <c r="I13">
        <v>37</v>
      </c>
      <c r="J13" s="58" t="s">
        <v>194</v>
      </c>
      <c r="K13" s="67" t="str">
        <f>VLOOKUP(I13,[6]stage_hints!$A:$C,3,FALSE)</f>
        <v>限界突破値の引き継ぎ</v>
      </c>
      <c r="L13" s="68" t="str">
        <f>VLOOKUP(I13,[6]stage_hints!$A:$D,4,FALSE)</f>
        <v>同じユニットを強化で合成すると_x000D_限界突破値を引き継げます（覚醒前後も可）</v>
      </c>
      <c r="M13" s="33" t="s">
        <v>206</v>
      </c>
    </row>
    <row r="14" spans="1:13" x14ac:dyDescent="0.15">
      <c r="A14" s="55" t="s">
        <v>196</v>
      </c>
      <c r="B14" s="56">
        <f>floors!$C$2</f>
        <v>49012</v>
      </c>
      <c r="C14" s="57" t="str">
        <f ca="1">VLOOKUP($B14,OFFSET([2]quests!$A$1,0,0,COUNTA([2]quests!$A:$A),MATCH(C$1,[2]quests!$1:$1,0)-MATCH($B$1,[2]quests!$1:$1,0)+1),MATCH(C$1,[2]quests!$1:$1,0)-MATCH($B$1,[2]quests!$1:$1,0)+1,FALSE)</f>
        <v>園原杏里襲来！</v>
      </c>
      <c r="D14" s="57" t="str">
        <f ca="1">VLOOKUP($B14,OFFSET([2]quests!$A$1,0,0,COUNTA([2]quests!$A:$A),MATCH(D$1,[2]quests!$1:$1,0)-MATCH($B$1,[2]quests!$1:$1,0)+1),MATCH(D$1,[2]quests!$1:$1,0)-MATCH($B$1,[2]quests!$1:$1,0)+1,FALSE)</f>
        <v>コラボ降臨2（復刻）</v>
      </c>
      <c r="E14" s="61">
        <v>1</v>
      </c>
      <c r="F14" s="57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14" s="57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コラボ降臨2（復刻）</v>
      </c>
      <c r="H14" s="59">
        <v>0</v>
      </c>
      <c r="I14">
        <v>39</v>
      </c>
      <c r="J14" s="58" t="s">
        <v>194</v>
      </c>
      <c r="K14" s="67" t="str">
        <f>VLOOKUP(I14,[6]stage_hints!$A:$C,3,FALSE)</f>
        <v>システム適合者を確認</v>
      </c>
      <c r="L14" s="68" t="str">
        <f>VLOOKUP(I14,[6]stage_hints!$A:$D,4,FALSE)</f>
        <v>ALICEが「アナタ」を呼んでいます</v>
      </c>
      <c r="M14" s="33" t="s">
        <v>206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 activeCell="H3" sqref="H3"/>
    </sheetView>
  </sheetViews>
  <sheetFormatPr baseColWidth="12" defaultColWidth="13" defaultRowHeight="15" outlineLevelCol="1" x14ac:dyDescent="0.15"/>
  <cols>
    <col min="1" max="1" width="13" style="6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0" t="s">
        <v>184</v>
      </c>
      <c r="B1" s="47" t="s">
        <v>148</v>
      </c>
      <c r="C1" s="51" t="s">
        <v>186</v>
      </c>
      <c r="D1" s="51" t="s">
        <v>33</v>
      </c>
      <c r="E1" s="47" t="s">
        <v>187</v>
      </c>
      <c r="F1" s="51" t="s">
        <v>18</v>
      </c>
      <c r="G1" s="51" t="s">
        <v>33</v>
      </c>
      <c r="H1" s="47" t="s">
        <v>189</v>
      </c>
      <c r="I1" s="63" t="s">
        <v>190</v>
      </c>
      <c r="J1" s="65" t="s">
        <v>191</v>
      </c>
      <c r="K1" s="53" t="s">
        <v>125</v>
      </c>
      <c r="L1" s="52" t="s">
        <v>183</v>
      </c>
      <c r="M1" s="66" t="s">
        <v>182</v>
      </c>
      <c r="N1" s="54" t="s">
        <v>192</v>
      </c>
    </row>
    <row r="2" spans="1:14" ht="42" x14ac:dyDescent="0.15">
      <c r="A2" s="55" t="s">
        <v>193</v>
      </c>
      <c r="B2" s="56">
        <f>floors!$C$2</f>
        <v>49012</v>
      </c>
      <c r="C2" s="57" t="str">
        <f ca="1">VLOOKUP($B2,OFFSET([2]quests!$A$1,0,0,COUNTA([2]quests!$A:$A),MATCH(C$1,[2]quests!$1:$1,0)-MATCH($B$1,[2]quests!$1:$1,0)+1),MATCH(C$1,[2]quests!$1:$1,0)-MATCH($B$1,[2]quests!$1:$1,0)+1,FALSE)</f>
        <v>園原杏里襲来！</v>
      </c>
      <c r="D2" s="57" t="str">
        <f ca="1">VLOOKUP($B2,OFFSET([2]quests!$A$1,0,0,COUNTA([2]quests!$A:$A),MATCH(D$1,[2]quests!$1:$1,0)-MATCH($B$1,[2]quests!$1:$1,0)+1),MATCH(D$1,[2]quests!$1:$1,0)-MATCH($B$1,[2]quests!$1:$1,0)+1,FALSE)</f>
        <v>コラボ降臨2（復刻）</v>
      </c>
      <c r="E2" s="58">
        <v>1</v>
      </c>
      <c r="F2" s="57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2" s="57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コラボ降臨2（復刻）</v>
      </c>
      <c r="H2" s="59">
        <v>0</v>
      </c>
      <c r="I2" s="64">
        <f>ROW()-1</f>
        <v>1</v>
      </c>
      <c r="J2" s="60" t="str">
        <f>B2&amp;TEXT(I2,"00")</f>
        <v>4901201</v>
      </c>
      <c r="K2" s="58" t="s">
        <v>249</v>
      </c>
      <c r="L2" s="61" t="s">
        <v>195</v>
      </c>
      <c r="M2" s="140" t="s">
        <v>329</v>
      </c>
      <c r="N2" s="33" t="s">
        <v>330</v>
      </c>
    </row>
    <row r="3" spans="1:14" ht="42" x14ac:dyDescent="0.15">
      <c r="A3" s="55" t="s">
        <v>193</v>
      </c>
      <c r="B3" s="56">
        <f>floors!$C$2</f>
        <v>49012</v>
      </c>
      <c r="C3" s="57" t="str">
        <f ca="1">VLOOKUP($B3,OFFSET([2]quests!$A$1,0,0,COUNTA([2]quests!$A:$A),MATCH(C$1,[2]quests!$1:$1,0)-MATCH($B$1,[2]quests!$1:$1,0)+1),MATCH(C$1,[2]quests!$1:$1,0)-MATCH($B$1,[2]quests!$1:$1,0)+1,FALSE)</f>
        <v>園原杏里襲来！</v>
      </c>
      <c r="D3" s="57" t="str">
        <f ca="1">VLOOKUP($B3,OFFSET([2]quests!$A$1,0,0,COUNTA([2]quests!$A:$A),MATCH(D$1,[2]quests!$1:$1,0)-MATCH($B$1,[2]quests!$1:$1,0)+1),MATCH(D$1,[2]quests!$1:$1,0)-MATCH($B$1,[2]quests!$1:$1,0)+1,FALSE)</f>
        <v>コラボ降臨2（復刻）</v>
      </c>
      <c r="E3" s="58">
        <v>1</v>
      </c>
      <c r="F3" s="57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3" s="57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コラボ降臨2（復刻）</v>
      </c>
      <c r="H3" s="59">
        <v>4</v>
      </c>
      <c r="I3" s="64">
        <f t="shared" ref="I3:I7" si="0">ROW()-1</f>
        <v>2</v>
      </c>
      <c r="J3" s="60" t="str">
        <f t="shared" ref="J3:J7" si="1">B3&amp;TEXT(I3,"00")</f>
        <v>4901202</v>
      </c>
      <c r="K3" s="58" t="s">
        <v>249</v>
      </c>
      <c r="L3" s="61" t="s">
        <v>195</v>
      </c>
      <c r="M3" s="140" t="s">
        <v>331</v>
      </c>
      <c r="N3" s="33" t="s">
        <v>330</v>
      </c>
    </row>
    <row r="4" spans="1:14" ht="42" x14ac:dyDescent="0.15">
      <c r="A4" s="55" t="s">
        <v>193</v>
      </c>
      <c r="B4" s="56">
        <f>floors!$C$2</f>
        <v>49012</v>
      </c>
      <c r="C4" s="57" t="str">
        <f ca="1">VLOOKUP($B4,OFFSET([2]quests!$A$1,0,0,COUNTA([2]quests!$A:$A),MATCH(C$1,[2]quests!$1:$1,0)-MATCH($B$1,[2]quests!$1:$1,0)+1),MATCH(C$1,[2]quests!$1:$1,0)-MATCH($B$1,[2]quests!$1:$1,0)+1,FALSE)</f>
        <v>園原杏里襲来！</v>
      </c>
      <c r="D4" s="57" t="str">
        <f ca="1">VLOOKUP($B4,OFFSET([2]quests!$A$1,0,0,COUNTA([2]quests!$A:$A),MATCH(D$1,[2]quests!$1:$1,0)-MATCH($B$1,[2]quests!$1:$1,0)+1),MATCH(D$1,[2]quests!$1:$1,0)-MATCH($B$1,[2]quests!$1:$1,0)+1,FALSE)</f>
        <v>コラボ降臨2（復刻）</v>
      </c>
      <c r="E4" s="58">
        <v>1</v>
      </c>
      <c r="F4" s="57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4" s="57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コラボ降臨2（復刻）</v>
      </c>
      <c r="H4" s="59">
        <v>4</v>
      </c>
      <c r="I4" s="64">
        <f t="shared" si="0"/>
        <v>3</v>
      </c>
      <c r="J4" s="60" t="str">
        <f t="shared" si="1"/>
        <v>4901203</v>
      </c>
      <c r="K4" s="58" t="s">
        <v>249</v>
      </c>
      <c r="L4" s="61" t="s">
        <v>195</v>
      </c>
      <c r="M4" s="140" t="s">
        <v>332</v>
      </c>
      <c r="N4" s="33" t="s">
        <v>330</v>
      </c>
    </row>
    <row r="5" spans="1:14" ht="42" x14ac:dyDescent="0.15">
      <c r="A5" s="55" t="s">
        <v>193</v>
      </c>
      <c r="B5" s="56">
        <f>floors!$C$2</f>
        <v>49012</v>
      </c>
      <c r="C5" s="57" t="str">
        <f ca="1">VLOOKUP($B5,OFFSET([2]quests!$A$1,0,0,COUNTA([2]quests!$A:$A),MATCH(C$1,[2]quests!$1:$1,0)-MATCH($B$1,[2]quests!$1:$1,0)+1),MATCH(C$1,[2]quests!$1:$1,0)-MATCH($B$1,[2]quests!$1:$1,0)+1,FALSE)</f>
        <v>園原杏里襲来！</v>
      </c>
      <c r="D5" s="57" t="str">
        <f ca="1">VLOOKUP($B5,OFFSET([2]quests!$A$1,0,0,COUNTA([2]quests!$A:$A),MATCH(D$1,[2]quests!$1:$1,0)-MATCH($B$1,[2]quests!$1:$1,0)+1),MATCH(D$1,[2]quests!$1:$1,0)-MATCH($B$1,[2]quests!$1:$1,0)+1,FALSE)</f>
        <v>コラボ降臨2（復刻）</v>
      </c>
      <c r="E5" s="58">
        <v>1</v>
      </c>
      <c r="F5" s="57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5" s="57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コラボ降臨2（復刻）</v>
      </c>
      <c r="H5" s="59">
        <v>4</v>
      </c>
      <c r="I5" s="64">
        <f t="shared" si="0"/>
        <v>4</v>
      </c>
      <c r="J5" s="60" t="str">
        <f t="shared" si="1"/>
        <v>4901204</v>
      </c>
      <c r="K5" s="58" t="s">
        <v>249</v>
      </c>
      <c r="L5" s="61" t="s">
        <v>195</v>
      </c>
      <c r="M5" s="140" t="s">
        <v>333</v>
      </c>
      <c r="N5" s="33" t="s">
        <v>330</v>
      </c>
    </row>
    <row r="6" spans="1:14" ht="42" x14ac:dyDescent="0.15">
      <c r="A6" s="55" t="s">
        <v>193</v>
      </c>
      <c r="B6" s="56">
        <f>floors!$C$2</f>
        <v>49012</v>
      </c>
      <c r="C6" s="57" t="str">
        <f ca="1">VLOOKUP($B6,OFFSET([2]quests!$A$1,0,0,COUNTA([2]quests!$A:$A),MATCH(C$1,[2]quests!$1:$1,0)-MATCH($B$1,[2]quests!$1:$1,0)+1),MATCH(C$1,[2]quests!$1:$1,0)-MATCH($B$1,[2]quests!$1:$1,0)+1,FALSE)</f>
        <v>園原杏里襲来！</v>
      </c>
      <c r="D6" s="57" t="str">
        <f ca="1">VLOOKUP($B6,OFFSET([2]quests!$A$1,0,0,COUNTA([2]quests!$A:$A),MATCH(D$1,[2]quests!$1:$1,0)-MATCH($B$1,[2]quests!$1:$1,0)+1),MATCH(D$1,[2]quests!$1:$1,0)-MATCH($B$1,[2]quests!$1:$1,0)+1,FALSE)</f>
        <v>コラボ降臨2（復刻）</v>
      </c>
      <c r="E6" s="58">
        <v>1</v>
      </c>
      <c r="F6" s="57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6" s="57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コラボ降臨2（復刻）</v>
      </c>
      <c r="H6" s="59">
        <v>5</v>
      </c>
      <c r="I6" s="64">
        <f t="shared" si="0"/>
        <v>5</v>
      </c>
      <c r="J6" s="60" t="str">
        <f t="shared" si="1"/>
        <v>4901205</v>
      </c>
      <c r="K6" s="58" t="s">
        <v>249</v>
      </c>
      <c r="L6" s="61" t="s">
        <v>195</v>
      </c>
      <c r="M6" s="140" t="s">
        <v>334</v>
      </c>
      <c r="N6" s="33" t="s">
        <v>330</v>
      </c>
    </row>
    <row r="7" spans="1:14" ht="43" thickBot="1" x14ac:dyDescent="0.2">
      <c r="A7" s="141" t="s">
        <v>193</v>
      </c>
      <c r="B7" s="142">
        <f>floors!$C$2</f>
        <v>49012</v>
      </c>
      <c r="C7" s="143" t="str">
        <f ca="1">VLOOKUP($B7,OFFSET([2]quests!$A$1,0,0,COUNTA([2]quests!$A:$A),MATCH(C$1,[2]quests!$1:$1,0)-MATCH($B$1,[2]quests!$1:$1,0)+1),MATCH(C$1,[2]quests!$1:$1,0)-MATCH($B$1,[2]quests!$1:$1,0)+1,FALSE)</f>
        <v>園原杏里襲来！</v>
      </c>
      <c r="D7" s="143" t="str">
        <f ca="1">VLOOKUP($B7,OFFSET([2]quests!$A$1,0,0,COUNTA([2]quests!$A:$A),MATCH(D$1,[2]quests!$1:$1,0)-MATCH($B$1,[2]quests!$1:$1,0)+1),MATCH(D$1,[2]quests!$1:$1,0)-MATCH($B$1,[2]quests!$1:$1,0)+1,FALSE)</f>
        <v>コラボ降臨2（復刻）</v>
      </c>
      <c r="E7" s="144">
        <v>1</v>
      </c>
      <c r="F7" s="14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7" s="143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コラボ降臨2（復刻）</v>
      </c>
      <c r="H7" s="145">
        <v>5</v>
      </c>
      <c r="I7" s="146">
        <f t="shared" si="0"/>
        <v>6</v>
      </c>
      <c r="J7" s="147" t="str">
        <f t="shared" si="1"/>
        <v>4901206</v>
      </c>
      <c r="K7" s="144" t="s">
        <v>249</v>
      </c>
      <c r="L7" s="148" t="s">
        <v>195</v>
      </c>
      <c r="M7" s="149" t="s">
        <v>335</v>
      </c>
      <c r="N7" s="150" t="s">
        <v>330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J6" sqref="J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70" t="s">
        <v>209</v>
      </c>
      <c r="B1" s="71" t="s">
        <v>210</v>
      </c>
      <c r="C1" s="51" t="s">
        <v>211</v>
      </c>
      <c r="D1" s="51" t="s">
        <v>33</v>
      </c>
      <c r="E1" s="71" t="s">
        <v>212</v>
      </c>
      <c r="F1" s="51" t="s">
        <v>213</v>
      </c>
      <c r="G1" s="51" t="s">
        <v>33</v>
      </c>
      <c r="H1" s="71" t="s">
        <v>214</v>
      </c>
      <c r="I1" s="71" t="s">
        <v>215</v>
      </c>
      <c r="J1" s="71" t="s">
        <v>216</v>
      </c>
      <c r="K1" s="47" t="s">
        <v>217</v>
      </c>
      <c r="L1" s="47" t="s">
        <v>218</v>
      </c>
      <c r="M1" s="47" t="s">
        <v>154</v>
      </c>
      <c r="N1" s="51" t="s">
        <v>16</v>
      </c>
      <c r="O1" s="47" t="s">
        <v>219</v>
      </c>
      <c r="P1" s="47" t="s">
        <v>57</v>
      </c>
      <c r="Q1" s="47" t="s">
        <v>220</v>
      </c>
      <c r="R1" s="47" t="s">
        <v>38</v>
      </c>
      <c r="S1" s="47" t="s">
        <v>40</v>
      </c>
      <c r="T1" s="47" t="s">
        <v>42</v>
      </c>
      <c r="U1" s="47" t="s">
        <v>44</v>
      </c>
      <c r="V1" s="47" t="s">
        <v>46</v>
      </c>
      <c r="W1" s="47" t="s">
        <v>221</v>
      </c>
      <c r="X1" s="47" t="s">
        <v>222</v>
      </c>
    </row>
    <row r="2" spans="1:24" x14ac:dyDescent="0.15">
      <c r="A2" s="72" t="str">
        <f>B2&amp;"_"&amp;E2&amp;"_"&amp;H2&amp;"_"&amp;I2&amp;"_"&amp;J2</f>
        <v>49012_1_everyone_no_continue_1</v>
      </c>
      <c r="B2" s="56">
        <v>49012</v>
      </c>
      <c r="C2" s="57" t="str">
        <f ca="1">VLOOKUP($B2,OFFSET([2]quests!$A$1,0,0,COUNTA([2]quests!$A:$A),MATCH(C$1,[2]quests!$1:$1,0)-MATCH($B$1,[2]quests!$1:$1,0)+1),MATCH(C$1,[2]quests!$1:$1,0)-MATCH($B$1,[2]quests!$1:$1,0)+1,FALSE)</f>
        <v>園原杏里襲来！</v>
      </c>
      <c r="D2" s="57" t="str">
        <f ca="1">VLOOKUP($B2,OFFSET([2]quests!$A$1,0,0,COUNTA([2]quests!$A:$A),MATCH(D$1,[2]quests!$1:$1,0)-MATCH($B$1,[2]quests!$1:$1,0)+1),MATCH(D$1,[2]quests!$1:$1,0)-MATCH($B$1,[2]quests!$1:$1,0)+1,FALSE)</f>
        <v>コラボ降臨2（復刻）</v>
      </c>
      <c r="E2" s="58">
        <v>1</v>
      </c>
      <c r="F2" s="57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2" s="57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コラボ降臨2（復刻）</v>
      </c>
      <c r="H2" s="59" t="s">
        <v>223</v>
      </c>
      <c r="I2" s="58" t="s">
        <v>327</v>
      </c>
      <c r="J2" s="58">
        <v>1</v>
      </c>
      <c r="K2" s="58">
        <v>100</v>
      </c>
      <c r="L2" s="58" t="s">
        <v>326</v>
      </c>
      <c r="M2" s="58">
        <v>698</v>
      </c>
      <c r="N2" s="7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園原杏里</v>
      </c>
      <c r="O2" s="58">
        <v>1</v>
      </c>
      <c r="P2" s="58">
        <v>1</v>
      </c>
      <c r="Q2" s="58">
        <v>1</v>
      </c>
      <c r="R2" s="58">
        <v>0</v>
      </c>
      <c r="S2" s="58">
        <v>0</v>
      </c>
      <c r="T2" s="58">
        <v>0</v>
      </c>
      <c r="U2" s="58">
        <v>0</v>
      </c>
      <c r="V2" s="58">
        <v>1</v>
      </c>
      <c r="W2" s="74" t="s">
        <v>224</v>
      </c>
      <c r="X2" s="75" t="s">
        <v>225</v>
      </c>
    </row>
    <row r="3" spans="1:24" x14ac:dyDescent="0.15">
      <c r="A3" s="72" t="str">
        <f>B3&amp;"_"&amp;E3&amp;"_"&amp;H3&amp;"_"&amp;I3&amp;"_"&amp;J3</f>
        <v>49012_1_everyone_full_member_1</v>
      </c>
      <c r="B3" s="56">
        <v>49012</v>
      </c>
      <c r="C3" s="57" t="str">
        <f ca="1">VLOOKUP($B3,OFFSET([2]quests!$A$1,0,0,COUNTA([2]quests!$A:$A),MATCH(C$1,[2]quests!$1:$1,0)-MATCH($B$1,[2]quests!$1:$1,0)+1),MATCH(C$1,[2]quests!$1:$1,0)-MATCH($B$1,[2]quests!$1:$1,0)+1,FALSE)</f>
        <v>園原杏里襲来！</v>
      </c>
      <c r="D3" s="57" t="str">
        <f ca="1">VLOOKUP($B3,OFFSET([2]quests!$A$1,0,0,COUNTA([2]quests!$A:$A),MATCH(D$1,[2]quests!$1:$1,0)-MATCH($B$1,[2]quests!$1:$1,0)+1),MATCH(D$1,[2]quests!$1:$1,0)-MATCH($B$1,[2]quests!$1:$1,0)+1,FALSE)</f>
        <v>コラボ降臨2（復刻）</v>
      </c>
      <c r="E3" s="58">
        <v>1</v>
      </c>
      <c r="F3" s="57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【ウィザード級】園原杏里襲来</v>
      </c>
      <c r="G3" s="57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コラボ降臨2（復刻）</v>
      </c>
      <c r="H3" s="59" t="s">
        <v>223</v>
      </c>
      <c r="I3" s="58" t="s">
        <v>328</v>
      </c>
      <c r="J3" s="58">
        <v>1</v>
      </c>
      <c r="K3" s="58">
        <v>100</v>
      </c>
      <c r="L3" s="58" t="s">
        <v>326</v>
      </c>
      <c r="M3" s="58">
        <v>698</v>
      </c>
      <c r="N3" s="7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園原杏里</v>
      </c>
      <c r="O3" s="58">
        <v>1</v>
      </c>
      <c r="P3" s="58">
        <v>1</v>
      </c>
      <c r="Q3" s="58">
        <v>1</v>
      </c>
      <c r="R3" s="58">
        <v>0</v>
      </c>
      <c r="S3" s="58">
        <v>0</v>
      </c>
      <c r="T3" s="58">
        <v>0</v>
      </c>
      <c r="U3" s="58">
        <v>0</v>
      </c>
      <c r="V3" s="58">
        <v>1</v>
      </c>
      <c r="W3" s="74" t="s">
        <v>224</v>
      </c>
      <c r="X3" s="7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2016-12-21T13:40:58Z</dcterms:modified>
</cp:coreProperties>
</file>