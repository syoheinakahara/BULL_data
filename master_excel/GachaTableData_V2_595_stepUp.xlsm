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600" windowWidth="38400" windowHeight="21600" tabRatio="943" activeTab="2"/>
  </bookViews>
  <sheets>
    <sheet name="確率の考え方" sheetId="110" r:id="rId1"/>
    <sheet name="Sheet1" sheetId="107" r:id="rId2"/>
    <sheet name="output" sheetId="103" r:id="rId3"/>
    <sheet name="input_595101" sheetId="157" r:id="rId4"/>
    <sheet name="tables_595101" sheetId="158" r:id="rId5"/>
    <sheet name="input_595104" sheetId="153" r:id="rId6"/>
    <sheet name="tables_595104" sheetId="154" r:id="rId7"/>
    <sheet name="input_settle_595105" sheetId="160" r:id="rId8"/>
    <sheet name="tables_settle_595105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tables_595101!$A$1:$V$346</definedName>
    <definedName name="_xlnm._FilterDatabase" localSheetId="6" hidden="1">tables_595104!$A$1:$V$294</definedName>
    <definedName name="_xlnm._FilterDatabase" localSheetId="8" hidden="1">tables_settle_595105!$A$1:$V$360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9" i="157" l="1"/>
  <c r="B28" i="157"/>
  <c r="B27" i="157"/>
  <c r="B29" i="153"/>
  <c r="B28" i="153"/>
  <c r="B27" i="153"/>
  <c r="I2" i="161"/>
  <c r="J2" i="161"/>
  <c r="D2" i="161"/>
  <c r="E2" i="161"/>
  <c r="F2" i="161"/>
  <c r="C2" i="161"/>
  <c r="I3" i="161"/>
  <c r="J3" i="161"/>
  <c r="D3" i="161"/>
  <c r="E3" i="161"/>
  <c r="F3" i="161"/>
  <c r="C3" i="161"/>
  <c r="I4" i="161"/>
  <c r="J4" i="161"/>
  <c r="D4" i="161"/>
  <c r="E4" i="161"/>
  <c r="F4" i="161"/>
  <c r="C4" i="161"/>
  <c r="I5" i="161"/>
  <c r="J5" i="161"/>
  <c r="D5" i="161"/>
  <c r="E5" i="161"/>
  <c r="F5" i="161"/>
  <c r="C5" i="161"/>
  <c r="I6" i="161"/>
  <c r="J6" i="161"/>
  <c r="D6" i="161"/>
  <c r="E6" i="161"/>
  <c r="F6" i="161"/>
  <c r="C6" i="161"/>
  <c r="I7" i="161"/>
  <c r="J7" i="161"/>
  <c r="D7" i="161"/>
  <c r="E7" i="161"/>
  <c r="F7" i="161"/>
  <c r="C7" i="161"/>
  <c r="I8" i="161"/>
  <c r="J8" i="161"/>
  <c r="D8" i="161"/>
  <c r="E8" i="161"/>
  <c r="F8" i="161"/>
  <c r="C8" i="161"/>
  <c r="I9" i="161"/>
  <c r="J9" i="161"/>
  <c r="D9" i="161"/>
  <c r="E9" i="161"/>
  <c r="F9" i="161"/>
  <c r="C9" i="161"/>
  <c r="I10" i="161"/>
  <c r="J10" i="161"/>
  <c r="D10" i="161"/>
  <c r="E10" i="161"/>
  <c r="F10" i="161"/>
  <c r="C10" i="161"/>
  <c r="I11" i="161"/>
  <c r="J11" i="161"/>
  <c r="D11" i="161"/>
  <c r="E11" i="161"/>
  <c r="F11" i="161"/>
  <c r="C11" i="161"/>
  <c r="I12" i="161"/>
  <c r="J12" i="161"/>
  <c r="D12" i="161"/>
  <c r="E12" i="161"/>
  <c r="F12" i="161"/>
  <c r="C12" i="161"/>
  <c r="I13" i="161"/>
  <c r="J13" i="161"/>
  <c r="D13" i="161"/>
  <c r="E13" i="161"/>
  <c r="F13" i="161"/>
  <c r="C13" i="161"/>
  <c r="I14" i="161"/>
  <c r="J14" i="161"/>
  <c r="D14" i="161"/>
  <c r="E14" i="161"/>
  <c r="F14" i="161"/>
  <c r="C14" i="161"/>
  <c r="I15" i="161"/>
  <c r="J15" i="161"/>
  <c r="D15" i="161"/>
  <c r="E15" i="161"/>
  <c r="F15" i="161"/>
  <c r="C15" i="161"/>
  <c r="I16" i="161"/>
  <c r="J16" i="161"/>
  <c r="D16" i="161"/>
  <c r="E16" i="161"/>
  <c r="F16" i="161"/>
  <c r="C16" i="161"/>
  <c r="I17" i="161"/>
  <c r="J17" i="161"/>
  <c r="D17" i="161"/>
  <c r="E17" i="161"/>
  <c r="F17" i="161"/>
  <c r="C17" i="161"/>
  <c r="I18" i="161"/>
  <c r="J18" i="161"/>
  <c r="D18" i="161"/>
  <c r="E18" i="161"/>
  <c r="F18" i="161"/>
  <c r="C18" i="161"/>
  <c r="I19" i="161"/>
  <c r="J19" i="161"/>
  <c r="D19" i="161"/>
  <c r="E19" i="161"/>
  <c r="F19" i="161"/>
  <c r="C19" i="161"/>
  <c r="I20" i="161"/>
  <c r="J20" i="161"/>
  <c r="D20" i="161"/>
  <c r="E20" i="161"/>
  <c r="F20" i="161"/>
  <c r="C20" i="161"/>
  <c r="I21" i="161"/>
  <c r="J21" i="161"/>
  <c r="D21" i="161"/>
  <c r="E21" i="161"/>
  <c r="F21" i="161"/>
  <c r="C21" i="161"/>
  <c r="I22" i="161"/>
  <c r="J22" i="161"/>
  <c r="D22" i="161"/>
  <c r="E22" i="161"/>
  <c r="F22" i="161"/>
  <c r="C22" i="161"/>
  <c r="I23" i="161"/>
  <c r="J23" i="161"/>
  <c r="D23" i="161"/>
  <c r="E23" i="161"/>
  <c r="F23" i="161"/>
  <c r="C23" i="161"/>
  <c r="I24" i="161"/>
  <c r="J24" i="161"/>
  <c r="D24" i="161"/>
  <c r="E24" i="161"/>
  <c r="F24" i="161"/>
  <c r="C24" i="161"/>
  <c r="I25" i="161"/>
  <c r="J25" i="161"/>
  <c r="D25" i="161"/>
  <c r="E25" i="161"/>
  <c r="F25" i="161"/>
  <c r="C25" i="161"/>
  <c r="I26" i="161"/>
  <c r="J26" i="161"/>
  <c r="D26" i="161"/>
  <c r="E26" i="161"/>
  <c r="F26" i="161"/>
  <c r="C26" i="161"/>
  <c r="I27" i="161"/>
  <c r="J27" i="161"/>
  <c r="D27" i="161"/>
  <c r="E27" i="161"/>
  <c r="F27" i="161"/>
  <c r="C27" i="161"/>
  <c r="I28" i="161"/>
  <c r="J28" i="161"/>
  <c r="D28" i="161"/>
  <c r="E28" i="161"/>
  <c r="F28" i="161"/>
  <c r="C28" i="161"/>
  <c r="I29" i="161"/>
  <c r="J29" i="161"/>
  <c r="D29" i="161"/>
  <c r="E29" i="161"/>
  <c r="F29" i="161"/>
  <c r="C29" i="161"/>
  <c r="I30" i="161"/>
  <c r="J30" i="161"/>
  <c r="D30" i="161"/>
  <c r="E30" i="161"/>
  <c r="F30" i="161"/>
  <c r="C30" i="161"/>
  <c r="I31" i="161"/>
  <c r="J31" i="161"/>
  <c r="D31" i="161"/>
  <c r="E31" i="161"/>
  <c r="F31" i="161"/>
  <c r="C31" i="161"/>
  <c r="I32" i="161"/>
  <c r="J32" i="161"/>
  <c r="D32" i="161"/>
  <c r="E32" i="161"/>
  <c r="F32" i="161"/>
  <c r="C32" i="161"/>
  <c r="I33" i="161"/>
  <c r="J33" i="161"/>
  <c r="D33" i="161"/>
  <c r="E33" i="161"/>
  <c r="F33" i="161"/>
  <c r="C33" i="161"/>
  <c r="I34" i="161"/>
  <c r="J34" i="161"/>
  <c r="D34" i="161"/>
  <c r="E34" i="161"/>
  <c r="F34" i="161"/>
  <c r="C34" i="161"/>
  <c r="I35" i="161"/>
  <c r="J35" i="161"/>
  <c r="D35" i="161"/>
  <c r="E35" i="161"/>
  <c r="F35" i="161"/>
  <c r="C35" i="161"/>
  <c r="I36" i="161"/>
  <c r="J36" i="161"/>
  <c r="D36" i="161"/>
  <c r="E36" i="161"/>
  <c r="F36" i="161"/>
  <c r="C36" i="161"/>
  <c r="I37" i="161"/>
  <c r="J37" i="161"/>
  <c r="D37" i="161"/>
  <c r="E37" i="161"/>
  <c r="F37" i="161"/>
  <c r="C37" i="161"/>
  <c r="I38" i="161"/>
  <c r="J38" i="161"/>
  <c r="D38" i="161"/>
  <c r="E38" i="161"/>
  <c r="F38" i="161"/>
  <c r="C38" i="161"/>
  <c r="I39" i="161"/>
  <c r="J39" i="161"/>
  <c r="D39" i="161"/>
  <c r="E39" i="161"/>
  <c r="F39" i="161"/>
  <c r="C39" i="161"/>
  <c r="I40" i="161"/>
  <c r="J40" i="161"/>
  <c r="D40" i="161"/>
  <c r="E40" i="161"/>
  <c r="F40" i="161"/>
  <c r="C40" i="161"/>
  <c r="I41" i="161"/>
  <c r="J41" i="161"/>
  <c r="D41" i="161"/>
  <c r="E41" i="161"/>
  <c r="F41" i="161"/>
  <c r="C41" i="161"/>
  <c r="I42" i="161"/>
  <c r="D42" i="161"/>
  <c r="J42" i="161"/>
  <c r="E42" i="161"/>
  <c r="F42" i="161"/>
  <c r="C42" i="161"/>
  <c r="I43" i="161"/>
  <c r="D43" i="161"/>
  <c r="J43" i="161"/>
  <c r="E43" i="161"/>
  <c r="F43" i="161"/>
  <c r="C43" i="161"/>
  <c r="I44" i="161"/>
  <c r="D44" i="161"/>
  <c r="J44" i="161"/>
  <c r="E44" i="161"/>
  <c r="F44" i="161"/>
  <c r="C44" i="161"/>
  <c r="I45" i="161"/>
  <c r="D45" i="161"/>
  <c r="J45" i="161"/>
  <c r="E45" i="161"/>
  <c r="F45" i="161"/>
  <c r="C45" i="161"/>
  <c r="I46" i="161"/>
  <c r="D46" i="161"/>
  <c r="J46" i="161"/>
  <c r="E46" i="161"/>
  <c r="F46" i="161"/>
  <c r="C46" i="161"/>
  <c r="I47" i="161"/>
  <c r="D47" i="161"/>
  <c r="J47" i="161"/>
  <c r="E47" i="161"/>
  <c r="F47" i="161"/>
  <c r="C47" i="161"/>
  <c r="I48" i="161"/>
  <c r="D48" i="161"/>
  <c r="J48" i="161"/>
  <c r="E48" i="161"/>
  <c r="F48" i="161"/>
  <c r="C48" i="161"/>
  <c r="I49" i="161"/>
  <c r="D49" i="161"/>
  <c r="J49" i="161"/>
  <c r="E49" i="161"/>
  <c r="F49" i="161"/>
  <c r="C49" i="161"/>
  <c r="I50" i="161"/>
  <c r="D50" i="161"/>
  <c r="J50" i="161"/>
  <c r="E50" i="161"/>
  <c r="F50" i="161"/>
  <c r="C50" i="161"/>
  <c r="I51" i="161"/>
  <c r="D51" i="161"/>
  <c r="J51" i="161"/>
  <c r="E51" i="161"/>
  <c r="F51" i="161"/>
  <c r="C51" i="161"/>
  <c r="I52" i="161"/>
  <c r="D52" i="161"/>
  <c r="J52" i="161"/>
  <c r="E52" i="161"/>
  <c r="F52" i="161"/>
  <c r="C52" i="161"/>
  <c r="I53" i="161"/>
  <c r="D53" i="161"/>
  <c r="J53" i="161"/>
  <c r="E53" i="161"/>
  <c r="F53" i="161"/>
  <c r="C53" i="161"/>
  <c r="I54" i="161"/>
  <c r="D54" i="161"/>
  <c r="J54" i="161"/>
  <c r="E54" i="161"/>
  <c r="F54" i="161"/>
  <c r="C54" i="161"/>
  <c r="I55" i="161"/>
  <c r="D55" i="161"/>
  <c r="J55" i="161"/>
  <c r="E55" i="161"/>
  <c r="F55" i="161"/>
  <c r="C55" i="161"/>
  <c r="I56" i="161"/>
  <c r="D56" i="161"/>
  <c r="J56" i="161"/>
  <c r="E56" i="161"/>
  <c r="F56" i="161"/>
  <c r="C56" i="161"/>
  <c r="I57" i="161"/>
  <c r="D57" i="161"/>
  <c r="J57" i="161"/>
  <c r="E57" i="161"/>
  <c r="F57" i="161"/>
  <c r="C57" i="161"/>
  <c r="I58" i="161"/>
  <c r="D58" i="161"/>
  <c r="J58" i="161"/>
  <c r="E58" i="161"/>
  <c r="F58" i="161"/>
  <c r="C58" i="161"/>
  <c r="I59" i="161"/>
  <c r="D59" i="161"/>
  <c r="J59" i="161"/>
  <c r="E59" i="161"/>
  <c r="F59" i="161"/>
  <c r="C59" i="161"/>
  <c r="I60" i="161"/>
  <c r="D60" i="161"/>
  <c r="J60" i="161"/>
  <c r="E60" i="161"/>
  <c r="F60" i="161"/>
  <c r="C60" i="161"/>
  <c r="I61" i="161"/>
  <c r="D61" i="161"/>
  <c r="J61" i="161"/>
  <c r="E61" i="161"/>
  <c r="F61" i="161"/>
  <c r="C61" i="161"/>
  <c r="I62" i="161"/>
  <c r="D62" i="161"/>
  <c r="J62" i="161"/>
  <c r="E62" i="161"/>
  <c r="F62" i="161"/>
  <c r="C62" i="161"/>
  <c r="I63" i="161"/>
  <c r="D63" i="161"/>
  <c r="J63" i="161"/>
  <c r="E63" i="161"/>
  <c r="F63" i="161"/>
  <c r="C63" i="161"/>
  <c r="I64" i="161"/>
  <c r="D64" i="161"/>
  <c r="J64" i="161"/>
  <c r="E64" i="161"/>
  <c r="F64" i="161"/>
  <c r="C64" i="161"/>
  <c r="I65" i="161"/>
  <c r="D65" i="161"/>
  <c r="J65" i="161"/>
  <c r="E65" i="161"/>
  <c r="F65" i="161"/>
  <c r="C65" i="161"/>
  <c r="I66" i="161"/>
  <c r="D66" i="161"/>
  <c r="J66" i="161"/>
  <c r="E66" i="161"/>
  <c r="F66" i="161"/>
  <c r="C66" i="161"/>
  <c r="I67" i="161"/>
  <c r="D67" i="161"/>
  <c r="J67" i="161"/>
  <c r="E67" i="161"/>
  <c r="F67" i="161"/>
  <c r="C67" i="161"/>
  <c r="I68" i="161"/>
  <c r="D68" i="161"/>
  <c r="J68" i="161"/>
  <c r="E68" i="161"/>
  <c r="F68" i="161"/>
  <c r="C68" i="161"/>
  <c r="I69" i="161"/>
  <c r="D69" i="161"/>
  <c r="J69" i="161"/>
  <c r="E69" i="161"/>
  <c r="F69" i="161"/>
  <c r="C69" i="161"/>
  <c r="I70" i="161"/>
  <c r="D70" i="161"/>
  <c r="J70" i="161"/>
  <c r="E70" i="161"/>
  <c r="F70" i="161"/>
  <c r="C70" i="161"/>
  <c r="I71" i="161"/>
  <c r="D71" i="161"/>
  <c r="J71" i="161"/>
  <c r="E71" i="161"/>
  <c r="F71" i="161"/>
  <c r="C71" i="161"/>
  <c r="I72" i="161"/>
  <c r="D72" i="161"/>
  <c r="J72" i="161"/>
  <c r="E72" i="161"/>
  <c r="F72" i="161"/>
  <c r="C72" i="161"/>
  <c r="I73" i="161"/>
  <c r="D73" i="161"/>
  <c r="J73" i="161"/>
  <c r="E73" i="161"/>
  <c r="F73" i="161"/>
  <c r="C73" i="161"/>
  <c r="I74" i="161"/>
  <c r="D74" i="161"/>
  <c r="J74" i="161"/>
  <c r="E74" i="161"/>
  <c r="F74" i="161"/>
  <c r="C74" i="161"/>
  <c r="I75" i="161"/>
  <c r="D75" i="161"/>
  <c r="J75" i="161"/>
  <c r="E75" i="161"/>
  <c r="F75" i="161"/>
  <c r="C75" i="161"/>
  <c r="I76" i="161"/>
  <c r="D76" i="161"/>
  <c r="J76" i="161"/>
  <c r="E76" i="161"/>
  <c r="F76" i="161"/>
  <c r="C76" i="161"/>
  <c r="I77" i="161"/>
  <c r="D77" i="161"/>
  <c r="J77" i="161"/>
  <c r="E77" i="161"/>
  <c r="F77" i="161"/>
  <c r="C77" i="161"/>
  <c r="I78" i="161"/>
  <c r="D78" i="161"/>
  <c r="J78" i="161"/>
  <c r="E78" i="161"/>
  <c r="F78" i="161"/>
  <c r="C78" i="161"/>
  <c r="I79" i="161"/>
  <c r="D79" i="161"/>
  <c r="J79" i="161"/>
  <c r="E79" i="161"/>
  <c r="F79" i="161"/>
  <c r="C79" i="161"/>
  <c r="I80" i="161"/>
  <c r="D80" i="161"/>
  <c r="J80" i="161"/>
  <c r="E80" i="161"/>
  <c r="F80" i="161"/>
  <c r="C80" i="161"/>
  <c r="I81" i="161"/>
  <c r="D81" i="161"/>
  <c r="J81" i="161"/>
  <c r="E81" i="161"/>
  <c r="F81" i="161"/>
  <c r="C81" i="161"/>
  <c r="I82" i="161"/>
  <c r="D82" i="161"/>
  <c r="J82" i="161"/>
  <c r="E82" i="161"/>
  <c r="F82" i="161"/>
  <c r="C82" i="161"/>
  <c r="I83" i="161"/>
  <c r="D83" i="161"/>
  <c r="J83" i="161"/>
  <c r="E83" i="161"/>
  <c r="F83" i="161"/>
  <c r="C83" i="161"/>
  <c r="I84" i="161"/>
  <c r="D84" i="161"/>
  <c r="J84" i="161"/>
  <c r="E84" i="161"/>
  <c r="F84" i="161"/>
  <c r="C84" i="161"/>
  <c r="I85" i="161"/>
  <c r="D85" i="161"/>
  <c r="J85" i="161"/>
  <c r="E85" i="161"/>
  <c r="F85" i="161"/>
  <c r="C85" i="161"/>
  <c r="I86" i="161"/>
  <c r="D86" i="161"/>
  <c r="J86" i="161"/>
  <c r="E86" i="161"/>
  <c r="F86" i="161"/>
  <c r="C86" i="161"/>
  <c r="I87" i="161"/>
  <c r="D87" i="161"/>
  <c r="J87" i="161"/>
  <c r="E87" i="161"/>
  <c r="F87" i="161"/>
  <c r="C87" i="161"/>
  <c r="I88" i="161"/>
  <c r="D88" i="161"/>
  <c r="J88" i="161"/>
  <c r="E88" i="161"/>
  <c r="F88" i="161"/>
  <c r="C88" i="161"/>
  <c r="I89" i="161"/>
  <c r="D89" i="161"/>
  <c r="J89" i="161"/>
  <c r="E89" i="161"/>
  <c r="F89" i="161"/>
  <c r="C89" i="161"/>
  <c r="I90" i="161"/>
  <c r="D90" i="161"/>
  <c r="J90" i="161"/>
  <c r="E90" i="161"/>
  <c r="F90" i="161"/>
  <c r="C90" i="161"/>
  <c r="I91" i="161"/>
  <c r="D91" i="161"/>
  <c r="J91" i="161"/>
  <c r="E91" i="161"/>
  <c r="F91" i="161"/>
  <c r="C91" i="161"/>
  <c r="I92" i="161"/>
  <c r="D92" i="161"/>
  <c r="J92" i="161"/>
  <c r="E92" i="161"/>
  <c r="F92" i="161"/>
  <c r="C92" i="161"/>
  <c r="I93" i="161"/>
  <c r="D93" i="161"/>
  <c r="J93" i="161"/>
  <c r="E93" i="161"/>
  <c r="F93" i="161"/>
  <c r="C93" i="161"/>
  <c r="I94" i="161"/>
  <c r="D94" i="161"/>
  <c r="J94" i="161"/>
  <c r="E94" i="161"/>
  <c r="F94" i="161"/>
  <c r="C94" i="161"/>
  <c r="I95" i="161"/>
  <c r="D95" i="161"/>
  <c r="J95" i="161"/>
  <c r="E95" i="161"/>
  <c r="F95" i="161"/>
  <c r="C95" i="161"/>
  <c r="I96" i="161"/>
  <c r="D96" i="161"/>
  <c r="J96" i="161"/>
  <c r="E96" i="161"/>
  <c r="F96" i="161"/>
  <c r="C96" i="161"/>
  <c r="I97" i="161"/>
  <c r="D97" i="161"/>
  <c r="J97" i="161"/>
  <c r="E97" i="161"/>
  <c r="F97" i="161"/>
  <c r="C97" i="161"/>
  <c r="I98" i="161"/>
  <c r="D98" i="161"/>
  <c r="J98" i="161"/>
  <c r="E98" i="161"/>
  <c r="F98" i="161"/>
  <c r="C98" i="161"/>
  <c r="I99" i="161"/>
  <c r="D99" i="161"/>
  <c r="J99" i="161"/>
  <c r="E99" i="161"/>
  <c r="F99" i="161"/>
  <c r="C99" i="161"/>
  <c r="I100" i="161"/>
  <c r="D100" i="161"/>
  <c r="J100" i="161"/>
  <c r="E100" i="161"/>
  <c r="F100" i="161"/>
  <c r="C100" i="161"/>
  <c r="I101" i="161"/>
  <c r="D101" i="161"/>
  <c r="J101" i="161"/>
  <c r="E101" i="161"/>
  <c r="F101" i="161"/>
  <c r="C101" i="161"/>
  <c r="I102" i="161"/>
  <c r="D102" i="161"/>
  <c r="J102" i="161"/>
  <c r="E102" i="161"/>
  <c r="F102" i="161"/>
  <c r="C102" i="161"/>
  <c r="I103" i="161"/>
  <c r="D103" i="161"/>
  <c r="J103" i="161"/>
  <c r="E103" i="161"/>
  <c r="F103" i="161"/>
  <c r="C103" i="161"/>
  <c r="I104" i="161"/>
  <c r="D104" i="161"/>
  <c r="J104" i="161"/>
  <c r="E104" i="161"/>
  <c r="F104" i="161"/>
  <c r="C104" i="161"/>
  <c r="I105" i="161"/>
  <c r="D105" i="161"/>
  <c r="J105" i="161"/>
  <c r="E105" i="161"/>
  <c r="F105" i="161"/>
  <c r="C105" i="161"/>
  <c r="I106" i="161"/>
  <c r="D106" i="161"/>
  <c r="J106" i="161"/>
  <c r="E106" i="161"/>
  <c r="F106" i="161"/>
  <c r="C106" i="161"/>
  <c r="I107" i="161"/>
  <c r="D107" i="161"/>
  <c r="J107" i="161"/>
  <c r="E107" i="161"/>
  <c r="F107" i="161"/>
  <c r="C107" i="161"/>
  <c r="I108" i="161"/>
  <c r="D108" i="161"/>
  <c r="J108" i="161"/>
  <c r="E108" i="161"/>
  <c r="F108" i="161"/>
  <c r="C108" i="161"/>
  <c r="I109" i="161"/>
  <c r="D109" i="161"/>
  <c r="J109" i="161"/>
  <c r="E109" i="161"/>
  <c r="F109" i="161"/>
  <c r="C109" i="161"/>
  <c r="I110" i="161"/>
  <c r="D110" i="161"/>
  <c r="J110" i="161"/>
  <c r="E110" i="161"/>
  <c r="F110" i="161"/>
  <c r="C110" i="161"/>
  <c r="I111" i="161"/>
  <c r="D111" i="161"/>
  <c r="J111" i="161"/>
  <c r="E111" i="161"/>
  <c r="F111" i="161"/>
  <c r="C111" i="161"/>
  <c r="I112" i="161"/>
  <c r="D112" i="161"/>
  <c r="J112" i="161"/>
  <c r="E112" i="161"/>
  <c r="F112" i="161"/>
  <c r="C112" i="161"/>
  <c r="I113" i="161"/>
  <c r="D113" i="161"/>
  <c r="J113" i="161"/>
  <c r="E113" i="161"/>
  <c r="F113" i="161"/>
  <c r="C113" i="161"/>
  <c r="I114" i="161"/>
  <c r="D114" i="161"/>
  <c r="J114" i="161"/>
  <c r="E114" i="161"/>
  <c r="F114" i="161"/>
  <c r="C114" i="161"/>
  <c r="I115" i="161"/>
  <c r="D115" i="161"/>
  <c r="J115" i="161"/>
  <c r="E115" i="161"/>
  <c r="F115" i="161"/>
  <c r="C115" i="161"/>
  <c r="I116" i="161"/>
  <c r="D116" i="161"/>
  <c r="J116" i="161"/>
  <c r="E116" i="161"/>
  <c r="F116" i="161"/>
  <c r="C116" i="161"/>
  <c r="I117" i="161"/>
  <c r="D117" i="161"/>
  <c r="J117" i="161"/>
  <c r="E117" i="161"/>
  <c r="F117" i="161"/>
  <c r="C117" i="161"/>
  <c r="I118" i="161"/>
  <c r="D118" i="161"/>
  <c r="J118" i="161"/>
  <c r="E118" i="161"/>
  <c r="F118" i="161"/>
  <c r="C118" i="161"/>
  <c r="I119" i="161"/>
  <c r="D119" i="161"/>
  <c r="J119" i="161"/>
  <c r="E119" i="161"/>
  <c r="F119" i="161"/>
  <c r="C119" i="161"/>
  <c r="I120" i="161"/>
  <c r="D120" i="161"/>
  <c r="J120" i="161"/>
  <c r="E120" i="161"/>
  <c r="F120" i="161"/>
  <c r="C120" i="161"/>
  <c r="I121" i="161"/>
  <c r="D121" i="161"/>
  <c r="J121" i="161"/>
  <c r="E121" i="161"/>
  <c r="F121" i="161"/>
  <c r="C121" i="161"/>
  <c r="I122" i="161"/>
  <c r="D122" i="161"/>
  <c r="J122" i="161"/>
  <c r="E122" i="161"/>
  <c r="F122" i="161"/>
  <c r="C122" i="161"/>
  <c r="I123" i="161"/>
  <c r="D123" i="161"/>
  <c r="J123" i="161"/>
  <c r="E123" i="161"/>
  <c r="F123" i="161"/>
  <c r="C123" i="161"/>
  <c r="I124" i="161"/>
  <c r="D124" i="161"/>
  <c r="J124" i="161"/>
  <c r="E124" i="161"/>
  <c r="F124" i="161"/>
  <c r="C124" i="161"/>
  <c r="I125" i="161"/>
  <c r="D125" i="161"/>
  <c r="J125" i="161"/>
  <c r="E125" i="161"/>
  <c r="F125" i="161"/>
  <c r="C125" i="161"/>
  <c r="I126" i="161"/>
  <c r="D126" i="161"/>
  <c r="J126" i="161"/>
  <c r="E126" i="161"/>
  <c r="F126" i="161"/>
  <c r="C126" i="161"/>
  <c r="I127" i="161"/>
  <c r="D127" i="161"/>
  <c r="J127" i="161"/>
  <c r="E127" i="161"/>
  <c r="F127" i="161"/>
  <c r="C127" i="161"/>
  <c r="I128" i="161"/>
  <c r="D128" i="161"/>
  <c r="J128" i="161"/>
  <c r="E128" i="161"/>
  <c r="F128" i="161"/>
  <c r="C128" i="161"/>
  <c r="I129" i="161"/>
  <c r="D129" i="161"/>
  <c r="J129" i="161"/>
  <c r="E129" i="161"/>
  <c r="F129" i="161"/>
  <c r="C129" i="161"/>
  <c r="I130" i="161"/>
  <c r="D130" i="161"/>
  <c r="J130" i="161"/>
  <c r="E130" i="161"/>
  <c r="F130" i="161"/>
  <c r="C130" i="161"/>
  <c r="I131" i="161"/>
  <c r="D131" i="161"/>
  <c r="J131" i="161"/>
  <c r="E131" i="161"/>
  <c r="F131" i="161"/>
  <c r="C131" i="161"/>
  <c r="I132" i="161"/>
  <c r="D132" i="161"/>
  <c r="J132" i="161"/>
  <c r="E132" i="161"/>
  <c r="F132" i="161"/>
  <c r="C132" i="161"/>
  <c r="I133" i="161"/>
  <c r="D133" i="161"/>
  <c r="J133" i="161"/>
  <c r="E133" i="161"/>
  <c r="F133" i="161"/>
  <c r="C133" i="161"/>
  <c r="I134" i="161"/>
  <c r="D134" i="161"/>
  <c r="J134" i="161"/>
  <c r="E134" i="161"/>
  <c r="F134" i="161"/>
  <c r="C134" i="161"/>
  <c r="I135" i="161"/>
  <c r="D135" i="161"/>
  <c r="J135" i="161"/>
  <c r="E135" i="161"/>
  <c r="F135" i="161"/>
  <c r="C135" i="161"/>
  <c r="I136" i="161"/>
  <c r="D136" i="161"/>
  <c r="J136" i="161"/>
  <c r="E136" i="161"/>
  <c r="F136" i="161"/>
  <c r="C136" i="161"/>
  <c r="I137" i="161"/>
  <c r="D137" i="161"/>
  <c r="J137" i="161"/>
  <c r="E137" i="161"/>
  <c r="F137" i="161"/>
  <c r="C137" i="161"/>
  <c r="I138" i="161"/>
  <c r="D138" i="161"/>
  <c r="J138" i="161"/>
  <c r="E138" i="161"/>
  <c r="F138" i="161"/>
  <c r="C138" i="161"/>
  <c r="I139" i="161"/>
  <c r="D139" i="161"/>
  <c r="J139" i="161"/>
  <c r="E139" i="161"/>
  <c r="F139" i="161"/>
  <c r="C139" i="161"/>
  <c r="I140" i="161"/>
  <c r="D140" i="161"/>
  <c r="J140" i="161"/>
  <c r="E140" i="161"/>
  <c r="F140" i="161"/>
  <c r="C140" i="161"/>
  <c r="I141" i="161"/>
  <c r="D141" i="161"/>
  <c r="J141" i="161"/>
  <c r="E141" i="161"/>
  <c r="F141" i="161"/>
  <c r="C141" i="161"/>
  <c r="I142" i="161"/>
  <c r="D142" i="161"/>
  <c r="J142" i="161"/>
  <c r="E142" i="161"/>
  <c r="F142" i="161"/>
  <c r="C142" i="161"/>
  <c r="I143" i="161"/>
  <c r="D143" i="161"/>
  <c r="J143" i="161"/>
  <c r="E143" i="161"/>
  <c r="F143" i="161"/>
  <c r="C143" i="161"/>
  <c r="I144" i="161"/>
  <c r="D144" i="161"/>
  <c r="J144" i="161"/>
  <c r="E144" i="161"/>
  <c r="F144" i="161"/>
  <c r="C144" i="161"/>
  <c r="I145" i="161"/>
  <c r="D145" i="161"/>
  <c r="J145" i="161"/>
  <c r="E145" i="161"/>
  <c r="F145" i="161"/>
  <c r="C145" i="161"/>
  <c r="I146" i="161"/>
  <c r="D146" i="161"/>
  <c r="J146" i="161"/>
  <c r="E146" i="161"/>
  <c r="F146" i="161"/>
  <c r="C146" i="161"/>
  <c r="I147" i="161"/>
  <c r="D147" i="161"/>
  <c r="J147" i="161"/>
  <c r="E147" i="161"/>
  <c r="F147" i="161"/>
  <c r="C147" i="161"/>
  <c r="I148" i="161"/>
  <c r="D148" i="161"/>
  <c r="J148" i="161"/>
  <c r="E148" i="161"/>
  <c r="F148" i="161"/>
  <c r="C148" i="161"/>
  <c r="I149" i="161"/>
  <c r="D149" i="161"/>
  <c r="J149" i="161"/>
  <c r="E149" i="161"/>
  <c r="F149" i="161"/>
  <c r="C149" i="161"/>
  <c r="I150" i="161"/>
  <c r="D150" i="161"/>
  <c r="J150" i="161"/>
  <c r="E150" i="161"/>
  <c r="F150" i="161"/>
  <c r="C150" i="161"/>
  <c r="I151" i="161"/>
  <c r="D151" i="161"/>
  <c r="J151" i="161"/>
  <c r="E151" i="161"/>
  <c r="F151" i="161"/>
  <c r="C151" i="161"/>
  <c r="I152" i="161"/>
  <c r="D152" i="161"/>
  <c r="J152" i="161"/>
  <c r="E152" i="161"/>
  <c r="F152" i="161"/>
  <c r="C152" i="161"/>
  <c r="I153" i="161"/>
  <c r="D153" i="161"/>
  <c r="J153" i="161"/>
  <c r="E153" i="161"/>
  <c r="F153" i="161"/>
  <c r="C153" i="161"/>
  <c r="I154" i="161"/>
  <c r="D154" i="161"/>
  <c r="J154" i="161"/>
  <c r="E154" i="161"/>
  <c r="F154" i="161"/>
  <c r="C154" i="161"/>
  <c r="I155" i="161"/>
  <c r="D155" i="161"/>
  <c r="J155" i="161"/>
  <c r="E155" i="161"/>
  <c r="F155" i="161"/>
  <c r="C155" i="161"/>
  <c r="I156" i="161"/>
  <c r="D156" i="161"/>
  <c r="J156" i="161"/>
  <c r="E156" i="161"/>
  <c r="F156" i="161"/>
  <c r="C156" i="161"/>
  <c r="I157" i="161"/>
  <c r="D157" i="161"/>
  <c r="J157" i="161"/>
  <c r="E157" i="161"/>
  <c r="F157" i="161"/>
  <c r="C157" i="161"/>
  <c r="I158" i="161"/>
  <c r="D158" i="161"/>
  <c r="J158" i="161"/>
  <c r="E158" i="161"/>
  <c r="F158" i="161"/>
  <c r="C158" i="161"/>
  <c r="I159" i="161"/>
  <c r="D159" i="161"/>
  <c r="J159" i="161"/>
  <c r="E159" i="161"/>
  <c r="F159" i="161"/>
  <c r="C159" i="161"/>
  <c r="I160" i="161"/>
  <c r="D160" i="161"/>
  <c r="J160" i="161"/>
  <c r="E160" i="161"/>
  <c r="F160" i="161"/>
  <c r="C160" i="161"/>
  <c r="I161" i="161"/>
  <c r="D161" i="161"/>
  <c r="J161" i="161"/>
  <c r="E161" i="161"/>
  <c r="F161" i="161"/>
  <c r="C161" i="161"/>
  <c r="I162" i="161"/>
  <c r="D162" i="161"/>
  <c r="J162" i="161"/>
  <c r="E162" i="161"/>
  <c r="F162" i="161"/>
  <c r="C162" i="161"/>
  <c r="I163" i="161"/>
  <c r="D163" i="161"/>
  <c r="J163" i="161"/>
  <c r="E163" i="161"/>
  <c r="F163" i="161"/>
  <c r="C163" i="161"/>
  <c r="I164" i="161"/>
  <c r="D164" i="161"/>
  <c r="J164" i="161"/>
  <c r="E164" i="161"/>
  <c r="F164" i="161"/>
  <c r="C164" i="161"/>
  <c r="I165" i="161"/>
  <c r="D165" i="161"/>
  <c r="J165" i="161"/>
  <c r="E165" i="161"/>
  <c r="F165" i="161"/>
  <c r="C165" i="161"/>
  <c r="I166" i="161"/>
  <c r="D166" i="161"/>
  <c r="J166" i="161"/>
  <c r="E166" i="161"/>
  <c r="F166" i="161"/>
  <c r="C166" i="161"/>
  <c r="I167" i="161"/>
  <c r="D167" i="161"/>
  <c r="J167" i="161"/>
  <c r="E167" i="161"/>
  <c r="F167" i="161"/>
  <c r="C167" i="161"/>
  <c r="I168" i="161"/>
  <c r="D168" i="161"/>
  <c r="J168" i="161"/>
  <c r="E168" i="161"/>
  <c r="F168" i="161"/>
  <c r="C168" i="161"/>
  <c r="I169" i="161"/>
  <c r="D169" i="161"/>
  <c r="J169" i="161"/>
  <c r="E169" i="161"/>
  <c r="F169" i="161"/>
  <c r="C169" i="161"/>
  <c r="I170" i="161"/>
  <c r="D170" i="161"/>
  <c r="J170" i="161"/>
  <c r="E170" i="161"/>
  <c r="F170" i="161"/>
  <c r="C170" i="161"/>
  <c r="I171" i="161"/>
  <c r="D171" i="161"/>
  <c r="J171" i="161"/>
  <c r="E171" i="161"/>
  <c r="F171" i="161"/>
  <c r="C171" i="161"/>
  <c r="I172" i="161"/>
  <c r="D172" i="161"/>
  <c r="J172" i="161"/>
  <c r="E172" i="161"/>
  <c r="F172" i="161"/>
  <c r="C172" i="161"/>
  <c r="I173" i="161"/>
  <c r="D173" i="161"/>
  <c r="J173" i="161"/>
  <c r="E173" i="161"/>
  <c r="F173" i="161"/>
  <c r="C173" i="161"/>
  <c r="I174" i="161"/>
  <c r="D174" i="161"/>
  <c r="J174" i="161"/>
  <c r="E174" i="161"/>
  <c r="F174" i="161"/>
  <c r="C174" i="161"/>
  <c r="I175" i="161"/>
  <c r="D175" i="161"/>
  <c r="J175" i="161"/>
  <c r="E175" i="161"/>
  <c r="F175" i="161"/>
  <c r="C175" i="161"/>
  <c r="I176" i="161"/>
  <c r="D176" i="161"/>
  <c r="J176" i="161"/>
  <c r="E176" i="161"/>
  <c r="F176" i="161"/>
  <c r="C176" i="161"/>
  <c r="I177" i="161"/>
  <c r="D177" i="161"/>
  <c r="J177" i="161"/>
  <c r="E177" i="161"/>
  <c r="F177" i="161"/>
  <c r="C177" i="161"/>
  <c r="I178" i="161"/>
  <c r="D178" i="161"/>
  <c r="J178" i="161"/>
  <c r="E178" i="161"/>
  <c r="F178" i="161"/>
  <c r="C178" i="161"/>
  <c r="I179" i="161"/>
  <c r="D179" i="161"/>
  <c r="J179" i="161"/>
  <c r="E179" i="161"/>
  <c r="F179" i="161"/>
  <c r="C179" i="161"/>
  <c r="I180" i="161"/>
  <c r="D180" i="161"/>
  <c r="J180" i="161"/>
  <c r="E180" i="161"/>
  <c r="F180" i="161"/>
  <c r="C180" i="161"/>
  <c r="I181" i="161"/>
  <c r="D181" i="161"/>
  <c r="J181" i="161"/>
  <c r="E181" i="161"/>
  <c r="F181" i="161"/>
  <c r="C181" i="161"/>
  <c r="I182" i="161"/>
  <c r="D182" i="161"/>
  <c r="J182" i="161"/>
  <c r="E182" i="161"/>
  <c r="F182" i="161"/>
  <c r="C182" i="161"/>
  <c r="I183" i="161"/>
  <c r="D183" i="161"/>
  <c r="J183" i="161"/>
  <c r="E183" i="161"/>
  <c r="F183" i="161"/>
  <c r="C183" i="161"/>
  <c r="I184" i="161"/>
  <c r="D184" i="161"/>
  <c r="J184" i="161"/>
  <c r="E184" i="161"/>
  <c r="F184" i="161"/>
  <c r="C184" i="161"/>
  <c r="I185" i="161"/>
  <c r="D185" i="161"/>
  <c r="J185" i="161"/>
  <c r="E185" i="161"/>
  <c r="F185" i="161"/>
  <c r="C185" i="161"/>
  <c r="I186" i="161"/>
  <c r="D186" i="161"/>
  <c r="J186" i="161"/>
  <c r="E186" i="161"/>
  <c r="F186" i="161"/>
  <c r="C186" i="161"/>
  <c r="I187" i="161"/>
  <c r="D187" i="161"/>
  <c r="J187" i="161"/>
  <c r="E187" i="161"/>
  <c r="F187" i="161"/>
  <c r="C187" i="161"/>
  <c r="I188" i="161"/>
  <c r="D188" i="161"/>
  <c r="J188" i="161"/>
  <c r="E188" i="161"/>
  <c r="F188" i="161"/>
  <c r="C188" i="161"/>
  <c r="I189" i="161"/>
  <c r="D189" i="161"/>
  <c r="J189" i="161"/>
  <c r="E189" i="161"/>
  <c r="F189" i="161"/>
  <c r="C189" i="161"/>
  <c r="I190" i="161"/>
  <c r="D190" i="161"/>
  <c r="J190" i="161"/>
  <c r="E190" i="161"/>
  <c r="F190" i="161"/>
  <c r="C190" i="161"/>
  <c r="I191" i="161"/>
  <c r="D191" i="161"/>
  <c r="J191" i="161"/>
  <c r="E191" i="161"/>
  <c r="F191" i="161"/>
  <c r="C191" i="161"/>
  <c r="I192" i="161"/>
  <c r="D192" i="161"/>
  <c r="J192" i="161"/>
  <c r="E192" i="161"/>
  <c r="F192" i="161"/>
  <c r="C192" i="161"/>
  <c r="I193" i="161"/>
  <c r="D193" i="161"/>
  <c r="J193" i="161"/>
  <c r="E193" i="161"/>
  <c r="F193" i="161"/>
  <c r="C193" i="161"/>
  <c r="I194" i="161"/>
  <c r="D194" i="161"/>
  <c r="J194" i="161"/>
  <c r="E194" i="161"/>
  <c r="F194" i="161"/>
  <c r="C194" i="161"/>
  <c r="I195" i="161"/>
  <c r="D195" i="161"/>
  <c r="J195" i="161"/>
  <c r="E195" i="161"/>
  <c r="F195" i="161"/>
  <c r="C195" i="161"/>
  <c r="I196" i="161"/>
  <c r="D196" i="161"/>
  <c r="J196" i="161"/>
  <c r="E196" i="161"/>
  <c r="F196" i="161"/>
  <c r="C196" i="161"/>
  <c r="I197" i="161"/>
  <c r="D197" i="161"/>
  <c r="J197" i="161"/>
  <c r="E197" i="161"/>
  <c r="F197" i="161"/>
  <c r="C197" i="161"/>
  <c r="I198" i="161"/>
  <c r="D198" i="161"/>
  <c r="J198" i="161"/>
  <c r="E198" i="161"/>
  <c r="F198" i="161"/>
  <c r="C198" i="161"/>
  <c r="I199" i="161"/>
  <c r="D199" i="161"/>
  <c r="J199" i="161"/>
  <c r="E199" i="161"/>
  <c r="F199" i="161"/>
  <c r="C199" i="161"/>
  <c r="I200" i="161"/>
  <c r="D200" i="161"/>
  <c r="J200" i="161"/>
  <c r="E200" i="161"/>
  <c r="F200" i="161"/>
  <c r="C200" i="161"/>
  <c r="I201" i="161"/>
  <c r="D201" i="161"/>
  <c r="J201" i="161"/>
  <c r="E201" i="161"/>
  <c r="F201" i="161"/>
  <c r="C201" i="161"/>
  <c r="I202" i="161"/>
  <c r="D202" i="161"/>
  <c r="J202" i="161"/>
  <c r="E202" i="161"/>
  <c r="F202" i="161"/>
  <c r="C202" i="161"/>
  <c r="I203" i="161"/>
  <c r="D203" i="161"/>
  <c r="J203" i="161"/>
  <c r="E203" i="161"/>
  <c r="F203" i="161"/>
  <c r="C203" i="161"/>
  <c r="I204" i="161"/>
  <c r="D204" i="161"/>
  <c r="J204" i="161"/>
  <c r="E204" i="161"/>
  <c r="F204" i="161"/>
  <c r="C204" i="161"/>
  <c r="I205" i="161"/>
  <c r="D205" i="161"/>
  <c r="J205" i="161"/>
  <c r="E205" i="161"/>
  <c r="F205" i="161"/>
  <c r="C205" i="161"/>
  <c r="I206" i="161"/>
  <c r="D206" i="161"/>
  <c r="J206" i="161"/>
  <c r="E206" i="161"/>
  <c r="F206" i="161"/>
  <c r="C206" i="161"/>
  <c r="I207" i="161"/>
  <c r="D207" i="161"/>
  <c r="J207" i="161"/>
  <c r="E207" i="161"/>
  <c r="F207" i="161"/>
  <c r="C207" i="161"/>
  <c r="I208" i="161"/>
  <c r="D208" i="161"/>
  <c r="J208" i="161"/>
  <c r="E208" i="161"/>
  <c r="F208" i="161"/>
  <c r="C208" i="161"/>
  <c r="I209" i="161"/>
  <c r="D209" i="161"/>
  <c r="J209" i="161"/>
  <c r="E209" i="161"/>
  <c r="F209" i="161"/>
  <c r="C209" i="161"/>
  <c r="I210" i="161"/>
  <c r="D210" i="161"/>
  <c r="J210" i="161"/>
  <c r="E210" i="161"/>
  <c r="F210" i="161"/>
  <c r="C210" i="161"/>
  <c r="I211" i="161"/>
  <c r="D211" i="161"/>
  <c r="J211" i="161"/>
  <c r="E211" i="161"/>
  <c r="F211" i="161"/>
  <c r="C211" i="161"/>
  <c r="I212" i="161"/>
  <c r="D212" i="161"/>
  <c r="J212" i="161"/>
  <c r="E212" i="161"/>
  <c r="F212" i="161"/>
  <c r="C212" i="161"/>
  <c r="I213" i="161"/>
  <c r="D213" i="161"/>
  <c r="J213" i="161"/>
  <c r="E213" i="161"/>
  <c r="F213" i="161"/>
  <c r="C213" i="161"/>
  <c r="I214" i="161"/>
  <c r="D214" i="161"/>
  <c r="J214" i="161"/>
  <c r="E214" i="161"/>
  <c r="F214" i="161"/>
  <c r="C214" i="161"/>
  <c r="I215" i="161"/>
  <c r="J215" i="161"/>
  <c r="D215" i="161"/>
  <c r="E215" i="161"/>
  <c r="F215" i="161"/>
  <c r="C215" i="161"/>
  <c r="I216" i="161"/>
  <c r="J216" i="161"/>
  <c r="D216" i="161"/>
  <c r="E216" i="161"/>
  <c r="F216" i="161"/>
  <c r="C216" i="161"/>
  <c r="I217" i="161"/>
  <c r="J217" i="161"/>
  <c r="D217" i="161"/>
  <c r="E217" i="161"/>
  <c r="F217" i="161"/>
  <c r="C217" i="161"/>
  <c r="I218" i="161"/>
  <c r="J218" i="161"/>
  <c r="D218" i="161"/>
  <c r="E218" i="161"/>
  <c r="F218" i="161"/>
  <c r="C218" i="161"/>
  <c r="I219" i="161"/>
  <c r="J219" i="161"/>
  <c r="D219" i="161"/>
  <c r="E219" i="161"/>
  <c r="F219" i="161"/>
  <c r="C219" i="161"/>
  <c r="I220" i="161"/>
  <c r="J220" i="161"/>
  <c r="D220" i="161"/>
  <c r="E220" i="161"/>
  <c r="F220" i="161"/>
  <c r="C220" i="161"/>
  <c r="I221" i="161"/>
  <c r="D221" i="161"/>
  <c r="J221" i="161"/>
  <c r="E221" i="161"/>
  <c r="F221" i="161"/>
  <c r="C221" i="161"/>
  <c r="I222" i="161"/>
  <c r="D222" i="161"/>
  <c r="J222" i="161"/>
  <c r="E222" i="161"/>
  <c r="F222" i="161"/>
  <c r="C222" i="161"/>
  <c r="I223" i="161"/>
  <c r="D223" i="161"/>
  <c r="J223" i="161"/>
  <c r="E223" i="161"/>
  <c r="F223" i="161"/>
  <c r="C223" i="161"/>
  <c r="I224" i="161"/>
  <c r="D224" i="161"/>
  <c r="J224" i="161"/>
  <c r="E224" i="161"/>
  <c r="F224" i="161"/>
  <c r="C224" i="161"/>
  <c r="I225" i="161"/>
  <c r="D225" i="161"/>
  <c r="J225" i="161"/>
  <c r="E225" i="161"/>
  <c r="F225" i="161"/>
  <c r="C225" i="161"/>
  <c r="I226" i="161"/>
  <c r="D226" i="161"/>
  <c r="J226" i="161"/>
  <c r="E226" i="161"/>
  <c r="F226" i="161"/>
  <c r="C226" i="161"/>
  <c r="I227" i="161"/>
  <c r="D227" i="161"/>
  <c r="J227" i="161"/>
  <c r="E227" i="161"/>
  <c r="F227" i="161"/>
  <c r="C227" i="161"/>
  <c r="I228" i="161"/>
  <c r="D228" i="161"/>
  <c r="J228" i="161"/>
  <c r="E228" i="161"/>
  <c r="F228" i="161"/>
  <c r="C228" i="161"/>
  <c r="I229" i="161"/>
  <c r="D229" i="161"/>
  <c r="J229" i="161"/>
  <c r="E229" i="161"/>
  <c r="F229" i="161"/>
  <c r="C229" i="161"/>
  <c r="I230" i="161"/>
  <c r="D230" i="161"/>
  <c r="J230" i="161"/>
  <c r="E230" i="161"/>
  <c r="F230" i="161"/>
  <c r="C230" i="161"/>
  <c r="I231" i="161"/>
  <c r="D231" i="161"/>
  <c r="J231" i="161"/>
  <c r="E231" i="161"/>
  <c r="F231" i="161"/>
  <c r="C231" i="161"/>
  <c r="I232" i="161"/>
  <c r="D232" i="161"/>
  <c r="J232" i="161"/>
  <c r="E232" i="161"/>
  <c r="F232" i="161"/>
  <c r="C232" i="161"/>
  <c r="I233" i="161"/>
  <c r="D233" i="161"/>
  <c r="J233" i="161"/>
  <c r="E233" i="161"/>
  <c r="F233" i="161"/>
  <c r="C233" i="161"/>
  <c r="I234" i="161"/>
  <c r="D234" i="161"/>
  <c r="J234" i="161"/>
  <c r="E234" i="161"/>
  <c r="F234" i="161"/>
  <c r="C234" i="161"/>
  <c r="I235" i="161"/>
  <c r="D235" i="161"/>
  <c r="J235" i="161"/>
  <c r="E235" i="161"/>
  <c r="F235" i="161"/>
  <c r="C235" i="161"/>
  <c r="I236" i="161"/>
  <c r="D236" i="161"/>
  <c r="J236" i="161"/>
  <c r="E236" i="161"/>
  <c r="F236" i="161"/>
  <c r="C236" i="161"/>
  <c r="I237" i="161"/>
  <c r="D237" i="161"/>
  <c r="J237" i="161"/>
  <c r="E237" i="161"/>
  <c r="F237" i="161"/>
  <c r="C237" i="161"/>
  <c r="I238" i="161"/>
  <c r="D238" i="161"/>
  <c r="J238" i="161"/>
  <c r="E238" i="161"/>
  <c r="F238" i="161"/>
  <c r="C238" i="161"/>
  <c r="I239" i="161"/>
  <c r="D239" i="161"/>
  <c r="J239" i="161"/>
  <c r="E239" i="161"/>
  <c r="F239" i="161"/>
  <c r="C239" i="161"/>
  <c r="I240" i="161"/>
  <c r="D240" i="161"/>
  <c r="J240" i="161"/>
  <c r="E240" i="161"/>
  <c r="F240" i="161"/>
  <c r="C240" i="161"/>
  <c r="I241" i="161"/>
  <c r="D241" i="161"/>
  <c r="J241" i="161"/>
  <c r="E241" i="161"/>
  <c r="F241" i="161"/>
  <c r="C241" i="161"/>
  <c r="I242" i="161"/>
  <c r="D242" i="161"/>
  <c r="J242" i="161"/>
  <c r="E242" i="161"/>
  <c r="F242" i="161"/>
  <c r="C242" i="161"/>
  <c r="I243" i="161"/>
  <c r="D243" i="161"/>
  <c r="J243" i="161"/>
  <c r="E243" i="161"/>
  <c r="F243" i="161"/>
  <c r="C243" i="161"/>
  <c r="I244" i="161"/>
  <c r="D244" i="161"/>
  <c r="J244" i="161"/>
  <c r="E244" i="161"/>
  <c r="F244" i="161"/>
  <c r="C244" i="161"/>
  <c r="I245" i="161"/>
  <c r="D245" i="161"/>
  <c r="J245" i="161"/>
  <c r="E245" i="161"/>
  <c r="F245" i="161"/>
  <c r="C245" i="161"/>
  <c r="I246" i="161"/>
  <c r="D246" i="161"/>
  <c r="J246" i="161"/>
  <c r="E246" i="161"/>
  <c r="F246" i="161"/>
  <c r="C246" i="161"/>
  <c r="I247" i="161"/>
  <c r="D247" i="161"/>
  <c r="J247" i="161"/>
  <c r="E247" i="161"/>
  <c r="F247" i="161"/>
  <c r="C247" i="161"/>
  <c r="I248" i="161"/>
  <c r="D248" i="161"/>
  <c r="J248" i="161"/>
  <c r="E248" i="161"/>
  <c r="F248" i="161"/>
  <c r="C248" i="161"/>
  <c r="I249" i="161"/>
  <c r="D249" i="161"/>
  <c r="J249" i="161"/>
  <c r="E249" i="161"/>
  <c r="F249" i="161"/>
  <c r="C249" i="161"/>
  <c r="I250" i="161"/>
  <c r="D250" i="161"/>
  <c r="J250" i="161"/>
  <c r="E250" i="161"/>
  <c r="F250" i="161"/>
  <c r="C250" i="161"/>
  <c r="I251" i="161"/>
  <c r="D251" i="161"/>
  <c r="J251" i="161"/>
  <c r="E251" i="161"/>
  <c r="F251" i="161"/>
  <c r="C251" i="161"/>
  <c r="I252" i="161"/>
  <c r="D252" i="161"/>
  <c r="J252" i="161"/>
  <c r="E252" i="161"/>
  <c r="F252" i="161"/>
  <c r="C252" i="161"/>
  <c r="I253" i="161"/>
  <c r="D253" i="161"/>
  <c r="J253" i="161"/>
  <c r="E253" i="161"/>
  <c r="F253" i="161"/>
  <c r="C253" i="161"/>
  <c r="I254" i="161"/>
  <c r="D254" i="161"/>
  <c r="J254" i="161"/>
  <c r="E254" i="161"/>
  <c r="F254" i="161"/>
  <c r="C254" i="161"/>
  <c r="I255" i="161"/>
  <c r="D255" i="161"/>
  <c r="J255" i="161"/>
  <c r="E255" i="161"/>
  <c r="F255" i="161"/>
  <c r="C255" i="161"/>
  <c r="I256" i="161"/>
  <c r="D256" i="161"/>
  <c r="J256" i="161"/>
  <c r="E256" i="161"/>
  <c r="F256" i="161"/>
  <c r="C256" i="161"/>
  <c r="I257" i="161"/>
  <c r="D257" i="161"/>
  <c r="J257" i="161"/>
  <c r="E257" i="161"/>
  <c r="F257" i="161"/>
  <c r="C257" i="161"/>
  <c r="I258" i="161"/>
  <c r="D258" i="161"/>
  <c r="J258" i="161"/>
  <c r="E258" i="161"/>
  <c r="F258" i="161"/>
  <c r="C258" i="161"/>
  <c r="I259" i="161"/>
  <c r="D259" i="161"/>
  <c r="J259" i="161"/>
  <c r="E259" i="161"/>
  <c r="F259" i="161"/>
  <c r="C259" i="161"/>
  <c r="I260" i="161"/>
  <c r="D260" i="161"/>
  <c r="J260" i="161"/>
  <c r="E260" i="161"/>
  <c r="F260" i="161"/>
  <c r="C260" i="161"/>
  <c r="I261" i="161"/>
  <c r="D261" i="161"/>
  <c r="J261" i="161"/>
  <c r="E261" i="161"/>
  <c r="F261" i="161"/>
  <c r="C261" i="161"/>
  <c r="I262" i="161"/>
  <c r="D262" i="161"/>
  <c r="J262" i="161"/>
  <c r="E262" i="161"/>
  <c r="F262" i="161"/>
  <c r="C262" i="161"/>
  <c r="I263" i="161"/>
  <c r="D263" i="161"/>
  <c r="J263" i="161"/>
  <c r="E263" i="161"/>
  <c r="F263" i="161"/>
  <c r="C263" i="161"/>
  <c r="I264" i="161"/>
  <c r="D264" i="161"/>
  <c r="J264" i="161"/>
  <c r="E264" i="161"/>
  <c r="F264" i="161"/>
  <c r="C264" i="161"/>
  <c r="I265" i="161"/>
  <c r="D265" i="161"/>
  <c r="J265" i="161"/>
  <c r="E265" i="161"/>
  <c r="F265" i="161"/>
  <c r="C265" i="161"/>
  <c r="I266" i="161"/>
  <c r="D266" i="161"/>
  <c r="J266" i="161"/>
  <c r="E266" i="161"/>
  <c r="F266" i="161"/>
  <c r="C266" i="161"/>
  <c r="I267" i="161"/>
  <c r="D267" i="161"/>
  <c r="J267" i="161"/>
  <c r="E267" i="161"/>
  <c r="F267" i="161"/>
  <c r="C267" i="161"/>
  <c r="I268" i="161"/>
  <c r="D268" i="161"/>
  <c r="J268" i="161"/>
  <c r="E268" i="161"/>
  <c r="F268" i="161"/>
  <c r="C268" i="161"/>
  <c r="I269" i="161"/>
  <c r="D269" i="161"/>
  <c r="J269" i="161"/>
  <c r="E269" i="161"/>
  <c r="F269" i="161"/>
  <c r="C269" i="161"/>
  <c r="I270" i="161"/>
  <c r="D270" i="161"/>
  <c r="J270" i="161"/>
  <c r="E270" i="161"/>
  <c r="F270" i="161"/>
  <c r="C270" i="161"/>
  <c r="I271" i="161"/>
  <c r="D271" i="161"/>
  <c r="J271" i="161"/>
  <c r="E271" i="161"/>
  <c r="F271" i="161"/>
  <c r="C271" i="161"/>
  <c r="I272" i="161"/>
  <c r="D272" i="161"/>
  <c r="J272" i="161"/>
  <c r="E272" i="161"/>
  <c r="F272" i="161"/>
  <c r="C272" i="161"/>
  <c r="I273" i="161"/>
  <c r="D273" i="161"/>
  <c r="J273" i="161"/>
  <c r="E273" i="161"/>
  <c r="F273" i="161"/>
  <c r="C273" i="161"/>
  <c r="I274" i="161"/>
  <c r="D274" i="161"/>
  <c r="J274" i="161"/>
  <c r="E274" i="161"/>
  <c r="F274" i="161"/>
  <c r="C274" i="161"/>
  <c r="I275" i="161"/>
  <c r="D275" i="161"/>
  <c r="J275" i="161"/>
  <c r="E275" i="161"/>
  <c r="F275" i="161"/>
  <c r="C275" i="161"/>
  <c r="I276" i="161"/>
  <c r="D276" i="161"/>
  <c r="J276" i="161"/>
  <c r="E276" i="161"/>
  <c r="F276" i="161"/>
  <c r="C276" i="161"/>
  <c r="I277" i="161"/>
  <c r="D277" i="161"/>
  <c r="J277" i="161"/>
  <c r="E277" i="161"/>
  <c r="F277" i="161"/>
  <c r="C277" i="161"/>
  <c r="I278" i="161"/>
  <c r="D278" i="161"/>
  <c r="J278" i="161"/>
  <c r="E278" i="161"/>
  <c r="F278" i="161"/>
  <c r="C278" i="161"/>
  <c r="I279" i="161"/>
  <c r="D279" i="161"/>
  <c r="J279" i="161"/>
  <c r="E279" i="161"/>
  <c r="F279" i="161"/>
  <c r="C279" i="161"/>
  <c r="I280" i="161"/>
  <c r="D280" i="161"/>
  <c r="J280" i="161"/>
  <c r="E280" i="161"/>
  <c r="F280" i="161"/>
  <c r="C280" i="161"/>
  <c r="I281" i="161"/>
  <c r="D281" i="161"/>
  <c r="J281" i="161"/>
  <c r="E281" i="161"/>
  <c r="F281" i="161"/>
  <c r="C281" i="161"/>
  <c r="I282" i="161"/>
  <c r="D282" i="161"/>
  <c r="J282" i="161"/>
  <c r="E282" i="161"/>
  <c r="F282" i="161"/>
  <c r="C282" i="161"/>
  <c r="I283" i="161"/>
  <c r="D283" i="161"/>
  <c r="J283" i="161"/>
  <c r="E283" i="161"/>
  <c r="F283" i="161"/>
  <c r="C283" i="161"/>
  <c r="I284" i="161"/>
  <c r="D284" i="161"/>
  <c r="J284" i="161"/>
  <c r="E284" i="161"/>
  <c r="F284" i="161"/>
  <c r="C284" i="161"/>
  <c r="I285" i="161"/>
  <c r="D285" i="161"/>
  <c r="J285" i="161"/>
  <c r="E285" i="161"/>
  <c r="F285" i="161"/>
  <c r="C285" i="161"/>
  <c r="I286" i="161"/>
  <c r="D286" i="161"/>
  <c r="J286" i="161"/>
  <c r="E286" i="161"/>
  <c r="F286" i="161"/>
  <c r="C286" i="161"/>
  <c r="I287" i="161"/>
  <c r="D287" i="161"/>
  <c r="J287" i="161"/>
  <c r="E287" i="161"/>
  <c r="F287" i="161"/>
  <c r="C287" i="161"/>
  <c r="I288" i="161"/>
  <c r="D288" i="161"/>
  <c r="J288" i="161"/>
  <c r="E288" i="161"/>
  <c r="F288" i="161"/>
  <c r="C288" i="161"/>
  <c r="I289" i="161"/>
  <c r="D289" i="161"/>
  <c r="J289" i="161"/>
  <c r="E289" i="161"/>
  <c r="F289" i="161"/>
  <c r="C289" i="161"/>
  <c r="I290" i="161"/>
  <c r="D290" i="161"/>
  <c r="J290" i="161"/>
  <c r="E290" i="161"/>
  <c r="F290" i="161"/>
  <c r="C290" i="161"/>
  <c r="I291" i="161"/>
  <c r="D291" i="161"/>
  <c r="J291" i="161"/>
  <c r="E291" i="161"/>
  <c r="F291" i="161"/>
  <c r="C291" i="161"/>
  <c r="I292" i="161"/>
  <c r="D292" i="161"/>
  <c r="J292" i="161"/>
  <c r="E292" i="161"/>
  <c r="F292" i="161"/>
  <c r="C292" i="161"/>
  <c r="I293" i="161"/>
  <c r="D293" i="161"/>
  <c r="J293" i="161"/>
  <c r="E293" i="161"/>
  <c r="F293" i="161"/>
  <c r="C293" i="161"/>
  <c r="I294" i="161"/>
  <c r="D294" i="161"/>
  <c r="J294" i="161"/>
  <c r="E294" i="161"/>
  <c r="F294" i="161"/>
  <c r="C294" i="161"/>
  <c r="I295" i="161"/>
  <c r="D295" i="161"/>
  <c r="J295" i="161"/>
  <c r="E295" i="161"/>
  <c r="F295" i="161"/>
  <c r="C295" i="161"/>
  <c r="I296" i="161"/>
  <c r="D296" i="161"/>
  <c r="J296" i="161"/>
  <c r="E296" i="161"/>
  <c r="F296" i="161"/>
  <c r="C296" i="161"/>
  <c r="I297" i="161"/>
  <c r="D297" i="161"/>
  <c r="J297" i="161"/>
  <c r="E297" i="161"/>
  <c r="F297" i="161"/>
  <c r="C297" i="161"/>
  <c r="I298" i="161"/>
  <c r="D298" i="161"/>
  <c r="J298" i="161"/>
  <c r="E298" i="161"/>
  <c r="F298" i="161"/>
  <c r="C298" i="161"/>
  <c r="I299" i="161"/>
  <c r="D299" i="161"/>
  <c r="J299" i="161"/>
  <c r="E299" i="161"/>
  <c r="F299" i="161"/>
  <c r="C299" i="161"/>
  <c r="I300" i="161"/>
  <c r="D300" i="161"/>
  <c r="J300" i="161"/>
  <c r="E300" i="161"/>
  <c r="F300" i="161"/>
  <c r="C300" i="161"/>
  <c r="I301" i="161"/>
  <c r="D301" i="161"/>
  <c r="J301" i="161"/>
  <c r="E301" i="161"/>
  <c r="F301" i="161"/>
  <c r="C301" i="161"/>
  <c r="I302" i="161"/>
  <c r="D302" i="161"/>
  <c r="J302" i="161"/>
  <c r="E302" i="161"/>
  <c r="F302" i="161"/>
  <c r="C302" i="161"/>
  <c r="I303" i="161"/>
  <c r="D303" i="161"/>
  <c r="J303" i="161"/>
  <c r="E303" i="161"/>
  <c r="F303" i="161"/>
  <c r="C303" i="161"/>
  <c r="I304" i="161"/>
  <c r="D304" i="161"/>
  <c r="J304" i="161"/>
  <c r="E304" i="161"/>
  <c r="F304" i="161"/>
  <c r="C304" i="161"/>
  <c r="I305" i="161"/>
  <c r="D305" i="161"/>
  <c r="J305" i="161"/>
  <c r="E305" i="161"/>
  <c r="F305" i="161"/>
  <c r="C305" i="161"/>
  <c r="I306" i="161"/>
  <c r="D306" i="161"/>
  <c r="J306" i="161"/>
  <c r="E306" i="161"/>
  <c r="F306" i="161"/>
  <c r="C306" i="161"/>
  <c r="I307" i="161"/>
  <c r="D307" i="161"/>
  <c r="J307" i="161"/>
  <c r="E307" i="161"/>
  <c r="F307" i="161"/>
  <c r="C307" i="161"/>
  <c r="I308" i="161"/>
  <c r="D308" i="161"/>
  <c r="J308" i="161"/>
  <c r="E308" i="161"/>
  <c r="F308" i="161"/>
  <c r="C308" i="161"/>
  <c r="I309" i="161"/>
  <c r="D309" i="161"/>
  <c r="J309" i="161"/>
  <c r="E309" i="161"/>
  <c r="F309" i="161"/>
  <c r="C309" i="161"/>
  <c r="I310" i="161"/>
  <c r="D310" i="161"/>
  <c r="J310" i="161"/>
  <c r="E310" i="161"/>
  <c r="F310" i="161"/>
  <c r="C310" i="161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I315" i="161"/>
  <c r="D315" i="161"/>
  <c r="J315" i="161"/>
  <c r="E315" i="161"/>
  <c r="F315" i="161"/>
  <c r="C315" i="161"/>
  <c r="I316" i="161"/>
  <c r="D316" i="161"/>
  <c r="J316" i="161"/>
  <c r="E316" i="161"/>
  <c r="F316" i="161"/>
  <c r="C316" i="161"/>
  <c r="I317" i="161"/>
  <c r="D317" i="161"/>
  <c r="J317" i="161"/>
  <c r="E317" i="161"/>
  <c r="F317" i="161"/>
  <c r="C317" i="161"/>
  <c r="I318" i="161"/>
  <c r="D318" i="161"/>
  <c r="J318" i="161"/>
  <c r="E318" i="161"/>
  <c r="F318" i="161"/>
  <c r="C318" i="161"/>
  <c r="I319" i="161"/>
  <c r="D319" i="161"/>
  <c r="J319" i="161"/>
  <c r="E319" i="161"/>
  <c r="F319" i="161"/>
  <c r="C319" i="161"/>
  <c r="I320" i="161"/>
  <c r="D320" i="161"/>
  <c r="J320" i="161"/>
  <c r="E320" i="161"/>
  <c r="F320" i="161"/>
  <c r="C320" i="161"/>
  <c r="I321" i="161"/>
  <c r="D321" i="161"/>
  <c r="J321" i="161"/>
  <c r="E321" i="161"/>
  <c r="F321" i="161"/>
  <c r="C321" i="161"/>
  <c r="I322" i="161"/>
  <c r="D322" i="161"/>
  <c r="J322" i="161"/>
  <c r="E322" i="161"/>
  <c r="F322" i="161"/>
  <c r="C322" i="161"/>
  <c r="I323" i="161"/>
  <c r="D323" i="161"/>
  <c r="J323" i="161"/>
  <c r="E323" i="161"/>
  <c r="F323" i="161"/>
  <c r="C323" i="161"/>
  <c r="I324" i="161"/>
  <c r="D324" i="161"/>
  <c r="J324" i="161"/>
  <c r="E324" i="161"/>
  <c r="F324" i="161"/>
  <c r="C324" i="161"/>
  <c r="I325" i="161"/>
  <c r="D325" i="161"/>
  <c r="J325" i="161"/>
  <c r="E325" i="161"/>
  <c r="F325" i="161"/>
  <c r="C325" i="161"/>
  <c r="I326" i="161"/>
  <c r="D326" i="161"/>
  <c r="J326" i="161"/>
  <c r="E326" i="161"/>
  <c r="F326" i="161"/>
  <c r="C326" i="161"/>
  <c r="I327" i="161"/>
  <c r="D327" i="161"/>
  <c r="J327" i="161"/>
  <c r="E327" i="161"/>
  <c r="F327" i="161"/>
  <c r="C327" i="161"/>
  <c r="I328" i="161"/>
  <c r="D328" i="161"/>
  <c r="J328" i="161"/>
  <c r="E328" i="161"/>
  <c r="F328" i="161"/>
  <c r="C328" i="161"/>
  <c r="I329" i="161"/>
  <c r="D329" i="161"/>
  <c r="J329" i="161"/>
  <c r="E329" i="161"/>
  <c r="F329" i="161"/>
  <c r="C329" i="161"/>
  <c r="I330" i="161"/>
  <c r="D330" i="161"/>
  <c r="J330" i="161"/>
  <c r="E330" i="161"/>
  <c r="F330" i="161"/>
  <c r="C330" i="161"/>
  <c r="I331" i="161"/>
  <c r="D331" i="161"/>
  <c r="J331" i="161"/>
  <c r="E331" i="161"/>
  <c r="F331" i="161"/>
  <c r="C331" i="161"/>
  <c r="I332" i="161"/>
  <c r="D332" i="161"/>
  <c r="J332" i="161"/>
  <c r="E332" i="161"/>
  <c r="F332" i="161"/>
  <c r="C332" i="161"/>
  <c r="I333" i="161"/>
  <c r="D333" i="161"/>
  <c r="J333" i="161"/>
  <c r="E333" i="161"/>
  <c r="F333" i="161"/>
  <c r="C333" i="161"/>
  <c r="I334" i="161"/>
  <c r="D334" i="161"/>
  <c r="J334" i="161"/>
  <c r="E334" i="161"/>
  <c r="F334" i="161"/>
  <c r="C334" i="161"/>
  <c r="I335" i="161"/>
  <c r="D335" i="161"/>
  <c r="J335" i="161"/>
  <c r="E335" i="161"/>
  <c r="F335" i="161"/>
  <c r="C335" i="161"/>
  <c r="I336" i="161"/>
  <c r="D336" i="161"/>
  <c r="J336" i="161"/>
  <c r="E336" i="161"/>
  <c r="F336" i="161"/>
  <c r="C336" i="161"/>
  <c r="I337" i="161"/>
  <c r="D337" i="161"/>
  <c r="J337" i="161"/>
  <c r="E337" i="161"/>
  <c r="F337" i="161"/>
  <c r="C337" i="161"/>
  <c r="I338" i="161"/>
  <c r="D338" i="161"/>
  <c r="J338" i="161"/>
  <c r="E338" i="161"/>
  <c r="F338" i="161"/>
  <c r="C338" i="161"/>
  <c r="I339" i="161"/>
  <c r="D339" i="161"/>
  <c r="J339" i="161"/>
  <c r="E339" i="161"/>
  <c r="F339" i="161"/>
  <c r="C339" i="161"/>
  <c r="I340" i="161"/>
  <c r="D340" i="161"/>
  <c r="J340" i="161"/>
  <c r="E340" i="161"/>
  <c r="F340" i="161"/>
  <c r="C340" i="161"/>
  <c r="I341" i="161"/>
  <c r="D341" i="161"/>
  <c r="J341" i="161"/>
  <c r="E341" i="161"/>
  <c r="F341" i="161"/>
  <c r="C341" i="161"/>
  <c r="I342" i="161"/>
  <c r="D342" i="161"/>
  <c r="J342" i="161"/>
  <c r="E342" i="161"/>
  <c r="F342" i="161"/>
  <c r="C342" i="161"/>
  <c r="I343" i="161"/>
  <c r="D343" i="161"/>
  <c r="J343" i="161"/>
  <c r="E343" i="161"/>
  <c r="F343" i="161"/>
  <c r="C343" i="161"/>
  <c r="I344" i="161"/>
  <c r="D344" i="161"/>
  <c r="J344" i="161"/>
  <c r="E344" i="161"/>
  <c r="F344" i="161"/>
  <c r="C344" i="161"/>
  <c r="I345" i="161"/>
  <c r="D345" i="161"/>
  <c r="J345" i="161"/>
  <c r="E345" i="161"/>
  <c r="F345" i="161"/>
  <c r="C345" i="161"/>
  <c r="I346" i="161"/>
  <c r="D346" i="161"/>
  <c r="J346" i="161"/>
  <c r="E346" i="161"/>
  <c r="F346" i="161"/>
  <c r="C346" i="161"/>
  <c r="I347" i="161"/>
  <c r="D347" i="161"/>
  <c r="J347" i="161"/>
  <c r="E347" i="161"/>
  <c r="F347" i="161"/>
  <c r="C347" i="161"/>
  <c r="I348" i="161"/>
  <c r="D348" i="161"/>
  <c r="J348" i="161"/>
  <c r="E348" i="161"/>
  <c r="F348" i="161"/>
  <c r="C348" i="161"/>
  <c r="I349" i="161"/>
  <c r="D349" i="161"/>
  <c r="J349" i="161"/>
  <c r="E349" i="161"/>
  <c r="F349" i="161"/>
  <c r="C349" i="161"/>
  <c r="I350" i="161"/>
  <c r="D350" i="161"/>
  <c r="J350" i="161"/>
  <c r="E350" i="161"/>
  <c r="F350" i="161"/>
  <c r="C350" i="161"/>
  <c r="I351" i="161"/>
  <c r="D351" i="161"/>
  <c r="J351" i="161"/>
  <c r="E351" i="161"/>
  <c r="F351" i="161"/>
  <c r="C351" i="161"/>
  <c r="I352" i="161"/>
  <c r="D352" i="161"/>
  <c r="J352" i="161"/>
  <c r="E352" i="161"/>
  <c r="F352" i="161"/>
  <c r="C352" i="161"/>
  <c r="I353" i="161"/>
  <c r="D353" i="161"/>
  <c r="J353" i="161"/>
  <c r="E353" i="161"/>
  <c r="F353" i="161"/>
  <c r="C353" i="161"/>
  <c r="I354" i="161"/>
  <c r="D354" i="161"/>
  <c r="J354" i="161"/>
  <c r="E354" i="161"/>
  <c r="F354" i="161"/>
  <c r="C354" i="161"/>
  <c r="I355" i="161"/>
  <c r="D355" i="161"/>
  <c r="J355" i="161"/>
  <c r="E355" i="161"/>
  <c r="F355" i="161"/>
  <c r="C355" i="161"/>
  <c r="I356" i="161"/>
  <c r="D356" i="161"/>
  <c r="J356" i="161"/>
  <c r="E356" i="161"/>
  <c r="F356" i="161"/>
  <c r="C356" i="161"/>
  <c r="I357" i="161"/>
  <c r="D357" i="161"/>
  <c r="J357" i="161"/>
  <c r="E357" i="161"/>
  <c r="F357" i="161"/>
  <c r="C357" i="161"/>
  <c r="I358" i="161"/>
  <c r="D358" i="161"/>
  <c r="J358" i="161"/>
  <c r="E358" i="161"/>
  <c r="F358" i="161"/>
  <c r="C358" i="161"/>
  <c r="I359" i="161"/>
  <c r="D359" i="161"/>
  <c r="J359" i="161"/>
  <c r="E359" i="161"/>
  <c r="F359" i="161"/>
  <c r="C359" i="161"/>
  <c r="I360" i="161"/>
  <c r="D360" i="161"/>
  <c r="J360" i="161"/>
  <c r="E360" i="161"/>
  <c r="F360" i="161"/>
  <c r="C360" i="161"/>
  <c r="F5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E28" i="160"/>
  <c r="B28" i="160"/>
  <c r="E27" i="160"/>
  <c r="B27" i="160"/>
  <c r="I357" i="154"/>
  <c r="D357" i="154"/>
  <c r="J357" i="154"/>
  <c r="E357" i="154"/>
  <c r="F357" i="154"/>
  <c r="C357" i="154"/>
  <c r="H357" i="154"/>
  <c r="K357" i="154"/>
  <c r="L357" i="154"/>
  <c r="M357" i="154"/>
  <c r="N357" i="154"/>
  <c r="A2" i="153"/>
  <c r="I358" i="154"/>
  <c r="D358" i="154"/>
  <c r="J358" i="154"/>
  <c r="E358" i="154"/>
  <c r="F358" i="154"/>
  <c r="C358" i="154"/>
  <c r="I359" i="154"/>
  <c r="D359" i="154"/>
  <c r="J359" i="154"/>
  <c r="E359" i="154"/>
  <c r="F359" i="154"/>
  <c r="C359" i="154"/>
  <c r="I360" i="154"/>
  <c r="D360" i="154"/>
  <c r="J360" i="154"/>
  <c r="E360" i="154"/>
  <c r="F360" i="154"/>
  <c r="C360" i="154"/>
  <c r="F5" i="153"/>
  <c r="F6" i="153"/>
  <c r="A3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E6" i="153"/>
  <c r="B23" i="153"/>
  <c r="G23" i="153"/>
  <c r="H23" i="153"/>
  <c r="O357" i="154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B22" i="153"/>
  <c r="E25" i="153"/>
  <c r="B25" i="153"/>
  <c r="E5" i="153"/>
  <c r="E28" i="153"/>
  <c r="E29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E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8" i="154"/>
  <c r="O359" i="154"/>
  <c r="O360" i="154"/>
  <c r="P357" i="154"/>
  <c r="H358" i="154"/>
  <c r="K358" i="154"/>
  <c r="L358" i="154"/>
  <c r="M358" i="154"/>
  <c r="N358" i="154"/>
  <c r="P358" i="154"/>
  <c r="H359" i="154"/>
  <c r="K359" i="154"/>
  <c r="L359" i="154"/>
  <c r="M359" i="154"/>
  <c r="N359" i="154"/>
  <c r="P359" i="154"/>
  <c r="H360" i="154"/>
  <c r="K360" i="154"/>
  <c r="L360" i="154"/>
  <c r="M360" i="154"/>
  <c r="N360" i="154"/>
  <c r="P360" i="154"/>
  <c r="I356" i="154"/>
  <c r="D356" i="154"/>
  <c r="J356" i="154"/>
  <c r="E356" i="154"/>
  <c r="F356" i="154"/>
  <c r="C356" i="154"/>
  <c r="H356" i="154"/>
  <c r="K356" i="154"/>
  <c r="L356" i="154"/>
  <c r="M356" i="154"/>
  <c r="N356" i="154"/>
  <c r="P356" i="154"/>
  <c r="A357" i="154"/>
  <c r="A358" i="154"/>
  <c r="A359" i="154"/>
  <c r="A360" i="154"/>
  <c r="A356" i="154"/>
  <c r="H357" i="161"/>
  <c r="K357" i="161"/>
  <c r="L357" i="161"/>
  <c r="M357" i="161"/>
  <c r="N357" i="161"/>
  <c r="A2" i="160"/>
  <c r="F6" i="160"/>
  <c r="A36" i="160"/>
  <c r="E23" i="160"/>
  <c r="E6" i="160"/>
  <c r="B23" i="160"/>
  <c r="G23" i="160"/>
  <c r="H23" i="160"/>
  <c r="O357" i="161"/>
  <c r="E19" i="160"/>
  <c r="B19" i="160"/>
  <c r="E24" i="160"/>
  <c r="B24" i="160"/>
  <c r="B17" i="160"/>
  <c r="G17" i="160"/>
  <c r="E17" i="160"/>
  <c r="H17" i="160"/>
  <c r="O2" i="161"/>
  <c r="E18" i="160"/>
  <c r="B18" i="160"/>
  <c r="G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E25" i="160"/>
  <c r="B25" i="160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E20" i="160"/>
  <c r="B20" i="160"/>
  <c r="G20" i="160"/>
  <c r="H20" i="160"/>
  <c r="O52" i="161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G29" i="160"/>
  <c r="H29" i="160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O358" i="161"/>
  <c r="O359" i="161"/>
  <c r="O360" i="161"/>
  <c r="P357" i="161"/>
  <c r="H358" i="161"/>
  <c r="K358" i="161"/>
  <c r="L358" i="161"/>
  <c r="M358" i="161"/>
  <c r="N358" i="161"/>
  <c r="P358" i="161"/>
  <c r="H359" i="161"/>
  <c r="K359" i="161"/>
  <c r="L359" i="161"/>
  <c r="M359" i="161"/>
  <c r="N359" i="161"/>
  <c r="P359" i="161"/>
  <c r="H360" i="161"/>
  <c r="K360" i="161"/>
  <c r="L360" i="161"/>
  <c r="M360" i="161"/>
  <c r="N360" i="161"/>
  <c r="P360" i="161"/>
  <c r="H356" i="161"/>
  <c r="K356" i="161"/>
  <c r="L356" i="161"/>
  <c r="M356" i="161"/>
  <c r="N356" i="161"/>
  <c r="P356" i="161"/>
  <c r="A357" i="161"/>
  <c r="A358" i="161"/>
  <c r="A359" i="161"/>
  <c r="A360" i="161"/>
  <c r="A356" i="161"/>
  <c r="I357" i="158"/>
  <c r="D357" i="158"/>
  <c r="J357" i="158"/>
  <c r="E357" i="158"/>
  <c r="F357" i="158"/>
  <c r="C357" i="158"/>
  <c r="H357" i="158"/>
  <c r="K357" i="158"/>
  <c r="L357" i="158"/>
  <c r="M357" i="158"/>
  <c r="N357" i="158"/>
  <c r="A2" i="157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E6" i="157"/>
  <c r="B23" i="157"/>
  <c r="G23" i="157"/>
  <c r="H23" i="157"/>
  <c r="O357" i="158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E5" i="157"/>
  <c r="E28" i="157"/>
  <c r="E29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8" i="158"/>
  <c r="O359" i="158"/>
  <c r="O360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I356" i="158"/>
  <c r="D356" i="158"/>
  <c r="J356" i="158"/>
  <c r="E356" i="158"/>
  <c r="F356" i="158"/>
  <c r="C356" i="158"/>
  <c r="H356" i="158"/>
  <c r="K356" i="158"/>
  <c r="L356" i="158"/>
  <c r="M356" i="158"/>
  <c r="N356" i="158"/>
  <c r="P356" i="158"/>
  <c r="A358" i="158"/>
  <c r="A359" i="158"/>
  <c r="A360" i="158"/>
  <c r="A357" i="158"/>
  <c r="A356" i="158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B4" i="98"/>
  <c r="B3" i="98"/>
  <c r="B2" i="98"/>
  <c r="H348" i="161"/>
  <c r="K348" i="161"/>
  <c r="L348" i="161"/>
  <c r="M348" i="161"/>
  <c r="N348" i="161"/>
  <c r="B10" i="160"/>
  <c r="B31" i="160"/>
  <c r="G31" i="160"/>
  <c r="E31" i="160"/>
  <c r="H31" i="160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A355" i="161"/>
  <c r="A354" i="161"/>
  <c r="A353" i="161"/>
  <c r="A352" i="161"/>
  <c r="A351" i="161"/>
  <c r="A350" i="161"/>
  <c r="A349" i="161"/>
  <c r="A348" i="161"/>
  <c r="F348" i="154"/>
  <c r="H348" i="154"/>
  <c r="K348" i="154"/>
  <c r="L348" i="154"/>
  <c r="M348" i="154"/>
  <c r="N348" i="154"/>
  <c r="F349" i="154"/>
  <c r="F350" i="154"/>
  <c r="F351" i="154"/>
  <c r="F352" i="154"/>
  <c r="F353" i="154"/>
  <c r="F354" i="154"/>
  <c r="F355" i="154"/>
  <c r="B10" i="153"/>
  <c r="B6" i="153"/>
  <c r="B31" i="153"/>
  <c r="G31" i="153"/>
  <c r="E31" i="153"/>
  <c r="H31" i="153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A355" i="154"/>
  <c r="A354" i="154"/>
  <c r="A353" i="154"/>
  <c r="A352" i="154"/>
  <c r="A351" i="154"/>
  <c r="A350" i="154"/>
  <c r="A349" i="154"/>
  <c r="A348" i="154"/>
  <c r="F348" i="158"/>
  <c r="H348" i="158"/>
  <c r="K348" i="158"/>
  <c r="L348" i="158"/>
  <c r="M348" i="158"/>
  <c r="N348" i="158"/>
  <c r="F349" i="158"/>
  <c r="F350" i="158"/>
  <c r="F351" i="158"/>
  <c r="F352" i="158"/>
  <c r="F353" i="158"/>
  <c r="F354" i="158"/>
  <c r="F355" i="158"/>
  <c r="B10" i="157"/>
  <c r="B6" i="157"/>
  <c r="B31" i="157"/>
  <c r="G31" i="157"/>
  <c r="E31" i="157"/>
  <c r="H31" i="157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A355" i="158"/>
  <c r="A354" i="158"/>
  <c r="A353" i="158"/>
  <c r="A352" i="158"/>
  <c r="A351" i="158"/>
  <c r="A350" i="158"/>
  <c r="A349" i="158"/>
  <c r="A348" i="158"/>
  <c r="A347" i="158"/>
  <c r="F347" i="158"/>
  <c r="H347" i="158"/>
  <c r="K347" i="158"/>
  <c r="L347" i="158"/>
  <c r="M347" i="158"/>
  <c r="N347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B30" i="157"/>
  <c r="P347" i="158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R3" i="157"/>
  <c r="R4" i="157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B30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<sst xmlns="http://schemas.openxmlformats.org/spreadsheetml/2006/main" count="643" uniqueCount="268">
  <si>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</si>
  <si>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</si>
  <si>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</si>
  <si>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</si>
  <si>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</si>
  <si>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</si>
  <si>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</si>
  <si>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</si>
  <si>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</si>
  <si>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</si>
  <si>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</si>
  <si>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</si>
  <si>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</si>
  <si>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</si>
  <si>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</si>
  <si>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</si>
  <si>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</si>
  <si>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</si>
  <si>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</si>
  <si>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</si>
  <si>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</si>
  <si>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</si>
  <si>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</si>
  <si>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</si>
  <si>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</si>
  <si>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</si>
  <si>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</si>
  <si>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</si>
  <si>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</si>
  <si>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</si>
  <si>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</si>
  <si>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</si>
  <si>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</si>
  <si>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</si>
  <si>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</si>
  <si>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</si>
  <si>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</si>
  <si>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</si>
  <si>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</si>
  <si>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</si>
  <si>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</si>
  <si>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</si>
  <si>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</si>
  <si>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</si>
  <si>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</si>
  <si>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</si>
  <si>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</si>
  <si>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</si>
  <si>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</si>
  <si>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</si>
  <si>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</si>
  <si>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</si>
  <si>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</si>
  <si>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</si>
  <si>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</si>
  <si>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</si>
  <si>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</si>
  <si>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</si>
  <si>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</si>
  <si>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</si>
  <si>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</si>
  <si>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</si>
  <si>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</si>
  <si>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</si>
  <si>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</si>
  <si>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</si>
  <si>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</si>
  <si>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</si>
  <si>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</si>
  <si>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</si>
  <si>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</si>
  <si>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</si>
  <si>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</si>
  <si>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</si>
  <si>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</si>
  <si>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</si>
  <si>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</si>
  <si>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</si>
  <si>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</si>
  <si>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</si>
  <si>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</si>
  <si>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</si>
  <si>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</si>
  <si>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</si>
  <si>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</si>
  <si>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</si>
  <si>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</si>
  <si>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</si>
  <si>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</si>
  <si>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</si>
  <si>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</si>
  <si>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</si>
  <si>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</si>
  <si>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</si>
  <si>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</si>
  <si>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</si>
  <si>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</si>
  <si>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</si>
  <si>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</si>
  <si>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</si>
  <si>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</si>
  <si>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</si>
  <si>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</si>
  <si>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</si>
  <si>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</si>
  <si>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</si>
  <si>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</si>
  <si>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</si>
  <si>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</si>
  <si>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</si>
  <si>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</si>
  <si>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</si>
  <si>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</si>
  <si>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</si>
  <si>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</si>
  <si>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</si>
  <si>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</si>
  <si>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</si>
  <si>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</si>
  <si>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</si>
  <si>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</si>
  <si>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</si>
  <si>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</si>
  <si>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</si>
  <si>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</si>
  <si>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</si>
  <si>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</si>
  <si>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</si>
  <si>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</si>
  <si>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</si>
  <si>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</si>
  <si>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</si>
  <si>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</si>
  <si>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</si>
  <si>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</si>
  <si>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</si>
  <si>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</si>
  <si>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</si>
  <si>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</si>
  <si>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</si>
  <si>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</si>
  <si>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</si>
  <si>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</si>
  <si>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</si>
  <si>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</si>
  <si>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</si>
  <si>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</si>
  <si>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</si>
  <si>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</si>
  <si>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</si>
  <si>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</si>
  <si>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</si>
  <si>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</si>
  <si>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</si>
  <si>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</si>
  <si>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</si>
  <si>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</si>
  <si>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</si>
  <si>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</si>
  <si>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</si>
  <si>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</si>
  <si>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</si>
  <si>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</si>
  <si>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</si>
  <si>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</si>
  <si>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</si>
  <si>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</si>
  <si>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</si>
  <si>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</si>
  <si>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</si>
  <si>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</si>
  <si>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</si>
  <si>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</si>
  <si>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</si>
  <si>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</si>
  <si>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</si>
  <si>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</si>
  <si>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</si>
  <si>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</si>
  <si>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</si>
  <si>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</si>
  <si>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</si>
  <si>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</si>
  <si>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</si>
  <si>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</si>
  <si>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</si>
  <si>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</si>
  <si>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</si>
  <si>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</si>
  <si>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</si>
  <si>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</si>
  <si>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</si>
  <si>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</si>
  <si>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</si>
  <si>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</si>
  <si>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</si>
  <si>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</si>
  <si>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</si>
  <si>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</si>
  <si>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</si>
  <si>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</si>
  <si>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</si>
  <si>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</si>
  <si>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</si>
  <si>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</si>
  <si>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</si>
  <si>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</si>
  <si>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</si>
  <si>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</si>
  <si>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</si>
  <si>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</si>
  <si>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</si>
  <si>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</si>
  <si>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</si>
  <si>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</si>
  <si>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</si>
  <si>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</si>
  <si>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</si>
  <si>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</si>
  <si>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</si>
  <si>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</si>
  <si>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</si>
  <si>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</si>
  <si>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</si>
  <si>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</si>
  <si>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</si>
  <si>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</si>
  <si>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</si>
  <si>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</si>
  <si>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</si>
  <si>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</si>
  <si>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</si>
  <si>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</si>
  <si>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</si>
  <si>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</si>
  <si>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</si>
  <si>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</si>
  <si>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</si>
  <si>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</si>
  <si>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</si>
  <si>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</si>
  <si>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</si>
  <si>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</si>
  <si>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</si>
  <si>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</si>
  <si>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</si>
  <si>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</si>
  <si>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</si>
  <si>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</si>
  <si>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</si>
  <si>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</si>
  <si>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</si>
  <si>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ja</t>
    <phoneticPr fontId="21"/>
  </si>
  <si>
    <t>通常確率</t>
    <rPh sb="0" eb="4">
      <t>ツウジョ</t>
    </rPh>
    <phoneticPr fontId="21"/>
  </si>
  <si>
    <t>bit</t>
    <phoneticPr fontId="21"/>
  </si>
  <si>
    <t>null</t>
    <phoneticPr fontId="21"/>
  </si>
  <si>
    <t>30万ビット</t>
    <phoneticPr fontId="21"/>
  </si>
  <si>
    <t>STEP2特典として
30万ビットをプレゼント！</t>
    <phoneticPr fontId="21"/>
  </si>
  <si>
    <t>ja</t>
    <phoneticPr fontId="21"/>
  </si>
  <si>
    <t>ステップアップガチャ特典</t>
    <phoneticPr fontId="21"/>
  </si>
  <si>
    <t>item</t>
    <phoneticPr fontId="21"/>
  </si>
  <si>
    <t>マスターキー × 3</t>
    <phoneticPr fontId="21"/>
  </si>
  <si>
    <t>限界突破キー × 2</t>
    <phoneticPr fontId="21"/>
  </si>
  <si>
    <t>STEP3特典として
限界突破キーを2本プレゼント！</t>
    <rPh sb="19" eb="20">
      <t>ホｎ</t>
    </rPh>
    <phoneticPr fontId="21"/>
  </si>
  <si>
    <t>STEP4特典として
マスターキーを3本プレゼント！</t>
    <rPh sb="19" eb="20">
      <t>ホｎ</t>
    </rPh>
    <phoneticPr fontId="21"/>
  </si>
  <si>
    <t>tables_595101</t>
    <phoneticPr fontId="21"/>
  </si>
  <si>
    <t>tables_595104</t>
    <phoneticPr fontId="21"/>
  </si>
  <si>
    <t>tables_settle_595105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</si>
</sst>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5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6" fillId="4" borderId="0" xfId="2" applyFont="1" applyFill="1" applyAlignment="1">
      <alignment vertical="center"/>
    </xf>
    <xf numFmtId="0" fontId="26" fillId="4" borderId="1" xfId="3663" quotePrefix="1" applyNumberFormat="1" applyFont="1" applyFill="1" applyBorder="1" applyAlignment="1">
      <alignment vertical="center"/>
    </xf>
    <xf numFmtId="0" fontId="1" fillId="4" borderId="1" xfId="2978" applyFont="1" applyFill="1" applyBorder="1"/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1687</v>
          </cell>
          <cell r="B1564" t="str">
            <v>ja</v>
          </cell>
          <cell r="C1564" t="str">
            <v>ファルネーゼ</v>
          </cell>
          <cell r="H1564" t="str">
            <v>green</v>
          </cell>
          <cell r="I1564">
            <v>5</v>
          </cell>
          <cell r="J1564" t="str">
            <v>DropWizS</v>
          </cell>
          <cell r="K1564" t="str">
            <v>balance</v>
          </cell>
          <cell r="L1564" t="str">
            <v>バランスタイプ</v>
          </cell>
          <cell r="M1564" t="str">
            <v>human</v>
          </cell>
        </row>
        <row r="1565">
          <cell r="A1565">
            <v>1688</v>
          </cell>
          <cell r="B1565" t="str">
            <v>ja</v>
          </cell>
          <cell r="C1565" t="str">
            <v>ファルネーゼ・ロッソ</v>
          </cell>
          <cell r="H1565" t="str">
            <v>red</v>
          </cell>
          <cell r="I1565">
            <v>6</v>
          </cell>
          <cell r="J1565" t="str">
            <v>DropWizS</v>
          </cell>
          <cell r="K1565" t="str">
            <v>balance</v>
          </cell>
          <cell r="L1565" t="str">
            <v>バランスタイプ</v>
          </cell>
          <cell r="M1565" t="str">
            <v>human</v>
          </cell>
        </row>
        <row r="1566">
          <cell r="A1566">
            <v>1689</v>
          </cell>
          <cell r="B1566" t="str">
            <v>ja</v>
          </cell>
          <cell r="C1566" t="str">
            <v>ファルネーゼ・ヴェルデ</v>
          </cell>
          <cell r="H1566" t="str">
            <v>green</v>
          </cell>
          <cell r="I1566">
            <v>6</v>
          </cell>
          <cell r="J1566" t="str">
            <v>DropWizS</v>
          </cell>
          <cell r="K1566" t="str">
            <v>balance</v>
          </cell>
          <cell r="L1566" t="str">
            <v>バランスタイプ</v>
          </cell>
          <cell r="M1566" t="str">
            <v>human</v>
          </cell>
        </row>
        <row r="1567">
          <cell r="A1567">
            <v>1690</v>
          </cell>
          <cell r="B1567" t="str">
            <v>ja</v>
          </cell>
          <cell r="C1567" t="str">
            <v>ファルネーゼ・アズロ</v>
          </cell>
          <cell r="H1567" t="str">
            <v>blue</v>
          </cell>
          <cell r="I1567">
            <v>6</v>
          </cell>
          <cell r="J1567" t="str">
            <v>DropWizS</v>
          </cell>
          <cell r="K1567" t="str">
            <v>balance</v>
          </cell>
          <cell r="L1567" t="str">
            <v>バランスタイプ</v>
          </cell>
          <cell r="M1567" t="str">
            <v>human</v>
          </cell>
        </row>
        <row r="1568">
          <cell r="A1568">
            <v>1691</v>
          </cell>
          <cell r="B1568" t="str">
            <v>ja</v>
          </cell>
          <cell r="C1568" t="str">
            <v>ファルネーゼ・ジャロ</v>
          </cell>
          <cell r="H1568" t="str">
            <v>yellow</v>
          </cell>
          <cell r="I1568">
            <v>6</v>
          </cell>
          <cell r="J1568" t="str">
            <v>DropWizS</v>
          </cell>
          <cell r="K1568" t="str">
            <v>balance</v>
          </cell>
          <cell r="L1568" t="str">
            <v>バランスタイプ</v>
          </cell>
          <cell r="M1568" t="str">
            <v>human</v>
          </cell>
        </row>
        <row r="1569">
          <cell r="A1569">
            <v>5001</v>
          </cell>
          <cell r="B1569" t="str">
            <v>ja</v>
          </cell>
          <cell r="C1569" t="str">
            <v>ガルーダ</v>
          </cell>
          <cell r="D1569" t="str">
            <v>ノーマルクエスト</v>
          </cell>
          <cell r="E1569" t="str">
            <v>QoH</v>
          </cell>
          <cell r="F1569" t="str">
            <v>世界観</v>
          </cell>
          <cell r="G1569" t="str">
            <v>不明</v>
          </cell>
          <cell r="H1569" t="str">
            <v>red</v>
          </cell>
          <cell r="I1569">
            <v>5</v>
          </cell>
          <cell r="J1569" t="str">
            <v>PremiumSSw</v>
          </cell>
          <cell r="K1569" t="str">
            <v>attack</v>
          </cell>
          <cell r="L1569" t="str">
            <v>攻撃タイプ</v>
          </cell>
          <cell r="M1569" t="str">
            <v>god</v>
          </cell>
        </row>
        <row r="1570">
          <cell r="A1570">
            <v>5002</v>
          </cell>
          <cell r="B1570" t="str">
            <v>ja</v>
          </cell>
          <cell r="C1570" t="str">
            <v>光輝する美翼聖鳥 ガルーダ</v>
          </cell>
          <cell r="D1570" t="str">
            <v>ノーマルクエスト</v>
          </cell>
          <cell r="E1570" t="str">
            <v>アバター</v>
          </cell>
          <cell r="F1570" t="str">
            <v>世界観</v>
          </cell>
          <cell r="G1570" t="str">
            <v>男性</v>
          </cell>
          <cell r="H1570" t="str">
            <v>red</v>
          </cell>
          <cell r="I1570">
            <v>6</v>
          </cell>
          <cell r="J1570" t="str">
            <v>PremiumSSw</v>
          </cell>
          <cell r="K1570" t="str">
            <v>attack</v>
          </cell>
          <cell r="L1570" t="str">
            <v>攻撃タイプ</v>
          </cell>
          <cell r="M1570" t="str">
            <v>god</v>
          </cell>
        </row>
        <row r="1571">
          <cell r="A1571">
            <v>5003</v>
          </cell>
          <cell r="B1571" t="str">
            <v>ja</v>
          </cell>
          <cell r="C1571" t="str">
            <v>ナーガ</v>
          </cell>
          <cell r="D1571" t="str">
            <v>リンクガチャ:4神</v>
          </cell>
          <cell r="E1571" t="str">
            <v>守護神</v>
          </cell>
          <cell r="F1571" t="str">
            <v>格好いい</v>
          </cell>
          <cell r="G1571" t="str">
            <v>不明</v>
          </cell>
          <cell r="H1571" t="str">
            <v>green</v>
          </cell>
          <cell r="I1571">
            <v>5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animal</v>
          </cell>
        </row>
        <row r="1572">
          <cell r="A1572">
            <v>5004</v>
          </cell>
          <cell r="B1572" t="str">
            <v>ja</v>
          </cell>
          <cell r="C1572" t="str">
            <v>深淵翠緑 ナーガ</v>
          </cell>
          <cell r="D1572" t="str">
            <v>ノーマルクエスト</v>
          </cell>
          <cell r="E1572" t="str">
            <v>アバター</v>
          </cell>
          <cell r="F1572" t="str">
            <v>世界観</v>
          </cell>
          <cell r="G1572" t="str">
            <v>不明</v>
          </cell>
          <cell r="H1572" t="str">
            <v>green</v>
          </cell>
          <cell r="I1572">
            <v>6</v>
          </cell>
          <cell r="J1572" t="str">
            <v>DropWizS</v>
          </cell>
          <cell r="K1572" t="str">
            <v>technical</v>
          </cell>
          <cell r="L1572" t="str">
            <v>テクニカルタイプ</v>
          </cell>
          <cell r="M1572" t="str">
            <v>animal</v>
          </cell>
        </row>
        <row r="1573">
          <cell r="A1573">
            <v>5005</v>
          </cell>
          <cell r="B1573" t="str">
            <v>ja</v>
          </cell>
          <cell r="C1573" t="str">
            <v>カーミラ</v>
          </cell>
          <cell r="D1573" t="str">
            <v>ノーマルクエスト</v>
          </cell>
          <cell r="E1573" t="str">
            <v>QoH</v>
          </cell>
          <cell r="F1573" t="str">
            <v>世界観</v>
          </cell>
          <cell r="G1573" t="str">
            <v>不明</v>
          </cell>
          <cell r="H1573" t="str">
            <v>green</v>
          </cell>
          <cell r="I1573">
            <v>5</v>
          </cell>
          <cell r="J1573" t="str">
            <v>PremiumSSw</v>
          </cell>
          <cell r="K1573" t="str">
            <v>balance</v>
          </cell>
          <cell r="L1573" t="str">
            <v>バランスタイプ</v>
          </cell>
          <cell r="M1573" t="str">
            <v>demon</v>
          </cell>
        </row>
        <row r="1574">
          <cell r="A1574">
            <v>5006</v>
          </cell>
          <cell r="B1574" t="str">
            <v>ja</v>
          </cell>
          <cell r="C1574" t="str">
            <v>カーミラ★６</v>
          </cell>
          <cell r="D1574" t="str">
            <v>ノーマルクエスト</v>
          </cell>
          <cell r="E1574" t="str">
            <v>アバター</v>
          </cell>
          <cell r="F1574" t="str">
            <v>世界観</v>
          </cell>
          <cell r="G1574" t="str">
            <v>男性</v>
          </cell>
          <cell r="H1574" t="str">
            <v>green</v>
          </cell>
          <cell r="I1574">
            <v>6</v>
          </cell>
          <cell r="J1574" t="str">
            <v>PremiumSSw</v>
          </cell>
          <cell r="K1574" t="str">
            <v>balance</v>
          </cell>
          <cell r="L1574" t="str">
            <v>バランスタイプ</v>
          </cell>
          <cell r="M1574" t="str">
            <v>demon</v>
          </cell>
        </row>
        <row r="1575">
          <cell r="A1575">
            <v>5007</v>
          </cell>
          <cell r="B1575" t="str">
            <v>ja</v>
          </cell>
          <cell r="C1575" t="str">
            <v>ヘルシング</v>
          </cell>
          <cell r="D1575" t="str">
            <v>リンクガチャ:4神</v>
          </cell>
          <cell r="E1575" t="str">
            <v>守護神</v>
          </cell>
          <cell r="F1575" t="str">
            <v>格好いい</v>
          </cell>
          <cell r="G1575" t="str">
            <v>不明</v>
          </cell>
          <cell r="H1575" t="str">
            <v>yellow</v>
          </cell>
          <cell r="I1575">
            <v>5</v>
          </cell>
          <cell r="J1575" t="str">
            <v>DropWizS</v>
          </cell>
          <cell r="K1575" t="str">
            <v>technical</v>
          </cell>
          <cell r="L1575" t="str">
            <v>テクニカルタイプ</v>
          </cell>
          <cell r="M1575" t="str">
            <v>human</v>
          </cell>
        </row>
        <row r="1576">
          <cell r="A1576">
            <v>5008</v>
          </cell>
          <cell r="B1576" t="str">
            <v>ja</v>
          </cell>
          <cell r="C1576" t="str">
            <v>ヘルシング★６</v>
          </cell>
          <cell r="D1576" t="str">
            <v>ノーマルクエスト</v>
          </cell>
          <cell r="E1576" t="str">
            <v>アバター</v>
          </cell>
          <cell r="F1576" t="str">
            <v>世界観</v>
          </cell>
          <cell r="G1576" t="str">
            <v>不明</v>
          </cell>
          <cell r="H1576" t="str">
            <v>yellow</v>
          </cell>
          <cell r="I1576">
            <v>6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human</v>
          </cell>
        </row>
        <row r="1577">
          <cell r="A1577">
            <v>6001</v>
          </cell>
          <cell r="B1577" t="str">
            <v>ja</v>
          </cell>
          <cell r="C1577" t="str">
            <v>ジェリー</v>
          </cell>
          <cell r="D1577" t="str">
            <v>ノーマルクエスト</v>
          </cell>
          <cell r="E1577" t="str">
            <v>QoH</v>
          </cell>
          <cell r="F1577" t="str">
            <v>世界観</v>
          </cell>
          <cell r="G1577" t="str">
            <v>不明</v>
          </cell>
          <cell r="H1577" t="str">
            <v>red</v>
          </cell>
          <cell r="I1577">
            <v>1</v>
          </cell>
          <cell r="J1577" t="str">
            <v>Drop1T</v>
          </cell>
          <cell r="K1577" t="str">
            <v>ra</v>
          </cell>
          <cell r="L1577" t="str">
            <v>ラグランジュチャレンジ</v>
          </cell>
          <cell r="M1577" t="str">
            <v>unknown</v>
          </cell>
        </row>
        <row r="1578">
          <cell r="A1578">
            <v>6002</v>
          </cell>
          <cell r="B1578" t="str">
            <v>ja</v>
          </cell>
          <cell r="C1578" t="str">
            <v>ヨシタカ</v>
          </cell>
          <cell r="D1578" t="str">
            <v>ノーマルクエスト</v>
          </cell>
          <cell r="E1578" t="str">
            <v>アバター</v>
          </cell>
          <cell r="F1578" t="str">
            <v>世界観</v>
          </cell>
          <cell r="G1578" t="str">
            <v>男性</v>
          </cell>
          <cell r="H1578" t="str">
            <v>red</v>
          </cell>
          <cell r="I1578">
            <v>2</v>
          </cell>
          <cell r="J1578" t="str">
            <v>Drop1N</v>
          </cell>
          <cell r="K1578" t="str">
            <v>ra</v>
          </cell>
          <cell r="L1578" t="str">
            <v>ラグランジュチャレンジ</v>
          </cell>
          <cell r="M1578" t="str">
            <v>human</v>
          </cell>
        </row>
        <row r="1579">
          <cell r="A1579">
            <v>6003</v>
          </cell>
          <cell r="B1579" t="str">
            <v>ja</v>
          </cell>
          <cell r="C1579" t="str">
            <v>朱雀</v>
          </cell>
          <cell r="D1579" t="str">
            <v>リンクガチャ:4神</v>
          </cell>
          <cell r="E1579" t="str">
            <v>守護神</v>
          </cell>
          <cell r="F1579" t="str">
            <v>格好いい</v>
          </cell>
          <cell r="G1579" t="str">
            <v>不明</v>
          </cell>
          <cell r="H1579" t="str">
            <v>red</v>
          </cell>
          <cell r="I1579">
            <v>3</v>
          </cell>
          <cell r="J1579" t="str">
            <v>Drop2N</v>
          </cell>
          <cell r="K1579" t="str">
            <v>ra</v>
          </cell>
          <cell r="L1579" t="str">
            <v>ラグランジュチャレンジ</v>
          </cell>
          <cell r="M1579" t="str">
            <v>animal</v>
          </cell>
        </row>
        <row r="1580">
          <cell r="A1580">
            <v>6004</v>
          </cell>
          <cell r="B1580" t="str">
            <v>ja</v>
          </cell>
          <cell r="C1580" t="str">
            <v>ブレット</v>
          </cell>
          <cell r="D1580" t="str">
            <v>ノーマルクエスト</v>
          </cell>
          <cell r="E1580" t="str">
            <v>アバター</v>
          </cell>
          <cell r="F1580" t="str">
            <v>世界観</v>
          </cell>
          <cell r="G1580" t="str">
            <v>不明</v>
          </cell>
          <cell r="H1580" t="str">
            <v>red</v>
          </cell>
          <cell r="I1580">
            <v>1</v>
          </cell>
          <cell r="J1580" t="str">
            <v>Drop1W</v>
          </cell>
          <cell r="K1580" t="str">
            <v>ra</v>
          </cell>
          <cell r="L1580" t="str">
            <v>ラグランジュチャレンジ</v>
          </cell>
          <cell r="M1580" t="str">
            <v>animal</v>
          </cell>
        </row>
        <row r="1581">
          <cell r="A1581">
            <v>6005</v>
          </cell>
          <cell r="B1581" t="str">
            <v>ja</v>
          </cell>
          <cell r="C1581" t="str">
            <v>孤神 テティス</v>
          </cell>
          <cell r="D1581" t="str">
            <v>初期ガチャ</v>
          </cell>
          <cell r="E1581" t="str">
            <v>管理者</v>
          </cell>
          <cell r="F1581" t="str">
            <v>美しい</v>
          </cell>
          <cell r="G1581" t="str">
            <v>女性</v>
          </cell>
          <cell r="H1581" t="str">
            <v>blue</v>
          </cell>
          <cell r="I1581">
            <v>4</v>
          </cell>
          <cell r="J1581" t="str">
            <v>PremiumN</v>
          </cell>
          <cell r="K1581" t="str">
            <v>ra</v>
          </cell>
          <cell r="L1581" t="str">
            <v>ラグランジュチャレンジ</v>
          </cell>
          <cell r="M1581" t="str">
            <v>god</v>
          </cell>
        </row>
        <row r="1582">
          <cell r="A1582">
            <v>6006</v>
          </cell>
          <cell r="B1582" t="str">
            <v>ja</v>
          </cell>
          <cell r="C1582" t="str">
            <v>海底の孤高神 テティス</v>
          </cell>
          <cell r="D1582" t="str">
            <v>初期ガチャ</v>
          </cell>
          <cell r="E1582" t="str">
            <v>管理者</v>
          </cell>
          <cell r="F1582" t="str">
            <v>美しい</v>
          </cell>
          <cell r="G1582" t="str">
            <v>女性</v>
          </cell>
          <cell r="H1582" t="str">
            <v>blue</v>
          </cell>
          <cell r="I1582">
            <v>5</v>
          </cell>
          <cell r="J1582" t="str">
            <v>PremiumN</v>
          </cell>
          <cell r="K1582" t="str">
            <v>ra</v>
          </cell>
          <cell r="L1582" t="str">
            <v>ラグランジュチャレンジ</v>
          </cell>
          <cell r="M1582" t="str">
            <v>god</v>
          </cell>
        </row>
        <row r="1583">
          <cell r="A1583">
            <v>6007</v>
          </cell>
          <cell r="B1583" t="str">
            <v>ja</v>
          </cell>
          <cell r="C1583" t="str">
            <v>番犬 ケルベロス</v>
          </cell>
          <cell r="D1583" t="str">
            <v>初期ガチャ</v>
          </cell>
          <cell r="E1583" t="str">
            <v>破界者</v>
          </cell>
          <cell r="F1583" t="str">
            <v>可愛い</v>
          </cell>
          <cell r="G1583" t="str">
            <v>女性</v>
          </cell>
          <cell r="H1583" t="str">
            <v>red</v>
          </cell>
          <cell r="I1583">
            <v>4</v>
          </cell>
          <cell r="J1583" t="str">
            <v>PremiumN</v>
          </cell>
          <cell r="K1583" t="str">
            <v>ra</v>
          </cell>
          <cell r="L1583" t="str">
            <v>ラグランジュチャレンジ</v>
          </cell>
          <cell r="M1583" t="str">
            <v>animal</v>
          </cell>
        </row>
        <row r="1584">
          <cell r="A1584">
            <v>6008</v>
          </cell>
          <cell r="B1584" t="str">
            <v>ja</v>
          </cell>
          <cell r="C1584" t="str">
            <v>焔神 プロメテウス</v>
          </cell>
          <cell r="D1584" t="str">
            <v>初期ガチャ</v>
          </cell>
          <cell r="E1584" t="str">
            <v>管理者</v>
          </cell>
          <cell r="F1584" t="str">
            <v>格好いい</v>
          </cell>
          <cell r="G1584" t="str">
            <v>男性</v>
          </cell>
          <cell r="H1584" t="str">
            <v>red</v>
          </cell>
          <cell r="I1584">
            <v>4</v>
          </cell>
          <cell r="J1584" t="str">
            <v>PremiumN</v>
          </cell>
          <cell r="K1584" t="str">
            <v>ra</v>
          </cell>
          <cell r="L1584" t="str">
            <v>ラグランジュチャレンジ</v>
          </cell>
          <cell r="M1584" t="str">
            <v>god</v>
          </cell>
        </row>
        <row r="1585">
          <cell r="A1585">
            <v>6009</v>
          </cell>
          <cell r="B1585" t="str">
            <v>ja</v>
          </cell>
          <cell r="C1585" t="str">
            <v>超越自我 ラグランジュ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5</v>
          </cell>
          <cell r="J1585" t="str">
            <v>PremiumSSS</v>
          </cell>
          <cell r="K1585" t="str">
            <v>ra</v>
          </cell>
          <cell r="L1585" t="str">
            <v>ラグランジュチャレンジ</v>
          </cell>
          <cell r="M1585" t="str">
            <v>human</v>
          </cell>
        </row>
        <row r="1586">
          <cell r="A1586">
            <v>6010</v>
          </cell>
          <cell r="B1586" t="str">
            <v>ja</v>
          </cell>
          <cell r="C1586" t="str">
            <v>超越凌駕 ラグランジュ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red</v>
          </cell>
          <cell r="I1586">
            <v>6</v>
          </cell>
          <cell r="J1586" t="str">
            <v>PremiumSSS</v>
          </cell>
          <cell r="K1586" t="str">
            <v>ra</v>
          </cell>
          <cell r="L1586" t="str">
            <v>ラグランジュチャレンジ</v>
          </cell>
          <cell r="M1586" t="str">
            <v>human</v>
          </cell>
        </row>
        <row r="1587">
          <cell r="A1587">
            <v>6011</v>
          </cell>
          <cell r="B1587" t="str">
            <v>ja</v>
          </cell>
          <cell r="C1587" t="str">
            <v>パトドッグリーダー ポチ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2</v>
          </cell>
          <cell r="J1587" t="str">
            <v>Drop1T</v>
          </cell>
          <cell r="K1587" t="str">
            <v>ra002</v>
          </cell>
          <cell r="L1587" t="str">
            <v>ユークリッドチャレンジ</v>
          </cell>
          <cell r="M1587" t="str">
            <v>unknown</v>
          </cell>
        </row>
        <row r="1588">
          <cell r="A1588">
            <v>6012</v>
          </cell>
          <cell r="B1588" t="str">
            <v>ja</v>
          </cell>
          <cell r="C1588" t="str">
            <v>ミミ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yellow</v>
          </cell>
          <cell r="I1588">
            <v>1</v>
          </cell>
          <cell r="J1588" t="str">
            <v>Drop1W</v>
          </cell>
          <cell r="K1588" t="str">
            <v>ra002</v>
          </cell>
          <cell r="L1588" t="str">
            <v>ユークリッドチャレンジ</v>
          </cell>
          <cell r="M1588" t="str">
            <v>animal</v>
          </cell>
        </row>
        <row r="1589">
          <cell r="A1589">
            <v>6013</v>
          </cell>
          <cell r="B1589" t="str">
            <v>ja</v>
          </cell>
          <cell r="C1589" t="str">
            <v>護衛機人 スケアクロウ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blue</v>
          </cell>
          <cell r="I1589">
            <v>2</v>
          </cell>
          <cell r="J1589" t="str">
            <v>Drop1N</v>
          </cell>
          <cell r="K1589" t="str">
            <v>ra002</v>
          </cell>
          <cell r="L1589" t="str">
            <v>ユークリッドチャレンジ</v>
          </cell>
          <cell r="M1589" t="str">
            <v>machine</v>
          </cell>
        </row>
        <row r="1590">
          <cell r="A1590">
            <v>6014</v>
          </cell>
          <cell r="B1590" t="str">
            <v>ja</v>
          </cell>
          <cell r="C1590" t="str">
            <v>月下の人狼 ローレンス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blue</v>
          </cell>
          <cell r="I1590">
            <v>4</v>
          </cell>
          <cell r="J1590" t="str">
            <v>PremiumW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6015</v>
          </cell>
          <cell r="B1591" t="str">
            <v>ja</v>
          </cell>
          <cell r="C1591" t="str">
            <v>フレイヤ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PremiumSS</v>
          </cell>
          <cell r="K1591" t="str">
            <v>ra002</v>
          </cell>
          <cell r="L1591" t="str">
            <v>ユークリッドチャレンジ</v>
          </cell>
          <cell r="M1591" t="str">
            <v>animal</v>
          </cell>
        </row>
        <row r="1592">
          <cell r="A1592">
            <v>6016</v>
          </cell>
          <cell r="B1592" t="str">
            <v>ja</v>
          </cell>
          <cell r="C1592" t="str">
            <v>根原論理 ユークリッド</v>
          </cell>
          <cell r="D1592" t="str">
            <v>ガチャ:フィーバーフェス02</v>
          </cell>
          <cell r="E1592" t="str">
            <v>執行者</v>
          </cell>
          <cell r="F1592" t="str">
            <v>格好いい</v>
          </cell>
          <cell r="G1592" t="str">
            <v>男性</v>
          </cell>
          <cell r="H1592" t="str">
            <v>blue</v>
          </cell>
          <cell r="I1592">
            <v>5</v>
          </cell>
          <cell r="J1592" t="str">
            <v>PremiumSSS</v>
          </cell>
          <cell r="K1592" t="str">
            <v>ra002</v>
          </cell>
          <cell r="L1592" t="str">
            <v>ユークリッドチャレンジ</v>
          </cell>
          <cell r="M1592" t="str">
            <v>human</v>
          </cell>
        </row>
        <row r="1593">
          <cell r="A1593">
            <v>6017</v>
          </cell>
          <cell r="B1593" t="str">
            <v>ja</v>
          </cell>
          <cell r="C1593" t="str">
            <v>不朽の極論 ユークリッド</v>
          </cell>
          <cell r="D1593" t="str">
            <v>ガチャ:フィーバーフェス02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blue</v>
          </cell>
          <cell r="I1593">
            <v>6</v>
          </cell>
          <cell r="J1593" t="str">
            <v>PremiumSSS</v>
          </cell>
          <cell r="K1593" t="str">
            <v>ra002</v>
          </cell>
          <cell r="L1593" t="str">
            <v>ユークリッドチャレンジ</v>
          </cell>
          <cell r="M1593" t="str">
            <v>human</v>
          </cell>
        </row>
        <row r="1594">
          <cell r="A1594">
            <v>6018</v>
          </cell>
          <cell r="B1594" t="str">
            <v>ja</v>
          </cell>
          <cell r="C1594" t="str">
            <v>ハヅル</v>
          </cell>
          <cell r="D1594" t="str">
            <v>ガチャ:フィーバーフェス02</v>
          </cell>
          <cell r="E1594" t="str">
            <v>執行者</v>
          </cell>
          <cell r="F1594" t="str">
            <v>格好いい</v>
          </cell>
          <cell r="G1594" t="str">
            <v>男性</v>
          </cell>
          <cell r="H1594" t="str">
            <v>red</v>
          </cell>
          <cell r="I1594">
            <v>4</v>
          </cell>
          <cell r="J1594" t="str">
            <v>PremiumSS</v>
          </cell>
          <cell r="K1594" t="str">
            <v>ra002</v>
          </cell>
          <cell r="L1594" t="str">
            <v>ユークリッドチャレンジ</v>
          </cell>
          <cell r="M1594" t="str">
            <v>animal</v>
          </cell>
        </row>
        <row r="1595">
          <cell r="A1595">
            <v>6019</v>
          </cell>
          <cell r="B1595" t="str">
            <v>ja</v>
          </cell>
          <cell r="C1595" t="str">
            <v>天織羽鶴 ハヅル</v>
          </cell>
          <cell r="D1595" t="str">
            <v>ガチャ:フィーバーフェス02</v>
          </cell>
          <cell r="E1595" t="str">
            <v>執行者</v>
          </cell>
          <cell r="F1595" t="str">
            <v>格好いい</v>
          </cell>
          <cell r="G1595" t="str">
            <v>男性</v>
          </cell>
          <cell r="H1595" t="str">
            <v>red</v>
          </cell>
          <cell r="I1595">
            <v>5</v>
          </cell>
          <cell r="J1595" t="str">
            <v>PremiumSS</v>
          </cell>
          <cell r="K1595" t="str">
            <v>ra002</v>
          </cell>
          <cell r="L1595" t="str">
            <v>ユークリッドチャレンジ</v>
          </cell>
          <cell r="M1595" t="str">
            <v>animal</v>
          </cell>
        </row>
        <row r="1596">
          <cell r="A1596">
            <v>6020</v>
          </cell>
          <cell r="B1596" t="str">
            <v>ja</v>
          </cell>
          <cell r="C1596" t="str">
            <v>ミズチ</v>
          </cell>
          <cell r="D1596" t="str">
            <v>ガチャ:フィーバーフェス02</v>
          </cell>
          <cell r="E1596" t="str">
            <v>執行者</v>
          </cell>
          <cell r="F1596" t="str">
            <v>格好いい</v>
          </cell>
          <cell r="G1596" t="str">
            <v>男性</v>
          </cell>
          <cell r="H1596" t="str">
            <v>blue</v>
          </cell>
          <cell r="I1596">
            <v>4</v>
          </cell>
          <cell r="J1596" t="str">
            <v>PremiumS</v>
          </cell>
          <cell r="K1596" t="str">
            <v>ra002</v>
          </cell>
          <cell r="L1596" t="str">
            <v>ユークリッドチャレンジ</v>
          </cell>
          <cell r="M1596" t="str">
            <v>dragon</v>
          </cell>
        </row>
        <row r="1597">
          <cell r="A1597">
            <v>8001</v>
          </cell>
          <cell r="B1597" t="str">
            <v>ja</v>
          </cell>
          <cell r="C1597" t="str">
            <v>媽祖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女性</v>
          </cell>
          <cell r="H1597" t="str">
            <v>yellow</v>
          </cell>
          <cell r="I1597">
            <v>5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god</v>
          </cell>
        </row>
        <row r="1598">
          <cell r="A1598">
            <v>8002</v>
          </cell>
          <cell r="B1598" t="str">
            <v>ja</v>
          </cell>
          <cell r="C1598" t="str">
            <v>宣導する天海妃 媽祖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yellow</v>
          </cell>
          <cell r="I1598">
            <v>6</v>
          </cell>
          <cell r="J1598" t="str">
            <v>PremiumSS</v>
          </cell>
          <cell r="K1598" t="str">
            <v>attack</v>
          </cell>
          <cell r="L1598" t="str">
            <v>攻撃タイプ</v>
          </cell>
          <cell r="M1598" t="str">
            <v>god</v>
          </cell>
        </row>
        <row r="1599">
          <cell r="A1599">
            <v>8003</v>
          </cell>
          <cell r="B1599" t="str">
            <v>ja</v>
          </cell>
          <cell r="C1599" t="str">
            <v>蛟龍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blue</v>
          </cell>
          <cell r="I1599">
            <v>5</v>
          </cell>
          <cell r="J1599" t="str">
            <v>DropWizS</v>
          </cell>
          <cell r="K1599" t="str">
            <v>hp</v>
          </cell>
          <cell r="L1599" t="str">
            <v>体力タイプ</v>
          </cell>
          <cell r="M1599" t="str">
            <v>dragon</v>
          </cell>
        </row>
        <row r="1600">
          <cell r="A1600">
            <v>8004</v>
          </cell>
          <cell r="B1600" t="str">
            <v>ja</v>
          </cell>
          <cell r="C1600" t="str">
            <v>呼嵐の蒼棲龍 蛟龍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blue</v>
          </cell>
          <cell r="I1600">
            <v>6</v>
          </cell>
          <cell r="J1600" t="str">
            <v>DropWizS</v>
          </cell>
          <cell r="K1600" t="str">
            <v>hp</v>
          </cell>
          <cell r="L1600" t="str">
            <v>体力タイプ</v>
          </cell>
          <cell r="M1600" t="str">
            <v>dragon</v>
          </cell>
        </row>
        <row r="1601">
          <cell r="A1601">
            <v>8005</v>
          </cell>
          <cell r="B1601" t="str">
            <v>ja</v>
          </cell>
          <cell r="C1601" t="str">
            <v>三蔵法師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blue</v>
          </cell>
          <cell r="I1601">
            <v>5</v>
          </cell>
          <cell r="J1601" t="str">
            <v>PremiumSS</v>
          </cell>
          <cell r="K1601" t="str">
            <v>balance</v>
          </cell>
          <cell r="L1601" t="str">
            <v>バランスタイプ</v>
          </cell>
          <cell r="M1601" t="str">
            <v>human</v>
          </cell>
        </row>
        <row r="1602">
          <cell r="A1602">
            <v>8006</v>
          </cell>
          <cell r="B1602" t="str">
            <v>ja</v>
          </cell>
          <cell r="C1602" t="str">
            <v>慈戒の呪封使 三蔵法師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不明</v>
          </cell>
          <cell r="H1602" t="str">
            <v>blue</v>
          </cell>
          <cell r="I1602">
            <v>6</v>
          </cell>
          <cell r="J1602" t="str">
            <v>PremiumSS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</row>
        <row r="1603">
          <cell r="A1603">
            <v>8007</v>
          </cell>
          <cell r="B1603" t="str">
            <v>ja</v>
          </cell>
          <cell r="C1603" t="str">
            <v>孫悟空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不明</v>
          </cell>
          <cell r="H1603" t="str">
            <v>red</v>
          </cell>
          <cell r="I1603">
            <v>5</v>
          </cell>
          <cell r="J1603" t="str">
            <v>DropWizS</v>
          </cell>
          <cell r="K1603" t="str">
            <v>attack</v>
          </cell>
          <cell r="L1603" t="str">
            <v>攻撃タイプ</v>
          </cell>
          <cell r="M1603" t="str">
            <v>animal</v>
          </cell>
        </row>
        <row r="1604">
          <cell r="A1604">
            <v>8008</v>
          </cell>
          <cell r="B1604" t="str">
            <v>ja</v>
          </cell>
          <cell r="C1604" t="str">
            <v>花果の天猿仙人 孫悟空</v>
          </cell>
          <cell r="D1604" t="str">
            <v>イベント:ミクコラボ01</v>
          </cell>
          <cell r="E1604" t="str">
            <v>執行者</v>
          </cell>
          <cell r="F1604" t="str">
            <v>格好いい</v>
          </cell>
          <cell r="G1604" t="str">
            <v>不明</v>
          </cell>
          <cell r="H1604" t="str">
            <v>red</v>
          </cell>
          <cell r="I1604">
            <v>6</v>
          </cell>
          <cell r="J1604" t="str">
            <v>DropWizS</v>
          </cell>
          <cell r="K1604" t="str">
            <v>attack</v>
          </cell>
          <cell r="L1604" t="str">
            <v>攻撃タイプ</v>
          </cell>
          <cell r="M1604" t="str">
            <v>animal</v>
          </cell>
        </row>
        <row r="1605">
          <cell r="A1605">
            <v>8009</v>
          </cell>
          <cell r="B1605" t="str">
            <v>ja</v>
          </cell>
          <cell r="C1605" t="str">
            <v>西王娘娘</v>
          </cell>
          <cell r="D1605" t="str">
            <v>イベント:ミクコラボ01</v>
          </cell>
          <cell r="E1605" t="str">
            <v>執行者</v>
          </cell>
          <cell r="F1605" t="str">
            <v>格好いい</v>
          </cell>
          <cell r="G1605" t="str">
            <v>不明</v>
          </cell>
          <cell r="H1605" t="str">
            <v>green</v>
          </cell>
          <cell r="I1605">
            <v>5</v>
          </cell>
          <cell r="J1605" t="str">
            <v>PremiumSS</v>
          </cell>
          <cell r="K1605" t="str">
            <v>attack</v>
          </cell>
          <cell r="L1605" t="str">
            <v>攻撃タイプ</v>
          </cell>
          <cell r="M1605" t="str">
            <v>god</v>
          </cell>
        </row>
        <row r="1606">
          <cell r="A1606">
            <v>8010</v>
          </cell>
          <cell r="B1606" t="str">
            <v>ja</v>
          </cell>
          <cell r="C1606" t="str">
            <v>極楽瑶池の聖母 西王娘娘</v>
          </cell>
          <cell r="D1606" t="str">
            <v>イベント:ミクコラボ01</v>
          </cell>
          <cell r="E1606" t="str">
            <v>執行者</v>
          </cell>
          <cell r="F1606" t="str">
            <v>格好いい</v>
          </cell>
          <cell r="G1606" t="str">
            <v>不明</v>
          </cell>
          <cell r="H1606" t="str">
            <v>green</v>
          </cell>
          <cell r="I1606">
            <v>6</v>
          </cell>
          <cell r="J1606" t="str">
            <v>PremiumSS</v>
          </cell>
          <cell r="K1606" t="str">
            <v>attack</v>
          </cell>
          <cell r="L1606" t="str">
            <v>攻撃タイプ</v>
          </cell>
          <cell r="M1606" t="str">
            <v>god</v>
          </cell>
        </row>
        <row r="1607">
          <cell r="A1607">
            <v>8011</v>
          </cell>
          <cell r="B1607" t="str">
            <v>ja</v>
          </cell>
          <cell r="C1607" t="str">
            <v>月下老人</v>
          </cell>
          <cell r="D1607" t="str">
            <v>イベント:ミクコラボ01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yellow</v>
          </cell>
          <cell r="I1607">
            <v>5</v>
          </cell>
          <cell r="J1607" t="str">
            <v>DropWizS</v>
          </cell>
          <cell r="K1607" t="str">
            <v>balance</v>
          </cell>
          <cell r="L1607" t="str">
            <v>バランスタイプ</v>
          </cell>
          <cell r="M1607" t="str">
            <v>god</v>
          </cell>
        </row>
        <row r="1608">
          <cell r="A1608">
            <v>8012</v>
          </cell>
          <cell r="B1608" t="str">
            <v>ja</v>
          </cell>
          <cell r="C1608" t="str">
            <v>破戀斬る縁剣 月下老人</v>
          </cell>
          <cell r="D1608" t="str">
            <v>イベント:ミクコラボ01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yellow</v>
          </cell>
          <cell r="I1608">
            <v>6</v>
          </cell>
          <cell r="J1608" t="str">
            <v>DropWizS</v>
          </cell>
          <cell r="K1608" t="str">
            <v>balance</v>
          </cell>
          <cell r="L1608" t="str">
            <v>バランスタイプ</v>
          </cell>
          <cell r="M1608" t="str">
            <v>god</v>
          </cell>
        </row>
        <row r="1609">
          <cell r="A1609">
            <v>8013</v>
          </cell>
          <cell r="B1609" t="str">
            <v>ja</v>
          </cell>
          <cell r="C1609" t="str">
            <v>初音ミクV3</v>
          </cell>
          <cell r="D1609" t="str">
            <v>初音ミクV3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yellow</v>
          </cell>
          <cell r="I1609">
            <v>4</v>
          </cell>
          <cell r="J1609" t="str">
            <v>DropWizS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8014</v>
          </cell>
          <cell r="B1610" t="str">
            <v>ja</v>
          </cell>
          <cell r="C1610" t="str">
            <v>初音ミクV3</v>
          </cell>
          <cell r="D1610" t="str">
            <v>初音ミクV3</v>
          </cell>
          <cell r="E1610" t="str">
            <v>執行者</v>
          </cell>
          <cell r="F1610" t="str">
            <v>格好いい</v>
          </cell>
          <cell r="G1610" t="str">
            <v>女性</v>
          </cell>
          <cell r="H1610" t="str">
            <v>yellow</v>
          </cell>
          <cell r="I1610">
            <v>5</v>
          </cell>
          <cell r="J1610" t="str">
            <v>DropWizS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8015</v>
          </cell>
          <cell r="B1611" t="str">
            <v>ja</v>
          </cell>
          <cell r="C1611" t="str">
            <v>初音ミク・アペンド</v>
          </cell>
          <cell r="D1611" t="str">
            <v>初音ミク・アペンド</v>
          </cell>
          <cell r="E1611" t="str">
            <v>執行者</v>
          </cell>
          <cell r="F1611" t="str">
            <v>格好いい</v>
          </cell>
          <cell r="G1611" t="str">
            <v>女性</v>
          </cell>
          <cell r="H1611" t="str">
            <v>green</v>
          </cell>
          <cell r="I1611">
            <v>4</v>
          </cell>
          <cell r="J1611" t="str">
            <v>PremiumSSS</v>
          </cell>
          <cell r="K1611" t="str">
            <v>technical</v>
          </cell>
          <cell r="L1611" t="str">
            <v>テクニカルタイプ</v>
          </cell>
          <cell r="M1611" t="str">
            <v>unknown</v>
          </cell>
        </row>
        <row r="1612">
          <cell r="A1612">
            <v>8016</v>
          </cell>
          <cell r="B1612" t="str">
            <v>ja</v>
          </cell>
          <cell r="C1612" t="str">
            <v>初音ミク・アペンド</v>
          </cell>
          <cell r="D1612" t="str">
            <v>初音ミク・アペンド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green</v>
          </cell>
          <cell r="I1612">
            <v>5</v>
          </cell>
          <cell r="J1612" t="str">
            <v>PremiumSSS</v>
          </cell>
          <cell r="K1612" t="str">
            <v>technical</v>
          </cell>
          <cell r="L1612" t="str">
            <v>テクニカルタイプ</v>
          </cell>
          <cell r="M1612" t="str">
            <v>unknown</v>
          </cell>
        </row>
        <row r="1613">
          <cell r="A1613">
            <v>8017</v>
          </cell>
          <cell r="B1613" t="str">
            <v>ja</v>
          </cell>
          <cell r="C1613" t="str">
            <v>初音ミク</v>
          </cell>
          <cell r="D1613" t="str">
            <v>初音ミク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green</v>
          </cell>
          <cell r="I1613">
            <v>4</v>
          </cell>
          <cell r="J1613" t="str">
            <v>PremiumSSS</v>
          </cell>
          <cell r="K1613" t="str">
            <v>balance</v>
          </cell>
          <cell r="L1613" t="str">
            <v>バランスタイプ</v>
          </cell>
          <cell r="M1613" t="str">
            <v>unknown</v>
          </cell>
        </row>
        <row r="1614">
          <cell r="A1614">
            <v>8018</v>
          </cell>
          <cell r="B1614" t="str">
            <v>ja</v>
          </cell>
          <cell r="C1614" t="str">
            <v>初音ミク</v>
          </cell>
          <cell r="D1614" t="str">
            <v>初音ミク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green</v>
          </cell>
          <cell r="I1614">
            <v>5</v>
          </cell>
          <cell r="J1614" t="str">
            <v>PremiumSSS</v>
          </cell>
          <cell r="K1614" t="str">
            <v>balance</v>
          </cell>
          <cell r="L1614" t="str">
            <v>バランスタイプ</v>
          </cell>
          <cell r="M1614" t="str">
            <v>unknown</v>
          </cell>
        </row>
        <row r="1615">
          <cell r="A1615">
            <v>8019</v>
          </cell>
          <cell r="B1615" t="str">
            <v>ja</v>
          </cell>
          <cell r="C1615" t="str">
            <v>鏡音リン</v>
          </cell>
          <cell r="D1615" t="str">
            <v>鏡音リン</v>
          </cell>
          <cell r="E1615" t="str">
            <v>執行者</v>
          </cell>
          <cell r="F1615" t="str">
            <v>格好いい</v>
          </cell>
          <cell r="G1615" t="str">
            <v>男性</v>
          </cell>
          <cell r="H1615" t="str">
            <v>yellow</v>
          </cell>
          <cell r="I1615">
            <v>4</v>
          </cell>
          <cell r="J1615" t="str">
            <v>PremiumSS</v>
          </cell>
          <cell r="K1615" t="str">
            <v>balance</v>
          </cell>
          <cell r="L1615" t="str">
            <v>バランスタイプ</v>
          </cell>
          <cell r="M1615" t="str">
            <v>unknown</v>
          </cell>
        </row>
        <row r="1616">
          <cell r="A1616">
            <v>8020</v>
          </cell>
          <cell r="B1616" t="str">
            <v>ja</v>
          </cell>
          <cell r="C1616" t="str">
            <v>鏡音リン</v>
          </cell>
          <cell r="D1616" t="str">
            <v>鏡音リン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yellow</v>
          </cell>
          <cell r="I1616">
            <v>5</v>
          </cell>
          <cell r="J1616" t="str">
            <v>PremiumSS</v>
          </cell>
          <cell r="K1616" t="str">
            <v>balance</v>
          </cell>
          <cell r="L1616" t="str">
            <v>バランスタイプ</v>
          </cell>
          <cell r="M1616" t="str">
            <v>unknown</v>
          </cell>
        </row>
        <row r="1617">
          <cell r="A1617">
            <v>8021</v>
          </cell>
          <cell r="B1617" t="str">
            <v>ja</v>
          </cell>
          <cell r="C1617" t="str">
            <v>鏡音レン</v>
          </cell>
          <cell r="D1617" t="str">
            <v>鏡音レン</v>
          </cell>
          <cell r="E1617" t="str">
            <v>執行者</v>
          </cell>
          <cell r="F1617" t="str">
            <v>格好いい</v>
          </cell>
          <cell r="G1617" t="str">
            <v>女性</v>
          </cell>
          <cell r="H1617" t="str">
            <v>yellow</v>
          </cell>
          <cell r="I1617">
            <v>4</v>
          </cell>
          <cell r="J1617" t="str">
            <v>PremiumSS</v>
          </cell>
          <cell r="K1617" t="str">
            <v>heal</v>
          </cell>
          <cell r="L1617" t="str">
            <v>回復タイプ</v>
          </cell>
          <cell r="M1617" t="str">
            <v>unknown</v>
          </cell>
        </row>
        <row r="1618">
          <cell r="A1618">
            <v>8022</v>
          </cell>
          <cell r="B1618" t="str">
            <v>ja</v>
          </cell>
          <cell r="C1618" t="str">
            <v>鏡音レン</v>
          </cell>
          <cell r="D1618" t="str">
            <v>鏡音レン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yellow</v>
          </cell>
          <cell r="I1618">
            <v>5</v>
          </cell>
          <cell r="J1618" t="str">
            <v>PremiumSS</v>
          </cell>
          <cell r="K1618" t="str">
            <v>heal</v>
          </cell>
          <cell r="L1618" t="str">
            <v>回復タイプ</v>
          </cell>
          <cell r="M1618" t="str">
            <v>unknown</v>
          </cell>
        </row>
        <row r="1619">
          <cell r="A1619">
            <v>8023</v>
          </cell>
          <cell r="B1619" t="str">
            <v>ja</v>
          </cell>
          <cell r="C1619" t="str">
            <v>巡音ルカ</v>
          </cell>
          <cell r="D1619" t="str">
            <v>巡音ルカ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red</v>
          </cell>
          <cell r="I1619">
            <v>3</v>
          </cell>
          <cell r="J1619" t="str">
            <v>PremiumS</v>
          </cell>
          <cell r="K1619" t="str">
            <v>attack</v>
          </cell>
          <cell r="L1619" t="str">
            <v>攻撃タイプ</v>
          </cell>
          <cell r="M1619" t="str">
            <v>unknown</v>
          </cell>
        </row>
        <row r="1620">
          <cell r="A1620">
            <v>8024</v>
          </cell>
          <cell r="B1620" t="str">
            <v>ja</v>
          </cell>
          <cell r="C1620" t="str">
            <v>巡音ルカ</v>
          </cell>
          <cell r="D1620" t="str">
            <v>巡音ルカ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red</v>
          </cell>
          <cell r="I1620">
            <v>4</v>
          </cell>
          <cell r="J1620" t="str">
            <v>PremiumS</v>
          </cell>
          <cell r="K1620" t="str">
            <v>attack</v>
          </cell>
          <cell r="L1620" t="str">
            <v>攻撃タイプ</v>
          </cell>
          <cell r="M1620" t="str">
            <v>unknown</v>
          </cell>
        </row>
        <row r="1621">
          <cell r="A1621">
            <v>8025</v>
          </cell>
          <cell r="B1621" t="str">
            <v>ja</v>
          </cell>
          <cell r="C1621" t="str">
            <v>MEIKO</v>
          </cell>
          <cell r="D1621" t="str">
            <v>MEIKO</v>
          </cell>
          <cell r="E1621" t="str">
            <v>執行者</v>
          </cell>
          <cell r="F1621" t="str">
            <v>格好いい</v>
          </cell>
          <cell r="G1621" t="str">
            <v>男性</v>
          </cell>
          <cell r="H1621" t="str">
            <v>red</v>
          </cell>
          <cell r="I1621">
            <v>3</v>
          </cell>
          <cell r="J1621" t="str">
            <v>PremiumS</v>
          </cell>
          <cell r="K1621" t="str">
            <v>hp</v>
          </cell>
          <cell r="L1621" t="str">
            <v>体力タイプ</v>
          </cell>
          <cell r="M1621" t="str">
            <v>unknown</v>
          </cell>
        </row>
        <row r="1622">
          <cell r="A1622">
            <v>8026</v>
          </cell>
          <cell r="B1622" t="str">
            <v>ja</v>
          </cell>
          <cell r="C1622" t="str">
            <v>MEIKO</v>
          </cell>
          <cell r="D1622" t="str">
            <v>MEIKO</v>
          </cell>
          <cell r="E1622" t="str">
            <v>執行者</v>
          </cell>
          <cell r="F1622" t="str">
            <v>格好いい</v>
          </cell>
          <cell r="G1622" t="str">
            <v>男性</v>
          </cell>
          <cell r="H1622" t="str">
            <v>red</v>
          </cell>
          <cell r="I1622">
            <v>4</v>
          </cell>
          <cell r="J1622" t="str">
            <v>PremiumS</v>
          </cell>
          <cell r="K1622" t="str">
            <v>hp</v>
          </cell>
          <cell r="L1622" t="str">
            <v>体力タイプ</v>
          </cell>
          <cell r="M1622" t="str">
            <v>unknown</v>
          </cell>
        </row>
        <row r="1623">
          <cell r="A1623">
            <v>8027</v>
          </cell>
          <cell r="B1623" t="str">
            <v>ja</v>
          </cell>
          <cell r="C1623" t="str">
            <v>KAITO</v>
          </cell>
          <cell r="D1623" t="str">
            <v>KAITO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blue</v>
          </cell>
          <cell r="I1623">
            <v>3</v>
          </cell>
          <cell r="J1623" t="str">
            <v>PremiumS</v>
          </cell>
          <cell r="K1623" t="str">
            <v>technical</v>
          </cell>
          <cell r="L1623" t="str">
            <v>テクニカルタイプ</v>
          </cell>
          <cell r="M1623" t="str">
            <v>unknown</v>
          </cell>
        </row>
        <row r="1624">
          <cell r="A1624">
            <v>8028</v>
          </cell>
          <cell r="B1624" t="str">
            <v>ja</v>
          </cell>
          <cell r="C1624" t="str">
            <v>KAITO</v>
          </cell>
          <cell r="D1624" t="str">
            <v>KAITO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blue</v>
          </cell>
          <cell r="I1624">
            <v>4</v>
          </cell>
          <cell r="J1624" t="str">
            <v>PremiumS</v>
          </cell>
          <cell r="K1624" t="str">
            <v>technical</v>
          </cell>
          <cell r="L1624" t="str">
            <v>テクニカルタイプ</v>
          </cell>
          <cell r="M1624" t="str">
            <v>unknown</v>
          </cell>
        </row>
        <row r="1625">
          <cell r="A1625">
            <v>8029</v>
          </cell>
          <cell r="B1625" t="str">
            <v>ja</v>
          </cell>
          <cell r="C1625" t="str">
            <v>Expoミク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Drop2N</v>
          </cell>
          <cell r="K1625" t="str">
            <v>heal</v>
          </cell>
          <cell r="L1625" t="str">
            <v>回復タイプ</v>
          </cell>
          <cell r="M1625" t="str">
            <v>unknown</v>
          </cell>
        </row>
        <row r="1626">
          <cell r="A1626">
            <v>8030</v>
          </cell>
          <cell r="B1626" t="str">
            <v>ja</v>
          </cell>
          <cell r="C1626" t="str">
            <v>Expoミク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Drop2N</v>
          </cell>
          <cell r="K1626" t="str">
            <v>heal</v>
          </cell>
          <cell r="L1626" t="str">
            <v>回復タイプ</v>
          </cell>
          <cell r="M1626" t="str">
            <v>unknown</v>
          </cell>
        </row>
        <row r="1627">
          <cell r="A1627">
            <v>8031</v>
          </cell>
          <cell r="B1627" t="str">
            <v>ja</v>
          </cell>
          <cell r="C1627" t="str">
            <v>閻羅王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red</v>
          </cell>
          <cell r="I1627">
            <v>5</v>
          </cell>
          <cell r="J1627" t="str">
            <v>PremiumSS</v>
          </cell>
          <cell r="K1627" t="str">
            <v>balance</v>
          </cell>
          <cell r="L1627" t="str">
            <v>バランスタイプ</v>
          </cell>
          <cell r="M1627" t="str">
            <v>god</v>
          </cell>
        </row>
        <row r="1628">
          <cell r="A1628">
            <v>8032</v>
          </cell>
          <cell r="B1628" t="str">
            <v>ja</v>
          </cell>
          <cell r="C1628" t="str">
            <v>六道輪廻の絶獄 閻羅王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6</v>
          </cell>
          <cell r="J1628" t="str">
            <v>PremiumSS</v>
          </cell>
          <cell r="K1628" t="str">
            <v>balance</v>
          </cell>
          <cell r="L1628" t="str">
            <v>バランスタイプ</v>
          </cell>
          <cell r="M1628" t="str">
            <v>god</v>
          </cell>
        </row>
        <row r="1629">
          <cell r="A1629">
            <v>8033</v>
          </cell>
          <cell r="B1629" t="str">
            <v>ja</v>
          </cell>
          <cell r="C1629" t="str">
            <v>牛頭馬面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green</v>
          </cell>
          <cell r="I1629">
            <v>5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god</v>
          </cell>
        </row>
        <row r="1630">
          <cell r="A1630">
            <v>8034</v>
          </cell>
          <cell r="B1630" t="str">
            <v>ja</v>
          </cell>
          <cell r="C1630" t="str">
            <v>冥府狩る魂使 牛頭馬面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green</v>
          </cell>
          <cell r="I1630">
            <v>6</v>
          </cell>
          <cell r="J1630" t="str">
            <v>DropWizS</v>
          </cell>
          <cell r="K1630" t="str">
            <v>attack</v>
          </cell>
          <cell r="L1630" t="str">
            <v>攻撃タイプ</v>
          </cell>
          <cell r="M1630" t="str">
            <v>god</v>
          </cell>
        </row>
        <row r="1631">
          <cell r="A1631">
            <v>8035</v>
          </cell>
          <cell r="B1631" t="str">
            <v>ja</v>
          </cell>
          <cell r="C1631" t="str">
            <v>飛衛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blue</v>
          </cell>
          <cell r="I1631">
            <v>5</v>
          </cell>
          <cell r="J1631" t="str">
            <v>PremiumSS</v>
          </cell>
          <cell r="K1631" t="str">
            <v>heal</v>
          </cell>
          <cell r="L1631" t="str">
            <v>回復タイプ</v>
          </cell>
          <cell r="M1631" t="str">
            <v>human</v>
          </cell>
        </row>
        <row r="1632">
          <cell r="A1632">
            <v>8036</v>
          </cell>
          <cell r="B1632" t="str">
            <v>ja</v>
          </cell>
          <cell r="C1632" t="str">
            <v>レア６飛衛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6</v>
          </cell>
          <cell r="J1632" t="str">
            <v>PremiumSS</v>
          </cell>
          <cell r="K1632" t="str">
            <v>heal</v>
          </cell>
          <cell r="L1632" t="str">
            <v>回復タイプ</v>
          </cell>
          <cell r="M1632" t="str">
            <v>human</v>
          </cell>
        </row>
        <row r="1633">
          <cell r="A1633">
            <v>8037</v>
          </cell>
          <cell r="B1633" t="str">
            <v>ja</v>
          </cell>
          <cell r="C1633" t="str">
            <v>紀昌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red</v>
          </cell>
          <cell r="I1633">
            <v>5</v>
          </cell>
          <cell r="J1633" t="str">
            <v>DropWizS</v>
          </cell>
          <cell r="K1633" t="str">
            <v>attack</v>
          </cell>
          <cell r="L1633" t="str">
            <v>攻撃タイプ</v>
          </cell>
          <cell r="M1633" t="str">
            <v>human</v>
          </cell>
        </row>
        <row r="1634">
          <cell r="A1634">
            <v>8038</v>
          </cell>
          <cell r="B1634" t="str">
            <v>ja</v>
          </cell>
          <cell r="C1634" t="str">
            <v>レア６紀昌</v>
          </cell>
          <cell r="D1634" t="str">
            <v>Expoミク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red</v>
          </cell>
          <cell r="I1634">
            <v>6</v>
          </cell>
          <cell r="J1634" t="str">
            <v>DropWizS</v>
          </cell>
          <cell r="K1634" t="str">
            <v>attack</v>
          </cell>
          <cell r="L1634" t="str">
            <v>攻撃タイプ</v>
          </cell>
          <cell r="M1634" t="str">
            <v>human</v>
          </cell>
        </row>
        <row r="1635">
          <cell r="A1635">
            <v>8039</v>
          </cell>
          <cell r="B1635" t="str">
            <v>ja</v>
          </cell>
          <cell r="C1635" t="str">
            <v>何仙姑</v>
          </cell>
          <cell r="D1635" t="str">
            <v>Expoミク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yellow</v>
          </cell>
          <cell r="I1635">
            <v>5</v>
          </cell>
          <cell r="J1635" t="str">
            <v>PremiumSSw</v>
          </cell>
          <cell r="K1635" t="str">
            <v>hp</v>
          </cell>
          <cell r="L1635" t="str">
            <v>体力タイプ</v>
          </cell>
          <cell r="M1635" t="str">
            <v>god</v>
          </cell>
        </row>
        <row r="1636">
          <cell r="A1636">
            <v>8040</v>
          </cell>
          <cell r="B1636" t="str">
            <v>ja</v>
          </cell>
          <cell r="C1636" t="str">
            <v>荷咲く九天 何仙姑</v>
          </cell>
          <cell r="D1636" t="str">
            <v>Expoミク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6</v>
          </cell>
          <cell r="J1636" t="str">
            <v>PremiumSSw</v>
          </cell>
          <cell r="K1636" t="str">
            <v>hp</v>
          </cell>
          <cell r="L1636" t="str">
            <v>体力タイプ</v>
          </cell>
          <cell r="M1636" t="str">
            <v>god</v>
          </cell>
        </row>
        <row r="1637">
          <cell r="A1637">
            <v>8041</v>
          </cell>
          <cell r="B1637" t="str">
            <v>ja</v>
          </cell>
          <cell r="C1637" t="str">
            <v>藍采和</v>
          </cell>
          <cell r="D1637" t="str">
            <v>Expoミク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blue</v>
          </cell>
          <cell r="I1637">
            <v>5</v>
          </cell>
          <cell r="J1637" t="str">
            <v>DropWizS</v>
          </cell>
          <cell r="K1637" t="str">
            <v>balance</v>
          </cell>
          <cell r="L1637" t="str">
            <v>バランスタイプ</v>
          </cell>
          <cell r="M1637" t="str">
            <v>god</v>
          </cell>
        </row>
        <row r="1638">
          <cell r="A1638">
            <v>8042</v>
          </cell>
          <cell r="B1638" t="str">
            <v>ja</v>
          </cell>
          <cell r="C1638" t="str">
            <v>天真浪漫 藍采和</v>
          </cell>
          <cell r="D1638" t="str">
            <v>Expoミク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blue</v>
          </cell>
          <cell r="I1638">
            <v>6</v>
          </cell>
          <cell r="J1638" t="str">
            <v>DropWizS</v>
          </cell>
          <cell r="K1638" t="str">
            <v>balance</v>
          </cell>
          <cell r="L1638" t="str">
            <v>バランスタイプ</v>
          </cell>
          <cell r="M1638" t="str">
            <v>god</v>
          </cell>
        </row>
        <row r="1639">
          <cell r="A1639">
            <v>8043</v>
          </cell>
          <cell r="B1639" t="str">
            <v>ja</v>
          </cell>
          <cell r="C1639" t="str">
            <v>サンリオキャラ大集合+アザゼル</v>
          </cell>
          <cell r="D1639" t="str">
            <v>サンリオキャラ大集合+アザゼル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green</v>
          </cell>
          <cell r="I1639">
            <v>5</v>
          </cell>
          <cell r="J1639" t="str">
            <v>DropWizS</v>
          </cell>
          <cell r="K1639" t="str">
            <v>technical</v>
          </cell>
          <cell r="L1639" t="str">
            <v>テクニカルタイプ</v>
          </cell>
          <cell r="M1639" t="str">
            <v>ss</v>
          </cell>
        </row>
        <row r="1640">
          <cell r="A1640">
            <v>8044</v>
          </cell>
          <cell r="B1640" t="str">
            <v>ja</v>
          </cell>
          <cell r="C1640" t="str">
            <v>サンリオキャラ大集合+アザゼル</v>
          </cell>
          <cell r="D1640" t="str">
            <v>サンリオキャラ大集合+アザゼル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green</v>
          </cell>
          <cell r="I1640">
            <v>6</v>
          </cell>
          <cell r="J1640" t="str">
            <v>DropWizS</v>
          </cell>
          <cell r="K1640" t="str">
            <v>technical</v>
          </cell>
          <cell r="L1640" t="str">
            <v>テクニカルタイプ</v>
          </cell>
          <cell r="M1640" t="str">
            <v>ss</v>
          </cell>
        </row>
        <row r="1641">
          <cell r="A1641">
            <v>8045</v>
          </cell>
          <cell r="B1641" t="str">
            <v>ja</v>
          </cell>
          <cell r="C1641" t="str">
            <v>ニムダ_サンリオキャラ混じり</v>
          </cell>
          <cell r="D1641" t="str">
            <v>ニムダ_サンリオキャラ混じり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4</v>
          </cell>
          <cell r="J1641" t="str">
            <v>Drop2N</v>
          </cell>
          <cell r="K1641" t="str">
            <v>technical</v>
          </cell>
          <cell r="L1641" t="str">
            <v>テクニカルタイプ</v>
          </cell>
          <cell r="M1641" t="str">
            <v>ss</v>
          </cell>
        </row>
        <row r="1642">
          <cell r="A1642">
            <v>8046</v>
          </cell>
          <cell r="B1642" t="str">
            <v>ja</v>
          </cell>
          <cell r="C1642" t="str">
            <v>ニムダ_サンリオキャラ混じり</v>
          </cell>
          <cell r="D1642" t="str">
            <v>ニムダ_サンリオキャラ混じり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5</v>
          </cell>
          <cell r="J1642" t="str">
            <v>Drop2N</v>
          </cell>
          <cell r="K1642" t="str">
            <v>technical</v>
          </cell>
          <cell r="L1642" t="str">
            <v>テクニカルタイプ</v>
          </cell>
          <cell r="M1642" t="str">
            <v>ss</v>
          </cell>
        </row>
        <row r="1643">
          <cell r="A1643">
            <v>8047</v>
          </cell>
          <cell r="B1643" t="str">
            <v>ja</v>
          </cell>
          <cell r="C1643" t="str">
            <v>ハローキティ</v>
          </cell>
          <cell r="D1643" t="str">
            <v>ハローキティ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balance</v>
          </cell>
          <cell r="L1643" t="str">
            <v>バランスタイプ</v>
          </cell>
          <cell r="M1643" t="str">
            <v>ss</v>
          </cell>
        </row>
        <row r="1644">
          <cell r="A1644">
            <v>8048</v>
          </cell>
          <cell r="B1644" t="str">
            <v>ja</v>
          </cell>
          <cell r="C1644" t="str">
            <v>ハローキティ</v>
          </cell>
          <cell r="D1644" t="str">
            <v>ハローキティ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Drop2N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8049</v>
          </cell>
          <cell r="B1645" t="str">
            <v>ja</v>
          </cell>
          <cell r="C1645" t="str">
            <v>KIRIMIちゃん</v>
          </cell>
          <cell r="D1645" t="str">
            <v>KIRIMIちゃん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4</v>
          </cell>
          <cell r="J1645" t="str">
            <v>Drop2N</v>
          </cell>
          <cell r="K1645" t="str">
            <v>hp</v>
          </cell>
          <cell r="L1645" t="str">
            <v>体力タイプ</v>
          </cell>
          <cell r="M1645" t="str">
            <v>ss</v>
          </cell>
        </row>
        <row r="1646">
          <cell r="A1646">
            <v>8050</v>
          </cell>
          <cell r="B1646" t="str">
            <v>ja</v>
          </cell>
          <cell r="C1646" t="str">
            <v>KIRIMIちゃん</v>
          </cell>
          <cell r="D1646" t="str">
            <v>KIRIMIちゃん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5</v>
          </cell>
          <cell r="J1646" t="str">
            <v>Drop2N</v>
          </cell>
          <cell r="K1646" t="str">
            <v>hp</v>
          </cell>
          <cell r="L1646" t="str">
            <v>体力タイプ</v>
          </cell>
          <cell r="M1646" t="str">
            <v>ss</v>
          </cell>
        </row>
        <row r="1647">
          <cell r="A1647">
            <v>8051</v>
          </cell>
          <cell r="B1647" t="str">
            <v>ja</v>
          </cell>
          <cell r="C1647" t="str">
            <v>ハローキティのリボン</v>
          </cell>
          <cell r="D1647" t="str">
            <v>ハローキティのリボン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Drop2N</v>
          </cell>
          <cell r="K1647" t="str">
            <v>evolution</v>
          </cell>
          <cell r="L1647" t="str">
            <v>覚醒素材タイプ</v>
          </cell>
          <cell r="M1647" t="str">
            <v>ss</v>
          </cell>
        </row>
        <row r="1648">
          <cell r="A1648">
            <v>8052</v>
          </cell>
          <cell r="B1648" t="str">
            <v>ja</v>
          </cell>
          <cell r="C1648" t="str">
            <v>ママの作ったアップルパイ</v>
          </cell>
          <cell r="D1648" t="str">
            <v>ママの作ったアップルパイ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red</v>
          </cell>
          <cell r="I1648">
            <v>4</v>
          </cell>
          <cell r="J1648" t="str">
            <v>Drop2N</v>
          </cell>
          <cell r="K1648" t="str">
            <v>evolution</v>
          </cell>
          <cell r="L1648" t="str">
            <v>覚醒素材タイプ</v>
          </cell>
          <cell r="M1648" t="str">
            <v>ss</v>
          </cell>
        </row>
        <row r="1649">
          <cell r="A1649">
            <v>8053</v>
          </cell>
          <cell r="B1649" t="str">
            <v>ja</v>
          </cell>
          <cell r="C1649" t="str">
            <v>D.R.T.H__キティコスプレ</v>
          </cell>
          <cell r="D1649" t="str">
            <v>D.R.T.H__キティコスプレ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red</v>
          </cell>
          <cell r="I1649">
            <v>5</v>
          </cell>
          <cell r="J1649" t="str">
            <v>PremiumSS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8054</v>
          </cell>
          <cell r="B1650" t="str">
            <v>ja</v>
          </cell>
          <cell r="C1650" t="str">
            <v>D.R.T.H__キティコスプレ</v>
          </cell>
          <cell r="D1650" t="str">
            <v>D.R.T.H__キティコスプレ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red</v>
          </cell>
          <cell r="I1650">
            <v>6</v>
          </cell>
          <cell r="J1650" t="str">
            <v>PremiumSS</v>
          </cell>
          <cell r="K1650" t="str">
            <v>balance</v>
          </cell>
          <cell r="L1650" t="str">
            <v>バランスタイプ</v>
          </cell>
          <cell r="M1650" t="str">
            <v>ss</v>
          </cell>
        </row>
        <row r="1651">
          <cell r="A1651">
            <v>8055</v>
          </cell>
          <cell r="B1651" t="str">
            <v>ja</v>
          </cell>
          <cell r="C1651" t="str">
            <v>マイメロディ</v>
          </cell>
          <cell r="D1651" t="str">
            <v>マイメロディ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red</v>
          </cell>
          <cell r="I1651">
            <v>4</v>
          </cell>
          <cell r="J1651" t="str">
            <v>PremiumS</v>
          </cell>
          <cell r="K1651" t="str">
            <v>attack</v>
          </cell>
          <cell r="L1651" t="str">
            <v>攻撃タイプ</v>
          </cell>
          <cell r="M1651" t="str">
            <v>ss</v>
          </cell>
        </row>
        <row r="1652">
          <cell r="A1652">
            <v>8056</v>
          </cell>
          <cell r="B1652" t="str">
            <v>ja</v>
          </cell>
          <cell r="C1652" t="str">
            <v>マイメロディ</v>
          </cell>
          <cell r="D1652" t="str">
            <v>マイメロディ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red</v>
          </cell>
          <cell r="I1652">
            <v>5</v>
          </cell>
          <cell r="J1652" t="str">
            <v>PremiumS</v>
          </cell>
          <cell r="K1652" t="str">
            <v>attack</v>
          </cell>
          <cell r="L1652" t="str">
            <v>攻撃タイプ</v>
          </cell>
          <cell r="M1652" t="str">
            <v>ss</v>
          </cell>
        </row>
        <row r="1653">
          <cell r="A1653">
            <v>8057</v>
          </cell>
          <cell r="B1653" t="str">
            <v>ja</v>
          </cell>
          <cell r="C1653" t="str">
            <v>ニーベルゲン_シナモロールコスプレ</v>
          </cell>
          <cell r="D1653" t="str">
            <v>ニーベルゲン_シナモロールコスプレ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8058</v>
          </cell>
          <cell r="B1654" t="str">
            <v>ja</v>
          </cell>
          <cell r="C1654" t="str">
            <v>ニーベルゲン_シナモロールコスプレ</v>
          </cell>
          <cell r="D1654" t="str">
            <v>ニーベルゲン_シナモロールコスプレ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green</v>
          </cell>
          <cell r="I1654">
            <v>5</v>
          </cell>
          <cell r="J1654" t="str">
            <v>PremiumS</v>
          </cell>
          <cell r="K1654" t="str">
            <v>balance</v>
          </cell>
          <cell r="L1654" t="str">
            <v>バランスタイプ</v>
          </cell>
          <cell r="M1654" t="str">
            <v>ss</v>
          </cell>
        </row>
        <row r="1655">
          <cell r="A1655">
            <v>8059</v>
          </cell>
          <cell r="B1655" t="str">
            <v>ja</v>
          </cell>
          <cell r="C1655" t="str">
            <v>カカシ_マイメロディコスプレ</v>
          </cell>
          <cell r="D1655" t="str">
            <v>カカシ_マイメロディコスプレ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</v>
          </cell>
          <cell r="K1655" t="str">
            <v>technical</v>
          </cell>
          <cell r="L1655" t="str">
            <v>テクニカルタイプ</v>
          </cell>
          <cell r="M1655" t="str">
            <v>ss</v>
          </cell>
        </row>
        <row r="1656">
          <cell r="A1656">
            <v>8060</v>
          </cell>
          <cell r="B1656" t="str">
            <v>ja</v>
          </cell>
          <cell r="C1656" t="str">
            <v>カカシ_マイメロディコスプレ</v>
          </cell>
          <cell r="D1656" t="str">
            <v>カカシ_マイメロディコスプレ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8061</v>
          </cell>
          <cell r="B1657" t="str">
            <v>ja</v>
          </cell>
          <cell r="C1657" t="str">
            <v>ケロケロけろっぴ</v>
          </cell>
          <cell r="D1657" t="str">
            <v>ケロケロけろっぴ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3</v>
          </cell>
          <cell r="J1657" t="str">
            <v>PremiumS</v>
          </cell>
          <cell r="K1657" t="str">
            <v>balance</v>
          </cell>
          <cell r="L1657" t="str">
            <v>バランスタイプ</v>
          </cell>
          <cell r="M1657" t="str">
            <v>ss</v>
          </cell>
        </row>
        <row r="1658">
          <cell r="A1658">
            <v>8062</v>
          </cell>
          <cell r="B1658" t="str">
            <v>ja</v>
          </cell>
          <cell r="C1658" t="str">
            <v>ケロケロけろっぴ</v>
          </cell>
          <cell r="D1658" t="str">
            <v>ケロケロけろっぴ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4</v>
          </cell>
          <cell r="J1658" t="str">
            <v>PremiumS</v>
          </cell>
          <cell r="K1658" t="str">
            <v>balance</v>
          </cell>
          <cell r="L1658" t="str">
            <v>バランスタイプ</v>
          </cell>
          <cell r="M1658" t="str">
            <v>ss</v>
          </cell>
        </row>
        <row r="1659">
          <cell r="A1659">
            <v>8063</v>
          </cell>
          <cell r="B1659" t="str">
            <v>ja</v>
          </cell>
          <cell r="C1659" t="str">
            <v>モルドレッド_ポムポムプリンコスプレ</v>
          </cell>
          <cell r="D1659" t="str">
            <v>モルドレッド_ポムポムプリンコスプレ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5</v>
          </cell>
          <cell r="J1659" t="str">
            <v>PremiumSS</v>
          </cell>
          <cell r="K1659" t="str">
            <v>heal</v>
          </cell>
          <cell r="L1659" t="str">
            <v>回復タイプ</v>
          </cell>
          <cell r="M1659" t="str">
            <v>ss</v>
          </cell>
        </row>
        <row r="1660">
          <cell r="A1660">
            <v>8064</v>
          </cell>
          <cell r="B1660" t="str">
            <v>ja</v>
          </cell>
          <cell r="C1660" t="str">
            <v>モルドレッド_ポムポムプリンコスプレ</v>
          </cell>
          <cell r="D1660" t="str">
            <v>モルドレッド_ポムポムプリンコスプレ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blue</v>
          </cell>
          <cell r="I1660">
            <v>6</v>
          </cell>
          <cell r="J1660" t="str">
            <v>PremiumSS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8065</v>
          </cell>
          <cell r="B1661" t="str">
            <v>ja</v>
          </cell>
          <cell r="C1661" t="str">
            <v>クロミ</v>
          </cell>
          <cell r="D1661" t="str">
            <v>クロミ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blue</v>
          </cell>
          <cell r="I1661">
            <v>3</v>
          </cell>
          <cell r="J1661" t="str">
            <v>PremiumS</v>
          </cell>
          <cell r="K1661" t="str">
            <v>technical</v>
          </cell>
          <cell r="L1661" t="str">
            <v>テクニカルタイプ</v>
          </cell>
          <cell r="M1661" t="str">
            <v>ss</v>
          </cell>
        </row>
        <row r="1662">
          <cell r="A1662">
            <v>8066</v>
          </cell>
          <cell r="B1662" t="str">
            <v>ja</v>
          </cell>
          <cell r="C1662" t="str">
            <v>クロミ</v>
          </cell>
          <cell r="D1662" t="str">
            <v>クロミ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blue</v>
          </cell>
          <cell r="I1662">
            <v>4</v>
          </cell>
          <cell r="J1662" t="str">
            <v>PremiumS</v>
          </cell>
          <cell r="K1662" t="str">
            <v>technical</v>
          </cell>
          <cell r="L1662" t="str">
            <v>テクニカルタイプ</v>
          </cell>
          <cell r="M1662" t="str">
            <v>ss</v>
          </cell>
        </row>
        <row r="1663">
          <cell r="A1663">
            <v>8067</v>
          </cell>
          <cell r="B1663" t="str">
            <v>ja</v>
          </cell>
          <cell r="C1663" t="str">
            <v>バッドばつ丸</v>
          </cell>
          <cell r="D1663" t="str">
            <v>バッドばつ丸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blue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ss</v>
          </cell>
        </row>
        <row r="1664">
          <cell r="A1664">
            <v>8068</v>
          </cell>
          <cell r="B1664" t="str">
            <v>ja</v>
          </cell>
          <cell r="C1664" t="str">
            <v>バッドばつ丸</v>
          </cell>
          <cell r="D1664" t="str">
            <v>バッドばつ丸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blue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ss</v>
          </cell>
        </row>
        <row r="1665">
          <cell r="A1665">
            <v>8069</v>
          </cell>
          <cell r="B1665" t="str">
            <v>ja</v>
          </cell>
          <cell r="C1665" t="str">
            <v>シナモロール</v>
          </cell>
          <cell r="D1665" t="str">
            <v>シナモロール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yellow</v>
          </cell>
          <cell r="I1665">
            <v>4</v>
          </cell>
          <cell r="J1665" t="str">
            <v>PremiumS</v>
          </cell>
          <cell r="K1665" t="str">
            <v>heal</v>
          </cell>
          <cell r="L1665" t="str">
            <v>回復タイプ</v>
          </cell>
          <cell r="M1665" t="str">
            <v>ss</v>
          </cell>
        </row>
        <row r="1666">
          <cell r="A1666">
            <v>8070</v>
          </cell>
          <cell r="B1666" t="str">
            <v>ja</v>
          </cell>
          <cell r="C1666" t="str">
            <v>シナモロール</v>
          </cell>
          <cell r="D1666" t="str">
            <v>シナモロール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yellow</v>
          </cell>
          <cell r="I1666">
            <v>5</v>
          </cell>
          <cell r="J1666" t="str">
            <v>PremiumS</v>
          </cell>
          <cell r="K1666" t="str">
            <v>heal</v>
          </cell>
          <cell r="L1666" t="str">
            <v>回復タイプ</v>
          </cell>
          <cell r="M1666" t="str">
            <v>ss</v>
          </cell>
        </row>
        <row r="1667">
          <cell r="A1667">
            <v>8071</v>
          </cell>
          <cell r="B1667" t="str">
            <v>ja</v>
          </cell>
          <cell r="C1667" t="str">
            <v>ポムポムプリン</v>
          </cell>
          <cell r="D1667" t="str">
            <v>ポムポムプリン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yellow</v>
          </cell>
          <cell r="I1667">
            <v>3</v>
          </cell>
          <cell r="J1667" t="str">
            <v>PremiumS</v>
          </cell>
          <cell r="K1667" t="str">
            <v>hp</v>
          </cell>
          <cell r="L1667" t="str">
            <v>体力タイプ</v>
          </cell>
          <cell r="M1667" t="str">
            <v>ss</v>
          </cell>
        </row>
        <row r="1668">
          <cell r="A1668">
            <v>8072</v>
          </cell>
          <cell r="B1668" t="str">
            <v>ja</v>
          </cell>
          <cell r="C1668" t="str">
            <v>ポムポムプリン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yellow</v>
          </cell>
          <cell r="I1668">
            <v>4</v>
          </cell>
          <cell r="J1668" t="str">
            <v>PremiumS</v>
          </cell>
          <cell r="K1668" t="str">
            <v>hp</v>
          </cell>
          <cell r="L1668" t="str">
            <v>体力タイプ</v>
          </cell>
          <cell r="M1668" t="str">
            <v>ss</v>
          </cell>
        </row>
        <row r="1669">
          <cell r="A1669">
            <v>8073</v>
          </cell>
          <cell r="B1669" t="str">
            <v>ja</v>
          </cell>
          <cell r="C1669" t="str">
            <v>星海祈る天光妃 媽祖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yellow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8074</v>
          </cell>
          <cell r="B1670" t="str">
            <v>ja</v>
          </cell>
          <cell r="C1670" t="str">
            <v>海戀の絶龍姫 蛟龍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6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8075</v>
          </cell>
          <cell r="B1671" t="str">
            <v>ja</v>
          </cell>
          <cell r="C1671" t="str">
            <v>解脱天の知徳 三蔵法師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blue</v>
          </cell>
          <cell r="I1671">
            <v>6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</row>
        <row r="1672">
          <cell r="A1672">
            <v>8076</v>
          </cell>
          <cell r="B1672" t="str">
            <v>ja</v>
          </cell>
          <cell r="C1672" t="str">
            <v>天暴の斉天大聖 孫悟空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DropWizS</v>
          </cell>
          <cell r="K1672" t="str">
            <v>attack</v>
          </cell>
          <cell r="L1672" t="str">
            <v>攻撃タイプ</v>
          </cell>
          <cell r="M1672" t="str">
            <v>unknown</v>
          </cell>
        </row>
        <row r="1673">
          <cell r="A1673">
            <v>8077</v>
          </cell>
          <cell r="B1673" t="str">
            <v>ja</v>
          </cell>
          <cell r="C1673" t="str">
            <v>鄭成功</v>
          </cell>
          <cell r="D1673" t="str">
            <v>ポムポムプリン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blue</v>
          </cell>
          <cell r="I1673">
            <v>5</v>
          </cell>
          <cell r="J1673" t="str">
            <v>PremiumSS</v>
          </cell>
          <cell r="K1673" t="str">
            <v>attack</v>
          </cell>
          <cell r="L1673" t="str">
            <v>攻撃タイプ</v>
          </cell>
          <cell r="M1673" t="str">
            <v>human</v>
          </cell>
        </row>
        <row r="1674">
          <cell r="A1674">
            <v>8078</v>
          </cell>
          <cell r="B1674" t="str">
            <v>ja</v>
          </cell>
          <cell r="C1674" t="str">
            <v>レア６鄭成功</v>
          </cell>
          <cell r="D1674" t="str">
            <v>ポムポムプリン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blue</v>
          </cell>
          <cell r="I1674">
            <v>6</v>
          </cell>
          <cell r="J1674" t="str">
            <v>PremiumSS</v>
          </cell>
          <cell r="K1674" t="str">
            <v>attack</v>
          </cell>
          <cell r="L1674" t="str">
            <v>攻撃タイプ</v>
          </cell>
          <cell r="M1674" t="str">
            <v>human</v>
          </cell>
        </row>
        <row r="1675">
          <cell r="A1675">
            <v>8079</v>
          </cell>
          <cell r="B1675" t="str">
            <v>ja</v>
          </cell>
          <cell r="C1675" t="str">
            <v>赤鬼</v>
          </cell>
          <cell r="D1675" t="str">
            <v>ポムポムプリン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red</v>
          </cell>
          <cell r="I1675">
            <v>5</v>
          </cell>
          <cell r="J1675" t="str">
            <v>DropWizS</v>
          </cell>
          <cell r="K1675" t="str">
            <v>hp</v>
          </cell>
          <cell r="L1675" t="str">
            <v>体力タイプ</v>
          </cell>
          <cell r="M1675" t="str">
            <v>dragon</v>
          </cell>
        </row>
        <row r="1676">
          <cell r="A1676">
            <v>8080</v>
          </cell>
          <cell r="B1676" t="str">
            <v>ja</v>
          </cell>
          <cell r="C1676" t="str">
            <v>レア６赤鬼</v>
          </cell>
          <cell r="D1676" t="str">
            <v>ポムポムプリン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red</v>
          </cell>
          <cell r="I1676">
            <v>6</v>
          </cell>
          <cell r="J1676" t="str">
            <v>DropWizS</v>
          </cell>
          <cell r="K1676" t="str">
            <v>hp</v>
          </cell>
          <cell r="L1676" t="str">
            <v>体力タイプ</v>
          </cell>
          <cell r="M1676" t="str">
            <v>dragon</v>
          </cell>
        </row>
        <row r="1677">
          <cell r="A1677">
            <v>8081</v>
          </cell>
          <cell r="B1677" t="str">
            <v>ja</v>
          </cell>
          <cell r="C1677" t="str">
            <v>関羽</v>
          </cell>
          <cell r="H1677" t="str">
            <v>green</v>
          </cell>
          <cell r="I1677">
            <v>5</v>
          </cell>
          <cell r="J1677" t="str">
            <v>PremiumSSS</v>
          </cell>
          <cell r="K1677" t="str">
            <v>balance</v>
          </cell>
          <cell r="L1677" t="str">
            <v>バランスタイプ</v>
          </cell>
          <cell r="M1677" t="str">
            <v>samurai</v>
          </cell>
        </row>
        <row r="1678">
          <cell r="A1678">
            <v>8082</v>
          </cell>
          <cell r="B1678" t="str">
            <v>ja</v>
          </cell>
          <cell r="C1678" t="str">
            <v>★６関羽</v>
          </cell>
          <cell r="H1678" t="str">
            <v>green</v>
          </cell>
          <cell r="I1678">
            <v>6</v>
          </cell>
          <cell r="J1678" t="str">
            <v>PremiumSSS</v>
          </cell>
          <cell r="K1678" t="str">
            <v>balance</v>
          </cell>
          <cell r="L1678" t="str">
            <v>バランスタイプ</v>
          </cell>
          <cell r="M1678" t="str">
            <v>samurai</v>
          </cell>
        </row>
        <row r="1679">
          <cell r="A1679">
            <v>8083</v>
          </cell>
          <cell r="B1679" t="str">
            <v>ja</v>
          </cell>
          <cell r="C1679" t="str">
            <v>曹操</v>
          </cell>
          <cell r="H1679" t="str">
            <v>yellow</v>
          </cell>
          <cell r="I1679">
            <v>5</v>
          </cell>
          <cell r="J1679" t="str">
            <v>DropWizSS</v>
          </cell>
          <cell r="K1679" t="str">
            <v>technical</v>
          </cell>
          <cell r="L1679" t="str">
            <v>テクニカルタイプ</v>
          </cell>
          <cell r="M1679" t="str">
            <v>samurai</v>
          </cell>
        </row>
        <row r="1680">
          <cell r="A1680">
            <v>8084</v>
          </cell>
          <cell r="B1680" t="str">
            <v>ja</v>
          </cell>
          <cell r="C1680" t="str">
            <v>★６曹操</v>
          </cell>
          <cell r="H1680" t="str">
            <v>yellow</v>
          </cell>
          <cell r="I1680">
            <v>6</v>
          </cell>
          <cell r="J1680" t="str">
            <v>DropWizSS</v>
          </cell>
          <cell r="K1680" t="str">
            <v>technical</v>
          </cell>
          <cell r="L1680" t="str">
            <v>テクニカルタイプ</v>
          </cell>
          <cell r="M1680" t="str">
            <v>samurai</v>
          </cell>
        </row>
        <row r="1681">
          <cell r="A1681">
            <v>8085</v>
          </cell>
          <cell r="B1681" t="str">
            <v>ja</v>
          </cell>
          <cell r="C1681" t="str">
            <v>九霊無上の聖母 西王娘娘</v>
          </cell>
          <cell r="H1681" t="str">
            <v>green</v>
          </cell>
          <cell r="I1681">
            <v>6</v>
          </cell>
          <cell r="J1681" t="str">
            <v>PremiumSS</v>
          </cell>
          <cell r="K1681" t="str">
            <v>attack</v>
          </cell>
          <cell r="L1681" t="str">
            <v>攻撃タイプ</v>
          </cell>
          <cell r="M1681" t="str">
            <v>god</v>
          </cell>
        </row>
        <row r="1682">
          <cell r="A1682">
            <v>8086</v>
          </cell>
          <cell r="B1682" t="str">
            <v>ja</v>
          </cell>
          <cell r="C1682" t="str">
            <v>砕縁の情滅剣 月下老人</v>
          </cell>
          <cell r="H1682" t="str">
            <v>yellow</v>
          </cell>
          <cell r="I1682">
            <v>6</v>
          </cell>
          <cell r="J1682" t="str">
            <v>DropWizS</v>
          </cell>
          <cell r="K1682" t="str">
            <v>attack</v>
          </cell>
          <cell r="L1682" t="str">
            <v>攻撃タイプ</v>
          </cell>
          <cell r="M1682" t="str">
            <v>god</v>
          </cell>
        </row>
        <row r="1683">
          <cell r="A1683">
            <v>8087</v>
          </cell>
          <cell r="B1683" t="str">
            <v>ja</v>
          </cell>
          <cell r="C1683" t="str">
            <v>財神</v>
          </cell>
          <cell r="H1683" t="str">
            <v>red</v>
          </cell>
          <cell r="I1683">
            <v>5</v>
          </cell>
          <cell r="J1683" t="str">
            <v>PremiumSSS</v>
          </cell>
          <cell r="K1683" t="str">
            <v>technical</v>
          </cell>
          <cell r="L1683" t="str">
            <v>テクニカルタイプ</v>
          </cell>
          <cell r="M1683" t="str">
            <v>god</v>
          </cell>
        </row>
        <row r="1684">
          <cell r="A1684">
            <v>8088</v>
          </cell>
          <cell r="B1684" t="str">
            <v>ja</v>
          </cell>
          <cell r="C1684" t="str">
            <v>★６財神</v>
          </cell>
          <cell r="H1684" t="str">
            <v>red</v>
          </cell>
          <cell r="I1684">
            <v>6</v>
          </cell>
          <cell r="J1684" t="str">
            <v>PremiumSSS</v>
          </cell>
          <cell r="K1684" t="str">
            <v>technical</v>
          </cell>
          <cell r="L1684" t="str">
            <v>テクニカルタイプ</v>
          </cell>
          <cell r="M1684" t="str">
            <v>god</v>
          </cell>
        </row>
        <row r="1685">
          <cell r="A1685">
            <v>8089</v>
          </cell>
          <cell r="B1685" t="str">
            <v>ja</v>
          </cell>
          <cell r="C1685" t="str">
            <v>年獣</v>
          </cell>
          <cell r="H1685" t="str">
            <v>green</v>
          </cell>
          <cell r="I1685">
            <v>5</v>
          </cell>
          <cell r="J1685" t="str">
            <v>DropWizS</v>
          </cell>
          <cell r="K1685" t="str">
            <v>attack</v>
          </cell>
          <cell r="L1685" t="str">
            <v>攻撃タイプ</v>
          </cell>
          <cell r="M1685" t="str">
            <v>animal</v>
          </cell>
        </row>
        <row r="1686">
          <cell r="A1686">
            <v>8090</v>
          </cell>
          <cell r="B1686" t="str">
            <v>ja</v>
          </cell>
          <cell r="C1686" t="str">
            <v>★６年獣</v>
          </cell>
          <cell r="H1686" t="str">
            <v>green</v>
          </cell>
          <cell r="I1686">
            <v>6</v>
          </cell>
          <cell r="J1686" t="str">
            <v>DropWizS</v>
          </cell>
          <cell r="K1686" t="str">
            <v>attack</v>
          </cell>
          <cell r="L1686" t="str">
            <v>攻撃タイプ</v>
          </cell>
          <cell r="M1686" t="str">
            <v>animal</v>
          </cell>
        </row>
        <row r="1687">
          <cell r="A1687">
            <v>8095</v>
          </cell>
          <cell r="B1687" t="str">
            <v>ja</v>
          </cell>
          <cell r="C1687" t="str">
            <v>バハムートダック赤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6</v>
          </cell>
          <cell r="J1687" t="str">
            <v>Material</v>
          </cell>
          <cell r="K1687" t="str">
            <v>exp</v>
          </cell>
          <cell r="L1687" t="str">
            <v>強化素材タイプ</v>
          </cell>
          <cell r="M1687" t="str">
            <v>unknown</v>
          </cell>
        </row>
        <row r="1688">
          <cell r="A1688">
            <v>8096</v>
          </cell>
          <cell r="B1688" t="str">
            <v>ja</v>
          </cell>
          <cell r="C1688" t="str">
            <v>バハムートダック緑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green</v>
          </cell>
          <cell r="I1688">
            <v>6</v>
          </cell>
          <cell r="J1688" t="str">
            <v>Material</v>
          </cell>
          <cell r="K1688" t="str">
            <v>exp</v>
          </cell>
          <cell r="L1688" t="str">
            <v>強化素材タイプ</v>
          </cell>
          <cell r="M1688" t="str">
            <v>unknown</v>
          </cell>
        </row>
        <row r="1689">
          <cell r="A1689">
            <v>8097</v>
          </cell>
          <cell r="B1689" t="str">
            <v>ja</v>
          </cell>
          <cell r="C1689" t="str">
            <v>バハムートダック青</v>
          </cell>
          <cell r="D1689" t="str">
            <v>ポムポムプリン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blue</v>
          </cell>
          <cell r="I1689">
            <v>6</v>
          </cell>
          <cell r="J1689" t="str">
            <v>Material</v>
          </cell>
          <cell r="K1689" t="str">
            <v>exp</v>
          </cell>
          <cell r="L1689" t="str">
            <v>強化素材タイプ</v>
          </cell>
          <cell r="M1689" t="str">
            <v>unknown</v>
          </cell>
        </row>
        <row r="1690">
          <cell r="A1690">
            <v>8098</v>
          </cell>
          <cell r="B1690" t="str">
            <v>ja</v>
          </cell>
          <cell r="C1690" t="str">
            <v>バハムートダック黄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yellow</v>
          </cell>
          <cell r="I1690">
            <v>6</v>
          </cell>
          <cell r="J1690" t="str">
            <v>Material</v>
          </cell>
          <cell r="K1690" t="str">
            <v>exp</v>
          </cell>
          <cell r="L1690" t="str">
            <v>強化素材タイプ</v>
          </cell>
          <cell r="M1690" t="str">
            <v>unknown</v>
          </cell>
        </row>
        <row r="1691">
          <cell r="A1691">
            <v>8099</v>
          </cell>
          <cell r="B1691" t="str">
            <v>ja</v>
          </cell>
          <cell r="C1691" t="str">
            <v>韓湘子</v>
          </cell>
          <cell r="D1691" t="str">
            <v>ポムポムプリン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green</v>
          </cell>
          <cell r="I1691">
            <v>5</v>
          </cell>
          <cell r="J1691" t="str">
            <v>PremiumSSw</v>
          </cell>
          <cell r="K1691" t="str">
            <v>balance</v>
          </cell>
          <cell r="L1691" t="str">
            <v>バランスタイプ</v>
          </cell>
          <cell r="M1691" t="str">
            <v>god</v>
          </cell>
        </row>
        <row r="1692">
          <cell r="A1692">
            <v>8100</v>
          </cell>
          <cell r="B1692" t="str">
            <v>ja</v>
          </cell>
          <cell r="C1692" t="str">
            <v>韓湘子★６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6</v>
          </cell>
          <cell r="J1692" t="str">
            <v>PremiumSSw</v>
          </cell>
          <cell r="K1692" t="str">
            <v>balance</v>
          </cell>
          <cell r="L1692" t="str">
            <v>バランスタイプ</v>
          </cell>
          <cell r="M1692" t="str">
            <v>god</v>
          </cell>
        </row>
        <row r="1693">
          <cell r="A1693">
            <v>8101</v>
          </cell>
          <cell r="B1693" t="str">
            <v>ja</v>
          </cell>
          <cell r="C1693" t="str">
            <v>張果老</v>
          </cell>
          <cell r="D1693" t="str">
            <v>ポムポムプリン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yellow</v>
          </cell>
          <cell r="I1693">
            <v>5</v>
          </cell>
          <cell r="J1693" t="str">
            <v>DropWizS</v>
          </cell>
          <cell r="K1693" t="str">
            <v>attack</v>
          </cell>
          <cell r="L1693" t="str">
            <v>攻撃タイプ</v>
          </cell>
          <cell r="M1693" t="str">
            <v>god</v>
          </cell>
        </row>
        <row r="1694">
          <cell r="A1694">
            <v>8102</v>
          </cell>
          <cell r="B1694" t="str">
            <v>ja</v>
          </cell>
          <cell r="C1694" t="str">
            <v>張果老★６</v>
          </cell>
          <cell r="D1694" t="str">
            <v>各属性相性良3・黄・R455</v>
          </cell>
          <cell r="E1694" t="str">
            <v>執行者</v>
          </cell>
          <cell r="F1694" t="str">
            <v>格好いい</v>
          </cell>
          <cell r="G1694" t="str">
            <v>男性</v>
          </cell>
          <cell r="H1694" t="str">
            <v>yellow</v>
          </cell>
          <cell r="I1694">
            <v>6</v>
          </cell>
          <cell r="J1694" t="str">
            <v>DropWizS</v>
          </cell>
          <cell r="K1694" t="str">
            <v>attack</v>
          </cell>
          <cell r="L1694" t="str">
            <v>攻撃タイプ</v>
          </cell>
          <cell r="M1694" t="str">
            <v>god</v>
          </cell>
        </row>
        <row r="1695">
          <cell r="A1695">
            <v>8103</v>
          </cell>
          <cell r="B1695" t="str">
            <v>ja</v>
          </cell>
          <cell r="C1695" t="str">
            <v>李鐵拐</v>
          </cell>
          <cell r="D1695" t="str">
            <v>ポムポムプリン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5</v>
          </cell>
          <cell r="J1695" t="str">
            <v>PremiumSSw</v>
          </cell>
          <cell r="K1695" t="str">
            <v>technical</v>
          </cell>
          <cell r="L1695" t="str">
            <v>テクニカルタイプ</v>
          </cell>
          <cell r="M1695" t="str">
            <v>god</v>
          </cell>
        </row>
        <row r="1696">
          <cell r="A1696">
            <v>8104</v>
          </cell>
          <cell r="B1696" t="str">
            <v>ja</v>
          </cell>
          <cell r="C1696" t="str">
            <v>李鐵拐★６</v>
          </cell>
          <cell r="D1696" t="str">
            <v>各属性相性良3・黄・R455</v>
          </cell>
          <cell r="E1696" t="str">
            <v>執行者</v>
          </cell>
          <cell r="F1696" t="str">
            <v>格好いい</v>
          </cell>
          <cell r="G1696" t="str">
            <v>男性</v>
          </cell>
          <cell r="H1696" t="str">
            <v>red</v>
          </cell>
          <cell r="I1696">
            <v>6</v>
          </cell>
          <cell r="J1696" t="str">
            <v>PremiumSSw</v>
          </cell>
          <cell r="K1696" t="str">
            <v>technical</v>
          </cell>
          <cell r="L1696" t="str">
            <v>テクニカルタイプ</v>
          </cell>
          <cell r="M1696" t="str">
            <v>god</v>
          </cell>
        </row>
        <row r="1697">
          <cell r="A1697">
            <v>8105</v>
          </cell>
          <cell r="B1697" t="str">
            <v>ja</v>
          </cell>
          <cell r="C1697" t="str">
            <v>曹國舅</v>
          </cell>
          <cell r="D1697" t="str">
            <v>ポムポムプリン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5</v>
          </cell>
          <cell r="J1697" t="str">
            <v>DropWizS</v>
          </cell>
          <cell r="K1697" t="str">
            <v>hp</v>
          </cell>
          <cell r="L1697" t="str">
            <v>体力タイプ</v>
          </cell>
          <cell r="M1697" t="str">
            <v>god</v>
          </cell>
        </row>
        <row r="1698">
          <cell r="A1698">
            <v>8106</v>
          </cell>
          <cell r="B1698" t="str">
            <v>ja</v>
          </cell>
          <cell r="C1698" t="str">
            <v>曹國舅★６</v>
          </cell>
          <cell r="D1698" t="str">
            <v>各属性相性良3・黄・R455</v>
          </cell>
          <cell r="E1698" t="str">
            <v>執行者</v>
          </cell>
          <cell r="F1698" t="str">
            <v>格好いい</v>
          </cell>
          <cell r="G1698" t="str">
            <v>男性</v>
          </cell>
          <cell r="H1698" t="str">
            <v>green</v>
          </cell>
          <cell r="I1698">
            <v>6</v>
          </cell>
          <cell r="J1698" t="str">
            <v>DropWizS</v>
          </cell>
          <cell r="K1698" t="str">
            <v>hp</v>
          </cell>
          <cell r="L1698" t="str">
            <v>体力タイプ</v>
          </cell>
          <cell r="M1698" t="str">
            <v>god</v>
          </cell>
        </row>
        <row r="1699">
          <cell r="A1699">
            <v>8111</v>
          </cell>
          <cell r="B1699" t="str">
            <v>ja</v>
          </cell>
          <cell r="C1699" t="str">
            <v>福德正神</v>
          </cell>
          <cell r="H1699" t="str">
            <v>blue</v>
          </cell>
          <cell r="I1699">
            <v>5</v>
          </cell>
          <cell r="J1699" t="str">
            <v>Drop2N</v>
          </cell>
          <cell r="K1699" t="str">
            <v>heal</v>
          </cell>
          <cell r="L1699" t="str">
            <v>回復タイプ</v>
          </cell>
          <cell r="M1699" t="str">
            <v>god</v>
          </cell>
        </row>
        <row r="1700">
          <cell r="A1700">
            <v>8112</v>
          </cell>
          <cell r="B1700" t="str">
            <v>ja</v>
          </cell>
          <cell r="C1700" t="str">
            <v>福德正神★６</v>
          </cell>
          <cell r="H1700" t="str">
            <v>blue</v>
          </cell>
          <cell r="I1700">
            <v>6</v>
          </cell>
          <cell r="J1700" t="str">
            <v>Drop2N</v>
          </cell>
          <cell r="K1700" t="str">
            <v>heal</v>
          </cell>
          <cell r="L1700" t="str">
            <v>回復タイプ</v>
          </cell>
          <cell r="M1700" t="str">
            <v>god</v>
          </cell>
        </row>
        <row r="1701">
          <cell r="A1701">
            <v>8113</v>
          </cell>
          <cell r="B1701" t="str">
            <v>ja</v>
          </cell>
          <cell r="C1701" t="str">
            <v>孔子</v>
          </cell>
          <cell r="H1701" t="str">
            <v>yellow</v>
          </cell>
          <cell r="I1701">
            <v>5</v>
          </cell>
          <cell r="J1701" t="str">
            <v>PremiumSSS</v>
          </cell>
          <cell r="K1701" t="str">
            <v>attack</v>
          </cell>
          <cell r="L1701" t="str">
            <v>攻撃タイプ</v>
          </cell>
          <cell r="M1701" t="str">
            <v>academia</v>
          </cell>
        </row>
        <row r="1702">
          <cell r="A1702">
            <v>8114</v>
          </cell>
          <cell r="B1702" t="str">
            <v>ja</v>
          </cell>
          <cell r="C1702" t="str">
            <v>孔子★６</v>
          </cell>
          <cell r="H1702" t="str">
            <v>yellow</v>
          </cell>
          <cell r="I1702">
            <v>6</v>
          </cell>
          <cell r="J1702" t="str">
            <v>PremiumSSS</v>
          </cell>
          <cell r="K1702" t="str">
            <v>attack</v>
          </cell>
          <cell r="L1702" t="str">
            <v>攻撃タイプ</v>
          </cell>
          <cell r="M1702" t="str">
            <v>academia</v>
          </cell>
        </row>
        <row r="1703">
          <cell r="A1703">
            <v>8115</v>
          </cell>
          <cell r="B1703" t="str">
            <v>ja</v>
          </cell>
          <cell r="C1703" t="str">
            <v>贏政</v>
          </cell>
          <cell r="H1703" t="str">
            <v>blue</v>
          </cell>
          <cell r="I1703">
            <v>5</v>
          </cell>
          <cell r="J1703" t="str">
            <v>DropWizSS</v>
          </cell>
          <cell r="K1703" t="str">
            <v>attack</v>
          </cell>
          <cell r="L1703" t="str">
            <v>攻撃タイプ</v>
          </cell>
          <cell r="M1703" t="str">
            <v>human</v>
          </cell>
        </row>
        <row r="1704">
          <cell r="A1704">
            <v>8116</v>
          </cell>
          <cell r="B1704" t="str">
            <v>ja</v>
          </cell>
          <cell r="C1704" t="str">
            <v>贏政★６</v>
          </cell>
          <cell r="H1704" t="str">
            <v>blue</v>
          </cell>
          <cell r="I1704">
            <v>6</v>
          </cell>
          <cell r="J1704" t="str">
            <v>DropWizSS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8117</v>
          </cell>
          <cell r="B1705" t="str">
            <v>ja</v>
          </cell>
          <cell r="C1705" t="str">
            <v>白娘子</v>
          </cell>
          <cell r="D1705" t="str">
            <v>ポムポムプリン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green</v>
          </cell>
          <cell r="I1705">
            <v>5</v>
          </cell>
          <cell r="J1705" t="str">
            <v>PremiumSSw</v>
          </cell>
          <cell r="K1705" t="str">
            <v>heal</v>
          </cell>
          <cell r="L1705" t="str">
            <v>回復タイプ</v>
          </cell>
          <cell r="M1705" t="str">
            <v>dragon</v>
          </cell>
        </row>
        <row r="1706">
          <cell r="A1706">
            <v>8118</v>
          </cell>
          <cell r="B1706" t="str">
            <v>ja</v>
          </cell>
          <cell r="C1706" t="str">
            <v>白娘子★６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green</v>
          </cell>
          <cell r="I1706">
            <v>6</v>
          </cell>
          <cell r="J1706" t="str">
            <v>PremiumSSw</v>
          </cell>
          <cell r="K1706" t="str">
            <v>heal</v>
          </cell>
          <cell r="L1706" t="str">
            <v>回復タイプ</v>
          </cell>
          <cell r="M1706" t="str">
            <v>dragon</v>
          </cell>
        </row>
        <row r="1707">
          <cell r="A1707">
            <v>8119</v>
          </cell>
          <cell r="B1707" t="str">
            <v>ja</v>
          </cell>
          <cell r="C1707" t="str">
            <v>小青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green</v>
          </cell>
          <cell r="I1707">
            <v>5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dragon</v>
          </cell>
        </row>
        <row r="1708">
          <cell r="A1708">
            <v>8120</v>
          </cell>
          <cell r="B1708" t="str">
            <v>ja</v>
          </cell>
          <cell r="C1708" t="str">
            <v>小青★６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6</v>
          </cell>
          <cell r="J1708" t="str">
            <v>PremiumSSw</v>
          </cell>
          <cell r="K1708" t="str">
            <v>attack</v>
          </cell>
          <cell r="L1708" t="str">
            <v>攻撃タイプ</v>
          </cell>
          <cell r="M1708" t="str">
            <v>dragon</v>
          </cell>
        </row>
        <row r="1709">
          <cell r="A1709">
            <v>8121</v>
          </cell>
          <cell r="B1709" t="str">
            <v>ja</v>
          </cell>
          <cell r="C1709" t="str">
            <v>法海</v>
          </cell>
          <cell r="D1709" t="str">
            <v>ポムポムプリン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5</v>
          </cell>
          <cell r="J1709" t="str">
            <v>DropWizS</v>
          </cell>
          <cell r="K1709" t="str">
            <v>attack</v>
          </cell>
          <cell r="L1709" t="str">
            <v>攻撃タイプ</v>
          </cell>
          <cell r="M1709" t="str">
            <v>human</v>
          </cell>
        </row>
        <row r="1710">
          <cell r="A1710">
            <v>8122</v>
          </cell>
          <cell r="B1710" t="str">
            <v>ja</v>
          </cell>
          <cell r="C1710" t="str">
            <v>法海★６</v>
          </cell>
          <cell r="D1710" t="str">
            <v>各属性相性良3・黄・R455</v>
          </cell>
          <cell r="E1710" t="str">
            <v>執行者</v>
          </cell>
          <cell r="F1710" t="str">
            <v>格好いい</v>
          </cell>
          <cell r="G1710" t="str">
            <v>男性</v>
          </cell>
          <cell r="H1710" t="str">
            <v>yellow</v>
          </cell>
          <cell r="I1710">
            <v>6</v>
          </cell>
          <cell r="J1710" t="str">
            <v>DropWizS</v>
          </cell>
          <cell r="K1710" t="str">
            <v>attack</v>
          </cell>
          <cell r="L1710" t="str">
            <v>攻撃タイプ</v>
          </cell>
          <cell r="M1710" t="str">
            <v>human</v>
          </cell>
        </row>
        <row r="1711">
          <cell r="A1711">
            <v>8123</v>
          </cell>
          <cell r="B1711" t="str">
            <v>ja</v>
          </cell>
          <cell r="C1711" t="str">
            <v>哪吒</v>
          </cell>
          <cell r="D1711" t="str">
            <v>各属性相性良3・黄・R455</v>
          </cell>
          <cell r="E1711" t="str">
            <v>執行者</v>
          </cell>
          <cell r="F1711" t="str">
            <v>格好いい</v>
          </cell>
          <cell r="G1711" t="str">
            <v>男性</v>
          </cell>
          <cell r="H1711" t="str">
            <v>yellow</v>
          </cell>
          <cell r="I1711">
            <v>6</v>
          </cell>
          <cell r="J1711" t="str">
            <v>DropWizS</v>
          </cell>
          <cell r="K1711" t="str">
            <v>attack</v>
          </cell>
          <cell r="L1711" t="str">
            <v>攻撃タイプ</v>
          </cell>
          <cell r="M1711" t="str">
            <v>human</v>
          </cell>
        </row>
        <row r="1712">
          <cell r="A1712">
            <v>8124</v>
          </cell>
          <cell r="B1712" t="str">
            <v>ja</v>
          </cell>
          <cell r="C1712" t="str">
            <v>★6哪吒</v>
          </cell>
          <cell r="D1712" t="str">
            <v>各属性相性良3・黄・R455</v>
          </cell>
          <cell r="E1712" t="str">
            <v>執行者</v>
          </cell>
          <cell r="F1712" t="str">
            <v>格好いい</v>
          </cell>
          <cell r="G1712" t="str">
            <v>男性</v>
          </cell>
          <cell r="H1712" t="str">
            <v>yellow</v>
          </cell>
          <cell r="I1712">
            <v>6</v>
          </cell>
          <cell r="J1712" t="str">
            <v>DropWizS</v>
          </cell>
          <cell r="K1712" t="str">
            <v>attack</v>
          </cell>
          <cell r="L1712" t="str">
            <v>攻撃タイプ</v>
          </cell>
          <cell r="M1712" t="str">
            <v>human</v>
          </cell>
        </row>
        <row r="1713">
          <cell r="A1713">
            <v>8125</v>
          </cell>
          <cell r="B1713" t="str">
            <v>ja</v>
          </cell>
          <cell r="C1713" t="str">
            <v>東海龍王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yellow</v>
          </cell>
          <cell r="I1713">
            <v>6</v>
          </cell>
          <cell r="J1713" t="str">
            <v>DropWizS</v>
          </cell>
          <cell r="K1713" t="str">
            <v>attack</v>
          </cell>
          <cell r="L1713" t="str">
            <v>攻撃タイプ</v>
          </cell>
          <cell r="M1713" t="str">
            <v>human</v>
          </cell>
        </row>
        <row r="1714">
          <cell r="A1714">
            <v>8126</v>
          </cell>
          <cell r="B1714" t="str">
            <v>ja</v>
          </cell>
          <cell r="C1714" t="str">
            <v>★6東海龍王</v>
          </cell>
          <cell r="D1714" t="str">
            <v>各属性相性良3・黄・R455</v>
          </cell>
          <cell r="E1714" t="str">
            <v>執行者</v>
          </cell>
          <cell r="F1714" t="str">
            <v>格好いい</v>
          </cell>
          <cell r="G1714" t="str">
            <v>男性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attack</v>
          </cell>
          <cell r="L1714" t="str">
            <v>攻撃タイプ</v>
          </cell>
          <cell r="M1714" t="str">
            <v>human</v>
          </cell>
        </row>
        <row r="1715">
          <cell r="A1715">
            <v>8127</v>
          </cell>
          <cell r="B1715" t="str">
            <v>ja</v>
          </cell>
          <cell r="C1715" t="str">
            <v>鐵扇公主 ‧ 羅剎女</v>
          </cell>
          <cell r="D1715" t="str">
            <v>各属性相性良3・黄・R455</v>
          </cell>
          <cell r="E1715" t="str">
            <v>執行者</v>
          </cell>
          <cell r="F1715" t="str">
            <v>格好いい</v>
          </cell>
          <cell r="G1715" t="str">
            <v>男性</v>
          </cell>
          <cell r="H1715" t="str">
            <v>green</v>
          </cell>
          <cell r="I1715">
            <v>6</v>
          </cell>
          <cell r="J1715" t="str">
            <v>PremiumSSS</v>
          </cell>
          <cell r="K1715" t="str">
            <v>technical</v>
          </cell>
          <cell r="L1715" t="str">
            <v>テクニカルタイプ</v>
          </cell>
          <cell r="M1715" t="str">
            <v>demon</v>
          </cell>
        </row>
        <row r="1716">
          <cell r="A1716">
            <v>8128</v>
          </cell>
          <cell r="B1716" t="str">
            <v>ja</v>
          </cell>
          <cell r="C1716" t="str">
            <v>聖賢哲者 ‧ 唐三藏</v>
          </cell>
          <cell r="D1716" t="str">
            <v>各属性相性良3・黄・R455</v>
          </cell>
          <cell r="E1716" t="str">
            <v>執行者</v>
          </cell>
          <cell r="F1716" t="str">
            <v>格好いい</v>
          </cell>
          <cell r="G1716" t="str">
            <v>男性</v>
          </cell>
          <cell r="H1716" t="str">
            <v>green</v>
          </cell>
          <cell r="I1716">
            <v>6</v>
          </cell>
          <cell r="J1716" t="str">
            <v>PremiumSSS</v>
          </cell>
          <cell r="K1716" t="str">
            <v>balance</v>
          </cell>
          <cell r="L1716" t="str">
            <v>バランスタイプ</v>
          </cell>
          <cell r="M1716" t="str">
            <v>god</v>
          </cell>
        </row>
        <row r="1717">
          <cell r="A1717">
            <v>8129</v>
          </cell>
          <cell r="B1717" t="str">
            <v>ja</v>
          </cell>
          <cell r="C1717" t="str">
            <v>放任孽魔 ‧ 撒旦</v>
          </cell>
          <cell r="D1717" t="str">
            <v>各属性相性良3・黄・R455</v>
          </cell>
          <cell r="E1717" t="str">
            <v>執行者</v>
          </cell>
          <cell r="F1717" t="str">
            <v>格好いい</v>
          </cell>
          <cell r="G1717" t="str">
            <v>男性</v>
          </cell>
          <cell r="H1717" t="str">
            <v>blue</v>
          </cell>
          <cell r="I1717">
            <v>6</v>
          </cell>
          <cell r="J1717" t="str">
            <v>PremiumSS</v>
          </cell>
          <cell r="K1717" t="str">
            <v>technical</v>
          </cell>
          <cell r="L1717" t="str">
            <v>テクニカルタイプ</v>
          </cell>
          <cell r="M1717" t="str">
            <v>demon</v>
          </cell>
        </row>
        <row r="1718">
          <cell r="A1718">
            <v>8130</v>
          </cell>
          <cell r="B1718" t="str">
            <v>ja</v>
          </cell>
          <cell r="C1718" t="str">
            <v>變臉火術 ‧ 切西亞</v>
          </cell>
          <cell r="D1718" t="str">
            <v>各属性相性良3・黄・R455</v>
          </cell>
          <cell r="E1718" t="str">
            <v>執行者</v>
          </cell>
          <cell r="F1718" t="str">
            <v>格好いい</v>
          </cell>
          <cell r="G1718" t="str">
            <v>男性</v>
          </cell>
          <cell r="H1718" t="str">
            <v>red</v>
          </cell>
          <cell r="I1718">
            <v>6</v>
          </cell>
          <cell r="J1718" t="str">
            <v>PremiumSS</v>
          </cell>
          <cell r="K1718" t="str">
            <v>balance</v>
          </cell>
          <cell r="L1718" t="str">
            <v>バランスタイプ</v>
          </cell>
          <cell r="M1718" t="str">
            <v>god</v>
          </cell>
        </row>
        <row r="1719">
          <cell r="A1719">
            <v>8131</v>
          </cell>
          <cell r="B1719" t="str">
            <v>ja</v>
          </cell>
          <cell r="C1719" t="str">
            <v>預知者之歷劫 ‧ 卡珊德拉</v>
          </cell>
          <cell r="D1719" t="str">
            <v>各属性相性良3・黄・R455</v>
          </cell>
          <cell r="E1719" t="str">
            <v>執行者</v>
          </cell>
          <cell r="F1719" t="str">
            <v>格好いい</v>
          </cell>
          <cell r="G1719" t="str">
            <v>男性</v>
          </cell>
          <cell r="H1719" t="str">
            <v>blue</v>
          </cell>
          <cell r="I1719">
            <v>6</v>
          </cell>
          <cell r="J1719" t="str">
            <v>PremiumSS</v>
          </cell>
          <cell r="K1719" t="str">
            <v>heal</v>
          </cell>
          <cell r="L1719" t="str">
            <v>回復タイプ</v>
          </cell>
          <cell r="M1719" t="str">
            <v>human</v>
          </cell>
        </row>
        <row r="1720">
          <cell r="A1720">
            <v>8132</v>
          </cell>
          <cell r="B1720" t="str">
            <v>ja</v>
          </cell>
          <cell r="C1720" t="str">
            <v>罪與責之承諾 ‧ 美狄亞</v>
          </cell>
          <cell r="D1720" t="str">
            <v>各属性相性良3・黄・R455</v>
          </cell>
          <cell r="E1720" t="str">
            <v>執行者</v>
          </cell>
          <cell r="F1720" t="str">
            <v>格好いい</v>
          </cell>
          <cell r="G1720" t="str">
            <v>男性</v>
          </cell>
          <cell r="H1720" t="str">
            <v>red</v>
          </cell>
          <cell r="I1720">
            <v>6</v>
          </cell>
          <cell r="J1720" t="str">
            <v>PremiumSS</v>
          </cell>
          <cell r="K1720" t="str">
            <v>attack</v>
          </cell>
          <cell r="L1720" t="str">
            <v>攻撃タイプ</v>
          </cell>
          <cell r="M1720" t="str">
            <v>human</v>
          </cell>
        </row>
        <row r="1721">
          <cell r="A1721">
            <v>8133</v>
          </cell>
          <cell r="B1721" t="str">
            <v>ja</v>
          </cell>
          <cell r="C1721" t="str">
            <v>大魔導士 ‧ 莫莉</v>
          </cell>
          <cell r="D1721" t="str">
            <v>各属性相性良3・黄・R455</v>
          </cell>
          <cell r="E1721" t="str">
            <v>執行者</v>
          </cell>
          <cell r="F1721" t="str">
            <v>格好いい</v>
          </cell>
          <cell r="G1721" t="str">
            <v>男性</v>
          </cell>
          <cell r="H1721" t="str">
            <v>blue</v>
          </cell>
          <cell r="I1721">
            <v>5</v>
          </cell>
          <cell r="J1721" t="str">
            <v>PremiumS</v>
          </cell>
          <cell r="K1721" t="str">
            <v>heal</v>
          </cell>
          <cell r="L1721" t="str">
            <v>回復タイプ</v>
          </cell>
          <cell r="M1721" t="str">
            <v>human</v>
          </cell>
        </row>
        <row r="1722">
          <cell r="A1722">
            <v>8134</v>
          </cell>
          <cell r="B1722" t="str">
            <v>ja</v>
          </cell>
          <cell r="C1722" t="str">
            <v>龍焰騎士 ‧ 肖恩</v>
          </cell>
          <cell r="D1722" t="str">
            <v>各属性相性良3・黄・R455</v>
          </cell>
          <cell r="E1722" t="str">
            <v>執行者</v>
          </cell>
          <cell r="F1722" t="str">
            <v>格好いい</v>
          </cell>
          <cell r="G1722" t="str">
            <v>男性</v>
          </cell>
          <cell r="H1722" t="str">
            <v>red</v>
          </cell>
          <cell r="I1722">
            <v>5</v>
          </cell>
          <cell r="J1722" t="str">
            <v>PremiumS</v>
          </cell>
          <cell r="K1722" t="str">
            <v>balance</v>
          </cell>
          <cell r="L1722" t="str">
            <v>バランスタイプ</v>
          </cell>
          <cell r="M1722" t="str">
            <v>human</v>
          </cell>
        </row>
        <row r="1723">
          <cell r="A1723">
            <v>8135</v>
          </cell>
          <cell r="B1723" t="str">
            <v>ja</v>
          </cell>
          <cell r="C1723" t="str">
            <v>混沌之翼 ‧ 路西法</v>
          </cell>
          <cell r="D1723" t="str">
            <v>各属性相性良3・黄・R455</v>
          </cell>
          <cell r="E1723" t="str">
            <v>執行者</v>
          </cell>
          <cell r="F1723" t="str">
            <v>格好いい</v>
          </cell>
          <cell r="G1723" t="str">
            <v>男性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attack</v>
          </cell>
          <cell r="L1723" t="str">
            <v>攻撃タイプ</v>
          </cell>
          <cell r="M1723" t="str">
            <v>god</v>
          </cell>
        </row>
        <row r="1724">
          <cell r="A1724">
            <v>8136</v>
          </cell>
          <cell r="B1724" t="str">
            <v>ja</v>
          </cell>
          <cell r="C1724" t="str">
            <v>混沌之翼 ‧ 路西法★6</v>
          </cell>
          <cell r="D1724" t="str">
            <v>各属性相性良3・黄・R455</v>
          </cell>
          <cell r="E1724" t="str">
            <v>執行者</v>
          </cell>
          <cell r="F1724" t="str">
            <v>格好いい</v>
          </cell>
          <cell r="G1724" t="str">
            <v>男性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attack</v>
          </cell>
          <cell r="L1724" t="str">
            <v>攻撃タイプ</v>
          </cell>
          <cell r="M1724" t="str">
            <v>god</v>
          </cell>
        </row>
        <row r="1725">
          <cell r="A1725">
            <v>8137</v>
          </cell>
          <cell r="B1725" t="str">
            <v>ja</v>
          </cell>
          <cell r="C1725" t="str">
            <v>黑巫術之疚惡 ‧ 喀耳刻</v>
          </cell>
          <cell r="D1725" t="str">
            <v>各属性相性良3・黄・R455</v>
          </cell>
          <cell r="E1725" t="str">
            <v>執行者</v>
          </cell>
          <cell r="F1725" t="str">
            <v>格好いい</v>
          </cell>
          <cell r="G1725" t="str">
            <v>男性</v>
          </cell>
          <cell r="H1725" t="str">
            <v>green</v>
          </cell>
          <cell r="I1725">
            <v>6</v>
          </cell>
          <cell r="J1725" t="str">
            <v>DropWizS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8138</v>
          </cell>
          <cell r="B1726" t="str">
            <v>ja</v>
          </cell>
          <cell r="C1726" t="str">
            <v>死靈魔導 ‧ 安多</v>
          </cell>
          <cell r="D1726" t="str">
            <v>各属性相性良3・黄・R455</v>
          </cell>
          <cell r="E1726" t="str">
            <v>執行者</v>
          </cell>
          <cell r="F1726" t="str">
            <v>格好いい</v>
          </cell>
          <cell r="G1726" t="str">
            <v>男性</v>
          </cell>
          <cell r="H1726" t="str">
            <v>red</v>
          </cell>
          <cell r="I1726">
            <v>5</v>
          </cell>
          <cell r="J1726" t="str">
            <v>Drop2N</v>
          </cell>
          <cell r="K1726" t="str">
            <v>attack</v>
          </cell>
          <cell r="L1726" t="str">
            <v>攻撃タイプ</v>
          </cell>
          <cell r="M1726" t="str">
            <v>human</v>
          </cell>
        </row>
        <row r="1727">
          <cell r="A1727">
            <v>9001</v>
          </cell>
          <cell r="B1727" t="str">
            <v>ja</v>
          </cell>
          <cell r="C1727" t="str">
            <v>春香</v>
          </cell>
          <cell r="D1727" t="str">
            <v>ポムポムプリン</v>
          </cell>
          <cell r="E1727" t="str">
            <v>執行者</v>
          </cell>
          <cell r="F1727" t="str">
            <v>格好いい</v>
          </cell>
          <cell r="G1727" t="str">
            <v>女性</v>
          </cell>
          <cell r="H1727" t="str">
            <v>red</v>
          </cell>
          <cell r="I1727">
            <v>5</v>
          </cell>
          <cell r="J1727" t="str">
            <v>PremiumSSw</v>
          </cell>
          <cell r="K1727" t="str">
            <v>attack</v>
          </cell>
          <cell r="L1727" t="str">
            <v>攻撃タイプ</v>
          </cell>
          <cell r="M1727" t="str">
            <v>human</v>
          </cell>
        </row>
        <row r="1728">
          <cell r="A1728">
            <v>9002</v>
          </cell>
          <cell r="B1728" t="str">
            <v>ja</v>
          </cell>
          <cell r="C1728" t="str">
            <v>春香★６</v>
          </cell>
          <cell r="D1728" t="str">
            <v>ポムポムプリン</v>
          </cell>
          <cell r="E1728" t="str">
            <v>執行者</v>
          </cell>
          <cell r="F1728" t="str">
            <v>格好いい</v>
          </cell>
          <cell r="G1728" t="str">
            <v>女性</v>
          </cell>
          <cell r="H1728" t="str">
            <v>red</v>
          </cell>
          <cell r="I1728">
            <v>6</v>
          </cell>
          <cell r="J1728" t="str">
            <v>PremiumSSw</v>
          </cell>
          <cell r="K1728" t="str">
            <v>attack</v>
          </cell>
          <cell r="L1728" t="str">
            <v>攻撃タイプ</v>
          </cell>
          <cell r="M1728" t="str">
            <v>human</v>
          </cell>
        </row>
        <row r="1729">
          <cell r="A1729">
            <v>9003</v>
          </cell>
          <cell r="B1729" t="str">
            <v>ja</v>
          </cell>
          <cell r="C1729" t="str">
            <v>夢龍</v>
          </cell>
          <cell r="D1729" t="str">
            <v>ポムポムプリン</v>
          </cell>
          <cell r="E1729" t="str">
            <v>執行者</v>
          </cell>
          <cell r="F1729" t="str">
            <v>格好いい</v>
          </cell>
          <cell r="G1729" t="str">
            <v>女性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dragon</v>
          </cell>
        </row>
        <row r="1730">
          <cell r="A1730">
            <v>9004</v>
          </cell>
          <cell r="B1730" t="str">
            <v>ja</v>
          </cell>
          <cell r="C1730" t="str">
            <v>夢龍★６</v>
          </cell>
          <cell r="D1730" t="str">
            <v>各属性相性良3・黄・R455</v>
          </cell>
          <cell r="E1730" t="str">
            <v>執行者</v>
          </cell>
          <cell r="F1730" t="str">
            <v>格好いい</v>
          </cell>
          <cell r="G1730" t="str">
            <v>男性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heal</v>
          </cell>
          <cell r="L1730" t="str">
            <v>回復タイプ</v>
          </cell>
          <cell r="M1730" t="str">
            <v>dragon</v>
          </cell>
        </row>
        <row r="1731">
          <cell r="A1731">
            <v>9005</v>
          </cell>
          <cell r="B1731" t="str">
            <v>ja</v>
          </cell>
          <cell r="C1731" t="str">
            <v>降臨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blue</v>
          </cell>
          <cell r="I1731">
            <v>5</v>
          </cell>
          <cell r="J1731" t="str">
            <v>PremiumSSw</v>
          </cell>
          <cell r="K1731" t="str">
            <v>hp</v>
          </cell>
          <cell r="L1731" t="str">
            <v>体力タイプ</v>
          </cell>
          <cell r="M1731" t="str">
            <v>demon</v>
          </cell>
        </row>
        <row r="1732">
          <cell r="A1732">
            <v>9006</v>
          </cell>
          <cell r="B1732" t="str">
            <v>ja</v>
          </cell>
          <cell r="C1732" t="str">
            <v>降臨★６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blue</v>
          </cell>
          <cell r="I1732">
            <v>6</v>
          </cell>
          <cell r="J1732" t="str">
            <v>PremiumSSw</v>
          </cell>
          <cell r="K1732" t="str">
            <v>hp</v>
          </cell>
          <cell r="L1732" t="str">
            <v>体力タイプ</v>
          </cell>
          <cell r="M1732" t="str">
            <v>demon</v>
          </cell>
        </row>
        <row r="1733">
          <cell r="A1733">
            <v>9007</v>
          </cell>
          <cell r="B1733" t="str">
            <v>ja</v>
          </cell>
          <cell r="C1733" t="str">
            <v>田禹治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red</v>
          </cell>
          <cell r="I1733">
            <v>5</v>
          </cell>
          <cell r="J1733" t="str">
            <v>DropWizS</v>
          </cell>
          <cell r="K1733" t="str">
            <v>technical</v>
          </cell>
          <cell r="L1733" t="str">
            <v>テクニカルタイプ</v>
          </cell>
          <cell r="M1733" t="str">
            <v>hero</v>
          </cell>
        </row>
        <row r="1734">
          <cell r="A1734">
            <v>9008</v>
          </cell>
          <cell r="B1734" t="str">
            <v>ja</v>
          </cell>
          <cell r="C1734" t="str">
            <v>田禹治★６</v>
          </cell>
          <cell r="D1734" t="str">
            <v>各属性相性良3・黄・R455</v>
          </cell>
          <cell r="E1734" t="str">
            <v>執行者</v>
          </cell>
          <cell r="F1734" t="str">
            <v>格好いい</v>
          </cell>
          <cell r="G1734" t="str">
            <v>男性</v>
          </cell>
          <cell r="H1734" t="str">
            <v>red</v>
          </cell>
          <cell r="I1734">
            <v>6</v>
          </cell>
          <cell r="J1734" t="str">
            <v>DropWizS</v>
          </cell>
          <cell r="K1734" t="str">
            <v>technical</v>
          </cell>
          <cell r="L1734" t="str">
            <v>テクニカルタイプ</v>
          </cell>
          <cell r="M1734" t="str">
            <v>hero</v>
          </cell>
        </row>
        <row r="1735">
          <cell r="A1735">
            <v>10001</v>
          </cell>
          <cell r="B1735" t="str">
            <v>ja</v>
          </cell>
          <cell r="C1735" t="str">
            <v>テストユニット01</v>
          </cell>
          <cell r="H1735" t="str">
            <v>yellow</v>
          </cell>
          <cell r="I1735">
            <v>6</v>
          </cell>
          <cell r="J1735" t="str">
            <v>DropWizS</v>
          </cell>
          <cell r="K1735" t="str">
            <v>heal</v>
          </cell>
          <cell r="L1735" t="str">
            <v>回復タイプ</v>
          </cell>
          <cell r="M1735" t="str">
            <v>human</v>
          </cell>
        </row>
        <row r="1736">
          <cell r="A1736">
            <v>10002</v>
          </cell>
          <cell r="B1736" t="str">
            <v>ja</v>
          </cell>
          <cell r="C1736" t="str">
            <v>テストユニット02</v>
          </cell>
          <cell r="H1736" t="str">
            <v>yellow</v>
          </cell>
          <cell r="I1736">
            <v>6</v>
          </cell>
          <cell r="J1736" t="str">
            <v>PremiumSS</v>
          </cell>
          <cell r="K1736" t="str">
            <v>technical</v>
          </cell>
          <cell r="L1736" t="str">
            <v>テクニカルタイプ</v>
          </cell>
          <cell r="M1736" t="str">
            <v>animal</v>
          </cell>
        </row>
        <row r="1737">
          <cell r="A1737">
            <v>10003</v>
          </cell>
          <cell r="B1737" t="str">
            <v>ja</v>
          </cell>
          <cell r="C1737" t="str">
            <v>テストユニット03</v>
          </cell>
          <cell r="H1737" t="str">
            <v>red</v>
          </cell>
          <cell r="I1737">
            <v>5</v>
          </cell>
          <cell r="J1737" t="str">
            <v>PremiumSSS</v>
          </cell>
          <cell r="K1737" t="str">
            <v>technical</v>
          </cell>
          <cell r="L1737" t="str">
            <v>テクニカルタイプ</v>
          </cell>
          <cell r="M1737" t="str">
            <v>academia</v>
          </cell>
        </row>
        <row r="1738">
          <cell r="A1738">
            <v>10004</v>
          </cell>
          <cell r="B1738" t="str">
            <v>ja</v>
          </cell>
          <cell r="C1738" t="str">
            <v>テストユニット04</v>
          </cell>
          <cell r="H1738" t="str">
            <v>red</v>
          </cell>
          <cell r="I1738">
            <v>6</v>
          </cell>
          <cell r="J1738" t="str">
            <v>PremiumSSS</v>
          </cell>
          <cell r="K1738" t="str">
            <v>technical</v>
          </cell>
          <cell r="L1738" t="str">
            <v>テクニカルタイプ</v>
          </cell>
          <cell r="M1738" t="str">
            <v>academia</v>
          </cell>
        </row>
        <row r="1739">
          <cell r="A1739">
            <v>10005</v>
          </cell>
          <cell r="B1739" t="str">
            <v>ja</v>
          </cell>
          <cell r="C1739" t="str">
            <v>テストユニット05</v>
          </cell>
          <cell r="H1739" t="str">
            <v>yellow</v>
          </cell>
          <cell r="I1739">
            <v>6</v>
          </cell>
          <cell r="J1739" t="str">
            <v>PremiumSS</v>
          </cell>
          <cell r="K1739" t="str">
            <v>technical</v>
          </cell>
          <cell r="L1739" t="str">
            <v>テクニカルタイプ</v>
          </cell>
          <cell r="M1739" t="str">
            <v>human</v>
          </cell>
        </row>
        <row r="1740">
          <cell r="A1740">
            <v>10006</v>
          </cell>
          <cell r="B1740" t="str">
            <v>ja</v>
          </cell>
          <cell r="C1740" t="str">
            <v>テストユニット06</v>
          </cell>
          <cell r="H1740" t="str">
            <v>yellow</v>
          </cell>
          <cell r="I1740">
            <v>6</v>
          </cell>
          <cell r="J1740" t="str">
            <v>PremiumSS</v>
          </cell>
          <cell r="K1740" t="str">
            <v>attack</v>
          </cell>
          <cell r="L1740" t="str">
            <v>攻撃タイプ</v>
          </cell>
          <cell r="M1740" t="str">
            <v>animal</v>
          </cell>
        </row>
        <row r="1741">
          <cell r="A1741">
            <v>10007</v>
          </cell>
          <cell r="B1741" t="str">
            <v>ja</v>
          </cell>
          <cell r="C1741" t="str">
            <v>テストユニット07</v>
          </cell>
          <cell r="H1741" t="str">
            <v>yellow</v>
          </cell>
          <cell r="I1741">
            <v>5</v>
          </cell>
          <cell r="J1741" t="str">
            <v>PremiumSSS</v>
          </cell>
          <cell r="K1741" t="str">
            <v>technical</v>
          </cell>
          <cell r="L1741" t="str">
            <v>テクニカルタイプ</v>
          </cell>
          <cell r="M1741" t="str">
            <v>machine</v>
          </cell>
        </row>
        <row r="1742">
          <cell r="A1742">
            <v>10008</v>
          </cell>
          <cell r="B1742" t="str">
            <v>ja</v>
          </cell>
          <cell r="C1742" t="str">
            <v>テストユニット08</v>
          </cell>
          <cell r="H1742" t="str">
            <v>yellow</v>
          </cell>
          <cell r="I1742">
            <v>6</v>
          </cell>
          <cell r="J1742" t="str">
            <v>PremiumSSS</v>
          </cell>
          <cell r="K1742" t="str">
            <v>technical</v>
          </cell>
          <cell r="L1742" t="str">
            <v>テクニカルタイプ</v>
          </cell>
          <cell r="M1742" t="str">
            <v>machine</v>
          </cell>
        </row>
        <row r="1743">
          <cell r="A1743">
            <v>10009</v>
          </cell>
          <cell r="B1743" t="str">
            <v>ja</v>
          </cell>
          <cell r="C1743" t="str">
            <v>青テスト01</v>
          </cell>
          <cell r="H1743" t="str">
            <v>blue</v>
          </cell>
          <cell r="I1743">
            <v>6</v>
          </cell>
          <cell r="J1743" t="str">
            <v>DropWizS</v>
          </cell>
          <cell r="K1743" t="str">
            <v>heal</v>
          </cell>
          <cell r="L1743" t="str">
            <v>回復タイプ</v>
          </cell>
          <cell r="M1743" t="str">
            <v>human</v>
          </cell>
        </row>
        <row r="1744">
          <cell r="A1744">
            <v>10010</v>
          </cell>
          <cell r="B1744" t="str">
            <v>ja</v>
          </cell>
          <cell r="C1744" t="str">
            <v>赤テスト01</v>
          </cell>
          <cell r="H1744" t="str">
            <v>red</v>
          </cell>
          <cell r="I1744">
            <v>6</v>
          </cell>
          <cell r="J1744" t="str">
            <v>PremiumSSS</v>
          </cell>
          <cell r="K1744" t="str">
            <v>technical</v>
          </cell>
          <cell r="L1744" t="str">
            <v>テクニカルタイプ</v>
          </cell>
          <cell r="M1744" t="str">
            <v>human</v>
          </cell>
        </row>
        <row r="1745">
          <cell r="A1745">
            <v>10011</v>
          </cell>
          <cell r="B1745" t="str">
            <v>ja</v>
          </cell>
          <cell r="C1745" t="str">
            <v>テストユニット11</v>
          </cell>
          <cell r="H1745" t="str">
            <v>yellow</v>
          </cell>
          <cell r="I1745">
            <v>5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human</v>
          </cell>
        </row>
        <row r="1746">
          <cell r="A1746">
            <v>10012</v>
          </cell>
          <cell r="B1746" t="str">
            <v>ja</v>
          </cell>
          <cell r="C1746" t="str">
            <v>テストユニット12</v>
          </cell>
          <cell r="H1746" t="str">
            <v>yellow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human</v>
          </cell>
        </row>
        <row r="1747">
          <cell r="A1747">
            <v>10013</v>
          </cell>
          <cell r="B1747" t="str">
            <v>ja</v>
          </cell>
          <cell r="C1747" t="str">
            <v>テストユニット13</v>
          </cell>
          <cell r="H1747" t="str">
            <v>yellow</v>
          </cell>
          <cell r="I1747">
            <v>5</v>
          </cell>
          <cell r="J1747" t="str">
            <v>PremiumSSw</v>
          </cell>
          <cell r="K1747" t="str">
            <v>hp</v>
          </cell>
          <cell r="L1747" t="str">
            <v>体力タイプ</v>
          </cell>
          <cell r="M1747" t="str">
            <v>dragon</v>
          </cell>
        </row>
        <row r="1748">
          <cell r="A1748">
            <v>10014</v>
          </cell>
          <cell r="B1748" t="str">
            <v>ja</v>
          </cell>
          <cell r="C1748" t="str">
            <v>テストユニット14</v>
          </cell>
          <cell r="H1748" t="str">
            <v>yellow</v>
          </cell>
          <cell r="I1748">
            <v>6</v>
          </cell>
          <cell r="J1748" t="str">
            <v>PremiumSSw</v>
          </cell>
          <cell r="K1748" t="str">
            <v>hp</v>
          </cell>
          <cell r="L1748" t="str">
            <v>体力タイプ</v>
          </cell>
          <cell r="M1748" t="str">
            <v>dragon</v>
          </cell>
        </row>
        <row r="1749">
          <cell r="A1749">
            <v>10015</v>
          </cell>
          <cell r="B1749" t="str">
            <v>ja</v>
          </cell>
          <cell r="C1749" t="str">
            <v>テストユニット15</v>
          </cell>
          <cell r="H1749" t="str">
            <v>green</v>
          </cell>
          <cell r="I1749">
            <v>5</v>
          </cell>
          <cell r="J1749" t="str">
            <v>DropWizS</v>
          </cell>
          <cell r="K1749" t="str">
            <v>heal</v>
          </cell>
          <cell r="L1749" t="str">
            <v>回復タイプ</v>
          </cell>
          <cell r="M1749" t="str">
            <v>human</v>
          </cell>
        </row>
        <row r="1750">
          <cell r="A1750">
            <v>10016</v>
          </cell>
          <cell r="B1750" t="str">
            <v>ja</v>
          </cell>
          <cell r="C1750" t="str">
            <v>テストユニット16</v>
          </cell>
          <cell r="H1750" t="str">
            <v>green</v>
          </cell>
          <cell r="I1750">
            <v>6</v>
          </cell>
          <cell r="J1750" t="str">
            <v>DropWizS</v>
          </cell>
          <cell r="K1750" t="str">
            <v>heal</v>
          </cell>
          <cell r="L1750" t="str">
            <v>回復タイプ</v>
          </cell>
          <cell r="M1750" t="str">
            <v>human</v>
          </cell>
        </row>
        <row r="1751">
          <cell r="A1751">
            <v>10017</v>
          </cell>
          <cell r="B1751" t="str">
            <v>ja</v>
          </cell>
          <cell r="C1751" t="str">
            <v>テストユニット17</v>
          </cell>
          <cell r="H1751" t="str">
            <v>red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10018</v>
          </cell>
          <cell r="B1752" t="str">
            <v>ja</v>
          </cell>
          <cell r="C1752" t="str">
            <v>テストユニット18</v>
          </cell>
          <cell r="H1752" t="str">
            <v>blue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10019</v>
          </cell>
          <cell r="B1753" t="str">
            <v>ja</v>
          </cell>
          <cell r="C1753" t="str">
            <v>テストユニット19</v>
          </cell>
          <cell r="H1753" t="str">
            <v>green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10020</v>
          </cell>
          <cell r="B1754" t="str">
            <v>ja</v>
          </cell>
          <cell r="C1754" t="str">
            <v>テストユニット20</v>
          </cell>
          <cell r="H1754" t="str">
            <v>yellow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10021</v>
          </cell>
          <cell r="B1755" t="str">
            <v>ja</v>
          </cell>
          <cell r="C1755" t="str">
            <v>テストユニット21</v>
          </cell>
          <cell r="H1755" t="str">
            <v>blue</v>
          </cell>
          <cell r="I1755">
            <v>5</v>
          </cell>
          <cell r="J1755" t="str">
            <v>PremiumSSw</v>
          </cell>
          <cell r="K1755" t="str">
            <v>hp</v>
          </cell>
          <cell r="L1755" t="str">
            <v>体力タイプ</v>
          </cell>
          <cell r="M1755" t="str">
            <v>demon</v>
          </cell>
        </row>
        <row r="1756">
          <cell r="A1756">
            <v>10022</v>
          </cell>
          <cell r="B1756" t="str">
            <v>ja</v>
          </cell>
          <cell r="C1756" t="str">
            <v>テストユニット22</v>
          </cell>
          <cell r="H1756" t="str">
            <v>blue</v>
          </cell>
          <cell r="I1756">
            <v>6</v>
          </cell>
          <cell r="J1756" t="str">
            <v>PremiumSSw</v>
          </cell>
          <cell r="K1756" t="str">
            <v>hp</v>
          </cell>
          <cell r="L1756" t="str">
            <v>体力タイプ</v>
          </cell>
          <cell r="M1756" t="str">
            <v>demon</v>
          </cell>
        </row>
        <row r="1757">
          <cell r="A1757">
            <v>10023</v>
          </cell>
          <cell r="B1757" t="str">
            <v>ja</v>
          </cell>
          <cell r="C1757" t="str">
            <v>テストユニット23</v>
          </cell>
          <cell r="H1757" t="str">
            <v>green</v>
          </cell>
          <cell r="I1757">
            <v>5</v>
          </cell>
          <cell r="J1757" t="str">
            <v>PremiumSSw</v>
          </cell>
          <cell r="K1757" t="str">
            <v>heal</v>
          </cell>
          <cell r="L1757" t="str">
            <v>回復タイプ</v>
          </cell>
          <cell r="M1757" t="str">
            <v>dragon</v>
          </cell>
        </row>
        <row r="1758">
          <cell r="A1758">
            <v>10024</v>
          </cell>
          <cell r="B1758" t="str">
            <v>ja</v>
          </cell>
          <cell r="C1758" t="str">
            <v>テストユニット24</v>
          </cell>
          <cell r="H1758" t="str">
            <v>green</v>
          </cell>
          <cell r="I1758">
            <v>6</v>
          </cell>
          <cell r="J1758" t="str">
            <v>PremiumSSw</v>
          </cell>
          <cell r="K1758" t="str">
            <v>hp</v>
          </cell>
          <cell r="L1758" t="str">
            <v>体力タイプ</v>
          </cell>
          <cell r="M1758" t="str">
            <v>dragon</v>
          </cell>
        </row>
        <row r="1759">
          <cell r="A1759">
            <v>10025</v>
          </cell>
          <cell r="B1759" t="str">
            <v>ja</v>
          </cell>
          <cell r="C1759" t="str">
            <v>テストユニット25</v>
          </cell>
          <cell r="H1759" t="str">
            <v>red</v>
          </cell>
          <cell r="I1759">
            <v>5</v>
          </cell>
          <cell r="J1759" t="str">
            <v>PremiumSSw</v>
          </cell>
          <cell r="K1759" t="str">
            <v>hp</v>
          </cell>
          <cell r="L1759" t="str">
            <v>体力タイプ</v>
          </cell>
          <cell r="M1759" t="str">
            <v>dragon</v>
          </cell>
        </row>
        <row r="1760">
          <cell r="A1760">
            <v>10026</v>
          </cell>
          <cell r="B1760" t="str">
            <v>ja</v>
          </cell>
          <cell r="C1760" t="str">
            <v>テストユニット26</v>
          </cell>
          <cell r="H1760" t="str">
            <v>red</v>
          </cell>
          <cell r="I1760">
            <v>6</v>
          </cell>
          <cell r="J1760" t="str">
            <v>PremiumSSw</v>
          </cell>
          <cell r="K1760" t="str">
            <v>hp</v>
          </cell>
          <cell r="L1760" t="str">
            <v>体力タイプ</v>
          </cell>
          <cell r="M1760" t="str">
            <v>dragon</v>
          </cell>
        </row>
        <row r="1761">
          <cell r="A1761">
            <v>10027</v>
          </cell>
          <cell r="B1761" t="str">
            <v>ja</v>
          </cell>
          <cell r="C1761" t="str">
            <v>テストユニット27</v>
          </cell>
          <cell r="H1761" t="str">
            <v>green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10028</v>
          </cell>
          <cell r="B1762" t="str">
            <v>ja</v>
          </cell>
          <cell r="C1762" t="str">
            <v>テストユニット28</v>
          </cell>
          <cell r="H1762" t="str">
            <v>yellow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10029</v>
          </cell>
          <cell r="B1763" t="str">
            <v>ja</v>
          </cell>
          <cell r="C1763" t="str">
            <v>テストユニット29</v>
          </cell>
          <cell r="H1763" t="str">
            <v>red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10030</v>
          </cell>
          <cell r="B1764" t="str">
            <v>ja</v>
          </cell>
          <cell r="C1764" t="str">
            <v>テストユニット30</v>
          </cell>
          <cell r="H1764" t="str">
            <v>blue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10031</v>
          </cell>
          <cell r="B1765" t="str">
            <v>ja</v>
          </cell>
          <cell r="C1765" t="str">
            <v>テストユニット31</v>
          </cell>
          <cell r="H1765" t="str">
            <v>green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10032</v>
          </cell>
          <cell r="B1766" t="str">
            <v>ja</v>
          </cell>
          <cell r="C1766" t="str">
            <v>テストユニット32</v>
          </cell>
          <cell r="H1766" t="str">
            <v>yellow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10033</v>
          </cell>
          <cell r="B1767" t="str">
            <v>ja</v>
          </cell>
          <cell r="C1767" t="str">
            <v>テストユニット33</v>
          </cell>
          <cell r="H1767" t="str">
            <v>red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10034</v>
          </cell>
          <cell r="B1768" t="str">
            <v>ja</v>
          </cell>
          <cell r="C1768" t="str">
            <v>テストユニット34</v>
          </cell>
          <cell r="H1768" t="str">
            <v>blue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10035</v>
          </cell>
          <cell r="B1769" t="str">
            <v>ja</v>
          </cell>
          <cell r="C1769" t="str">
            <v>テストユニット35</v>
          </cell>
          <cell r="H1769" t="str">
            <v>green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10036</v>
          </cell>
          <cell r="B1770" t="str">
            <v>ja</v>
          </cell>
          <cell r="C1770" t="str">
            <v>テストユニット36</v>
          </cell>
          <cell r="H1770" t="str">
            <v>yellow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10037</v>
          </cell>
          <cell r="B1771" t="str">
            <v>ja</v>
          </cell>
          <cell r="C1771" t="str">
            <v>テストユニット37</v>
          </cell>
          <cell r="H1771" t="str">
            <v>red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10038</v>
          </cell>
          <cell r="B1772" t="str">
            <v>ja</v>
          </cell>
          <cell r="C1772" t="str">
            <v>テストユニット38</v>
          </cell>
          <cell r="H1772" t="str">
            <v>blue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10039</v>
          </cell>
          <cell r="B1773" t="str">
            <v>ja</v>
          </cell>
          <cell r="C1773" t="str">
            <v>テストユニット39</v>
          </cell>
          <cell r="H1773" t="str">
            <v>green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10040</v>
          </cell>
          <cell r="B1774" t="str">
            <v>ja</v>
          </cell>
          <cell r="C1774" t="str">
            <v>テストユニット40</v>
          </cell>
          <cell r="H1774" t="str">
            <v>yellow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10041</v>
          </cell>
          <cell r="B1775" t="str">
            <v>ja</v>
          </cell>
          <cell r="C1775" t="str">
            <v>テストユニット41</v>
          </cell>
          <cell r="H1775" t="str">
            <v>red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10042</v>
          </cell>
          <cell r="B1776" t="str">
            <v>ja</v>
          </cell>
          <cell r="C1776" t="str">
            <v>テストユニット42</v>
          </cell>
          <cell r="H1776" t="str">
            <v>blue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10043</v>
          </cell>
          <cell r="B1777" t="str">
            <v>ja</v>
          </cell>
          <cell r="C1777" t="str">
            <v>テストユニット43</v>
          </cell>
          <cell r="H1777" t="str">
            <v>green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10044</v>
          </cell>
          <cell r="B1778" t="str">
            <v>ja</v>
          </cell>
          <cell r="C1778" t="str">
            <v>テストユニット44</v>
          </cell>
          <cell r="H1778" t="str">
            <v>yellow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10045</v>
          </cell>
          <cell r="B1779" t="str">
            <v>ja</v>
          </cell>
          <cell r="C1779" t="str">
            <v>テストユニット45</v>
          </cell>
          <cell r="H1779" t="str">
            <v>red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10046</v>
          </cell>
          <cell r="B1780" t="str">
            <v>ja</v>
          </cell>
          <cell r="C1780" t="str">
            <v>テストユニット46</v>
          </cell>
          <cell r="H1780" t="str">
            <v>blue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10047</v>
          </cell>
          <cell r="B1781" t="str">
            <v>ja</v>
          </cell>
          <cell r="C1781" t="str">
            <v>テストユニット47</v>
          </cell>
          <cell r="H1781" t="str">
            <v>green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10048</v>
          </cell>
          <cell r="B1782" t="str">
            <v>ja</v>
          </cell>
          <cell r="C1782" t="str">
            <v>テストユニット48</v>
          </cell>
          <cell r="H1782" t="str">
            <v>yellow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10049</v>
          </cell>
          <cell r="B1783" t="str">
            <v>ja</v>
          </cell>
          <cell r="C1783" t="str">
            <v>テストユニット49</v>
          </cell>
          <cell r="H1783" t="str">
            <v>red</v>
          </cell>
          <cell r="I1783">
            <v>6</v>
          </cell>
          <cell r="J1783" t="str">
            <v>PremiumSS</v>
          </cell>
          <cell r="K1783" t="str">
            <v>balance</v>
          </cell>
          <cell r="L1783" t="str">
            <v>バランスタイプ</v>
          </cell>
          <cell r="M1783" t="str">
            <v>unknown</v>
          </cell>
        </row>
        <row r="1784">
          <cell r="A1784">
            <v>10050</v>
          </cell>
          <cell r="B1784" t="str">
            <v>ja</v>
          </cell>
          <cell r="C1784" t="str">
            <v>テストユニット50</v>
          </cell>
          <cell r="H1784" t="str">
            <v>blue</v>
          </cell>
          <cell r="I1784">
            <v>6</v>
          </cell>
          <cell r="J1784" t="str">
            <v>PremiumSS</v>
          </cell>
          <cell r="K1784" t="str">
            <v>balance</v>
          </cell>
          <cell r="L1784" t="str">
            <v>バランスタイプ</v>
          </cell>
          <cell r="M1784" t="str">
            <v>unknown</v>
          </cell>
        </row>
        <row r="1785">
          <cell r="A1785">
            <v>10051</v>
          </cell>
          <cell r="B1785" t="str">
            <v>ja</v>
          </cell>
          <cell r="C1785" t="str">
            <v>テストユニット51</v>
          </cell>
          <cell r="H1785" t="str">
            <v>green</v>
          </cell>
          <cell r="I1785">
            <v>6</v>
          </cell>
          <cell r="J1785" t="str">
            <v>PremiumSS</v>
          </cell>
          <cell r="K1785" t="str">
            <v>balance</v>
          </cell>
          <cell r="L1785" t="str">
            <v>バランスタイプ</v>
          </cell>
          <cell r="M1785" t="str">
            <v>unknown</v>
          </cell>
        </row>
        <row r="1786">
          <cell r="A1786">
            <v>10052</v>
          </cell>
          <cell r="B1786" t="str">
            <v>ja</v>
          </cell>
          <cell r="C1786" t="str">
            <v>テストユニット52</v>
          </cell>
          <cell r="H1786" t="str">
            <v>yellow</v>
          </cell>
          <cell r="I1786">
            <v>6</v>
          </cell>
          <cell r="J1786" t="str">
            <v>PremiumSS</v>
          </cell>
          <cell r="K1786" t="str">
            <v>balance</v>
          </cell>
          <cell r="L1786" t="str">
            <v>バランスタイプ</v>
          </cell>
          <cell r="M1786" t="str">
            <v>unknown</v>
          </cell>
        </row>
        <row r="1787">
          <cell r="A1787">
            <v>10053</v>
          </cell>
          <cell r="B1787" t="str">
            <v>ja</v>
          </cell>
          <cell r="C1787" t="str">
            <v>テストユニット53</v>
          </cell>
          <cell r="H1787" t="str">
            <v>red</v>
          </cell>
          <cell r="I1787">
            <v>6</v>
          </cell>
          <cell r="J1787" t="str">
            <v>PremiumSS</v>
          </cell>
          <cell r="K1787" t="str">
            <v>balance</v>
          </cell>
          <cell r="L1787" t="str">
            <v>バランスタイプ</v>
          </cell>
          <cell r="M1787" t="str">
            <v>unknown</v>
          </cell>
        </row>
        <row r="1788">
          <cell r="A1788">
            <v>10054</v>
          </cell>
          <cell r="B1788" t="str">
            <v>ja</v>
          </cell>
          <cell r="C1788" t="str">
            <v>テストユニット54</v>
          </cell>
          <cell r="H1788" t="str">
            <v>blue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10055</v>
          </cell>
          <cell r="B1789" t="str">
            <v>ja</v>
          </cell>
          <cell r="C1789" t="str">
            <v>テストユニット55</v>
          </cell>
          <cell r="H1789" t="str">
            <v>green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10056</v>
          </cell>
          <cell r="B1790" t="str">
            <v>ja</v>
          </cell>
          <cell r="C1790" t="str">
            <v>テストユニット56</v>
          </cell>
          <cell r="H1790" t="str">
            <v>yellow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10057</v>
          </cell>
          <cell r="B1791" t="str">
            <v>ja</v>
          </cell>
          <cell r="C1791" t="str">
            <v>テストユニット57</v>
          </cell>
          <cell r="H1791" t="str">
            <v>red</v>
          </cell>
          <cell r="I1791">
            <v>6</v>
          </cell>
          <cell r="J1791" t="str">
            <v>PremiumSS</v>
          </cell>
          <cell r="K1791" t="str">
            <v>balance</v>
          </cell>
          <cell r="L1791" t="str">
            <v>バランスタイプ</v>
          </cell>
          <cell r="M1791" t="str">
            <v>unknown</v>
          </cell>
        </row>
        <row r="1792">
          <cell r="A1792">
            <v>10058</v>
          </cell>
          <cell r="B1792" t="str">
            <v>ja</v>
          </cell>
          <cell r="C1792" t="str">
            <v>テストユニット58</v>
          </cell>
          <cell r="H1792" t="str">
            <v>blue</v>
          </cell>
          <cell r="I1792">
            <v>6</v>
          </cell>
          <cell r="J1792" t="str">
            <v>PremiumSS</v>
          </cell>
          <cell r="K1792" t="str">
            <v>balance</v>
          </cell>
          <cell r="L1792" t="str">
            <v>バランスタイプ</v>
          </cell>
          <cell r="M1792" t="str">
            <v>unknown</v>
          </cell>
        </row>
        <row r="1793">
          <cell r="A1793">
            <v>10059</v>
          </cell>
          <cell r="B1793" t="str">
            <v>ja</v>
          </cell>
          <cell r="C1793" t="str">
            <v>テストユニット59</v>
          </cell>
          <cell r="H1793" t="str">
            <v>green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10060</v>
          </cell>
          <cell r="B1794" t="str">
            <v>ja</v>
          </cell>
          <cell r="C1794" t="str">
            <v>テストユニット60</v>
          </cell>
          <cell r="H1794" t="str">
            <v>yellow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10061</v>
          </cell>
          <cell r="B1795" t="str">
            <v>ja</v>
          </cell>
          <cell r="C1795" t="str">
            <v>テストユニット61</v>
          </cell>
          <cell r="H1795" t="str">
            <v>red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10062</v>
          </cell>
          <cell r="B1796" t="str">
            <v>ja</v>
          </cell>
          <cell r="C1796" t="str">
            <v>テストユニット62</v>
          </cell>
          <cell r="H1796" t="str">
            <v>blue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10063</v>
          </cell>
          <cell r="B1797" t="str">
            <v>ja</v>
          </cell>
          <cell r="C1797" t="str">
            <v>テストユニット63</v>
          </cell>
          <cell r="H1797" t="str">
            <v>green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10064</v>
          </cell>
          <cell r="B1798" t="str">
            <v>ja</v>
          </cell>
          <cell r="C1798" t="str">
            <v>テストユニット64</v>
          </cell>
          <cell r="H1798" t="str">
            <v>yellow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10065</v>
          </cell>
          <cell r="B1799" t="str">
            <v>ja</v>
          </cell>
          <cell r="C1799" t="str">
            <v>テストユニット65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10066</v>
          </cell>
          <cell r="B1800" t="str">
            <v>ja</v>
          </cell>
          <cell r="C1800" t="str">
            <v>テストユニット66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10067</v>
          </cell>
          <cell r="B1801" t="str">
            <v>ja</v>
          </cell>
          <cell r="C1801" t="str">
            <v>テストユニット67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10068</v>
          </cell>
          <cell r="B1802" t="str">
            <v>ja</v>
          </cell>
          <cell r="C1802" t="str">
            <v>テストユニット68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10069</v>
          </cell>
          <cell r="B1803" t="str">
            <v>ja</v>
          </cell>
          <cell r="C1803" t="str">
            <v>テストユニット69</v>
          </cell>
          <cell r="H1803" t="str">
            <v>red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10070</v>
          </cell>
          <cell r="B1804" t="str">
            <v>ja</v>
          </cell>
          <cell r="C1804" t="str">
            <v>テストユニット70</v>
          </cell>
          <cell r="H1804" t="str">
            <v>blue</v>
          </cell>
          <cell r="I1804">
            <v>6</v>
          </cell>
          <cell r="J1804" t="str">
            <v>PremiumSSS</v>
          </cell>
          <cell r="K1804" t="str">
            <v>heal</v>
          </cell>
          <cell r="L1804" t="str">
            <v>回復タイプ</v>
          </cell>
          <cell r="M1804" t="str">
            <v>academia</v>
          </cell>
        </row>
        <row r="1805">
          <cell r="A1805">
            <v>10071</v>
          </cell>
          <cell r="B1805" t="str">
            <v>ja</v>
          </cell>
          <cell r="C1805" t="str">
            <v>テストユニット71</v>
          </cell>
          <cell r="H1805" t="str">
            <v>red</v>
          </cell>
          <cell r="I1805">
            <v>6</v>
          </cell>
          <cell r="J1805" t="str">
            <v>PremiumSSS</v>
          </cell>
          <cell r="K1805" t="str">
            <v>hp</v>
          </cell>
          <cell r="L1805" t="str">
            <v>体力タイプ</v>
          </cell>
          <cell r="M1805" t="str">
            <v>demon</v>
          </cell>
        </row>
        <row r="1806">
          <cell r="A1806">
            <v>10072</v>
          </cell>
          <cell r="B1806" t="str">
            <v>ja</v>
          </cell>
          <cell r="C1806" t="str">
            <v>テストユニット72</v>
          </cell>
          <cell r="H1806" t="str">
            <v>green</v>
          </cell>
          <cell r="I1806">
            <v>6</v>
          </cell>
          <cell r="J1806" t="str">
            <v>PremiumSSS</v>
          </cell>
          <cell r="K1806" t="str">
            <v>heal</v>
          </cell>
          <cell r="L1806" t="str">
            <v>回復タイプ</v>
          </cell>
          <cell r="M1806" t="str">
            <v>unknown</v>
          </cell>
        </row>
        <row r="1807">
          <cell r="A1807">
            <v>10073</v>
          </cell>
          <cell r="B1807" t="str">
            <v>ja</v>
          </cell>
          <cell r="C1807" t="str">
            <v>テストユニット73</v>
          </cell>
          <cell r="H1807" t="str">
            <v>green</v>
          </cell>
          <cell r="I1807">
            <v>6</v>
          </cell>
          <cell r="J1807" t="str">
            <v>PremiumSSS</v>
          </cell>
          <cell r="K1807" t="str">
            <v>attack</v>
          </cell>
          <cell r="L1807" t="str">
            <v>攻撃タイプ</v>
          </cell>
          <cell r="M1807" t="str">
            <v>samurai</v>
          </cell>
        </row>
        <row r="1808">
          <cell r="A1808">
            <v>10074</v>
          </cell>
          <cell r="B1808" t="str">
            <v>ja</v>
          </cell>
          <cell r="C1808" t="str">
            <v>テストユニット74</v>
          </cell>
          <cell r="H1808" t="str">
            <v>blue</v>
          </cell>
          <cell r="I1808">
            <v>6</v>
          </cell>
          <cell r="J1808" t="str">
            <v>PremiumSSS</v>
          </cell>
          <cell r="K1808" t="str">
            <v>balance</v>
          </cell>
          <cell r="L1808" t="str">
            <v>バランスタイプ</v>
          </cell>
          <cell r="M1808" t="str">
            <v>fantasy</v>
          </cell>
        </row>
        <row r="1809">
          <cell r="A1809">
            <v>10075</v>
          </cell>
          <cell r="B1809" t="str">
            <v>ja</v>
          </cell>
          <cell r="C1809" t="str">
            <v>テストユニット75</v>
          </cell>
          <cell r="H1809" t="str">
            <v>yellow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</row>
        <row r="1810">
          <cell r="A1810">
            <v>10076</v>
          </cell>
          <cell r="B1810" t="str">
            <v>ja</v>
          </cell>
          <cell r="C1810" t="str">
            <v>テストユニット76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</row>
        <row r="1811">
          <cell r="A1811">
            <v>10077</v>
          </cell>
          <cell r="B1811" t="str">
            <v>ja</v>
          </cell>
          <cell r="C1811" t="str">
            <v>テストユニット77</v>
          </cell>
          <cell r="H1811" t="str">
            <v>yellow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</row>
        <row r="1812">
          <cell r="A1812">
            <v>10078</v>
          </cell>
          <cell r="B1812" t="str">
            <v>ja</v>
          </cell>
          <cell r="C1812" t="str">
            <v>テストユニット78</v>
          </cell>
          <cell r="H1812" t="str">
            <v>red</v>
          </cell>
          <cell r="I1812">
            <v>6</v>
          </cell>
          <cell r="J1812" t="str">
            <v>PremiumSSS</v>
          </cell>
          <cell r="K1812" t="str">
            <v>attack</v>
          </cell>
          <cell r="L1812" t="str">
            <v>攻撃タイプ</v>
          </cell>
          <cell r="M1812" t="str">
            <v>human</v>
          </cell>
        </row>
        <row r="1813">
          <cell r="A1813">
            <v>10079</v>
          </cell>
          <cell r="B1813" t="str">
            <v>ja</v>
          </cell>
          <cell r="C1813" t="str">
            <v>テストユニット79</v>
          </cell>
          <cell r="H1813" t="str">
            <v>red</v>
          </cell>
          <cell r="I1813">
            <v>6</v>
          </cell>
          <cell r="J1813" t="str">
            <v>DropWizSS</v>
          </cell>
          <cell r="K1813" t="str">
            <v>hp</v>
          </cell>
          <cell r="L1813" t="str">
            <v>体力タイプ</v>
          </cell>
          <cell r="M1813" t="str">
            <v>hero</v>
          </cell>
        </row>
        <row r="1814">
          <cell r="A1814">
            <v>10080</v>
          </cell>
          <cell r="B1814" t="str">
            <v>ja</v>
          </cell>
          <cell r="C1814" t="str">
            <v>テストユニット80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</row>
        <row r="1815">
          <cell r="A1815">
            <v>10081</v>
          </cell>
          <cell r="B1815" t="str">
            <v>ja</v>
          </cell>
          <cell r="C1815" t="str">
            <v>テストユニット81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</row>
        <row r="1816">
          <cell r="A1816">
            <v>10082</v>
          </cell>
          <cell r="B1816" t="str">
            <v>ja</v>
          </cell>
          <cell r="C1816" t="str">
            <v>テストユニット82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</row>
        <row r="1817">
          <cell r="A1817">
            <v>10083</v>
          </cell>
          <cell r="B1817" t="str">
            <v>ja</v>
          </cell>
          <cell r="C1817" t="str">
            <v>テストユニット83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</row>
        <row r="1818">
          <cell r="A1818">
            <v>10084</v>
          </cell>
          <cell r="B1818" t="str">
            <v>ja</v>
          </cell>
          <cell r="C1818" t="str">
            <v>テストユニット84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</row>
        <row r="1819">
          <cell r="A1819">
            <v>10085</v>
          </cell>
          <cell r="B1819" t="str">
            <v>ja</v>
          </cell>
          <cell r="C1819" t="str">
            <v>テストユニット85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</row>
        <row r="1820">
          <cell r="A1820">
            <v>10086</v>
          </cell>
          <cell r="B1820" t="str">
            <v>ja</v>
          </cell>
          <cell r="C1820" t="str">
            <v>テストユニット86</v>
          </cell>
          <cell r="H1820" t="str">
            <v>blue</v>
          </cell>
          <cell r="I1820">
            <v>6</v>
          </cell>
          <cell r="J1820" t="str">
            <v>PremiumSS</v>
          </cell>
          <cell r="K1820" t="str">
            <v>balance</v>
          </cell>
          <cell r="L1820" t="str">
            <v>バランスタイプ</v>
          </cell>
          <cell r="M1820" t="str">
            <v>unknown</v>
          </cell>
        </row>
        <row r="1821">
          <cell r="A1821">
            <v>10087</v>
          </cell>
          <cell r="B1821" t="str">
            <v>ja</v>
          </cell>
          <cell r="C1821" t="str">
            <v>テストユニット87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</row>
        <row r="1822">
          <cell r="A1822">
            <v>10088</v>
          </cell>
          <cell r="B1822" t="str">
            <v>ja</v>
          </cell>
          <cell r="C1822" t="str">
            <v>テストユニット88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</row>
        <row r="1823">
          <cell r="A1823">
            <v>10089</v>
          </cell>
          <cell r="B1823" t="str">
            <v>ja</v>
          </cell>
          <cell r="C1823" t="str">
            <v>テストユニット89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</row>
        <row r="1824">
          <cell r="A1824">
            <v>10090</v>
          </cell>
          <cell r="B1824" t="str">
            <v>ja</v>
          </cell>
          <cell r="C1824" t="str">
            <v>テストユニット90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</row>
        <row r="1825">
          <cell r="A1825">
            <v>10101</v>
          </cell>
          <cell r="B1825" t="str">
            <v>ja</v>
          </cell>
          <cell r="C1825" t="str">
            <v>Usagi-kun</v>
          </cell>
          <cell r="H1825" t="str">
            <v>blue</v>
          </cell>
          <cell r="I1825">
            <v>6</v>
          </cell>
          <cell r="J1825" t="str">
            <v>DropWizS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</row>
        <row r="1826">
          <cell r="A1826">
            <v>10102</v>
          </cell>
          <cell r="B1826" t="str">
            <v>ja</v>
          </cell>
          <cell r="C1826" t="str">
            <v>ローズ</v>
          </cell>
          <cell r="D1826" t="str">
            <v>未定</v>
          </cell>
          <cell r="E1826" t="str">
            <v>執行者</v>
          </cell>
          <cell r="F1826" t="str">
            <v>格好いい</v>
          </cell>
          <cell r="G1826" t="str">
            <v>不明</v>
          </cell>
          <cell r="H1826" t="str">
            <v>red</v>
          </cell>
          <cell r="I1826">
            <v>3</v>
          </cell>
          <cell r="J1826" t="str">
            <v>DropWizSSS</v>
          </cell>
          <cell r="K1826" t="str">
            <v>attack</v>
          </cell>
          <cell r="L1826" t="str">
            <v>攻撃タイプ</v>
          </cell>
          <cell r="M1826" t="str">
            <v>queen</v>
          </cell>
        </row>
        <row r="1827">
          <cell r="A1827">
            <v>10103</v>
          </cell>
          <cell r="B1827" t="str">
            <v>ja</v>
          </cell>
          <cell r="C1827" t="str">
            <v>ローズ</v>
          </cell>
          <cell r="D1827" t="str">
            <v>未定</v>
          </cell>
          <cell r="E1827" t="str">
            <v>執行者</v>
          </cell>
          <cell r="F1827" t="str">
            <v>格好いい</v>
          </cell>
          <cell r="G1827" t="str">
            <v>不明</v>
          </cell>
          <cell r="H1827" t="str">
            <v>red</v>
          </cell>
          <cell r="I1827">
            <v>4</v>
          </cell>
          <cell r="J1827" t="str">
            <v>DropWizSSS</v>
          </cell>
          <cell r="K1827" t="str">
            <v>attack</v>
          </cell>
          <cell r="L1827" t="str">
            <v>攻撃タイプ</v>
          </cell>
          <cell r="M1827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61" t="s">
        <v>110</v>
      </c>
      <c r="C2" s="50" t="str">
        <f t="shared" ref="C2" si="0">RIGHT(F2,6)</f>
        <v>595101</v>
      </c>
      <c r="D2" s="19" t="s">
        <v>45</v>
      </c>
      <c r="E2" s="17" t="str">
        <f t="shared" ref="E2" si="1">B2&amp;C2&amp;D2</f>
        <v>gacha_select_tables_595101.tmp</v>
      </c>
      <c r="F2" s="101" t="s">
        <v>265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246</v>
      </c>
      <c r="B3" s="61" t="s">
        <v>110</v>
      </c>
      <c r="C3" s="50" t="str">
        <f t="shared" ref="C3:C7" si="2">RIGHT(F3,6)</f>
        <v>595104</v>
      </c>
      <c r="D3" s="19" t="s">
        <v>45</v>
      </c>
      <c r="E3" s="17" t="str">
        <f t="shared" ref="E3:E10" si="3">B3&amp;C3&amp;D3</f>
        <v>gacha_select_tables_595104.tmp</v>
      </c>
      <c r="F3" s="101" t="s">
        <v>266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251</v>
      </c>
      <c r="B4" s="93" t="s">
        <v>247</v>
      </c>
      <c r="C4" s="94" t="str">
        <f t="shared" si="2"/>
        <v>595105</v>
      </c>
      <c r="D4" s="19" t="s">
        <v>248</v>
      </c>
      <c r="E4" s="17" t="str">
        <f t="shared" si="3"/>
        <v>gacha_settle_tables_595105.tmp</v>
      </c>
      <c r="F4" s="101" t="s">
        <v>267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27" t="s">
        <v>50</v>
      </c>
      <c r="C8" s="32">
        <v>561</v>
      </c>
      <c r="D8" s="19" t="s">
        <v>46</v>
      </c>
      <c r="E8" s="17" t="str">
        <f t="shared" si="3"/>
        <v>gacha_bonus_tables_561.tmp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241</v>
      </c>
      <c r="B9" s="19" t="s">
        <v>48</v>
      </c>
      <c r="C9" s="32">
        <v>561</v>
      </c>
      <c r="D9" s="19" t="s">
        <v>46</v>
      </c>
      <c r="E9" s="17" t="str">
        <f t="shared" si="3"/>
        <v>gifts_tmp_561.tmp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241</v>
      </c>
      <c r="B10" s="19" t="s">
        <v>49</v>
      </c>
      <c r="C10" s="32">
        <v>561</v>
      </c>
      <c r="D10" s="19" t="s">
        <v>46</v>
      </c>
      <c r="E10" s="17" t="str">
        <f t="shared" si="3"/>
        <v>gifts_i18n_561.tmp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21" sqref="B2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595101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VLOOKUP(L3,tables_595101!B:C,2,FALSE)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VLOOKUP(L4,tables_595101!B:C,2,FALSE)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0.3</v>
      </c>
      <c r="D5" t="s">
        <v>201</v>
      </c>
      <c r="E5" s="43">
        <f>(B11-H5)/(F5-I5)</f>
        <v>6.6666666666666675E-4</v>
      </c>
      <c r="F5">
        <f>(COUNTIF(tables_595101!C:C,input_595101!A28)+COUNTIF(tables_595101!C:C,input_595101!A29))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VLOOKUP(L5,tables_595101!B:C,2,FALSE)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0.49999999999999994</v>
      </c>
      <c r="D6" t="s">
        <v>202</v>
      </c>
      <c r="E6" s="76">
        <f>(B10-H6)/(F6-I6)</f>
        <v>9.7938144329896906E-3</v>
      </c>
      <c r="F6">
        <f>(COUNTIF(tables_595101!C:C,input_595101!A25)+COUNTIF(tables_595101!C:C,input_595101!A18)+COUNTIF(tables_595101!C:C,input_595101!A20)+COUNTIF(tables_595101!C:C,input_595101!A22))</f>
        <v>97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VLOOKUP(L6,tables_595101!B:C,2,FALSE)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VLOOKUP(L7,tables_595101!B:C,2,FALSE)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VLOOKUP(L8,tables_595101!B:C,2,FALSE)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VLOOKUP(L9,tables_595101!B:C,2,FALSE)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VLOOKUP(L10,tables_595101!B:C,2,FALSE)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253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VLOOKUP(L11,tables_595101!B:C,2,FALSE)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VLOOKUP(L12,tables_595101!B:C,2,FALSE)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VLOOKUP(L13,tables_595101!B:C,2,FALSE)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VLOOKUP(L14,tables_595101!B:C,2,FALSE)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VLOOKUP(L15,tables_595101!B:C,2,FALSE)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VLOOKUP(L16,tables_595101!B:C,2,FALSE)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0.13546391752577322</v>
      </c>
      <c r="C17" s="84">
        <f t="shared" ref="C17:C31" si="2">SUMIF(Q:Q,A17,N:N)</f>
        <v>0</v>
      </c>
      <c r="D17" s="74">
        <f t="shared" ref="D17:D32" si="3">B17-C17</f>
        <v>0.13546391752577322</v>
      </c>
      <c r="E17">
        <f>COUNTIF(tables_595101!C:C,input_595101!A17)-COUNTIF(Q:Q,A17)</f>
        <v>20</v>
      </c>
      <c r="F17" s="43">
        <f>IFERROR(B17/E17,0)</f>
        <v>6.7731958762886606E-3</v>
      </c>
      <c r="G17">
        <f t="shared" ref="G17:G31" si="4">A$36*B17</f>
        <v>19710000.000000004</v>
      </c>
      <c r="H17">
        <f t="shared" ref="H17:H31" si="5">IFERROR(ROUND(G17/E17,5),0)</f>
        <v>985500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VLOOKUP(L17,tables_595101!B:C,2,FALSE)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5.8056357388316167E-2</v>
      </c>
      <c r="C18" s="84">
        <f t="shared" si="2"/>
        <v>0</v>
      </c>
      <c r="D18" s="74">
        <f t="shared" si="3"/>
        <v>5.8056357388316167E-2</v>
      </c>
      <c r="E18">
        <f>COUNTIF(tables_595101!C:C,input_595101!A18)-COUNTIF(Q:Q,A18)</f>
        <v>20</v>
      </c>
      <c r="F18" s="43">
        <f>IFERROR(B18/E18,0)</f>
        <v>2.9028178694158083E-3</v>
      </c>
      <c r="G18">
        <f t="shared" si="4"/>
        <v>8447200.0000000019</v>
      </c>
      <c r="H18">
        <f t="shared" si="5"/>
        <v>422360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VLOOKUP(L18,tables_595101!B:C,2,FALSE)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0.15278350515463915</v>
      </c>
      <c r="C19" s="84">
        <f t="shared" si="2"/>
        <v>0</v>
      </c>
      <c r="D19" s="74">
        <f t="shared" si="3"/>
        <v>0.15278350515463915</v>
      </c>
      <c r="E19">
        <f>COUNTIF(tables_595101!C:C,input_595101!A19)-COUNTIF(Q:Q,A19)</f>
        <v>52</v>
      </c>
      <c r="F19" s="43">
        <f t="shared" ref="F19:F31" si="8">IFERROR(B19/E19,0)</f>
        <v>2.9381443298969068E-3</v>
      </c>
      <c r="G19">
        <f t="shared" si="4"/>
        <v>22229999.999999996</v>
      </c>
      <c r="H19">
        <f t="shared" si="5"/>
        <v>427500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VLOOKUP(L19,tables_595101!B:C,2,FALSE)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0.25463917525773189</v>
      </c>
      <c r="C20" s="84">
        <f t="shared" si="2"/>
        <v>0</v>
      </c>
      <c r="D20" s="74">
        <f t="shared" si="3"/>
        <v>0.25463917525773189</v>
      </c>
      <c r="E20">
        <f>COUNTIF(tables_595101!C:C,input_595101!A20)-COUNTIF(Q:Q,A20)</f>
        <v>52</v>
      </c>
      <c r="F20" s="43">
        <f t="shared" si="8"/>
        <v>4.8969072164948436E-3</v>
      </c>
      <c r="G20">
        <f t="shared" si="4"/>
        <v>37049999.999999993</v>
      </c>
      <c r="H20">
        <f t="shared" si="5"/>
        <v>712500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VLOOKUP(L20,tables_595101!B:C,2,FALSE)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0.10421168384879727</v>
      </c>
      <c r="C21" s="84">
        <f t="shared" si="2"/>
        <v>0</v>
      </c>
      <c r="D21" s="74">
        <f t="shared" si="3"/>
        <v>0.10421168384879727</v>
      </c>
      <c r="E21">
        <f>COUNTIF(tables_595101!C:C,input_595101!A21)-COUNTIF(Q:Q,A21)</f>
        <v>52</v>
      </c>
      <c r="F21" s="43">
        <f t="shared" si="8"/>
        <v>2.0040708432461011E-3</v>
      </c>
      <c r="G21">
        <f t="shared" si="4"/>
        <v>15162800.000000002</v>
      </c>
      <c r="H21">
        <f t="shared" si="5"/>
        <v>291592.30768999999</v>
      </c>
      <c r="I21">
        <f t="shared" si="6"/>
        <v>0.3076899999869056</v>
      </c>
      <c r="J21">
        <f t="shared" si="7"/>
        <v>3.2500243753211255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0.15278350515463918</v>
      </c>
      <c r="C22" s="84">
        <f t="shared" si="2"/>
        <v>0</v>
      </c>
      <c r="D22" s="74">
        <f t="shared" si="3"/>
        <v>0.15278350515463918</v>
      </c>
      <c r="E22">
        <f>COUNTIF(tables_595101!C:C,input_595101!A22)-COUNTIF(Q:Q,A22)</f>
        <v>21</v>
      </c>
      <c r="F22" s="43">
        <f t="shared" si="8"/>
        <v>7.2754050073637706E-3</v>
      </c>
      <c r="G22">
        <f t="shared" si="4"/>
        <v>22230000</v>
      </c>
      <c r="H22">
        <f t="shared" si="5"/>
        <v>1058571.42857</v>
      </c>
      <c r="I22">
        <f t="shared" si="6"/>
        <v>0.42856999998912215</v>
      </c>
      <c r="J22">
        <f t="shared" si="7"/>
        <v>2.3333411111962614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5.2886597938144334E-2</v>
      </c>
      <c r="C23" s="84">
        <f t="shared" si="2"/>
        <v>0</v>
      </c>
      <c r="D23" s="74">
        <f t="shared" si="3"/>
        <v>5.2886597938144334E-2</v>
      </c>
      <c r="E23">
        <f>COUNTIF(tables_595101!C:C,input_595101!A23)-COUNTIF(Q:Q,A23)</f>
        <v>27</v>
      </c>
      <c r="F23" s="43">
        <f t="shared" si="8"/>
        <v>1.9587628865979385E-3</v>
      </c>
      <c r="G23">
        <f t="shared" si="4"/>
        <v>7695000.0000000009</v>
      </c>
      <c r="H23">
        <f t="shared" si="5"/>
        <v>285000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1.1752577319587629E-2</v>
      </c>
      <c r="C24" s="84">
        <f t="shared" si="2"/>
        <v>0</v>
      </c>
      <c r="D24" s="74">
        <f t="shared" si="3"/>
        <v>1.1752577319587629E-2</v>
      </c>
      <c r="E24">
        <f>COUNTIF(tables_595101!C:C,input_595101!A24)-COUNTIF(Q:Q,A24)</f>
        <v>4</v>
      </c>
      <c r="F24" s="43">
        <f t="shared" si="8"/>
        <v>2.9381443298969073E-3</v>
      </c>
      <c r="G24">
        <f t="shared" si="4"/>
        <v>1710000</v>
      </c>
      <c r="H24">
        <f t="shared" si="5"/>
        <v>427500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1.9587628865979378E-2</v>
      </c>
      <c r="C25" s="84">
        <f t="shared" si="2"/>
        <v>0</v>
      </c>
      <c r="D25" s="74">
        <f t="shared" si="3"/>
        <v>1.9587628865979378E-2</v>
      </c>
      <c r="E25">
        <f>COUNTIF(tables_595101!C:C,input_595101!A25)-COUNTIF(Q:Q,A25)</f>
        <v>4</v>
      </c>
      <c r="F25" s="43">
        <f t="shared" si="8"/>
        <v>4.8969072164948444E-3</v>
      </c>
      <c r="G25">
        <f t="shared" si="4"/>
        <v>2849999.9999999995</v>
      </c>
      <c r="H25">
        <f t="shared" si="5"/>
        <v>712500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7.8350515463917522E-3</v>
      </c>
      <c r="C26" s="84">
        <f t="shared" si="2"/>
        <v>0</v>
      </c>
      <c r="D26" s="74">
        <f t="shared" si="3"/>
        <v>7.8350515463917522E-3</v>
      </c>
      <c r="E26">
        <f>COUNTIF(tables_595101!C:C,input_595101!A26)-COUNTIF(Q:Q,A26)</f>
        <v>4</v>
      </c>
      <c r="F26" s="43">
        <f t="shared" si="8"/>
        <v>1.958762886597938E-3</v>
      </c>
      <c r="G26">
        <f t="shared" si="4"/>
        <v>1140000</v>
      </c>
      <c r="H26">
        <f t="shared" si="5"/>
        <v>285000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1.4933333333333333E-2</v>
      </c>
      <c r="C27" s="84">
        <f t="shared" si="2"/>
        <v>0</v>
      </c>
      <c r="D27" s="74">
        <f t="shared" si="3"/>
        <v>1.4933333333333333E-2</v>
      </c>
      <c r="E27">
        <f>COUNTIF(tables_595101!C:C,input_595101!A27)-COUNTIF(Q:Q,A27)</f>
        <v>28</v>
      </c>
      <c r="F27" s="43">
        <f>IFERROR(B27/E27,0)</f>
        <v>5.3333333333333336E-4</v>
      </c>
      <c r="G27">
        <f t="shared" si="4"/>
        <v>2172800</v>
      </c>
      <c r="H27">
        <f t="shared" si="5"/>
        <v>77600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3.7333333333333337E-3</v>
      </c>
      <c r="C28" s="84">
        <f t="shared" si="2"/>
        <v>0</v>
      </c>
      <c r="D28" s="74">
        <f t="shared" si="3"/>
        <v>3.7333333333333337E-3</v>
      </c>
      <c r="E28">
        <f>COUNTIF(tables_595101!C:C,input_595101!A28)-COUNTIF(Q:Q,A28)</f>
        <v>28</v>
      </c>
      <c r="F28" s="43">
        <f t="shared" si="8"/>
        <v>1.3333333333333334E-4</v>
      </c>
      <c r="G28">
        <f t="shared" si="4"/>
        <v>543200</v>
      </c>
      <c r="H28">
        <f t="shared" si="5"/>
        <v>19400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3.1333333333333338E-2</v>
      </c>
      <c r="C29" s="84">
        <f t="shared" si="2"/>
        <v>0</v>
      </c>
      <c r="D29" s="74">
        <f t="shared" si="3"/>
        <v>3.1333333333333338E-2</v>
      </c>
      <c r="E29">
        <f>COUNTIF(tables_595101!C:C,input_595101!A29)-COUNTIF(Q:Q,A29)</f>
        <v>47</v>
      </c>
      <c r="F29" s="43">
        <f t="shared" si="8"/>
        <v>6.6666666666666675E-4</v>
      </c>
      <c r="G29">
        <f t="shared" si="4"/>
        <v>4559000.0000000009</v>
      </c>
      <c r="H29">
        <f t="shared" si="5"/>
        <v>97000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COUNTIF(tables_595101!C:C,input_595101!A30)-COUNTIF(Q:Q,A30)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</v>
      </c>
      <c r="C31" s="84">
        <f t="shared" si="2"/>
        <v>0</v>
      </c>
      <c r="D31" s="74">
        <f t="shared" si="3"/>
        <v>0</v>
      </c>
      <c r="E31">
        <f>COUNTIF(tables_595101!C:C,input_595101!A31)-COUNTIF(Q:Q,A31)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SUMIF(tables_595101!C:C,input_595101!A40,tables_595101!O:O)</f>
        <v>22230000</v>
      </c>
      <c r="C40" s="54">
        <f t="shared" ref="C40:C46" ca="1" si="9">B40/B$47</f>
        <v>0.28810712452804571</v>
      </c>
      <c r="E40">
        <v>3</v>
      </c>
      <c r="F40">
        <f ca="1">SUMIF(tables_595101!J:J,input_595101!E40,tables_595101!O:O)</f>
        <v>43650000</v>
      </c>
      <c r="G40">
        <f ca="1">F40/A36</f>
        <v>0.3</v>
      </c>
    </row>
    <row r="41" spans="1:7" x14ac:dyDescent="0.15">
      <c r="A41" s="33" t="s">
        <v>104</v>
      </c>
      <c r="B41">
        <f ca="1">SUMIF(tables_595101!C:C,input_595101!A41,tables_595101!O:O)</f>
        <v>37050000</v>
      </c>
      <c r="C41" s="54">
        <f t="shared" ca="1" si="9"/>
        <v>0.48017854088007617</v>
      </c>
      <c r="E41">
        <v>4</v>
      </c>
      <c r="F41">
        <f ca="1">SUMIF(tables_595101!J:J,input_595101!E41,tables_595101!O:O)</f>
        <v>72749999.999970049</v>
      </c>
      <c r="G41">
        <f ca="1">F41/A36</f>
        <v>0.49999999999979416</v>
      </c>
    </row>
    <row r="42" spans="1:7" x14ac:dyDescent="0.15">
      <c r="A42" s="33" t="s">
        <v>106</v>
      </c>
      <c r="B42">
        <f ca="1">SUMIF(tables_595101!C:C,input_595101!A42,tables_595101!O:O)</f>
        <v>2172800</v>
      </c>
      <c r="C42" s="54">
        <f t="shared" ca="1" si="9"/>
        <v>2.8160106170694452E-2</v>
      </c>
      <c r="E42">
        <v>5</v>
      </c>
      <c r="F42">
        <f ca="1">SUMIF(tables_595101!J:J,input_595101!E42,tables_595101!O:O)</f>
        <v>29099999.999879997</v>
      </c>
      <c r="G42">
        <f ca="1">F42/A36</f>
        <v>0.19999999999917523</v>
      </c>
    </row>
    <row r="43" spans="1:7" x14ac:dyDescent="0.15">
      <c r="A43" s="33" t="s">
        <v>109</v>
      </c>
      <c r="B43">
        <f>SUMIF(tables_595101!C:C,input_595101!A43,tables_595101!O:O)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SUMIF(tables_595101!C:C,input_595101!A44,tables_595101!O:O)</f>
        <v>15162799.999880007</v>
      </c>
      <c r="C44" s="54">
        <f t="shared" ca="1" si="9"/>
        <v>0.19651420187851013</v>
      </c>
      <c r="E44" t="s">
        <v>54</v>
      </c>
      <c r="F44" s="55"/>
    </row>
    <row r="45" spans="1:7" x14ac:dyDescent="0.15">
      <c r="A45" s="33" t="s">
        <v>107</v>
      </c>
      <c r="B45">
        <f ca="1">SUMIF(tables_595101!C:C,input_595101!A45,tables_595101!O:O)</f>
        <v>543200</v>
      </c>
      <c r="C45" s="54">
        <f t="shared" ca="1" si="9"/>
        <v>7.0400265426736131E-3</v>
      </c>
      <c r="E45" t="s">
        <v>204</v>
      </c>
      <c r="F45" s="55">
        <f ca="1">SUMIF(tables_595101!I:I,input_595101!E45,tables_595101!P:P)</f>
        <v>0.20527285223388869</v>
      </c>
    </row>
    <row r="46" spans="1:7" x14ac:dyDescent="0.15">
      <c r="A46" s="33" t="s">
        <v>108</v>
      </c>
      <c r="B46">
        <f>SUMIF(tables_595101!C:C,input_595101!A46,tables_595101!O:O)</f>
        <v>0</v>
      </c>
      <c r="C46" s="54">
        <f t="shared" ca="1" si="9"/>
        <v>0</v>
      </c>
      <c r="E46" t="s">
        <v>205</v>
      </c>
      <c r="F46" s="55">
        <f ca="1">SUMIF(tables_595101!I:I,input_595101!E46,tables_595101!P:P)</f>
        <v>0.19664652392274595</v>
      </c>
    </row>
    <row r="47" spans="1:7" x14ac:dyDescent="0.15">
      <c r="A47" s="39" t="s">
        <v>59</v>
      </c>
      <c r="B47">
        <f ca="1">SUM(B40:B46)</f>
        <v>77158799.999880001</v>
      </c>
      <c r="C47" s="55">
        <f ca="1">SUM(C40:C46)</f>
        <v>1</v>
      </c>
      <c r="E47" t="s">
        <v>206</v>
      </c>
      <c r="F47" s="55">
        <f ca="1">SUMIF(tables_595101!I:I,input_595101!E47,tables_595101!P:P)</f>
        <v>0.54808062384331391</v>
      </c>
    </row>
    <row r="48" spans="1:7" x14ac:dyDescent="0.15">
      <c r="E48" t="s">
        <v>207</v>
      </c>
      <c r="F48" s="55">
        <f ca="1">SUMIF(tables_595101!I:I,input_595101!E48,tables_595101!P:P)</f>
        <v>4.3333333333378042E-2</v>
      </c>
      <c r="G48" s="55"/>
    </row>
    <row r="49" spans="5:6" x14ac:dyDescent="0.15">
      <c r="E49" t="s">
        <v>249</v>
      </c>
      <c r="F49" s="55">
        <f ca="1">SUMIF(tables_595101!I:I,input_595101!E49,tables_595101!P:P)</f>
        <v>6.6666666666735409E-3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15" activePane="bottomLeft" state="frozen"/>
      <selection activeCell="H276" sqref="H276"/>
      <selection pane="bottomLeft" activeCell="B356" sqref="B356:B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input_595101!A$2</f>
        <v>595101</v>
      </c>
      <c r="B2" s="102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IFERROR(VLOOKUP(B2,input_595101!L:R,7,FALSE),VLOOKUP(tables_595101!C2,input_595101!A:H,8,FALSE))</f>
        <v>985500</v>
      </c>
      <c r="P2" s="46">
        <f t="shared" ref="P2:P65" ca="1" si="1">O2/SUM(O:O)</f>
        <v>6.7731958762956446E-3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input_595101!A$2</f>
        <v>595101</v>
      </c>
      <c r="B3" s="102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IFERROR(VLOOKUP(B3,input_595101!L:R,7,FALSE),VLOOKUP(tables_595101!C3,input_595101!A:H,8,FALSE))</f>
        <v>422360</v>
      </c>
      <c r="P3" s="46">
        <f t="shared" ca="1" si="1"/>
        <v>2.9028178694188011E-3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input_595101!A$2</f>
        <v>595101</v>
      </c>
      <c r="B4" s="102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IFERROR(VLOOKUP(B4,input_595101!L:R,7,FALSE),VLOOKUP(tables_595101!C4,input_595101!A:H,8,FALSE))</f>
        <v>985500</v>
      </c>
      <c r="P4" s="46">
        <f t="shared" ca="1" si="1"/>
        <v>6.7731958762956446E-3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input_595101!A$2</f>
        <v>595101</v>
      </c>
      <c r="B5" s="102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IFERROR(VLOOKUP(B5,input_595101!L:R,7,FALSE),VLOOKUP(tables_595101!C5,input_595101!A:H,8,FALSE))</f>
        <v>422360</v>
      </c>
      <c r="P5" s="46">
        <f t="shared" ca="1" si="1"/>
        <v>2.9028178694188011E-3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input_595101!A$2</f>
        <v>595101</v>
      </c>
      <c r="B6" s="102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IFERROR(VLOOKUP(B6,input_595101!L:R,7,FALSE),VLOOKUP(tables_595101!C6,input_595101!A:H,8,FALSE))</f>
        <v>985500</v>
      </c>
      <c r="P6" s="46">
        <f t="shared" ca="1" si="1"/>
        <v>6.7731958762956446E-3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input_595101!A$2</f>
        <v>595101</v>
      </c>
      <c r="B7" s="102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IFERROR(VLOOKUP(B7,input_595101!L:R,7,FALSE),VLOOKUP(tables_595101!C7,input_595101!A:H,8,FALSE))</f>
        <v>422360</v>
      </c>
      <c r="P7" s="46">
        <f t="shared" ca="1" si="1"/>
        <v>2.9028178694188011E-3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input_595101!A$2</f>
        <v>595101</v>
      </c>
      <c r="B8" s="102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IFERROR(VLOOKUP(B8,input_595101!L:R,7,FALSE),VLOOKUP(tables_595101!C8,input_595101!A:H,8,FALSE))</f>
        <v>985500</v>
      </c>
      <c r="P8" s="46">
        <f t="shared" ca="1" si="1"/>
        <v>6.7731958762956446E-3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input_595101!A$2</f>
        <v>595101</v>
      </c>
      <c r="B9" s="102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IFERROR(VLOOKUP(B9,input_595101!L:R,7,FALSE),VLOOKUP(tables_595101!C9,input_595101!A:H,8,FALSE))</f>
        <v>422360</v>
      </c>
      <c r="P9" s="46">
        <f t="shared" ca="1" si="1"/>
        <v>2.9028178694188011E-3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input_595101!A$2</f>
        <v>595101</v>
      </c>
      <c r="B10" s="102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IFERROR(VLOOKUP(B10,input_595101!L:R,7,FALSE),VLOOKUP(tables_595101!C10,input_595101!A:H,8,FALSE))</f>
        <v>985500</v>
      </c>
      <c r="P10" s="46">
        <f t="shared" ca="1" si="1"/>
        <v>6.7731958762956446E-3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input_595101!A$2</f>
        <v>595101</v>
      </c>
      <c r="B11" s="102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IFERROR(VLOOKUP(B11,input_595101!L:R,7,FALSE),VLOOKUP(tables_595101!C11,input_595101!A:H,8,FALSE))</f>
        <v>422360</v>
      </c>
      <c r="P11" s="46">
        <f t="shared" ca="1" si="1"/>
        <v>2.9028178694188011E-3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input_595101!A$2</f>
        <v>595101</v>
      </c>
      <c r="B12" s="103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IFERROR(VLOOKUP(B12,input_595101!L:R,7,FALSE),VLOOKUP(tables_595101!C12,input_595101!A:H,8,FALSE))</f>
        <v>985500</v>
      </c>
      <c r="P12" s="46">
        <f t="shared" ca="1" si="1"/>
        <v>6.7731958762956446E-3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input_595101!A$2</f>
        <v>595101</v>
      </c>
      <c r="B13" s="103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IFERROR(VLOOKUP(B13,input_595101!L:R,7,FALSE),VLOOKUP(tables_595101!C13,input_595101!A:H,8,FALSE))</f>
        <v>422360</v>
      </c>
      <c r="P13" s="46">
        <f t="shared" ca="1" si="1"/>
        <v>2.9028178694188011E-3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input_595101!A$2</f>
        <v>595101</v>
      </c>
      <c r="B14" s="102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IFERROR(VLOOKUP(B14,input_595101!L:R,7,FALSE),VLOOKUP(tables_595101!C14,input_595101!A:H,8,FALSE))</f>
        <v>985500</v>
      </c>
      <c r="P14" s="46">
        <f t="shared" ca="1" si="1"/>
        <v>6.7731958762956446E-3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input_595101!A$2</f>
        <v>595101</v>
      </c>
      <c r="B15" s="102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IFERROR(VLOOKUP(B15,input_595101!L:R,7,FALSE),VLOOKUP(tables_595101!C15,input_595101!A:H,8,FALSE))</f>
        <v>422360</v>
      </c>
      <c r="P15" s="46">
        <f t="shared" ca="1" si="1"/>
        <v>2.9028178694188011E-3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input_595101!A$2</f>
        <v>595101</v>
      </c>
      <c r="B16" s="102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IFERROR(VLOOKUP(B16,input_595101!L:R,7,FALSE),VLOOKUP(tables_595101!C16,input_595101!A:H,8,FALSE))</f>
        <v>985500</v>
      </c>
      <c r="P16" s="46">
        <f t="shared" ca="1" si="1"/>
        <v>6.7731958762956446E-3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input_595101!A$2</f>
        <v>595101</v>
      </c>
      <c r="B17" s="102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IFERROR(VLOOKUP(B17,input_595101!L:R,7,FALSE),VLOOKUP(tables_595101!C17,input_595101!A:H,8,FALSE))</f>
        <v>422360</v>
      </c>
      <c r="P17" s="46">
        <f t="shared" ca="1" si="1"/>
        <v>2.9028178694188011E-3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input_595101!A$2</f>
        <v>595101</v>
      </c>
      <c r="B18" s="102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IFERROR(VLOOKUP(B18,input_595101!L:R,7,FALSE),VLOOKUP(tables_595101!C18,input_595101!A:H,8,FALSE))</f>
        <v>985500</v>
      </c>
      <c r="P18" s="46">
        <f t="shared" ca="1" si="1"/>
        <v>6.7731958762956446E-3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input_595101!A$2</f>
        <v>595101</v>
      </c>
      <c r="B19" s="102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IFERROR(VLOOKUP(B19,input_595101!L:R,7,FALSE),VLOOKUP(tables_595101!C19,input_595101!A:H,8,FALSE))</f>
        <v>422360</v>
      </c>
      <c r="P19" s="46">
        <f t="shared" ca="1" si="1"/>
        <v>2.9028178694188011E-3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input_595101!A$2</f>
        <v>595101</v>
      </c>
      <c r="B20" s="102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IFERROR(VLOOKUP(B20,input_595101!L:R,7,FALSE),VLOOKUP(tables_595101!C20,input_595101!A:H,8,FALSE))</f>
        <v>985500</v>
      </c>
      <c r="P20" s="46">
        <f t="shared" ca="1" si="1"/>
        <v>6.7731958762956446E-3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input_595101!A$2</f>
        <v>595101</v>
      </c>
      <c r="B21" s="102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IFERROR(VLOOKUP(B21,input_595101!L:R,7,FALSE),VLOOKUP(tables_595101!C21,input_595101!A:H,8,FALSE))</f>
        <v>422360</v>
      </c>
      <c r="P21" s="46">
        <f t="shared" ca="1" si="1"/>
        <v>2.9028178694188011E-3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input_595101!A$2</f>
        <v>595101</v>
      </c>
      <c r="B22" s="102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IFERROR(VLOOKUP(B22,input_595101!L:R,7,FALSE),VLOOKUP(tables_595101!C22,input_595101!A:H,8,FALSE))</f>
        <v>985500</v>
      </c>
      <c r="P22" s="46">
        <f t="shared" ca="1" si="1"/>
        <v>6.7731958762956446E-3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input_595101!A$2</f>
        <v>595101</v>
      </c>
      <c r="B23" s="102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IFERROR(VLOOKUP(B23,input_595101!L:R,7,FALSE),VLOOKUP(tables_595101!C23,input_595101!A:H,8,FALSE))</f>
        <v>422360</v>
      </c>
      <c r="P23" s="46">
        <f t="shared" ca="1" si="1"/>
        <v>2.9028178694188011E-3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input_595101!A$2</f>
        <v>595101</v>
      </c>
      <c r="B24" s="102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IFERROR(VLOOKUP(B24,input_595101!L:R,7,FALSE),VLOOKUP(tables_595101!C24,input_595101!A:H,8,FALSE))</f>
        <v>985500</v>
      </c>
      <c r="P24" s="46">
        <f t="shared" ca="1" si="1"/>
        <v>6.7731958762956446E-3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input_595101!A$2</f>
        <v>595101</v>
      </c>
      <c r="B25" s="102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IFERROR(VLOOKUP(B25,input_595101!L:R,7,FALSE),VLOOKUP(tables_595101!C25,input_595101!A:H,8,FALSE))</f>
        <v>422360</v>
      </c>
      <c r="P25" s="46">
        <f t="shared" ca="1" si="1"/>
        <v>2.9028178694188011E-3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input_595101!A$2</f>
        <v>595101</v>
      </c>
      <c r="B26" s="102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IFERROR(VLOOKUP(B26,input_595101!L:R,7,FALSE),VLOOKUP(tables_595101!C26,input_595101!A:H,8,FALSE))</f>
        <v>985500</v>
      </c>
      <c r="P26" s="46">
        <f t="shared" ca="1" si="1"/>
        <v>6.7731958762956446E-3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input_595101!A$2</f>
        <v>595101</v>
      </c>
      <c r="B27" s="102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IFERROR(VLOOKUP(B27,input_595101!L:R,7,FALSE),VLOOKUP(tables_595101!C27,input_595101!A:H,8,FALSE))</f>
        <v>422360</v>
      </c>
      <c r="P27" s="46">
        <f t="shared" ca="1" si="1"/>
        <v>2.9028178694188011E-3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input_595101!A$2</f>
        <v>595101</v>
      </c>
      <c r="B28" s="102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IFERROR(VLOOKUP(B28,input_595101!L:R,7,FALSE),VLOOKUP(tables_595101!C28,input_595101!A:H,8,FALSE))</f>
        <v>985500</v>
      </c>
      <c r="P28" s="46">
        <f t="shared" ca="1" si="1"/>
        <v>6.7731958762956446E-3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input_595101!A$2</f>
        <v>595101</v>
      </c>
      <c r="B29" s="102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IFERROR(VLOOKUP(B29,input_595101!L:R,7,FALSE),VLOOKUP(tables_595101!C29,input_595101!A:H,8,FALSE))</f>
        <v>422360</v>
      </c>
      <c r="P29" s="46">
        <f t="shared" ca="1" si="1"/>
        <v>2.9028178694188011E-3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input_595101!A$2</f>
        <v>595101</v>
      </c>
      <c r="B30" s="102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IFERROR(VLOOKUP(B30,input_595101!L:R,7,FALSE),VLOOKUP(tables_595101!C30,input_595101!A:H,8,FALSE))</f>
        <v>985500</v>
      </c>
      <c r="P30" s="46">
        <f t="shared" ca="1" si="1"/>
        <v>6.7731958762956446E-3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input_595101!A$2</f>
        <v>595101</v>
      </c>
      <c r="B31" s="102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IFERROR(VLOOKUP(B31,input_595101!L:R,7,FALSE),VLOOKUP(tables_595101!C31,input_595101!A:H,8,FALSE))</f>
        <v>422360</v>
      </c>
      <c r="P31" s="46">
        <f t="shared" ca="1" si="1"/>
        <v>2.9028178694188011E-3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input_595101!A$2</f>
        <v>595101</v>
      </c>
      <c r="B32" s="102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IFERROR(VLOOKUP(B32,input_595101!L:R,7,FALSE),VLOOKUP(tables_595101!C32,input_595101!A:H,8,FALSE))</f>
        <v>985500</v>
      </c>
      <c r="P32" s="46">
        <f t="shared" ca="1" si="1"/>
        <v>6.7731958762956446E-3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input_595101!A$2</f>
        <v>595101</v>
      </c>
      <c r="B33" s="102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IFERROR(VLOOKUP(B33,input_595101!L:R,7,FALSE),VLOOKUP(tables_595101!C33,input_595101!A:H,8,FALSE))</f>
        <v>422360</v>
      </c>
      <c r="P33" s="46">
        <f t="shared" ca="1" si="1"/>
        <v>2.9028178694188011E-3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input_595101!A$2</f>
        <v>595101</v>
      </c>
      <c r="B34" s="102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IFERROR(VLOOKUP(B34,input_595101!L:R,7,FALSE),VLOOKUP(tables_595101!C34,input_595101!A:H,8,FALSE))</f>
        <v>985500</v>
      </c>
      <c r="P34" s="46">
        <f t="shared" ca="1" si="1"/>
        <v>6.7731958762956446E-3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input_595101!A$2</f>
        <v>595101</v>
      </c>
      <c r="B35" s="102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IFERROR(VLOOKUP(B35,input_595101!L:R,7,FALSE),VLOOKUP(tables_595101!C35,input_595101!A:H,8,FALSE))</f>
        <v>422360</v>
      </c>
      <c r="P35" s="46">
        <f t="shared" ca="1" si="1"/>
        <v>2.9028178694188011E-3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input_595101!A$2</f>
        <v>595101</v>
      </c>
      <c r="B36" s="102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IFERROR(VLOOKUP(B36,input_595101!L:R,7,FALSE),VLOOKUP(tables_595101!C36,input_595101!A:H,8,FALSE))</f>
        <v>985500</v>
      </c>
      <c r="P36" s="46">
        <f t="shared" ca="1" si="1"/>
        <v>6.7731958762956446E-3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input_595101!A$2</f>
        <v>595101</v>
      </c>
      <c r="B37" s="102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IFERROR(VLOOKUP(B37,input_595101!L:R,7,FALSE),VLOOKUP(tables_595101!C37,input_595101!A:H,8,FALSE))</f>
        <v>422360</v>
      </c>
      <c r="P37" s="46">
        <f t="shared" ca="1" si="1"/>
        <v>2.9028178694188011E-3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input_595101!A$2</f>
        <v>595101</v>
      </c>
      <c r="B38" s="102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IFERROR(VLOOKUP(B38,input_595101!L:R,7,FALSE),VLOOKUP(tables_595101!C38,input_595101!A:H,8,FALSE))</f>
        <v>985500</v>
      </c>
      <c r="P38" s="46">
        <f t="shared" ca="1" si="1"/>
        <v>6.7731958762956446E-3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input_595101!A$2</f>
        <v>595101</v>
      </c>
      <c r="B39" s="102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IFERROR(VLOOKUP(B39,input_595101!L:R,7,FALSE),VLOOKUP(tables_595101!C39,input_595101!A:H,8,FALSE))</f>
        <v>422360</v>
      </c>
      <c r="P39" s="46">
        <f t="shared" ca="1" si="1"/>
        <v>2.9028178694188011E-3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input_595101!A$2</f>
        <v>595101</v>
      </c>
      <c r="B40" s="102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IFERROR(VLOOKUP(B40,input_595101!L:R,7,FALSE),VLOOKUP(tables_595101!C40,input_595101!A:H,8,FALSE))</f>
        <v>985500</v>
      </c>
      <c r="P40" s="46">
        <f t="shared" ca="1" si="1"/>
        <v>6.7731958762956446E-3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input_595101!A$2</f>
        <v>595101</v>
      </c>
      <c r="B41" s="102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IFERROR(VLOOKUP(B41,input_595101!L:R,7,FALSE),VLOOKUP(tables_595101!C41,input_595101!A:H,8,FALSE))</f>
        <v>422360</v>
      </c>
      <c r="P41" s="46">
        <f t="shared" ca="1" si="1"/>
        <v>2.9028178694188011E-3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input_595101!A$2</f>
        <v>595101</v>
      </c>
      <c r="B42" s="102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IFERROR(VLOOKUP(B42,input_595101!L:R,7,FALSE),VLOOKUP(tables_595101!C42,input_595101!A:H,8,FALSE))</f>
        <v>427500</v>
      </c>
      <c r="P42" s="46">
        <f t="shared" ca="1" si="1"/>
        <v>2.9381443298999374E-3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input_595101!A$2</f>
        <v>595101</v>
      </c>
      <c r="B43" s="102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IFERROR(VLOOKUP(B43,input_595101!L:R,7,FALSE),VLOOKUP(tables_595101!C43,input_595101!A:H,8,FALSE))</f>
        <v>712500</v>
      </c>
      <c r="P43" s="46">
        <f t="shared" ca="1" si="1"/>
        <v>4.896907216499896E-3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input_595101!A$2</f>
        <v>595101</v>
      </c>
      <c r="B44" s="102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IFERROR(VLOOKUP(B44,input_595101!L:R,7,FALSE),VLOOKUP(tables_595101!C44,input_595101!A:H,8,FALSE))</f>
        <v>285000</v>
      </c>
      <c r="P44" s="46">
        <f t="shared" ca="1" si="1"/>
        <v>1.9587628865999581E-3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input_595101!A$2</f>
        <v>595101</v>
      </c>
      <c r="B45" s="102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IFERROR(VLOOKUP(B45,input_595101!L:R,7,FALSE),VLOOKUP(tables_595101!C45,input_595101!A:H,8,FALSE))</f>
        <v>427500</v>
      </c>
      <c r="P45" s="46">
        <f t="shared" ca="1" si="1"/>
        <v>2.9381443298999374E-3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input_595101!A$2</f>
        <v>595101</v>
      </c>
      <c r="B46" s="102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IFERROR(VLOOKUP(B46,input_595101!L:R,7,FALSE),VLOOKUP(tables_595101!C46,input_595101!A:H,8,FALSE))</f>
        <v>712500</v>
      </c>
      <c r="P46" s="46">
        <f t="shared" ca="1" si="1"/>
        <v>4.896907216499896E-3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input_595101!A$2</f>
        <v>595101</v>
      </c>
      <c r="B47" s="102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IFERROR(VLOOKUP(B47,input_595101!L:R,7,FALSE),VLOOKUP(tables_595101!C47,input_595101!A:H,8,FALSE))</f>
        <v>285000</v>
      </c>
      <c r="P47" s="46">
        <f t="shared" ca="1" si="1"/>
        <v>1.9587628865999581E-3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input_595101!A$2</f>
        <v>595101</v>
      </c>
      <c r="B48" s="102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IFERROR(VLOOKUP(B48,input_595101!L:R,7,FALSE),VLOOKUP(tables_595101!C48,input_595101!A:H,8,FALSE))</f>
        <v>427500</v>
      </c>
      <c r="P48" s="46">
        <f t="shared" ca="1" si="1"/>
        <v>2.9381443298999374E-3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input_595101!A$2</f>
        <v>595101</v>
      </c>
      <c r="B49" s="102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IFERROR(VLOOKUP(B49,input_595101!L:R,7,FALSE),VLOOKUP(tables_595101!C49,input_595101!A:H,8,FALSE))</f>
        <v>712500</v>
      </c>
      <c r="P49" s="46">
        <f t="shared" ca="1" si="1"/>
        <v>4.896907216499896E-3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input_595101!A$2</f>
        <v>595101</v>
      </c>
      <c r="B50" s="102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IFERROR(VLOOKUP(B50,input_595101!L:R,7,FALSE),VLOOKUP(tables_595101!C50,input_595101!A:H,8,FALSE))</f>
        <v>285000</v>
      </c>
      <c r="P50" s="46">
        <f t="shared" ca="1" si="1"/>
        <v>1.9587628865999581E-3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input_595101!A$2</f>
        <v>595101</v>
      </c>
      <c r="B51" s="102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IFERROR(VLOOKUP(B51,input_595101!L:R,7,FALSE),VLOOKUP(tables_595101!C51,input_595101!A:H,8,FALSE))</f>
        <v>427500</v>
      </c>
      <c r="P51" s="46">
        <f t="shared" ca="1" si="1"/>
        <v>2.9381443298999374E-3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input_595101!A$2</f>
        <v>595101</v>
      </c>
      <c r="B52" s="102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IFERROR(VLOOKUP(B52,input_595101!L:R,7,FALSE),VLOOKUP(tables_595101!C52,input_595101!A:H,8,FALSE))</f>
        <v>712500</v>
      </c>
      <c r="P52" s="46">
        <f t="shared" ca="1" si="1"/>
        <v>4.896907216499896E-3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input_595101!A$2</f>
        <v>595101</v>
      </c>
      <c r="B53" s="102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IFERROR(VLOOKUP(B53,input_595101!L:R,7,FALSE),VLOOKUP(tables_595101!C53,input_595101!A:H,8,FALSE))</f>
        <v>291592.30768999999</v>
      </c>
      <c r="P53" s="46">
        <f t="shared" ca="1" si="1"/>
        <v>2.0040708432323071E-3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input_595101!A$2</f>
        <v>595101</v>
      </c>
      <c r="B54" s="102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IFERROR(VLOOKUP(B54,input_595101!L:R,7,FALSE),VLOOKUP(tables_595101!C54,input_595101!A:H,8,FALSE))</f>
        <v>427500</v>
      </c>
      <c r="P54" s="46">
        <f t="shared" ca="1" si="1"/>
        <v>2.9381443298999374E-3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input_595101!A$2</f>
        <v>595101</v>
      </c>
      <c r="B55" s="102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IFERROR(VLOOKUP(B55,input_595101!L:R,7,FALSE),VLOOKUP(tables_595101!C55,input_595101!A:H,8,FALSE))</f>
        <v>712500</v>
      </c>
      <c r="P55" s="46">
        <f t="shared" ca="1" si="1"/>
        <v>4.896907216499896E-3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input_595101!A$2</f>
        <v>595101</v>
      </c>
      <c r="B56" s="102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IFERROR(VLOOKUP(B56,input_595101!L:R,7,FALSE),VLOOKUP(tables_595101!C56,input_595101!A:H,8,FALSE))</f>
        <v>291592.30768999999</v>
      </c>
      <c r="P56" s="46">
        <f t="shared" ca="1" si="1"/>
        <v>2.0040708432323071E-3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input_595101!A$2</f>
        <v>595101</v>
      </c>
      <c r="B57" s="102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IFERROR(VLOOKUP(B57,input_595101!L:R,7,FALSE),VLOOKUP(tables_595101!C57,input_595101!A:H,8,FALSE))</f>
        <v>427500</v>
      </c>
      <c r="P57" s="46">
        <f t="shared" ca="1" si="1"/>
        <v>2.9381443298999374E-3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input_595101!A$2</f>
        <v>595101</v>
      </c>
      <c r="B58" s="102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IFERROR(VLOOKUP(B58,input_595101!L:R,7,FALSE),VLOOKUP(tables_595101!C58,input_595101!A:H,8,FALSE))</f>
        <v>712500</v>
      </c>
      <c r="P58" s="46">
        <f t="shared" ca="1" si="1"/>
        <v>4.896907216499896E-3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input_595101!A$2</f>
        <v>595101</v>
      </c>
      <c r="B59" s="102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IFERROR(VLOOKUP(B59,input_595101!L:R,7,FALSE),VLOOKUP(tables_595101!C59,input_595101!A:H,8,FALSE))</f>
        <v>291592.30768999999</v>
      </c>
      <c r="P59" s="46">
        <f t="shared" ca="1" si="1"/>
        <v>2.0040708432323071E-3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input_595101!A$2</f>
        <v>595101</v>
      </c>
      <c r="B60" s="102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IFERROR(VLOOKUP(B60,input_595101!L:R,7,FALSE),VLOOKUP(tables_595101!C60,input_595101!A:H,8,FALSE))</f>
        <v>427500</v>
      </c>
      <c r="P60" s="46">
        <f t="shared" ca="1" si="1"/>
        <v>2.9381443298999374E-3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input_595101!A$2</f>
        <v>595101</v>
      </c>
      <c r="B61" s="102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IFERROR(VLOOKUP(B61,input_595101!L:R,7,FALSE),VLOOKUP(tables_595101!C61,input_595101!A:H,8,FALSE))</f>
        <v>712500</v>
      </c>
      <c r="P61" s="46">
        <f t="shared" ca="1" si="1"/>
        <v>4.896907216499896E-3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input_595101!A$2</f>
        <v>595101</v>
      </c>
      <c r="B62" s="103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IFERROR(VLOOKUP(B62,input_595101!L:R,7,FALSE),VLOOKUP(tables_595101!C62,input_595101!A:H,8,FALSE))</f>
        <v>291592.30768999999</v>
      </c>
      <c r="P62" s="46">
        <f t="shared" ca="1" si="1"/>
        <v>2.0040708432323071E-3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input_595101!A$2</f>
        <v>595101</v>
      </c>
      <c r="B63" s="103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IFERROR(VLOOKUP(B63,input_595101!L:R,7,FALSE),VLOOKUP(tables_595101!C63,input_595101!A:H,8,FALSE))</f>
        <v>427500</v>
      </c>
      <c r="P63" s="46">
        <f t="shared" ca="1" si="1"/>
        <v>2.9381443298999374E-3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input_595101!A$2</f>
        <v>595101</v>
      </c>
      <c r="B64" s="103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IFERROR(VLOOKUP(B64,input_595101!L:R,7,FALSE),VLOOKUP(tables_595101!C64,input_595101!A:H,8,FALSE))</f>
        <v>712500</v>
      </c>
      <c r="P64" s="46">
        <f t="shared" ca="1" si="1"/>
        <v>4.896907216499896E-3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input_595101!A$2</f>
        <v>595101</v>
      </c>
      <c r="B65" s="103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IFERROR(VLOOKUP(B65,input_595101!L:R,7,FALSE),VLOOKUP(tables_595101!C65,input_595101!A:H,8,FALSE))</f>
        <v>291592.30768999999</v>
      </c>
      <c r="P65" s="46">
        <f t="shared" ca="1" si="1"/>
        <v>2.0040708432323071E-3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input_595101!A$2</f>
        <v>595101</v>
      </c>
      <c r="B66" s="102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IFERROR(VLOOKUP(B66,input_595101!L:R,7,FALSE),VLOOKUP(tables_595101!C66,input_595101!A:H,8,FALSE))</f>
        <v>427500</v>
      </c>
      <c r="P66" s="46">
        <f t="shared" ref="P66:P129" ca="1" si="4">O66/SUM(O:O)</f>
        <v>2.9381443298999374E-3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input_595101!A$2</f>
        <v>595101</v>
      </c>
      <c r="B67" s="102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IFERROR(VLOOKUP(B67,input_595101!L:R,7,FALSE),VLOOKUP(tables_595101!C67,input_595101!A:H,8,FALSE))</f>
        <v>712500</v>
      </c>
      <c r="P67" s="46">
        <f t="shared" ca="1" si="4"/>
        <v>4.896907216499896E-3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input_595101!A$2</f>
        <v>595101</v>
      </c>
      <c r="B68" s="102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IFERROR(VLOOKUP(B68,input_595101!L:R,7,FALSE),VLOOKUP(tables_595101!C68,input_595101!A:H,8,FALSE))</f>
        <v>291592.30768999999</v>
      </c>
      <c r="P68" s="46">
        <f t="shared" ca="1" si="4"/>
        <v>2.0040708432323071E-3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input_595101!A$2</f>
        <v>595101</v>
      </c>
      <c r="B69" s="102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IFERROR(VLOOKUP(B69,input_595101!L:R,7,FALSE),VLOOKUP(tables_595101!C69,input_595101!A:H,8,FALSE))</f>
        <v>427500</v>
      </c>
      <c r="P69" s="46">
        <f t="shared" ca="1" si="4"/>
        <v>2.9381443298999374E-3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input_595101!A$2</f>
        <v>595101</v>
      </c>
      <c r="B70" s="102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IFERROR(VLOOKUP(B70,input_595101!L:R,7,FALSE),VLOOKUP(tables_595101!C70,input_595101!A:H,8,FALSE))</f>
        <v>712500</v>
      </c>
      <c r="P70" s="46">
        <f t="shared" ca="1" si="4"/>
        <v>4.896907216499896E-3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input_595101!A$2</f>
        <v>595101</v>
      </c>
      <c r="B71" s="102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IFERROR(VLOOKUP(B71,input_595101!L:R,7,FALSE),VLOOKUP(tables_595101!C71,input_595101!A:H,8,FALSE))</f>
        <v>291592.30768999999</v>
      </c>
      <c r="P71" s="46">
        <f t="shared" ca="1" si="4"/>
        <v>2.0040708432323071E-3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input_595101!A$2</f>
        <v>595101</v>
      </c>
      <c r="B72" s="102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IFERROR(VLOOKUP(B72,input_595101!L:R,7,FALSE),VLOOKUP(tables_595101!C72,input_595101!A:H,8,FALSE))</f>
        <v>427500</v>
      </c>
      <c r="P72" s="46">
        <f t="shared" ca="1" si="4"/>
        <v>2.9381443298999374E-3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input_595101!A$2</f>
        <v>595101</v>
      </c>
      <c r="B73" s="102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IFERROR(VLOOKUP(B73,input_595101!L:R,7,FALSE),VLOOKUP(tables_595101!C73,input_595101!A:H,8,FALSE))</f>
        <v>712500</v>
      </c>
      <c r="P73" s="46">
        <f t="shared" ca="1" si="4"/>
        <v>4.896907216499896E-3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input_595101!A$2</f>
        <v>595101</v>
      </c>
      <c r="B74" s="102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IFERROR(VLOOKUP(B74,input_595101!L:R,7,FALSE),VLOOKUP(tables_595101!C74,input_595101!A:H,8,FALSE))</f>
        <v>291592.30768999999</v>
      </c>
      <c r="P74" s="46">
        <f t="shared" ca="1" si="4"/>
        <v>2.0040708432323071E-3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input_595101!A$2</f>
        <v>595101</v>
      </c>
      <c r="B75" s="102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IFERROR(VLOOKUP(B75,input_595101!L:R,7,FALSE),VLOOKUP(tables_595101!C75,input_595101!A:H,8,FALSE))</f>
        <v>427500</v>
      </c>
      <c r="P75" s="46">
        <f t="shared" ca="1" si="4"/>
        <v>2.9381443298999374E-3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input_595101!A$2</f>
        <v>595101</v>
      </c>
      <c r="B76" s="102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IFERROR(VLOOKUP(B76,input_595101!L:R,7,FALSE),VLOOKUP(tables_595101!C76,input_595101!A:H,8,FALSE))</f>
        <v>712500</v>
      </c>
      <c r="P76" s="46">
        <f t="shared" ca="1" si="4"/>
        <v>4.896907216499896E-3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input_595101!A$2</f>
        <v>595101</v>
      </c>
      <c r="B77" s="104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IFERROR(VLOOKUP(B77,input_595101!L:R,7,FALSE),VLOOKUP(tables_595101!C77,input_595101!A:H,8,FALSE))</f>
        <v>291592.30768999999</v>
      </c>
      <c r="P77" s="46">
        <f t="shared" ca="1" si="4"/>
        <v>2.0040708432323071E-3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input_595101!A$2</f>
        <v>595101</v>
      </c>
      <c r="B78" s="104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IFERROR(VLOOKUP(B78,input_595101!L:R,7,FALSE),VLOOKUP(tables_595101!C78,input_595101!A:H,8,FALSE))</f>
        <v>427500</v>
      </c>
      <c r="P78" s="46">
        <f t="shared" ca="1" si="4"/>
        <v>2.9381443298999374E-3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input_595101!A$2</f>
        <v>595101</v>
      </c>
      <c r="B79" s="104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IFERROR(VLOOKUP(B79,input_595101!L:R,7,FALSE),VLOOKUP(tables_595101!C79,input_595101!A:H,8,FALSE))</f>
        <v>712500</v>
      </c>
      <c r="P79" s="46">
        <f t="shared" ca="1" si="4"/>
        <v>4.896907216499896E-3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input_595101!A$2</f>
        <v>595101</v>
      </c>
      <c r="B80" s="104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IFERROR(VLOOKUP(B80,input_595101!L:R,7,FALSE),VLOOKUP(tables_595101!C80,input_595101!A:H,8,FALSE))</f>
        <v>291592.30768999999</v>
      </c>
      <c r="P80" s="46">
        <f t="shared" ca="1" si="4"/>
        <v>2.0040708432323071E-3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input_595101!A$2</f>
        <v>595101</v>
      </c>
      <c r="B81" s="104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IFERROR(VLOOKUP(B81,input_595101!L:R,7,FALSE),VLOOKUP(tables_595101!C81,input_595101!A:H,8,FALSE))</f>
        <v>427500</v>
      </c>
      <c r="P81" s="46">
        <f t="shared" ca="1" si="4"/>
        <v>2.9381443298999374E-3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input_595101!A$2</f>
        <v>595101</v>
      </c>
      <c r="B82" s="104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IFERROR(VLOOKUP(B82,input_595101!L:R,7,FALSE),VLOOKUP(tables_595101!C82,input_595101!A:H,8,FALSE))</f>
        <v>712500</v>
      </c>
      <c r="P82" s="46">
        <f t="shared" ca="1" si="4"/>
        <v>4.896907216499896E-3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input_595101!A$2</f>
        <v>595101</v>
      </c>
      <c r="B83" s="104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IFERROR(VLOOKUP(B83,input_595101!L:R,7,FALSE),VLOOKUP(tables_595101!C83,input_595101!A:H,8,FALSE))</f>
        <v>291592.30768999999</v>
      </c>
      <c r="P83" s="46">
        <f t="shared" ca="1" si="4"/>
        <v>2.0040708432323071E-3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input_595101!A$2</f>
        <v>595101</v>
      </c>
      <c r="B84" s="104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IFERROR(VLOOKUP(B84,input_595101!L:R,7,FALSE),VLOOKUP(tables_595101!C84,input_595101!A:H,8,FALSE))</f>
        <v>427500</v>
      </c>
      <c r="P84" s="46">
        <f t="shared" ca="1" si="4"/>
        <v>2.9381443298999374E-3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input_595101!A$2</f>
        <v>595101</v>
      </c>
      <c r="B85" s="104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IFERROR(VLOOKUP(B85,input_595101!L:R,7,FALSE),VLOOKUP(tables_595101!C85,input_595101!A:H,8,FALSE))</f>
        <v>712500</v>
      </c>
      <c r="P85" s="46">
        <f t="shared" ca="1" si="4"/>
        <v>4.896907216499896E-3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input_595101!A$2</f>
        <v>595101</v>
      </c>
      <c r="B86" s="104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IFERROR(VLOOKUP(B86,input_595101!L:R,7,FALSE),VLOOKUP(tables_595101!C86,input_595101!A:H,8,FALSE))</f>
        <v>291592.30768999999</v>
      </c>
      <c r="P86" s="46">
        <f t="shared" ca="1" si="4"/>
        <v>2.0040708432323071E-3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input_595101!A$2</f>
        <v>595101</v>
      </c>
      <c r="B87" s="104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IFERROR(VLOOKUP(B87,input_595101!L:R,7,FALSE),VLOOKUP(tables_595101!C87,input_595101!A:H,8,FALSE))</f>
        <v>427500</v>
      </c>
      <c r="P87" s="46">
        <f t="shared" ca="1" si="4"/>
        <v>2.9381443298999374E-3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input_595101!A$2</f>
        <v>595101</v>
      </c>
      <c r="B88" s="104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IFERROR(VLOOKUP(B88,input_595101!L:R,7,FALSE),VLOOKUP(tables_595101!C88,input_595101!A:H,8,FALSE))</f>
        <v>712500</v>
      </c>
      <c r="P88" s="46">
        <f t="shared" ca="1" si="4"/>
        <v>4.896907216499896E-3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input_595101!A$2</f>
        <v>595101</v>
      </c>
      <c r="B89" s="104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IFERROR(VLOOKUP(B89,input_595101!L:R,7,FALSE),VLOOKUP(tables_595101!C89,input_595101!A:H,8,FALSE))</f>
        <v>291592.30768999999</v>
      </c>
      <c r="P89" s="46">
        <f t="shared" ca="1" si="4"/>
        <v>2.0040708432323071E-3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input_595101!A$2</f>
        <v>595101</v>
      </c>
      <c r="B90" s="104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IFERROR(VLOOKUP(B90,input_595101!L:R,7,FALSE),VLOOKUP(tables_595101!C90,input_595101!A:H,8,FALSE))</f>
        <v>427500</v>
      </c>
      <c r="P90" s="46">
        <f t="shared" ca="1" si="4"/>
        <v>2.9381443298999374E-3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input_595101!A$2</f>
        <v>595101</v>
      </c>
      <c r="B91" s="104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IFERROR(VLOOKUP(B91,input_595101!L:R,7,FALSE),VLOOKUP(tables_595101!C91,input_595101!A:H,8,FALSE))</f>
        <v>712500</v>
      </c>
      <c r="P91" s="46">
        <f t="shared" ca="1" si="4"/>
        <v>4.896907216499896E-3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input_595101!A$2</f>
        <v>595101</v>
      </c>
      <c r="B92" s="104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IFERROR(VLOOKUP(B92,input_595101!L:R,7,FALSE),VLOOKUP(tables_595101!C92,input_595101!A:H,8,FALSE))</f>
        <v>291592.30768999999</v>
      </c>
      <c r="P92" s="46">
        <f t="shared" ca="1" si="4"/>
        <v>2.0040708432323071E-3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input_595101!A$2</f>
        <v>595101</v>
      </c>
      <c r="B93" s="104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IFERROR(VLOOKUP(B93,input_595101!L:R,7,FALSE),VLOOKUP(tables_595101!C93,input_595101!A:H,8,FALSE))</f>
        <v>427500</v>
      </c>
      <c r="P93" s="46">
        <f t="shared" ca="1" si="4"/>
        <v>2.9381443298999374E-3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input_595101!A$2</f>
        <v>595101</v>
      </c>
      <c r="B94" s="104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IFERROR(VLOOKUP(B94,input_595101!L:R,7,FALSE),VLOOKUP(tables_595101!C94,input_595101!A:H,8,FALSE))</f>
        <v>712500</v>
      </c>
      <c r="P94" s="46">
        <f t="shared" ca="1" si="4"/>
        <v>4.896907216499896E-3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input_595101!A$2</f>
        <v>595101</v>
      </c>
      <c r="B95" s="104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IFERROR(VLOOKUP(B95,input_595101!L:R,7,FALSE),VLOOKUP(tables_595101!C95,input_595101!A:H,8,FALSE))</f>
        <v>291592.30768999999</v>
      </c>
      <c r="P95" s="46">
        <f t="shared" ca="1" si="4"/>
        <v>2.0040708432323071E-3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input_595101!A$2</f>
        <v>595101</v>
      </c>
      <c r="B96" s="104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IFERROR(VLOOKUP(B96,input_595101!L:R,7,FALSE),VLOOKUP(tables_595101!C96,input_595101!A:H,8,FALSE))</f>
        <v>427500</v>
      </c>
      <c r="P96" s="46">
        <f t="shared" ca="1" si="4"/>
        <v>2.9381443298999374E-3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input_595101!A$2</f>
        <v>595101</v>
      </c>
      <c r="B97" s="104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IFERROR(VLOOKUP(B97,input_595101!L:R,7,FALSE),VLOOKUP(tables_595101!C97,input_595101!A:H,8,FALSE))</f>
        <v>712500</v>
      </c>
      <c r="P97" s="46">
        <f t="shared" ca="1" si="4"/>
        <v>4.896907216499896E-3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input_595101!A$2</f>
        <v>595101</v>
      </c>
      <c r="B98" s="104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IFERROR(VLOOKUP(B98,input_595101!L:R,7,FALSE),VLOOKUP(tables_595101!C98,input_595101!A:H,8,FALSE))</f>
        <v>291592.30768999999</v>
      </c>
      <c r="P98" s="46">
        <f t="shared" ca="1" si="4"/>
        <v>2.0040708432323071E-3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input_595101!A$2</f>
        <v>595101</v>
      </c>
      <c r="B99" s="104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IFERROR(VLOOKUP(B99,input_595101!L:R,7,FALSE),VLOOKUP(tables_595101!C99,input_595101!A:H,8,FALSE))</f>
        <v>427500</v>
      </c>
      <c r="P99" s="46">
        <f t="shared" ca="1" si="4"/>
        <v>2.9381443298999374E-3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input_595101!A$2</f>
        <v>595101</v>
      </c>
      <c r="B100" s="104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IFERROR(VLOOKUP(B100,input_595101!L:R,7,FALSE),VLOOKUP(tables_595101!C100,input_595101!A:H,8,FALSE))</f>
        <v>712500</v>
      </c>
      <c r="P100" s="46">
        <f t="shared" ca="1" si="4"/>
        <v>4.896907216499896E-3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input_595101!A$2</f>
        <v>595101</v>
      </c>
      <c r="B101" s="104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IFERROR(VLOOKUP(B101,input_595101!L:R,7,FALSE),VLOOKUP(tables_595101!C101,input_595101!A:H,8,FALSE))</f>
        <v>291592.30768999999</v>
      </c>
      <c r="P101" s="46">
        <f t="shared" ca="1" si="4"/>
        <v>2.0040708432323071E-3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input_595101!A$2</f>
        <v>595101</v>
      </c>
      <c r="B102" s="104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IFERROR(VLOOKUP(B102,input_595101!L:R,7,FALSE),VLOOKUP(tables_595101!C102,input_595101!A:H,8,FALSE))</f>
        <v>427500</v>
      </c>
      <c r="P102" s="46">
        <f t="shared" ca="1" si="4"/>
        <v>2.9381443298999374E-3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input_595101!A$2</f>
        <v>595101</v>
      </c>
      <c r="B103" s="104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IFERROR(VLOOKUP(B103,input_595101!L:R,7,FALSE),VLOOKUP(tables_595101!C103,input_595101!A:H,8,FALSE))</f>
        <v>712500</v>
      </c>
      <c r="P103" s="46">
        <f t="shared" ca="1" si="4"/>
        <v>4.896907216499896E-3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input_595101!A$2</f>
        <v>595101</v>
      </c>
      <c r="B104" s="104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IFERROR(VLOOKUP(B104,input_595101!L:R,7,FALSE),VLOOKUP(tables_595101!C104,input_595101!A:H,8,FALSE))</f>
        <v>291592.30768999999</v>
      </c>
      <c r="P104" s="46">
        <f t="shared" ca="1" si="4"/>
        <v>2.0040708432323071E-3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input_595101!A$2</f>
        <v>595101</v>
      </c>
      <c r="B105" s="104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IFERROR(VLOOKUP(B105,input_595101!L:R,7,FALSE),VLOOKUP(tables_595101!C105,input_595101!A:H,8,FALSE))</f>
        <v>427500</v>
      </c>
      <c r="P105" s="46">
        <f t="shared" ca="1" si="4"/>
        <v>2.9381443298999374E-3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input_595101!A$2</f>
        <v>595101</v>
      </c>
      <c r="B106" s="104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IFERROR(VLOOKUP(B106,input_595101!L:R,7,FALSE),VLOOKUP(tables_595101!C106,input_595101!A:H,8,FALSE))</f>
        <v>712500</v>
      </c>
      <c r="P106" s="46">
        <f t="shared" ca="1" si="4"/>
        <v>4.896907216499896E-3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input_595101!A$2</f>
        <v>595101</v>
      </c>
      <c r="B107" s="104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IFERROR(VLOOKUP(B107,input_595101!L:R,7,FALSE),VLOOKUP(tables_595101!C107,input_595101!A:H,8,FALSE))</f>
        <v>291592.30768999999</v>
      </c>
      <c r="P107" s="46">
        <f t="shared" ca="1" si="4"/>
        <v>2.0040708432323071E-3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input_595101!A$2</f>
        <v>595101</v>
      </c>
      <c r="B108" s="104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IFERROR(VLOOKUP(B108,input_595101!L:R,7,FALSE),VLOOKUP(tables_595101!C108,input_595101!A:H,8,FALSE))</f>
        <v>427500</v>
      </c>
      <c r="P108" s="46">
        <f t="shared" ca="1" si="4"/>
        <v>2.9381443298999374E-3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input_595101!A$2</f>
        <v>595101</v>
      </c>
      <c r="B109" s="104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IFERROR(VLOOKUP(B109,input_595101!L:R,7,FALSE),VLOOKUP(tables_595101!C109,input_595101!A:H,8,FALSE))</f>
        <v>712500</v>
      </c>
      <c r="P109" s="46">
        <f t="shared" ca="1" si="4"/>
        <v>4.896907216499896E-3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input_595101!A$2</f>
        <v>595101</v>
      </c>
      <c r="B110" s="104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IFERROR(VLOOKUP(B110,input_595101!L:R,7,FALSE),VLOOKUP(tables_595101!C110,input_595101!A:H,8,FALSE))</f>
        <v>291592.30768999999</v>
      </c>
      <c r="P110" s="46">
        <f t="shared" ca="1" si="4"/>
        <v>2.0040708432323071E-3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input_595101!A$2</f>
        <v>595101</v>
      </c>
      <c r="B111" s="104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IFERROR(VLOOKUP(B111,input_595101!L:R,7,FALSE),VLOOKUP(tables_595101!C111,input_595101!A:H,8,FALSE))</f>
        <v>427500</v>
      </c>
      <c r="P111" s="46">
        <f t="shared" ca="1" si="4"/>
        <v>2.9381443298999374E-3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input_595101!A$2</f>
        <v>595101</v>
      </c>
      <c r="B112" s="104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IFERROR(VLOOKUP(B112,input_595101!L:R,7,FALSE),VLOOKUP(tables_595101!C112,input_595101!A:H,8,FALSE))</f>
        <v>712500</v>
      </c>
      <c r="P112" s="46">
        <f t="shared" ca="1" si="4"/>
        <v>4.896907216499896E-3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input_595101!A$2</f>
        <v>595101</v>
      </c>
      <c r="B113" s="104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IFERROR(VLOOKUP(B113,input_595101!L:R,7,FALSE),VLOOKUP(tables_595101!C113,input_595101!A:H,8,FALSE))</f>
        <v>285000</v>
      </c>
      <c r="P113" s="46">
        <f t="shared" ca="1" si="4"/>
        <v>1.9587628865999581E-3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input_595101!A$2</f>
        <v>595101</v>
      </c>
      <c r="B114" s="104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IFERROR(VLOOKUP(B114,input_595101!L:R,7,FALSE),VLOOKUP(tables_595101!C114,input_595101!A:H,8,FALSE))</f>
        <v>427500</v>
      </c>
      <c r="P114" s="46">
        <f t="shared" ca="1" si="4"/>
        <v>2.9381443298999374E-3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input_595101!A$2</f>
        <v>595101</v>
      </c>
      <c r="B115" s="104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IFERROR(VLOOKUP(B115,input_595101!L:R,7,FALSE),VLOOKUP(tables_595101!C115,input_595101!A:H,8,FALSE))</f>
        <v>712500</v>
      </c>
      <c r="P115" s="46">
        <f t="shared" ca="1" si="4"/>
        <v>4.896907216499896E-3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input_595101!A$2</f>
        <v>595101</v>
      </c>
      <c r="B116" s="104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IFERROR(VLOOKUP(B116,input_595101!L:R,7,FALSE),VLOOKUP(tables_595101!C116,input_595101!A:H,8,FALSE))</f>
        <v>291592.30768999999</v>
      </c>
      <c r="P116" s="46">
        <f t="shared" ca="1" si="4"/>
        <v>2.0040708432323071E-3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input_595101!A$2</f>
        <v>595101</v>
      </c>
      <c r="B117" s="104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IFERROR(VLOOKUP(B117,input_595101!L:R,7,FALSE),VLOOKUP(tables_595101!C117,input_595101!A:H,8,FALSE))</f>
        <v>427500</v>
      </c>
      <c r="P117" s="46">
        <f t="shared" ca="1" si="4"/>
        <v>2.9381443298999374E-3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input_595101!A$2</f>
        <v>595101</v>
      </c>
      <c r="B118" s="104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IFERROR(VLOOKUP(B118,input_595101!L:R,7,FALSE),VLOOKUP(tables_595101!C118,input_595101!A:H,8,FALSE))</f>
        <v>712500</v>
      </c>
      <c r="P118" s="46">
        <f t="shared" ca="1" si="4"/>
        <v>4.896907216499896E-3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input_595101!A$2</f>
        <v>595101</v>
      </c>
      <c r="B119" s="104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IFERROR(VLOOKUP(B119,input_595101!L:R,7,FALSE),VLOOKUP(tables_595101!C119,input_595101!A:H,8,FALSE))</f>
        <v>291592.30768999999</v>
      </c>
      <c r="P119" s="46">
        <f t="shared" ca="1" si="4"/>
        <v>2.0040708432323071E-3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input_595101!A$2</f>
        <v>595101</v>
      </c>
      <c r="B120" s="104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IFERROR(VLOOKUP(B120,input_595101!L:R,7,FALSE),VLOOKUP(tables_595101!C120,input_595101!A:H,8,FALSE))</f>
        <v>427500</v>
      </c>
      <c r="P120" s="46">
        <f t="shared" ca="1" si="4"/>
        <v>2.9381443298999374E-3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input_595101!A$2</f>
        <v>595101</v>
      </c>
      <c r="B121" s="104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IFERROR(VLOOKUP(B121,input_595101!L:R,7,FALSE),VLOOKUP(tables_595101!C121,input_595101!A:H,8,FALSE))</f>
        <v>712500</v>
      </c>
      <c r="P121" s="46">
        <f t="shared" ca="1" si="4"/>
        <v>4.896907216499896E-3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input_595101!A$2</f>
        <v>595101</v>
      </c>
      <c r="B122" s="104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IFERROR(VLOOKUP(B122,input_595101!L:R,7,FALSE),VLOOKUP(tables_595101!C122,input_595101!A:H,8,FALSE))</f>
        <v>291592.30768999999</v>
      </c>
      <c r="P122" s="46">
        <f t="shared" ca="1" si="4"/>
        <v>2.0040708432323071E-3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input_595101!A$2</f>
        <v>595101</v>
      </c>
      <c r="B123" s="104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IFERROR(VLOOKUP(B123,input_595101!L:R,7,FALSE),VLOOKUP(tables_595101!C123,input_595101!A:H,8,FALSE))</f>
        <v>427500</v>
      </c>
      <c r="P123" s="46">
        <f t="shared" ca="1" si="4"/>
        <v>2.9381443298999374E-3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input_595101!A$2</f>
        <v>595101</v>
      </c>
      <c r="B124" s="104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IFERROR(VLOOKUP(B124,input_595101!L:R,7,FALSE),VLOOKUP(tables_595101!C124,input_595101!A:H,8,FALSE))</f>
        <v>712500</v>
      </c>
      <c r="P124" s="46">
        <f t="shared" ca="1" si="4"/>
        <v>4.896907216499896E-3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input_595101!A$2</f>
        <v>595101</v>
      </c>
      <c r="B125" s="102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IFERROR(VLOOKUP(B125,input_595101!L:R,7,FALSE),VLOOKUP(tables_595101!C125,input_595101!A:H,8,FALSE))</f>
        <v>291592.30768999999</v>
      </c>
      <c r="P125" s="46">
        <f t="shared" ca="1" si="4"/>
        <v>2.0040708432323071E-3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input_595101!A$2</f>
        <v>595101</v>
      </c>
      <c r="B126" s="102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IFERROR(VLOOKUP(B126,input_595101!L:R,7,FALSE),VLOOKUP(tables_595101!C126,input_595101!A:H,8,FALSE))</f>
        <v>427500</v>
      </c>
      <c r="P126" s="46">
        <f t="shared" ca="1" si="4"/>
        <v>2.9381443298999374E-3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input_595101!A$2</f>
        <v>595101</v>
      </c>
      <c r="B127" s="102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IFERROR(VLOOKUP(B127,input_595101!L:R,7,FALSE),VLOOKUP(tables_595101!C127,input_595101!A:H,8,FALSE))</f>
        <v>712500</v>
      </c>
      <c r="P127" s="46">
        <f t="shared" ca="1" si="4"/>
        <v>4.896907216499896E-3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input_595101!A$2</f>
        <v>595101</v>
      </c>
      <c r="B128" s="102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IFERROR(VLOOKUP(B128,input_595101!L:R,7,FALSE),VLOOKUP(tables_595101!C128,input_595101!A:H,8,FALSE))</f>
        <v>291592.30768999999</v>
      </c>
      <c r="P128" s="46">
        <f t="shared" ca="1" si="4"/>
        <v>2.0040708432323071E-3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input_595101!A$2</f>
        <v>595101</v>
      </c>
      <c r="B129" s="102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IFERROR(VLOOKUP(B129,input_595101!L:R,7,FALSE),VLOOKUP(tables_595101!C129,input_595101!A:H,8,FALSE))</f>
        <v>427500</v>
      </c>
      <c r="P129" s="46">
        <f t="shared" ca="1" si="4"/>
        <v>2.9381443298999374E-3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input_595101!A$2</f>
        <v>595101</v>
      </c>
      <c r="B130" s="102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IFERROR(VLOOKUP(B130,input_595101!L:R,7,FALSE),VLOOKUP(tables_595101!C130,input_595101!A:H,8,FALSE))</f>
        <v>712500</v>
      </c>
      <c r="P130" s="46">
        <f t="shared" ref="P130:P193" ca="1" si="7">O130/SUM(O:O)</f>
        <v>4.896907216499896E-3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input_595101!A$2</f>
        <v>595101</v>
      </c>
      <c r="B131" s="102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IFERROR(VLOOKUP(B131,input_595101!L:R,7,FALSE),VLOOKUP(tables_595101!C131,input_595101!A:H,8,FALSE))</f>
        <v>291592.30768999999</v>
      </c>
      <c r="P131" s="46">
        <f t="shared" ca="1" si="7"/>
        <v>2.0040708432323071E-3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input_595101!A$2</f>
        <v>595101</v>
      </c>
      <c r="B132" s="102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IFERROR(VLOOKUP(B132,input_595101!L:R,7,FALSE),VLOOKUP(tables_595101!C132,input_595101!A:H,8,FALSE))</f>
        <v>427500</v>
      </c>
      <c r="P132" s="46">
        <f t="shared" ca="1" si="7"/>
        <v>2.9381443298999374E-3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input_595101!A$2</f>
        <v>595101</v>
      </c>
      <c r="B133" s="102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IFERROR(VLOOKUP(B133,input_595101!L:R,7,FALSE),VLOOKUP(tables_595101!C133,input_595101!A:H,8,FALSE))</f>
        <v>712500</v>
      </c>
      <c r="P133" s="46">
        <f t="shared" ca="1" si="7"/>
        <v>4.896907216499896E-3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input_595101!A$2</f>
        <v>595101</v>
      </c>
      <c r="B134" s="102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IFERROR(VLOOKUP(B134,input_595101!L:R,7,FALSE),VLOOKUP(tables_595101!C134,input_595101!A:H,8,FALSE))</f>
        <v>291592.30768999999</v>
      </c>
      <c r="P134" s="46">
        <f t="shared" ca="1" si="7"/>
        <v>2.0040708432323071E-3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input_595101!A$2</f>
        <v>595101</v>
      </c>
      <c r="B135" s="102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IFERROR(VLOOKUP(B135,input_595101!L:R,7,FALSE),VLOOKUP(tables_595101!C135,input_595101!A:H,8,FALSE))</f>
        <v>427500</v>
      </c>
      <c r="P135" s="46">
        <f t="shared" ca="1" si="7"/>
        <v>2.9381443298999374E-3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input_595101!A$2</f>
        <v>595101</v>
      </c>
      <c r="B136" s="103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IFERROR(VLOOKUP(B136,input_595101!L:R,7,FALSE),VLOOKUP(tables_595101!C136,input_595101!A:H,8,FALSE))</f>
        <v>712500</v>
      </c>
      <c r="P136" s="46">
        <f t="shared" ca="1" si="7"/>
        <v>4.896907216499896E-3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input_595101!A$2</f>
        <v>595101</v>
      </c>
      <c r="B137" s="103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IFERROR(VLOOKUP(B137,input_595101!L:R,7,FALSE),VLOOKUP(tables_595101!C137,input_595101!A:H,8,FALSE))</f>
        <v>291592.30768999999</v>
      </c>
      <c r="P137" s="46">
        <f t="shared" ca="1" si="7"/>
        <v>2.0040708432323071E-3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input_595101!A$2</f>
        <v>595101</v>
      </c>
      <c r="B138" s="102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IFERROR(VLOOKUP(B138,input_595101!L:R,7,FALSE),VLOOKUP(tables_595101!C138,input_595101!A:H,8,FALSE))</f>
        <v>77600</v>
      </c>
      <c r="P138" s="46">
        <f t="shared" ca="1" si="7"/>
        <v>5.3333333333388337E-4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input_595101!A$2</f>
        <v>595101</v>
      </c>
      <c r="B139" s="102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IFERROR(VLOOKUP(B139,input_595101!L:R,7,FALSE),VLOOKUP(tables_595101!C139,input_595101!A:H,8,FALSE))</f>
        <v>19400</v>
      </c>
      <c r="P139" s="46">
        <f t="shared" ca="1" si="7"/>
        <v>1.3333333333347084E-4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input_595101!A$2</f>
        <v>595101</v>
      </c>
      <c r="B140" s="102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IFERROR(VLOOKUP(B140,input_595101!L:R,7,FALSE),VLOOKUP(tables_595101!C140,input_595101!A:H,8,FALSE))</f>
        <v>77600</v>
      </c>
      <c r="P140" s="46">
        <f t="shared" ca="1" si="7"/>
        <v>5.3333333333388337E-4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input_595101!A$2</f>
        <v>595101</v>
      </c>
      <c r="B141" s="102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IFERROR(VLOOKUP(B141,input_595101!L:R,7,FALSE),VLOOKUP(tables_595101!C141,input_595101!A:H,8,FALSE))</f>
        <v>19400</v>
      </c>
      <c r="P141" s="46">
        <f t="shared" ca="1" si="7"/>
        <v>1.3333333333347084E-4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input_595101!A$2</f>
        <v>595101</v>
      </c>
      <c r="B142" s="102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IFERROR(VLOOKUP(B142,input_595101!L:R,7,FALSE),VLOOKUP(tables_595101!C142,input_595101!A:H,8,FALSE))</f>
        <v>77600</v>
      </c>
      <c r="P142" s="46">
        <f t="shared" ca="1" si="7"/>
        <v>5.3333333333388337E-4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input_595101!A$2</f>
        <v>595101</v>
      </c>
      <c r="B143" s="102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IFERROR(VLOOKUP(B143,input_595101!L:R,7,FALSE),VLOOKUP(tables_595101!C143,input_595101!A:H,8,FALSE))</f>
        <v>19400</v>
      </c>
      <c r="P143" s="46">
        <f t="shared" ca="1" si="7"/>
        <v>1.3333333333347084E-4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input_595101!A$2</f>
        <v>595101</v>
      </c>
      <c r="B144" s="102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IFERROR(VLOOKUP(B144,input_595101!L:R,7,FALSE),VLOOKUP(tables_595101!C144,input_595101!A:H,8,FALSE))</f>
        <v>77600</v>
      </c>
      <c r="P144" s="46">
        <f t="shared" ca="1" si="7"/>
        <v>5.3333333333388337E-4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input_595101!A$2</f>
        <v>595101</v>
      </c>
      <c r="B145" s="102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IFERROR(VLOOKUP(B145,input_595101!L:R,7,FALSE),VLOOKUP(tables_595101!C145,input_595101!A:H,8,FALSE))</f>
        <v>19400</v>
      </c>
      <c r="P145" s="46">
        <f t="shared" ca="1" si="7"/>
        <v>1.3333333333347084E-4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input_595101!A$2</f>
        <v>595101</v>
      </c>
      <c r="B146" s="102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IFERROR(VLOOKUP(B146,input_595101!L:R,7,FALSE),VLOOKUP(tables_595101!C146,input_595101!A:H,8,FALSE))</f>
        <v>427500</v>
      </c>
      <c r="P146" s="46">
        <f t="shared" ca="1" si="7"/>
        <v>2.9381443298999374E-3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input_595101!A$2</f>
        <v>595101</v>
      </c>
      <c r="B147" s="102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IFERROR(VLOOKUP(B147,input_595101!L:R,7,FALSE),VLOOKUP(tables_595101!C147,input_595101!A:H,8,FALSE))</f>
        <v>712500</v>
      </c>
      <c r="P147" s="46">
        <f t="shared" ca="1" si="7"/>
        <v>4.896907216499896E-3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input_595101!A$2</f>
        <v>595101</v>
      </c>
      <c r="B148" s="102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IFERROR(VLOOKUP(B148,input_595101!L:R,7,FALSE),VLOOKUP(tables_595101!C148,input_595101!A:H,8,FALSE))</f>
        <v>291592.30768999999</v>
      </c>
      <c r="P148" s="46">
        <f t="shared" ca="1" si="7"/>
        <v>2.0040708432323071E-3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input_595101!A$2</f>
        <v>595101</v>
      </c>
      <c r="B149" s="102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IFERROR(VLOOKUP(B149,input_595101!L:R,7,FALSE),VLOOKUP(tables_595101!C149,input_595101!A:H,8,FALSE))</f>
        <v>77600</v>
      </c>
      <c r="P149" s="46">
        <f t="shared" ca="1" si="7"/>
        <v>5.3333333333388337E-4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input_595101!A$2</f>
        <v>595101</v>
      </c>
      <c r="B150" s="102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IFERROR(VLOOKUP(B150,input_595101!L:R,7,FALSE),VLOOKUP(tables_595101!C150,input_595101!A:H,8,FALSE))</f>
        <v>19400</v>
      </c>
      <c r="P150" s="46">
        <f t="shared" ca="1" si="7"/>
        <v>1.3333333333347084E-4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input_595101!A$2</f>
        <v>595101</v>
      </c>
      <c r="B151" s="102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IFERROR(VLOOKUP(B151,input_595101!L:R,7,FALSE),VLOOKUP(tables_595101!C151,input_595101!A:H,8,FALSE))</f>
        <v>77600</v>
      </c>
      <c r="P151" s="46">
        <f t="shared" ca="1" si="7"/>
        <v>5.3333333333388337E-4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input_595101!A$2</f>
        <v>595101</v>
      </c>
      <c r="B152" s="102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IFERROR(VLOOKUP(B152,input_595101!L:R,7,FALSE),VLOOKUP(tables_595101!C152,input_595101!A:H,8,FALSE))</f>
        <v>19400</v>
      </c>
      <c r="P152" s="46">
        <f t="shared" ca="1" si="7"/>
        <v>1.3333333333347084E-4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input_595101!A$2</f>
        <v>595101</v>
      </c>
      <c r="B153" s="102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IFERROR(VLOOKUP(B153,input_595101!L:R,7,FALSE),VLOOKUP(tables_595101!C153,input_595101!A:H,8,FALSE))</f>
        <v>427500</v>
      </c>
      <c r="P153" s="46">
        <f t="shared" ca="1" si="7"/>
        <v>2.9381443298999374E-3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input_595101!A$2</f>
        <v>595101</v>
      </c>
      <c r="B154" s="102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IFERROR(VLOOKUP(B154,input_595101!L:R,7,FALSE),VLOOKUP(tables_595101!C154,input_595101!A:H,8,FALSE))</f>
        <v>712500</v>
      </c>
      <c r="P154" s="46">
        <f t="shared" ca="1" si="7"/>
        <v>4.896907216499896E-3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input_595101!A$2</f>
        <v>595101</v>
      </c>
      <c r="B155" s="102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IFERROR(VLOOKUP(B155,input_595101!L:R,7,FALSE),VLOOKUP(tables_595101!C155,input_595101!A:H,8,FALSE))</f>
        <v>291592.30768999999</v>
      </c>
      <c r="P155" s="46">
        <f t="shared" ca="1" si="7"/>
        <v>2.0040708432323071E-3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input_595101!A$2</f>
        <v>595101</v>
      </c>
      <c r="B156" s="102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IFERROR(VLOOKUP(B156,input_595101!L:R,7,FALSE),VLOOKUP(tables_595101!C156,input_595101!A:H,8,FALSE))</f>
        <v>77600</v>
      </c>
      <c r="P156" s="46">
        <f t="shared" ca="1" si="7"/>
        <v>5.3333333333388337E-4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input_595101!A$2</f>
        <v>595101</v>
      </c>
      <c r="B157" s="102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IFERROR(VLOOKUP(B157,input_595101!L:R,7,FALSE),VLOOKUP(tables_595101!C157,input_595101!A:H,8,FALSE))</f>
        <v>19400</v>
      </c>
      <c r="P157" s="46">
        <f t="shared" ca="1" si="7"/>
        <v>1.3333333333347084E-4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input_595101!A$2</f>
        <v>595101</v>
      </c>
      <c r="B158" s="102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IFERROR(VLOOKUP(B158,input_595101!L:R,7,FALSE),VLOOKUP(tables_595101!C158,input_595101!A:H,8,FALSE))</f>
        <v>427500</v>
      </c>
      <c r="P158" s="46">
        <f t="shared" ca="1" si="7"/>
        <v>2.9381443298999374E-3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input_595101!A$2</f>
        <v>595101</v>
      </c>
      <c r="B159" s="102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IFERROR(VLOOKUP(B159,input_595101!L:R,7,FALSE),VLOOKUP(tables_595101!C159,input_595101!A:H,8,FALSE))</f>
        <v>712500</v>
      </c>
      <c r="P159" s="46">
        <f t="shared" ca="1" si="7"/>
        <v>4.896907216499896E-3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input_595101!A$2</f>
        <v>595101</v>
      </c>
      <c r="B160" s="102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IFERROR(VLOOKUP(B160,input_595101!L:R,7,FALSE),VLOOKUP(tables_595101!C160,input_595101!A:H,8,FALSE))</f>
        <v>291592.30768999999</v>
      </c>
      <c r="P160" s="46">
        <f t="shared" ca="1" si="7"/>
        <v>2.0040708432323071E-3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input_595101!A$2</f>
        <v>595101</v>
      </c>
      <c r="B161" s="102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IFERROR(VLOOKUP(B161,input_595101!L:R,7,FALSE),VLOOKUP(tables_595101!C161,input_595101!A:H,8,FALSE))</f>
        <v>427500</v>
      </c>
      <c r="P161" s="46">
        <f t="shared" ca="1" si="7"/>
        <v>2.9381443298999374E-3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input_595101!A$2</f>
        <v>595101</v>
      </c>
      <c r="B162" s="102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IFERROR(VLOOKUP(B162,input_595101!L:R,7,FALSE),VLOOKUP(tables_595101!C162,input_595101!A:H,8,FALSE))</f>
        <v>712500</v>
      </c>
      <c r="P162" s="46">
        <f t="shared" ca="1" si="7"/>
        <v>4.896907216499896E-3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input_595101!A$2</f>
        <v>595101</v>
      </c>
      <c r="B163" s="102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IFERROR(VLOOKUP(B163,input_595101!L:R,7,FALSE),VLOOKUP(tables_595101!C163,input_595101!A:H,8,FALSE))</f>
        <v>291592.30768999999</v>
      </c>
      <c r="P163" s="46">
        <f t="shared" ca="1" si="7"/>
        <v>2.0040708432323071E-3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input_595101!A$2</f>
        <v>595101</v>
      </c>
      <c r="B164" s="102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IFERROR(VLOOKUP(B164,input_595101!L:R,7,FALSE),VLOOKUP(tables_595101!C164,input_595101!A:H,8,FALSE))</f>
        <v>77600</v>
      </c>
      <c r="P164" s="46">
        <f t="shared" ca="1" si="7"/>
        <v>5.3333333333388337E-4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input_595101!A$2</f>
        <v>595101</v>
      </c>
      <c r="B165" s="102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IFERROR(VLOOKUP(B165,input_595101!L:R,7,FALSE),VLOOKUP(tables_595101!C165,input_595101!A:H,8,FALSE))</f>
        <v>19400</v>
      </c>
      <c r="P165" s="46">
        <f t="shared" ca="1" si="7"/>
        <v>1.3333333333347084E-4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input_595101!A$2</f>
        <v>595101</v>
      </c>
      <c r="B166" s="102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IFERROR(VLOOKUP(B166,input_595101!L:R,7,FALSE),VLOOKUP(tables_595101!C166,input_595101!A:H,8,FALSE))</f>
        <v>427500</v>
      </c>
      <c r="P166" s="46">
        <f t="shared" ca="1" si="7"/>
        <v>2.9381443298999374E-3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input_595101!A$2</f>
        <v>595101</v>
      </c>
      <c r="B167" s="102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IFERROR(VLOOKUP(B167,input_595101!L:R,7,FALSE),VLOOKUP(tables_595101!C167,input_595101!A:H,8,FALSE))</f>
        <v>712500</v>
      </c>
      <c r="P167" s="46">
        <f t="shared" ca="1" si="7"/>
        <v>4.896907216499896E-3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input_595101!A$2</f>
        <v>595101</v>
      </c>
      <c r="B168" s="102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IFERROR(VLOOKUP(B168,input_595101!L:R,7,FALSE),VLOOKUP(tables_595101!C168,input_595101!A:H,8,FALSE))</f>
        <v>291592.30768999999</v>
      </c>
      <c r="P168" s="46">
        <f t="shared" ca="1" si="7"/>
        <v>2.0040708432323071E-3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input_595101!A$2</f>
        <v>595101</v>
      </c>
      <c r="B169" s="102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IFERROR(VLOOKUP(B169,input_595101!L:R,7,FALSE),VLOOKUP(tables_595101!C169,input_595101!A:H,8,FALSE))</f>
        <v>77600</v>
      </c>
      <c r="P169" s="46">
        <f t="shared" ca="1" si="7"/>
        <v>5.3333333333388337E-4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input_595101!A$2</f>
        <v>595101</v>
      </c>
      <c r="B170" s="102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IFERROR(VLOOKUP(B170,input_595101!L:R,7,FALSE),VLOOKUP(tables_595101!C170,input_595101!A:H,8,FALSE))</f>
        <v>19400</v>
      </c>
      <c r="P170" s="46">
        <f t="shared" ca="1" si="7"/>
        <v>1.3333333333347084E-4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input_595101!A$2</f>
        <v>595101</v>
      </c>
      <c r="B171" s="102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IFERROR(VLOOKUP(B171,input_595101!L:R,7,FALSE),VLOOKUP(tables_595101!C171,input_595101!A:H,8,FALSE))</f>
        <v>427500</v>
      </c>
      <c r="P171" s="46">
        <f t="shared" ca="1" si="7"/>
        <v>2.9381443298999374E-3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input_595101!A$2</f>
        <v>595101</v>
      </c>
      <c r="B172" s="102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IFERROR(VLOOKUP(B172,input_595101!L:R,7,FALSE),VLOOKUP(tables_595101!C172,input_595101!A:H,8,FALSE))</f>
        <v>712500</v>
      </c>
      <c r="P172" s="46">
        <f t="shared" ca="1" si="7"/>
        <v>4.896907216499896E-3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input_595101!A$2</f>
        <v>595101</v>
      </c>
      <c r="B173" s="102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IFERROR(VLOOKUP(B173,input_595101!L:R,7,FALSE),VLOOKUP(tables_595101!C173,input_595101!A:H,8,FALSE))</f>
        <v>291592.30768999999</v>
      </c>
      <c r="P173" s="46">
        <f t="shared" ca="1" si="7"/>
        <v>2.0040708432323071E-3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input_595101!A$2</f>
        <v>595101</v>
      </c>
      <c r="B174" s="102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IFERROR(VLOOKUP(B174,input_595101!L:R,7,FALSE),VLOOKUP(tables_595101!C174,input_595101!A:H,8,FALSE))</f>
        <v>77600</v>
      </c>
      <c r="P174" s="46">
        <f t="shared" ca="1" si="7"/>
        <v>5.3333333333388337E-4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input_595101!A$2</f>
        <v>595101</v>
      </c>
      <c r="B175" s="102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IFERROR(VLOOKUP(B175,input_595101!L:R,7,FALSE),VLOOKUP(tables_595101!C175,input_595101!A:H,8,FALSE))</f>
        <v>19400</v>
      </c>
      <c r="P175" s="46">
        <f t="shared" ca="1" si="7"/>
        <v>1.3333333333347084E-4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input_595101!A$2</f>
        <v>595101</v>
      </c>
      <c r="B176" s="102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IFERROR(VLOOKUP(B176,input_595101!L:R,7,FALSE),VLOOKUP(tables_595101!C176,input_595101!A:H,8,FALSE))</f>
        <v>77600</v>
      </c>
      <c r="P176" s="46">
        <f t="shared" ca="1" si="7"/>
        <v>5.3333333333388337E-4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input_595101!A$2</f>
        <v>595101</v>
      </c>
      <c r="B177" s="102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IFERROR(VLOOKUP(B177,input_595101!L:R,7,FALSE),VLOOKUP(tables_595101!C177,input_595101!A:H,8,FALSE))</f>
        <v>19400</v>
      </c>
      <c r="P177" s="46">
        <f t="shared" ca="1" si="7"/>
        <v>1.3333333333347084E-4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input_595101!A$2</f>
        <v>595101</v>
      </c>
      <c r="B178" s="102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IFERROR(VLOOKUP(B178,input_595101!L:R,7,FALSE),VLOOKUP(tables_595101!C178,input_595101!A:H,8,FALSE))</f>
        <v>427500</v>
      </c>
      <c r="P178" s="46">
        <f t="shared" ca="1" si="7"/>
        <v>2.9381443298999374E-3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input_595101!A$2</f>
        <v>595101</v>
      </c>
      <c r="B179" s="102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IFERROR(VLOOKUP(B179,input_595101!L:R,7,FALSE),VLOOKUP(tables_595101!C179,input_595101!A:H,8,FALSE))</f>
        <v>712500</v>
      </c>
      <c r="P179" s="46">
        <f t="shared" ca="1" si="7"/>
        <v>4.896907216499896E-3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input_595101!A$2</f>
        <v>595101</v>
      </c>
      <c r="B180" s="102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IFERROR(VLOOKUP(B180,input_595101!L:R,7,FALSE),VLOOKUP(tables_595101!C180,input_595101!A:H,8,FALSE))</f>
        <v>291592.30768999999</v>
      </c>
      <c r="P180" s="46">
        <f t="shared" ca="1" si="7"/>
        <v>2.0040708432323071E-3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input_595101!A$2</f>
        <v>595101</v>
      </c>
      <c r="B181" s="102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IFERROR(VLOOKUP(B181,input_595101!L:R,7,FALSE),VLOOKUP(tables_595101!C181,input_595101!A:H,8,FALSE))</f>
        <v>427500</v>
      </c>
      <c r="P181" s="46">
        <f t="shared" ca="1" si="7"/>
        <v>2.9381443298999374E-3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input_595101!A$2</f>
        <v>595101</v>
      </c>
      <c r="B182" s="102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IFERROR(VLOOKUP(B182,input_595101!L:R,7,FALSE),VLOOKUP(tables_595101!C182,input_595101!A:H,8,FALSE))</f>
        <v>712500</v>
      </c>
      <c r="P182" s="46">
        <f t="shared" ca="1" si="7"/>
        <v>4.896907216499896E-3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input_595101!A$2</f>
        <v>595101</v>
      </c>
      <c r="B183" s="102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IFERROR(VLOOKUP(B183,input_595101!L:R,7,FALSE),VLOOKUP(tables_595101!C183,input_595101!A:H,8,FALSE))</f>
        <v>291592.30768999999</v>
      </c>
      <c r="P183" s="46">
        <f t="shared" ca="1" si="7"/>
        <v>2.0040708432323071E-3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input_595101!A$2</f>
        <v>595101</v>
      </c>
      <c r="B184" s="102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IFERROR(VLOOKUP(B184,input_595101!L:R,7,FALSE),VLOOKUP(tables_595101!C184,input_595101!A:H,8,FALSE))</f>
        <v>77600</v>
      </c>
      <c r="P184" s="46">
        <f t="shared" ca="1" si="7"/>
        <v>5.3333333333388337E-4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input_595101!A$2</f>
        <v>595101</v>
      </c>
      <c r="B185" s="102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IFERROR(VLOOKUP(B185,input_595101!L:R,7,FALSE),VLOOKUP(tables_595101!C185,input_595101!A:H,8,FALSE))</f>
        <v>19400</v>
      </c>
      <c r="P185" s="46">
        <f t="shared" ca="1" si="7"/>
        <v>1.3333333333347084E-4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input_595101!A$2</f>
        <v>595101</v>
      </c>
      <c r="B186" s="103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IFERROR(VLOOKUP(B186,input_595101!L:R,7,FALSE),VLOOKUP(tables_595101!C186,input_595101!A:H,8,FALSE))</f>
        <v>427500</v>
      </c>
      <c r="P186" s="46">
        <f t="shared" ca="1" si="7"/>
        <v>2.9381443298999374E-3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input_595101!A$2</f>
        <v>595101</v>
      </c>
      <c r="B187" s="103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IFERROR(VLOOKUP(B187,input_595101!L:R,7,FALSE),VLOOKUP(tables_595101!C187,input_595101!A:H,8,FALSE))</f>
        <v>712500</v>
      </c>
      <c r="P187" s="46">
        <f t="shared" ca="1" si="7"/>
        <v>4.896907216499896E-3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input_595101!A$2</f>
        <v>595101</v>
      </c>
      <c r="B188" s="103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IFERROR(VLOOKUP(B188,input_595101!L:R,7,FALSE),VLOOKUP(tables_595101!C188,input_595101!A:H,8,FALSE))</f>
        <v>291592.30768999999</v>
      </c>
      <c r="P188" s="46">
        <f t="shared" ca="1" si="7"/>
        <v>2.0040708432323071E-3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input_595101!A$2</f>
        <v>595101</v>
      </c>
      <c r="B189" s="103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IFERROR(VLOOKUP(B189,input_595101!L:R,7,FALSE),VLOOKUP(tables_595101!C189,input_595101!A:H,8,FALSE))</f>
        <v>77600</v>
      </c>
      <c r="P189" s="46">
        <f t="shared" ca="1" si="7"/>
        <v>5.3333333333388337E-4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input_595101!A$2</f>
        <v>595101</v>
      </c>
      <c r="B190" s="102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IFERROR(VLOOKUP(B190,input_595101!L:R,7,FALSE),VLOOKUP(tables_595101!C190,input_595101!A:H,8,FALSE))</f>
        <v>19400</v>
      </c>
      <c r="P190" s="46">
        <f t="shared" ca="1" si="7"/>
        <v>1.3333333333347084E-4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input_595101!A$2</f>
        <v>595101</v>
      </c>
      <c r="B191" s="102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IFERROR(VLOOKUP(B191,input_595101!L:R,7,FALSE),VLOOKUP(tables_595101!C191,input_595101!A:H,8,FALSE))</f>
        <v>77600</v>
      </c>
      <c r="P191" s="46">
        <f t="shared" ca="1" si="7"/>
        <v>5.3333333333388337E-4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input_595101!A$2</f>
        <v>595101</v>
      </c>
      <c r="B192" s="102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IFERROR(VLOOKUP(B192,input_595101!L:R,7,FALSE),VLOOKUP(tables_595101!C192,input_595101!A:H,8,FALSE))</f>
        <v>19400</v>
      </c>
      <c r="P192" s="46">
        <f t="shared" ca="1" si="7"/>
        <v>1.3333333333347084E-4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input_595101!A$2</f>
        <v>595101</v>
      </c>
      <c r="B193" s="102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IFERROR(VLOOKUP(B193,input_595101!L:R,7,FALSE),VLOOKUP(tables_595101!C193,input_595101!A:H,8,FALSE))</f>
        <v>427500</v>
      </c>
      <c r="P193" s="46">
        <f t="shared" ca="1" si="7"/>
        <v>2.9381443298999374E-3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input_595101!A$2</f>
        <v>595101</v>
      </c>
      <c r="B194" s="102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IFERROR(VLOOKUP(B194,input_595101!L:R,7,FALSE),VLOOKUP(tables_595101!C194,input_595101!A:H,8,FALSE))</f>
        <v>712500</v>
      </c>
      <c r="P194" s="46">
        <f t="shared" ref="P194:P257" ca="1" si="10">O194/SUM(O:O)</f>
        <v>4.896907216499896E-3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input_595101!A$2</f>
        <v>595101</v>
      </c>
      <c r="B195" s="102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IFERROR(VLOOKUP(B195,input_595101!L:R,7,FALSE),VLOOKUP(tables_595101!C195,input_595101!A:H,8,FALSE))</f>
        <v>291592.30768999999</v>
      </c>
      <c r="P195" s="46">
        <f t="shared" ca="1" si="10"/>
        <v>2.0040708432323071E-3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input_595101!A$2</f>
        <v>595101</v>
      </c>
      <c r="B196" s="102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IFERROR(VLOOKUP(B196,input_595101!L:R,7,FALSE),VLOOKUP(tables_595101!C196,input_595101!A:H,8,FALSE))</f>
        <v>77600</v>
      </c>
      <c r="P196" s="46">
        <f t="shared" ca="1" si="10"/>
        <v>5.3333333333388337E-4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input_595101!A$2</f>
        <v>595101</v>
      </c>
      <c r="B197" s="102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IFERROR(VLOOKUP(B197,input_595101!L:R,7,FALSE),VLOOKUP(tables_595101!C197,input_595101!A:H,8,FALSE))</f>
        <v>19400</v>
      </c>
      <c r="P197" s="46">
        <f t="shared" ca="1" si="10"/>
        <v>1.3333333333347084E-4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input_595101!A$2</f>
        <v>595101</v>
      </c>
      <c r="B198" s="102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IFERROR(VLOOKUP(B198,input_595101!L:R,7,FALSE),VLOOKUP(tables_595101!C198,input_595101!A:H,8,FALSE))</f>
        <v>427500</v>
      </c>
      <c r="P198" s="46">
        <f t="shared" ca="1" si="10"/>
        <v>2.9381443298999374E-3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input_595101!A$2</f>
        <v>595101</v>
      </c>
      <c r="B199" s="102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IFERROR(VLOOKUP(B199,input_595101!L:R,7,FALSE),VLOOKUP(tables_595101!C199,input_595101!A:H,8,FALSE))</f>
        <v>712500</v>
      </c>
      <c r="P199" s="46">
        <f t="shared" ca="1" si="10"/>
        <v>4.896907216499896E-3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input_595101!A$2</f>
        <v>595101</v>
      </c>
      <c r="B200" s="102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IFERROR(VLOOKUP(B200,input_595101!L:R,7,FALSE),VLOOKUP(tables_595101!C200,input_595101!A:H,8,FALSE))</f>
        <v>291592.30768999999</v>
      </c>
      <c r="P200" s="46">
        <f t="shared" ca="1" si="10"/>
        <v>2.0040708432323071E-3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input_595101!A$2</f>
        <v>595101</v>
      </c>
      <c r="B201" s="102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IFERROR(VLOOKUP(B201,input_595101!L:R,7,FALSE),VLOOKUP(tables_595101!C201,input_595101!A:H,8,FALSE))</f>
        <v>77600</v>
      </c>
      <c r="P201" s="46">
        <f t="shared" ca="1" si="10"/>
        <v>5.3333333333388337E-4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input_595101!A$2</f>
        <v>595101</v>
      </c>
      <c r="B202" s="102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IFERROR(VLOOKUP(B202,input_595101!L:R,7,FALSE),VLOOKUP(tables_595101!C202,input_595101!A:H,8,FALSE))</f>
        <v>19400</v>
      </c>
      <c r="P202" s="46">
        <f t="shared" ca="1" si="10"/>
        <v>1.3333333333347084E-4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input_595101!A$2</f>
        <v>595101</v>
      </c>
      <c r="B203" s="102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IFERROR(VLOOKUP(B203,input_595101!L:R,7,FALSE),VLOOKUP(tables_595101!C203,input_595101!A:H,8,FALSE))</f>
        <v>427500</v>
      </c>
      <c r="P203" s="46">
        <f t="shared" ca="1" si="10"/>
        <v>2.9381443298999374E-3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input_595101!A$2</f>
        <v>595101</v>
      </c>
      <c r="B204" s="102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IFERROR(VLOOKUP(B204,input_595101!L:R,7,FALSE),VLOOKUP(tables_595101!C204,input_595101!A:H,8,FALSE))</f>
        <v>712500</v>
      </c>
      <c r="P204" s="46">
        <f t="shared" ca="1" si="10"/>
        <v>4.896907216499896E-3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input_595101!A$2</f>
        <v>595101</v>
      </c>
      <c r="B205" s="102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IFERROR(VLOOKUP(B205,input_595101!L:R,7,FALSE),VLOOKUP(tables_595101!C205,input_595101!A:H,8,FALSE))</f>
        <v>291592.30768999999</v>
      </c>
      <c r="P205" s="46">
        <f t="shared" ca="1" si="10"/>
        <v>2.0040708432323071E-3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input_595101!A$2</f>
        <v>595101</v>
      </c>
      <c r="B206" s="102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IFERROR(VLOOKUP(B206,input_595101!L:R,7,FALSE),VLOOKUP(tables_595101!C206,input_595101!A:H,8,FALSE))</f>
        <v>77600</v>
      </c>
      <c r="P206" s="46">
        <f t="shared" ca="1" si="10"/>
        <v>5.3333333333388337E-4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input_595101!A$2</f>
        <v>595101</v>
      </c>
      <c r="B207" s="102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IFERROR(VLOOKUP(B207,input_595101!L:R,7,FALSE),VLOOKUP(tables_595101!C207,input_595101!A:H,8,FALSE))</f>
        <v>19400</v>
      </c>
      <c r="P207" s="46">
        <f t="shared" ca="1" si="10"/>
        <v>1.3333333333347084E-4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input_595101!A$2</f>
        <v>595101</v>
      </c>
      <c r="B208" s="102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IFERROR(VLOOKUP(B208,input_595101!L:R,7,FALSE),VLOOKUP(tables_595101!C208,input_595101!A:H,8,FALSE))</f>
        <v>77600</v>
      </c>
      <c r="P208" s="46">
        <f t="shared" ca="1" si="10"/>
        <v>5.3333333333388337E-4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input_595101!A$2</f>
        <v>595101</v>
      </c>
      <c r="B209" s="102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IFERROR(VLOOKUP(B209,input_595101!L:R,7,FALSE),VLOOKUP(tables_595101!C209,input_595101!A:H,8,FALSE))</f>
        <v>19400</v>
      </c>
      <c r="P209" s="46">
        <f t="shared" ca="1" si="10"/>
        <v>1.3333333333347084E-4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input_595101!A$2</f>
        <v>595101</v>
      </c>
      <c r="B210" s="102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IFERROR(VLOOKUP(B210,input_595101!L:R,7,FALSE),VLOOKUP(tables_595101!C210,input_595101!A:H,8,FALSE))</f>
        <v>427500</v>
      </c>
      <c r="P210" s="46">
        <f t="shared" ca="1" si="10"/>
        <v>2.9381443298999374E-3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input_595101!A$2</f>
        <v>595101</v>
      </c>
      <c r="B211" s="102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IFERROR(VLOOKUP(B211,input_595101!L:R,7,FALSE),VLOOKUP(tables_595101!C211,input_595101!A:H,8,FALSE))</f>
        <v>712500</v>
      </c>
      <c r="P211" s="46">
        <f t="shared" ca="1" si="10"/>
        <v>4.896907216499896E-3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input_595101!A$2</f>
        <v>595101</v>
      </c>
      <c r="B212" s="102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IFERROR(VLOOKUP(B212,input_595101!L:R,7,FALSE),VLOOKUP(tables_595101!C212,input_595101!A:H,8,FALSE))</f>
        <v>291592.30768999999</v>
      </c>
      <c r="P212" s="46">
        <f t="shared" ca="1" si="10"/>
        <v>2.0040708432323071E-3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input_595101!A$2</f>
        <v>595101</v>
      </c>
      <c r="B213" s="102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IFERROR(VLOOKUP(B213,input_595101!L:R,7,FALSE),VLOOKUP(tables_595101!C213,input_595101!A:H,8,FALSE))</f>
        <v>77600</v>
      </c>
      <c r="P213" s="46">
        <f t="shared" ca="1" si="10"/>
        <v>5.3333333333388337E-4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input_595101!A$2</f>
        <v>595101</v>
      </c>
      <c r="B214" s="102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IFERROR(VLOOKUP(B214,input_595101!L:R,7,FALSE),VLOOKUP(tables_595101!C214,input_595101!A:H,8,FALSE))</f>
        <v>19400</v>
      </c>
      <c r="P214" s="46">
        <f t="shared" ca="1" si="10"/>
        <v>1.3333333333347084E-4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input_595101!A$2</f>
        <v>595101</v>
      </c>
      <c r="B215" s="102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IFERROR(VLOOKUP(B215,input_595101!L:R,7,FALSE),VLOOKUP(tables_595101!C215,input_595101!A:H,8,FALSE))</f>
        <v>285000</v>
      </c>
      <c r="P215" s="46">
        <f t="shared" ca="1" si="10"/>
        <v>1.9587628865999581E-3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input_595101!A$2</f>
        <v>595101</v>
      </c>
      <c r="B216" s="102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IFERROR(VLOOKUP(B216,input_595101!L:R,7,FALSE),VLOOKUP(tables_595101!C216,input_595101!A:H,8,FALSE))</f>
        <v>285000</v>
      </c>
      <c r="P216" s="46">
        <f t="shared" ca="1" si="10"/>
        <v>1.9587628865999581E-3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input_595101!A$2</f>
        <v>595101</v>
      </c>
      <c r="B217" s="102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IFERROR(VLOOKUP(B217,input_595101!L:R,7,FALSE),VLOOKUP(tables_595101!C217,input_595101!A:H,8,FALSE))</f>
        <v>285000</v>
      </c>
      <c r="P217" s="46">
        <f t="shared" ca="1" si="10"/>
        <v>1.9587628865999581E-3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input_595101!A$2</f>
        <v>595101</v>
      </c>
      <c r="B218" s="102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IFERROR(VLOOKUP(B218,input_595101!L:R,7,FALSE),VLOOKUP(tables_595101!C218,input_595101!A:H,8,FALSE))</f>
        <v>285000</v>
      </c>
      <c r="P218" s="46">
        <f t="shared" ca="1" si="10"/>
        <v>1.9587628865999581E-3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input_595101!A$2</f>
        <v>595101</v>
      </c>
      <c r="B219" s="102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IFERROR(VLOOKUP(B219,input_595101!L:R,7,FALSE),VLOOKUP(tables_595101!C219,input_595101!A:H,8,FALSE))</f>
        <v>285000</v>
      </c>
      <c r="P219" s="46">
        <f t="shared" ca="1" si="10"/>
        <v>1.9587628865999581E-3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input_595101!A$2</f>
        <v>595101</v>
      </c>
      <c r="B220" s="102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IFERROR(VLOOKUP(B220,input_595101!L:R,7,FALSE),VLOOKUP(tables_595101!C220,input_595101!A:H,8,FALSE))</f>
        <v>285000</v>
      </c>
      <c r="P220" s="46">
        <f t="shared" ca="1" si="10"/>
        <v>1.9587628865999581E-3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input_595101!A$2</f>
        <v>595101</v>
      </c>
      <c r="B221" s="102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IFERROR(VLOOKUP(B221,input_595101!L:R,7,FALSE),VLOOKUP(tables_595101!C221,input_595101!A:H,8,FALSE))</f>
        <v>77600</v>
      </c>
      <c r="P221" s="46">
        <f t="shared" ca="1" si="10"/>
        <v>5.3333333333388337E-4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input_595101!A$2</f>
        <v>595101</v>
      </c>
      <c r="B222" s="102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IFERROR(VLOOKUP(B222,input_595101!L:R,7,FALSE),VLOOKUP(tables_595101!C222,input_595101!A:H,8,FALSE))</f>
        <v>19400</v>
      </c>
      <c r="P222" s="46">
        <f t="shared" ca="1" si="10"/>
        <v>1.3333333333347084E-4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input_595101!A$2</f>
        <v>595101</v>
      </c>
      <c r="B223" s="102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IFERROR(VLOOKUP(B223,input_595101!L:R,7,FALSE),VLOOKUP(tables_595101!C223,input_595101!A:H,8,FALSE))</f>
        <v>427500</v>
      </c>
      <c r="P223" s="46">
        <f t="shared" ca="1" si="10"/>
        <v>2.9381443298999374E-3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input_595101!A$2</f>
        <v>595101</v>
      </c>
      <c r="B224" s="102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IFERROR(VLOOKUP(B224,input_595101!L:R,7,FALSE),VLOOKUP(tables_595101!C224,input_595101!A:H,8,FALSE))</f>
        <v>712500</v>
      </c>
      <c r="P224" s="46">
        <f t="shared" ca="1" si="10"/>
        <v>4.896907216499896E-3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input_595101!A$2</f>
        <v>595101</v>
      </c>
      <c r="B225" s="102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IFERROR(VLOOKUP(B225,input_595101!L:R,7,FALSE),VLOOKUP(tables_595101!C225,input_595101!A:H,8,FALSE))</f>
        <v>291592.30768999999</v>
      </c>
      <c r="P225" s="46">
        <f t="shared" ca="1" si="10"/>
        <v>2.0040708432323071E-3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input_595101!A$2</f>
        <v>595101</v>
      </c>
      <c r="B226" s="102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IFERROR(VLOOKUP(B226,input_595101!L:R,7,FALSE),VLOOKUP(tables_595101!C226,input_595101!A:H,8,FALSE))</f>
        <v>427500</v>
      </c>
      <c r="P226" s="46">
        <f t="shared" ca="1" si="10"/>
        <v>2.9381443298999374E-3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input_595101!A$2</f>
        <v>595101</v>
      </c>
      <c r="B227" s="102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IFERROR(VLOOKUP(B227,input_595101!L:R,7,FALSE),VLOOKUP(tables_595101!C227,input_595101!A:H,8,FALSE))</f>
        <v>712500</v>
      </c>
      <c r="P227" s="46">
        <f t="shared" ca="1" si="10"/>
        <v>4.896907216499896E-3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input_595101!A$2</f>
        <v>595101</v>
      </c>
      <c r="B228" s="102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IFERROR(VLOOKUP(B228,input_595101!L:R,7,FALSE),VLOOKUP(tables_595101!C228,input_595101!A:H,8,FALSE))</f>
        <v>291592.30768999999</v>
      </c>
      <c r="P228" s="46">
        <f t="shared" ca="1" si="10"/>
        <v>2.0040708432323071E-3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input_595101!A$2</f>
        <v>595101</v>
      </c>
      <c r="B229" s="102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IFERROR(VLOOKUP(B229,input_595101!L:R,7,FALSE),VLOOKUP(tables_595101!C229,input_595101!A:H,8,FALSE))</f>
        <v>77600</v>
      </c>
      <c r="P229" s="46">
        <f t="shared" ca="1" si="10"/>
        <v>5.3333333333388337E-4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input_595101!A$2</f>
        <v>595101</v>
      </c>
      <c r="B230" s="102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IFERROR(VLOOKUP(B230,input_595101!L:R,7,FALSE),VLOOKUP(tables_595101!C230,input_595101!A:H,8,FALSE))</f>
        <v>19400</v>
      </c>
      <c r="P230" s="46">
        <f t="shared" ca="1" si="10"/>
        <v>1.3333333333347084E-4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input_595101!A$2</f>
        <v>595101</v>
      </c>
      <c r="B231" s="102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IFERROR(VLOOKUP(B231,input_595101!L:R,7,FALSE),VLOOKUP(tables_595101!C231,input_595101!A:H,8,FALSE))</f>
        <v>427500</v>
      </c>
      <c r="P231" s="46">
        <f t="shared" ca="1" si="10"/>
        <v>2.9381443298999374E-3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input_595101!A$2</f>
        <v>595101</v>
      </c>
      <c r="B232" s="102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IFERROR(VLOOKUP(B232,input_595101!L:R,7,FALSE),VLOOKUP(tables_595101!C232,input_595101!A:H,8,FALSE))</f>
        <v>712500</v>
      </c>
      <c r="P232" s="46">
        <f t="shared" ca="1" si="10"/>
        <v>4.896907216499896E-3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input_595101!A$2</f>
        <v>595101</v>
      </c>
      <c r="B233" s="102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IFERROR(VLOOKUP(B233,input_595101!L:R,7,FALSE),VLOOKUP(tables_595101!C233,input_595101!A:H,8,FALSE))</f>
        <v>291592.30768999999</v>
      </c>
      <c r="P233" s="46">
        <f t="shared" ca="1" si="10"/>
        <v>2.0040708432323071E-3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input_595101!A$2</f>
        <v>595101</v>
      </c>
      <c r="B234" s="102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IFERROR(VLOOKUP(B234,input_595101!L:R,7,FALSE),VLOOKUP(tables_595101!C234,input_595101!A:H,8,FALSE))</f>
        <v>427500</v>
      </c>
      <c r="P234" s="46">
        <f t="shared" ca="1" si="10"/>
        <v>2.9381443298999374E-3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input_595101!A$2</f>
        <v>595101</v>
      </c>
      <c r="B235" s="102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IFERROR(VLOOKUP(B235,input_595101!L:R,7,FALSE),VLOOKUP(tables_595101!C235,input_595101!A:H,8,FALSE))</f>
        <v>712500</v>
      </c>
      <c r="P235" s="46">
        <f t="shared" ca="1" si="10"/>
        <v>4.896907216499896E-3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input_595101!A$2</f>
        <v>595101</v>
      </c>
      <c r="B236" s="102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IFERROR(VLOOKUP(B236,input_595101!L:R,7,FALSE),VLOOKUP(tables_595101!C236,input_595101!A:H,8,FALSE))</f>
        <v>291592.30768999999</v>
      </c>
      <c r="P236" s="46">
        <f t="shared" ca="1" si="10"/>
        <v>2.0040708432323071E-3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input_595101!A$2</f>
        <v>595101</v>
      </c>
      <c r="B237" s="102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IFERROR(VLOOKUP(B237,input_595101!L:R,7,FALSE),VLOOKUP(tables_595101!C237,input_595101!A:H,8,FALSE))</f>
        <v>77600</v>
      </c>
      <c r="P237" s="46">
        <f t="shared" ca="1" si="10"/>
        <v>5.3333333333388337E-4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input_595101!A$2</f>
        <v>595101</v>
      </c>
      <c r="B238" s="102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IFERROR(VLOOKUP(B238,input_595101!L:R,7,FALSE),VLOOKUP(tables_595101!C238,input_595101!A:H,8,FALSE))</f>
        <v>19400</v>
      </c>
      <c r="P238" s="46">
        <f t="shared" ca="1" si="10"/>
        <v>1.3333333333347084E-4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input_595101!A$2</f>
        <v>595101</v>
      </c>
      <c r="B239" s="102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IFERROR(VLOOKUP(B239,input_595101!L:R,7,FALSE),VLOOKUP(tables_595101!C239,input_595101!A:H,8,FALSE))</f>
        <v>427500</v>
      </c>
      <c r="P239" s="46">
        <f t="shared" ca="1" si="10"/>
        <v>2.9381443298999374E-3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input_595101!A$2</f>
        <v>595101</v>
      </c>
      <c r="B240" s="102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IFERROR(VLOOKUP(B240,input_595101!L:R,7,FALSE),VLOOKUP(tables_595101!C240,input_595101!A:H,8,FALSE))</f>
        <v>712500</v>
      </c>
      <c r="P240" s="46">
        <f t="shared" ca="1" si="10"/>
        <v>4.896907216499896E-3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input_595101!A$2</f>
        <v>595101</v>
      </c>
      <c r="B241" s="102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IFERROR(VLOOKUP(B241,input_595101!L:R,7,FALSE),VLOOKUP(tables_595101!C241,input_595101!A:H,8,FALSE))</f>
        <v>291592.30768999999</v>
      </c>
      <c r="P241" s="46">
        <f t="shared" ca="1" si="10"/>
        <v>2.0040708432323071E-3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input_595101!A$2</f>
        <v>595101</v>
      </c>
      <c r="B242" s="102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IFERROR(VLOOKUP(B242,input_595101!L:R,7,FALSE),VLOOKUP(tables_595101!C242,input_595101!A:H,8,FALSE))</f>
        <v>77600</v>
      </c>
      <c r="P242" s="46">
        <f t="shared" ca="1" si="10"/>
        <v>5.3333333333388337E-4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input_595101!A$2</f>
        <v>595101</v>
      </c>
      <c r="B243" s="102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IFERROR(VLOOKUP(B243,input_595101!L:R,7,FALSE),VLOOKUP(tables_595101!C243,input_595101!A:H,8,FALSE))</f>
        <v>19400</v>
      </c>
      <c r="P243" s="46">
        <f t="shared" ca="1" si="10"/>
        <v>1.3333333333347084E-4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input_595101!A$2</f>
        <v>595101</v>
      </c>
      <c r="B244" s="102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IFERROR(VLOOKUP(B244,input_595101!L:R,7,FALSE),VLOOKUP(tables_595101!C244,input_595101!A:H,8,FALSE))</f>
        <v>77600</v>
      </c>
      <c r="P244" s="46">
        <f t="shared" ca="1" si="10"/>
        <v>5.3333333333388337E-4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input_595101!A$2</f>
        <v>595101</v>
      </c>
      <c r="B245" s="102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IFERROR(VLOOKUP(B245,input_595101!L:R,7,FALSE),VLOOKUP(tables_595101!C245,input_595101!A:H,8,FALSE))</f>
        <v>19400</v>
      </c>
      <c r="P245" s="46">
        <f t="shared" ca="1" si="10"/>
        <v>1.3333333333347084E-4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input_595101!A$2</f>
        <v>595101</v>
      </c>
      <c r="B246" s="102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IFERROR(VLOOKUP(B246,input_595101!L:R,7,FALSE),VLOOKUP(tables_595101!C246,input_595101!A:H,8,FALSE))</f>
        <v>427500</v>
      </c>
      <c r="P246" s="46">
        <f t="shared" ca="1" si="10"/>
        <v>2.9381443298999374E-3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input_595101!A$2</f>
        <v>595101</v>
      </c>
      <c r="B247" s="102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IFERROR(VLOOKUP(B247,input_595101!L:R,7,FALSE),VLOOKUP(tables_595101!C247,input_595101!A:H,8,FALSE))</f>
        <v>712500</v>
      </c>
      <c r="P247" s="46">
        <f t="shared" ca="1" si="10"/>
        <v>4.896907216499896E-3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input_595101!A$2</f>
        <v>595101</v>
      </c>
      <c r="B248" s="102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IFERROR(VLOOKUP(B248,input_595101!L:R,7,FALSE),VLOOKUP(tables_595101!C248,input_595101!A:H,8,FALSE))</f>
        <v>291592.30768999999</v>
      </c>
      <c r="P248" s="46">
        <f t="shared" ca="1" si="10"/>
        <v>2.0040708432323071E-3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input_595101!A$2</f>
        <v>595101</v>
      </c>
      <c r="B249" s="102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IFERROR(VLOOKUP(B249,input_595101!L:R,7,FALSE),VLOOKUP(tables_595101!C249,input_595101!A:H,8,FALSE))</f>
        <v>427500</v>
      </c>
      <c r="P249" s="46">
        <f t="shared" ca="1" si="10"/>
        <v>2.9381443298999374E-3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input_595101!A$2</f>
        <v>595101</v>
      </c>
      <c r="B250" s="102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IFERROR(VLOOKUP(B250,input_595101!L:R,7,FALSE),VLOOKUP(tables_595101!C250,input_595101!A:H,8,FALSE))</f>
        <v>712500</v>
      </c>
      <c r="P250" s="46">
        <f t="shared" ca="1" si="10"/>
        <v>4.896907216499896E-3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input_595101!A$2</f>
        <v>595101</v>
      </c>
      <c r="B251" s="102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IFERROR(VLOOKUP(B251,input_595101!L:R,7,FALSE),VLOOKUP(tables_595101!C251,input_595101!A:H,8,FALSE))</f>
        <v>291592.30768999999</v>
      </c>
      <c r="P251" s="46">
        <f t="shared" ca="1" si="10"/>
        <v>2.0040708432323071E-3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input_595101!A$2</f>
        <v>595101</v>
      </c>
      <c r="B252" s="102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IFERROR(VLOOKUP(B252,input_595101!L:R,7,FALSE),VLOOKUP(tables_595101!C252,input_595101!A:H,8,FALSE))</f>
        <v>427500</v>
      </c>
      <c r="P252" s="46">
        <f t="shared" ca="1" si="10"/>
        <v>2.9381443298999374E-3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input_595101!A$2</f>
        <v>595101</v>
      </c>
      <c r="B253" s="102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IFERROR(VLOOKUP(B253,input_595101!L:R,7,FALSE),VLOOKUP(tables_595101!C253,input_595101!A:H,8,FALSE))</f>
        <v>712500</v>
      </c>
      <c r="P253" s="46">
        <f t="shared" ca="1" si="10"/>
        <v>4.896907216499896E-3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input_595101!A$2</f>
        <v>595101</v>
      </c>
      <c r="B254" s="102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IFERROR(VLOOKUP(B254,input_595101!L:R,7,FALSE),VLOOKUP(tables_595101!C254,input_595101!A:H,8,FALSE))</f>
        <v>291592.30768999999</v>
      </c>
      <c r="P254" s="46">
        <f t="shared" ca="1" si="10"/>
        <v>2.0040708432323071E-3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input_595101!A$2</f>
        <v>595101</v>
      </c>
      <c r="B255" s="102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IFERROR(VLOOKUP(B255,input_595101!L:R,7,FALSE),VLOOKUP(tables_595101!C255,input_595101!A:H,8,FALSE))</f>
        <v>427500</v>
      </c>
      <c r="P255" s="46">
        <f t="shared" ca="1" si="10"/>
        <v>2.9381443298999374E-3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input_595101!A$2</f>
        <v>595101</v>
      </c>
      <c r="B256" s="102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IFERROR(VLOOKUP(B256,input_595101!L:R,7,FALSE),VLOOKUP(tables_595101!C256,input_595101!A:H,8,FALSE))</f>
        <v>712500</v>
      </c>
      <c r="P256" s="46">
        <f t="shared" ca="1" si="10"/>
        <v>4.896907216499896E-3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input_595101!A$2</f>
        <v>595101</v>
      </c>
      <c r="B257" s="102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IFERROR(VLOOKUP(B257,input_595101!L:R,7,FALSE),VLOOKUP(tables_595101!C257,input_595101!A:H,8,FALSE))</f>
        <v>291592.30768999999</v>
      </c>
      <c r="P257" s="46">
        <f t="shared" ca="1" si="10"/>
        <v>2.0040708432323071E-3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input_595101!A$2</f>
        <v>595101</v>
      </c>
      <c r="B258" s="102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IFERROR(VLOOKUP(B258,input_595101!L:R,7,FALSE),VLOOKUP(tables_595101!C258,input_595101!A:H,8,FALSE))</f>
        <v>77600</v>
      </c>
      <c r="P258" s="46">
        <f t="shared" ref="P258:P321" ca="1" si="13">O258/SUM(O:O)</f>
        <v>5.3333333333388337E-4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input_595101!A$2</f>
        <v>595101</v>
      </c>
      <c r="B259" s="102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IFERROR(VLOOKUP(B259,input_595101!L:R,7,FALSE),VLOOKUP(tables_595101!C259,input_595101!A:H,8,FALSE))</f>
        <v>19400</v>
      </c>
      <c r="P259" s="46">
        <f t="shared" ca="1" si="13"/>
        <v>1.3333333333347084E-4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input_595101!A$2</f>
        <v>595101</v>
      </c>
      <c r="B260" s="102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IFERROR(VLOOKUP(B260,input_595101!L:R,7,FALSE),VLOOKUP(tables_595101!C260,input_595101!A:H,8,FALSE))</f>
        <v>77600</v>
      </c>
      <c r="P260" s="46">
        <f t="shared" ca="1" si="13"/>
        <v>5.3333333333388337E-4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input_595101!A$2</f>
        <v>595101</v>
      </c>
      <c r="B261" s="102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IFERROR(VLOOKUP(B261,input_595101!L:R,7,FALSE),VLOOKUP(tables_595101!C261,input_595101!A:H,8,FALSE))</f>
        <v>19400</v>
      </c>
      <c r="P261" s="46">
        <f t="shared" ca="1" si="13"/>
        <v>1.3333333333347084E-4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input_595101!A$2</f>
        <v>595101</v>
      </c>
      <c r="B262" s="102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IFERROR(VLOOKUP(B262,input_595101!L:R,7,FALSE),VLOOKUP(tables_595101!C262,input_595101!A:H,8,FALSE))</f>
        <v>1058571.42857</v>
      </c>
      <c r="P262" s="46">
        <f t="shared" ca="1" si="13"/>
        <v>7.2754050073614547E-3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input_595101!A$2</f>
        <v>595101</v>
      </c>
      <c r="B263" s="102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IFERROR(VLOOKUP(B263,input_595101!L:R,7,FALSE),VLOOKUP(tables_595101!C263,input_595101!A:H,8,FALSE))</f>
        <v>285000</v>
      </c>
      <c r="P263" s="46">
        <f t="shared" ca="1" si="13"/>
        <v>1.9587628865999581E-3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input_595101!A$2</f>
        <v>595101</v>
      </c>
      <c r="B264" s="102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IFERROR(VLOOKUP(B264,input_595101!L:R,7,FALSE),VLOOKUP(tables_595101!C264,input_595101!A:H,8,FALSE))</f>
        <v>1058571.42857</v>
      </c>
      <c r="P264" s="46">
        <f t="shared" ca="1" si="13"/>
        <v>7.2754050073614547E-3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input_595101!A$2</f>
        <v>595101</v>
      </c>
      <c r="B265" s="102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IFERROR(VLOOKUP(B265,input_595101!L:R,7,FALSE),VLOOKUP(tables_595101!C265,input_595101!A:H,8,FALSE))</f>
        <v>285000</v>
      </c>
      <c r="P265" s="46">
        <f t="shared" ca="1" si="13"/>
        <v>1.9587628865999581E-3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input_595101!A$2</f>
        <v>595101</v>
      </c>
      <c r="B266" s="102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IFERROR(VLOOKUP(B266,input_595101!L:R,7,FALSE),VLOOKUP(tables_595101!C266,input_595101!A:H,8,FALSE))</f>
        <v>97000</v>
      </c>
      <c r="P266" s="46">
        <f t="shared" ca="1" si="13"/>
        <v>6.6666666666735425E-4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input_595101!A$2</f>
        <v>595101</v>
      </c>
      <c r="B267" s="102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IFERROR(VLOOKUP(B267,input_595101!L:R,7,FALSE),VLOOKUP(tables_595101!C267,input_595101!A:H,8,FALSE))</f>
        <v>97000</v>
      </c>
      <c r="P267" s="46">
        <f t="shared" ca="1" si="13"/>
        <v>6.6666666666735425E-4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input_595101!A$2</f>
        <v>595101</v>
      </c>
      <c r="B268" s="102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IFERROR(VLOOKUP(B268,input_595101!L:R,7,FALSE),VLOOKUP(tables_595101!C268,input_595101!A:H,8,FALSE))</f>
        <v>97000</v>
      </c>
      <c r="P268" s="46">
        <f t="shared" ca="1" si="13"/>
        <v>6.6666666666735425E-4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input_595101!A$2</f>
        <v>595101</v>
      </c>
      <c r="B269" s="102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IFERROR(VLOOKUP(B269,input_595101!L:R,7,FALSE),VLOOKUP(tables_595101!C269,input_595101!A:H,8,FALSE))</f>
        <v>97000</v>
      </c>
      <c r="P269" s="46">
        <f t="shared" ca="1" si="13"/>
        <v>6.6666666666735425E-4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input_595101!A$2</f>
        <v>595101</v>
      </c>
      <c r="B270" s="102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IFERROR(VLOOKUP(B270,input_595101!L:R,7,FALSE),VLOOKUP(tables_595101!C270,input_595101!A:H,8,FALSE))</f>
        <v>1058571.42857</v>
      </c>
      <c r="P270" s="46">
        <f t="shared" ca="1" si="13"/>
        <v>7.2754050073614547E-3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input_595101!A$2</f>
        <v>595101</v>
      </c>
      <c r="B271" s="104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IFERROR(VLOOKUP(B271,input_595101!L:R,7,FALSE),VLOOKUP(tables_595101!C271,input_595101!A:H,8,FALSE))</f>
        <v>285000</v>
      </c>
      <c r="P271" s="46">
        <f t="shared" ca="1" si="13"/>
        <v>1.9587628865999581E-3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input_595101!A$2</f>
        <v>595101</v>
      </c>
      <c r="B272" s="104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IFERROR(VLOOKUP(B272,input_595101!L:R,7,FALSE),VLOOKUP(tables_595101!C272,input_595101!A:H,8,FALSE))</f>
        <v>1058571.42857</v>
      </c>
      <c r="P272" s="46">
        <f t="shared" ca="1" si="13"/>
        <v>7.2754050073614547E-3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input_595101!A$2</f>
        <v>595101</v>
      </c>
      <c r="B273" s="104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IFERROR(VLOOKUP(B273,input_595101!L:R,7,FALSE),VLOOKUP(tables_595101!C273,input_595101!A:H,8,FALSE))</f>
        <v>285000</v>
      </c>
      <c r="P273" s="46">
        <f t="shared" ca="1" si="13"/>
        <v>1.9587628865999581E-3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input_595101!A$2</f>
        <v>595101</v>
      </c>
      <c r="B274" s="104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IFERROR(VLOOKUP(B274,input_595101!L:R,7,FALSE),VLOOKUP(tables_595101!C274,input_595101!A:H,8,FALSE))</f>
        <v>77600</v>
      </c>
      <c r="P274" s="46">
        <f t="shared" ca="1" si="13"/>
        <v>5.3333333333388337E-4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input_595101!A$2</f>
        <v>595101</v>
      </c>
      <c r="B275" s="104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IFERROR(VLOOKUP(B275,input_595101!L:R,7,FALSE),VLOOKUP(tables_595101!C275,input_595101!A:H,8,FALSE))</f>
        <v>19400</v>
      </c>
      <c r="P275" s="46">
        <f t="shared" ca="1" si="13"/>
        <v>1.3333333333347084E-4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input_595101!A$2</f>
        <v>595101</v>
      </c>
      <c r="B276" s="104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IFERROR(VLOOKUP(B276,input_595101!L:R,7,FALSE),VLOOKUP(tables_595101!C276,input_595101!A:H,8,FALSE))</f>
        <v>77600</v>
      </c>
      <c r="P276" s="46">
        <f t="shared" ca="1" si="13"/>
        <v>5.3333333333388337E-4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input_595101!A$2</f>
        <v>595101</v>
      </c>
      <c r="B277" s="104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IFERROR(VLOOKUP(B277,input_595101!L:R,7,FALSE),VLOOKUP(tables_595101!C277,input_595101!A:H,8,FALSE))</f>
        <v>19400</v>
      </c>
      <c r="P277" s="46">
        <f t="shared" ca="1" si="13"/>
        <v>1.3333333333347084E-4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input_595101!A$2</f>
        <v>595101</v>
      </c>
      <c r="B278" s="104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IFERROR(VLOOKUP(B278,input_595101!L:R,7,FALSE),VLOOKUP(tables_595101!C278,input_595101!A:H,8,FALSE))</f>
        <v>427500</v>
      </c>
      <c r="P278" s="46">
        <f t="shared" ca="1" si="13"/>
        <v>2.9381443298999374E-3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input_595101!A$2</f>
        <v>595101</v>
      </c>
      <c r="B279" s="104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IFERROR(VLOOKUP(B279,input_595101!L:R,7,FALSE),VLOOKUP(tables_595101!C279,input_595101!A:H,8,FALSE))</f>
        <v>712500</v>
      </c>
      <c r="P279" s="46">
        <f t="shared" ca="1" si="13"/>
        <v>4.896907216499896E-3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input_595101!A$2</f>
        <v>595101</v>
      </c>
      <c r="B280" s="104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IFERROR(VLOOKUP(B280,input_595101!L:R,7,FALSE),VLOOKUP(tables_595101!C280,input_595101!A:H,8,FALSE))</f>
        <v>291592.30768999999</v>
      </c>
      <c r="P280" s="46">
        <f t="shared" ca="1" si="13"/>
        <v>2.0040708432323071E-3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input_595101!A$2</f>
        <v>595101</v>
      </c>
      <c r="B281" s="104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IFERROR(VLOOKUP(B281,input_595101!L:R,7,FALSE),VLOOKUP(tables_595101!C281,input_595101!A:H,8,FALSE))</f>
        <v>427500</v>
      </c>
      <c r="P281" s="46">
        <f t="shared" ca="1" si="13"/>
        <v>2.9381443298999374E-3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input_595101!A$2</f>
        <v>595101</v>
      </c>
      <c r="B282" s="104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IFERROR(VLOOKUP(B282,input_595101!L:R,7,FALSE),VLOOKUP(tables_595101!C282,input_595101!A:H,8,FALSE))</f>
        <v>712500</v>
      </c>
      <c r="P282" s="46">
        <f t="shared" ca="1" si="13"/>
        <v>4.896907216499896E-3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input_595101!A$2</f>
        <v>595101</v>
      </c>
      <c r="B283" s="104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IFERROR(VLOOKUP(B283,input_595101!L:R,7,FALSE),VLOOKUP(tables_595101!C283,input_595101!A:H,8,FALSE))</f>
        <v>291592.30768999999</v>
      </c>
      <c r="P283" s="46">
        <f t="shared" ca="1" si="13"/>
        <v>2.0040708432323071E-3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input_595101!A$2</f>
        <v>595101</v>
      </c>
      <c r="B284" s="104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IFERROR(VLOOKUP(B284,input_595101!L:R,7,FALSE),VLOOKUP(tables_595101!C284,input_595101!A:H,8,FALSE))</f>
        <v>97000</v>
      </c>
      <c r="P284" s="46">
        <f t="shared" ca="1" si="13"/>
        <v>6.6666666666735425E-4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input_595101!A$2</f>
        <v>595101</v>
      </c>
      <c r="B285" s="104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IFERROR(VLOOKUP(B285,input_595101!L:R,7,FALSE),VLOOKUP(tables_595101!C285,input_595101!A:H,8,FALSE))</f>
        <v>97000</v>
      </c>
      <c r="P285" s="46">
        <f t="shared" ca="1" si="13"/>
        <v>6.6666666666735425E-4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input_595101!A$2</f>
        <v>595101</v>
      </c>
      <c r="B286" s="104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IFERROR(VLOOKUP(B286,input_595101!L:R,7,FALSE),VLOOKUP(tables_595101!C286,input_595101!A:H,8,FALSE))</f>
        <v>1058571.42857</v>
      </c>
      <c r="P286" s="46">
        <f t="shared" ca="1" si="13"/>
        <v>7.2754050073614547E-3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input_595101!A$2</f>
        <v>595101</v>
      </c>
      <c r="B287" s="104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IFERROR(VLOOKUP(B287,input_595101!L:R,7,FALSE),VLOOKUP(tables_595101!C287,input_595101!A:H,8,FALSE))</f>
        <v>285000</v>
      </c>
      <c r="P287" s="46">
        <f t="shared" ca="1" si="13"/>
        <v>1.9587628865999581E-3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input_595101!A$2</f>
        <v>595101</v>
      </c>
      <c r="B288" s="104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IFERROR(VLOOKUP(B288,input_595101!L:R,7,FALSE),VLOOKUP(tables_595101!C288,input_595101!A:H,8,FALSE))</f>
        <v>1058571.42857</v>
      </c>
      <c r="P288" s="46">
        <f t="shared" ca="1" si="13"/>
        <v>7.2754050073614547E-3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input_595101!A$2</f>
        <v>595101</v>
      </c>
      <c r="B289" s="104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IFERROR(VLOOKUP(B289,input_595101!L:R,7,FALSE),VLOOKUP(tables_595101!C289,input_595101!A:H,8,FALSE))</f>
        <v>285000</v>
      </c>
      <c r="P289" s="46">
        <f t="shared" ca="1" si="13"/>
        <v>1.9587628865999581E-3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input_595101!A$2</f>
        <v>595101</v>
      </c>
      <c r="B290" s="104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IFERROR(VLOOKUP(B290,input_595101!L:R,7,FALSE),VLOOKUP(tables_595101!C290,input_595101!A:H,8,FALSE))</f>
        <v>1058571.42857</v>
      </c>
      <c r="P290" s="46">
        <f t="shared" ca="1" si="13"/>
        <v>7.2754050073614547E-3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input_595101!A$2</f>
        <v>595101</v>
      </c>
      <c r="B291" s="104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IFERROR(VLOOKUP(B291,input_595101!L:R,7,FALSE),VLOOKUP(tables_595101!C291,input_595101!A:H,8,FALSE))</f>
        <v>285000</v>
      </c>
      <c r="P291" s="46">
        <f t="shared" ca="1" si="13"/>
        <v>1.9587628865999581E-3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input_595101!A$2</f>
        <v>595101</v>
      </c>
      <c r="B292" s="104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IFERROR(VLOOKUP(B292,input_595101!L:R,7,FALSE),VLOOKUP(tables_595101!C292,input_595101!A:H,8,FALSE))</f>
        <v>1058571.42857</v>
      </c>
      <c r="P292" s="46">
        <f t="shared" ca="1" si="13"/>
        <v>7.2754050073614547E-3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input_595101!A$2</f>
        <v>595101</v>
      </c>
      <c r="B293" s="104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IFERROR(VLOOKUP(B293,input_595101!L:R,7,FALSE),VLOOKUP(tables_595101!C293,input_595101!A:H,8,FALSE))</f>
        <v>285000</v>
      </c>
      <c r="P293" s="46">
        <f t="shared" ca="1" si="13"/>
        <v>1.9587628865999581E-3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input_595101!A$2</f>
        <v>595101</v>
      </c>
      <c r="B294" s="104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IFERROR(VLOOKUP(B294,input_595101!L:R,7,FALSE),VLOOKUP(tables_595101!C294,input_595101!A:H,8,FALSE))</f>
        <v>97000</v>
      </c>
      <c r="P294" s="46">
        <f t="shared" ca="1" si="13"/>
        <v>6.6666666666735425E-4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input_595101!A$2</f>
        <v>595101</v>
      </c>
      <c r="B295" s="104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IFERROR(VLOOKUP(B295,input_595101!L:R,7,FALSE),VLOOKUP(tables_595101!C295,input_595101!A:H,8,FALSE))</f>
        <v>97000</v>
      </c>
      <c r="P295" s="46">
        <f t="shared" ca="1" si="13"/>
        <v>6.6666666666735425E-4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input_595101!A$2</f>
        <v>595101</v>
      </c>
      <c r="B296" s="104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IFERROR(VLOOKUP(B296,input_595101!L:R,7,FALSE),VLOOKUP(tables_595101!C296,input_595101!A:H,8,FALSE))</f>
        <v>97000</v>
      </c>
      <c r="P296" s="46">
        <f t="shared" ca="1" si="13"/>
        <v>6.6666666666735425E-4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input_595101!A$2</f>
        <v>595101</v>
      </c>
      <c r="B297" s="104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IFERROR(VLOOKUP(B297,input_595101!L:R,7,FALSE),VLOOKUP(tables_595101!C297,input_595101!A:H,8,FALSE))</f>
        <v>1058571.42857</v>
      </c>
      <c r="P297" s="46">
        <f t="shared" ca="1" si="13"/>
        <v>7.2754050073614547E-3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input_595101!A$2</f>
        <v>595101</v>
      </c>
      <c r="B298" s="104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IFERROR(VLOOKUP(B298,input_595101!L:R,7,FALSE),VLOOKUP(tables_595101!C298,input_595101!A:H,8,FALSE))</f>
        <v>285000</v>
      </c>
      <c r="P298" s="46">
        <f t="shared" ca="1" si="13"/>
        <v>1.9587628865999581E-3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input_595101!A$2</f>
        <v>595101</v>
      </c>
      <c r="B299" s="104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IFERROR(VLOOKUP(B299,input_595101!L:R,7,FALSE),VLOOKUP(tables_595101!C299,input_595101!A:H,8,FALSE))</f>
        <v>97000</v>
      </c>
      <c r="P299" s="46">
        <f t="shared" ca="1" si="13"/>
        <v>6.6666666666735425E-4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input_595101!A$2</f>
        <v>595101</v>
      </c>
      <c r="B300" s="104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IFERROR(VLOOKUP(B300,input_595101!L:R,7,FALSE),VLOOKUP(tables_595101!C300,input_595101!A:H,8,FALSE))</f>
        <v>97000</v>
      </c>
      <c r="P300" s="46">
        <f t="shared" ca="1" si="13"/>
        <v>6.6666666666735425E-4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input_595101!A$2</f>
        <v>595101</v>
      </c>
      <c r="B301" s="104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IFERROR(VLOOKUP(B301,input_595101!L:R,7,FALSE),VLOOKUP(tables_595101!C301,input_595101!A:H,8,FALSE))</f>
        <v>97000</v>
      </c>
      <c r="P301" s="46">
        <f t="shared" ca="1" si="13"/>
        <v>6.6666666666735425E-4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input_595101!A$2</f>
        <v>595101</v>
      </c>
      <c r="B302" s="104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IFERROR(VLOOKUP(B302,input_595101!L:R,7,FALSE),VLOOKUP(tables_595101!C302,input_595101!A:H,8,FALSE))</f>
        <v>97000</v>
      </c>
      <c r="P302" s="46">
        <f t="shared" ca="1" si="13"/>
        <v>6.6666666666735425E-4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input_595101!A$2</f>
        <v>595101</v>
      </c>
      <c r="B303" s="104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IFERROR(VLOOKUP(B303,input_595101!L:R,7,FALSE),VLOOKUP(tables_595101!C303,input_595101!A:H,8,FALSE))</f>
        <v>1058571.42857</v>
      </c>
      <c r="P303" s="46">
        <f t="shared" ca="1" si="13"/>
        <v>7.2754050073614547E-3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input_595101!A$2</f>
        <v>595101</v>
      </c>
      <c r="B304" s="104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IFERROR(VLOOKUP(B304,input_595101!L:R,7,FALSE),VLOOKUP(tables_595101!C304,input_595101!A:H,8,FALSE))</f>
        <v>285000</v>
      </c>
      <c r="P304" s="46">
        <f t="shared" ca="1" si="13"/>
        <v>1.9587628865999581E-3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input_595101!A$2</f>
        <v>595101</v>
      </c>
      <c r="B305" s="104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IFERROR(VLOOKUP(B305,input_595101!L:R,7,FALSE),VLOOKUP(tables_595101!C305,input_595101!A:H,8,FALSE))</f>
        <v>97000</v>
      </c>
      <c r="P305" s="46">
        <f t="shared" ca="1" si="13"/>
        <v>6.6666666666735425E-4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input_595101!A$2</f>
        <v>595101</v>
      </c>
      <c r="B306" s="104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IFERROR(VLOOKUP(B306,input_595101!L:R,7,FALSE),VLOOKUP(tables_595101!C306,input_595101!A:H,8,FALSE))</f>
        <v>1058571.42857</v>
      </c>
      <c r="P306" s="46">
        <f t="shared" ca="1" si="13"/>
        <v>7.2754050073614547E-3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input_595101!A$2</f>
        <v>595101</v>
      </c>
      <c r="B307" s="104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IFERROR(VLOOKUP(B307,input_595101!L:R,7,FALSE),VLOOKUP(tables_595101!C307,input_595101!A:H,8,FALSE))</f>
        <v>285000</v>
      </c>
      <c r="P307" s="46">
        <f t="shared" ca="1" si="13"/>
        <v>1.9587628865999581E-3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input_595101!A$2</f>
        <v>595101</v>
      </c>
      <c r="B308" s="104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IFERROR(VLOOKUP(B308,input_595101!L:R,7,FALSE),VLOOKUP(tables_595101!C308,input_595101!A:H,8,FALSE))</f>
        <v>97000</v>
      </c>
      <c r="P308" s="46">
        <f t="shared" ca="1" si="13"/>
        <v>6.6666666666735425E-4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input_595101!A$2</f>
        <v>595101</v>
      </c>
      <c r="B309" s="104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IFERROR(VLOOKUP(B309,input_595101!L:R,7,FALSE),VLOOKUP(tables_595101!C309,input_595101!A:H,8,FALSE))</f>
        <v>97000</v>
      </c>
      <c r="P309" s="46">
        <f t="shared" ca="1" si="13"/>
        <v>6.6666666666735425E-4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input_595101!A$2</f>
        <v>595101</v>
      </c>
      <c r="B310" s="104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IFERROR(VLOOKUP(B310,input_595101!L:R,7,FALSE),VLOOKUP(tables_595101!C310,input_595101!A:H,8,FALSE))</f>
        <v>97000</v>
      </c>
      <c r="P310" s="46">
        <f t="shared" ca="1" si="13"/>
        <v>6.6666666666735425E-4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input_595101!A$2</f>
        <v>595101</v>
      </c>
      <c r="B311" s="104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IFERROR(VLOOKUP(B311,input_595101!L:R,7,FALSE),VLOOKUP(tables_595101!C311,input_595101!A:H,8,FALSE))</f>
        <v>1058571.42857</v>
      </c>
      <c r="P311" s="46">
        <f t="shared" ca="1" si="13"/>
        <v>7.2754050073614547E-3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input_595101!A$2</f>
        <v>595101</v>
      </c>
      <c r="B312" s="104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IFERROR(VLOOKUP(B312,input_595101!L:R,7,FALSE),VLOOKUP(tables_595101!C312,input_595101!A:H,8,FALSE))</f>
        <v>285000</v>
      </c>
      <c r="P312" s="46">
        <f t="shared" ca="1" si="13"/>
        <v>1.9587628865999581E-3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input_595101!A$2</f>
        <v>595101</v>
      </c>
      <c r="B313" s="104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IFERROR(VLOOKUP(B313,input_595101!L:R,7,FALSE),VLOOKUP(tables_595101!C313,input_595101!A:H,8,FALSE))</f>
        <v>97000</v>
      </c>
      <c r="P313" s="46">
        <f t="shared" ca="1" si="13"/>
        <v>6.6666666666735425E-4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input_595101!A$2</f>
        <v>595101</v>
      </c>
      <c r="B314" s="104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IFERROR(VLOOKUP(B314,input_595101!L:R,7,FALSE),VLOOKUP(tables_595101!C314,input_595101!A:H,8,FALSE))</f>
        <v>97000</v>
      </c>
      <c r="P314" s="46">
        <f t="shared" ca="1" si="13"/>
        <v>6.6666666666735425E-4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input_595101!A$2</f>
        <v>595101</v>
      </c>
      <c r="B315" s="104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IFERROR(VLOOKUP(B315,input_595101!L:R,7,FALSE),VLOOKUP(tables_595101!C315,input_595101!A:H,8,FALSE))</f>
        <v>97000</v>
      </c>
      <c r="P315" s="46">
        <f t="shared" ca="1" si="13"/>
        <v>6.6666666666735425E-4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input_595101!A$2</f>
        <v>595101</v>
      </c>
      <c r="B316" s="104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IFERROR(VLOOKUP(B316,input_595101!L:R,7,FALSE),VLOOKUP(tables_595101!C316,input_595101!A:H,8,FALSE))</f>
        <v>97000</v>
      </c>
      <c r="P316" s="46">
        <f t="shared" ca="1" si="13"/>
        <v>6.6666666666735425E-4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input_595101!A$2</f>
        <v>595101</v>
      </c>
      <c r="B317" s="104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IFERROR(VLOOKUP(B317,input_595101!L:R,7,FALSE),VLOOKUP(tables_595101!C317,input_595101!A:H,8,FALSE))</f>
        <v>97000</v>
      </c>
      <c r="P317" s="46">
        <f t="shared" ca="1" si="13"/>
        <v>6.6666666666735425E-4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input_595101!A$2</f>
        <v>595101</v>
      </c>
      <c r="B318" s="104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IFERROR(VLOOKUP(B318,input_595101!L:R,7,FALSE),VLOOKUP(tables_595101!C318,input_595101!A:H,8,FALSE))</f>
        <v>1058571.42857</v>
      </c>
      <c r="P318" s="46">
        <f t="shared" ca="1" si="13"/>
        <v>7.2754050073614547E-3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input_595101!A$2</f>
        <v>595101</v>
      </c>
      <c r="B319" s="104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IFERROR(VLOOKUP(B319,input_595101!L:R,7,FALSE),VLOOKUP(tables_595101!C319,input_595101!A:H,8,FALSE))</f>
        <v>285000</v>
      </c>
      <c r="P319" s="46">
        <f t="shared" ca="1" si="13"/>
        <v>1.9587628865999581E-3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input_595101!A$2</f>
        <v>595101</v>
      </c>
      <c r="B320" s="104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IFERROR(VLOOKUP(B320,input_595101!L:R,7,FALSE),VLOOKUP(tables_595101!C320,input_595101!A:H,8,FALSE))</f>
        <v>97000</v>
      </c>
      <c r="P320" s="46">
        <f t="shared" ca="1" si="13"/>
        <v>6.6666666666735425E-4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input_595101!A$2</f>
        <v>595101</v>
      </c>
      <c r="B321" s="104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IFERROR(VLOOKUP(B321,input_595101!L:R,7,FALSE),VLOOKUP(tables_595101!C321,input_595101!A:H,8,FALSE))</f>
        <v>97000</v>
      </c>
      <c r="P321" s="46">
        <f t="shared" ca="1" si="13"/>
        <v>6.6666666666735425E-4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input_595101!A$2</f>
        <v>595101</v>
      </c>
      <c r="B322" s="104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IFERROR(VLOOKUP(B322,input_595101!L:R,7,FALSE),VLOOKUP(tables_595101!C322,input_595101!A:H,8,FALSE))</f>
        <v>97000</v>
      </c>
      <c r="P322" s="46">
        <f t="shared" ref="P322:P346" ca="1" si="23">O322/SUM(O:O)</f>
        <v>6.6666666666735425E-4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input_595101!A$2</f>
        <v>595101</v>
      </c>
      <c r="B323" s="104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IFERROR(VLOOKUP(B323,input_595101!L:R,7,FALSE),VLOOKUP(tables_595101!C323,input_595101!A:H,8,FALSE))</f>
        <v>97000</v>
      </c>
      <c r="P323" s="46">
        <f t="shared" ca="1" si="23"/>
        <v>6.6666666666735425E-4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input_595101!A$2</f>
        <v>595101</v>
      </c>
      <c r="B324" s="104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IFERROR(VLOOKUP(B324,input_595101!L:R,7,FALSE),VLOOKUP(tables_595101!C324,input_595101!A:H,8,FALSE))</f>
        <v>1058571.42857</v>
      </c>
      <c r="P324" s="46">
        <f t="shared" ca="1" si="23"/>
        <v>7.2754050073614547E-3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input_595101!A$2</f>
        <v>595101</v>
      </c>
      <c r="B325" s="104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IFERROR(VLOOKUP(B325,input_595101!L:R,7,FALSE),VLOOKUP(tables_595101!C325,input_595101!A:H,8,FALSE))</f>
        <v>285000</v>
      </c>
      <c r="P325" s="46">
        <f t="shared" ca="1" si="23"/>
        <v>1.9587628865999581E-3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input_595101!A$2</f>
        <v>595101</v>
      </c>
      <c r="B326" s="104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IFERROR(VLOOKUP(B326,input_595101!L:R,7,FALSE),VLOOKUP(tables_595101!C326,input_595101!A:H,8,FALSE))</f>
        <v>1058571.42857</v>
      </c>
      <c r="P326" s="46">
        <f t="shared" ca="1" si="23"/>
        <v>7.2754050073614547E-3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input_595101!A$2</f>
        <v>595101</v>
      </c>
      <c r="B327" s="104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IFERROR(VLOOKUP(B327,input_595101!L:R,7,FALSE),VLOOKUP(tables_595101!C327,input_595101!A:H,8,FALSE))</f>
        <v>285000</v>
      </c>
      <c r="P327" s="46">
        <f t="shared" ca="1" si="23"/>
        <v>1.9587628865999581E-3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input_595101!A$2</f>
        <v>595101</v>
      </c>
      <c r="B328" s="104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IFERROR(VLOOKUP(B328,input_595101!L:R,7,FALSE),VLOOKUP(tables_595101!C328,input_595101!A:H,8,FALSE))</f>
        <v>97000</v>
      </c>
      <c r="P328" s="46">
        <f t="shared" ca="1" si="23"/>
        <v>6.6666666666735425E-4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input_595101!A$2</f>
        <v>595101</v>
      </c>
      <c r="B329" s="104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IFERROR(VLOOKUP(B329,input_595101!L:R,7,FALSE),VLOOKUP(tables_595101!C329,input_595101!A:H,8,FALSE))</f>
        <v>97000</v>
      </c>
      <c r="P329" s="46">
        <f t="shared" ca="1" si="23"/>
        <v>6.6666666666735425E-4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input_595101!A$2</f>
        <v>595101</v>
      </c>
      <c r="B330" s="104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IFERROR(VLOOKUP(B330,input_595101!L:R,7,FALSE),VLOOKUP(tables_595101!C330,input_595101!A:H,8,FALSE))</f>
        <v>97000</v>
      </c>
      <c r="P330" s="46">
        <f t="shared" ca="1" si="23"/>
        <v>6.6666666666735425E-4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input_595101!A$2</f>
        <v>595101</v>
      </c>
      <c r="B331" s="102">
        <v>1214</v>
      </c>
      <c r="C331" s="7" t="str">
        <f t="shared" ref="C331:C335" si="26">D331&amp;J331&amp;E331&amp;F331&amp;G331</f>
        <v>PremiumSS5R5only</v>
      </c>
      <c r="D331" s="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IFERROR(VLOOKUP(B331,input_595101!L:R,7,FALSE),VLOOKUP(tables_595101!C331,input_595101!A:H,8,FALSE))</f>
        <v>97000</v>
      </c>
      <c r="P331" s="46">
        <f t="shared" ca="1" si="23"/>
        <v>6.6666666666735425E-4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input_595101!A$2</f>
        <v>595101</v>
      </c>
      <c r="B332" s="102">
        <v>1212</v>
      </c>
      <c r="C332" s="7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IFERROR(VLOOKUP(B332,input_595101!L:R,7,FALSE),VLOOKUP(tables_595101!C332,input_595101!A:H,8,FALSE))</f>
        <v>97000</v>
      </c>
      <c r="P332" s="46">
        <f t="shared" ca="1" si="23"/>
        <v>6.6666666666735425E-4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input_595101!A$2</f>
        <v>595101</v>
      </c>
      <c r="B333" s="102">
        <v>1208</v>
      </c>
      <c r="C333" s="7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IFERROR(VLOOKUP(B333,input_595101!L:R,7,FALSE),VLOOKUP(tables_595101!C333,input_595101!A:H,8,FALSE))</f>
        <v>97000</v>
      </c>
      <c r="P333" s="46">
        <f t="shared" ca="1" si="23"/>
        <v>6.6666666666735425E-4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input_595101!A$2</f>
        <v>595101</v>
      </c>
      <c r="B334" s="103">
        <v>1210</v>
      </c>
      <c r="C334" s="7" t="str">
        <f t="shared" si="26"/>
        <v>Premium4R3less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IFERROR(VLOOKUP(B334,input_595101!L:R,7,FALSE),VLOOKUP(tables_595101!C334,input_595101!A:H,8,FALSE))</f>
        <v>1058571.42857</v>
      </c>
      <c r="P334" s="46">
        <f t="shared" ca="1" si="23"/>
        <v>7.2754050073614547E-3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input_595101!A$2</f>
        <v>595101</v>
      </c>
      <c r="B335" s="102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IFERROR(VLOOKUP(B335,input_595101!L:R,7,FALSE),VLOOKUP(tables_595101!C335,input_595101!A:H,8,FALSE))</f>
        <v>285000</v>
      </c>
      <c r="P335" s="46">
        <f t="shared" ca="1" si="23"/>
        <v>1.9587628865999581E-3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input_595101!A$2</f>
        <v>595101</v>
      </c>
      <c r="B336" s="104">
        <v>1224</v>
      </c>
      <c r="C336" s="7" t="str">
        <f t="shared" ref="C336:C340" si="28">D336&amp;J336&amp;E336&amp;F336&amp;G336</f>
        <v>Premium4R3less</v>
      </c>
      <c r="D336" s="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IFERROR(VLOOKUP(B336,input_595101!L:R,7,FALSE),VLOOKUP(tables_595101!C336,input_595101!A:H,8,FALSE))</f>
        <v>1058571.42857</v>
      </c>
      <c r="P336" s="46">
        <f t="shared" ca="1" si="23"/>
        <v>7.2754050073614547E-3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input_595101!A$2</f>
        <v>595101</v>
      </c>
      <c r="B337" s="104">
        <v>1225</v>
      </c>
      <c r="C337" s="7" t="str">
        <f t="shared" si="28"/>
        <v>Premium5R3less</v>
      </c>
      <c r="D337" s="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IFERROR(VLOOKUP(B337,input_595101!L:R,7,FALSE),VLOOKUP(tables_595101!C337,input_595101!A:H,8,FALSE))</f>
        <v>285000</v>
      </c>
      <c r="P337" s="46">
        <f t="shared" ca="1" si="23"/>
        <v>1.9587628865999581E-3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input_595101!A$2</f>
        <v>595101</v>
      </c>
      <c r="B338" s="104">
        <v>1226</v>
      </c>
      <c r="C338" s="7" t="str">
        <f t="shared" si="28"/>
        <v>PremiumSS5R5only</v>
      </c>
      <c r="D338" s="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IFERROR(VLOOKUP(B338,input_595101!L:R,7,FALSE),VLOOKUP(tables_595101!C338,input_595101!A:H,8,FALSE))</f>
        <v>97000</v>
      </c>
      <c r="P338" s="46">
        <f t="shared" ca="1" si="23"/>
        <v>6.6666666666735425E-4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input_595101!A$2</f>
        <v>595101</v>
      </c>
      <c r="B339" s="104">
        <v>1228</v>
      </c>
      <c r="C339" s="7" t="str">
        <f t="shared" si="28"/>
        <v>PremiumSS5R5only</v>
      </c>
      <c r="D339" s="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IFERROR(VLOOKUP(B339,input_595101!L:R,7,FALSE),VLOOKUP(tables_595101!C339,input_595101!A:H,8,FALSE))</f>
        <v>97000</v>
      </c>
      <c r="P339" s="46">
        <f t="shared" ca="1" si="23"/>
        <v>6.6666666666735425E-4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input_595101!A$2</f>
        <v>595101</v>
      </c>
      <c r="B340" s="104">
        <v>1230</v>
      </c>
      <c r="C340" s="7" t="str">
        <f t="shared" si="28"/>
        <v>PremiumSS5R5only</v>
      </c>
      <c r="D340" s="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IFERROR(VLOOKUP(B340,input_595101!L:R,7,FALSE),VLOOKUP(tables_595101!C340,input_595101!A:H,8,FALSE))</f>
        <v>97000</v>
      </c>
      <c r="P340" s="46">
        <f t="shared" ca="1" si="23"/>
        <v>6.6666666666735425E-4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input_595101!A$2</f>
        <v>595101</v>
      </c>
      <c r="B341" s="104">
        <v>1244</v>
      </c>
      <c r="C341" s="7" t="str">
        <f t="shared" ref="C341:C342" si="30">D341&amp;J341&amp;E341&amp;F341&amp;G341</f>
        <v>PremiumSS5R5only</v>
      </c>
      <c r="D341" s="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IFERROR(VLOOKUP(B341,input_595101!L:R,7,FALSE),VLOOKUP(tables_595101!C341,input_595101!A:H,8,FALSE))</f>
        <v>97000</v>
      </c>
      <c r="P341" s="46">
        <f t="shared" ca="1" si="23"/>
        <v>6.6666666666735425E-4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input_595101!A$2</f>
        <v>595101</v>
      </c>
      <c r="B342" s="104">
        <v>1246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IFERROR(VLOOKUP(B342,input_595101!L:R,7,FALSE),VLOOKUP(tables_595101!C342,input_595101!A:H,8,FALSE))</f>
        <v>97000</v>
      </c>
      <c r="P342" s="46">
        <f t="shared" ca="1" si="23"/>
        <v>6.6666666666735425E-4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input_595101!A$2</f>
        <v>595101</v>
      </c>
      <c r="B343" s="104">
        <v>1248</v>
      </c>
      <c r="C343" s="7" t="str">
        <f t="shared" ref="C343:C345" si="32">D343&amp;J343&amp;E343&amp;F343&amp;G343</f>
        <v>Premium4R3less</v>
      </c>
      <c r="D343" s="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IFERROR(VLOOKUP(B343,input_595101!L:R,7,FALSE),VLOOKUP(tables_595101!C343,input_595101!A:H,8,FALSE))</f>
        <v>1058571.42857</v>
      </c>
      <c r="P343" s="46">
        <f t="shared" ca="1" si="23"/>
        <v>7.2754050073614547E-3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input_595101!A$2</f>
        <v>595101</v>
      </c>
      <c r="B344" s="104">
        <v>1249</v>
      </c>
      <c r="C344" s="7" t="str">
        <f t="shared" si="32"/>
        <v>Premium5R3less</v>
      </c>
      <c r="D344" s="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IFERROR(VLOOKUP(B344,input_595101!L:R,7,FALSE),VLOOKUP(tables_595101!C344,input_595101!A:H,8,FALSE))</f>
        <v>285000</v>
      </c>
      <c r="P344" s="46">
        <f t="shared" ca="1" si="23"/>
        <v>1.9587628865999581E-3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input_595101!A$2</f>
        <v>595101</v>
      </c>
      <c r="B345" s="104">
        <v>1250</v>
      </c>
      <c r="C345" s="7" t="str">
        <f t="shared" si="32"/>
        <v>PremiumSS5R5only</v>
      </c>
      <c r="D345" s="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IFERROR(VLOOKUP(B345,input_595101!L:R,7,FALSE),VLOOKUP(tables_595101!C345,input_595101!A:H,8,FALSE))</f>
        <v>97000</v>
      </c>
      <c r="P345" s="46">
        <f t="shared" ca="1" si="23"/>
        <v>6.6666666666735425E-4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input_595101!A$2</f>
        <v>595101</v>
      </c>
      <c r="B346" s="104">
        <v>1260</v>
      </c>
      <c r="C346" s="7" t="str">
        <f t="shared" ref="C346" si="34">D346&amp;J346&amp;E346&amp;F346&amp;G346</f>
        <v>PremiumSS5R5only</v>
      </c>
      <c r="D346" s="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IFERROR(VLOOKUP(B346,input_595101!L:R,7,FALSE),VLOOKUP(tables_595101!C346,input_595101!A:H,8,FALSE))</f>
        <v>97000</v>
      </c>
      <c r="P346" s="46">
        <f t="shared" ca="1" si="23"/>
        <v>6.6666666666735425E-4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input_595101!A$2</f>
        <v>595101</v>
      </c>
      <c r="B347" s="104">
        <v>1262</v>
      </c>
      <c r="C347" s="7" t="str">
        <f t="shared" ref="C347:C348" si="36">D347&amp;J347&amp;E347&amp;F347&amp;G347</f>
        <v>PremiumSS5R5only</v>
      </c>
      <c r="D347" s="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IFERROR(VLOOKUP(B347,input_595101!L:R,7,FALSE),VLOOKUP(tables_595101!C347,input_595101!A:H,8,FALSE))</f>
        <v>97000</v>
      </c>
      <c r="P347" s="46">
        <f t="shared" ref="P347:P348" ca="1" si="38">O347/SUM(O:O)</f>
        <v>6.6666666666735425E-4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input_595101!A$2</f>
        <v>595101</v>
      </c>
      <c r="B348" s="104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IFERROR(VLOOKUP(B348,input_595101!L:R,7,FALSE),VLOOKUP(tables_595101!C348,input_595101!A:H,8,FALSE))</f>
        <v>97000</v>
      </c>
      <c r="P348" s="46">
        <f t="shared" ca="1" si="38"/>
        <v>6.6666666666735425E-4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input_595101!A$2</f>
        <v>595101</v>
      </c>
      <c r="B349" s="104">
        <v>1266</v>
      </c>
      <c r="C349" s="7" t="str">
        <f t="shared" ref="C349:C355" si="39">D349&amp;J349&amp;E349&amp;F349&amp;G349</f>
        <v>Premium4R3less</v>
      </c>
      <c r="D349" s="7" t="str">
        <f t="shared" ref="D349:D355" si="40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IFERROR(VLOOKUP(B349,input_595101!L:R,7,FALSE),VLOOKUP(tables_595101!C349,input_595101!A:H,8,FALSE))</f>
        <v>1058571.42857</v>
      </c>
      <c r="P349" s="46">
        <f t="shared" ref="P349:P355" ca="1" si="41">O349/SUM(O:O)</f>
        <v>7.2754050073614547E-3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input_595101!A$2</f>
        <v>595101</v>
      </c>
      <c r="B350" s="104">
        <v>1267</v>
      </c>
      <c r="C350" s="7" t="str">
        <f t="shared" si="39"/>
        <v>Premium5R3less</v>
      </c>
      <c r="D350" s="7" t="str">
        <f t="shared" si="40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IFERROR(VLOOKUP(B350,input_595101!L:R,7,FALSE),VLOOKUP(tables_595101!C350,input_595101!A:H,8,FALSE))</f>
        <v>285000</v>
      </c>
      <c r="P350" s="46">
        <f t="shared" ca="1" si="41"/>
        <v>1.9587628865999581E-3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input_595101!A$2</f>
        <v>595101</v>
      </c>
      <c r="B351" s="104">
        <v>1332</v>
      </c>
      <c r="C351" s="7" t="str">
        <f t="shared" si="39"/>
        <v>PremiumSS5R5only</v>
      </c>
      <c r="D351" s="7" t="str">
        <f t="shared" si="40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IFERROR(VLOOKUP(B351,input_595101!L:R,7,FALSE),VLOOKUP(tables_595101!C351,input_595101!A:H,8,FALSE))</f>
        <v>97000</v>
      </c>
      <c r="P351" s="46">
        <f t="shared" ca="1" si="41"/>
        <v>6.6666666666735425E-4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input_595101!A$2</f>
        <v>595101</v>
      </c>
      <c r="B352" s="104">
        <v>1336</v>
      </c>
      <c r="C352" s="7" t="str">
        <f t="shared" si="39"/>
        <v>PremiumSS5R5only</v>
      </c>
      <c r="D352" s="7" t="str">
        <f t="shared" si="40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IFERROR(VLOOKUP(B352,input_595101!L:R,7,FALSE),VLOOKUP(tables_595101!C352,input_595101!A:H,8,FALSE))</f>
        <v>97000</v>
      </c>
      <c r="P352" s="46">
        <f t="shared" ca="1" si="41"/>
        <v>6.6666666666735425E-4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input_595101!A$2</f>
        <v>595101</v>
      </c>
      <c r="B353" s="104">
        <v>1338</v>
      </c>
      <c r="C353" s="7" t="str">
        <f t="shared" si="39"/>
        <v>PremiumSS5R5only</v>
      </c>
      <c r="D353" s="7" t="str">
        <f t="shared" si="40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IFERROR(VLOOKUP(B353,input_595101!L:R,7,FALSE),VLOOKUP(tables_595101!C353,input_595101!A:H,8,FALSE))</f>
        <v>97000</v>
      </c>
      <c r="P353" s="46">
        <f t="shared" ca="1" si="41"/>
        <v>6.6666666666735425E-4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input_595101!A$2</f>
        <v>595101</v>
      </c>
      <c r="B354" s="104">
        <v>1334</v>
      </c>
      <c r="C354" s="7" t="str">
        <f t="shared" si="39"/>
        <v>Premium4R3less</v>
      </c>
      <c r="D354" s="7" t="str">
        <f t="shared" si="40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IFERROR(VLOOKUP(B354,input_595101!L:R,7,FALSE),VLOOKUP(tables_595101!C354,input_595101!A:H,8,FALSE))</f>
        <v>1058571.42857</v>
      </c>
      <c r="P354" s="46">
        <f t="shared" ca="1" si="41"/>
        <v>7.2754050073614547E-3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input_595101!A$2</f>
        <v>595101</v>
      </c>
      <c r="B355" s="104">
        <v>1335</v>
      </c>
      <c r="C355" s="7" t="str">
        <f t="shared" si="39"/>
        <v>Premium5R3less</v>
      </c>
      <c r="D355" s="7" t="str">
        <f t="shared" si="40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IFERROR(VLOOKUP(B355,input_595101!L:R,7,FALSE),VLOOKUP(tables_595101!C355,input_595101!A:H,8,FALSE))</f>
        <v>285000</v>
      </c>
      <c r="P355" s="46">
        <f t="shared" ca="1" si="41"/>
        <v>1.9587628865999581E-3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>
      <c r="A356" s="2" t="str">
        <f ca="1">input_595101!A$2</f>
        <v>595101</v>
      </c>
      <c r="B356" s="5">
        <v>1381</v>
      </c>
      <c r="C356" s="7" t="str">
        <f t="shared" ref="C356" si="42">D356&amp;J356&amp;E356&amp;F356&amp;G356</f>
        <v>Premium4R3less</v>
      </c>
      <c r="D356" s="7" t="str">
        <f t="shared" ref="D356" si="43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IFERROR(VLOOKUP(B356,input_595101!L:R,7,FALSE),VLOOKUP(tables_595101!C356,input_595101!A:H,8,FALSE))</f>
        <v>1058571.42857</v>
      </c>
      <c r="P356" s="46">
        <f t="shared" ref="P356" ca="1" si="44">O356/SUM(O:O)</f>
        <v>7.2754050073614547E-3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customFormat="1" ht="21" customHeight="1" x14ac:dyDescent="0.15">
      <c r="A357" s="2" t="str">
        <f ca="1">input_595101!A$2</f>
        <v>595101</v>
      </c>
      <c r="B357" s="5">
        <v>1382</v>
      </c>
      <c r="C357" s="7" t="str">
        <f t="shared" ref="C357:C360" si="45">D357&amp;J357&amp;E357&amp;F357&amp;G357</f>
        <v>Premium5R3less</v>
      </c>
      <c r="D357" s="7" t="str">
        <f t="shared" ref="D357:D360" si="46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IFERROR(VLOOKUP(B357,input_595101!L:R,7,FALSE),VLOOKUP(tables_595101!C357,input_595101!A:H,8,FALSE))</f>
        <v>285000</v>
      </c>
      <c r="P357" s="46">
        <f t="shared" ref="P357:P360" ca="1" si="47">O357/SUM(O:O)</f>
        <v>1.9587628865999581E-3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customFormat="1" ht="21" customHeight="1" x14ac:dyDescent="0.15">
      <c r="A358" s="2" t="str">
        <f ca="1">input_595101!A$2</f>
        <v>595101</v>
      </c>
      <c r="B358" s="5">
        <v>1383</v>
      </c>
      <c r="C358" s="7" t="str">
        <f t="shared" si="45"/>
        <v>PremiumSS5R5only</v>
      </c>
      <c r="D358" s="7" t="str">
        <f t="shared" si="46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IFERROR(VLOOKUP(B358,input_595101!L:R,7,FALSE),VLOOKUP(tables_595101!C358,input_595101!A:H,8,FALSE))</f>
        <v>97000</v>
      </c>
      <c r="P358" s="46">
        <f t="shared" ca="1" si="47"/>
        <v>6.6666666666735425E-4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customFormat="1" ht="21" customHeight="1" x14ac:dyDescent="0.15">
      <c r="A359" s="2" t="str">
        <f ca="1">input_595101!A$2</f>
        <v>595101</v>
      </c>
      <c r="B359" s="5">
        <v>1385</v>
      </c>
      <c r="C359" s="7" t="str">
        <f t="shared" si="45"/>
        <v>PremiumSS5R5only</v>
      </c>
      <c r="D359" s="7" t="str">
        <f t="shared" si="46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IFERROR(VLOOKUP(B359,input_595101!L:R,7,FALSE),VLOOKUP(tables_595101!C359,input_595101!A:H,8,FALSE))</f>
        <v>97000</v>
      </c>
      <c r="P359" s="46">
        <f t="shared" ca="1" si="47"/>
        <v>6.6666666666735425E-4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customFormat="1" ht="21" customHeight="1" x14ac:dyDescent="0.15">
      <c r="A360" s="2" t="str">
        <f ca="1">input_595101!A$2</f>
        <v>595101</v>
      </c>
      <c r="B360" s="5">
        <v>1387</v>
      </c>
      <c r="C360" s="7" t="str">
        <f t="shared" si="45"/>
        <v>PremiumSS5R5only</v>
      </c>
      <c r="D360" s="7" t="str">
        <f t="shared" si="46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IFERROR(VLOOKUP(B360,input_595101!L:R,7,FALSE),VLOOKUP(tables_595101!C360,input_595101!A:H,8,FALSE))</f>
        <v>97000</v>
      </c>
      <c r="P360" s="46">
        <f t="shared" ca="1" si="47"/>
        <v>6.6666666666735425E-4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customFormat="1" ht="21" customHeight="1" x14ac:dyDescent="0.15"/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B27" sqref="B27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595104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VLOOKUP(L3,tables_595104!B:C,2,FALSE)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VLOOKUP(L4,tables_595104!B:C,2,FALSE)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6.6666666666666675E-4</v>
      </c>
      <c r="F5">
        <f>(COUNTIF(tables_595104!C:C,input_595104!A28)+COUNTIF(tables_595104!C:C,input_595104!A29))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VLOOKUP(L5,tables_595104!B:C,2,FALSE)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0.8</v>
      </c>
      <c r="D6" t="s">
        <v>202</v>
      </c>
      <c r="E6" s="76">
        <f>(B10-H6)/(F6-I6)</f>
        <v>9.7938144329896906E-3</v>
      </c>
      <c r="F6">
        <f>(COUNTIF(tables_595104!C:C,input_595104!A25)+COUNTIF(tables_595104!C:C,input_595104!A18)+COUNTIF(tables_595104!C:C,input_595104!A20)+COUNTIF(tables_595104!C:C,input_595104!A22))</f>
        <v>97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VLOOKUP(L6,tables_595104!B:C,2,FALSE)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VLOOKUP(L7,tables_595104!B:C,2,FALSE)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VLOOKUP(L8,tables_595104!B:C,2,FALSE)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VLOOKUP(L9,tables_595104!B:C,2,FALSE)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VLOOKUP(L10,tables_595104!B:C,2,FALSE)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VLOOKUP(L11,tables_595104!B:C,2,FALSE)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VLOOKUP(L12,tables_595104!B:C,2,FALSE)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VLOOKUP(L13,tables_595104!B:C,2,FALSE)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VLOOKUP(L14,tables_595104!B:C,2,FALSE)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VLOOKUP(L15,tables_595104!B:C,2,FALSE)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VLOOKUP(L16,tables_595104!B:C,2,FALSE)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COUNTIF(tables_595104!C:C,input_595104!A17)-COUNTIF(Q:Q,A17)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VLOOKUP(L17,tables_595104!B:C,2,FALSE)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0.19352027491408941</v>
      </c>
      <c r="C18" s="84">
        <f t="shared" si="2"/>
        <v>0</v>
      </c>
      <c r="D18" s="74">
        <f t="shared" si="3"/>
        <v>0.19352027491408941</v>
      </c>
      <c r="E18">
        <f>COUNTIF(tables_595104!C:C,input_595104!A18)-COUNTIF(Q:Q,A18)</f>
        <v>20</v>
      </c>
      <c r="F18" s="43">
        <f>IFERROR(B18/E18,0)</f>
        <v>9.6760137457044711E-3</v>
      </c>
      <c r="G18">
        <f t="shared" si="4"/>
        <v>28157200.000000007</v>
      </c>
      <c r="H18">
        <f t="shared" si="5"/>
        <v>1407860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VLOOKUP(L18,tables_595104!B:C,2,FALSE)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COUNTIF(tables_595104!C:C,input_595104!A19)-COUNTIF(Q:Q,A19)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VLOOKUP(L19,tables_595104!B:C,2,FALSE)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0.40742268041237112</v>
      </c>
      <c r="C20" s="84">
        <f t="shared" si="2"/>
        <v>0</v>
      </c>
      <c r="D20" s="74">
        <f t="shared" si="3"/>
        <v>0.40742268041237112</v>
      </c>
      <c r="E20">
        <f>COUNTIF(tables_595104!C:C,input_595104!A20)-COUNTIF(Q:Q,A20)</f>
        <v>52</v>
      </c>
      <c r="F20" s="43">
        <f t="shared" si="8"/>
        <v>7.8350515463917522E-3</v>
      </c>
      <c r="G20">
        <f t="shared" si="4"/>
        <v>59280000</v>
      </c>
      <c r="H20">
        <f t="shared" si="5"/>
        <v>1140000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VLOOKUP(L20,tables_595104!B:C,2,FALSE)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0.10421168384879727</v>
      </c>
      <c r="C21" s="84">
        <f t="shared" si="2"/>
        <v>0</v>
      </c>
      <c r="D21" s="74">
        <f t="shared" si="3"/>
        <v>0.10421168384879727</v>
      </c>
      <c r="E21">
        <f>COUNTIF(tables_595104!C:C,input_595104!A21)-COUNTIF(Q:Q,A21)</f>
        <v>52</v>
      </c>
      <c r="F21" s="43">
        <f t="shared" si="8"/>
        <v>2.0040708432461011E-3</v>
      </c>
      <c r="G21">
        <f t="shared" si="4"/>
        <v>15162800.000000002</v>
      </c>
      <c r="H21">
        <f t="shared" si="5"/>
        <v>291592.30768999999</v>
      </c>
      <c r="I21">
        <f t="shared" si="6"/>
        <v>0.3076899999869056</v>
      </c>
      <c r="J21">
        <f t="shared" si="7"/>
        <v>3.2500243753211255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0.15278350515463918</v>
      </c>
      <c r="C22" s="84">
        <f t="shared" si="2"/>
        <v>0</v>
      </c>
      <c r="D22" s="74">
        <f t="shared" si="3"/>
        <v>0.15278350515463918</v>
      </c>
      <c r="E22">
        <f>COUNTIF(tables_595104!C:C,input_595104!A22)-COUNTIF(Q:Q,A22)</f>
        <v>21</v>
      </c>
      <c r="F22" s="43">
        <f t="shared" si="8"/>
        <v>7.2754050073637706E-3</v>
      </c>
      <c r="G22">
        <f t="shared" si="4"/>
        <v>22230000</v>
      </c>
      <c r="H22">
        <f t="shared" si="5"/>
        <v>1058571.42857</v>
      </c>
      <c r="I22">
        <f t="shared" si="6"/>
        <v>0.42856999998912215</v>
      </c>
      <c r="J22">
        <f t="shared" si="7"/>
        <v>2.3333411111962614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5.2886597938144334E-2</v>
      </c>
      <c r="C23" s="84">
        <f t="shared" si="2"/>
        <v>0</v>
      </c>
      <c r="D23" s="74">
        <f t="shared" si="3"/>
        <v>5.2886597938144334E-2</v>
      </c>
      <c r="E23">
        <f>COUNTIF(tables_595104!C:C,input_595104!A23)-COUNTIF(Q:Q,A23)</f>
        <v>27</v>
      </c>
      <c r="F23" s="43">
        <f t="shared" si="8"/>
        <v>1.9587628865979385E-3</v>
      </c>
      <c r="G23">
        <f t="shared" si="4"/>
        <v>7695000.0000000009</v>
      </c>
      <c r="H23">
        <f t="shared" si="5"/>
        <v>285000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COUNTIF(tables_595104!C:C,input_595104!A24)-COUNTIF(Q:Q,A24)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3.1340206185567009E-2</v>
      </c>
      <c r="C25" s="84">
        <f t="shared" si="2"/>
        <v>0</v>
      </c>
      <c r="D25" s="74">
        <f t="shared" si="3"/>
        <v>3.1340206185567009E-2</v>
      </c>
      <c r="E25">
        <f>COUNTIF(tables_595104!C:C,input_595104!A25)-COUNTIF(Q:Q,A25)</f>
        <v>4</v>
      </c>
      <c r="F25" s="43">
        <f t="shared" si="8"/>
        <v>7.8350515463917522E-3</v>
      </c>
      <c r="G25">
        <f t="shared" si="4"/>
        <v>4560000</v>
      </c>
      <c r="H25">
        <f t="shared" si="5"/>
        <v>1140000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7.8350515463917522E-3</v>
      </c>
      <c r="C26" s="84">
        <f t="shared" si="2"/>
        <v>0</v>
      </c>
      <c r="D26" s="74">
        <f t="shared" si="3"/>
        <v>7.8350515463917522E-3</v>
      </c>
      <c r="E26">
        <f>COUNTIF(tables_595104!C:C,input_595104!A26)-COUNTIF(Q:Q,A26)</f>
        <v>4</v>
      </c>
      <c r="F26" s="43">
        <f t="shared" si="8"/>
        <v>1.958762886597938E-3</v>
      </c>
      <c r="G26">
        <f t="shared" si="4"/>
        <v>1140000</v>
      </c>
      <c r="H26">
        <f t="shared" si="5"/>
        <v>285000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1.4933333333333335E-2</v>
      </c>
      <c r="C27" s="84">
        <f t="shared" si="2"/>
        <v>0</v>
      </c>
      <c r="D27" s="74">
        <f t="shared" si="3"/>
        <v>1.4933333333333335E-2</v>
      </c>
      <c r="E27">
        <f>COUNTIF(tables_595104!C:C,input_595104!A27)-COUNTIF(Q:Q,A27)</f>
        <v>28</v>
      </c>
      <c r="F27" s="43">
        <f>IFERROR(B27/E27,0)</f>
        <v>5.3333333333333336E-4</v>
      </c>
      <c r="G27">
        <f t="shared" si="4"/>
        <v>2172800</v>
      </c>
      <c r="H27">
        <f t="shared" si="5"/>
        <v>77600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3.7333333333333337E-3</v>
      </c>
      <c r="C28" s="84">
        <f t="shared" si="2"/>
        <v>0</v>
      </c>
      <c r="D28" s="74">
        <f t="shared" si="3"/>
        <v>3.7333333333333337E-3</v>
      </c>
      <c r="E28">
        <f>COUNTIF(tables_595104!C:C,input_595104!A28)-COUNTIF(Q:Q,A28)</f>
        <v>28</v>
      </c>
      <c r="F28" s="43">
        <f t="shared" si="8"/>
        <v>1.3333333333333334E-4</v>
      </c>
      <c r="G28">
        <f t="shared" si="4"/>
        <v>543200</v>
      </c>
      <c r="H28">
        <f t="shared" si="5"/>
        <v>19400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3.1333333333333338E-2</v>
      </c>
      <c r="C29" s="84">
        <f t="shared" si="2"/>
        <v>0</v>
      </c>
      <c r="D29" s="74">
        <f t="shared" si="3"/>
        <v>3.1333333333333338E-2</v>
      </c>
      <c r="E29">
        <f>COUNTIF(tables_595104!C:C,input_595104!A29)-COUNTIF(Q:Q,A29)</f>
        <v>47</v>
      </c>
      <c r="F29" s="43">
        <f t="shared" si="8"/>
        <v>6.6666666666666675E-4</v>
      </c>
      <c r="G29">
        <f t="shared" si="4"/>
        <v>4559000.0000000009</v>
      </c>
      <c r="H29">
        <f t="shared" si="5"/>
        <v>97000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COUNTIF(tables_595104!C:C,input_595104!A30)-COUNTIF(Q:Q,A30)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</v>
      </c>
      <c r="C31" s="84">
        <f t="shared" si="2"/>
        <v>0</v>
      </c>
      <c r="D31" s="74">
        <f t="shared" si="3"/>
        <v>0</v>
      </c>
      <c r="E31">
        <f>COUNTIF(tables_595104!C:C,input_595104!A31)-COUNTIF(Q:Q,A31)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SUMIF(tables_595104!C:C,input_595104!A40,tables_595104!O:O)</f>
        <v>0</v>
      </c>
      <c r="C40" s="54">
        <f t="shared" ref="C40:C46" ca="1" si="9">B40/B$47</f>
        <v>0</v>
      </c>
      <c r="E40">
        <v>3</v>
      </c>
      <c r="F40">
        <f ca="1">SUMIF(tables_595104!J:J,input_595104!E40,tables_595104!O:O)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SUMIF(tables_595104!C:C,input_595104!A41,tables_595104!O:O)</f>
        <v>59280000</v>
      </c>
      <c r="C41" s="54">
        <f t="shared" ca="1" si="9"/>
        <v>0.76828566540812182</v>
      </c>
      <c r="E41">
        <v>4</v>
      </c>
      <c r="F41">
        <f ca="1">SUMIF(tables_595104!J:J,input_595104!E41,tables_595104!O:O)</f>
        <v>116399999.99997005</v>
      </c>
      <c r="G41">
        <f ca="1">F41/A36</f>
        <v>0.7999999999997941</v>
      </c>
    </row>
    <row r="42" spans="1:7" x14ac:dyDescent="0.15">
      <c r="A42" s="33" t="s">
        <v>106</v>
      </c>
      <c r="B42">
        <f ca="1">SUMIF(tables_595104!C:C,input_595104!A42,tables_595104!O:O)</f>
        <v>2172800</v>
      </c>
      <c r="C42" s="54">
        <f t="shared" ca="1" si="9"/>
        <v>2.8160106170694452E-2</v>
      </c>
      <c r="E42">
        <v>5</v>
      </c>
      <c r="F42">
        <f ca="1">SUMIF(tables_595104!J:J,input_595104!E42,tables_595104!O:O)</f>
        <v>29099999.999879997</v>
      </c>
      <c r="G42">
        <f ca="1">F42/A36</f>
        <v>0.19999999999917523</v>
      </c>
    </row>
    <row r="43" spans="1:7" x14ac:dyDescent="0.15">
      <c r="A43" s="33" t="s">
        <v>109</v>
      </c>
      <c r="B43">
        <f>SUMIF(tables_595104!C:C,input_595104!A43,tables_595104!O:O)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SUMIF(tables_595104!C:C,input_595104!A44,tables_595104!O:O)</f>
        <v>15162799.999880007</v>
      </c>
      <c r="C44" s="54">
        <f t="shared" ca="1" si="9"/>
        <v>0.19651420187851013</v>
      </c>
      <c r="E44" t="s">
        <v>54</v>
      </c>
      <c r="F44" s="55"/>
    </row>
    <row r="45" spans="1:7" x14ac:dyDescent="0.15">
      <c r="A45" s="33" t="s">
        <v>107</v>
      </c>
      <c r="B45">
        <f ca="1">SUMIF(tables_595104!C:C,input_595104!A45,tables_595104!O:O)</f>
        <v>543200</v>
      </c>
      <c r="C45" s="54">
        <f t="shared" ca="1" si="9"/>
        <v>7.0400265426736131E-3</v>
      </c>
      <c r="E45" t="s">
        <v>204</v>
      </c>
      <c r="F45" s="55">
        <f ca="1">SUMIF(tables_595104!I:I,input_595104!E45,tables_595104!P:P)</f>
        <v>0.20527285223388869</v>
      </c>
    </row>
    <row r="46" spans="1:7" x14ac:dyDescent="0.15">
      <c r="A46" s="33" t="s">
        <v>108</v>
      </c>
      <c r="B46">
        <f>SUMIF(tables_595104!C:C,input_595104!A46,tables_595104!O:O)</f>
        <v>0</v>
      </c>
      <c r="C46" s="54">
        <f t="shared" ca="1" si="9"/>
        <v>0</v>
      </c>
      <c r="E46" t="s">
        <v>205</v>
      </c>
      <c r="F46" s="55">
        <f ca="1">SUMIF(tables_595104!I:I,input_595104!E46,tables_595104!P:P)</f>
        <v>0.19664652392274573</v>
      </c>
    </row>
    <row r="47" spans="1:7" x14ac:dyDescent="0.15">
      <c r="A47" s="39" t="s">
        <v>59</v>
      </c>
      <c r="B47">
        <f ca="1">SUM(B40:B46)</f>
        <v>77158799.999880001</v>
      </c>
      <c r="C47" s="55">
        <f ca="1">SUM(C40:C46)</f>
        <v>1</v>
      </c>
      <c r="E47" t="s">
        <v>206</v>
      </c>
      <c r="F47" s="55">
        <f ca="1">SUMIF(tables_595104!I:I,input_595104!E47,tables_595104!P:P)</f>
        <v>0.54808062384331413</v>
      </c>
    </row>
    <row r="48" spans="1:7" x14ac:dyDescent="0.15">
      <c r="E48" t="s">
        <v>207</v>
      </c>
      <c r="F48" s="55">
        <f ca="1">SUMIF(tables_595104!I:I,input_595104!E48,tables_595104!P:P)</f>
        <v>4.3333333333378042E-2</v>
      </c>
      <c r="G48" s="55"/>
    </row>
    <row r="49" spans="5:6" x14ac:dyDescent="0.15">
      <c r="E49" t="s">
        <v>250</v>
      </c>
      <c r="F49" s="55">
        <f ca="1">SUMIF(tables_595104!I:I,input_595104!E49,tables_595104!P:P)</f>
        <v>6.6666666666735409E-3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315" activePane="bottomLeft" state="frozen"/>
      <selection activeCell="B33" sqref="B33"/>
      <selection pane="bottomLeft" activeCell="B360" sqref="B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input_595104!A$2</f>
        <v>595104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IFERROR(VLOOKUP(B2,input_595104!L:R,7,FALSE),VLOOKUP(tables_595104!C2,input_595104!A:H,8,FALSE))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input_595104!A$2</f>
        <v>595104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IFERROR(VLOOKUP(B3,input_595104!L:R,7,FALSE),VLOOKUP(tables_595104!C3,input_595104!A:H,8,FALSE))</f>
        <v>1407860</v>
      </c>
      <c r="P3" s="46">
        <f t="shared" ca="1" si="1"/>
        <v>9.6760137457144457E-3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input_595104!A$2</f>
        <v>595104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IFERROR(VLOOKUP(B4,input_595104!L:R,7,FALSE),VLOOKUP(tables_595104!C4,input_595104!A:H,8,FALSE))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input_595104!A$2</f>
        <v>595104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IFERROR(VLOOKUP(B5,input_595104!L:R,7,FALSE),VLOOKUP(tables_595104!C5,input_595104!A:H,8,FALSE))</f>
        <v>1407860</v>
      </c>
      <c r="P5" s="46">
        <f t="shared" ca="1" si="1"/>
        <v>9.6760137457144457E-3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input_595104!A$2</f>
        <v>595104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IFERROR(VLOOKUP(B6,input_595104!L:R,7,FALSE),VLOOKUP(tables_595104!C6,input_595104!A:H,8,FALSE))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input_595104!A$2</f>
        <v>595104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IFERROR(VLOOKUP(B7,input_595104!L:R,7,FALSE),VLOOKUP(tables_595104!C7,input_595104!A:H,8,FALSE))</f>
        <v>1407860</v>
      </c>
      <c r="P7" s="46">
        <f t="shared" ca="1" si="1"/>
        <v>9.6760137457144457E-3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input_595104!A$2</f>
        <v>595104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IFERROR(VLOOKUP(B8,input_595104!L:R,7,FALSE),VLOOKUP(tables_595104!C8,input_595104!A:H,8,FALSE))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input_595104!A$2</f>
        <v>595104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IFERROR(VLOOKUP(B9,input_595104!L:R,7,FALSE),VLOOKUP(tables_595104!C9,input_595104!A:H,8,FALSE))</f>
        <v>1407860</v>
      </c>
      <c r="P9" s="46">
        <f t="shared" ca="1" si="1"/>
        <v>9.6760137457144457E-3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input_595104!A$2</f>
        <v>595104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IFERROR(VLOOKUP(B10,input_595104!L:R,7,FALSE),VLOOKUP(tables_595104!C10,input_595104!A:H,8,FALSE))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input_595104!A$2</f>
        <v>595104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IFERROR(VLOOKUP(B11,input_595104!L:R,7,FALSE),VLOOKUP(tables_595104!C11,input_595104!A:H,8,FALSE))</f>
        <v>1407860</v>
      </c>
      <c r="P11" s="46">
        <f t="shared" ca="1" si="1"/>
        <v>9.6760137457144457E-3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input_595104!A$2</f>
        <v>595104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IFERROR(VLOOKUP(B12,input_595104!L:R,7,FALSE),VLOOKUP(tables_595104!C12,input_595104!A:H,8,FALSE))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input_595104!A$2</f>
        <v>595104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IFERROR(VLOOKUP(B13,input_595104!L:R,7,FALSE),VLOOKUP(tables_595104!C13,input_595104!A:H,8,FALSE))</f>
        <v>1407860</v>
      </c>
      <c r="P13" s="46">
        <f t="shared" ca="1" si="1"/>
        <v>9.6760137457144457E-3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input_595104!A$2</f>
        <v>595104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IFERROR(VLOOKUP(B14,input_595104!L:R,7,FALSE),VLOOKUP(tables_595104!C14,input_595104!A:H,8,FALSE))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input_595104!A$2</f>
        <v>595104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IFERROR(VLOOKUP(B15,input_595104!L:R,7,FALSE),VLOOKUP(tables_595104!C15,input_595104!A:H,8,FALSE))</f>
        <v>1407860</v>
      </c>
      <c r="P15" s="46">
        <f t="shared" ca="1" si="1"/>
        <v>9.6760137457144457E-3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input_595104!A$2</f>
        <v>595104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IFERROR(VLOOKUP(B16,input_595104!L:R,7,FALSE),VLOOKUP(tables_595104!C16,input_595104!A:H,8,FALSE))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input_595104!A$2</f>
        <v>595104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IFERROR(VLOOKUP(B17,input_595104!L:R,7,FALSE),VLOOKUP(tables_595104!C17,input_595104!A:H,8,FALSE))</f>
        <v>1407860</v>
      </c>
      <c r="P17" s="46">
        <f t="shared" ca="1" si="1"/>
        <v>9.6760137457144457E-3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input_595104!A$2</f>
        <v>595104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IFERROR(VLOOKUP(B18,input_595104!L:R,7,FALSE),VLOOKUP(tables_595104!C18,input_595104!A:H,8,FALSE))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input_595104!A$2</f>
        <v>595104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IFERROR(VLOOKUP(B19,input_595104!L:R,7,FALSE),VLOOKUP(tables_595104!C19,input_595104!A:H,8,FALSE))</f>
        <v>1407860</v>
      </c>
      <c r="P19" s="46">
        <f t="shared" ca="1" si="1"/>
        <v>9.6760137457144457E-3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input_595104!A$2</f>
        <v>595104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IFERROR(VLOOKUP(B20,input_595104!L:R,7,FALSE),VLOOKUP(tables_595104!C20,input_595104!A:H,8,FALSE))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input_595104!A$2</f>
        <v>595104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IFERROR(VLOOKUP(B21,input_595104!L:R,7,FALSE),VLOOKUP(tables_595104!C21,input_595104!A:H,8,FALSE))</f>
        <v>1407860</v>
      </c>
      <c r="P21" s="46">
        <f t="shared" ca="1" si="1"/>
        <v>9.6760137457144457E-3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input_595104!A$2</f>
        <v>595104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IFERROR(VLOOKUP(B22,input_595104!L:R,7,FALSE),VLOOKUP(tables_595104!C22,input_595104!A:H,8,FALSE))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input_595104!A$2</f>
        <v>595104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IFERROR(VLOOKUP(B23,input_595104!L:R,7,FALSE),VLOOKUP(tables_595104!C23,input_595104!A:H,8,FALSE))</f>
        <v>1407860</v>
      </c>
      <c r="P23" s="46">
        <f t="shared" ca="1" si="1"/>
        <v>9.6760137457144457E-3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input_595104!A$2</f>
        <v>595104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IFERROR(VLOOKUP(B24,input_595104!L:R,7,FALSE),VLOOKUP(tables_595104!C24,input_595104!A:H,8,FALSE))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input_595104!A$2</f>
        <v>595104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IFERROR(VLOOKUP(B25,input_595104!L:R,7,FALSE),VLOOKUP(tables_595104!C25,input_595104!A:H,8,FALSE))</f>
        <v>1407860</v>
      </c>
      <c r="P25" s="46">
        <f t="shared" ca="1" si="1"/>
        <v>9.6760137457144457E-3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input_595104!A$2</f>
        <v>595104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IFERROR(VLOOKUP(B26,input_595104!L:R,7,FALSE),VLOOKUP(tables_595104!C26,input_595104!A:H,8,FALSE))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input_595104!A$2</f>
        <v>595104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IFERROR(VLOOKUP(B27,input_595104!L:R,7,FALSE),VLOOKUP(tables_595104!C27,input_595104!A:H,8,FALSE))</f>
        <v>1407860</v>
      </c>
      <c r="P27" s="46">
        <f t="shared" ca="1" si="1"/>
        <v>9.6760137457144457E-3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input_595104!A$2</f>
        <v>595104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IFERROR(VLOOKUP(B28,input_595104!L:R,7,FALSE),VLOOKUP(tables_595104!C28,input_595104!A:H,8,FALSE))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input_595104!A$2</f>
        <v>595104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IFERROR(VLOOKUP(B29,input_595104!L:R,7,FALSE),VLOOKUP(tables_595104!C29,input_595104!A:H,8,FALSE))</f>
        <v>1407860</v>
      </c>
      <c r="P29" s="46">
        <f t="shared" ca="1" si="1"/>
        <v>9.6760137457144457E-3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input_595104!A$2</f>
        <v>595104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IFERROR(VLOOKUP(B30,input_595104!L:R,7,FALSE),VLOOKUP(tables_595104!C30,input_595104!A:H,8,FALSE))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input_595104!A$2</f>
        <v>595104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IFERROR(VLOOKUP(B31,input_595104!L:R,7,FALSE),VLOOKUP(tables_595104!C31,input_595104!A:H,8,FALSE))</f>
        <v>1407860</v>
      </c>
      <c r="P31" s="46">
        <f t="shared" ca="1" si="1"/>
        <v>9.6760137457144457E-3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input_595104!A$2</f>
        <v>595104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IFERROR(VLOOKUP(B32,input_595104!L:R,7,FALSE),VLOOKUP(tables_595104!C32,input_595104!A:H,8,FALSE))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input_595104!A$2</f>
        <v>595104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IFERROR(VLOOKUP(B33,input_595104!L:R,7,FALSE),VLOOKUP(tables_595104!C33,input_595104!A:H,8,FALSE))</f>
        <v>1407860</v>
      </c>
      <c r="P33" s="46">
        <f t="shared" ca="1" si="1"/>
        <v>9.6760137457144457E-3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input_595104!A$2</f>
        <v>595104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IFERROR(VLOOKUP(B34,input_595104!L:R,7,FALSE),VLOOKUP(tables_595104!C34,input_595104!A:H,8,FALSE))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input_595104!A$2</f>
        <v>595104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IFERROR(VLOOKUP(B35,input_595104!L:R,7,FALSE),VLOOKUP(tables_595104!C35,input_595104!A:H,8,FALSE))</f>
        <v>1407860</v>
      </c>
      <c r="P35" s="46">
        <f t="shared" ca="1" si="1"/>
        <v>9.6760137457144457E-3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input_595104!A$2</f>
        <v>595104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IFERROR(VLOOKUP(B36,input_595104!L:R,7,FALSE),VLOOKUP(tables_595104!C36,input_595104!A:H,8,FALSE))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input_595104!A$2</f>
        <v>595104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IFERROR(VLOOKUP(B37,input_595104!L:R,7,FALSE),VLOOKUP(tables_595104!C37,input_595104!A:H,8,FALSE))</f>
        <v>1407860</v>
      </c>
      <c r="P37" s="46">
        <f t="shared" ca="1" si="1"/>
        <v>9.6760137457144457E-3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input_595104!A$2</f>
        <v>595104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IFERROR(VLOOKUP(B38,input_595104!L:R,7,FALSE),VLOOKUP(tables_595104!C38,input_595104!A:H,8,FALSE))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input_595104!A$2</f>
        <v>595104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IFERROR(VLOOKUP(B39,input_595104!L:R,7,FALSE),VLOOKUP(tables_595104!C39,input_595104!A:H,8,FALSE))</f>
        <v>1407860</v>
      </c>
      <c r="P39" s="46">
        <f t="shared" ca="1" si="1"/>
        <v>9.6760137457144457E-3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input_595104!A$2</f>
        <v>595104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IFERROR(VLOOKUP(B40,input_595104!L:R,7,FALSE),VLOOKUP(tables_595104!C40,input_595104!A:H,8,FALSE))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input_595104!A$2</f>
        <v>595104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IFERROR(VLOOKUP(B41,input_595104!L:R,7,FALSE),VLOOKUP(tables_595104!C41,input_595104!A:H,8,FALSE))</f>
        <v>1407860</v>
      </c>
      <c r="P41" s="46">
        <f t="shared" ca="1" si="1"/>
        <v>9.6760137457144457E-3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input_595104!A$2</f>
        <v>595104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IFERROR(VLOOKUP(B42,input_595104!L:R,7,FALSE),VLOOKUP(tables_595104!C42,input_595104!A:H,8,FALSE))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input_595104!A$2</f>
        <v>595104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IFERROR(VLOOKUP(B43,input_595104!L:R,7,FALSE),VLOOKUP(tables_595104!C43,input_595104!A:H,8,FALSE))</f>
        <v>1140000</v>
      </c>
      <c r="P43" s="46">
        <f t="shared" ca="1" si="1"/>
        <v>7.8350515463998325E-3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input_595104!A$2</f>
        <v>595104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IFERROR(VLOOKUP(B44,input_595104!L:R,7,FALSE),VLOOKUP(tables_595104!C44,input_595104!A:H,8,FALSE))</f>
        <v>285000</v>
      </c>
      <c r="P44" s="46">
        <f t="shared" ca="1" si="1"/>
        <v>1.9587628865999581E-3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input_595104!A$2</f>
        <v>595104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IFERROR(VLOOKUP(B45,input_595104!L:R,7,FALSE),VLOOKUP(tables_595104!C45,input_595104!A:H,8,FALSE))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input_595104!A$2</f>
        <v>595104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IFERROR(VLOOKUP(B46,input_595104!L:R,7,FALSE),VLOOKUP(tables_595104!C46,input_595104!A:H,8,FALSE))</f>
        <v>1140000</v>
      </c>
      <c r="P46" s="46">
        <f t="shared" ca="1" si="1"/>
        <v>7.8350515463998325E-3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input_595104!A$2</f>
        <v>595104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IFERROR(VLOOKUP(B47,input_595104!L:R,7,FALSE),VLOOKUP(tables_595104!C47,input_595104!A:H,8,FALSE))</f>
        <v>285000</v>
      </c>
      <c r="P47" s="46">
        <f t="shared" ca="1" si="1"/>
        <v>1.9587628865999581E-3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input_595104!A$2</f>
        <v>595104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IFERROR(VLOOKUP(B48,input_595104!L:R,7,FALSE),VLOOKUP(tables_595104!C48,input_595104!A:H,8,FALSE))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input_595104!A$2</f>
        <v>595104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IFERROR(VLOOKUP(B49,input_595104!L:R,7,FALSE),VLOOKUP(tables_595104!C49,input_595104!A:H,8,FALSE))</f>
        <v>1140000</v>
      </c>
      <c r="P49" s="46">
        <f t="shared" ca="1" si="1"/>
        <v>7.8350515463998325E-3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input_595104!A$2</f>
        <v>595104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IFERROR(VLOOKUP(B50,input_595104!L:R,7,FALSE),VLOOKUP(tables_595104!C50,input_595104!A:H,8,FALSE))</f>
        <v>285000</v>
      </c>
      <c r="P50" s="46">
        <f t="shared" ca="1" si="1"/>
        <v>1.9587628865999581E-3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input_595104!A$2</f>
        <v>595104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IFERROR(VLOOKUP(B51,input_595104!L:R,7,FALSE),VLOOKUP(tables_595104!C51,input_595104!A:H,8,FALSE))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input_595104!A$2</f>
        <v>595104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IFERROR(VLOOKUP(B52,input_595104!L:R,7,FALSE),VLOOKUP(tables_595104!C52,input_595104!A:H,8,FALSE))</f>
        <v>1140000</v>
      </c>
      <c r="P52" s="46">
        <f t="shared" ca="1" si="1"/>
        <v>7.8350515463998325E-3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input_595104!A$2</f>
        <v>595104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IFERROR(VLOOKUP(B53,input_595104!L:R,7,FALSE),VLOOKUP(tables_595104!C53,input_595104!A:H,8,FALSE))</f>
        <v>291592.30768999999</v>
      </c>
      <c r="P53" s="46">
        <f t="shared" ca="1" si="1"/>
        <v>2.0040708432323071E-3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input_595104!A$2</f>
        <v>595104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IFERROR(VLOOKUP(B54,input_595104!L:R,7,FALSE),VLOOKUP(tables_595104!C54,input_595104!A:H,8,FALSE))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input_595104!A$2</f>
        <v>595104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IFERROR(VLOOKUP(B55,input_595104!L:R,7,FALSE),VLOOKUP(tables_595104!C55,input_595104!A:H,8,FALSE))</f>
        <v>1140000</v>
      </c>
      <c r="P55" s="46">
        <f t="shared" ca="1" si="1"/>
        <v>7.8350515463998325E-3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input_595104!A$2</f>
        <v>595104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IFERROR(VLOOKUP(B56,input_595104!L:R,7,FALSE),VLOOKUP(tables_595104!C56,input_595104!A:H,8,FALSE))</f>
        <v>291592.30768999999</v>
      </c>
      <c r="P56" s="46">
        <f t="shared" ca="1" si="1"/>
        <v>2.0040708432323071E-3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input_595104!A$2</f>
        <v>595104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IFERROR(VLOOKUP(B57,input_595104!L:R,7,FALSE),VLOOKUP(tables_595104!C57,input_595104!A:H,8,FALSE))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input_595104!A$2</f>
        <v>595104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IFERROR(VLOOKUP(B58,input_595104!L:R,7,FALSE),VLOOKUP(tables_595104!C58,input_595104!A:H,8,FALSE))</f>
        <v>1140000</v>
      </c>
      <c r="P58" s="46">
        <f t="shared" ca="1" si="1"/>
        <v>7.8350515463998325E-3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input_595104!A$2</f>
        <v>595104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IFERROR(VLOOKUP(B59,input_595104!L:R,7,FALSE),VLOOKUP(tables_595104!C59,input_595104!A:H,8,FALSE))</f>
        <v>291592.30768999999</v>
      </c>
      <c r="P59" s="46">
        <f t="shared" ca="1" si="1"/>
        <v>2.0040708432323071E-3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input_595104!A$2</f>
        <v>595104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IFERROR(VLOOKUP(B60,input_595104!L:R,7,FALSE),VLOOKUP(tables_595104!C60,input_595104!A:H,8,FALSE))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input_595104!A$2</f>
        <v>595104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IFERROR(VLOOKUP(B61,input_595104!L:R,7,FALSE),VLOOKUP(tables_595104!C61,input_595104!A:H,8,FALSE))</f>
        <v>1140000</v>
      </c>
      <c r="P61" s="46">
        <f t="shared" ca="1" si="1"/>
        <v>7.8350515463998325E-3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input_595104!A$2</f>
        <v>595104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IFERROR(VLOOKUP(B62,input_595104!L:R,7,FALSE),VLOOKUP(tables_595104!C62,input_595104!A:H,8,FALSE))</f>
        <v>291592.30768999999</v>
      </c>
      <c r="P62" s="46">
        <f t="shared" ca="1" si="1"/>
        <v>2.0040708432323071E-3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input_595104!A$2</f>
        <v>595104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IFERROR(VLOOKUP(B63,input_595104!L:R,7,FALSE),VLOOKUP(tables_595104!C63,input_595104!A:H,8,FALSE))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input_595104!A$2</f>
        <v>595104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IFERROR(VLOOKUP(B64,input_595104!L:R,7,FALSE),VLOOKUP(tables_595104!C64,input_595104!A:H,8,FALSE))</f>
        <v>1140000</v>
      </c>
      <c r="P64" s="46">
        <f t="shared" ca="1" si="1"/>
        <v>7.8350515463998325E-3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input_595104!A$2</f>
        <v>595104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IFERROR(VLOOKUP(B65,input_595104!L:R,7,FALSE),VLOOKUP(tables_595104!C65,input_595104!A:H,8,FALSE))</f>
        <v>291592.30768999999</v>
      </c>
      <c r="P65" s="46">
        <f t="shared" ca="1" si="1"/>
        <v>2.0040708432323071E-3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input_595104!A$2</f>
        <v>595104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IFERROR(VLOOKUP(B66,input_595104!L:R,7,FALSE),VLOOKUP(tables_595104!C66,input_595104!A:H,8,FALSE))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input_595104!A$2</f>
        <v>595104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IFERROR(VLOOKUP(B67,input_595104!L:R,7,FALSE),VLOOKUP(tables_595104!C67,input_595104!A:H,8,FALSE))</f>
        <v>1140000</v>
      </c>
      <c r="P67" s="46">
        <f t="shared" ca="1" si="4"/>
        <v>7.8350515463998325E-3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input_595104!A$2</f>
        <v>595104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IFERROR(VLOOKUP(B68,input_595104!L:R,7,FALSE),VLOOKUP(tables_595104!C68,input_595104!A:H,8,FALSE))</f>
        <v>291592.30768999999</v>
      </c>
      <c r="P68" s="46">
        <f t="shared" ca="1" si="4"/>
        <v>2.0040708432323071E-3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input_595104!A$2</f>
        <v>595104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IFERROR(VLOOKUP(B69,input_595104!L:R,7,FALSE),VLOOKUP(tables_595104!C69,input_595104!A:H,8,FALSE))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input_595104!A$2</f>
        <v>595104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IFERROR(VLOOKUP(B70,input_595104!L:R,7,FALSE),VLOOKUP(tables_595104!C70,input_595104!A:H,8,FALSE))</f>
        <v>1140000</v>
      </c>
      <c r="P70" s="46">
        <f t="shared" ca="1" si="4"/>
        <v>7.8350515463998325E-3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input_595104!A$2</f>
        <v>595104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IFERROR(VLOOKUP(B71,input_595104!L:R,7,FALSE),VLOOKUP(tables_595104!C71,input_595104!A:H,8,FALSE))</f>
        <v>291592.30768999999</v>
      </c>
      <c r="P71" s="46">
        <f t="shared" ca="1" si="4"/>
        <v>2.0040708432323071E-3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input_595104!A$2</f>
        <v>595104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IFERROR(VLOOKUP(B72,input_595104!L:R,7,FALSE),VLOOKUP(tables_595104!C72,input_595104!A:H,8,FALSE))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input_595104!A$2</f>
        <v>595104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IFERROR(VLOOKUP(B73,input_595104!L:R,7,FALSE),VLOOKUP(tables_595104!C73,input_595104!A:H,8,FALSE))</f>
        <v>1140000</v>
      </c>
      <c r="P73" s="46">
        <f t="shared" ca="1" si="4"/>
        <v>7.8350515463998325E-3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input_595104!A$2</f>
        <v>595104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IFERROR(VLOOKUP(B74,input_595104!L:R,7,FALSE),VLOOKUP(tables_595104!C74,input_595104!A:H,8,FALSE))</f>
        <v>291592.30768999999</v>
      </c>
      <c r="P74" s="46">
        <f t="shared" ca="1" si="4"/>
        <v>2.0040708432323071E-3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input_595104!A$2</f>
        <v>595104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IFERROR(VLOOKUP(B75,input_595104!L:R,7,FALSE),VLOOKUP(tables_595104!C75,input_595104!A:H,8,FALSE))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input_595104!A$2</f>
        <v>595104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IFERROR(VLOOKUP(B76,input_595104!L:R,7,FALSE),VLOOKUP(tables_595104!C76,input_595104!A:H,8,FALSE))</f>
        <v>1140000</v>
      </c>
      <c r="P76" s="46">
        <f t="shared" ca="1" si="4"/>
        <v>7.8350515463998325E-3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input_595104!A$2</f>
        <v>595104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IFERROR(VLOOKUP(B77,input_595104!L:R,7,FALSE),VLOOKUP(tables_595104!C77,input_595104!A:H,8,FALSE))</f>
        <v>291592.30768999999</v>
      </c>
      <c r="P77" s="46">
        <f t="shared" ca="1" si="4"/>
        <v>2.0040708432323071E-3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input_595104!A$2</f>
        <v>595104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IFERROR(VLOOKUP(B78,input_595104!L:R,7,FALSE),VLOOKUP(tables_595104!C78,input_595104!A:H,8,FALSE))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input_595104!A$2</f>
        <v>595104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IFERROR(VLOOKUP(B79,input_595104!L:R,7,FALSE),VLOOKUP(tables_595104!C79,input_595104!A:H,8,FALSE))</f>
        <v>1140000</v>
      </c>
      <c r="P79" s="46">
        <f t="shared" ca="1" si="4"/>
        <v>7.8350515463998325E-3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input_595104!A$2</f>
        <v>595104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IFERROR(VLOOKUP(B80,input_595104!L:R,7,FALSE),VLOOKUP(tables_595104!C80,input_595104!A:H,8,FALSE))</f>
        <v>291592.30768999999</v>
      </c>
      <c r="P80" s="46">
        <f t="shared" ca="1" si="4"/>
        <v>2.0040708432323071E-3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input_595104!A$2</f>
        <v>595104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IFERROR(VLOOKUP(B81,input_595104!L:R,7,FALSE),VLOOKUP(tables_595104!C81,input_595104!A:H,8,FALSE))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input_595104!A$2</f>
        <v>595104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IFERROR(VLOOKUP(B82,input_595104!L:R,7,FALSE),VLOOKUP(tables_595104!C82,input_595104!A:H,8,FALSE))</f>
        <v>1140000</v>
      </c>
      <c r="P82" s="46">
        <f t="shared" ca="1" si="4"/>
        <v>7.8350515463998325E-3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input_595104!A$2</f>
        <v>595104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IFERROR(VLOOKUP(B83,input_595104!L:R,7,FALSE),VLOOKUP(tables_595104!C83,input_595104!A:H,8,FALSE))</f>
        <v>291592.30768999999</v>
      </c>
      <c r="P83" s="46">
        <f t="shared" ca="1" si="4"/>
        <v>2.0040708432323071E-3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input_595104!A$2</f>
        <v>595104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IFERROR(VLOOKUP(B84,input_595104!L:R,7,FALSE),VLOOKUP(tables_595104!C84,input_595104!A:H,8,FALSE))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input_595104!A$2</f>
        <v>595104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IFERROR(VLOOKUP(B85,input_595104!L:R,7,FALSE),VLOOKUP(tables_595104!C85,input_595104!A:H,8,FALSE))</f>
        <v>1140000</v>
      </c>
      <c r="P85" s="46">
        <f t="shared" ca="1" si="4"/>
        <v>7.8350515463998325E-3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input_595104!A$2</f>
        <v>595104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IFERROR(VLOOKUP(B86,input_595104!L:R,7,FALSE),VLOOKUP(tables_595104!C86,input_595104!A:H,8,FALSE))</f>
        <v>291592.30768999999</v>
      </c>
      <c r="P86" s="46">
        <f t="shared" ca="1" si="4"/>
        <v>2.0040708432323071E-3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input_595104!A$2</f>
        <v>595104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IFERROR(VLOOKUP(B87,input_595104!L:R,7,FALSE),VLOOKUP(tables_595104!C87,input_595104!A:H,8,FALSE))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input_595104!A$2</f>
        <v>595104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IFERROR(VLOOKUP(B88,input_595104!L:R,7,FALSE),VLOOKUP(tables_595104!C88,input_595104!A:H,8,FALSE))</f>
        <v>1140000</v>
      </c>
      <c r="P88" s="46">
        <f t="shared" ca="1" si="4"/>
        <v>7.8350515463998325E-3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input_595104!A$2</f>
        <v>595104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IFERROR(VLOOKUP(B89,input_595104!L:R,7,FALSE),VLOOKUP(tables_595104!C89,input_595104!A:H,8,FALSE))</f>
        <v>291592.30768999999</v>
      </c>
      <c r="P89" s="46">
        <f t="shared" ca="1" si="4"/>
        <v>2.0040708432323071E-3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input_595104!A$2</f>
        <v>595104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IFERROR(VLOOKUP(B90,input_595104!L:R,7,FALSE),VLOOKUP(tables_595104!C90,input_595104!A:H,8,FALSE))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input_595104!A$2</f>
        <v>595104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IFERROR(VLOOKUP(B91,input_595104!L:R,7,FALSE),VLOOKUP(tables_595104!C91,input_595104!A:H,8,FALSE))</f>
        <v>1140000</v>
      </c>
      <c r="P91" s="46">
        <f t="shared" ca="1" si="4"/>
        <v>7.8350515463998325E-3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input_595104!A$2</f>
        <v>595104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IFERROR(VLOOKUP(B92,input_595104!L:R,7,FALSE),VLOOKUP(tables_595104!C92,input_595104!A:H,8,FALSE))</f>
        <v>291592.30768999999</v>
      </c>
      <c r="P92" s="46">
        <f t="shared" ca="1" si="4"/>
        <v>2.0040708432323071E-3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input_595104!A$2</f>
        <v>595104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IFERROR(VLOOKUP(B93,input_595104!L:R,7,FALSE),VLOOKUP(tables_595104!C93,input_595104!A:H,8,FALSE))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input_595104!A$2</f>
        <v>595104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IFERROR(VLOOKUP(B94,input_595104!L:R,7,FALSE),VLOOKUP(tables_595104!C94,input_595104!A:H,8,FALSE))</f>
        <v>1140000</v>
      </c>
      <c r="P94" s="46">
        <f t="shared" ca="1" si="4"/>
        <v>7.8350515463998325E-3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input_595104!A$2</f>
        <v>595104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IFERROR(VLOOKUP(B95,input_595104!L:R,7,FALSE),VLOOKUP(tables_595104!C95,input_595104!A:H,8,FALSE))</f>
        <v>291592.30768999999</v>
      </c>
      <c r="P95" s="46">
        <f t="shared" ca="1" si="4"/>
        <v>2.0040708432323071E-3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input_595104!A$2</f>
        <v>595104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IFERROR(VLOOKUP(B96,input_595104!L:R,7,FALSE),VLOOKUP(tables_595104!C96,input_595104!A:H,8,FALSE))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input_595104!A$2</f>
        <v>595104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IFERROR(VLOOKUP(B97,input_595104!L:R,7,FALSE),VLOOKUP(tables_595104!C97,input_595104!A:H,8,FALSE))</f>
        <v>1140000</v>
      </c>
      <c r="P97" s="46">
        <f t="shared" ca="1" si="4"/>
        <v>7.8350515463998325E-3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input_595104!A$2</f>
        <v>595104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IFERROR(VLOOKUP(B98,input_595104!L:R,7,FALSE),VLOOKUP(tables_595104!C98,input_595104!A:H,8,FALSE))</f>
        <v>291592.30768999999</v>
      </c>
      <c r="P98" s="46">
        <f t="shared" ca="1" si="4"/>
        <v>2.0040708432323071E-3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input_595104!A$2</f>
        <v>595104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IFERROR(VLOOKUP(B99,input_595104!L:R,7,FALSE),VLOOKUP(tables_595104!C99,input_595104!A:H,8,FALSE))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input_595104!A$2</f>
        <v>595104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IFERROR(VLOOKUP(B100,input_595104!L:R,7,FALSE),VLOOKUP(tables_595104!C100,input_595104!A:H,8,FALSE))</f>
        <v>1140000</v>
      </c>
      <c r="P100" s="46">
        <f t="shared" ca="1" si="4"/>
        <v>7.8350515463998325E-3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input_595104!A$2</f>
        <v>595104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IFERROR(VLOOKUP(B101,input_595104!L:R,7,FALSE),VLOOKUP(tables_595104!C101,input_595104!A:H,8,FALSE))</f>
        <v>291592.30768999999</v>
      </c>
      <c r="P101" s="46">
        <f t="shared" ca="1" si="4"/>
        <v>2.0040708432323071E-3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input_595104!A$2</f>
        <v>595104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IFERROR(VLOOKUP(B102,input_595104!L:R,7,FALSE),VLOOKUP(tables_595104!C102,input_595104!A:H,8,FALSE))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input_595104!A$2</f>
        <v>595104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IFERROR(VLOOKUP(B103,input_595104!L:R,7,FALSE),VLOOKUP(tables_595104!C103,input_595104!A:H,8,FALSE))</f>
        <v>1140000</v>
      </c>
      <c r="P103" s="46">
        <f t="shared" ca="1" si="4"/>
        <v>7.8350515463998325E-3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input_595104!A$2</f>
        <v>595104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IFERROR(VLOOKUP(B104,input_595104!L:R,7,FALSE),VLOOKUP(tables_595104!C104,input_595104!A:H,8,FALSE))</f>
        <v>291592.30768999999</v>
      </c>
      <c r="P104" s="46">
        <f t="shared" ca="1" si="4"/>
        <v>2.0040708432323071E-3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input_595104!A$2</f>
        <v>595104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IFERROR(VLOOKUP(B105,input_595104!L:R,7,FALSE),VLOOKUP(tables_595104!C105,input_595104!A:H,8,FALSE))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input_595104!A$2</f>
        <v>595104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IFERROR(VLOOKUP(B106,input_595104!L:R,7,FALSE),VLOOKUP(tables_595104!C106,input_595104!A:H,8,FALSE))</f>
        <v>1140000</v>
      </c>
      <c r="P106" s="46">
        <f t="shared" ca="1" si="4"/>
        <v>7.8350515463998325E-3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input_595104!A$2</f>
        <v>595104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IFERROR(VLOOKUP(B107,input_595104!L:R,7,FALSE),VLOOKUP(tables_595104!C107,input_595104!A:H,8,FALSE))</f>
        <v>291592.30768999999</v>
      </c>
      <c r="P107" s="46">
        <f t="shared" ca="1" si="4"/>
        <v>2.0040708432323071E-3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input_595104!A$2</f>
        <v>595104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IFERROR(VLOOKUP(B108,input_595104!L:R,7,FALSE),VLOOKUP(tables_595104!C108,input_595104!A:H,8,FALSE))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input_595104!A$2</f>
        <v>595104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IFERROR(VLOOKUP(B109,input_595104!L:R,7,FALSE),VLOOKUP(tables_595104!C109,input_595104!A:H,8,FALSE))</f>
        <v>1140000</v>
      </c>
      <c r="P109" s="46">
        <f t="shared" ca="1" si="4"/>
        <v>7.8350515463998325E-3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input_595104!A$2</f>
        <v>595104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IFERROR(VLOOKUP(B110,input_595104!L:R,7,FALSE),VLOOKUP(tables_595104!C110,input_595104!A:H,8,FALSE))</f>
        <v>291592.30768999999</v>
      </c>
      <c r="P110" s="46">
        <f t="shared" ca="1" si="4"/>
        <v>2.0040708432323071E-3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input_595104!A$2</f>
        <v>595104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IFERROR(VLOOKUP(B111,input_595104!L:R,7,FALSE),VLOOKUP(tables_595104!C111,input_595104!A:H,8,FALSE))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input_595104!A$2</f>
        <v>595104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IFERROR(VLOOKUP(B112,input_595104!L:R,7,FALSE),VLOOKUP(tables_595104!C112,input_595104!A:H,8,FALSE))</f>
        <v>1140000</v>
      </c>
      <c r="P112" s="46">
        <f t="shared" ca="1" si="4"/>
        <v>7.8350515463998325E-3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input_595104!A$2</f>
        <v>595104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IFERROR(VLOOKUP(B113,input_595104!L:R,7,FALSE),VLOOKUP(tables_595104!C113,input_595104!A:H,8,FALSE))</f>
        <v>285000</v>
      </c>
      <c r="P113" s="46">
        <f t="shared" ca="1" si="4"/>
        <v>1.9587628865999581E-3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input_595104!A$2</f>
        <v>595104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IFERROR(VLOOKUP(B114,input_595104!L:R,7,FALSE),VLOOKUP(tables_595104!C114,input_595104!A:H,8,FALSE))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input_595104!A$2</f>
        <v>595104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IFERROR(VLOOKUP(B115,input_595104!L:R,7,FALSE),VLOOKUP(tables_595104!C115,input_595104!A:H,8,FALSE))</f>
        <v>1140000</v>
      </c>
      <c r="P115" s="46">
        <f t="shared" ca="1" si="4"/>
        <v>7.8350515463998325E-3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input_595104!A$2</f>
        <v>595104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IFERROR(VLOOKUP(B116,input_595104!L:R,7,FALSE),VLOOKUP(tables_595104!C116,input_595104!A:H,8,FALSE))</f>
        <v>291592.30768999999</v>
      </c>
      <c r="P116" s="46">
        <f t="shared" ca="1" si="4"/>
        <v>2.0040708432323071E-3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input_595104!A$2</f>
        <v>595104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IFERROR(VLOOKUP(B117,input_595104!L:R,7,FALSE),VLOOKUP(tables_595104!C117,input_595104!A:H,8,FALSE))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input_595104!A$2</f>
        <v>595104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IFERROR(VLOOKUP(B118,input_595104!L:R,7,FALSE),VLOOKUP(tables_595104!C118,input_595104!A:H,8,FALSE))</f>
        <v>1140000</v>
      </c>
      <c r="P118" s="46">
        <f t="shared" ca="1" si="4"/>
        <v>7.8350515463998325E-3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input_595104!A$2</f>
        <v>595104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IFERROR(VLOOKUP(B119,input_595104!L:R,7,FALSE),VLOOKUP(tables_595104!C119,input_595104!A:H,8,FALSE))</f>
        <v>291592.30768999999</v>
      </c>
      <c r="P119" s="46">
        <f t="shared" ca="1" si="4"/>
        <v>2.0040708432323071E-3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input_595104!A$2</f>
        <v>595104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IFERROR(VLOOKUP(B120,input_595104!L:R,7,FALSE),VLOOKUP(tables_595104!C120,input_595104!A:H,8,FALSE))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input_595104!A$2</f>
        <v>595104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IFERROR(VLOOKUP(B121,input_595104!L:R,7,FALSE),VLOOKUP(tables_595104!C121,input_595104!A:H,8,FALSE))</f>
        <v>1140000</v>
      </c>
      <c r="P121" s="46">
        <f t="shared" ca="1" si="4"/>
        <v>7.8350515463998325E-3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input_595104!A$2</f>
        <v>595104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IFERROR(VLOOKUP(B122,input_595104!L:R,7,FALSE),VLOOKUP(tables_595104!C122,input_595104!A:H,8,FALSE))</f>
        <v>291592.30768999999</v>
      </c>
      <c r="P122" s="46">
        <f t="shared" ca="1" si="4"/>
        <v>2.0040708432323071E-3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input_595104!A$2</f>
        <v>595104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IFERROR(VLOOKUP(B123,input_595104!L:R,7,FALSE),VLOOKUP(tables_595104!C123,input_595104!A:H,8,FALSE))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input_595104!A$2</f>
        <v>595104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IFERROR(VLOOKUP(B124,input_595104!L:R,7,FALSE),VLOOKUP(tables_595104!C124,input_595104!A:H,8,FALSE))</f>
        <v>1140000</v>
      </c>
      <c r="P124" s="46">
        <f t="shared" ca="1" si="4"/>
        <v>7.8350515463998325E-3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input_595104!A$2</f>
        <v>595104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IFERROR(VLOOKUP(B125,input_595104!L:R,7,FALSE),VLOOKUP(tables_595104!C125,input_595104!A:H,8,FALSE))</f>
        <v>291592.30768999999</v>
      </c>
      <c r="P125" s="46">
        <f t="shared" ca="1" si="4"/>
        <v>2.0040708432323071E-3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input_595104!A$2</f>
        <v>595104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IFERROR(VLOOKUP(B126,input_595104!L:R,7,FALSE),VLOOKUP(tables_595104!C126,input_595104!A:H,8,FALSE))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input_595104!A$2</f>
        <v>595104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IFERROR(VLOOKUP(B127,input_595104!L:R,7,FALSE),VLOOKUP(tables_595104!C127,input_595104!A:H,8,FALSE))</f>
        <v>1140000</v>
      </c>
      <c r="P127" s="46">
        <f t="shared" ca="1" si="4"/>
        <v>7.8350515463998325E-3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input_595104!A$2</f>
        <v>595104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IFERROR(VLOOKUP(B128,input_595104!L:R,7,FALSE),VLOOKUP(tables_595104!C128,input_595104!A:H,8,FALSE))</f>
        <v>291592.30768999999</v>
      </c>
      <c r="P128" s="46">
        <f t="shared" ca="1" si="4"/>
        <v>2.0040708432323071E-3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input_595104!A$2</f>
        <v>595104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IFERROR(VLOOKUP(B129,input_595104!L:R,7,FALSE),VLOOKUP(tables_595104!C129,input_595104!A:H,8,FALSE))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input_595104!A$2</f>
        <v>595104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IFERROR(VLOOKUP(B130,input_595104!L:R,7,FALSE),VLOOKUP(tables_595104!C130,input_595104!A:H,8,FALSE))</f>
        <v>1140000</v>
      </c>
      <c r="P130" s="46">
        <f t="shared" ref="P130:P193" ca="1" si="7">O130/SUM(O:O)</f>
        <v>7.8350515463998325E-3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input_595104!A$2</f>
        <v>595104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IFERROR(VLOOKUP(B131,input_595104!L:R,7,FALSE),VLOOKUP(tables_595104!C131,input_595104!A:H,8,FALSE))</f>
        <v>291592.30768999999</v>
      </c>
      <c r="P131" s="46">
        <f t="shared" ca="1" si="7"/>
        <v>2.0040708432323071E-3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input_595104!A$2</f>
        <v>595104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IFERROR(VLOOKUP(B132,input_595104!L:R,7,FALSE),VLOOKUP(tables_595104!C132,input_595104!A:H,8,FALSE))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input_595104!A$2</f>
        <v>595104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IFERROR(VLOOKUP(B133,input_595104!L:R,7,FALSE),VLOOKUP(tables_595104!C133,input_595104!A:H,8,FALSE))</f>
        <v>1140000</v>
      </c>
      <c r="P133" s="46">
        <f t="shared" ca="1" si="7"/>
        <v>7.8350515463998325E-3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input_595104!A$2</f>
        <v>595104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IFERROR(VLOOKUP(B134,input_595104!L:R,7,FALSE),VLOOKUP(tables_595104!C134,input_595104!A:H,8,FALSE))</f>
        <v>291592.30768999999</v>
      </c>
      <c r="P134" s="46">
        <f t="shared" ca="1" si="7"/>
        <v>2.0040708432323071E-3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input_595104!A$2</f>
        <v>595104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IFERROR(VLOOKUP(B135,input_595104!L:R,7,FALSE),VLOOKUP(tables_595104!C135,input_595104!A:H,8,FALSE))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input_595104!A$2</f>
        <v>595104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IFERROR(VLOOKUP(B136,input_595104!L:R,7,FALSE),VLOOKUP(tables_595104!C136,input_595104!A:H,8,FALSE))</f>
        <v>1140000</v>
      </c>
      <c r="P136" s="46">
        <f t="shared" ca="1" si="7"/>
        <v>7.8350515463998325E-3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input_595104!A$2</f>
        <v>595104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IFERROR(VLOOKUP(B137,input_595104!L:R,7,FALSE),VLOOKUP(tables_595104!C137,input_595104!A:H,8,FALSE))</f>
        <v>291592.30768999999</v>
      </c>
      <c r="P137" s="46">
        <f t="shared" ca="1" si="7"/>
        <v>2.0040708432323071E-3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input_595104!A$2</f>
        <v>595104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IFERROR(VLOOKUP(B138,input_595104!L:R,7,FALSE),VLOOKUP(tables_595104!C138,input_595104!A:H,8,FALSE))</f>
        <v>77600</v>
      </c>
      <c r="P138" s="46">
        <f t="shared" ca="1" si="7"/>
        <v>5.3333333333388337E-4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input_595104!A$2</f>
        <v>595104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IFERROR(VLOOKUP(B139,input_595104!L:R,7,FALSE),VLOOKUP(tables_595104!C139,input_595104!A:H,8,FALSE))</f>
        <v>19400</v>
      </c>
      <c r="P139" s="46">
        <f t="shared" ca="1" si="7"/>
        <v>1.3333333333347084E-4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input_595104!A$2</f>
        <v>595104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IFERROR(VLOOKUP(B140,input_595104!L:R,7,FALSE),VLOOKUP(tables_595104!C140,input_595104!A:H,8,FALSE))</f>
        <v>77600</v>
      </c>
      <c r="P140" s="46">
        <f t="shared" ca="1" si="7"/>
        <v>5.3333333333388337E-4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input_595104!A$2</f>
        <v>595104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IFERROR(VLOOKUP(B141,input_595104!L:R,7,FALSE),VLOOKUP(tables_595104!C141,input_595104!A:H,8,FALSE))</f>
        <v>19400</v>
      </c>
      <c r="P141" s="46">
        <f t="shared" ca="1" si="7"/>
        <v>1.3333333333347084E-4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input_595104!A$2</f>
        <v>595104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IFERROR(VLOOKUP(B142,input_595104!L:R,7,FALSE),VLOOKUP(tables_595104!C142,input_595104!A:H,8,FALSE))</f>
        <v>77600</v>
      </c>
      <c r="P142" s="46">
        <f t="shared" ca="1" si="7"/>
        <v>5.3333333333388337E-4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input_595104!A$2</f>
        <v>595104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IFERROR(VLOOKUP(B143,input_595104!L:R,7,FALSE),VLOOKUP(tables_595104!C143,input_595104!A:H,8,FALSE))</f>
        <v>19400</v>
      </c>
      <c r="P143" s="46">
        <f t="shared" ca="1" si="7"/>
        <v>1.3333333333347084E-4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input_595104!A$2</f>
        <v>595104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IFERROR(VLOOKUP(B144,input_595104!L:R,7,FALSE),VLOOKUP(tables_595104!C144,input_595104!A:H,8,FALSE))</f>
        <v>77600</v>
      </c>
      <c r="P144" s="46">
        <f t="shared" ca="1" si="7"/>
        <v>5.3333333333388337E-4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input_595104!A$2</f>
        <v>595104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IFERROR(VLOOKUP(B145,input_595104!L:R,7,FALSE),VLOOKUP(tables_595104!C145,input_595104!A:H,8,FALSE))</f>
        <v>19400</v>
      </c>
      <c r="P145" s="46">
        <f t="shared" ca="1" si="7"/>
        <v>1.3333333333347084E-4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input_595104!A$2</f>
        <v>595104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IFERROR(VLOOKUP(B146,input_595104!L:R,7,FALSE),VLOOKUP(tables_595104!C146,input_595104!A:H,8,FALSE))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input_595104!A$2</f>
        <v>595104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IFERROR(VLOOKUP(B147,input_595104!L:R,7,FALSE),VLOOKUP(tables_595104!C147,input_595104!A:H,8,FALSE))</f>
        <v>1140000</v>
      </c>
      <c r="P147" s="46">
        <f t="shared" ca="1" si="7"/>
        <v>7.8350515463998325E-3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input_595104!A$2</f>
        <v>595104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IFERROR(VLOOKUP(B148,input_595104!L:R,7,FALSE),VLOOKUP(tables_595104!C148,input_595104!A:H,8,FALSE))</f>
        <v>291592.30768999999</v>
      </c>
      <c r="P148" s="46">
        <f t="shared" ca="1" si="7"/>
        <v>2.0040708432323071E-3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input_595104!A$2</f>
        <v>595104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IFERROR(VLOOKUP(B149,input_595104!L:R,7,FALSE),VLOOKUP(tables_595104!C149,input_595104!A:H,8,FALSE))</f>
        <v>77600</v>
      </c>
      <c r="P149" s="46">
        <f t="shared" ca="1" si="7"/>
        <v>5.3333333333388337E-4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input_595104!A$2</f>
        <v>595104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IFERROR(VLOOKUP(B150,input_595104!L:R,7,FALSE),VLOOKUP(tables_595104!C150,input_595104!A:H,8,FALSE))</f>
        <v>19400</v>
      </c>
      <c r="P150" s="46">
        <f t="shared" ca="1" si="7"/>
        <v>1.3333333333347084E-4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input_595104!A$2</f>
        <v>595104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IFERROR(VLOOKUP(B151,input_595104!L:R,7,FALSE),VLOOKUP(tables_595104!C151,input_595104!A:H,8,FALSE))</f>
        <v>77600</v>
      </c>
      <c r="P151" s="46">
        <f t="shared" ca="1" si="7"/>
        <v>5.3333333333388337E-4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input_595104!A$2</f>
        <v>595104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IFERROR(VLOOKUP(B152,input_595104!L:R,7,FALSE),VLOOKUP(tables_595104!C152,input_595104!A:H,8,FALSE))</f>
        <v>19400</v>
      </c>
      <c r="P152" s="46">
        <f t="shared" ca="1" si="7"/>
        <v>1.3333333333347084E-4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input_595104!A$2</f>
        <v>595104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IFERROR(VLOOKUP(B153,input_595104!L:R,7,FALSE),VLOOKUP(tables_595104!C153,input_595104!A:H,8,FALSE))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input_595104!A$2</f>
        <v>595104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IFERROR(VLOOKUP(B154,input_595104!L:R,7,FALSE),VLOOKUP(tables_595104!C154,input_595104!A:H,8,FALSE))</f>
        <v>1140000</v>
      </c>
      <c r="P154" s="46">
        <f t="shared" ca="1" si="7"/>
        <v>7.8350515463998325E-3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input_595104!A$2</f>
        <v>595104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IFERROR(VLOOKUP(B155,input_595104!L:R,7,FALSE),VLOOKUP(tables_595104!C155,input_595104!A:H,8,FALSE))</f>
        <v>291592.30768999999</v>
      </c>
      <c r="P155" s="46">
        <f t="shared" ca="1" si="7"/>
        <v>2.0040708432323071E-3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input_595104!A$2</f>
        <v>595104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IFERROR(VLOOKUP(B156,input_595104!L:R,7,FALSE),VLOOKUP(tables_595104!C156,input_595104!A:H,8,FALSE))</f>
        <v>77600</v>
      </c>
      <c r="P156" s="46">
        <f t="shared" ca="1" si="7"/>
        <v>5.3333333333388337E-4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input_595104!A$2</f>
        <v>595104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IFERROR(VLOOKUP(B157,input_595104!L:R,7,FALSE),VLOOKUP(tables_595104!C157,input_595104!A:H,8,FALSE))</f>
        <v>19400</v>
      </c>
      <c r="P157" s="46">
        <f t="shared" ca="1" si="7"/>
        <v>1.3333333333347084E-4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input_595104!A$2</f>
        <v>595104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IFERROR(VLOOKUP(B158,input_595104!L:R,7,FALSE),VLOOKUP(tables_595104!C158,input_595104!A:H,8,FALSE))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input_595104!A$2</f>
        <v>595104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IFERROR(VLOOKUP(B159,input_595104!L:R,7,FALSE),VLOOKUP(tables_595104!C159,input_595104!A:H,8,FALSE))</f>
        <v>1140000</v>
      </c>
      <c r="P159" s="46">
        <f t="shared" ca="1" si="7"/>
        <v>7.8350515463998325E-3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input_595104!A$2</f>
        <v>595104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IFERROR(VLOOKUP(B160,input_595104!L:R,7,FALSE),VLOOKUP(tables_595104!C160,input_595104!A:H,8,FALSE))</f>
        <v>291592.30768999999</v>
      </c>
      <c r="P160" s="46">
        <f t="shared" ca="1" si="7"/>
        <v>2.0040708432323071E-3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input_595104!A$2</f>
        <v>595104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IFERROR(VLOOKUP(B161,input_595104!L:R,7,FALSE),VLOOKUP(tables_595104!C161,input_595104!A:H,8,FALSE))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input_595104!A$2</f>
        <v>595104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IFERROR(VLOOKUP(B162,input_595104!L:R,7,FALSE),VLOOKUP(tables_595104!C162,input_595104!A:H,8,FALSE))</f>
        <v>1140000</v>
      </c>
      <c r="P162" s="46">
        <f t="shared" ca="1" si="7"/>
        <v>7.8350515463998325E-3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input_595104!A$2</f>
        <v>595104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IFERROR(VLOOKUP(B163,input_595104!L:R,7,FALSE),VLOOKUP(tables_595104!C163,input_595104!A:H,8,FALSE))</f>
        <v>291592.30768999999</v>
      </c>
      <c r="P163" s="46">
        <f t="shared" ca="1" si="7"/>
        <v>2.0040708432323071E-3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input_595104!A$2</f>
        <v>595104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IFERROR(VLOOKUP(B164,input_595104!L:R,7,FALSE),VLOOKUP(tables_595104!C164,input_595104!A:H,8,FALSE))</f>
        <v>77600</v>
      </c>
      <c r="P164" s="46">
        <f t="shared" ca="1" si="7"/>
        <v>5.3333333333388337E-4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input_595104!A$2</f>
        <v>595104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IFERROR(VLOOKUP(B165,input_595104!L:R,7,FALSE),VLOOKUP(tables_595104!C165,input_595104!A:H,8,FALSE))</f>
        <v>19400</v>
      </c>
      <c r="P165" s="46">
        <f t="shared" ca="1" si="7"/>
        <v>1.3333333333347084E-4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input_595104!A$2</f>
        <v>595104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IFERROR(VLOOKUP(B166,input_595104!L:R,7,FALSE),VLOOKUP(tables_595104!C166,input_595104!A:H,8,FALSE))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input_595104!A$2</f>
        <v>595104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IFERROR(VLOOKUP(B167,input_595104!L:R,7,FALSE),VLOOKUP(tables_595104!C167,input_595104!A:H,8,FALSE))</f>
        <v>1140000</v>
      </c>
      <c r="P167" s="46">
        <f t="shared" ca="1" si="7"/>
        <v>7.8350515463998325E-3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input_595104!A$2</f>
        <v>595104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IFERROR(VLOOKUP(B168,input_595104!L:R,7,FALSE),VLOOKUP(tables_595104!C168,input_595104!A:H,8,FALSE))</f>
        <v>291592.30768999999</v>
      </c>
      <c r="P168" s="46">
        <f t="shared" ca="1" si="7"/>
        <v>2.0040708432323071E-3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input_595104!A$2</f>
        <v>595104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IFERROR(VLOOKUP(B169,input_595104!L:R,7,FALSE),VLOOKUP(tables_595104!C169,input_595104!A:H,8,FALSE))</f>
        <v>77600</v>
      </c>
      <c r="P169" s="46">
        <f t="shared" ca="1" si="7"/>
        <v>5.3333333333388337E-4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input_595104!A$2</f>
        <v>595104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IFERROR(VLOOKUP(B170,input_595104!L:R,7,FALSE),VLOOKUP(tables_595104!C170,input_595104!A:H,8,FALSE))</f>
        <v>19400</v>
      </c>
      <c r="P170" s="46">
        <f t="shared" ca="1" si="7"/>
        <v>1.3333333333347084E-4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input_595104!A$2</f>
        <v>595104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IFERROR(VLOOKUP(B171,input_595104!L:R,7,FALSE),VLOOKUP(tables_595104!C171,input_595104!A:H,8,FALSE))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input_595104!A$2</f>
        <v>595104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IFERROR(VLOOKUP(B172,input_595104!L:R,7,FALSE),VLOOKUP(tables_595104!C172,input_595104!A:H,8,FALSE))</f>
        <v>1140000</v>
      </c>
      <c r="P172" s="46">
        <f t="shared" ca="1" si="7"/>
        <v>7.8350515463998325E-3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input_595104!A$2</f>
        <v>595104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IFERROR(VLOOKUP(B173,input_595104!L:R,7,FALSE),VLOOKUP(tables_595104!C173,input_595104!A:H,8,FALSE))</f>
        <v>291592.30768999999</v>
      </c>
      <c r="P173" s="46">
        <f t="shared" ca="1" si="7"/>
        <v>2.0040708432323071E-3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input_595104!A$2</f>
        <v>595104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IFERROR(VLOOKUP(B174,input_595104!L:R,7,FALSE),VLOOKUP(tables_595104!C174,input_595104!A:H,8,FALSE))</f>
        <v>77600</v>
      </c>
      <c r="P174" s="46">
        <f t="shared" ca="1" si="7"/>
        <v>5.3333333333388337E-4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input_595104!A$2</f>
        <v>595104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IFERROR(VLOOKUP(B175,input_595104!L:R,7,FALSE),VLOOKUP(tables_595104!C175,input_595104!A:H,8,FALSE))</f>
        <v>19400</v>
      </c>
      <c r="P175" s="46">
        <f t="shared" ca="1" si="7"/>
        <v>1.3333333333347084E-4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input_595104!A$2</f>
        <v>595104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IFERROR(VLOOKUP(B176,input_595104!L:R,7,FALSE),VLOOKUP(tables_595104!C176,input_595104!A:H,8,FALSE))</f>
        <v>77600</v>
      </c>
      <c r="P176" s="46">
        <f t="shared" ca="1" si="7"/>
        <v>5.3333333333388337E-4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input_595104!A$2</f>
        <v>595104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IFERROR(VLOOKUP(B177,input_595104!L:R,7,FALSE),VLOOKUP(tables_595104!C177,input_595104!A:H,8,FALSE))</f>
        <v>19400</v>
      </c>
      <c r="P177" s="46">
        <f t="shared" ca="1" si="7"/>
        <v>1.3333333333347084E-4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input_595104!A$2</f>
        <v>595104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IFERROR(VLOOKUP(B178,input_595104!L:R,7,FALSE),VLOOKUP(tables_595104!C178,input_595104!A:H,8,FALSE))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input_595104!A$2</f>
        <v>595104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IFERROR(VLOOKUP(B179,input_595104!L:R,7,FALSE),VLOOKUP(tables_595104!C179,input_595104!A:H,8,FALSE))</f>
        <v>1140000</v>
      </c>
      <c r="P179" s="46">
        <f t="shared" ca="1" si="7"/>
        <v>7.8350515463998325E-3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input_595104!A$2</f>
        <v>595104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IFERROR(VLOOKUP(B180,input_595104!L:R,7,FALSE),VLOOKUP(tables_595104!C180,input_595104!A:H,8,FALSE))</f>
        <v>291592.30768999999</v>
      </c>
      <c r="P180" s="46">
        <f t="shared" ca="1" si="7"/>
        <v>2.0040708432323071E-3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input_595104!A$2</f>
        <v>595104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IFERROR(VLOOKUP(B181,input_595104!L:R,7,FALSE),VLOOKUP(tables_595104!C181,input_595104!A:H,8,FALSE))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input_595104!A$2</f>
        <v>595104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IFERROR(VLOOKUP(B182,input_595104!L:R,7,FALSE),VLOOKUP(tables_595104!C182,input_595104!A:H,8,FALSE))</f>
        <v>1140000</v>
      </c>
      <c r="P182" s="46">
        <f t="shared" ca="1" si="7"/>
        <v>7.8350515463998325E-3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input_595104!A$2</f>
        <v>595104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IFERROR(VLOOKUP(B183,input_595104!L:R,7,FALSE),VLOOKUP(tables_595104!C183,input_595104!A:H,8,FALSE))</f>
        <v>291592.30768999999</v>
      </c>
      <c r="P183" s="46">
        <f t="shared" ca="1" si="7"/>
        <v>2.0040708432323071E-3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input_595104!A$2</f>
        <v>595104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IFERROR(VLOOKUP(B184,input_595104!L:R,7,FALSE),VLOOKUP(tables_595104!C184,input_595104!A:H,8,FALSE))</f>
        <v>77600</v>
      </c>
      <c r="P184" s="46">
        <f t="shared" ca="1" si="7"/>
        <v>5.3333333333388337E-4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input_595104!A$2</f>
        <v>595104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IFERROR(VLOOKUP(B185,input_595104!L:R,7,FALSE),VLOOKUP(tables_595104!C185,input_595104!A:H,8,FALSE))</f>
        <v>19400</v>
      </c>
      <c r="P185" s="46">
        <f t="shared" ca="1" si="7"/>
        <v>1.3333333333347084E-4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input_595104!A$2</f>
        <v>595104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IFERROR(VLOOKUP(B186,input_595104!L:R,7,FALSE),VLOOKUP(tables_595104!C186,input_595104!A:H,8,FALSE))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input_595104!A$2</f>
        <v>595104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IFERROR(VLOOKUP(B187,input_595104!L:R,7,FALSE),VLOOKUP(tables_595104!C187,input_595104!A:H,8,FALSE))</f>
        <v>1140000</v>
      </c>
      <c r="P187" s="46">
        <f t="shared" ca="1" si="7"/>
        <v>7.8350515463998325E-3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input_595104!A$2</f>
        <v>595104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IFERROR(VLOOKUP(B188,input_595104!L:R,7,FALSE),VLOOKUP(tables_595104!C188,input_595104!A:H,8,FALSE))</f>
        <v>291592.30768999999</v>
      </c>
      <c r="P188" s="46">
        <f t="shared" ca="1" si="7"/>
        <v>2.0040708432323071E-3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input_595104!A$2</f>
        <v>595104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IFERROR(VLOOKUP(B189,input_595104!L:R,7,FALSE),VLOOKUP(tables_595104!C189,input_595104!A:H,8,FALSE))</f>
        <v>77600</v>
      </c>
      <c r="P189" s="46">
        <f t="shared" ca="1" si="7"/>
        <v>5.3333333333388337E-4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input_595104!A$2</f>
        <v>595104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IFERROR(VLOOKUP(B190,input_595104!L:R,7,FALSE),VLOOKUP(tables_595104!C190,input_595104!A:H,8,FALSE))</f>
        <v>19400</v>
      </c>
      <c r="P190" s="46">
        <f t="shared" ca="1" si="7"/>
        <v>1.3333333333347084E-4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input_595104!A$2</f>
        <v>595104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IFERROR(VLOOKUP(B191,input_595104!L:R,7,FALSE),VLOOKUP(tables_595104!C191,input_595104!A:H,8,FALSE))</f>
        <v>77600</v>
      </c>
      <c r="P191" s="46">
        <f t="shared" ca="1" si="7"/>
        <v>5.3333333333388337E-4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input_595104!A$2</f>
        <v>595104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IFERROR(VLOOKUP(B192,input_595104!L:R,7,FALSE),VLOOKUP(tables_595104!C192,input_595104!A:H,8,FALSE))</f>
        <v>19400</v>
      </c>
      <c r="P192" s="46">
        <f t="shared" ca="1" si="7"/>
        <v>1.3333333333347084E-4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input_595104!A$2</f>
        <v>595104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IFERROR(VLOOKUP(B193,input_595104!L:R,7,FALSE),VLOOKUP(tables_595104!C193,input_595104!A:H,8,FALSE))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input_595104!A$2</f>
        <v>595104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IFERROR(VLOOKUP(B194,input_595104!L:R,7,FALSE),VLOOKUP(tables_595104!C194,input_595104!A:H,8,FALSE))</f>
        <v>1140000</v>
      </c>
      <c r="P194" s="46">
        <f t="shared" ref="P194:P257" ca="1" si="10">O194/SUM(O:O)</f>
        <v>7.8350515463998325E-3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input_595104!A$2</f>
        <v>595104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IFERROR(VLOOKUP(B195,input_595104!L:R,7,FALSE),VLOOKUP(tables_595104!C195,input_595104!A:H,8,FALSE))</f>
        <v>291592.30768999999</v>
      </c>
      <c r="P195" s="46">
        <f t="shared" ca="1" si="10"/>
        <v>2.0040708432323071E-3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input_595104!A$2</f>
        <v>595104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IFERROR(VLOOKUP(B196,input_595104!L:R,7,FALSE),VLOOKUP(tables_595104!C196,input_595104!A:H,8,FALSE))</f>
        <v>77600</v>
      </c>
      <c r="P196" s="46">
        <f t="shared" ca="1" si="10"/>
        <v>5.3333333333388337E-4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input_595104!A$2</f>
        <v>595104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IFERROR(VLOOKUP(B197,input_595104!L:R,7,FALSE),VLOOKUP(tables_595104!C197,input_595104!A:H,8,FALSE))</f>
        <v>19400</v>
      </c>
      <c r="P197" s="46">
        <f t="shared" ca="1" si="10"/>
        <v>1.3333333333347084E-4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input_595104!A$2</f>
        <v>595104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IFERROR(VLOOKUP(B198,input_595104!L:R,7,FALSE),VLOOKUP(tables_595104!C198,input_595104!A:H,8,FALSE))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input_595104!A$2</f>
        <v>595104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IFERROR(VLOOKUP(B199,input_595104!L:R,7,FALSE),VLOOKUP(tables_595104!C199,input_595104!A:H,8,FALSE))</f>
        <v>1140000</v>
      </c>
      <c r="P199" s="46">
        <f t="shared" ca="1" si="10"/>
        <v>7.8350515463998325E-3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input_595104!A$2</f>
        <v>595104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IFERROR(VLOOKUP(B200,input_595104!L:R,7,FALSE),VLOOKUP(tables_595104!C200,input_595104!A:H,8,FALSE))</f>
        <v>291592.30768999999</v>
      </c>
      <c r="P200" s="46">
        <f t="shared" ca="1" si="10"/>
        <v>2.0040708432323071E-3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input_595104!A$2</f>
        <v>595104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IFERROR(VLOOKUP(B201,input_595104!L:R,7,FALSE),VLOOKUP(tables_595104!C201,input_595104!A:H,8,FALSE))</f>
        <v>77600</v>
      </c>
      <c r="P201" s="46">
        <f t="shared" ca="1" si="10"/>
        <v>5.3333333333388337E-4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input_595104!A$2</f>
        <v>595104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IFERROR(VLOOKUP(B202,input_595104!L:R,7,FALSE),VLOOKUP(tables_595104!C202,input_595104!A:H,8,FALSE))</f>
        <v>19400</v>
      </c>
      <c r="P202" s="46">
        <f t="shared" ca="1" si="10"/>
        <v>1.3333333333347084E-4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input_595104!A$2</f>
        <v>595104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IFERROR(VLOOKUP(B203,input_595104!L:R,7,FALSE),VLOOKUP(tables_595104!C203,input_595104!A:H,8,FALSE))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input_595104!A$2</f>
        <v>595104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IFERROR(VLOOKUP(B204,input_595104!L:R,7,FALSE),VLOOKUP(tables_595104!C204,input_595104!A:H,8,FALSE))</f>
        <v>1140000</v>
      </c>
      <c r="P204" s="46">
        <f t="shared" ca="1" si="10"/>
        <v>7.8350515463998325E-3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input_595104!A$2</f>
        <v>595104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IFERROR(VLOOKUP(B205,input_595104!L:R,7,FALSE),VLOOKUP(tables_595104!C205,input_595104!A:H,8,FALSE))</f>
        <v>291592.30768999999</v>
      </c>
      <c r="P205" s="46">
        <f t="shared" ca="1" si="10"/>
        <v>2.0040708432323071E-3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input_595104!A$2</f>
        <v>595104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IFERROR(VLOOKUP(B206,input_595104!L:R,7,FALSE),VLOOKUP(tables_595104!C206,input_595104!A:H,8,FALSE))</f>
        <v>77600</v>
      </c>
      <c r="P206" s="46">
        <f t="shared" ca="1" si="10"/>
        <v>5.3333333333388337E-4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input_595104!A$2</f>
        <v>595104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IFERROR(VLOOKUP(B207,input_595104!L:R,7,FALSE),VLOOKUP(tables_595104!C207,input_595104!A:H,8,FALSE))</f>
        <v>19400</v>
      </c>
      <c r="P207" s="46">
        <f t="shared" ca="1" si="10"/>
        <v>1.3333333333347084E-4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input_595104!A$2</f>
        <v>595104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IFERROR(VLOOKUP(B208,input_595104!L:R,7,FALSE),VLOOKUP(tables_595104!C208,input_595104!A:H,8,FALSE))</f>
        <v>77600</v>
      </c>
      <c r="P208" s="46">
        <f t="shared" ca="1" si="10"/>
        <v>5.3333333333388337E-4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input_595104!A$2</f>
        <v>595104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IFERROR(VLOOKUP(B209,input_595104!L:R,7,FALSE),VLOOKUP(tables_595104!C209,input_595104!A:H,8,FALSE))</f>
        <v>19400</v>
      </c>
      <c r="P209" s="46">
        <f t="shared" ca="1" si="10"/>
        <v>1.3333333333347084E-4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input_595104!A$2</f>
        <v>595104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IFERROR(VLOOKUP(B210,input_595104!L:R,7,FALSE),VLOOKUP(tables_595104!C210,input_595104!A:H,8,FALSE))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input_595104!A$2</f>
        <v>595104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IFERROR(VLOOKUP(B211,input_595104!L:R,7,FALSE),VLOOKUP(tables_595104!C211,input_595104!A:H,8,FALSE))</f>
        <v>1140000</v>
      </c>
      <c r="P211" s="46">
        <f t="shared" ca="1" si="10"/>
        <v>7.8350515463998325E-3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input_595104!A$2</f>
        <v>595104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IFERROR(VLOOKUP(B212,input_595104!L:R,7,FALSE),VLOOKUP(tables_595104!C212,input_595104!A:H,8,FALSE))</f>
        <v>291592.30768999999</v>
      </c>
      <c r="P212" s="46">
        <f t="shared" ca="1" si="10"/>
        <v>2.0040708432323071E-3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input_595104!A$2</f>
        <v>595104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IFERROR(VLOOKUP(B213,input_595104!L:R,7,FALSE),VLOOKUP(tables_595104!C213,input_595104!A:H,8,FALSE))</f>
        <v>77600</v>
      </c>
      <c r="P213" s="46">
        <f t="shared" ca="1" si="10"/>
        <v>5.3333333333388337E-4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input_595104!A$2</f>
        <v>595104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IFERROR(VLOOKUP(B214,input_595104!L:R,7,FALSE),VLOOKUP(tables_595104!C214,input_595104!A:H,8,FALSE))</f>
        <v>19400</v>
      </c>
      <c r="P214" s="46">
        <f t="shared" ca="1" si="10"/>
        <v>1.3333333333347084E-4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input_595104!A$2</f>
        <v>595104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IFERROR(VLOOKUP(B215,input_595104!L:R,7,FALSE),VLOOKUP(tables_595104!C215,input_595104!A:H,8,FALSE))</f>
        <v>285000</v>
      </c>
      <c r="P215" s="46">
        <f t="shared" ca="1" si="10"/>
        <v>1.9587628865999581E-3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input_595104!A$2</f>
        <v>595104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IFERROR(VLOOKUP(B216,input_595104!L:R,7,FALSE),VLOOKUP(tables_595104!C216,input_595104!A:H,8,FALSE))</f>
        <v>285000</v>
      </c>
      <c r="P216" s="46">
        <f t="shared" ca="1" si="10"/>
        <v>1.9587628865999581E-3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input_595104!A$2</f>
        <v>595104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IFERROR(VLOOKUP(B217,input_595104!L:R,7,FALSE),VLOOKUP(tables_595104!C217,input_595104!A:H,8,FALSE))</f>
        <v>285000</v>
      </c>
      <c r="P217" s="46">
        <f t="shared" ca="1" si="10"/>
        <v>1.9587628865999581E-3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input_595104!A$2</f>
        <v>595104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IFERROR(VLOOKUP(B218,input_595104!L:R,7,FALSE),VLOOKUP(tables_595104!C218,input_595104!A:H,8,FALSE))</f>
        <v>285000</v>
      </c>
      <c r="P218" s="46">
        <f t="shared" ca="1" si="10"/>
        <v>1.9587628865999581E-3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input_595104!A$2</f>
        <v>595104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IFERROR(VLOOKUP(B219,input_595104!L:R,7,FALSE),VLOOKUP(tables_595104!C219,input_595104!A:H,8,FALSE))</f>
        <v>285000</v>
      </c>
      <c r="P219" s="46">
        <f t="shared" ca="1" si="10"/>
        <v>1.9587628865999581E-3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input_595104!A$2</f>
        <v>595104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IFERROR(VLOOKUP(B220,input_595104!L:R,7,FALSE),VLOOKUP(tables_595104!C220,input_595104!A:H,8,FALSE))</f>
        <v>285000</v>
      </c>
      <c r="P220" s="46">
        <f t="shared" ca="1" si="10"/>
        <v>1.9587628865999581E-3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input_595104!A$2</f>
        <v>595104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IFERROR(VLOOKUP(B221,input_595104!L:R,7,FALSE),VLOOKUP(tables_595104!C221,input_595104!A:H,8,FALSE))</f>
        <v>77600</v>
      </c>
      <c r="P221" s="46">
        <f t="shared" ca="1" si="10"/>
        <v>5.3333333333388337E-4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input_595104!A$2</f>
        <v>595104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IFERROR(VLOOKUP(B222,input_595104!L:R,7,FALSE),VLOOKUP(tables_595104!C222,input_595104!A:H,8,FALSE))</f>
        <v>19400</v>
      </c>
      <c r="P222" s="46">
        <f t="shared" ca="1" si="10"/>
        <v>1.3333333333347084E-4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input_595104!A$2</f>
        <v>595104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IFERROR(VLOOKUP(B223,input_595104!L:R,7,FALSE),VLOOKUP(tables_595104!C223,input_595104!A:H,8,FALSE))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input_595104!A$2</f>
        <v>595104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IFERROR(VLOOKUP(B224,input_595104!L:R,7,FALSE),VLOOKUP(tables_595104!C224,input_595104!A:H,8,FALSE))</f>
        <v>1140000</v>
      </c>
      <c r="P224" s="46">
        <f t="shared" ca="1" si="10"/>
        <v>7.8350515463998325E-3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input_595104!A$2</f>
        <v>595104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IFERROR(VLOOKUP(B225,input_595104!L:R,7,FALSE),VLOOKUP(tables_595104!C225,input_595104!A:H,8,FALSE))</f>
        <v>291592.30768999999</v>
      </c>
      <c r="P225" s="46">
        <f t="shared" ca="1" si="10"/>
        <v>2.0040708432323071E-3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input_595104!A$2</f>
        <v>595104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IFERROR(VLOOKUP(B226,input_595104!L:R,7,FALSE),VLOOKUP(tables_595104!C226,input_595104!A:H,8,FALSE))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input_595104!A$2</f>
        <v>595104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IFERROR(VLOOKUP(B227,input_595104!L:R,7,FALSE),VLOOKUP(tables_595104!C227,input_595104!A:H,8,FALSE))</f>
        <v>1140000</v>
      </c>
      <c r="P227" s="46">
        <f t="shared" ca="1" si="10"/>
        <v>7.8350515463998325E-3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input_595104!A$2</f>
        <v>595104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IFERROR(VLOOKUP(B228,input_595104!L:R,7,FALSE),VLOOKUP(tables_595104!C228,input_595104!A:H,8,FALSE))</f>
        <v>291592.30768999999</v>
      </c>
      <c r="P228" s="46">
        <f t="shared" ca="1" si="10"/>
        <v>2.0040708432323071E-3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input_595104!A$2</f>
        <v>595104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IFERROR(VLOOKUP(B229,input_595104!L:R,7,FALSE),VLOOKUP(tables_595104!C229,input_595104!A:H,8,FALSE))</f>
        <v>77600</v>
      </c>
      <c r="P229" s="46">
        <f t="shared" ca="1" si="10"/>
        <v>5.3333333333388337E-4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input_595104!A$2</f>
        <v>595104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IFERROR(VLOOKUP(B230,input_595104!L:R,7,FALSE),VLOOKUP(tables_595104!C230,input_595104!A:H,8,FALSE))</f>
        <v>19400</v>
      </c>
      <c r="P230" s="46">
        <f t="shared" ca="1" si="10"/>
        <v>1.3333333333347084E-4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input_595104!A$2</f>
        <v>595104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IFERROR(VLOOKUP(B231,input_595104!L:R,7,FALSE),VLOOKUP(tables_595104!C231,input_595104!A:H,8,FALSE))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input_595104!A$2</f>
        <v>595104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IFERROR(VLOOKUP(B232,input_595104!L:R,7,FALSE),VLOOKUP(tables_595104!C232,input_595104!A:H,8,FALSE))</f>
        <v>1140000</v>
      </c>
      <c r="P232" s="46">
        <f t="shared" ca="1" si="10"/>
        <v>7.8350515463998325E-3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input_595104!A$2</f>
        <v>595104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IFERROR(VLOOKUP(B233,input_595104!L:R,7,FALSE),VLOOKUP(tables_595104!C233,input_595104!A:H,8,FALSE))</f>
        <v>291592.30768999999</v>
      </c>
      <c r="P233" s="46">
        <f t="shared" ca="1" si="10"/>
        <v>2.0040708432323071E-3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input_595104!A$2</f>
        <v>595104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IFERROR(VLOOKUP(B234,input_595104!L:R,7,FALSE),VLOOKUP(tables_595104!C234,input_595104!A:H,8,FALSE))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input_595104!A$2</f>
        <v>595104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IFERROR(VLOOKUP(B235,input_595104!L:R,7,FALSE),VLOOKUP(tables_595104!C235,input_595104!A:H,8,FALSE))</f>
        <v>1140000</v>
      </c>
      <c r="P235" s="46">
        <f t="shared" ca="1" si="10"/>
        <v>7.8350515463998325E-3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input_595104!A$2</f>
        <v>595104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IFERROR(VLOOKUP(B236,input_595104!L:R,7,FALSE),VLOOKUP(tables_595104!C236,input_595104!A:H,8,FALSE))</f>
        <v>291592.30768999999</v>
      </c>
      <c r="P236" s="46">
        <f t="shared" ca="1" si="10"/>
        <v>2.0040708432323071E-3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input_595104!A$2</f>
        <v>595104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IFERROR(VLOOKUP(B237,input_595104!L:R,7,FALSE),VLOOKUP(tables_595104!C237,input_595104!A:H,8,FALSE))</f>
        <v>77600</v>
      </c>
      <c r="P237" s="46">
        <f t="shared" ca="1" si="10"/>
        <v>5.3333333333388337E-4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input_595104!A$2</f>
        <v>595104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IFERROR(VLOOKUP(B238,input_595104!L:R,7,FALSE),VLOOKUP(tables_595104!C238,input_595104!A:H,8,FALSE))</f>
        <v>19400</v>
      </c>
      <c r="P238" s="46">
        <f t="shared" ca="1" si="10"/>
        <v>1.3333333333347084E-4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input_595104!A$2</f>
        <v>595104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IFERROR(VLOOKUP(B239,input_595104!L:R,7,FALSE),VLOOKUP(tables_595104!C239,input_595104!A:H,8,FALSE))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input_595104!A$2</f>
        <v>595104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IFERROR(VLOOKUP(B240,input_595104!L:R,7,FALSE),VLOOKUP(tables_595104!C240,input_595104!A:H,8,FALSE))</f>
        <v>1140000</v>
      </c>
      <c r="P240" s="46">
        <f t="shared" ca="1" si="10"/>
        <v>7.8350515463998325E-3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input_595104!A$2</f>
        <v>595104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IFERROR(VLOOKUP(B241,input_595104!L:R,7,FALSE),VLOOKUP(tables_595104!C241,input_595104!A:H,8,FALSE))</f>
        <v>291592.30768999999</v>
      </c>
      <c r="P241" s="46">
        <f t="shared" ca="1" si="10"/>
        <v>2.0040708432323071E-3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input_595104!A$2</f>
        <v>595104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IFERROR(VLOOKUP(B242,input_595104!L:R,7,FALSE),VLOOKUP(tables_595104!C242,input_595104!A:H,8,FALSE))</f>
        <v>77600</v>
      </c>
      <c r="P242" s="46">
        <f t="shared" ca="1" si="10"/>
        <v>5.3333333333388337E-4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input_595104!A$2</f>
        <v>595104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IFERROR(VLOOKUP(B243,input_595104!L:R,7,FALSE),VLOOKUP(tables_595104!C243,input_595104!A:H,8,FALSE))</f>
        <v>19400</v>
      </c>
      <c r="P243" s="46">
        <f t="shared" ca="1" si="10"/>
        <v>1.3333333333347084E-4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input_595104!A$2</f>
        <v>595104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IFERROR(VLOOKUP(B244,input_595104!L:R,7,FALSE),VLOOKUP(tables_595104!C244,input_595104!A:H,8,FALSE))</f>
        <v>77600</v>
      </c>
      <c r="P244" s="46">
        <f t="shared" ca="1" si="10"/>
        <v>5.3333333333388337E-4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input_595104!A$2</f>
        <v>595104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IFERROR(VLOOKUP(B245,input_595104!L:R,7,FALSE),VLOOKUP(tables_595104!C245,input_595104!A:H,8,FALSE))</f>
        <v>19400</v>
      </c>
      <c r="P245" s="46">
        <f t="shared" ca="1" si="10"/>
        <v>1.3333333333347084E-4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input_595104!A$2</f>
        <v>595104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IFERROR(VLOOKUP(B246,input_595104!L:R,7,FALSE),VLOOKUP(tables_595104!C246,input_595104!A:H,8,FALSE))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input_595104!A$2</f>
        <v>595104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IFERROR(VLOOKUP(B247,input_595104!L:R,7,FALSE),VLOOKUP(tables_595104!C247,input_595104!A:H,8,FALSE))</f>
        <v>1140000</v>
      </c>
      <c r="P247" s="46">
        <f t="shared" ca="1" si="10"/>
        <v>7.8350515463998325E-3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input_595104!A$2</f>
        <v>595104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IFERROR(VLOOKUP(B248,input_595104!L:R,7,FALSE),VLOOKUP(tables_595104!C248,input_595104!A:H,8,FALSE))</f>
        <v>291592.30768999999</v>
      </c>
      <c r="P248" s="46">
        <f t="shared" ca="1" si="10"/>
        <v>2.0040708432323071E-3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input_595104!A$2</f>
        <v>595104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IFERROR(VLOOKUP(B249,input_595104!L:R,7,FALSE),VLOOKUP(tables_595104!C249,input_595104!A:H,8,FALSE))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input_595104!A$2</f>
        <v>595104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IFERROR(VLOOKUP(B250,input_595104!L:R,7,FALSE),VLOOKUP(tables_595104!C250,input_595104!A:H,8,FALSE))</f>
        <v>1140000</v>
      </c>
      <c r="P250" s="46">
        <f t="shared" ca="1" si="10"/>
        <v>7.8350515463998325E-3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input_595104!A$2</f>
        <v>595104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IFERROR(VLOOKUP(B251,input_595104!L:R,7,FALSE),VLOOKUP(tables_595104!C251,input_595104!A:H,8,FALSE))</f>
        <v>291592.30768999999</v>
      </c>
      <c r="P251" s="46">
        <f t="shared" ca="1" si="10"/>
        <v>2.0040708432323071E-3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input_595104!A$2</f>
        <v>595104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IFERROR(VLOOKUP(B252,input_595104!L:R,7,FALSE),VLOOKUP(tables_595104!C252,input_595104!A:H,8,FALSE))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input_595104!A$2</f>
        <v>595104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IFERROR(VLOOKUP(B253,input_595104!L:R,7,FALSE),VLOOKUP(tables_595104!C253,input_595104!A:H,8,FALSE))</f>
        <v>1140000</v>
      </c>
      <c r="P253" s="46">
        <f t="shared" ca="1" si="10"/>
        <v>7.8350515463998325E-3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input_595104!A$2</f>
        <v>595104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IFERROR(VLOOKUP(B254,input_595104!L:R,7,FALSE),VLOOKUP(tables_595104!C254,input_595104!A:H,8,FALSE))</f>
        <v>291592.30768999999</v>
      </c>
      <c r="P254" s="46">
        <f t="shared" ca="1" si="10"/>
        <v>2.0040708432323071E-3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input_595104!A$2</f>
        <v>595104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IFERROR(VLOOKUP(B255,input_595104!L:R,7,FALSE),VLOOKUP(tables_595104!C255,input_595104!A:H,8,FALSE))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input_595104!A$2</f>
        <v>595104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IFERROR(VLOOKUP(B256,input_595104!L:R,7,FALSE),VLOOKUP(tables_595104!C256,input_595104!A:H,8,FALSE))</f>
        <v>1140000</v>
      </c>
      <c r="P256" s="46">
        <f t="shared" ca="1" si="10"/>
        <v>7.8350515463998325E-3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input_595104!A$2</f>
        <v>595104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IFERROR(VLOOKUP(B257,input_595104!L:R,7,FALSE),VLOOKUP(tables_595104!C257,input_595104!A:H,8,FALSE))</f>
        <v>291592.30768999999</v>
      </c>
      <c r="P257" s="46">
        <f t="shared" ca="1" si="10"/>
        <v>2.0040708432323071E-3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input_595104!A$2</f>
        <v>595104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IFERROR(VLOOKUP(B258,input_595104!L:R,7,FALSE),VLOOKUP(tables_595104!C258,input_595104!A:H,8,FALSE))</f>
        <v>77600</v>
      </c>
      <c r="P258" s="46">
        <f t="shared" ref="P258:P321" ca="1" si="13">O258/SUM(O:O)</f>
        <v>5.3333333333388337E-4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input_595104!A$2</f>
        <v>595104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IFERROR(VLOOKUP(B259,input_595104!L:R,7,FALSE),VLOOKUP(tables_595104!C259,input_595104!A:H,8,FALSE))</f>
        <v>19400</v>
      </c>
      <c r="P259" s="46">
        <f t="shared" ca="1" si="13"/>
        <v>1.3333333333347084E-4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input_595104!A$2</f>
        <v>595104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IFERROR(VLOOKUP(B260,input_595104!L:R,7,FALSE),VLOOKUP(tables_595104!C260,input_595104!A:H,8,FALSE))</f>
        <v>77600</v>
      </c>
      <c r="P260" s="46">
        <f t="shared" ca="1" si="13"/>
        <v>5.3333333333388337E-4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input_595104!A$2</f>
        <v>595104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IFERROR(VLOOKUP(B261,input_595104!L:R,7,FALSE),VLOOKUP(tables_595104!C261,input_595104!A:H,8,FALSE))</f>
        <v>19400</v>
      </c>
      <c r="P261" s="46">
        <f t="shared" ca="1" si="13"/>
        <v>1.3333333333347084E-4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input_595104!A$2</f>
        <v>595104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IFERROR(VLOOKUP(B262,input_595104!L:R,7,FALSE),VLOOKUP(tables_595104!C262,input_595104!A:H,8,FALSE))</f>
        <v>1058571.42857</v>
      </c>
      <c r="P262" s="46">
        <f t="shared" ca="1" si="13"/>
        <v>7.2754050073614547E-3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input_595104!A$2</f>
        <v>595104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IFERROR(VLOOKUP(B263,input_595104!L:R,7,FALSE),VLOOKUP(tables_595104!C263,input_595104!A:H,8,FALSE))</f>
        <v>285000</v>
      </c>
      <c r="P263" s="46">
        <f t="shared" ca="1" si="13"/>
        <v>1.9587628865999581E-3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input_595104!A$2</f>
        <v>595104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IFERROR(VLOOKUP(B264,input_595104!L:R,7,FALSE),VLOOKUP(tables_595104!C264,input_595104!A:H,8,FALSE))</f>
        <v>1058571.42857</v>
      </c>
      <c r="P264" s="46">
        <f t="shared" ca="1" si="13"/>
        <v>7.2754050073614547E-3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input_595104!A$2</f>
        <v>595104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IFERROR(VLOOKUP(B265,input_595104!L:R,7,FALSE),VLOOKUP(tables_595104!C265,input_595104!A:H,8,FALSE))</f>
        <v>285000</v>
      </c>
      <c r="P265" s="46">
        <f t="shared" ca="1" si="13"/>
        <v>1.9587628865999581E-3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input_595104!A$2</f>
        <v>595104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IFERROR(VLOOKUP(B266,input_595104!L:R,7,FALSE),VLOOKUP(tables_595104!C266,input_595104!A:H,8,FALSE))</f>
        <v>97000</v>
      </c>
      <c r="P266" s="46">
        <f t="shared" ca="1" si="13"/>
        <v>6.6666666666735425E-4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input_595104!A$2</f>
        <v>595104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IFERROR(VLOOKUP(B267,input_595104!L:R,7,FALSE),VLOOKUP(tables_595104!C267,input_595104!A:H,8,FALSE))</f>
        <v>97000</v>
      </c>
      <c r="P267" s="46">
        <f t="shared" ca="1" si="13"/>
        <v>6.6666666666735425E-4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input_595104!A$2</f>
        <v>595104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IFERROR(VLOOKUP(B268,input_595104!L:R,7,FALSE),VLOOKUP(tables_595104!C268,input_595104!A:H,8,FALSE))</f>
        <v>97000</v>
      </c>
      <c r="P268" s="46">
        <f t="shared" ca="1" si="13"/>
        <v>6.6666666666735425E-4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input_595104!A$2</f>
        <v>595104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IFERROR(VLOOKUP(B269,input_595104!L:R,7,FALSE),VLOOKUP(tables_595104!C269,input_595104!A:H,8,FALSE))</f>
        <v>97000</v>
      </c>
      <c r="P269" s="46">
        <f t="shared" ca="1" si="13"/>
        <v>6.6666666666735425E-4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input_595104!A$2</f>
        <v>595104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IFERROR(VLOOKUP(B270,input_595104!L:R,7,FALSE),VLOOKUP(tables_595104!C270,input_595104!A:H,8,FALSE))</f>
        <v>1058571.42857</v>
      </c>
      <c r="P270" s="46">
        <f t="shared" ca="1" si="13"/>
        <v>7.2754050073614547E-3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input_595104!A$2</f>
        <v>595104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IFERROR(VLOOKUP(B271,input_595104!L:R,7,FALSE),VLOOKUP(tables_595104!C271,input_595104!A:H,8,FALSE))</f>
        <v>285000</v>
      </c>
      <c r="P271" s="46">
        <f t="shared" ca="1" si="13"/>
        <v>1.9587628865999581E-3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input_595104!A$2</f>
        <v>595104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IFERROR(VLOOKUP(B272,input_595104!L:R,7,FALSE),VLOOKUP(tables_595104!C272,input_595104!A:H,8,FALSE))</f>
        <v>1058571.42857</v>
      </c>
      <c r="P272" s="46">
        <f t="shared" ca="1" si="13"/>
        <v>7.2754050073614547E-3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input_595104!A$2</f>
        <v>595104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IFERROR(VLOOKUP(B273,input_595104!L:R,7,FALSE),VLOOKUP(tables_595104!C273,input_595104!A:H,8,FALSE))</f>
        <v>285000</v>
      </c>
      <c r="P273" s="46">
        <f t="shared" ca="1" si="13"/>
        <v>1.9587628865999581E-3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input_595104!A$2</f>
        <v>595104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IFERROR(VLOOKUP(B274,input_595104!L:R,7,FALSE),VLOOKUP(tables_595104!C274,input_595104!A:H,8,FALSE))</f>
        <v>77600</v>
      </c>
      <c r="P274" s="46">
        <f t="shared" ca="1" si="13"/>
        <v>5.3333333333388337E-4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input_595104!A$2</f>
        <v>595104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IFERROR(VLOOKUP(B275,input_595104!L:R,7,FALSE),VLOOKUP(tables_595104!C275,input_595104!A:H,8,FALSE))</f>
        <v>19400</v>
      </c>
      <c r="P275" s="46">
        <f t="shared" ca="1" si="13"/>
        <v>1.3333333333347084E-4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input_595104!A$2</f>
        <v>595104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IFERROR(VLOOKUP(B276,input_595104!L:R,7,FALSE),VLOOKUP(tables_595104!C276,input_595104!A:H,8,FALSE))</f>
        <v>77600</v>
      </c>
      <c r="P276" s="46">
        <f t="shared" ca="1" si="13"/>
        <v>5.3333333333388337E-4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input_595104!A$2</f>
        <v>595104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IFERROR(VLOOKUP(B277,input_595104!L:R,7,FALSE),VLOOKUP(tables_595104!C277,input_595104!A:H,8,FALSE))</f>
        <v>19400</v>
      </c>
      <c r="P277" s="46">
        <f t="shared" ca="1" si="13"/>
        <v>1.3333333333347084E-4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input_595104!A$2</f>
        <v>595104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IFERROR(VLOOKUP(B278,input_595104!L:R,7,FALSE),VLOOKUP(tables_595104!C278,input_595104!A:H,8,FALSE))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input_595104!A$2</f>
        <v>595104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IFERROR(VLOOKUP(B279,input_595104!L:R,7,FALSE),VLOOKUP(tables_595104!C279,input_595104!A:H,8,FALSE))</f>
        <v>1140000</v>
      </c>
      <c r="P279" s="46">
        <f t="shared" ca="1" si="13"/>
        <v>7.8350515463998325E-3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input_595104!A$2</f>
        <v>595104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IFERROR(VLOOKUP(B280,input_595104!L:R,7,FALSE),VLOOKUP(tables_595104!C280,input_595104!A:H,8,FALSE))</f>
        <v>291592.30768999999</v>
      </c>
      <c r="P280" s="46">
        <f t="shared" ca="1" si="13"/>
        <v>2.0040708432323071E-3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input_595104!A$2</f>
        <v>595104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IFERROR(VLOOKUP(B281,input_595104!L:R,7,FALSE),VLOOKUP(tables_595104!C281,input_595104!A:H,8,FALSE))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input_595104!A$2</f>
        <v>595104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IFERROR(VLOOKUP(B282,input_595104!L:R,7,FALSE),VLOOKUP(tables_595104!C282,input_595104!A:H,8,FALSE))</f>
        <v>1140000</v>
      </c>
      <c r="P282" s="46">
        <f t="shared" ca="1" si="13"/>
        <v>7.8350515463998325E-3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input_595104!A$2</f>
        <v>595104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IFERROR(VLOOKUP(B283,input_595104!L:R,7,FALSE),VLOOKUP(tables_595104!C283,input_595104!A:H,8,FALSE))</f>
        <v>291592.30768999999</v>
      </c>
      <c r="P283" s="46">
        <f t="shared" ca="1" si="13"/>
        <v>2.0040708432323071E-3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input_595104!A$2</f>
        <v>595104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IFERROR(VLOOKUP(B284,input_595104!L:R,7,FALSE),VLOOKUP(tables_595104!C284,input_595104!A:H,8,FALSE))</f>
        <v>97000</v>
      </c>
      <c r="P284" s="46">
        <f t="shared" ca="1" si="13"/>
        <v>6.6666666666735425E-4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input_595104!A$2</f>
        <v>595104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IFERROR(VLOOKUP(B285,input_595104!L:R,7,FALSE),VLOOKUP(tables_595104!C285,input_595104!A:H,8,FALSE))</f>
        <v>97000</v>
      </c>
      <c r="P285" s="46">
        <f t="shared" ca="1" si="13"/>
        <v>6.6666666666735425E-4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input_595104!A$2</f>
        <v>595104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IFERROR(VLOOKUP(B286,input_595104!L:R,7,FALSE),VLOOKUP(tables_595104!C286,input_595104!A:H,8,FALSE))</f>
        <v>1058571.42857</v>
      </c>
      <c r="P286" s="46">
        <f t="shared" ca="1" si="13"/>
        <v>7.2754050073614547E-3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input_595104!A$2</f>
        <v>595104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IFERROR(VLOOKUP(B287,input_595104!L:R,7,FALSE),VLOOKUP(tables_595104!C287,input_595104!A:H,8,FALSE))</f>
        <v>285000</v>
      </c>
      <c r="P287" s="46">
        <f t="shared" ca="1" si="13"/>
        <v>1.9587628865999581E-3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input_595104!A$2</f>
        <v>595104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IFERROR(VLOOKUP(B288,input_595104!L:R,7,FALSE),VLOOKUP(tables_595104!C288,input_595104!A:H,8,FALSE))</f>
        <v>1058571.42857</v>
      </c>
      <c r="P288" s="46">
        <f t="shared" ca="1" si="13"/>
        <v>7.2754050073614547E-3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input_595104!A$2</f>
        <v>595104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IFERROR(VLOOKUP(B289,input_595104!L:R,7,FALSE),VLOOKUP(tables_595104!C289,input_595104!A:H,8,FALSE))</f>
        <v>285000</v>
      </c>
      <c r="P289" s="46">
        <f t="shared" ca="1" si="13"/>
        <v>1.9587628865999581E-3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input_595104!A$2</f>
        <v>595104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IFERROR(VLOOKUP(B290,input_595104!L:R,7,FALSE),VLOOKUP(tables_595104!C290,input_595104!A:H,8,FALSE))</f>
        <v>1058571.42857</v>
      </c>
      <c r="P290" s="46">
        <f t="shared" ca="1" si="13"/>
        <v>7.2754050073614547E-3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input_595104!A$2</f>
        <v>595104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IFERROR(VLOOKUP(B291,input_595104!L:R,7,FALSE),VLOOKUP(tables_595104!C291,input_595104!A:H,8,FALSE))</f>
        <v>285000</v>
      </c>
      <c r="P291" s="46">
        <f t="shared" ca="1" si="13"/>
        <v>1.9587628865999581E-3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input_595104!A$2</f>
        <v>595104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IFERROR(VLOOKUP(B292,input_595104!L:R,7,FALSE),VLOOKUP(tables_595104!C292,input_595104!A:H,8,FALSE))</f>
        <v>1058571.42857</v>
      </c>
      <c r="P292" s="46">
        <f t="shared" ca="1" si="13"/>
        <v>7.2754050073614547E-3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input_595104!A$2</f>
        <v>595104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IFERROR(VLOOKUP(B293,input_595104!L:R,7,FALSE),VLOOKUP(tables_595104!C293,input_595104!A:H,8,FALSE))</f>
        <v>285000</v>
      </c>
      <c r="P293" s="46">
        <f t="shared" ca="1" si="13"/>
        <v>1.9587628865999581E-3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input_595104!A$2</f>
        <v>595104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IFERROR(VLOOKUP(B294,input_595104!L:R,7,FALSE),VLOOKUP(tables_595104!C294,input_595104!A:H,8,FALSE))</f>
        <v>97000</v>
      </c>
      <c r="P294" s="46">
        <f t="shared" ca="1" si="13"/>
        <v>6.6666666666735425E-4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input_595104!A$2</f>
        <v>595104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IFERROR(VLOOKUP(B295,input_595104!L:R,7,FALSE),VLOOKUP(tables_595104!C295,input_595104!A:H,8,FALSE))</f>
        <v>97000</v>
      </c>
      <c r="P295" s="46">
        <f t="shared" ca="1" si="13"/>
        <v>6.6666666666735425E-4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input_595104!A$2</f>
        <v>595104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IFERROR(VLOOKUP(B296,input_595104!L:R,7,FALSE),VLOOKUP(tables_595104!C296,input_595104!A:H,8,FALSE))</f>
        <v>97000</v>
      </c>
      <c r="P296" s="46">
        <f t="shared" ca="1" si="13"/>
        <v>6.6666666666735425E-4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input_595104!A$2</f>
        <v>595104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IFERROR(VLOOKUP(B297,input_595104!L:R,7,FALSE),VLOOKUP(tables_595104!C297,input_595104!A:H,8,FALSE))</f>
        <v>1058571.42857</v>
      </c>
      <c r="P297" s="46">
        <f t="shared" ca="1" si="13"/>
        <v>7.2754050073614547E-3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input_595104!A$2</f>
        <v>595104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IFERROR(VLOOKUP(B298,input_595104!L:R,7,FALSE),VLOOKUP(tables_595104!C298,input_595104!A:H,8,FALSE))</f>
        <v>285000</v>
      </c>
      <c r="P298" s="46">
        <f t="shared" ca="1" si="13"/>
        <v>1.9587628865999581E-3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input_595104!A$2</f>
        <v>595104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IFERROR(VLOOKUP(B299,input_595104!L:R,7,FALSE),VLOOKUP(tables_595104!C299,input_595104!A:H,8,FALSE))</f>
        <v>97000</v>
      </c>
      <c r="P299" s="46">
        <f t="shared" ca="1" si="13"/>
        <v>6.6666666666735425E-4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input_595104!A$2</f>
        <v>595104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IFERROR(VLOOKUP(B300,input_595104!L:R,7,FALSE),VLOOKUP(tables_595104!C300,input_595104!A:H,8,FALSE))</f>
        <v>97000</v>
      </c>
      <c r="P300" s="46">
        <f t="shared" ca="1" si="13"/>
        <v>6.6666666666735425E-4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input_595104!A$2</f>
        <v>595104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IFERROR(VLOOKUP(B301,input_595104!L:R,7,FALSE),VLOOKUP(tables_595104!C301,input_595104!A:H,8,FALSE))</f>
        <v>97000</v>
      </c>
      <c r="P301" s="46">
        <f t="shared" ca="1" si="13"/>
        <v>6.6666666666735425E-4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input_595104!A$2</f>
        <v>595104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IFERROR(VLOOKUP(B302,input_595104!L:R,7,FALSE),VLOOKUP(tables_595104!C302,input_595104!A:H,8,FALSE))</f>
        <v>97000</v>
      </c>
      <c r="P302" s="46">
        <f t="shared" ca="1" si="13"/>
        <v>6.6666666666735425E-4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input_595104!A$2</f>
        <v>595104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IFERROR(VLOOKUP(B303,input_595104!L:R,7,FALSE),VLOOKUP(tables_595104!C303,input_595104!A:H,8,FALSE))</f>
        <v>1058571.42857</v>
      </c>
      <c r="P303" s="46">
        <f t="shared" ca="1" si="13"/>
        <v>7.2754050073614547E-3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input_595104!A$2</f>
        <v>595104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IFERROR(VLOOKUP(B304,input_595104!L:R,7,FALSE),VLOOKUP(tables_595104!C304,input_595104!A:H,8,FALSE))</f>
        <v>285000</v>
      </c>
      <c r="P304" s="46">
        <f t="shared" ca="1" si="13"/>
        <v>1.9587628865999581E-3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input_595104!A$2</f>
        <v>595104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IFERROR(VLOOKUP(B305,input_595104!L:R,7,FALSE),VLOOKUP(tables_595104!C305,input_595104!A:H,8,FALSE))</f>
        <v>97000</v>
      </c>
      <c r="P305" s="46">
        <f t="shared" ca="1" si="13"/>
        <v>6.6666666666735425E-4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input_595104!A$2</f>
        <v>595104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IFERROR(VLOOKUP(B306,input_595104!L:R,7,FALSE),VLOOKUP(tables_595104!C306,input_595104!A:H,8,FALSE))</f>
        <v>1058571.42857</v>
      </c>
      <c r="P306" s="46">
        <f t="shared" ca="1" si="13"/>
        <v>7.2754050073614547E-3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input_595104!A$2</f>
        <v>595104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IFERROR(VLOOKUP(B307,input_595104!L:R,7,FALSE),VLOOKUP(tables_595104!C307,input_595104!A:H,8,FALSE))</f>
        <v>285000</v>
      </c>
      <c r="P307" s="46">
        <f t="shared" ca="1" si="13"/>
        <v>1.9587628865999581E-3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input_595104!A$2</f>
        <v>595104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IFERROR(VLOOKUP(B308,input_595104!L:R,7,FALSE),VLOOKUP(tables_595104!C308,input_595104!A:H,8,FALSE))</f>
        <v>97000</v>
      </c>
      <c r="P308" s="46">
        <f t="shared" ca="1" si="13"/>
        <v>6.6666666666735425E-4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input_595104!A$2</f>
        <v>595104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IFERROR(VLOOKUP(B309,input_595104!L:R,7,FALSE),VLOOKUP(tables_595104!C309,input_595104!A:H,8,FALSE))</f>
        <v>97000</v>
      </c>
      <c r="P309" s="46">
        <f t="shared" ca="1" si="13"/>
        <v>6.6666666666735425E-4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input_595104!A$2</f>
        <v>595104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IFERROR(VLOOKUP(B310,input_595104!L:R,7,FALSE),VLOOKUP(tables_595104!C310,input_595104!A:H,8,FALSE))</f>
        <v>97000</v>
      </c>
      <c r="P310" s="46">
        <f t="shared" ca="1" si="13"/>
        <v>6.6666666666735425E-4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input_595104!A$2</f>
        <v>595104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IFERROR(VLOOKUP(B311,input_595104!L:R,7,FALSE),VLOOKUP(tables_595104!C311,input_595104!A:H,8,FALSE))</f>
        <v>1058571.42857</v>
      </c>
      <c r="P311" s="46">
        <f t="shared" ca="1" si="13"/>
        <v>7.2754050073614547E-3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input_595104!A$2</f>
        <v>595104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IFERROR(VLOOKUP(B312,input_595104!L:R,7,FALSE),VLOOKUP(tables_595104!C312,input_595104!A:H,8,FALSE))</f>
        <v>285000</v>
      </c>
      <c r="P312" s="46">
        <f t="shared" ca="1" si="13"/>
        <v>1.9587628865999581E-3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input_595104!A$2</f>
        <v>595104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IFERROR(VLOOKUP(B313,input_595104!L:R,7,FALSE),VLOOKUP(tables_595104!C313,input_595104!A:H,8,FALSE))</f>
        <v>97000</v>
      </c>
      <c r="P313" s="46">
        <f t="shared" ca="1" si="13"/>
        <v>6.6666666666735425E-4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input_595104!A$2</f>
        <v>595104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IFERROR(VLOOKUP(B314,input_595104!L:R,7,FALSE),VLOOKUP(tables_595104!C314,input_595104!A:H,8,FALSE))</f>
        <v>97000</v>
      </c>
      <c r="P314" s="46">
        <f t="shared" ca="1" si="13"/>
        <v>6.6666666666735425E-4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input_595104!A$2</f>
        <v>595104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IFERROR(VLOOKUP(B315,input_595104!L:R,7,FALSE),VLOOKUP(tables_595104!C315,input_595104!A:H,8,FALSE))</f>
        <v>97000</v>
      </c>
      <c r="P315" s="46">
        <f t="shared" ca="1" si="13"/>
        <v>6.6666666666735425E-4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input_595104!A$2</f>
        <v>595104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IFERROR(VLOOKUP(B316,input_595104!L:R,7,FALSE),VLOOKUP(tables_595104!C316,input_595104!A:H,8,FALSE))</f>
        <v>97000</v>
      </c>
      <c r="P316" s="46">
        <f t="shared" ca="1" si="13"/>
        <v>6.6666666666735425E-4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input_595104!A$2</f>
        <v>595104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IFERROR(VLOOKUP(B317,input_595104!L:R,7,FALSE),VLOOKUP(tables_595104!C317,input_595104!A:H,8,FALSE))</f>
        <v>97000</v>
      </c>
      <c r="P317" s="46">
        <f t="shared" ca="1" si="13"/>
        <v>6.6666666666735425E-4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input_595104!A$2</f>
        <v>595104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IFERROR(VLOOKUP(B318,input_595104!L:R,7,FALSE),VLOOKUP(tables_595104!C318,input_595104!A:H,8,FALSE))</f>
        <v>1058571.42857</v>
      </c>
      <c r="P318" s="46">
        <f t="shared" ca="1" si="13"/>
        <v>7.2754050073614547E-3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input_595104!A$2</f>
        <v>595104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IFERROR(VLOOKUP(B319,input_595104!L:R,7,FALSE),VLOOKUP(tables_595104!C319,input_595104!A:H,8,FALSE))</f>
        <v>285000</v>
      </c>
      <c r="P319" s="46">
        <f t="shared" ca="1" si="13"/>
        <v>1.9587628865999581E-3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input_595104!A$2</f>
        <v>595104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IFERROR(VLOOKUP(B320,input_595104!L:R,7,FALSE),VLOOKUP(tables_595104!C320,input_595104!A:H,8,FALSE))</f>
        <v>97000</v>
      </c>
      <c r="P320" s="46">
        <f t="shared" ca="1" si="13"/>
        <v>6.6666666666735425E-4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input_595104!A$2</f>
        <v>595104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IFERROR(VLOOKUP(B321,input_595104!L:R,7,FALSE),VLOOKUP(tables_595104!C321,input_595104!A:H,8,FALSE))</f>
        <v>97000</v>
      </c>
      <c r="P321" s="46">
        <f t="shared" ca="1" si="13"/>
        <v>6.6666666666735425E-4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input_595104!A$2</f>
        <v>595104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IFERROR(VLOOKUP(B322,input_595104!L:R,7,FALSE),VLOOKUP(tables_595104!C322,input_595104!A:H,8,FALSE))</f>
        <v>97000</v>
      </c>
      <c r="P322" s="46">
        <f t="shared" ref="P322:P340" ca="1" si="26">O322/SUM(O:O)</f>
        <v>6.6666666666735425E-4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input_595104!A$2</f>
        <v>595104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IFERROR(VLOOKUP(B323,input_595104!L:R,7,FALSE),VLOOKUP(tables_595104!C323,input_595104!A:H,8,FALSE))</f>
        <v>97000</v>
      </c>
      <c r="P323" s="46">
        <f t="shared" ca="1" si="26"/>
        <v>6.6666666666735425E-4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input_595104!A$2</f>
        <v>595104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IFERROR(VLOOKUP(B324,input_595104!L:R,7,FALSE),VLOOKUP(tables_595104!C324,input_595104!A:H,8,FALSE))</f>
        <v>1058571.42857</v>
      </c>
      <c r="P324" s="46">
        <f t="shared" ca="1" si="26"/>
        <v>7.2754050073614547E-3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input_595104!A$2</f>
        <v>595104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IFERROR(VLOOKUP(B325,input_595104!L:R,7,FALSE),VLOOKUP(tables_595104!C325,input_595104!A:H,8,FALSE))</f>
        <v>285000</v>
      </c>
      <c r="P325" s="46">
        <f t="shared" ca="1" si="26"/>
        <v>1.9587628865999581E-3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input_595104!A$2</f>
        <v>595104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IFERROR(VLOOKUP(B326,input_595104!L:R,7,FALSE),VLOOKUP(tables_595104!C326,input_595104!A:H,8,FALSE))</f>
        <v>1058571.42857</v>
      </c>
      <c r="P326" s="46">
        <f t="shared" ca="1" si="26"/>
        <v>7.2754050073614547E-3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input_595104!A$2</f>
        <v>595104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IFERROR(VLOOKUP(B327,input_595104!L:R,7,FALSE),VLOOKUP(tables_595104!C327,input_595104!A:H,8,FALSE))</f>
        <v>285000</v>
      </c>
      <c r="P327" s="46">
        <f t="shared" ca="1" si="26"/>
        <v>1.9587628865999581E-3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input_595104!A$2</f>
        <v>595104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IFERROR(VLOOKUP(B328,input_595104!L:R,7,FALSE),VLOOKUP(tables_595104!C328,input_595104!A:H,8,FALSE))</f>
        <v>97000</v>
      </c>
      <c r="P328" s="46">
        <f t="shared" ca="1" si="26"/>
        <v>6.6666666666735425E-4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input_595104!A$2</f>
        <v>595104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IFERROR(VLOOKUP(B329,input_595104!L:R,7,FALSE),VLOOKUP(tables_595104!C329,input_595104!A:H,8,FALSE))</f>
        <v>97000</v>
      </c>
      <c r="P329" s="46">
        <f t="shared" ca="1" si="26"/>
        <v>6.6666666666735425E-4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input_595104!A$2</f>
        <v>595104</v>
      </c>
      <c r="B330" s="2">
        <v>1157</v>
      </c>
      <c r="C330" s="7" t="str">
        <f t="shared" si="28"/>
        <v>PremiumSS5R5only</v>
      </c>
      <c r="D330" s="95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IFERROR(VLOOKUP(B330,input_595104!L:R,7,FALSE),VLOOKUP(tables_595104!C330,input_595104!A:H,8,FALSE))</f>
        <v>97000</v>
      </c>
      <c r="P330" s="46">
        <f t="shared" ca="1" si="26"/>
        <v>6.6666666666735425E-4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input_595104!A$2</f>
        <v>595104</v>
      </c>
      <c r="B331" s="60">
        <v>1214</v>
      </c>
      <c r="C331" s="7" t="str">
        <f t="shared" ref="C331:C335" si="29">D331&amp;J331&amp;E331&amp;F331&amp;G331</f>
        <v>PremiumSS5R5only</v>
      </c>
      <c r="D331" s="95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IFERROR(VLOOKUP(B331,input_595104!L:R,7,FALSE),VLOOKUP(tables_595104!C331,input_595104!A:H,8,FALSE))</f>
        <v>97000</v>
      </c>
      <c r="P331" s="46">
        <f t="shared" ca="1" si="26"/>
        <v>6.6666666666735425E-4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input_595104!A$2</f>
        <v>595104</v>
      </c>
      <c r="B332" s="60">
        <v>1212</v>
      </c>
      <c r="C332" s="7" t="str">
        <f t="shared" si="29"/>
        <v>PremiumSS5R5only</v>
      </c>
      <c r="D332" s="95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IFERROR(VLOOKUP(B332,input_595104!L:R,7,FALSE),VLOOKUP(tables_595104!C332,input_595104!A:H,8,FALSE))</f>
        <v>97000</v>
      </c>
      <c r="P332" s="46">
        <f t="shared" ca="1" si="26"/>
        <v>6.6666666666735425E-4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input_595104!A$2</f>
        <v>595104</v>
      </c>
      <c r="B333" s="60">
        <v>1208</v>
      </c>
      <c r="C333" s="7" t="str">
        <f t="shared" si="29"/>
        <v>PremiumSS5R5only</v>
      </c>
      <c r="D333" s="95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IFERROR(VLOOKUP(B333,input_595104!L:R,7,FALSE),VLOOKUP(tables_595104!C333,input_595104!A:H,8,FALSE))</f>
        <v>97000</v>
      </c>
      <c r="P333" s="46">
        <f t="shared" ca="1" si="26"/>
        <v>6.6666666666735425E-4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input_595104!A$2</f>
        <v>595104</v>
      </c>
      <c r="B334" s="91">
        <v>1210</v>
      </c>
      <c r="C334" s="7" t="str">
        <f t="shared" si="29"/>
        <v>Premium4R3less</v>
      </c>
      <c r="D334" s="95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IFERROR(VLOOKUP(B334,input_595104!L:R,7,FALSE),VLOOKUP(tables_595104!C334,input_595104!A:H,8,FALSE))</f>
        <v>1058571.42857</v>
      </c>
      <c r="P334" s="46">
        <f t="shared" ca="1" si="26"/>
        <v>7.2754050073614547E-3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input_595104!A$2</f>
        <v>595104</v>
      </c>
      <c r="B335" s="60">
        <v>1211</v>
      </c>
      <c r="C335" s="7" t="str">
        <f t="shared" si="29"/>
        <v>Premium5R3less</v>
      </c>
      <c r="D335" s="95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IFERROR(VLOOKUP(B335,input_595104!L:R,7,FALSE),VLOOKUP(tables_595104!C335,input_595104!A:H,8,FALSE))</f>
        <v>285000</v>
      </c>
      <c r="P335" s="46">
        <f t="shared" ca="1" si="26"/>
        <v>1.9587628865999581E-3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input_595104!A$2</f>
        <v>595104</v>
      </c>
      <c r="B336" s="2">
        <v>1224</v>
      </c>
      <c r="C336" s="7" t="str">
        <f t="shared" ref="C336:C340" si="31">D336&amp;J336&amp;E336&amp;F336&amp;G336</f>
        <v>Premium4R3less</v>
      </c>
      <c r="D336" s="95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IFERROR(VLOOKUP(B336,input_595104!L:R,7,FALSE),VLOOKUP(tables_595104!C336,input_595104!A:H,8,FALSE))</f>
        <v>1058571.42857</v>
      </c>
      <c r="P336" s="46">
        <f t="shared" ca="1" si="26"/>
        <v>7.2754050073614547E-3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input_595104!A$2</f>
        <v>595104</v>
      </c>
      <c r="B337" s="2">
        <v>1225</v>
      </c>
      <c r="C337" s="7" t="str">
        <f t="shared" si="31"/>
        <v>Premium5R3less</v>
      </c>
      <c r="D337" s="95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IFERROR(VLOOKUP(B337,input_595104!L:R,7,FALSE),VLOOKUP(tables_595104!C337,input_595104!A:H,8,FALSE))</f>
        <v>285000</v>
      </c>
      <c r="P337" s="46">
        <f t="shared" ca="1" si="26"/>
        <v>1.9587628865999581E-3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input_595104!A$2</f>
        <v>595104</v>
      </c>
      <c r="B338" s="2">
        <v>1226</v>
      </c>
      <c r="C338" s="7" t="str">
        <f t="shared" si="31"/>
        <v>PremiumSS5R5only</v>
      </c>
      <c r="D338" s="95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IFERROR(VLOOKUP(B338,input_595104!L:R,7,FALSE),VLOOKUP(tables_595104!C338,input_595104!A:H,8,FALSE))</f>
        <v>97000</v>
      </c>
      <c r="P338" s="46">
        <f t="shared" ca="1" si="26"/>
        <v>6.6666666666735425E-4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input_595104!A$2</f>
        <v>595104</v>
      </c>
      <c r="B339" s="2">
        <v>1228</v>
      </c>
      <c r="C339" s="7" t="str">
        <f t="shared" si="31"/>
        <v>PremiumSS5R5only</v>
      </c>
      <c r="D339" s="95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IFERROR(VLOOKUP(B339,input_595104!L:R,7,FALSE),VLOOKUP(tables_595104!C339,input_595104!A:H,8,FALSE))</f>
        <v>97000</v>
      </c>
      <c r="P339" s="46">
        <f t="shared" ca="1" si="26"/>
        <v>6.6666666666735425E-4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input_595104!A$2</f>
        <v>595104</v>
      </c>
      <c r="B340" s="2">
        <v>1230</v>
      </c>
      <c r="C340" s="7" t="str">
        <f t="shared" si="31"/>
        <v>PremiumSS5R5only</v>
      </c>
      <c r="D340" s="95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IFERROR(VLOOKUP(B340,input_595104!L:R,7,FALSE),VLOOKUP(tables_595104!C340,input_595104!A:H,8,FALSE))</f>
        <v>97000</v>
      </c>
      <c r="P340" s="46">
        <f t="shared" ca="1" si="26"/>
        <v>6.6666666666735425E-4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input_595104!A$2</f>
        <v>595104</v>
      </c>
      <c r="B341" s="96">
        <v>1244</v>
      </c>
      <c r="C341" s="7" t="str">
        <f t="shared" ref="C341:C346" si="33">D341&amp;J341&amp;E341&amp;F341&amp;G341</f>
        <v>PremiumSS5R5only</v>
      </c>
      <c r="D341" s="95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IFERROR(VLOOKUP(B341,input_595104!L:R,7,FALSE),VLOOKUP(tables_595104!C341,input_595104!A:H,8,FALSE))</f>
        <v>97000</v>
      </c>
      <c r="P341" s="46">
        <f t="shared" ref="P341:P346" ca="1" si="35">O341/SUM(O:O)</f>
        <v>6.6666666666735425E-4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input_595104!A$2</f>
        <v>595104</v>
      </c>
      <c r="B342" s="96">
        <v>1246</v>
      </c>
      <c r="C342" s="7" t="str">
        <f t="shared" si="33"/>
        <v>PremiumSS5R5only</v>
      </c>
      <c r="D342" s="95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IFERROR(VLOOKUP(B342,input_595104!L:R,7,FALSE),VLOOKUP(tables_595104!C342,input_595104!A:H,8,FALSE))</f>
        <v>97000</v>
      </c>
      <c r="P342" s="46">
        <f t="shared" ca="1" si="35"/>
        <v>6.6666666666735425E-4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input_595104!A$2</f>
        <v>595104</v>
      </c>
      <c r="B343" s="96">
        <v>1248</v>
      </c>
      <c r="C343" s="7" t="str">
        <f t="shared" si="33"/>
        <v>Premium4R3less</v>
      </c>
      <c r="D343" s="95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IFERROR(VLOOKUP(B343,input_595104!L:R,7,FALSE),VLOOKUP(tables_595104!C343,input_595104!A:H,8,FALSE))</f>
        <v>1058571.42857</v>
      </c>
      <c r="P343" s="46">
        <f t="shared" ca="1" si="35"/>
        <v>7.2754050073614547E-3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input_595104!A$2</f>
        <v>595104</v>
      </c>
      <c r="B344" s="96">
        <v>1249</v>
      </c>
      <c r="C344" s="7" t="str">
        <f t="shared" si="33"/>
        <v>Premium5R3less</v>
      </c>
      <c r="D344" s="95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IFERROR(VLOOKUP(B344,input_595104!L:R,7,FALSE),VLOOKUP(tables_595104!C344,input_595104!A:H,8,FALSE))</f>
        <v>285000</v>
      </c>
      <c r="P344" s="46">
        <f t="shared" ca="1" si="35"/>
        <v>1.9587628865999581E-3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input_595104!A$2</f>
        <v>595104</v>
      </c>
      <c r="B345" s="96">
        <v>1250</v>
      </c>
      <c r="C345" s="7" t="str">
        <f t="shared" si="33"/>
        <v>PremiumSS5R5only</v>
      </c>
      <c r="D345" s="95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IFERROR(VLOOKUP(B345,input_595104!L:R,7,FALSE),VLOOKUP(tables_595104!C345,input_595104!A:H,8,FALSE))</f>
        <v>97000</v>
      </c>
      <c r="P345" s="46">
        <f t="shared" ca="1" si="35"/>
        <v>6.6666666666735425E-4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input_595104!A$2</f>
        <v>595104</v>
      </c>
      <c r="B346" s="1">
        <v>1260</v>
      </c>
      <c r="C346" s="7" t="str">
        <f t="shared" si="33"/>
        <v>PremiumSS5R5only</v>
      </c>
      <c r="D346" s="95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IFERROR(VLOOKUP(B346,input_595104!L:R,7,FALSE),VLOOKUP(tables_595104!C346,input_595104!A:H,8,FALSE))</f>
        <v>97000</v>
      </c>
      <c r="P346" s="46">
        <f t="shared" ca="1" si="35"/>
        <v>6.6666666666735425E-4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input_595104!A$2</f>
        <v>595104</v>
      </c>
      <c r="B347" s="1">
        <v>1262</v>
      </c>
      <c r="C347" s="7" t="str">
        <f t="shared" ref="C347" si="36">D347&amp;J347&amp;E347&amp;F347&amp;G347</f>
        <v>PremiumSS5R5only</v>
      </c>
      <c r="D347" s="95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IFERROR(VLOOKUP(B347,input_595104!L:R,7,FALSE),VLOOKUP(tables_595104!C347,input_595104!A:H,8,FALSE))</f>
        <v>97000</v>
      </c>
      <c r="P347" s="46">
        <f ca="1">O347/SUM(O:O)</f>
        <v>6.6666666666735425E-4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input_595104!A$2</f>
        <v>595104</v>
      </c>
      <c r="B348" s="1">
        <v>1264</v>
      </c>
      <c r="C348" s="7" t="str">
        <f t="shared" ref="C348:C355" si="38">D348&amp;J348&amp;E348&amp;F348&amp;G348</f>
        <v>PremiumSS5R5only</v>
      </c>
      <c r="D348" s="95" t="str">
        <f t="shared" ref="D348:D355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IFERROR(VLOOKUP(B348,input_595104!L:R,7,FALSE),VLOOKUP(tables_595104!C348,input_595104!A:H,8,FALSE))</f>
        <v>97000</v>
      </c>
      <c r="P348" s="46">
        <f t="shared" ref="P348:P355" ca="1" si="40">O348/SUM(O:O)</f>
        <v>6.6666666666735425E-4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input_595104!A$2</f>
        <v>595104</v>
      </c>
      <c r="B349" s="1">
        <v>1266</v>
      </c>
      <c r="C349" s="7" t="str">
        <f t="shared" si="38"/>
        <v>Premium4R3less</v>
      </c>
      <c r="D349" s="95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IFERROR(VLOOKUP(B349,input_595104!L:R,7,FALSE),VLOOKUP(tables_595104!C349,input_595104!A:H,8,FALSE))</f>
        <v>1058571.42857</v>
      </c>
      <c r="P349" s="46">
        <f t="shared" ca="1" si="40"/>
        <v>7.2754050073614547E-3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input_595104!A$2</f>
        <v>595104</v>
      </c>
      <c r="B350" s="1">
        <v>1267</v>
      </c>
      <c r="C350" s="7" t="str">
        <f t="shared" si="38"/>
        <v>Premium5R3less</v>
      </c>
      <c r="D350" s="95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IFERROR(VLOOKUP(B350,input_595104!L:R,7,FALSE),VLOOKUP(tables_595104!C350,input_595104!A:H,8,FALSE))</f>
        <v>285000</v>
      </c>
      <c r="P350" s="46">
        <f t="shared" ca="1" si="40"/>
        <v>1.9587628865999581E-3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input_595104!A$2</f>
        <v>595104</v>
      </c>
      <c r="B351" s="99">
        <v>1332</v>
      </c>
      <c r="C351" s="7" t="str">
        <f t="shared" si="38"/>
        <v>PremiumSS5R5only</v>
      </c>
      <c r="D351" s="95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IFERROR(VLOOKUP(B351,input_595104!L:R,7,FALSE),VLOOKUP(tables_595104!C351,input_595104!A:H,8,FALSE))</f>
        <v>97000</v>
      </c>
      <c r="P351" s="46">
        <f t="shared" ca="1" si="40"/>
        <v>6.6666666666735425E-4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input_595104!A$2</f>
        <v>595104</v>
      </c>
      <c r="B352" s="99">
        <v>1336</v>
      </c>
      <c r="C352" s="7" t="str">
        <f t="shared" si="38"/>
        <v>PremiumSS5R5only</v>
      </c>
      <c r="D352" s="95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IFERROR(VLOOKUP(B352,input_595104!L:R,7,FALSE),VLOOKUP(tables_595104!C352,input_595104!A:H,8,FALSE))</f>
        <v>97000</v>
      </c>
      <c r="P352" s="46">
        <f t="shared" ca="1" si="40"/>
        <v>6.6666666666735425E-4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input_595104!A$2</f>
        <v>595104</v>
      </c>
      <c r="B353" s="99">
        <v>1338</v>
      </c>
      <c r="C353" s="7" t="str">
        <f t="shared" si="38"/>
        <v>PremiumSS5R5only</v>
      </c>
      <c r="D353" s="95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IFERROR(VLOOKUP(B353,input_595104!L:R,7,FALSE),VLOOKUP(tables_595104!C353,input_595104!A:H,8,FALSE))</f>
        <v>97000</v>
      </c>
      <c r="P353" s="46">
        <f t="shared" ca="1" si="40"/>
        <v>6.6666666666735425E-4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input_595104!A$2</f>
        <v>595104</v>
      </c>
      <c r="B354" s="99">
        <v>1334</v>
      </c>
      <c r="C354" s="7" t="str">
        <f t="shared" si="38"/>
        <v>Premium4R3less</v>
      </c>
      <c r="D354" s="95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IFERROR(VLOOKUP(B354,input_595104!L:R,7,FALSE),VLOOKUP(tables_595104!C354,input_595104!A:H,8,FALSE))</f>
        <v>1058571.42857</v>
      </c>
      <c r="P354" s="46">
        <f t="shared" ca="1" si="40"/>
        <v>7.2754050073614547E-3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input_595104!A$2</f>
        <v>595104</v>
      </c>
      <c r="B355" s="99">
        <v>1335</v>
      </c>
      <c r="C355" s="7" t="str">
        <f t="shared" si="38"/>
        <v>Premium5R3less</v>
      </c>
      <c r="D355" s="95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IFERROR(VLOOKUP(B355,input_595104!L:R,7,FALSE),VLOOKUP(tables_595104!C355,input_595104!A:H,8,FALSE))</f>
        <v>285000</v>
      </c>
      <c r="P355" s="46">
        <f t="shared" ca="1" si="40"/>
        <v>1.9587628865999581E-3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>
      <c r="A356" s="2" t="str">
        <f ca="1">input_595104!A$2</f>
        <v>595104</v>
      </c>
      <c r="B356" s="5">
        <v>1381</v>
      </c>
      <c r="C356" s="7" t="str">
        <f t="shared" ref="C356" si="41">D356&amp;J356&amp;E356&amp;F356&amp;G356</f>
        <v>Premium4R3less</v>
      </c>
      <c r="D356" s="95" t="str">
        <f t="shared" ref="D356" si="42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IFERROR(VLOOKUP(B356,input_595104!L:R,7,FALSE),VLOOKUP(tables_595104!C356,input_595104!A:H,8,FALSE))</f>
        <v>1058571.42857</v>
      </c>
      <c r="P356" s="46">
        <f t="shared" ref="P356" ca="1" si="43">O356/SUM(O:O)</f>
        <v>7.2754050073614547E-3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customFormat="1" ht="21" customHeight="1" x14ac:dyDescent="0.15">
      <c r="A357" s="2" t="str">
        <f ca="1">input_595104!A$2</f>
        <v>595104</v>
      </c>
      <c r="B357" s="5">
        <v>1382</v>
      </c>
      <c r="C357" s="7" t="str">
        <f t="shared" ref="C357:C360" si="44">D357&amp;J357&amp;E357&amp;F357&amp;G357</f>
        <v>Premium5R3less</v>
      </c>
      <c r="D357" s="95" t="str">
        <f t="shared" ref="D357:D360" si="45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IFERROR(VLOOKUP(B357,input_595104!L:R,7,FALSE),VLOOKUP(tables_595104!C357,input_595104!A:H,8,FALSE))</f>
        <v>285000</v>
      </c>
      <c r="P357" s="46">
        <f t="shared" ref="P357:P360" ca="1" si="46">O357/SUM(O:O)</f>
        <v>1.9587628865999581E-3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input_595104!A$2</f>
        <v>595104</v>
      </c>
      <c r="B358" s="5">
        <v>1383</v>
      </c>
      <c r="C358" s="7" t="str">
        <f t="shared" si="44"/>
        <v>PremiumSS5R5only</v>
      </c>
      <c r="D358" s="95" t="str">
        <f t="shared" si="45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IFERROR(VLOOKUP(B358,input_595104!L:R,7,FALSE),VLOOKUP(tables_595104!C358,input_595104!A:H,8,FALSE))</f>
        <v>97000</v>
      </c>
      <c r="P358" s="46">
        <f t="shared" ca="1" si="46"/>
        <v>6.6666666666735425E-4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input_595104!A$2</f>
        <v>595104</v>
      </c>
      <c r="B359" s="5">
        <v>1385</v>
      </c>
      <c r="C359" s="7" t="str">
        <f t="shared" si="44"/>
        <v>PremiumSS5R5only</v>
      </c>
      <c r="D359" s="95" t="str">
        <f t="shared" si="45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IFERROR(VLOOKUP(B359,input_595104!L:R,7,FALSE),VLOOKUP(tables_595104!C359,input_595104!A:H,8,FALSE))</f>
        <v>97000</v>
      </c>
      <c r="P359" s="46">
        <f t="shared" ca="1" si="46"/>
        <v>6.6666666666735425E-4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input_595104!A$2</f>
        <v>595104</v>
      </c>
      <c r="B360" s="5">
        <v>1387</v>
      </c>
      <c r="C360" s="7" t="str">
        <f t="shared" si="44"/>
        <v>PremiumSS5R5only</v>
      </c>
      <c r="D360" s="95" t="str">
        <f t="shared" si="4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IFERROR(VLOOKUP(B360,input_595104!L:R,7,FALSE),VLOOKUP(tables_595104!C360,input_595104!A:H,8,FALSE))</f>
        <v>97000</v>
      </c>
      <c r="P360" s="46">
        <f t="shared" ca="1" si="46"/>
        <v>6.6666666666735425E-4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B27" sqref="B27:B2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595105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VLOOKUP(L3,tables_settle_595105!B:C,2,FALSE)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VLOOKUP(L4,tables_settle_595105!B:C,2,FALSE)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1.3333333333333334E-2</v>
      </c>
      <c r="F5">
        <f>(COUNTIF(tables_settle_595105!C:C,input_settle_595105!A28)+COUNTIF(tables_settle_595105!C:C,input_settle_595105!A29))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VLOOKUP(L5,tables_settle_595105!B:C,2,FALSE)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0</v>
      </c>
      <c r="F6">
        <f>(COUNTIF(tables_settle_595105!C:C,input_settle_595105!A25)+COUNTIF(tables_settle_595105!C:C,input_settle_595105!A18)+COUNTIF(tables_settle_595105!C:C,input_settle_595105!A20)+COUNTIF(tables_settle_595105!C:C,input_settle_595105!A22))</f>
        <v>97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VLOOKUP(L6,tables_settle_595105!B:C,2,FALSE)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VLOOKUP(L7,tables_settle_595105!B:C,2,FALSE)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VLOOKUP(L8,tables_settle_595105!B:C,2,FALSE)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VLOOKUP(L9,tables_settle_595105!B:C,2,FALSE)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VLOOKUP(L10,tables_settle_595105!B:C,2,FALSE)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1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VLOOKUP(L11,tables_settle_595105!B:C,2,FALSE)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VLOOKUP(L12,tables_settle_595105!B:C,2,FALSE)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VLOOKUP(L13,tables_settle_595105!B:C,2,FALSE)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VLOOKUP(L14,tables_settle_595105!B:C,2,FALSE)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VLOOKUP(L15,tables_settle_595105!B:C,2,FALSE)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VLOOKUP(L16,tables_settle_595105!B:C,2,FALSE)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COUNTIF(tables_settle_595105!C:C,input_settle_595105!A17)-COUNTIF(Q:Q,A17)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VLOOKUP(L17,tables_settle_595105!B:C,2,FALSE)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92">
        <f>E$6*E18*B$6</f>
        <v>0</v>
      </c>
      <c r="C18" s="84">
        <f t="shared" si="2"/>
        <v>0</v>
      </c>
      <c r="D18" s="74">
        <f t="shared" si="3"/>
        <v>0</v>
      </c>
      <c r="E18">
        <f>COUNTIF(tables_settle_595105!C:C,input_settle_595105!A18)-COUNTIF(Q:Q,A18)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VLOOKUP(L18,tables_settle_595105!B:C,2,FALSE)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COUNTIF(tables_settle_595105!C:C,input_settle_595105!A19)-COUNTIF(Q:Q,A19)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VLOOKUP(L19,tables_settle_595105!B:C,2,FALSE)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</f>
        <v>0</v>
      </c>
      <c r="C20" s="84">
        <f t="shared" si="2"/>
        <v>0</v>
      </c>
      <c r="D20" s="74">
        <f t="shared" si="3"/>
        <v>0</v>
      </c>
      <c r="E20">
        <f>COUNTIF(tables_settle_595105!C:C,input_settle_595105!A20)-COUNTIF(Q:Q,A20)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VLOOKUP(L20,tables_settle_595105!B:C,2,FALSE)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70">
        <f>E23*E6*B7</f>
        <v>0</v>
      </c>
      <c r="C21" s="84">
        <f t="shared" si="2"/>
        <v>0</v>
      </c>
      <c r="D21" s="74">
        <f t="shared" si="3"/>
        <v>0</v>
      </c>
      <c r="E21">
        <f>COUNTIF(tables_settle_595105!C:C,input_settle_595105!A21)-COUNTIF(Q:Q,A21)</f>
        <v>52</v>
      </c>
      <c r="F21" s="43">
        <f t="shared" si="8"/>
        <v>0</v>
      </c>
      <c r="G21">
        <f t="shared" si="4"/>
        <v>0</v>
      </c>
      <c r="H21">
        <f t="shared" si="5"/>
        <v>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COUNTIF(tables_settle_595105!C:C,input_settle_595105!A22)-COUNTIF(Q:Q,A22)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</v>
      </c>
      <c r="C23" s="84">
        <f t="shared" si="2"/>
        <v>0</v>
      </c>
      <c r="D23" s="74">
        <f t="shared" si="3"/>
        <v>0</v>
      </c>
      <c r="E23">
        <f>COUNTIF(tables_settle_595105!C:C,input_settle_595105!A23)-COUNTIF(Q:Q,A23)</f>
        <v>27</v>
      </c>
      <c r="F23" s="43">
        <f t="shared" si="8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COUNTIF(tables_settle_595105!C:C,input_settle_595105!A24)-COUNTIF(Q:Q,A24)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COUNTIF(tables_settle_595105!C:C,input_settle_595105!A25)-COUNTIF(Q:Q,A25)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</v>
      </c>
      <c r="C26" s="84">
        <f t="shared" si="2"/>
        <v>0</v>
      </c>
      <c r="D26" s="74">
        <f t="shared" si="3"/>
        <v>0</v>
      </c>
      <c r="E26">
        <f>COUNTIF(tables_settle_595105!C:C,input_settle_595105!A26)-COUNTIF(Q:Q,A26)</f>
        <v>4</v>
      </c>
      <c r="F26" s="43">
        <f t="shared" si="8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0.18666666666666668</v>
      </c>
      <c r="C27" s="84">
        <f t="shared" si="2"/>
        <v>0</v>
      </c>
      <c r="D27" s="74">
        <f t="shared" si="3"/>
        <v>0.18666666666666668</v>
      </c>
      <c r="E27">
        <f>COUNTIF(tables_settle_595105!C:C,input_settle_595105!A27)-COUNTIF(Q:Q,A27)</f>
        <v>28</v>
      </c>
      <c r="F27" s="43">
        <f>IFERROR(B27/E27,0)</f>
        <v>6.6666666666666671E-3</v>
      </c>
      <c r="G27">
        <f t="shared" si="4"/>
        <v>27160000</v>
      </c>
      <c r="H27">
        <f t="shared" si="5"/>
        <v>970000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0.18666666666666668</v>
      </c>
      <c r="C28" s="84">
        <f t="shared" si="2"/>
        <v>0</v>
      </c>
      <c r="D28" s="74">
        <f t="shared" si="3"/>
        <v>0.18666666666666668</v>
      </c>
      <c r="E28">
        <f>COUNTIF(tables_settle_595105!C:C,input_settle_595105!A28)-COUNTIF(Q:Q,A28)</f>
        <v>28</v>
      </c>
      <c r="F28" s="43">
        <f t="shared" si="8"/>
        <v>6.6666666666666671E-3</v>
      </c>
      <c r="G28">
        <f t="shared" si="4"/>
        <v>27160000</v>
      </c>
      <c r="H28">
        <f t="shared" si="5"/>
        <v>970000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0.62666666666666671</v>
      </c>
      <c r="C29" s="84">
        <f t="shared" si="2"/>
        <v>0</v>
      </c>
      <c r="D29" s="74">
        <f t="shared" si="3"/>
        <v>0.62666666666666671</v>
      </c>
      <c r="E29">
        <f>COUNTIF(tables_settle_595105!C:C,input_settle_595105!A29)-COUNTIF(Q:Q,A29)</f>
        <v>47</v>
      </c>
      <c r="F29" s="43">
        <f t="shared" si="8"/>
        <v>1.3333333333333334E-2</v>
      </c>
      <c r="G29">
        <f t="shared" si="4"/>
        <v>91180000</v>
      </c>
      <c r="H29">
        <f t="shared" si="5"/>
        <v>1940000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COUNTIF(tables_settle_595105!C:C,input_settle_595105!A30)-COUNTIF(Q:Q,A30)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</v>
      </c>
      <c r="C31" s="84">
        <f t="shared" si="2"/>
        <v>0</v>
      </c>
      <c r="D31" s="74">
        <f t="shared" si="3"/>
        <v>0</v>
      </c>
      <c r="E31">
        <f>COUNTIF(tables_settle_595105!C:C,input_settle_595105!A31)-COUNTIF(Q:Q,A31)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SUMIF(tables_settle_595105!C:C,input_settle_595105!A40,tables_settle_595105!O:O)</f>
        <v>0</v>
      </c>
      <c r="C40" s="54">
        <f t="shared" ref="C40:C46" ca="1" si="9">B40/B$47</f>
        <v>0</v>
      </c>
      <c r="E40">
        <v>3</v>
      </c>
      <c r="F40">
        <f ca="1">SUMIF(tables_settle_595105!J:J,input_settle_595105!E40,tables_settle_595105!O:O)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SUMIF(tables_settle_595105!C:C,input_settle_595105!A41,tables_settle_595105!O:O)</f>
        <v>0</v>
      </c>
      <c r="C41" s="54">
        <f t="shared" ca="1" si="9"/>
        <v>0</v>
      </c>
      <c r="E41">
        <v>4</v>
      </c>
      <c r="F41">
        <f ca="1">SUMIF(tables_settle_595105!J:J,input_settle_595105!E41,tables_settle_595105!O:O)</f>
        <v>27160000</v>
      </c>
      <c r="G41">
        <f ca="1">F41/A36</f>
        <v>0.18666666666666668</v>
      </c>
    </row>
    <row r="42" spans="1:7" x14ac:dyDescent="0.15">
      <c r="A42" s="33" t="s">
        <v>106</v>
      </c>
      <c r="B42">
        <f ca="1">SUMIF(tables_settle_595105!C:C,input_settle_595105!A42,tables_settle_595105!O:O)</f>
        <v>27160000</v>
      </c>
      <c r="C42" s="54">
        <f t="shared" ca="1" si="9"/>
        <v>0.5</v>
      </c>
      <c r="E42">
        <v>5</v>
      </c>
      <c r="F42">
        <f ca="1">SUMIF(tables_settle_595105!J:J,input_settle_595105!E42,tables_settle_595105!O:O)</f>
        <v>118340000</v>
      </c>
      <c r="G42">
        <f ca="1">F42/A36</f>
        <v>0.81333333333333335</v>
      </c>
    </row>
    <row r="43" spans="1:7" x14ac:dyDescent="0.15">
      <c r="A43" s="33" t="s">
        <v>109</v>
      </c>
      <c r="B43">
        <f>SUMIF(tables_settle_595105!C:C,input_settle_595105!A43,tables_settle_595105!O:O)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SUMIF(tables_settle_595105!C:C,input_settle_595105!A44,tables_settle_595105!O:O)</f>
        <v>0</v>
      </c>
      <c r="C44" s="54">
        <f t="shared" ca="1" si="9"/>
        <v>0</v>
      </c>
      <c r="E44" t="s">
        <v>54</v>
      </c>
      <c r="F44" s="55"/>
    </row>
    <row r="45" spans="1:7" x14ac:dyDescent="0.15">
      <c r="A45" s="33" t="s">
        <v>107</v>
      </c>
      <c r="B45">
        <f ca="1">SUMIF(tables_settle_595105!C:C,input_settle_595105!A45,tables_settle_595105!O:O)</f>
        <v>27160000</v>
      </c>
      <c r="C45" s="54">
        <f t="shared" ca="1" si="9"/>
        <v>0.5</v>
      </c>
      <c r="E45" t="s">
        <v>204</v>
      </c>
      <c r="F45" s="55">
        <f ca="1">SUMIF(tables_settle_595105!I:I,input_settle_595105!E45,tables_settle_595105!P:P)</f>
        <v>0</v>
      </c>
    </row>
    <row r="46" spans="1:7" x14ac:dyDescent="0.15">
      <c r="A46" s="33" t="s">
        <v>108</v>
      </c>
      <c r="B46">
        <f>SUMIF(tables_settle_595105!C:C,input_settle_595105!A46,tables_settle_595105!O:O)</f>
        <v>0</v>
      </c>
      <c r="C46" s="54">
        <f t="shared" ca="1" si="9"/>
        <v>0</v>
      </c>
      <c r="E46" t="s">
        <v>205</v>
      </c>
      <c r="F46" s="55">
        <f ca="1">SUMIF(tables_settle_595105!I:I,input_settle_595105!E46,tables_settle_595105!P:P)</f>
        <v>0</v>
      </c>
    </row>
    <row r="47" spans="1:7" x14ac:dyDescent="0.15">
      <c r="A47" s="39" t="s">
        <v>59</v>
      </c>
      <c r="B47">
        <f ca="1">SUM(B40:B46)</f>
        <v>54320000</v>
      </c>
      <c r="C47" s="55">
        <f ca="1">SUM(C40:C46)</f>
        <v>1</v>
      </c>
      <c r="E47" t="s">
        <v>206</v>
      </c>
      <c r="F47" s="55">
        <f ca="1">SUMIF(tables_settle_595105!I:I,input_settle_595105!E47,tables_settle_595105!P:P)</f>
        <v>0</v>
      </c>
    </row>
    <row r="48" spans="1:7" x14ac:dyDescent="0.15">
      <c r="E48" t="s">
        <v>207</v>
      </c>
      <c r="F48" s="55">
        <f ca="1">SUMIF(tables_settle_595105!I:I,input_settle_595105!E48,tables_settle_595105!P:P)</f>
        <v>0.86666666666666536</v>
      </c>
      <c r="G48" s="55"/>
    </row>
    <row r="49" spans="5:6" x14ac:dyDescent="0.15">
      <c r="E49" t="s">
        <v>249</v>
      </c>
      <c r="F49" s="55">
        <f ca="1">SUMIF(tables_settle_595105!I:I,input_settle_595105!E49,tables_settle_595105!P:P)</f>
        <v>0.13333333333333333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316" activePane="bottomLeft" state="frozen"/>
      <selection activeCell="P347" sqref="P347"/>
      <selection pane="bottomLeft" activeCell="B360" sqref="B3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input_settle_595105!A$2</f>
        <v>595105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IFERROR(VLOOKUP(B2,input_settle_595105!L:R,7,FALSE),VLOOKUP(tables_settle_595105!C2,input_settle_595105!A:H,8,FALSE))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input_settle_595105!A$2</f>
        <v>595105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IFERROR(VLOOKUP(B3,input_settle_595105!L:R,7,FALSE),VLOOKUP(tables_settle_595105!C3,input_settle_595105!A:H,8,FALSE))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input_settle_595105!A$2</f>
        <v>595105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IFERROR(VLOOKUP(B4,input_settle_595105!L:R,7,FALSE),VLOOKUP(tables_settle_595105!C4,input_settle_595105!A:H,8,FALSE))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input_settle_595105!A$2</f>
        <v>595105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IFERROR(VLOOKUP(B5,input_settle_595105!L:R,7,FALSE),VLOOKUP(tables_settle_595105!C5,input_settle_595105!A:H,8,FALSE))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input_settle_595105!A$2</f>
        <v>595105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IFERROR(VLOOKUP(B6,input_settle_595105!L:R,7,FALSE),VLOOKUP(tables_settle_595105!C6,input_settle_595105!A:H,8,FALSE))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input_settle_595105!A$2</f>
        <v>595105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IFERROR(VLOOKUP(B7,input_settle_595105!L:R,7,FALSE),VLOOKUP(tables_settle_595105!C7,input_settle_595105!A:H,8,FALSE))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input_settle_595105!A$2</f>
        <v>595105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IFERROR(VLOOKUP(B8,input_settle_595105!L:R,7,FALSE),VLOOKUP(tables_settle_595105!C8,input_settle_595105!A:H,8,FALSE))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input_settle_595105!A$2</f>
        <v>595105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IFERROR(VLOOKUP(B9,input_settle_595105!L:R,7,FALSE),VLOOKUP(tables_settle_595105!C9,input_settle_595105!A:H,8,FALSE))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input_settle_595105!A$2</f>
        <v>595105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IFERROR(VLOOKUP(B10,input_settle_595105!L:R,7,FALSE),VLOOKUP(tables_settle_595105!C10,input_settle_595105!A:H,8,FALSE))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input_settle_595105!A$2</f>
        <v>595105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IFERROR(VLOOKUP(B11,input_settle_595105!L:R,7,FALSE),VLOOKUP(tables_settle_595105!C11,input_settle_595105!A:H,8,FALSE))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input_settle_595105!A$2</f>
        <v>595105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IFERROR(VLOOKUP(B12,input_settle_595105!L:R,7,FALSE),VLOOKUP(tables_settle_595105!C12,input_settle_595105!A:H,8,FALSE))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input_settle_595105!A$2</f>
        <v>595105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IFERROR(VLOOKUP(B13,input_settle_595105!L:R,7,FALSE),VLOOKUP(tables_settle_595105!C13,input_settle_595105!A:H,8,FALSE))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input_settle_595105!A$2</f>
        <v>595105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IFERROR(VLOOKUP(B14,input_settle_595105!L:R,7,FALSE),VLOOKUP(tables_settle_595105!C14,input_settle_595105!A:H,8,FALSE))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input_settle_595105!A$2</f>
        <v>595105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IFERROR(VLOOKUP(B15,input_settle_595105!L:R,7,FALSE),VLOOKUP(tables_settle_595105!C15,input_settle_595105!A:H,8,FALSE))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input_settle_595105!A$2</f>
        <v>595105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IFERROR(VLOOKUP(B16,input_settle_595105!L:R,7,FALSE),VLOOKUP(tables_settle_595105!C16,input_settle_595105!A:H,8,FALSE))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input_settle_595105!A$2</f>
        <v>595105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IFERROR(VLOOKUP(B17,input_settle_595105!L:R,7,FALSE),VLOOKUP(tables_settle_595105!C17,input_settle_595105!A:H,8,FALSE))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input_settle_595105!A$2</f>
        <v>595105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IFERROR(VLOOKUP(B18,input_settle_595105!L:R,7,FALSE),VLOOKUP(tables_settle_595105!C18,input_settle_595105!A:H,8,FALSE))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input_settle_595105!A$2</f>
        <v>595105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IFERROR(VLOOKUP(B19,input_settle_595105!L:R,7,FALSE),VLOOKUP(tables_settle_595105!C19,input_settle_595105!A:H,8,FALSE))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input_settle_595105!A$2</f>
        <v>595105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IFERROR(VLOOKUP(B20,input_settle_595105!L:R,7,FALSE),VLOOKUP(tables_settle_595105!C20,input_settle_595105!A:H,8,FALSE))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input_settle_595105!A$2</f>
        <v>595105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IFERROR(VLOOKUP(B21,input_settle_595105!L:R,7,FALSE),VLOOKUP(tables_settle_595105!C21,input_settle_595105!A:H,8,FALSE))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input_settle_595105!A$2</f>
        <v>595105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IFERROR(VLOOKUP(B22,input_settle_595105!L:R,7,FALSE),VLOOKUP(tables_settle_595105!C22,input_settle_595105!A:H,8,FALSE))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input_settle_595105!A$2</f>
        <v>595105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IFERROR(VLOOKUP(B23,input_settle_595105!L:R,7,FALSE),VLOOKUP(tables_settle_595105!C23,input_settle_595105!A:H,8,FALSE))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input_settle_595105!A$2</f>
        <v>595105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IFERROR(VLOOKUP(B24,input_settle_595105!L:R,7,FALSE),VLOOKUP(tables_settle_595105!C24,input_settle_595105!A:H,8,FALSE))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input_settle_595105!A$2</f>
        <v>595105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IFERROR(VLOOKUP(B25,input_settle_595105!L:R,7,FALSE),VLOOKUP(tables_settle_595105!C25,input_settle_595105!A:H,8,FALSE))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input_settle_595105!A$2</f>
        <v>595105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IFERROR(VLOOKUP(B26,input_settle_595105!L:R,7,FALSE),VLOOKUP(tables_settle_595105!C26,input_settle_595105!A:H,8,FALSE))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input_settle_595105!A$2</f>
        <v>595105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IFERROR(VLOOKUP(B27,input_settle_595105!L:R,7,FALSE),VLOOKUP(tables_settle_595105!C27,input_settle_595105!A:H,8,FALSE))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input_settle_595105!A$2</f>
        <v>595105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IFERROR(VLOOKUP(B28,input_settle_595105!L:R,7,FALSE),VLOOKUP(tables_settle_595105!C28,input_settle_595105!A:H,8,FALSE))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input_settle_595105!A$2</f>
        <v>595105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IFERROR(VLOOKUP(B29,input_settle_595105!L:R,7,FALSE),VLOOKUP(tables_settle_595105!C29,input_settle_595105!A:H,8,FALSE))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input_settle_595105!A$2</f>
        <v>595105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IFERROR(VLOOKUP(B30,input_settle_595105!L:R,7,FALSE),VLOOKUP(tables_settle_595105!C30,input_settle_595105!A:H,8,FALSE))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input_settle_595105!A$2</f>
        <v>595105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IFERROR(VLOOKUP(B31,input_settle_595105!L:R,7,FALSE),VLOOKUP(tables_settle_595105!C31,input_settle_595105!A:H,8,FALSE))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input_settle_595105!A$2</f>
        <v>595105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IFERROR(VLOOKUP(B32,input_settle_595105!L:R,7,FALSE),VLOOKUP(tables_settle_595105!C32,input_settle_595105!A:H,8,FALSE))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input_settle_595105!A$2</f>
        <v>595105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IFERROR(VLOOKUP(B33,input_settle_595105!L:R,7,FALSE),VLOOKUP(tables_settle_595105!C33,input_settle_595105!A:H,8,FALSE))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input_settle_595105!A$2</f>
        <v>595105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IFERROR(VLOOKUP(B34,input_settle_595105!L:R,7,FALSE),VLOOKUP(tables_settle_595105!C34,input_settle_595105!A:H,8,FALSE))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input_settle_595105!A$2</f>
        <v>595105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IFERROR(VLOOKUP(B35,input_settle_595105!L:R,7,FALSE),VLOOKUP(tables_settle_595105!C35,input_settle_595105!A:H,8,FALSE))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input_settle_595105!A$2</f>
        <v>595105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IFERROR(VLOOKUP(B36,input_settle_595105!L:R,7,FALSE),VLOOKUP(tables_settle_595105!C36,input_settle_595105!A:H,8,FALSE))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input_settle_595105!A$2</f>
        <v>595105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IFERROR(VLOOKUP(B37,input_settle_595105!L:R,7,FALSE),VLOOKUP(tables_settle_595105!C37,input_settle_595105!A:H,8,FALSE))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input_settle_595105!A$2</f>
        <v>595105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IFERROR(VLOOKUP(B38,input_settle_595105!L:R,7,FALSE),VLOOKUP(tables_settle_595105!C38,input_settle_595105!A:H,8,FALSE))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input_settle_595105!A$2</f>
        <v>595105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IFERROR(VLOOKUP(B39,input_settle_595105!L:R,7,FALSE),VLOOKUP(tables_settle_595105!C39,input_settle_595105!A:H,8,FALSE))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input_settle_595105!A$2</f>
        <v>595105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IFERROR(VLOOKUP(B40,input_settle_595105!L:R,7,FALSE),VLOOKUP(tables_settle_595105!C40,input_settle_595105!A:H,8,FALSE))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input_settle_595105!A$2</f>
        <v>595105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IFERROR(VLOOKUP(B41,input_settle_595105!L:R,7,FALSE),VLOOKUP(tables_settle_595105!C41,input_settle_595105!A:H,8,FALSE))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input_settle_595105!A$2</f>
        <v>595105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IFERROR(VLOOKUP(B42,input_settle_595105!L:R,7,FALSE),VLOOKUP(tables_settle_595105!C42,input_settle_595105!A:H,8,FALSE))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input_settle_595105!A$2</f>
        <v>595105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IFERROR(VLOOKUP(B43,input_settle_595105!L:R,7,FALSE),VLOOKUP(tables_settle_595105!C43,input_settle_595105!A:H,8,FALSE))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input_settle_595105!A$2</f>
        <v>595105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IFERROR(VLOOKUP(B44,input_settle_595105!L:R,7,FALSE),VLOOKUP(tables_settle_595105!C44,input_settle_595105!A:H,8,FALSE))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input_settle_595105!A$2</f>
        <v>595105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IFERROR(VLOOKUP(B45,input_settle_595105!L:R,7,FALSE),VLOOKUP(tables_settle_595105!C45,input_settle_595105!A:H,8,FALSE))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input_settle_595105!A$2</f>
        <v>595105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IFERROR(VLOOKUP(B46,input_settle_595105!L:R,7,FALSE),VLOOKUP(tables_settle_595105!C46,input_settle_595105!A:H,8,FALSE))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input_settle_595105!A$2</f>
        <v>595105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IFERROR(VLOOKUP(B47,input_settle_595105!L:R,7,FALSE),VLOOKUP(tables_settle_595105!C47,input_settle_595105!A:H,8,FALSE))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input_settle_595105!A$2</f>
        <v>595105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IFERROR(VLOOKUP(B48,input_settle_595105!L:R,7,FALSE),VLOOKUP(tables_settle_595105!C48,input_settle_595105!A:H,8,FALSE))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input_settle_595105!A$2</f>
        <v>595105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IFERROR(VLOOKUP(B49,input_settle_595105!L:R,7,FALSE),VLOOKUP(tables_settle_595105!C49,input_settle_595105!A:H,8,FALSE))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input_settle_595105!A$2</f>
        <v>595105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IFERROR(VLOOKUP(B50,input_settle_595105!L:R,7,FALSE),VLOOKUP(tables_settle_595105!C50,input_settle_595105!A:H,8,FALSE))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input_settle_595105!A$2</f>
        <v>595105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IFERROR(VLOOKUP(B51,input_settle_595105!L:R,7,FALSE),VLOOKUP(tables_settle_595105!C51,input_settle_595105!A:H,8,FALSE))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input_settle_595105!A$2</f>
        <v>595105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IFERROR(VLOOKUP(B52,input_settle_595105!L:R,7,FALSE),VLOOKUP(tables_settle_595105!C52,input_settle_595105!A:H,8,FALSE))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input_settle_595105!A$2</f>
        <v>595105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IFERROR(VLOOKUP(B53,input_settle_595105!L:R,7,FALSE),VLOOKUP(tables_settle_595105!C53,input_settle_595105!A:H,8,FALSE))</f>
        <v>0</v>
      </c>
      <c r="P53" s="46">
        <f t="shared" ca="1" si="1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input_settle_595105!A$2</f>
        <v>595105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IFERROR(VLOOKUP(B54,input_settle_595105!L:R,7,FALSE),VLOOKUP(tables_settle_595105!C54,input_settle_595105!A:H,8,FALSE))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input_settle_595105!A$2</f>
        <v>595105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IFERROR(VLOOKUP(B55,input_settle_595105!L:R,7,FALSE),VLOOKUP(tables_settle_595105!C55,input_settle_595105!A:H,8,FALSE))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input_settle_595105!A$2</f>
        <v>595105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IFERROR(VLOOKUP(B56,input_settle_595105!L:R,7,FALSE),VLOOKUP(tables_settle_595105!C56,input_settle_595105!A:H,8,FALSE))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input_settle_595105!A$2</f>
        <v>595105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IFERROR(VLOOKUP(B57,input_settle_595105!L:R,7,FALSE),VLOOKUP(tables_settle_595105!C57,input_settle_595105!A:H,8,FALSE))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input_settle_595105!A$2</f>
        <v>595105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IFERROR(VLOOKUP(B58,input_settle_595105!L:R,7,FALSE),VLOOKUP(tables_settle_595105!C58,input_settle_595105!A:H,8,FALSE))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input_settle_595105!A$2</f>
        <v>595105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IFERROR(VLOOKUP(B59,input_settle_595105!L:R,7,FALSE),VLOOKUP(tables_settle_595105!C59,input_settle_595105!A:H,8,FALSE))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input_settle_595105!A$2</f>
        <v>595105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IFERROR(VLOOKUP(B60,input_settle_595105!L:R,7,FALSE),VLOOKUP(tables_settle_595105!C60,input_settle_595105!A:H,8,FALSE))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input_settle_595105!A$2</f>
        <v>595105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IFERROR(VLOOKUP(B61,input_settle_595105!L:R,7,FALSE),VLOOKUP(tables_settle_595105!C61,input_settle_595105!A:H,8,FALSE))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input_settle_595105!A$2</f>
        <v>595105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IFERROR(VLOOKUP(B62,input_settle_595105!L:R,7,FALSE),VLOOKUP(tables_settle_595105!C62,input_settle_595105!A:H,8,FALSE))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input_settle_595105!A$2</f>
        <v>595105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IFERROR(VLOOKUP(B63,input_settle_595105!L:R,7,FALSE),VLOOKUP(tables_settle_595105!C63,input_settle_595105!A:H,8,FALSE))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input_settle_595105!A$2</f>
        <v>595105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IFERROR(VLOOKUP(B64,input_settle_595105!L:R,7,FALSE),VLOOKUP(tables_settle_595105!C64,input_settle_595105!A:H,8,FALSE))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input_settle_595105!A$2</f>
        <v>595105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IFERROR(VLOOKUP(B65,input_settle_595105!L:R,7,FALSE),VLOOKUP(tables_settle_595105!C65,input_settle_595105!A:H,8,FALSE))</f>
        <v>0</v>
      </c>
      <c r="P65" s="46">
        <f t="shared" ca="1" si="1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input_settle_595105!A$2</f>
        <v>595105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IFERROR(VLOOKUP(B66,input_settle_595105!L:R,7,FALSE),VLOOKUP(tables_settle_595105!C66,input_settle_595105!A:H,8,FALSE))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input_settle_595105!A$2</f>
        <v>595105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IFERROR(VLOOKUP(B67,input_settle_595105!L:R,7,FALSE),VLOOKUP(tables_settle_595105!C67,input_settle_595105!A:H,8,FALSE))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input_settle_595105!A$2</f>
        <v>595105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IFERROR(VLOOKUP(B68,input_settle_595105!L:R,7,FALSE),VLOOKUP(tables_settle_595105!C68,input_settle_595105!A:H,8,FALSE))</f>
        <v>0</v>
      </c>
      <c r="P68" s="46">
        <f t="shared" ca="1" si="4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input_settle_595105!A$2</f>
        <v>595105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IFERROR(VLOOKUP(B69,input_settle_595105!L:R,7,FALSE),VLOOKUP(tables_settle_595105!C69,input_settle_595105!A:H,8,FALSE))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input_settle_595105!A$2</f>
        <v>595105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IFERROR(VLOOKUP(B70,input_settle_595105!L:R,7,FALSE),VLOOKUP(tables_settle_595105!C70,input_settle_595105!A:H,8,FALSE))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input_settle_595105!A$2</f>
        <v>595105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IFERROR(VLOOKUP(B71,input_settle_595105!L:R,7,FALSE),VLOOKUP(tables_settle_595105!C71,input_settle_595105!A:H,8,FALSE))</f>
        <v>0</v>
      </c>
      <c r="P71" s="46">
        <f t="shared" ca="1" si="4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input_settle_595105!A$2</f>
        <v>595105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IFERROR(VLOOKUP(B72,input_settle_595105!L:R,7,FALSE),VLOOKUP(tables_settle_595105!C72,input_settle_595105!A:H,8,FALSE))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input_settle_595105!A$2</f>
        <v>595105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IFERROR(VLOOKUP(B73,input_settle_595105!L:R,7,FALSE),VLOOKUP(tables_settle_595105!C73,input_settle_595105!A:H,8,FALSE))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input_settle_595105!A$2</f>
        <v>595105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IFERROR(VLOOKUP(B74,input_settle_595105!L:R,7,FALSE),VLOOKUP(tables_settle_595105!C74,input_settle_595105!A:H,8,FALSE))</f>
        <v>0</v>
      </c>
      <c r="P74" s="46">
        <f t="shared" ca="1" si="4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input_settle_595105!A$2</f>
        <v>595105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IFERROR(VLOOKUP(B75,input_settle_595105!L:R,7,FALSE),VLOOKUP(tables_settle_595105!C75,input_settle_595105!A:H,8,FALSE))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input_settle_595105!A$2</f>
        <v>595105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IFERROR(VLOOKUP(B76,input_settle_595105!L:R,7,FALSE),VLOOKUP(tables_settle_595105!C76,input_settle_595105!A:H,8,FALSE))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input_settle_595105!A$2</f>
        <v>595105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IFERROR(VLOOKUP(B77,input_settle_595105!L:R,7,FALSE),VLOOKUP(tables_settle_595105!C77,input_settle_595105!A:H,8,FALSE))</f>
        <v>0</v>
      </c>
      <c r="P77" s="46">
        <f t="shared" ca="1" si="4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input_settle_595105!A$2</f>
        <v>595105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IFERROR(VLOOKUP(B78,input_settle_595105!L:R,7,FALSE),VLOOKUP(tables_settle_595105!C78,input_settle_595105!A:H,8,FALSE))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input_settle_595105!A$2</f>
        <v>595105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IFERROR(VLOOKUP(B79,input_settle_595105!L:R,7,FALSE),VLOOKUP(tables_settle_595105!C79,input_settle_595105!A:H,8,FALSE))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input_settle_595105!A$2</f>
        <v>595105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IFERROR(VLOOKUP(B80,input_settle_595105!L:R,7,FALSE),VLOOKUP(tables_settle_595105!C80,input_settle_595105!A:H,8,FALSE))</f>
        <v>0</v>
      </c>
      <c r="P80" s="46">
        <f t="shared" ca="1" si="4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input_settle_595105!A$2</f>
        <v>595105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IFERROR(VLOOKUP(B81,input_settle_595105!L:R,7,FALSE),VLOOKUP(tables_settle_595105!C81,input_settle_595105!A:H,8,FALSE))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input_settle_595105!A$2</f>
        <v>595105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IFERROR(VLOOKUP(B82,input_settle_595105!L:R,7,FALSE),VLOOKUP(tables_settle_595105!C82,input_settle_595105!A:H,8,FALSE))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input_settle_595105!A$2</f>
        <v>595105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IFERROR(VLOOKUP(B83,input_settle_595105!L:R,7,FALSE),VLOOKUP(tables_settle_595105!C83,input_settle_595105!A:H,8,FALSE))</f>
        <v>0</v>
      </c>
      <c r="P83" s="46">
        <f t="shared" ca="1" si="4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input_settle_595105!A$2</f>
        <v>595105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IFERROR(VLOOKUP(B84,input_settle_595105!L:R,7,FALSE),VLOOKUP(tables_settle_595105!C84,input_settle_595105!A:H,8,FALSE))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input_settle_595105!A$2</f>
        <v>595105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IFERROR(VLOOKUP(B85,input_settle_595105!L:R,7,FALSE),VLOOKUP(tables_settle_595105!C85,input_settle_595105!A:H,8,FALSE))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input_settle_595105!A$2</f>
        <v>595105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IFERROR(VLOOKUP(B86,input_settle_595105!L:R,7,FALSE),VLOOKUP(tables_settle_595105!C86,input_settle_595105!A:H,8,FALSE))</f>
        <v>0</v>
      </c>
      <c r="P86" s="46">
        <f t="shared" ca="1" si="4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input_settle_595105!A$2</f>
        <v>595105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IFERROR(VLOOKUP(B87,input_settle_595105!L:R,7,FALSE),VLOOKUP(tables_settle_595105!C87,input_settle_595105!A:H,8,FALSE))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input_settle_595105!A$2</f>
        <v>595105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IFERROR(VLOOKUP(B88,input_settle_595105!L:R,7,FALSE),VLOOKUP(tables_settle_595105!C88,input_settle_595105!A:H,8,FALSE))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input_settle_595105!A$2</f>
        <v>595105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IFERROR(VLOOKUP(B89,input_settle_595105!L:R,7,FALSE),VLOOKUP(tables_settle_595105!C89,input_settle_595105!A:H,8,FALSE))</f>
        <v>0</v>
      </c>
      <c r="P89" s="46">
        <f t="shared" ca="1" si="4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input_settle_595105!A$2</f>
        <v>595105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IFERROR(VLOOKUP(B90,input_settle_595105!L:R,7,FALSE),VLOOKUP(tables_settle_595105!C90,input_settle_595105!A:H,8,FALSE))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input_settle_595105!A$2</f>
        <v>595105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IFERROR(VLOOKUP(B91,input_settle_595105!L:R,7,FALSE),VLOOKUP(tables_settle_595105!C91,input_settle_595105!A:H,8,FALSE))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input_settle_595105!A$2</f>
        <v>595105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IFERROR(VLOOKUP(B92,input_settle_595105!L:R,7,FALSE),VLOOKUP(tables_settle_595105!C92,input_settle_595105!A:H,8,FALSE))</f>
        <v>0</v>
      </c>
      <c r="P92" s="46">
        <f t="shared" ca="1" si="4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input_settle_595105!A$2</f>
        <v>595105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IFERROR(VLOOKUP(B93,input_settle_595105!L:R,7,FALSE),VLOOKUP(tables_settle_595105!C93,input_settle_595105!A:H,8,FALSE))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input_settle_595105!A$2</f>
        <v>595105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IFERROR(VLOOKUP(B94,input_settle_595105!L:R,7,FALSE),VLOOKUP(tables_settle_595105!C94,input_settle_595105!A:H,8,FALSE))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input_settle_595105!A$2</f>
        <v>595105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IFERROR(VLOOKUP(B95,input_settle_595105!L:R,7,FALSE),VLOOKUP(tables_settle_595105!C95,input_settle_595105!A:H,8,FALSE))</f>
        <v>0</v>
      </c>
      <c r="P95" s="46">
        <f t="shared" ca="1" si="4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input_settle_595105!A$2</f>
        <v>595105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IFERROR(VLOOKUP(B96,input_settle_595105!L:R,7,FALSE),VLOOKUP(tables_settle_595105!C96,input_settle_595105!A:H,8,FALSE))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input_settle_595105!A$2</f>
        <v>595105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IFERROR(VLOOKUP(B97,input_settle_595105!L:R,7,FALSE),VLOOKUP(tables_settle_595105!C97,input_settle_595105!A:H,8,FALSE))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input_settle_595105!A$2</f>
        <v>595105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IFERROR(VLOOKUP(B98,input_settle_595105!L:R,7,FALSE),VLOOKUP(tables_settle_595105!C98,input_settle_595105!A:H,8,FALSE))</f>
        <v>0</v>
      </c>
      <c r="P98" s="46">
        <f t="shared" ca="1" si="4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input_settle_595105!A$2</f>
        <v>595105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IFERROR(VLOOKUP(B99,input_settle_595105!L:R,7,FALSE),VLOOKUP(tables_settle_595105!C99,input_settle_595105!A:H,8,FALSE))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input_settle_595105!A$2</f>
        <v>595105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IFERROR(VLOOKUP(B100,input_settle_595105!L:R,7,FALSE),VLOOKUP(tables_settle_595105!C100,input_settle_595105!A:H,8,FALSE))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input_settle_595105!A$2</f>
        <v>595105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IFERROR(VLOOKUP(B101,input_settle_595105!L:R,7,FALSE),VLOOKUP(tables_settle_595105!C101,input_settle_595105!A:H,8,FALSE))</f>
        <v>0</v>
      </c>
      <c r="P101" s="46">
        <f t="shared" ca="1" si="4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input_settle_595105!A$2</f>
        <v>595105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IFERROR(VLOOKUP(B102,input_settle_595105!L:R,7,FALSE),VLOOKUP(tables_settle_595105!C102,input_settle_595105!A:H,8,FALSE))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input_settle_595105!A$2</f>
        <v>595105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IFERROR(VLOOKUP(B103,input_settle_595105!L:R,7,FALSE),VLOOKUP(tables_settle_595105!C103,input_settle_595105!A:H,8,FALSE))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input_settle_595105!A$2</f>
        <v>595105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IFERROR(VLOOKUP(B104,input_settle_595105!L:R,7,FALSE),VLOOKUP(tables_settle_595105!C104,input_settle_595105!A:H,8,FALSE))</f>
        <v>0</v>
      </c>
      <c r="P104" s="46">
        <f t="shared" ca="1" si="4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input_settle_595105!A$2</f>
        <v>595105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IFERROR(VLOOKUP(B105,input_settle_595105!L:R,7,FALSE),VLOOKUP(tables_settle_595105!C105,input_settle_595105!A:H,8,FALSE))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input_settle_595105!A$2</f>
        <v>595105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IFERROR(VLOOKUP(B106,input_settle_595105!L:R,7,FALSE),VLOOKUP(tables_settle_595105!C106,input_settle_595105!A:H,8,FALSE))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input_settle_595105!A$2</f>
        <v>595105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IFERROR(VLOOKUP(B107,input_settle_595105!L:R,7,FALSE),VLOOKUP(tables_settle_595105!C107,input_settle_595105!A:H,8,FALSE))</f>
        <v>0</v>
      </c>
      <c r="P107" s="46">
        <f t="shared" ca="1" si="4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input_settle_595105!A$2</f>
        <v>595105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IFERROR(VLOOKUP(B108,input_settle_595105!L:R,7,FALSE),VLOOKUP(tables_settle_595105!C108,input_settle_595105!A:H,8,FALSE))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input_settle_595105!A$2</f>
        <v>595105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IFERROR(VLOOKUP(B109,input_settle_595105!L:R,7,FALSE),VLOOKUP(tables_settle_595105!C109,input_settle_595105!A:H,8,FALSE))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input_settle_595105!A$2</f>
        <v>595105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IFERROR(VLOOKUP(B110,input_settle_595105!L:R,7,FALSE),VLOOKUP(tables_settle_595105!C110,input_settle_595105!A:H,8,FALSE))</f>
        <v>0</v>
      </c>
      <c r="P110" s="46">
        <f t="shared" ca="1" si="4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input_settle_595105!A$2</f>
        <v>595105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IFERROR(VLOOKUP(B111,input_settle_595105!L:R,7,FALSE),VLOOKUP(tables_settle_595105!C111,input_settle_595105!A:H,8,FALSE))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input_settle_595105!A$2</f>
        <v>595105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IFERROR(VLOOKUP(B112,input_settle_595105!L:R,7,FALSE),VLOOKUP(tables_settle_595105!C112,input_settle_595105!A:H,8,FALSE))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input_settle_595105!A$2</f>
        <v>595105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IFERROR(VLOOKUP(B113,input_settle_595105!L:R,7,FALSE),VLOOKUP(tables_settle_595105!C113,input_settle_595105!A:H,8,FALSE))</f>
        <v>0</v>
      </c>
      <c r="P113" s="46">
        <f t="shared" ca="1" si="4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input_settle_595105!A$2</f>
        <v>595105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IFERROR(VLOOKUP(B114,input_settle_595105!L:R,7,FALSE),VLOOKUP(tables_settle_595105!C114,input_settle_595105!A:H,8,FALSE))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input_settle_595105!A$2</f>
        <v>595105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IFERROR(VLOOKUP(B115,input_settle_595105!L:R,7,FALSE),VLOOKUP(tables_settle_595105!C115,input_settle_595105!A:H,8,FALSE))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input_settle_595105!A$2</f>
        <v>595105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IFERROR(VLOOKUP(B116,input_settle_595105!L:R,7,FALSE),VLOOKUP(tables_settle_595105!C116,input_settle_595105!A:H,8,FALSE))</f>
        <v>0</v>
      </c>
      <c r="P116" s="46">
        <f t="shared" ca="1" si="4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input_settle_595105!A$2</f>
        <v>595105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IFERROR(VLOOKUP(B117,input_settle_595105!L:R,7,FALSE),VLOOKUP(tables_settle_595105!C117,input_settle_595105!A:H,8,FALSE))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input_settle_595105!A$2</f>
        <v>595105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IFERROR(VLOOKUP(B118,input_settle_595105!L:R,7,FALSE),VLOOKUP(tables_settle_595105!C118,input_settle_595105!A:H,8,FALSE))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input_settle_595105!A$2</f>
        <v>595105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IFERROR(VLOOKUP(B119,input_settle_595105!L:R,7,FALSE),VLOOKUP(tables_settle_595105!C119,input_settle_595105!A:H,8,FALSE))</f>
        <v>0</v>
      </c>
      <c r="P119" s="46">
        <f t="shared" ca="1" si="4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input_settle_595105!A$2</f>
        <v>595105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IFERROR(VLOOKUP(B120,input_settle_595105!L:R,7,FALSE),VLOOKUP(tables_settle_595105!C120,input_settle_595105!A:H,8,FALSE))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input_settle_595105!A$2</f>
        <v>595105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IFERROR(VLOOKUP(B121,input_settle_595105!L:R,7,FALSE),VLOOKUP(tables_settle_595105!C121,input_settle_595105!A:H,8,FALSE))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input_settle_595105!A$2</f>
        <v>595105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IFERROR(VLOOKUP(B122,input_settle_595105!L:R,7,FALSE),VLOOKUP(tables_settle_595105!C122,input_settle_595105!A:H,8,FALSE))</f>
        <v>0</v>
      </c>
      <c r="P122" s="46">
        <f t="shared" ca="1" si="4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input_settle_595105!A$2</f>
        <v>595105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IFERROR(VLOOKUP(B123,input_settle_595105!L:R,7,FALSE),VLOOKUP(tables_settle_595105!C123,input_settle_595105!A:H,8,FALSE))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input_settle_595105!A$2</f>
        <v>595105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IFERROR(VLOOKUP(B124,input_settle_595105!L:R,7,FALSE),VLOOKUP(tables_settle_595105!C124,input_settle_595105!A:H,8,FALSE))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input_settle_595105!A$2</f>
        <v>595105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IFERROR(VLOOKUP(B125,input_settle_595105!L:R,7,FALSE),VLOOKUP(tables_settle_595105!C125,input_settle_595105!A:H,8,FALSE))</f>
        <v>0</v>
      </c>
      <c r="P125" s="46">
        <f t="shared" ca="1" si="4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input_settle_595105!A$2</f>
        <v>595105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IFERROR(VLOOKUP(B126,input_settle_595105!L:R,7,FALSE),VLOOKUP(tables_settle_595105!C126,input_settle_595105!A:H,8,FALSE))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input_settle_595105!A$2</f>
        <v>595105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IFERROR(VLOOKUP(B127,input_settle_595105!L:R,7,FALSE),VLOOKUP(tables_settle_595105!C127,input_settle_595105!A:H,8,FALSE))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input_settle_595105!A$2</f>
        <v>595105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IFERROR(VLOOKUP(B128,input_settle_595105!L:R,7,FALSE),VLOOKUP(tables_settle_595105!C128,input_settle_595105!A:H,8,FALSE))</f>
        <v>0</v>
      </c>
      <c r="P128" s="46">
        <f t="shared" ca="1" si="4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input_settle_595105!A$2</f>
        <v>595105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IFERROR(VLOOKUP(B129,input_settle_595105!L:R,7,FALSE),VLOOKUP(tables_settle_595105!C129,input_settle_595105!A:H,8,FALSE))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input_settle_595105!A$2</f>
        <v>595105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IFERROR(VLOOKUP(B130,input_settle_595105!L:R,7,FALSE),VLOOKUP(tables_settle_595105!C130,input_settle_595105!A:H,8,FALSE))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input_settle_595105!A$2</f>
        <v>595105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IFERROR(VLOOKUP(B131,input_settle_595105!L:R,7,FALSE),VLOOKUP(tables_settle_595105!C131,input_settle_595105!A:H,8,FALSE))</f>
        <v>0</v>
      </c>
      <c r="P131" s="46">
        <f t="shared" ca="1" si="7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input_settle_595105!A$2</f>
        <v>595105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IFERROR(VLOOKUP(B132,input_settle_595105!L:R,7,FALSE),VLOOKUP(tables_settle_595105!C132,input_settle_595105!A:H,8,FALSE))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input_settle_595105!A$2</f>
        <v>595105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IFERROR(VLOOKUP(B133,input_settle_595105!L:R,7,FALSE),VLOOKUP(tables_settle_595105!C133,input_settle_595105!A:H,8,FALSE))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input_settle_595105!A$2</f>
        <v>595105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IFERROR(VLOOKUP(B134,input_settle_595105!L:R,7,FALSE),VLOOKUP(tables_settle_595105!C134,input_settle_595105!A:H,8,FALSE))</f>
        <v>0</v>
      </c>
      <c r="P134" s="46">
        <f t="shared" ca="1" si="7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input_settle_595105!A$2</f>
        <v>595105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IFERROR(VLOOKUP(B135,input_settle_595105!L:R,7,FALSE),VLOOKUP(tables_settle_595105!C135,input_settle_595105!A:H,8,FALSE))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input_settle_595105!A$2</f>
        <v>595105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IFERROR(VLOOKUP(B136,input_settle_595105!L:R,7,FALSE),VLOOKUP(tables_settle_595105!C136,input_settle_595105!A:H,8,FALSE))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input_settle_595105!A$2</f>
        <v>595105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IFERROR(VLOOKUP(B137,input_settle_595105!L:R,7,FALSE),VLOOKUP(tables_settle_595105!C137,input_settle_595105!A:H,8,FALSE))</f>
        <v>0</v>
      </c>
      <c r="P137" s="46">
        <f t="shared" ca="1" si="7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input_settle_595105!A$2</f>
        <v>595105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IFERROR(VLOOKUP(B138,input_settle_595105!L:R,7,FALSE),VLOOKUP(tables_settle_595105!C138,input_settle_595105!A:H,8,FALSE))</f>
        <v>970000</v>
      </c>
      <c r="P138" s="46">
        <f t="shared" ca="1" si="7"/>
        <v>6.6666666666666671E-3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input_settle_595105!A$2</f>
        <v>595105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IFERROR(VLOOKUP(B139,input_settle_595105!L:R,7,FALSE),VLOOKUP(tables_settle_595105!C139,input_settle_595105!A:H,8,FALSE))</f>
        <v>970000</v>
      </c>
      <c r="P139" s="46">
        <f t="shared" ca="1" si="7"/>
        <v>6.6666666666666671E-3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input_settle_595105!A$2</f>
        <v>595105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IFERROR(VLOOKUP(B140,input_settle_595105!L:R,7,FALSE),VLOOKUP(tables_settle_595105!C140,input_settle_595105!A:H,8,FALSE))</f>
        <v>970000</v>
      </c>
      <c r="P140" s="46">
        <f t="shared" ca="1" si="7"/>
        <v>6.6666666666666671E-3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input_settle_595105!A$2</f>
        <v>595105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IFERROR(VLOOKUP(B141,input_settle_595105!L:R,7,FALSE),VLOOKUP(tables_settle_595105!C141,input_settle_595105!A:H,8,FALSE))</f>
        <v>970000</v>
      </c>
      <c r="P141" s="46">
        <f t="shared" ca="1" si="7"/>
        <v>6.6666666666666671E-3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input_settle_595105!A$2</f>
        <v>595105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IFERROR(VLOOKUP(B142,input_settle_595105!L:R,7,FALSE),VLOOKUP(tables_settle_595105!C142,input_settle_595105!A:H,8,FALSE))</f>
        <v>970000</v>
      </c>
      <c r="P142" s="46">
        <f t="shared" ca="1" si="7"/>
        <v>6.6666666666666671E-3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input_settle_595105!A$2</f>
        <v>595105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IFERROR(VLOOKUP(B143,input_settle_595105!L:R,7,FALSE),VLOOKUP(tables_settle_595105!C143,input_settle_595105!A:H,8,FALSE))</f>
        <v>970000</v>
      </c>
      <c r="P143" s="46">
        <f t="shared" ca="1" si="7"/>
        <v>6.6666666666666671E-3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input_settle_595105!A$2</f>
        <v>595105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IFERROR(VLOOKUP(B144,input_settle_595105!L:R,7,FALSE),VLOOKUP(tables_settle_595105!C144,input_settle_595105!A:H,8,FALSE))</f>
        <v>970000</v>
      </c>
      <c r="P144" s="46">
        <f t="shared" ca="1" si="7"/>
        <v>6.6666666666666671E-3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input_settle_595105!A$2</f>
        <v>595105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IFERROR(VLOOKUP(B145,input_settle_595105!L:R,7,FALSE),VLOOKUP(tables_settle_595105!C145,input_settle_595105!A:H,8,FALSE))</f>
        <v>970000</v>
      </c>
      <c r="P145" s="46">
        <f t="shared" ca="1" si="7"/>
        <v>6.6666666666666671E-3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input_settle_595105!A$2</f>
        <v>595105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IFERROR(VLOOKUP(B146,input_settle_595105!L:R,7,FALSE),VLOOKUP(tables_settle_595105!C146,input_settle_595105!A:H,8,FALSE))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input_settle_595105!A$2</f>
        <v>595105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IFERROR(VLOOKUP(B147,input_settle_595105!L:R,7,FALSE),VLOOKUP(tables_settle_595105!C147,input_settle_595105!A:H,8,FALSE))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input_settle_595105!A$2</f>
        <v>595105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IFERROR(VLOOKUP(B148,input_settle_595105!L:R,7,FALSE),VLOOKUP(tables_settle_595105!C148,input_settle_595105!A:H,8,FALSE))</f>
        <v>0</v>
      </c>
      <c r="P148" s="46">
        <f t="shared" ca="1" si="7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input_settle_595105!A$2</f>
        <v>595105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IFERROR(VLOOKUP(B149,input_settle_595105!L:R,7,FALSE),VLOOKUP(tables_settle_595105!C149,input_settle_595105!A:H,8,FALSE))</f>
        <v>970000</v>
      </c>
      <c r="P149" s="46">
        <f t="shared" ca="1" si="7"/>
        <v>6.6666666666666671E-3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input_settle_595105!A$2</f>
        <v>595105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IFERROR(VLOOKUP(B150,input_settle_595105!L:R,7,FALSE),VLOOKUP(tables_settle_595105!C150,input_settle_595105!A:H,8,FALSE))</f>
        <v>970000</v>
      </c>
      <c r="P150" s="46">
        <f t="shared" ca="1" si="7"/>
        <v>6.6666666666666671E-3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input_settle_595105!A$2</f>
        <v>595105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IFERROR(VLOOKUP(B151,input_settle_595105!L:R,7,FALSE),VLOOKUP(tables_settle_595105!C151,input_settle_595105!A:H,8,FALSE))</f>
        <v>970000</v>
      </c>
      <c r="P151" s="46">
        <f t="shared" ca="1" si="7"/>
        <v>6.6666666666666671E-3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input_settle_595105!A$2</f>
        <v>595105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IFERROR(VLOOKUP(B152,input_settle_595105!L:R,7,FALSE),VLOOKUP(tables_settle_595105!C152,input_settle_595105!A:H,8,FALSE))</f>
        <v>970000</v>
      </c>
      <c r="P152" s="46">
        <f t="shared" ca="1" si="7"/>
        <v>6.6666666666666671E-3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input_settle_595105!A$2</f>
        <v>595105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IFERROR(VLOOKUP(B153,input_settle_595105!L:R,7,FALSE),VLOOKUP(tables_settle_595105!C153,input_settle_595105!A:H,8,FALSE))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input_settle_595105!A$2</f>
        <v>595105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IFERROR(VLOOKUP(B154,input_settle_595105!L:R,7,FALSE),VLOOKUP(tables_settle_595105!C154,input_settle_595105!A:H,8,FALSE))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input_settle_595105!A$2</f>
        <v>595105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IFERROR(VLOOKUP(B155,input_settle_595105!L:R,7,FALSE),VLOOKUP(tables_settle_595105!C155,input_settle_595105!A:H,8,FALSE))</f>
        <v>0</v>
      </c>
      <c r="P155" s="46">
        <f t="shared" ca="1" si="7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input_settle_595105!A$2</f>
        <v>595105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IFERROR(VLOOKUP(B156,input_settle_595105!L:R,7,FALSE),VLOOKUP(tables_settle_595105!C156,input_settle_595105!A:H,8,FALSE))</f>
        <v>970000</v>
      </c>
      <c r="P156" s="46">
        <f t="shared" ca="1" si="7"/>
        <v>6.6666666666666671E-3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input_settle_595105!A$2</f>
        <v>595105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IFERROR(VLOOKUP(B157,input_settle_595105!L:R,7,FALSE),VLOOKUP(tables_settle_595105!C157,input_settle_595105!A:H,8,FALSE))</f>
        <v>970000</v>
      </c>
      <c r="P157" s="46">
        <f t="shared" ca="1" si="7"/>
        <v>6.6666666666666671E-3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input_settle_595105!A$2</f>
        <v>595105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IFERROR(VLOOKUP(B158,input_settle_595105!L:R,7,FALSE),VLOOKUP(tables_settle_595105!C158,input_settle_595105!A:H,8,FALSE))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input_settle_595105!A$2</f>
        <v>595105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IFERROR(VLOOKUP(B159,input_settle_595105!L:R,7,FALSE),VLOOKUP(tables_settle_595105!C159,input_settle_595105!A:H,8,FALSE))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input_settle_595105!A$2</f>
        <v>595105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IFERROR(VLOOKUP(B160,input_settle_595105!L:R,7,FALSE),VLOOKUP(tables_settle_595105!C160,input_settle_595105!A:H,8,FALSE))</f>
        <v>0</v>
      </c>
      <c r="P160" s="46">
        <f t="shared" ca="1" si="7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input_settle_595105!A$2</f>
        <v>595105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IFERROR(VLOOKUP(B161,input_settle_595105!L:R,7,FALSE),VLOOKUP(tables_settle_595105!C161,input_settle_595105!A:H,8,FALSE))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input_settle_595105!A$2</f>
        <v>595105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IFERROR(VLOOKUP(B162,input_settle_595105!L:R,7,FALSE),VLOOKUP(tables_settle_595105!C162,input_settle_595105!A:H,8,FALSE))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input_settle_595105!A$2</f>
        <v>595105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IFERROR(VLOOKUP(B163,input_settle_595105!L:R,7,FALSE),VLOOKUP(tables_settle_595105!C163,input_settle_595105!A:H,8,FALSE))</f>
        <v>0</v>
      </c>
      <c r="P163" s="46">
        <f t="shared" ca="1" si="7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input_settle_595105!A$2</f>
        <v>595105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IFERROR(VLOOKUP(B164,input_settle_595105!L:R,7,FALSE),VLOOKUP(tables_settle_595105!C164,input_settle_595105!A:H,8,FALSE))</f>
        <v>970000</v>
      </c>
      <c r="P164" s="46">
        <f t="shared" ca="1" si="7"/>
        <v>6.6666666666666671E-3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input_settle_595105!A$2</f>
        <v>595105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IFERROR(VLOOKUP(B165,input_settle_595105!L:R,7,FALSE),VLOOKUP(tables_settle_595105!C165,input_settle_595105!A:H,8,FALSE))</f>
        <v>970000</v>
      </c>
      <c r="P165" s="46">
        <f t="shared" ca="1" si="7"/>
        <v>6.6666666666666671E-3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input_settle_595105!A$2</f>
        <v>595105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IFERROR(VLOOKUP(B166,input_settle_595105!L:R,7,FALSE),VLOOKUP(tables_settle_595105!C166,input_settle_595105!A:H,8,FALSE))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input_settle_595105!A$2</f>
        <v>595105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IFERROR(VLOOKUP(B167,input_settle_595105!L:R,7,FALSE),VLOOKUP(tables_settle_595105!C167,input_settle_595105!A:H,8,FALSE))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input_settle_595105!A$2</f>
        <v>595105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IFERROR(VLOOKUP(B168,input_settle_595105!L:R,7,FALSE),VLOOKUP(tables_settle_595105!C168,input_settle_595105!A:H,8,FALSE))</f>
        <v>0</v>
      </c>
      <c r="P168" s="46">
        <f t="shared" ca="1" si="7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input_settle_595105!A$2</f>
        <v>595105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IFERROR(VLOOKUP(B169,input_settle_595105!L:R,7,FALSE),VLOOKUP(tables_settle_595105!C169,input_settle_595105!A:H,8,FALSE))</f>
        <v>970000</v>
      </c>
      <c r="P169" s="46">
        <f t="shared" ca="1" si="7"/>
        <v>6.6666666666666671E-3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input_settle_595105!A$2</f>
        <v>595105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IFERROR(VLOOKUP(B170,input_settle_595105!L:R,7,FALSE),VLOOKUP(tables_settle_595105!C170,input_settle_595105!A:H,8,FALSE))</f>
        <v>970000</v>
      </c>
      <c r="P170" s="46">
        <f t="shared" ca="1" si="7"/>
        <v>6.6666666666666671E-3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input_settle_595105!A$2</f>
        <v>595105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IFERROR(VLOOKUP(B171,input_settle_595105!L:R,7,FALSE),VLOOKUP(tables_settle_595105!C171,input_settle_595105!A:H,8,FALSE))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input_settle_595105!A$2</f>
        <v>595105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IFERROR(VLOOKUP(B172,input_settle_595105!L:R,7,FALSE),VLOOKUP(tables_settle_595105!C172,input_settle_595105!A:H,8,FALSE))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input_settle_595105!A$2</f>
        <v>595105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IFERROR(VLOOKUP(B173,input_settle_595105!L:R,7,FALSE),VLOOKUP(tables_settle_595105!C173,input_settle_595105!A:H,8,FALSE))</f>
        <v>0</v>
      </c>
      <c r="P173" s="46">
        <f t="shared" ca="1" si="7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input_settle_595105!A$2</f>
        <v>595105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IFERROR(VLOOKUP(B174,input_settle_595105!L:R,7,FALSE),VLOOKUP(tables_settle_595105!C174,input_settle_595105!A:H,8,FALSE))</f>
        <v>970000</v>
      </c>
      <c r="P174" s="46">
        <f t="shared" ca="1" si="7"/>
        <v>6.6666666666666671E-3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input_settle_595105!A$2</f>
        <v>595105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IFERROR(VLOOKUP(B175,input_settle_595105!L:R,7,FALSE),VLOOKUP(tables_settle_595105!C175,input_settle_595105!A:H,8,FALSE))</f>
        <v>970000</v>
      </c>
      <c r="P175" s="46">
        <f t="shared" ca="1" si="7"/>
        <v>6.6666666666666671E-3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input_settle_595105!A$2</f>
        <v>595105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IFERROR(VLOOKUP(B176,input_settle_595105!L:R,7,FALSE),VLOOKUP(tables_settle_595105!C176,input_settle_595105!A:H,8,FALSE))</f>
        <v>970000</v>
      </c>
      <c r="P176" s="46">
        <f t="shared" ca="1" si="7"/>
        <v>6.6666666666666671E-3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input_settle_595105!A$2</f>
        <v>595105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IFERROR(VLOOKUP(B177,input_settle_595105!L:R,7,FALSE),VLOOKUP(tables_settle_595105!C177,input_settle_595105!A:H,8,FALSE))</f>
        <v>970000</v>
      </c>
      <c r="P177" s="46">
        <f t="shared" ca="1" si="7"/>
        <v>6.6666666666666671E-3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input_settle_595105!A$2</f>
        <v>595105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IFERROR(VLOOKUP(B178,input_settle_595105!L:R,7,FALSE),VLOOKUP(tables_settle_595105!C178,input_settle_595105!A:H,8,FALSE))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input_settle_595105!A$2</f>
        <v>595105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IFERROR(VLOOKUP(B179,input_settle_595105!L:R,7,FALSE),VLOOKUP(tables_settle_595105!C179,input_settle_595105!A:H,8,FALSE))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input_settle_595105!A$2</f>
        <v>595105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IFERROR(VLOOKUP(B180,input_settle_595105!L:R,7,FALSE),VLOOKUP(tables_settle_595105!C180,input_settle_595105!A:H,8,FALSE))</f>
        <v>0</v>
      </c>
      <c r="P180" s="46">
        <f t="shared" ca="1" si="7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input_settle_595105!A$2</f>
        <v>595105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IFERROR(VLOOKUP(B181,input_settle_595105!L:R,7,FALSE),VLOOKUP(tables_settle_595105!C181,input_settle_595105!A:H,8,FALSE))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input_settle_595105!A$2</f>
        <v>595105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IFERROR(VLOOKUP(B182,input_settle_595105!L:R,7,FALSE),VLOOKUP(tables_settle_595105!C182,input_settle_595105!A:H,8,FALSE))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input_settle_595105!A$2</f>
        <v>595105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IFERROR(VLOOKUP(B183,input_settle_595105!L:R,7,FALSE),VLOOKUP(tables_settle_595105!C183,input_settle_595105!A:H,8,FALSE))</f>
        <v>0</v>
      </c>
      <c r="P183" s="46">
        <f t="shared" ca="1" si="7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input_settle_595105!A$2</f>
        <v>595105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IFERROR(VLOOKUP(B184,input_settle_595105!L:R,7,FALSE),VLOOKUP(tables_settle_595105!C184,input_settle_595105!A:H,8,FALSE))</f>
        <v>970000</v>
      </c>
      <c r="P184" s="46">
        <f t="shared" ca="1" si="7"/>
        <v>6.6666666666666671E-3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input_settle_595105!A$2</f>
        <v>595105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IFERROR(VLOOKUP(B185,input_settle_595105!L:R,7,FALSE),VLOOKUP(tables_settle_595105!C185,input_settle_595105!A:H,8,FALSE))</f>
        <v>970000</v>
      </c>
      <c r="P185" s="46">
        <f t="shared" ca="1" si="7"/>
        <v>6.6666666666666671E-3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input_settle_595105!A$2</f>
        <v>595105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IFERROR(VLOOKUP(B186,input_settle_595105!L:R,7,FALSE),VLOOKUP(tables_settle_595105!C186,input_settle_595105!A:H,8,FALSE))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input_settle_595105!A$2</f>
        <v>595105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IFERROR(VLOOKUP(B187,input_settle_595105!L:R,7,FALSE),VLOOKUP(tables_settle_595105!C187,input_settle_595105!A:H,8,FALSE))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input_settle_595105!A$2</f>
        <v>595105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IFERROR(VLOOKUP(B188,input_settle_595105!L:R,7,FALSE),VLOOKUP(tables_settle_595105!C188,input_settle_595105!A:H,8,FALSE))</f>
        <v>0</v>
      </c>
      <c r="P188" s="46">
        <f t="shared" ca="1" si="7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input_settle_595105!A$2</f>
        <v>595105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IFERROR(VLOOKUP(B189,input_settle_595105!L:R,7,FALSE),VLOOKUP(tables_settle_595105!C189,input_settle_595105!A:H,8,FALSE))</f>
        <v>970000</v>
      </c>
      <c r="P189" s="46">
        <f t="shared" ca="1" si="7"/>
        <v>6.6666666666666671E-3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input_settle_595105!A$2</f>
        <v>595105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IFERROR(VLOOKUP(B190,input_settle_595105!L:R,7,FALSE),VLOOKUP(tables_settle_595105!C190,input_settle_595105!A:H,8,FALSE))</f>
        <v>970000</v>
      </c>
      <c r="P190" s="46">
        <f t="shared" ca="1" si="7"/>
        <v>6.6666666666666671E-3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input_settle_595105!A$2</f>
        <v>595105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IFERROR(VLOOKUP(B191,input_settle_595105!L:R,7,FALSE),VLOOKUP(tables_settle_595105!C191,input_settle_595105!A:H,8,FALSE))</f>
        <v>970000</v>
      </c>
      <c r="P191" s="46">
        <f t="shared" ca="1" si="7"/>
        <v>6.6666666666666671E-3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input_settle_595105!A$2</f>
        <v>595105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IFERROR(VLOOKUP(B192,input_settle_595105!L:R,7,FALSE),VLOOKUP(tables_settle_595105!C192,input_settle_595105!A:H,8,FALSE))</f>
        <v>970000</v>
      </c>
      <c r="P192" s="46">
        <f t="shared" ca="1" si="7"/>
        <v>6.6666666666666671E-3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input_settle_595105!A$2</f>
        <v>595105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IFERROR(VLOOKUP(B193,input_settle_595105!L:R,7,FALSE),VLOOKUP(tables_settle_595105!C193,input_settle_595105!A:H,8,FALSE))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input_settle_595105!A$2</f>
        <v>595105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IFERROR(VLOOKUP(B194,input_settle_595105!L:R,7,FALSE),VLOOKUP(tables_settle_595105!C194,input_settle_595105!A:H,8,FALSE))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input_settle_595105!A$2</f>
        <v>595105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IFERROR(VLOOKUP(B195,input_settle_595105!L:R,7,FALSE),VLOOKUP(tables_settle_595105!C195,input_settle_595105!A:H,8,FALSE))</f>
        <v>0</v>
      </c>
      <c r="P195" s="46">
        <f t="shared" ca="1" si="10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input_settle_595105!A$2</f>
        <v>595105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IFERROR(VLOOKUP(B196,input_settle_595105!L:R,7,FALSE),VLOOKUP(tables_settle_595105!C196,input_settle_595105!A:H,8,FALSE))</f>
        <v>970000</v>
      </c>
      <c r="P196" s="46">
        <f t="shared" ca="1" si="10"/>
        <v>6.6666666666666671E-3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input_settle_595105!A$2</f>
        <v>595105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IFERROR(VLOOKUP(B197,input_settle_595105!L:R,7,FALSE),VLOOKUP(tables_settle_595105!C197,input_settle_595105!A:H,8,FALSE))</f>
        <v>970000</v>
      </c>
      <c r="P197" s="46">
        <f t="shared" ca="1" si="10"/>
        <v>6.6666666666666671E-3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input_settle_595105!A$2</f>
        <v>595105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IFERROR(VLOOKUP(B198,input_settle_595105!L:R,7,FALSE),VLOOKUP(tables_settle_595105!C198,input_settle_595105!A:H,8,FALSE))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input_settle_595105!A$2</f>
        <v>595105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IFERROR(VLOOKUP(B199,input_settle_595105!L:R,7,FALSE),VLOOKUP(tables_settle_595105!C199,input_settle_595105!A:H,8,FALSE))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input_settle_595105!A$2</f>
        <v>595105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IFERROR(VLOOKUP(B200,input_settle_595105!L:R,7,FALSE),VLOOKUP(tables_settle_595105!C200,input_settle_595105!A:H,8,FALSE))</f>
        <v>0</v>
      </c>
      <c r="P200" s="46">
        <f t="shared" ca="1" si="10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input_settle_595105!A$2</f>
        <v>595105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IFERROR(VLOOKUP(B201,input_settle_595105!L:R,7,FALSE),VLOOKUP(tables_settle_595105!C201,input_settle_595105!A:H,8,FALSE))</f>
        <v>970000</v>
      </c>
      <c r="P201" s="46">
        <f t="shared" ca="1" si="10"/>
        <v>6.6666666666666671E-3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input_settle_595105!A$2</f>
        <v>595105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IFERROR(VLOOKUP(B202,input_settle_595105!L:R,7,FALSE),VLOOKUP(tables_settle_595105!C202,input_settle_595105!A:H,8,FALSE))</f>
        <v>970000</v>
      </c>
      <c r="P202" s="46">
        <f t="shared" ca="1" si="10"/>
        <v>6.6666666666666671E-3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input_settle_595105!A$2</f>
        <v>595105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IFERROR(VLOOKUP(B203,input_settle_595105!L:R,7,FALSE),VLOOKUP(tables_settle_595105!C203,input_settle_595105!A:H,8,FALSE))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input_settle_595105!A$2</f>
        <v>595105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IFERROR(VLOOKUP(B204,input_settle_595105!L:R,7,FALSE),VLOOKUP(tables_settle_595105!C204,input_settle_595105!A:H,8,FALSE))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input_settle_595105!A$2</f>
        <v>595105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IFERROR(VLOOKUP(B205,input_settle_595105!L:R,7,FALSE),VLOOKUP(tables_settle_595105!C205,input_settle_595105!A:H,8,FALSE))</f>
        <v>0</v>
      </c>
      <c r="P205" s="46">
        <f t="shared" ca="1" si="10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input_settle_595105!A$2</f>
        <v>595105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IFERROR(VLOOKUP(B206,input_settle_595105!L:R,7,FALSE),VLOOKUP(tables_settle_595105!C206,input_settle_595105!A:H,8,FALSE))</f>
        <v>970000</v>
      </c>
      <c r="P206" s="46">
        <f t="shared" ca="1" si="10"/>
        <v>6.6666666666666671E-3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input_settle_595105!A$2</f>
        <v>595105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IFERROR(VLOOKUP(B207,input_settle_595105!L:R,7,FALSE),VLOOKUP(tables_settle_595105!C207,input_settle_595105!A:H,8,FALSE))</f>
        <v>970000</v>
      </c>
      <c r="P207" s="46">
        <f t="shared" ca="1" si="10"/>
        <v>6.6666666666666671E-3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input_settle_595105!A$2</f>
        <v>595105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IFERROR(VLOOKUP(B208,input_settle_595105!L:R,7,FALSE),VLOOKUP(tables_settle_595105!C208,input_settle_595105!A:H,8,FALSE))</f>
        <v>970000</v>
      </c>
      <c r="P208" s="46">
        <f t="shared" ca="1" si="10"/>
        <v>6.6666666666666671E-3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input_settle_595105!A$2</f>
        <v>595105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IFERROR(VLOOKUP(B209,input_settle_595105!L:R,7,FALSE),VLOOKUP(tables_settle_595105!C209,input_settle_595105!A:H,8,FALSE))</f>
        <v>970000</v>
      </c>
      <c r="P209" s="46">
        <f t="shared" ca="1" si="10"/>
        <v>6.6666666666666671E-3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input_settle_595105!A$2</f>
        <v>595105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IFERROR(VLOOKUP(B210,input_settle_595105!L:R,7,FALSE),VLOOKUP(tables_settle_595105!C210,input_settle_595105!A:H,8,FALSE))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input_settle_595105!A$2</f>
        <v>595105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IFERROR(VLOOKUP(B211,input_settle_595105!L:R,7,FALSE),VLOOKUP(tables_settle_595105!C211,input_settle_595105!A:H,8,FALSE))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input_settle_595105!A$2</f>
        <v>595105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IFERROR(VLOOKUP(B212,input_settle_595105!L:R,7,FALSE),VLOOKUP(tables_settle_595105!C212,input_settle_595105!A:H,8,FALSE))</f>
        <v>0</v>
      </c>
      <c r="P212" s="46">
        <f t="shared" ca="1" si="10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input_settle_595105!A$2</f>
        <v>595105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IFERROR(VLOOKUP(B213,input_settle_595105!L:R,7,FALSE),VLOOKUP(tables_settle_595105!C213,input_settle_595105!A:H,8,FALSE))</f>
        <v>970000</v>
      </c>
      <c r="P213" s="46">
        <f t="shared" ca="1" si="10"/>
        <v>6.6666666666666671E-3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input_settle_595105!A$2</f>
        <v>595105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IFERROR(VLOOKUP(B214,input_settle_595105!L:R,7,FALSE),VLOOKUP(tables_settle_595105!C214,input_settle_595105!A:H,8,FALSE))</f>
        <v>970000</v>
      </c>
      <c r="P214" s="46">
        <f t="shared" ca="1" si="10"/>
        <v>6.6666666666666671E-3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input_settle_595105!A$2</f>
        <v>595105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IFERROR(VLOOKUP(B215,input_settle_595105!L:R,7,FALSE),VLOOKUP(tables_settle_595105!C215,input_settle_595105!A:H,8,FALSE))</f>
        <v>0</v>
      </c>
      <c r="P215" s="46">
        <f t="shared" ca="1" si="10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input_settle_595105!A$2</f>
        <v>595105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IFERROR(VLOOKUP(B216,input_settle_595105!L:R,7,FALSE),VLOOKUP(tables_settle_595105!C216,input_settle_595105!A:H,8,FALSE))</f>
        <v>0</v>
      </c>
      <c r="P216" s="46">
        <f t="shared" ca="1" si="10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input_settle_595105!A$2</f>
        <v>595105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IFERROR(VLOOKUP(B217,input_settle_595105!L:R,7,FALSE),VLOOKUP(tables_settle_595105!C217,input_settle_595105!A:H,8,FALSE))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input_settle_595105!A$2</f>
        <v>595105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IFERROR(VLOOKUP(B218,input_settle_595105!L:R,7,FALSE),VLOOKUP(tables_settle_595105!C218,input_settle_595105!A:H,8,FALSE))</f>
        <v>0</v>
      </c>
      <c r="P218" s="46">
        <f t="shared" ca="1" si="10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input_settle_595105!A$2</f>
        <v>595105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IFERROR(VLOOKUP(B219,input_settle_595105!L:R,7,FALSE),VLOOKUP(tables_settle_595105!C219,input_settle_595105!A:H,8,FALSE))</f>
        <v>0</v>
      </c>
      <c r="P219" s="46">
        <f t="shared" ca="1" si="10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input_settle_595105!A$2</f>
        <v>595105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IFERROR(VLOOKUP(B220,input_settle_595105!L:R,7,FALSE),VLOOKUP(tables_settle_595105!C220,input_settle_595105!A:H,8,FALSE))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input_settle_595105!A$2</f>
        <v>595105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IFERROR(VLOOKUP(B221,input_settle_595105!L:R,7,FALSE),VLOOKUP(tables_settle_595105!C221,input_settle_595105!A:H,8,FALSE))</f>
        <v>970000</v>
      </c>
      <c r="P221" s="46">
        <f t="shared" ca="1" si="10"/>
        <v>6.6666666666666671E-3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input_settle_595105!A$2</f>
        <v>595105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IFERROR(VLOOKUP(B222,input_settle_595105!L:R,7,FALSE),VLOOKUP(tables_settle_595105!C222,input_settle_595105!A:H,8,FALSE))</f>
        <v>970000</v>
      </c>
      <c r="P222" s="46">
        <f t="shared" ca="1" si="10"/>
        <v>6.6666666666666671E-3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input_settle_595105!A$2</f>
        <v>595105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IFERROR(VLOOKUP(B223,input_settle_595105!L:R,7,FALSE),VLOOKUP(tables_settle_595105!C223,input_settle_595105!A:H,8,FALSE))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input_settle_595105!A$2</f>
        <v>595105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IFERROR(VLOOKUP(B224,input_settle_595105!L:R,7,FALSE),VLOOKUP(tables_settle_595105!C224,input_settle_595105!A:H,8,FALSE))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input_settle_595105!A$2</f>
        <v>595105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IFERROR(VLOOKUP(B225,input_settle_595105!L:R,7,FALSE),VLOOKUP(tables_settle_595105!C225,input_settle_595105!A:H,8,FALSE))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input_settle_595105!A$2</f>
        <v>595105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IFERROR(VLOOKUP(B226,input_settle_595105!L:R,7,FALSE),VLOOKUP(tables_settle_595105!C226,input_settle_595105!A:H,8,FALSE))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input_settle_595105!A$2</f>
        <v>595105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IFERROR(VLOOKUP(B227,input_settle_595105!L:R,7,FALSE),VLOOKUP(tables_settle_595105!C227,input_settle_595105!A:H,8,FALSE))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input_settle_595105!A$2</f>
        <v>595105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IFERROR(VLOOKUP(B228,input_settle_595105!L:R,7,FALSE),VLOOKUP(tables_settle_595105!C228,input_settle_595105!A:H,8,FALSE))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input_settle_595105!A$2</f>
        <v>595105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IFERROR(VLOOKUP(B229,input_settle_595105!L:R,7,FALSE),VLOOKUP(tables_settle_595105!C229,input_settle_595105!A:H,8,FALSE))</f>
        <v>970000</v>
      </c>
      <c r="P229" s="46">
        <f t="shared" ca="1" si="10"/>
        <v>6.6666666666666671E-3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input_settle_595105!A$2</f>
        <v>595105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IFERROR(VLOOKUP(B230,input_settle_595105!L:R,7,FALSE),VLOOKUP(tables_settle_595105!C230,input_settle_595105!A:H,8,FALSE))</f>
        <v>970000</v>
      </c>
      <c r="P230" s="46">
        <f t="shared" ca="1" si="10"/>
        <v>6.6666666666666671E-3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input_settle_595105!A$2</f>
        <v>595105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IFERROR(VLOOKUP(B231,input_settle_595105!L:R,7,FALSE),VLOOKUP(tables_settle_595105!C231,input_settle_595105!A:H,8,FALSE))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input_settle_595105!A$2</f>
        <v>595105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IFERROR(VLOOKUP(B232,input_settle_595105!L:R,7,FALSE),VLOOKUP(tables_settle_595105!C232,input_settle_595105!A:H,8,FALSE))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input_settle_595105!A$2</f>
        <v>595105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IFERROR(VLOOKUP(B233,input_settle_595105!L:R,7,FALSE),VLOOKUP(tables_settle_595105!C233,input_settle_595105!A:H,8,FALSE))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input_settle_595105!A$2</f>
        <v>595105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IFERROR(VLOOKUP(B234,input_settle_595105!L:R,7,FALSE),VLOOKUP(tables_settle_595105!C234,input_settle_595105!A:H,8,FALSE))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input_settle_595105!A$2</f>
        <v>595105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IFERROR(VLOOKUP(B235,input_settle_595105!L:R,7,FALSE),VLOOKUP(tables_settle_595105!C235,input_settle_595105!A:H,8,FALSE))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input_settle_595105!A$2</f>
        <v>595105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IFERROR(VLOOKUP(B236,input_settle_595105!L:R,7,FALSE),VLOOKUP(tables_settle_595105!C236,input_settle_595105!A:H,8,FALSE))</f>
        <v>0</v>
      </c>
      <c r="P236" s="46">
        <f t="shared" ca="1" si="10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input_settle_595105!A$2</f>
        <v>595105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IFERROR(VLOOKUP(B237,input_settle_595105!L:R,7,FALSE),VLOOKUP(tables_settle_595105!C237,input_settle_595105!A:H,8,FALSE))</f>
        <v>970000</v>
      </c>
      <c r="P237" s="46">
        <f t="shared" ca="1" si="10"/>
        <v>6.6666666666666671E-3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input_settle_595105!A$2</f>
        <v>595105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IFERROR(VLOOKUP(B238,input_settle_595105!L:R,7,FALSE),VLOOKUP(tables_settle_595105!C238,input_settle_595105!A:H,8,FALSE))</f>
        <v>970000</v>
      </c>
      <c r="P238" s="46">
        <f t="shared" ca="1" si="10"/>
        <v>6.6666666666666671E-3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input_settle_595105!A$2</f>
        <v>595105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IFERROR(VLOOKUP(B239,input_settle_595105!L:R,7,FALSE),VLOOKUP(tables_settle_595105!C239,input_settle_595105!A:H,8,FALSE))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input_settle_595105!A$2</f>
        <v>595105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IFERROR(VLOOKUP(B240,input_settle_595105!L:R,7,FALSE),VLOOKUP(tables_settle_595105!C240,input_settle_595105!A:H,8,FALSE))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input_settle_595105!A$2</f>
        <v>595105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IFERROR(VLOOKUP(B241,input_settle_595105!L:R,7,FALSE),VLOOKUP(tables_settle_595105!C241,input_settle_595105!A:H,8,FALSE))</f>
        <v>0</v>
      </c>
      <c r="P241" s="46">
        <f t="shared" ca="1" si="10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input_settle_595105!A$2</f>
        <v>595105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IFERROR(VLOOKUP(B242,input_settle_595105!L:R,7,FALSE),VLOOKUP(tables_settle_595105!C242,input_settle_595105!A:H,8,FALSE))</f>
        <v>970000</v>
      </c>
      <c r="P242" s="46">
        <f t="shared" ca="1" si="10"/>
        <v>6.6666666666666671E-3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input_settle_595105!A$2</f>
        <v>595105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IFERROR(VLOOKUP(B243,input_settle_595105!L:R,7,FALSE),VLOOKUP(tables_settle_595105!C243,input_settle_595105!A:H,8,FALSE))</f>
        <v>970000</v>
      </c>
      <c r="P243" s="46">
        <f t="shared" ca="1" si="10"/>
        <v>6.6666666666666671E-3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input_settle_595105!A$2</f>
        <v>595105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IFERROR(VLOOKUP(B244,input_settle_595105!L:R,7,FALSE),VLOOKUP(tables_settle_595105!C244,input_settle_595105!A:H,8,FALSE))</f>
        <v>970000</v>
      </c>
      <c r="P244" s="46">
        <f t="shared" ca="1" si="10"/>
        <v>6.6666666666666671E-3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input_settle_595105!A$2</f>
        <v>595105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IFERROR(VLOOKUP(B245,input_settle_595105!L:R,7,FALSE),VLOOKUP(tables_settle_595105!C245,input_settle_595105!A:H,8,FALSE))</f>
        <v>970000</v>
      </c>
      <c r="P245" s="46">
        <f t="shared" ca="1" si="10"/>
        <v>6.6666666666666671E-3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input_settle_595105!A$2</f>
        <v>595105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IFERROR(VLOOKUP(B246,input_settle_595105!L:R,7,FALSE),VLOOKUP(tables_settle_595105!C246,input_settle_595105!A:H,8,FALSE))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input_settle_595105!A$2</f>
        <v>595105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IFERROR(VLOOKUP(B247,input_settle_595105!L:R,7,FALSE),VLOOKUP(tables_settle_595105!C247,input_settle_595105!A:H,8,FALSE))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input_settle_595105!A$2</f>
        <v>595105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IFERROR(VLOOKUP(B248,input_settle_595105!L:R,7,FALSE),VLOOKUP(tables_settle_595105!C248,input_settle_595105!A:H,8,FALSE))</f>
        <v>0</v>
      </c>
      <c r="P248" s="46">
        <f t="shared" ca="1" si="10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input_settle_595105!A$2</f>
        <v>595105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IFERROR(VLOOKUP(B249,input_settle_595105!L:R,7,FALSE),VLOOKUP(tables_settle_595105!C249,input_settle_595105!A:H,8,FALSE))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input_settle_595105!A$2</f>
        <v>595105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IFERROR(VLOOKUP(B250,input_settle_595105!L:R,7,FALSE),VLOOKUP(tables_settle_595105!C250,input_settle_595105!A:H,8,FALSE))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input_settle_595105!A$2</f>
        <v>595105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IFERROR(VLOOKUP(B251,input_settle_595105!L:R,7,FALSE),VLOOKUP(tables_settle_595105!C251,input_settle_595105!A:H,8,FALSE))</f>
        <v>0</v>
      </c>
      <c r="P251" s="46">
        <f t="shared" ca="1" si="10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input_settle_595105!A$2</f>
        <v>595105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IFERROR(VLOOKUP(B252,input_settle_595105!L:R,7,FALSE),VLOOKUP(tables_settle_595105!C252,input_settle_595105!A:H,8,FALSE))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input_settle_595105!A$2</f>
        <v>595105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IFERROR(VLOOKUP(B253,input_settle_595105!L:R,7,FALSE),VLOOKUP(tables_settle_595105!C253,input_settle_595105!A:H,8,FALSE))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input_settle_595105!A$2</f>
        <v>595105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IFERROR(VLOOKUP(B254,input_settle_595105!L:R,7,FALSE),VLOOKUP(tables_settle_595105!C254,input_settle_595105!A:H,8,FALSE))</f>
        <v>0</v>
      </c>
      <c r="P254" s="46">
        <f t="shared" ca="1" si="10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input_settle_595105!A$2</f>
        <v>595105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IFERROR(VLOOKUP(B255,input_settle_595105!L:R,7,FALSE),VLOOKUP(tables_settle_595105!C255,input_settle_595105!A:H,8,FALSE))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input_settle_595105!A$2</f>
        <v>595105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IFERROR(VLOOKUP(B256,input_settle_595105!L:R,7,FALSE),VLOOKUP(tables_settle_595105!C256,input_settle_595105!A:H,8,FALSE))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input_settle_595105!A$2</f>
        <v>595105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IFERROR(VLOOKUP(B257,input_settle_595105!L:R,7,FALSE),VLOOKUP(tables_settle_595105!C257,input_settle_595105!A:H,8,FALSE))</f>
        <v>0</v>
      </c>
      <c r="P257" s="46">
        <f t="shared" ca="1" si="10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input_settle_595105!A$2</f>
        <v>595105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IFERROR(VLOOKUP(B258,input_settle_595105!L:R,7,FALSE),VLOOKUP(tables_settle_595105!C258,input_settle_595105!A:H,8,FALSE))</f>
        <v>970000</v>
      </c>
      <c r="P258" s="46">
        <f t="shared" ref="P258:P321" ca="1" si="13">O258/SUM(O:O)</f>
        <v>6.6666666666666671E-3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input_settle_595105!A$2</f>
        <v>595105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IFERROR(VLOOKUP(B259,input_settle_595105!L:R,7,FALSE),VLOOKUP(tables_settle_595105!C259,input_settle_595105!A:H,8,FALSE))</f>
        <v>970000</v>
      </c>
      <c r="P259" s="46">
        <f t="shared" ca="1" si="13"/>
        <v>6.6666666666666671E-3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input_settle_595105!A$2</f>
        <v>595105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IFERROR(VLOOKUP(B260,input_settle_595105!L:R,7,FALSE),VLOOKUP(tables_settle_595105!C260,input_settle_595105!A:H,8,FALSE))</f>
        <v>970000</v>
      </c>
      <c r="P260" s="46">
        <f t="shared" ca="1" si="13"/>
        <v>6.6666666666666671E-3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input_settle_595105!A$2</f>
        <v>595105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IFERROR(VLOOKUP(B261,input_settle_595105!L:R,7,FALSE),VLOOKUP(tables_settle_595105!C261,input_settle_595105!A:H,8,FALSE))</f>
        <v>970000</v>
      </c>
      <c r="P261" s="46">
        <f t="shared" ca="1" si="13"/>
        <v>6.6666666666666671E-3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input_settle_595105!A$2</f>
        <v>595105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IFERROR(VLOOKUP(B262,input_settle_595105!L:R,7,FALSE),VLOOKUP(tables_settle_595105!C262,input_settle_595105!A:H,8,FALSE))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input_settle_595105!A$2</f>
        <v>595105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IFERROR(VLOOKUP(B263,input_settle_595105!L:R,7,FALSE),VLOOKUP(tables_settle_595105!C263,input_settle_595105!A:H,8,FALSE))</f>
        <v>0</v>
      </c>
      <c r="P263" s="46">
        <f t="shared" ca="1" si="13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input_settle_595105!A$2</f>
        <v>595105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IFERROR(VLOOKUP(B264,input_settle_595105!L:R,7,FALSE),VLOOKUP(tables_settle_595105!C264,input_settle_595105!A:H,8,FALSE))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input_settle_595105!A$2</f>
        <v>595105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IFERROR(VLOOKUP(B265,input_settle_595105!L:R,7,FALSE),VLOOKUP(tables_settle_595105!C265,input_settle_595105!A:H,8,FALSE))</f>
        <v>0</v>
      </c>
      <c r="P265" s="46">
        <f t="shared" ca="1" si="13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input_settle_595105!A$2</f>
        <v>595105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IFERROR(VLOOKUP(B266,input_settle_595105!L:R,7,FALSE),VLOOKUP(tables_settle_595105!C266,input_settle_595105!A:H,8,FALSE))</f>
        <v>1940000</v>
      </c>
      <c r="P266" s="46">
        <f t="shared" ca="1" si="13"/>
        <v>1.3333333333333334E-2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input_settle_595105!A$2</f>
        <v>595105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IFERROR(VLOOKUP(B267,input_settle_595105!L:R,7,FALSE),VLOOKUP(tables_settle_595105!C267,input_settle_595105!A:H,8,FALSE))</f>
        <v>1940000</v>
      </c>
      <c r="P267" s="46">
        <f t="shared" ca="1" si="13"/>
        <v>1.3333333333333334E-2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input_settle_595105!A$2</f>
        <v>595105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IFERROR(VLOOKUP(B268,input_settle_595105!L:R,7,FALSE),VLOOKUP(tables_settle_595105!C268,input_settle_595105!A:H,8,FALSE))</f>
        <v>1940000</v>
      </c>
      <c r="P268" s="46">
        <f t="shared" ca="1" si="13"/>
        <v>1.3333333333333334E-2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input_settle_595105!A$2</f>
        <v>595105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IFERROR(VLOOKUP(B269,input_settle_595105!L:R,7,FALSE),VLOOKUP(tables_settle_595105!C269,input_settle_595105!A:H,8,FALSE))</f>
        <v>1940000</v>
      </c>
      <c r="P269" s="46">
        <f t="shared" ca="1" si="13"/>
        <v>1.3333333333333334E-2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input_settle_595105!A$2</f>
        <v>595105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IFERROR(VLOOKUP(B270,input_settle_595105!L:R,7,FALSE),VLOOKUP(tables_settle_595105!C270,input_settle_595105!A:H,8,FALSE))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input_settle_595105!A$2</f>
        <v>595105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IFERROR(VLOOKUP(B271,input_settle_595105!L:R,7,FALSE),VLOOKUP(tables_settle_595105!C271,input_settle_595105!A:H,8,FALSE))</f>
        <v>0</v>
      </c>
      <c r="P271" s="46">
        <f t="shared" ca="1" si="13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input_settle_595105!A$2</f>
        <v>595105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IFERROR(VLOOKUP(B272,input_settle_595105!L:R,7,FALSE),VLOOKUP(tables_settle_595105!C272,input_settle_595105!A:H,8,FALSE))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input_settle_595105!A$2</f>
        <v>595105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IFERROR(VLOOKUP(B273,input_settle_595105!L:R,7,FALSE),VLOOKUP(tables_settle_595105!C273,input_settle_595105!A:H,8,FALSE))</f>
        <v>0</v>
      </c>
      <c r="P273" s="46">
        <f t="shared" ca="1" si="13"/>
        <v>0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input_settle_595105!A$2</f>
        <v>595105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IFERROR(VLOOKUP(B274,input_settle_595105!L:R,7,FALSE),VLOOKUP(tables_settle_595105!C274,input_settle_595105!A:H,8,FALSE))</f>
        <v>970000</v>
      </c>
      <c r="P274" s="46">
        <f t="shared" ca="1" si="13"/>
        <v>6.6666666666666671E-3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input_settle_595105!A$2</f>
        <v>595105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IFERROR(VLOOKUP(B275,input_settle_595105!L:R,7,FALSE),VLOOKUP(tables_settle_595105!C275,input_settle_595105!A:H,8,FALSE))</f>
        <v>970000</v>
      </c>
      <c r="P275" s="46">
        <f t="shared" ca="1" si="13"/>
        <v>6.6666666666666671E-3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input_settle_595105!A$2</f>
        <v>595105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IFERROR(VLOOKUP(B276,input_settle_595105!L:R,7,FALSE),VLOOKUP(tables_settle_595105!C276,input_settle_595105!A:H,8,FALSE))</f>
        <v>970000</v>
      </c>
      <c r="P276" s="46">
        <f t="shared" ca="1" si="13"/>
        <v>6.6666666666666671E-3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input_settle_595105!A$2</f>
        <v>595105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IFERROR(VLOOKUP(B277,input_settle_595105!L:R,7,FALSE),VLOOKUP(tables_settle_595105!C277,input_settle_595105!A:H,8,FALSE))</f>
        <v>970000</v>
      </c>
      <c r="P277" s="46">
        <f t="shared" ca="1" si="13"/>
        <v>6.6666666666666671E-3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input_settle_595105!A$2</f>
        <v>595105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IFERROR(VLOOKUP(B278,input_settle_595105!L:R,7,FALSE),VLOOKUP(tables_settle_595105!C278,input_settle_595105!A:H,8,FALSE))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input_settle_595105!A$2</f>
        <v>595105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IFERROR(VLOOKUP(B279,input_settle_595105!L:R,7,FALSE),VLOOKUP(tables_settle_595105!C279,input_settle_595105!A:H,8,FALSE))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input_settle_595105!A$2</f>
        <v>595105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IFERROR(VLOOKUP(B280,input_settle_595105!L:R,7,FALSE),VLOOKUP(tables_settle_595105!C280,input_settle_595105!A:H,8,FALSE))</f>
        <v>0</v>
      </c>
      <c r="P280" s="46">
        <f t="shared" ca="1" si="13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input_settle_595105!A$2</f>
        <v>595105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IFERROR(VLOOKUP(B281,input_settle_595105!L:R,7,FALSE),VLOOKUP(tables_settle_595105!C281,input_settle_595105!A:H,8,FALSE))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input_settle_595105!A$2</f>
        <v>595105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IFERROR(VLOOKUP(B282,input_settle_595105!L:R,7,FALSE),VLOOKUP(tables_settle_595105!C282,input_settle_595105!A:H,8,FALSE))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input_settle_595105!A$2</f>
        <v>595105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IFERROR(VLOOKUP(B283,input_settle_595105!L:R,7,FALSE),VLOOKUP(tables_settle_595105!C283,input_settle_595105!A:H,8,FALSE))</f>
        <v>0</v>
      </c>
      <c r="P283" s="46">
        <f t="shared" ca="1" si="13"/>
        <v>0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input_settle_595105!A$2</f>
        <v>595105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IFERROR(VLOOKUP(B284,input_settle_595105!L:R,7,FALSE),VLOOKUP(tables_settle_595105!C284,input_settle_595105!A:H,8,FALSE))</f>
        <v>1940000</v>
      </c>
      <c r="P284" s="46">
        <f t="shared" ca="1" si="13"/>
        <v>1.3333333333333334E-2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input_settle_595105!A$2</f>
        <v>595105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IFERROR(VLOOKUP(B285,input_settle_595105!L:R,7,FALSE),VLOOKUP(tables_settle_595105!C285,input_settle_595105!A:H,8,FALSE))</f>
        <v>1940000</v>
      </c>
      <c r="P285" s="46">
        <f t="shared" ca="1" si="13"/>
        <v>1.3333333333333334E-2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input_settle_595105!A$2</f>
        <v>595105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IFERROR(VLOOKUP(B286,input_settle_595105!L:R,7,FALSE),VLOOKUP(tables_settle_595105!C286,input_settle_595105!A:H,8,FALSE))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input_settle_595105!A$2</f>
        <v>595105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IFERROR(VLOOKUP(B287,input_settle_595105!L:R,7,FALSE),VLOOKUP(tables_settle_595105!C287,input_settle_595105!A:H,8,FALSE))</f>
        <v>0</v>
      </c>
      <c r="P287" s="46">
        <f t="shared" ca="1" si="13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input_settle_595105!A$2</f>
        <v>595105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IFERROR(VLOOKUP(B288,input_settle_595105!L:R,7,FALSE),VLOOKUP(tables_settle_595105!C288,input_settle_595105!A:H,8,FALSE))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input_settle_595105!A$2</f>
        <v>595105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IFERROR(VLOOKUP(B289,input_settle_595105!L:R,7,FALSE),VLOOKUP(tables_settle_595105!C289,input_settle_595105!A:H,8,FALSE))</f>
        <v>0</v>
      </c>
      <c r="P289" s="46">
        <f t="shared" ca="1" si="13"/>
        <v>0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input_settle_595105!A$2</f>
        <v>595105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IFERROR(VLOOKUP(B290,input_settle_595105!L:R,7,FALSE),VLOOKUP(tables_settle_595105!C290,input_settle_595105!A:H,8,FALSE))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input_settle_595105!A$2</f>
        <v>595105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IFERROR(VLOOKUP(B291,input_settle_595105!L:R,7,FALSE),VLOOKUP(tables_settle_595105!C291,input_settle_595105!A:H,8,FALSE))</f>
        <v>0</v>
      </c>
      <c r="P291" s="46">
        <f t="shared" ca="1" si="13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input_settle_595105!A$2</f>
        <v>595105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IFERROR(VLOOKUP(B292,input_settle_595105!L:R,7,FALSE),VLOOKUP(tables_settle_595105!C292,input_settle_595105!A:H,8,FALSE))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input_settle_595105!A$2</f>
        <v>595105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IFERROR(VLOOKUP(B293,input_settle_595105!L:R,7,FALSE),VLOOKUP(tables_settle_595105!C293,input_settle_595105!A:H,8,FALSE))</f>
        <v>0</v>
      </c>
      <c r="P293" s="46">
        <f t="shared" ca="1" si="13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input_settle_595105!A$2</f>
        <v>595105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IFERROR(VLOOKUP(B294,input_settle_595105!L:R,7,FALSE),VLOOKUP(tables_settle_595105!C294,input_settle_595105!A:H,8,FALSE))</f>
        <v>1940000</v>
      </c>
      <c r="P294" s="46">
        <f t="shared" ca="1" si="13"/>
        <v>1.3333333333333334E-2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input_settle_595105!A$2</f>
        <v>595105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IFERROR(VLOOKUP(B295,input_settle_595105!L:R,7,FALSE),VLOOKUP(tables_settle_595105!C295,input_settle_595105!A:H,8,FALSE))</f>
        <v>1940000</v>
      </c>
      <c r="P295" s="46">
        <f t="shared" ca="1" si="13"/>
        <v>1.3333333333333334E-2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input_settle_595105!A$2</f>
        <v>595105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IFERROR(VLOOKUP(B296,input_settle_595105!L:R,7,FALSE),VLOOKUP(tables_settle_595105!C296,input_settle_595105!A:H,8,FALSE))</f>
        <v>1940000</v>
      </c>
      <c r="P296" s="46">
        <f t="shared" ca="1" si="13"/>
        <v>1.3333333333333334E-2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input_settle_595105!A$2</f>
        <v>595105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IFERROR(VLOOKUP(B297,input_settle_595105!L:R,7,FALSE),VLOOKUP(tables_settle_595105!C297,input_settle_595105!A:H,8,FALSE))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input_settle_595105!A$2</f>
        <v>595105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IFERROR(VLOOKUP(B298,input_settle_595105!L:R,7,FALSE),VLOOKUP(tables_settle_595105!C298,input_settle_595105!A:H,8,FALSE))</f>
        <v>0</v>
      </c>
      <c r="P298" s="46">
        <f t="shared" ca="1" si="13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input_settle_595105!A$2</f>
        <v>595105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IFERROR(VLOOKUP(B299,input_settle_595105!L:R,7,FALSE),VLOOKUP(tables_settle_595105!C299,input_settle_595105!A:H,8,FALSE))</f>
        <v>1940000</v>
      </c>
      <c r="P299" s="46">
        <f t="shared" ca="1" si="13"/>
        <v>1.3333333333333334E-2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input_settle_595105!A$2</f>
        <v>595105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IFERROR(VLOOKUP(B300,input_settle_595105!L:R,7,FALSE),VLOOKUP(tables_settle_595105!C300,input_settle_595105!A:H,8,FALSE))</f>
        <v>1940000</v>
      </c>
      <c r="P300" s="46">
        <f t="shared" ca="1" si="13"/>
        <v>1.3333333333333334E-2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input_settle_595105!A$2</f>
        <v>595105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IFERROR(VLOOKUP(B301,input_settle_595105!L:R,7,FALSE),VLOOKUP(tables_settle_595105!C301,input_settle_595105!A:H,8,FALSE))</f>
        <v>1940000</v>
      </c>
      <c r="P301" s="46">
        <f t="shared" ca="1" si="13"/>
        <v>1.3333333333333334E-2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input_settle_595105!A$2</f>
        <v>595105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IFERROR(VLOOKUP(B302,input_settle_595105!L:R,7,FALSE),VLOOKUP(tables_settle_595105!C302,input_settle_595105!A:H,8,FALSE))</f>
        <v>1940000</v>
      </c>
      <c r="P302" s="46">
        <f t="shared" ca="1" si="13"/>
        <v>1.3333333333333334E-2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input_settle_595105!A$2</f>
        <v>595105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IFERROR(VLOOKUP(B303,input_settle_595105!L:R,7,FALSE),VLOOKUP(tables_settle_595105!C303,input_settle_595105!A:H,8,FALSE))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input_settle_595105!A$2</f>
        <v>595105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IFERROR(VLOOKUP(B304,input_settle_595105!L:R,7,FALSE),VLOOKUP(tables_settle_595105!C304,input_settle_595105!A:H,8,FALSE))</f>
        <v>0</v>
      </c>
      <c r="P304" s="46">
        <f t="shared" ca="1" si="13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input_settle_595105!A$2</f>
        <v>595105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IFERROR(VLOOKUP(B305,input_settle_595105!L:R,7,FALSE),VLOOKUP(tables_settle_595105!C305,input_settle_595105!A:H,8,FALSE))</f>
        <v>1940000</v>
      </c>
      <c r="P305" s="46">
        <f t="shared" ca="1" si="13"/>
        <v>1.3333333333333334E-2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input_settle_595105!A$2</f>
        <v>595105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IFERROR(VLOOKUP(B306,input_settle_595105!L:R,7,FALSE),VLOOKUP(tables_settle_595105!C306,input_settle_595105!A:H,8,FALSE))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input_settle_595105!A$2</f>
        <v>595105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IFERROR(VLOOKUP(B307,input_settle_595105!L:R,7,FALSE),VLOOKUP(tables_settle_595105!C307,input_settle_595105!A:H,8,FALSE))</f>
        <v>0</v>
      </c>
      <c r="P307" s="46">
        <f t="shared" ca="1" si="13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input_settle_595105!A$2</f>
        <v>595105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IFERROR(VLOOKUP(B308,input_settle_595105!L:R,7,FALSE),VLOOKUP(tables_settle_595105!C308,input_settle_595105!A:H,8,FALSE))</f>
        <v>1940000</v>
      </c>
      <c r="P308" s="46">
        <f t="shared" ca="1" si="13"/>
        <v>1.3333333333333334E-2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input_settle_595105!A$2</f>
        <v>595105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IFERROR(VLOOKUP(B309,input_settle_595105!L:R,7,FALSE),VLOOKUP(tables_settle_595105!C309,input_settle_595105!A:H,8,FALSE))</f>
        <v>1940000</v>
      </c>
      <c r="P309" s="46">
        <f t="shared" ca="1" si="13"/>
        <v>1.3333333333333334E-2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input_settle_595105!A$2</f>
        <v>595105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IFERROR(VLOOKUP(B310,input_settle_595105!L:R,7,FALSE),VLOOKUP(tables_settle_595105!C310,input_settle_595105!A:H,8,FALSE))</f>
        <v>1940000</v>
      </c>
      <c r="P310" s="46">
        <f t="shared" ca="1" si="13"/>
        <v>1.3333333333333334E-2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input_settle_595105!A$2</f>
        <v>595105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IFERROR(VLOOKUP(B311,input_settle_595105!L:R,7,FALSE),VLOOKUP(tables_settle_595105!C311,input_settle_595105!A:H,8,FALSE))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input_settle_595105!A$2</f>
        <v>595105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IFERROR(VLOOKUP(B312,input_settle_595105!L:R,7,FALSE),VLOOKUP(tables_settle_595105!C312,input_settle_595105!A:H,8,FALSE))</f>
        <v>0</v>
      </c>
      <c r="P312" s="46">
        <f t="shared" ca="1" si="13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input_settle_595105!A$2</f>
        <v>595105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IFERROR(VLOOKUP(B313,input_settle_595105!L:R,7,FALSE),VLOOKUP(tables_settle_595105!C313,input_settle_595105!A:H,8,FALSE))</f>
        <v>1940000</v>
      </c>
      <c r="P313" s="46">
        <f t="shared" ca="1" si="13"/>
        <v>1.3333333333333334E-2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input_settle_595105!A$2</f>
        <v>595105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IFERROR(VLOOKUP(B314,input_settle_595105!L:R,7,FALSE),VLOOKUP(tables_settle_595105!C314,input_settle_595105!A:H,8,FALSE))</f>
        <v>1940000</v>
      </c>
      <c r="P314" s="46">
        <f t="shared" ca="1" si="13"/>
        <v>1.3333333333333334E-2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input_settle_595105!A$2</f>
        <v>595105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IFERROR(VLOOKUP(B315,input_settle_595105!L:R,7,FALSE),VLOOKUP(tables_settle_595105!C315,input_settle_595105!A:H,8,FALSE))</f>
        <v>1940000</v>
      </c>
      <c r="P315" s="46">
        <f t="shared" ca="1" si="13"/>
        <v>1.3333333333333334E-2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input_settle_595105!A$2</f>
        <v>595105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IFERROR(VLOOKUP(B316,input_settle_595105!L:R,7,FALSE),VLOOKUP(tables_settle_595105!C316,input_settle_595105!A:H,8,FALSE))</f>
        <v>1940000</v>
      </c>
      <c r="P316" s="46">
        <f t="shared" ca="1" si="13"/>
        <v>1.3333333333333334E-2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input_settle_595105!A$2</f>
        <v>595105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IFERROR(VLOOKUP(B317,input_settle_595105!L:R,7,FALSE),VLOOKUP(tables_settle_595105!C317,input_settle_595105!A:H,8,FALSE))</f>
        <v>1940000</v>
      </c>
      <c r="P317" s="46">
        <f t="shared" ca="1" si="13"/>
        <v>1.3333333333333334E-2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input_settle_595105!A$2</f>
        <v>595105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IFERROR(VLOOKUP(B318,input_settle_595105!L:R,7,FALSE),VLOOKUP(tables_settle_595105!C318,input_settle_595105!A:H,8,FALSE))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input_settle_595105!A$2</f>
        <v>595105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IFERROR(VLOOKUP(B319,input_settle_595105!L:R,7,FALSE),VLOOKUP(tables_settle_595105!C319,input_settle_595105!A:H,8,FALSE))</f>
        <v>0</v>
      </c>
      <c r="P319" s="46">
        <f t="shared" ca="1" si="13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input_settle_595105!A$2</f>
        <v>595105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IFERROR(VLOOKUP(B320,input_settle_595105!L:R,7,FALSE),VLOOKUP(tables_settle_595105!C320,input_settle_595105!A:H,8,FALSE))</f>
        <v>1940000</v>
      </c>
      <c r="P320" s="46">
        <f t="shared" ca="1" si="13"/>
        <v>1.3333333333333334E-2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input_settle_595105!A$2</f>
        <v>595105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IFERROR(VLOOKUP(B321,input_settle_595105!L:R,7,FALSE),VLOOKUP(tables_settle_595105!C321,input_settle_595105!A:H,8,FALSE))</f>
        <v>1940000</v>
      </c>
      <c r="P321" s="46">
        <f t="shared" ca="1" si="13"/>
        <v>1.3333333333333334E-2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input_settle_595105!A$2</f>
        <v>595105</v>
      </c>
      <c r="B322" s="5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IFERROR(VLOOKUP(B322,input_settle_595105!L:R,7,FALSE),VLOOKUP(tables_settle_595105!C322,input_settle_595105!A:H,8,FALSE))</f>
        <v>1940000</v>
      </c>
      <c r="P322" s="46">
        <f t="shared" ref="P322:P346" ca="1" si="16">O322/SUM(O:O)</f>
        <v>1.3333333333333334E-2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input_settle_595105!A$2</f>
        <v>595105</v>
      </c>
      <c r="B323" s="5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IFERROR(VLOOKUP(B323,input_settle_595105!L:R,7,FALSE),VLOOKUP(tables_settle_595105!C323,input_settle_595105!A:H,8,FALSE))</f>
        <v>1940000</v>
      </c>
      <c r="P323" s="46">
        <f t="shared" ca="1" si="16"/>
        <v>1.3333333333333334E-2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input_settle_595105!A$2</f>
        <v>595105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IFERROR(VLOOKUP(B324,input_settle_595105!L:R,7,FALSE),VLOOKUP(tables_settle_595105!C324,input_settle_595105!A:H,8,FALSE))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input_settle_595105!A$2</f>
        <v>595105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IFERROR(VLOOKUP(B325,input_settle_595105!L:R,7,FALSE),VLOOKUP(tables_settle_595105!C325,input_settle_595105!A:H,8,FALSE))</f>
        <v>0</v>
      </c>
      <c r="P325" s="46">
        <f t="shared" ca="1" si="16"/>
        <v>0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input_settle_595105!A$2</f>
        <v>595105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IFERROR(VLOOKUP(B326,input_settle_595105!L:R,7,FALSE),VLOOKUP(tables_settle_595105!C326,input_settle_595105!A:H,8,FALSE))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input_settle_595105!A$2</f>
        <v>595105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IFERROR(VLOOKUP(B327,input_settle_595105!L:R,7,FALSE),VLOOKUP(tables_settle_595105!C327,input_settle_595105!A:H,8,FALSE))</f>
        <v>0</v>
      </c>
      <c r="P327" s="46">
        <f t="shared" ca="1" si="16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input_settle_595105!A$2</f>
        <v>595105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IFERROR(VLOOKUP(B328,input_settle_595105!L:R,7,FALSE),VLOOKUP(tables_settle_595105!C328,input_settle_595105!A:H,8,FALSE))</f>
        <v>1940000</v>
      </c>
      <c r="P328" s="46">
        <f t="shared" ca="1" si="16"/>
        <v>1.3333333333333334E-2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input_settle_595105!A$2</f>
        <v>595105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IFERROR(VLOOKUP(B329,input_settle_595105!L:R,7,FALSE),VLOOKUP(tables_settle_595105!C329,input_settle_595105!A:H,8,FALSE))</f>
        <v>1940000</v>
      </c>
      <c r="P329" s="46">
        <f t="shared" ca="1" si="16"/>
        <v>1.3333333333333334E-2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input_settle_595105!A$2</f>
        <v>595105</v>
      </c>
      <c r="B330" s="2">
        <v>1157</v>
      </c>
      <c r="C330" s="7" t="str">
        <f t="shared" si="15"/>
        <v>PremiumSS5R5only</v>
      </c>
      <c r="D330" s="95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IFERROR(VLOOKUP(B330,input_settle_595105!L:R,7,FALSE),VLOOKUP(tables_settle_595105!C330,input_settle_595105!A:H,8,FALSE))</f>
        <v>1940000</v>
      </c>
      <c r="P330" s="46">
        <f t="shared" ca="1" si="16"/>
        <v>1.3333333333333334E-2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input_settle_595105!A$2</f>
        <v>595105</v>
      </c>
      <c r="B331" s="60">
        <v>1214</v>
      </c>
      <c r="C331" s="7" t="str">
        <f t="shared" si="15"/>
        <v>PremiumSS5R5only</v>
      </c>
      <c r="D331" s="95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IFERROR(VLOOKUP(B331,input_settle_595105!L:R,7,FALSE),VLOOKUP(tables_settle_595105!C331,input_settle_595105!A:H,8,FALSE))</f>
        <v>1940000</v>
      </c>
      <c r="P331" s="46">
        <f t="shared" ca="1" si="16"/>
        <v>1.3333333333333334E-2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input_settle_595105!A$2</f>
        <v>595105</v>
      </c>
      <c r="B332" s="60">
        <v>1212</v>
      </c>
      <c r="C332" s="7" t="str">
        <f t="shared" si="15"/>
        <v>PremiumSS5R5only</v>
      </c>
      <c r="D332" s="95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IFERROR(VLOOKUP(B332,input_settle_595105!L:R,7,FALSE),VLOOKUP(tables_settle_595105!C332,input_settle_595105!A:H,8,FALSE))</f>
        <v>1940000</v>
      </c>
      <c r="P332" s="46">
        <f t="shared" ca="1" si="16"/>
        <v>1.3333333333333334E-2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input_settle_595105!A$2</f>
        <v>595105</v>
      </c>
      <c r="B333" s="60">
        <v>1208</v>
      </c>
      <c r="C333" s="7" t="str">
        <f t="shared" si="15"/>
        <v>PremiumSS5R5only</v>
      </c>
      <c r="D333" s="95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IFERROR(VLOOKUP(B333,input_settle_595105!L:R,7,FALSE),VLOOKUP(tables_settle_595105!C333,input_settle_595105!A:H,8,FALSE))</f>
        <v>1940000</v>
      </c>
      <c r="P333" s="46">
        <f t="shared" ca="1" si="16"/>
        <v>1.3333333333333334E-2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input_settle_595105!A$2</f>
        <v>595105</v>
      </c>
      <c r="B334" s="91">
        <v>1210</v>
      </c>
      <c r="C334" s="7" t="str">
        <f t="shared" si="15"/>
        <v>Premium4R3less</v>
      </c>
      <c r="D334" s="95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IFERROR(VLOOKUP(B334,input_settle_595105!L:R,7,FALSE),VLOOKUP(tables_settle_595105!C334,input_settle_595105!A:H,8,FALSE))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input_settle_595105!A$2</f>
        <v>595105</v>
      </c>
      <c r="B335" s="60">
        <v>1211</v>
      </c>
      <c r="C335" s="7" t="str">
        <f t="shared" si="15"/>
        <v>Premium5R3less</v>
      </c>
      <c r="D335" s="95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IFERROR(VLOOKUP(B335,input_settle_595105!L:R,7,FALSE),VLOOKUP(tables_settle_595105!C335,input_settle_595105!A:H,8,FALSE))</f>
        <v>0</v>
      </c>
      <c r="P335" s="46">
        <f t="shared" ca="1" si="16"/>
        <v>0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input_settle_595105!A$2</f>
        <v>595105</v>
      </c>
      <c r="B336" s="2">
        <v>1224</v>
      </c>
      <c r="C336" s="7" t="str">
        <f t="shared" si="15"/>
        <v>Premium4R3less</v>
      </c>
      <c r="D336" s="95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IFERROR(VLOOKUP(B336,input_settle_595105!L:R,7,FALSE),VLOOKUP(tables_settle_595105!C336,input_settle_595105!A:H,8,FALSE))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input_settle_595105!A$2</f>
        <v>595105</v>
      </c>
      <c r="B337" s="2">
        <v>1225</v>
      </c>
      <c r="C337" s="7" t="str">
        <f t="shared" si="15"/>
        <v>Premium5R3less</v>
      </c>
      <c r="D337" s="95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IFERROR(VLOOKUP(B337,input_settle_595105!L:R,7,FALSE),VLOOKUP(tables_settle_595105!C337,input_settle_595105!A:H,8,FALSE))</f>
        <v>0</v>
      </c>
      <c r="P337" s="46">
        <f t="shared" ca="1" si="16"/>
        <v>0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input_settle_595105!A$2</f>
        <v>595105</v>
      </c>
      <c r="B338" s="2">
        <v>1226</v>
      </c>
      <c r="C338" s="7" t="str">
        <f t="shared" si="15"/>
        <v>PremiumSS5R5only</v>
      </c>
      <c r="D338" s="95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IFERROR(VLOOKUP(B338,input_settle_595105!L:R,7,FALSE),VLOOKUP(tables_settle_595105!C338,input_settle_595105!A:H,8,FALSE))</f>
        <v>1940000</v>
      </c>
      <c r="P338" s="46">
        <f t="shared" ca="1" si="16"/>
        <v>1.3333333333333334E-2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input_settle_595105!A$2</f>
        <v>595105</v>
      </c>
      <c r="B339" s="2">
        <v>1228</v>
      </c>
      <c r="C339" s="7" t="str">
        <f t="shared" si="15"/>
        <v>PremiumSS5R5only</v>
      </c>
      <c r="D339" s="95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IFERROR(VLOOKUP(B339,input_settle_595105!L:R,7,FALSE),VLOOKUP(tables_settle_595105!C339,input_settle_595105!A:H,8,FALSE))</f>
        <v>1940000</v>
      </c>
      <c r="P339" s="46">
        <f t="shared" ca="1" si="16"/>
        <v>1.3333333333333334E-2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input_settle_595105!A$2</f>
        <v>595105</v>
      </c>
      <c r="B340" s="2">
        <v>1230</v>
      </c>
      <c r="C340" s="7" t="str">
        <f t="shared" si="15"/>
        <v>PremiumSS5R5only</v>
      </c>
      <c r="D340" s="95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IFERROR(VLOOKUP(B340,input_settle_595105!L:R,7,FALSE),VLOOKUP(tables_settle_595105!C340,input_settle_595105!A:H,8,FALSE))</f>
        <v>1940000</v>
      </c>
      <c r="P340" s="46">
        <f t="shared" ca="1" si="16"/>
        <v>1.3333333333333334E-2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input_settle_595105!A$2</f>
        <v>595105</v>
      </c>
      <c r="B341" s="96">
        <v>1244</v>
      </c>
      <c r="C341" s="7" t="str">
        <f t="shared" si="15"/>
        <v>PremiumSS5R5only</v>
      </c>
      <c r="D341" s="95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IFERROR(VLOOKUP(B341,input_settle_595105!L:R,7,FALSE),VLOOKUP(tables_settle_595105!C341,input_settle_595105!A:H,8,FALSE))</f>
        <v>1940000</v>
      </c>
      <c r="P341" s="46">
        <f t="shared" ca="1" si="16"/>
        <v>1.3333333333333334E-2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input_settle_595105!A$2</f>
        <v>595105</v>
      </c>
      <c r="B342" s="96">
        <v>1246</v>
      </c>
      <c r="C342" s="7" t="str">
        <f t="shared" si="15"/>
        <v>PremiumSS5R5only</v>
      </c>
      <c r="D342" s="95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IFERROR(VLOOKUP(B342,input_settle_595105!L:R,7,FALSE),VLOOKUP(tables_settle_595105!C342,input_settle_595105!A:H,8,FALSE))</f>
        <v>1940000</v>
      </c>
      <c r="P342" s="46">
        <f t="shared" ca="1" si="16"/>
        <v>1.3333333333333334E-2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input_settle_595105!A$2</f>
        <v>595105</v>
      </c>
      <c r="B343" s="96">
        <v>1248</v>
      </c>
      <c r="C343" s="7" t="str">
        <f t="shared" si="15"/>
        <v>Premium4R3less</v>
      </c>
      <c r="D343" s="95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IFERROR(VLOOKUP(B343,input_settle_595105!L:R,7,FALSE),VLOOKUP(tables_settle_595105!C343,input_settle_595105!A:H,8,FALSE))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input_settle_595105!A$2</f>
        <v>595105</v>
      </c>
      <c r="B344" s="96">
        <v>1249</v>
      </c>
      <c r="C344" s="7" t="str">
        <f t="shared" si="15"/>
        <v>Premium5R3less</v>
      </c>
      <c r="D344" s="95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IFERROR(VLOOKUP(B344,input_settle_595105!L:R,7,FALSE),VLOOKUP(tables_settle_595105!C344,input_settle_595105!A:H,8,FALSE))</f>
        <v>0</v>
      </c>
      <c r="P344" s="46">
        <f t="shared" ca="1" si="16"/>
        <v>0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input_settle_595105!A$2</f>
        <v>595105</v>
      </c>
      <c r="B345" s="96">
        <v>1250</v>
      </c>
      <c r="C345" s="7" t="str">
        <f t="shared" si="15"/>
        <v>PremiumSS5R5only</v>
      </c>
      <c r="D345" s="95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IFERROR(VLOOKUP(B345,input_settle_595105!L:R,7,FALSE),VLOOKUP(tables_settle_595105!C345,input_settle_595105!A:H,8,FALSE))</f>
        <v>1940000</v>
      </c>
      <c r="P345" s="46">
        <f t="shared" ca="1" si="16"/>
        <v>1.3333333333333334E-2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input_settle_595105!A$2</f>
        <v>595105</v>
      </c>
      <c r="B346" s="1">
        <v>1260</v>
      </c>
      <c r="C346" s="7" t="str">
        <f t="shared" si="15"/>
        <v>PremiumSS5R5only</v>
      </c>
      <c r="D346" s="95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IFERROR(VLOOKUP(B346,input_settle_595105!L:R,7,FALSE),VLOOKUP(tables_settle_595105!C346,input_settle_595105!A:H,8,FALSE))</f>
        <v>1940000</v>
      </c>
      <c r="P346" s="46">
        <f t="shared" ca="1" si="16"/>
        <v>1.3333333333333334E-2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input_settle_595105!A$2</f>
        <v>595105</v>
      </c>
      <c r="B347" s="1">
        <v>1262</v>
      </c>
      <c r="C347" s="7" t="str">
        <f t="shared" si="15"/>
        <v>PremiumSS5R5only</v>
      </c>
      <c r="D347" s="95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IFERROR(VLOOKUP(B347,input_settle_595105!L:R,7,FALSE),VLOOKUP(tables_settle_595105!C347,input_settle_595105!A:H,8,FALSE))</f>
        <v>1940000</v>
      </c>
      <c r="P347" s="46">
        <f ca="1">O347/SUM(O:O)</f>
        <v>1.3333333333333334E-2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input_settle_595105!A$2</f>
        <v>595105</v>
      </c>
      <c r="B348" s="1">
        <v>1264</v>
      </c>
      <c r="C348" s="7" t="str">
        <f t="shared" ref="C348:C355" si="18">D348&amp;J348&amp;E348&amp;F348&amp;G348</f>
        <v>PremiumSS5R5only</v>
      </c>
      <c r="D348" s="95" t="str">
        <f t="shared" ref="D348:D355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IFERROR(VLOOKUP(B348,input_settle_595105!L:R,7,FALSE),VLOOKUP(tables_settle_595105!C348,input_settle_595105!A:H,8,FALSE))</f>
        <v>1940000</v>
      </c>
      <c r="P348" s="46">
        <f t="shared" ref="P348:P355" ca="1" si="20">O348/SUM(O:O)</f>
        <v>1.3333333333333334E-2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input_settle_595105!A$2</f>
        <v>595105</v>
      </c>
      <c r="B349" s="1">
        <v>1266</v>
      </c>
      <c r="C349" s="7" t="str">
        <f t="shared" si="18"/>
        <v>Premium4R3less</v>
      </c>
      <c r="D349" s="95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IFERROR(VLOOKUP(B349,input_settle_595105!L:R,7,FALSE),VLOOKUP(tables_settle_595105!C349,input_settle_595105!A:H,8,FALSE))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input_settle_595105!A$2</f>
        <v>595105</v>
      </c>
      <c r="B350" s="1">
        <v>1267</v>
      </c>
      <c r="C350" s="7" t="str">
        <f t="shared" si="18"/>
        <v>Premium5R3less</v>
      </c>
      <c r="D350" s="95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IFERROR(VLOOKUP(B350,input_settle_595105!L:R,7,FALSE),VLOOKUP(tables_settle_595105!C350,input_settle_595105!A:H,8,FALSE))</f>
        <v>0</v>
      </c>
      <c r="P350" s="46">
        <f t="shared" ca="1" si="20"/>
        <v>0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input_settle_595105!A$2</f>
        <v>595105</v>
      </c>
      <c r="B351" s="99">
        <v>1332</v>
      </c>
      <c r="C351" s="7" t="str">
        <f t="shared" si="18"/>
        <v>PremiumSS5R5only</v>
      </c>
      <c r="D351" s="95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IFERROR(VLOOKUP(B351,input_settle_595105!L:R,7,FALSE),VLOOKUP(tables_settle_595105!C351,input_settle_595105!A:H,8,FALSE))</f>
        <v>1940000</v>
      </c>
      <c r="P351" s="46">
        <f t="shared" ca="1" si="20"/>
        <v>1.3333333333333334E-2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input_settle_595105!A$2</f>
        <v>595105</v>
      </c>
      <c r="B352" s="99">
        <v>1336</v>
      </c>
      <c r="C352" s="7" t="str">
        <f t="shared" si="18"/>
        <v>PremiumSS5R5only</v>
      </c>
      <c r="D352" s="95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IFERROR(VLOOKUP(B352,input_settle_595105!L:R,7,FALSE),VLOOKUP(tables_settle_595105!C352,input_settle_595105!A:H,8,FALSE))</f>
        <v>1940000</v>
      </c>
      <c r="P352" s="46">
        <f t="shared" ca="1" si="20"/>
        <v>1.3333333333333334E-2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input_settle_595105!A$2</f>
        <v>595105</v>
      </c>
      <c r="B353" s="99">
        <v>1338</v>
      </c>
      <c r="C353" s="7" t="str">
        <f t="shared" si="18"/>
        <v>PremiumSS5R5only</v>
      </c>
      <c r="D353" s="95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IFERROR(VLOOKUP(B353,input_settle_595105!L:R,7,FALSE),VLOOKUP(tables_settle_595105!C353,input_settle_595105!A:H,8,FALSE))</f>
        <v>1940000</v>
      </c>
      <c r="P353" s="46">
        <f t="shared" ca="1" si="20"/>
        <v>1.3333333333333334E-2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input_settle_595105!A$2</f>
        <v>595105</v>
      </c>
      <c r="B354" s="99">
        <v>1334</v>
      </c>
      <c r="C354" s="7" t="str">
        <f t="shared" si="18"/>
        <v>Premium4R3less</v>
      </c>
      <c r="D354" s="95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IFERROR(VLOOKUP(B354,input_settle_595105!L:R,7,FALSE),VLOOKUP(tables_settle_595105!C354,input_settle_595105!A:H,8,FALSE))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input_settle_595105!A$2</f>
        <v>595105</v>
      </c>
      <c r="B355" s="99">
        <v>1335</v>
      </c>
      <c r="C355" s="7" t="str">
        <f t="shared" si="18"/>
        <v>Premium5R3less</v>
      </c>
      <c r="D355" s="95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IFERROR(VLOOKUP(B355,input_settle_595105!L:R,7,FALSE),VLOOKUP(tables_settle_595105!C355,input_settle_595105!A:H,8,FALSE))</f>
        <v>0</v>
      </c>
      <c r="P355" s="46">
        <f t="shared" ca="1" si="20"/>
        <v>0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>
      <c r="A356" s="2" t="str">
        <f ca="1">input_settle_595105!A$2</f>
        <v>595105</v>
      </c>
      <c r="B356" s="5">
        <v>1381</v>
      </c>
      <c r="C356" s="7" t="str">
        <f t="shared" ref="C356" si="21">D356&amp;J356&amp;E356&amp;F356&amp;G356</f>
        <v>Premium4R3less</v>
      </c>
      <c r="D356" s="95" t="str">
        <f t="shared" ref="D356" si="22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IFERROR(VLOOKUP(B356,input_settle_595105!L:R,7,FALSE),VLOOKUP(tables_settle_595105!C356,input_settle_595105!A:H,8,FALSE))</f>
        <v>0</v>
      </c>
      <c r="P356" s="46">
        <f t="shared" ref="P356" ca="1" si="23">O356/SUM(O:O)</f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customFormat="1" ht="21" customHeight="1" x14ac:dyDescent="0.15">
      <c r="A357" s="2" t="str">
        <f ca="1">input_settle_595105!A$2</f>
        <v>595105</v>
      </c>
      <c r="B357" s="5">
        <v>1382</v>
      </c>
      <c r="C357" s="7" t="str">
        <f t="shared" ref="C357:C360" si="24">D357&amp;J357&amp;E357&amp;F357&amp;G357</f>
        <v>Premium5R3less</v>
      </c>
      <c r="D357" s="95" t="str">
        <f t="shared" ref="D357:D360" si="25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IFERROR(VLOOKUP(B357,input_settle_595105!L:R,7,FALSE),VLOOKUP(tables_settle_595105!C357,input_settle_595105!A:H,8,FALSE))</f>
        <v>0</v>
      </c>
      <c r="P357" s="46">
        <f t="shared" ref="P357:P360" ca="1" si="26">O357/SUM(O:O)</f>
        <v>0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customFormat="1" ht="21" customHeight="1" x14ac:dyDescent="0.15">
      <c r="A358" s="2" t="str">
        <f ca="1">input_settle_595105!A$2</f>
        <v>595105</v>
      </c>
      <c r="B358" s="5">
        <v>1383</v>
      </c>
      <c r="C358" s="7" t="str">
        <f t="shared" si="24"/>
        <v>PremiumSS5R5only</v>
      </c>
      <c r="D358" s="95" t="str">
        <f t="shared" si="25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IFERROR(VLOOKUP(B358,input_settle_595105!L:R,7,FALSE),VLOOKUP(tables_settle_595105!C358,input_settle_595105!A:H,8,FALSE))</f>
        <v>1940000</v>
      </c>
      <c r="P358" s="46">
        <f t="shared" ca="1" si="26"/>
        <v>1.3333333333333334E-2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customFormat="1" ht="21" customHeight="1" x14ac:dyDescent="0.15">
      <c r="A359" s="2" t="str">
        <f ca="1">input_settle_595105!A$2</f>
        <v>595105</v>
      </c>
      <c r="B359" s="5">
        <v>1385</v>
      </c>
      <c r="C359" s="7" t="str">
        <f t="shared" si="24"/>
        <v>PremiumSS5R5only</v>
      </c>
      <c r="D359" s="95" t="str">
        <f t="shared" si="25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IFERROR(VLOOKUP(B359,input_settle_595105!L:R,7,FALSE),VLOOKUP(tables_settle_595105!C359,input_settle_595105!A:H,8,FALSE))</f>
        <v>1940000</v>
      </c>
      <c r="P359" s="46">
        <f t="shared" ca="1" si="26"/>
        <v>1.3333333333333334E-2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input_settle_595105!A$2</f>
        <v>595105</v>
      </c>
      <c r="B360" s="5">
        <v>1387</v>
      </c>
      <c r="C360" s="7" t="str">
        <f t="shared" si="24"/>
        <v>PremiumSS5R5only</v>
      </c>
      <c r="D360" s="95" t="str">
        <f t="shared" si="2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IFERROR(VLOOKUP(B360,input_settle_595105!L:R,7,FALSE),VLOOKUP(tables_settle_595105!C360,input_settle_595105!A:H,8,FALSE))</f>
        <v>1940000</v>
      </c>
      <c r="P360" s="46">
        <f t="shared" ca="1" si="26"/>
        <v>1.3333333333333334E-2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</sheetData>
  <autoFilter ref="A1:V36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6"/>
  <sheetViews>
    <sheetView showGridLines="0" workbookViewId="0">
      <pane ySplit="1" topLeftCell="A2" activePane="bottomLeft" state="frozen"/>
      <selection activeCell="M24" sqref="M24"/>
      <selection pane="bottomLeft" activeCell="A2" sqref="A2:XFD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100">
        <v>561102</v>
      </c>
      <c r="B2" s="98" t="str">
        <f>A2&amp;1</f>
        <v>5611021</v>
      </c>
      <c r="C2" s="78" t="s">
        <v>254</v>
      </c>
      <c r="D2" s="78">
        <v>300000</v>
      </c>
      <c r="E2" s="78" t="s">
        <v>255</v>
      </c>
      <c r="F2" s="78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8" t="s">
        <v>252</v>
      </c>
      <c r="O2" s="78" t="s">
        <v>256</v>
      </c>
      <c r="P2" s="78" t="s">
        <v>259</v>
      </c>
      <c r="Q2" s="79" t="s">
        <v>257</v>
      </c>
    </row>
    <row r="3" spans="1:17" ht="22" customHeight="1" x14ac:dyDescent="0.15">
      <c r="A3" s="100">
        <v>561103</v>
      </c>
      <c r="B3" s="98" t="str">
        <f>A3&amp;1</f>
        <v>5611031</v>
      </c>
      <c r="C3" s="2" t="s">
        <v>260</v>
      </c>
      <c r="D3" s="2">
        <v>4</v>
      </c>
      <c r="E3" s="2">
        <v>2</v>
      </c>
      <c r="F3" s="78">
        <v>1</v>
      </c>
      <c r="G3" s="2">
        <v>0</v>
      </c>
      <c r="H3" s="2">
        <v>0</v>
      </c>
      <c r="I3" s="2">
        <v>0</v>
      </c>
      <c r="J3" s="2">
        <v>0</v>
      </c>
      <c r="K3" s="2">
        <v>1</v>
      </c>
      <c r="L3" s="2">
        <v>1</v>
      </c>
      <c r="M3" s="2">
        <v>1</v>
      </c>
      <c r="N3" s="78" t="s">
        <v>258</v>
      </c>
      <c r="O3" s="78" t="s">
        <v>262</v>
      </c>
      <c r="P3" s="78" t="s">
        <v>259</v>
      </c>
      <c r="Q3" s="79" t="s">
        <v>263</v>
      </c>
    </row>
    <row r="4" spans="1:17" ht="21" customHeight="1" x14ac:dyDescent="0.15">
      <c r="A4" s="100">
        <v>561104</v>
      </c>
      <c r="B4" s="98" t="str">
        <f>A4&amp;1</f>
        <v>5611041</v>
      </c>
      <c r="C4" s="2" t="s">
        <v>260</v>
      </c>
      <c r="D4" s="2">
        <v>1</v>
      </c>
      <c r="E4" s="2">
        <v>3</v>
      </c>
      <c r="F4" s="78">
        <v>1</v>
      </c>
      <c r="G4" s="2">
        <v>0</v>
      </c>
      <c r="H4" s="2">
        <v>0</v>
      </c>
      <c r="I4" s="2">
        <v>0</v>
      </c>
      <c r="J4" s="2">
        <v>0</v>
      </c>
      <c r="K4" s="2">
        <v>1</v>
      </c>
      <c r="L4" s="2">
        <v>1</v>
      </c>
      <c r="M4" s="2">
        <v>1</v>
      </c>
      <c r="N4" s="78" t="s">
        <v>258</v>
      </c>
      <c r="O4" s="78" t="s">
        <v>261</v>
      </c>
      <c r="P4" s="78" t="s">
        <v>259</v>
      </c>
      <c r="Q4" s="79" t="s">
        <v>264</v>
      </c>
    </row>
    <row r="5" spans="1:17" customFormat="1" ht="21" customHeight="1" x14ac:dyDescent="0.15"/>
    <row r="6" spans="1:17" customFormat="1" ht="21" customHeight="1" x14ac:dyDescent="0.15"/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input_595101</vt:lpstr>
      <vt:lpstr>tables_595101</vt:lpstr>
      <vt:lpstr>input_595104</vt:lpstr>
      <vt:lpstr>tables_595104</vt:lpstr>
      <vt:lpstr>input_settle_595105</vt:lpstr>
      <vt:lpstr>tables_settle_595105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2017-05-10T07:01:17Z</dcterms:modified>
</cp:coreProperties>
</file>