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460" yWindow="460" windowWidth="25140" windowHeight="15540" tabRatio="943" activeTab="6"/>
  </bookViews>
  <sheets>
    <sheet name="確率の考え方" sheetId="110" r:id="rId1"/>
    <sheet name="Sheet1" sheetId="107" r:id="rId2"/>
    <sheet name="output" sheetId="103" r:id="rId3"/>
    <sheet name="input_384010" sheetId="159" r:id="rId4"/>
    <sheet name="tables_384010" sheetId="160" r:id="rId5"/>
    <sheet name="input_384100" sheetId="153" r:id="rId6"/>
    <sheet name="tables_384100" sheetId="154" r:id="rId7"/>
    <sheet name="tables_settle_384104" sheetId="161" r:id="rId8"/>
    <sheet name="tables_settle_384107" sheetId="156" r:id="rId9"/>
    <sheet name="gacha_bonus_tables" sheetId="98" r:id="rId10"/>
    <sheet name="R6追加前" sheetId="111" r:id="rId11"/>
    <sheet name="R6開放" sheetId="112" r:id="rId12"/>
  </sheets>
  <externalReferences>
    <externalReference r:id="rId13"/>
    <externalReference r:id="rId14"/>
  </externalReferences>
  <definedNames>
    <definedName name="_xlnm._FilterDatabase" localSheetId="9" hidden="1">gacha_bonus_tables!$A$1:$F$1</definedName>
    <definedName name="_xlnm._FilterDatabase" localSheetId="4" hidden="1">tables_384010!$A$1:$V$294</definedName>
    <definedName name="_xlnm._FilterDatabase" localSheetId="6" hidden="1">tables_384100!$A$1:$V$294</definedName>
    <definedName name="_xlnm._FilterDatabase" localSheetId="7" hidden="1">tables_settle_384104!$A$1:$V$257</definedName>
    <definedName name="_xlnm._FilterDatabase" localSheetId="8" hidden="1">tables_settle_384107!$A$1:$V$15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" i="161" l="1"/>
  <c r="P4" i="161"/>
  <c r="P5" i="161"/>
  <c r="P6" i="161"/>
  <c r="P7" i="161"/>
  <c r="P8" i="161"/>
  <c r="P9" i="161"/>
  <c r="P10" i="161"/>
  <c r="P11" i="161"/>
  <c r="P12" i="161"/>
  <c r="P13" i="161"/>
  <c r="P14" i="161"/>
  <c r="P15" i="161"/>
  <c r="P16" i="161"/>
  <c r="P17" i="161"/>
  <c r="P18" i="161"/>
  <c r="P19" i="161"/>
  <c r="P20" i="161"/>
  <c r="P21" i="161"/>
  <c r="P22" i="161"/>
  <c r="P23" i="161"/>
  <c r="P24" i="161"/>
  <c r="P25" i="161"/>
  <c r="P26" i="161"/>
  <c r="P27" i="161"/>
  <c r="P28" i="161"/>
  <c r="P29" i="161"/>
  <c r="P30" i="161"/>
  <c r="P31" i="161"/>
  <c r="P2" i="161"/>
  <c r="D32" i="153"/>
  <c r="N18" i="153"/>
  <c r="N19" i="153"/>
  <c r="N20" i="153"/>
  <c r="N17" i="153"/>
  <c r="N4" i="153"/>
  <c r="N5" i="153"/>
  <c r="N6" i="153"/>
  <c r="N3" i="153"/>
  <c r="N7" i="153"/>
  <c r="N8" i="153"/>
  <c r="N9" i="153"/>
  <c r="N10" i="153"/>
  <c r="N11" i="153"/>
  <c r="N12" i="153"/>
  <c r="N13" i="153"/>
  <c r="N14" i="153"/>
  <c r="N15" i="153"/>
  <c r="N16" i="153"/>
  <c r="I3" i="161"/>
  <c r="E3" i="161"/>
  <c r="E4" i="161"/>
  <c r="E5" i="161"/>
  <c r="I6" i="161"/>
  <c r="E6" i="161"/>
  <c r="I7" i="161"/>
  <c r="E7" i="161"/>
  <c r="E8" i="161"/>
  <c r="E9" i="161"/>
  <c r="I10" i="161"/>
  <c r="E10" i="161"/>
  <c r="I11" i="161"/>
  <c r="E11" i="161"/>
  <c r="E12" i="161"/>
  <c r="E13" i="161"/>
  <c r="E14" i="161"/>
  <c r="E15" i="161"/>
  <c r="E16" i="161"/>
  <c r="E17" i="161"/>
  <c r="E18" i="161"/>
  <c r="E19" i="161"/>
  <c r="I20" i="161"/>
  <c r="E20" i="161"/>
  <c r="I21" i="161"/>
  <c r="E21" i="161"/>
  <c r="I22" i="161"/>
  <c r="E22" i="161"/>
  <c r="I23" i="161"/>
  <c r="E23" i="161"/>
  <c r="I24" i="161"/>
  <c r="E24" i="161"/>
  <c r="E25" i="161"/>
  <c r="E26" i="161"/>
  <c r="I27" i="161"/>
  <c r="E27" i="161"/>
  <c r="I28" i="161"/>
  <c r="E28" i="161"/>
  <c r="I29" i="161"/>
  <c r="E29" i="161"/>
  <c r="E30" i="161"/>
  <c r="E31" i="161"/>
  <c r="I2" i="161"/>
  <c r="E2" i="161"/>
  <c r="C2" i="103"/>
  <c r="E2" i="103"/>
  <c r="F31" i="161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F5" i="153"/>
  <c r="F6" i="153"/>
  <c r="A36" i="153"/>
  <c r="R3" i="153"/>
  <c r="O300" i="154"/>
  <c r="R4" i="153"/>
  <c r="O301" i="154"/>
  <c r="R5" i="153"/>
  <c r="O302" i="154"/>
  <c r="R6" i="153"/>
  <c r="O303" i="154"/>
  <c r="R7" i="153"/>
  <c r="O304" i="154"/>
  <c r="R8" i="153"/>
  <c r="O305" i="154"/>
  <c r="R9" i="153"/>
  <c r="O306" i="154"/>
  <c r="R10" i="153"/>
  <c r="O307" i="154"/>
  <c r="R11" i="153"/>
  <c r="O308" i="154"/>
  <c r="R12" i="153"/>
  <c r="O309" i="154"/>
  <c r="R13" i="153"/>
  <c r="O310" i="154"/>
  <c r="R14" i="153"/>
  <c r="O311" i="154"/>
  <c r="R15" i="153"/>
  <c r="O312" i="154"/>
  <c r="R16" i="153"/>
  <c r="O313" i="154"/>
  <c r="R17" i="153"/>
  <c r="O314" i="154"/>
  <c r="R18" i="153"/>
  <c r="O315" i="154"/>
  <c r="R19" i="153"/>
  <c r="O316" i="154"/>
  <c r="R20" i="153"/>
  <c r="O317" i="154"/>
  <c r="B12" i="153"/>
  <c r="M20" i="153"/>
  <c r="M19" i="153"/>
  <c r="M18" i="153"/>
  <c r="M17" i="153"/>
  <c r="M16" i="153"/>
  <c r="M15" i="153"/>
  <c r="M14" i="153"/>
  <c r="M13" i="153"/>
  <c r="M12" i="153"/>
  <c r="M11" i="153"/>
  <c r="M10" i="153"/>
  <c r="M9" i="153"/>
  <c r="M8" i="153"/>
  <c r="M7" i="153"/>
  <c r="M6" i="153"/>
  <c r="M5" i="153"/>
  <c r="M4" i="153"/>
  <c r="M3" i="153"/>
  <c r="A2" i="153"/>
  <c r="A300" i="154"/>
  <c r="A301" i="154"/>
  <c r="A302" i="154"/>
  <c r="A303" i="154"/>
  <c r="A304" i="154"/>
  <c r="A305" i="154"/>
  <c r="A306" i="154"/>
  <c r="A307" i="154"/>
  <c r="A308" i="154"/>
  <c r="A309" i="154"/>
  <c r="A310" i="154"/>
  <c r="A311" i="154"/>
  <c r="A312" i="154"/>
  <c r="A313" i="154"/>
  <c r="A314" i="154"/>
  <c r="A315" i="154"/>
  <c r="A316" i="154"/>
  <c r="A317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B10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E23" i="153"/>
  <c r="B23" i="153"/>
  <c r="E5" i="153"/>
  <c r="E28" i="153"/>
  <c r="B28" i="153"/>
  <c r="E29" i="153"/>
  <c r="B29" i="153"/>
  <c r="B21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B22" i="153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P317" i="154"/>
  <c r="N317" i="154"/>
  <c r="M317" i="154"/>
  <c r="L317" i="154"/>
  <c r="K317" i="154"/>
  <c r="H317" i="154"/>
  <c r="A2" i="159"/>
  <c r="P316" i="154"/>
  <c r="N316" i="154"/>
  <c r="M316" i="154"/>
  <c r="L316" i="154"/>
  <c r="K316" i="154"/>
  <c r="H316" i="154"/>
  <c r="P315" i="154"/>
  <c r="N315" i="154"/>
  <c r="M315" i="154"/>
  <c r="L315" i="154"/>
  <c r="K315" i="154"/>
  <c r="H315" i="154"/>
  <c r="P314" i="154"/>
  <c r="N314" i="154"/>
  <c r="M314" i="154"/>
  <c r="L314" i="154"/>
  <c r="K314" i="154"/>
  <c r="H314" i="154"/>
  <c r="P313" i="154"/>
  <c r="N313" i="154"/>
  <c r="M313" i="154"/>
  <c r="L313" i="154"/>
  <c r="K313" i="154"/>
  <c r="H313" i="154"/>
  <c r="P312" i="154"/>
  <c r="N312" i="154"/>
  <c r="M312" i="154"/>
  <c r="L312" i="154"/>
  <c r="K312" i="154"/>
  <c r="H312" i="154"/>
  <c r="P311" i="154"/>
  <c r="N311" i="154"/>
  <c r="M311" i="154"/>
  <c r="L311" i="154"/>
  <c r="K311" i="154"/>
  <c r="H311" i="154"/>
  <c r="P310" i="154"/>
  <c r="N310" i="154"/>
  <c r="M310" i="154"/>
  <c r="L310" i="154"/>
  <c r="K310" i="154"/>
  <c r="H310" i="154"/>
  <c r="P309" i="154"/>
  <c r="N309" i="154"/>
  <c r="M309" i="154"/>
  <c r="L309" i="154"/>
  <c r="K309" i="154"/>
  <c r="H309" i="154"/>
  <c r="P308" i="154"/>
  <c r="N308" i="154"/>
  <c r="M308" i="154"/>
  <c r="L308" i="154"/>
  <c r="K308" i="154"/>
  <c r="H308" i="154"/>
  <c r="P307" i="154"/>
  <c r="N307" i="154"/>
  <c r="M307" i="154"/>
  <c r="L307" i="154"/>
  <c r="K307" i="154"/>
  <c r="H307" i="154"/>
  <c r="P306" i="154"/>
  <c r="N306" i="154"/>
  <c r="M306" i="154"/>
  <c r="L306" i="154"/>
  <c r="K306" i="154"/>
  <c r="H306" i="154"/>
  <c r="P305" i="154"/>
  <c r="N305" i="154"/>
  <c r="M305" i="154"/>
  <c r="L305" i="154"/>
  <c r="K305" i="154"/>
  <c r="H305" i="154"/>
  <c r="P304" i="154"/>
  <c r="N304" i="154"/>
  <c r="M304" i="154"/>
  <c r="L304" i="154"/>
  <c r="K304" i="154"/>
  <c r="H304" i="154"/>
  <c r="P303" i="154"/>
  <c r="N303" i="154"/>
  <c r="M303" i="154"/>
  <c r="L303" i="154"/>
  <c r="K303" i="154"/>
  <c r="H303" i="154"/>
  <c r="P302" i="154"/>
  <c r="N302" i="154"/>
  <c r="M302" i="154"/>
  <c r="L302" i="154"/>
  <c r="K302" i="154"/>
  <c r="H302" i="154"/>
  <c r="P301" i="154"/>
  <c r="N301" i="154"/>
  <c r="M301" i="154"/>
  <c r="L301" i="154"/>
  <c r="K301" i="154"/>
  <c r="H301" i="154"/>
  <c r="P300" i="154"/>
  <c r="N300" i="154"/>
  <c r="M300" i="154"/>
  <c r="L300" i="154"/>
  <c r="K300" i="154"/>
  <c r="H300" i="154"/>
  <c r="A314" i="160"/>
  <c r="I314" i="160"/>
  <c r="D314" i="160"/>
  <c r="J314" i="160"/>
  <c r="E314" i="160"/>
  <c r="F314" i="160"/>
  <c r="C314" i="160"/>
  <c r="H314" i="160"/>
  <c r="K314" i="160"/>
  <c r="L314" i="160"/>
  <c r="M314" i="160"/>
  <c r="N314" i="160"/>
  <c r="I315" i="160"/>
  <c r="D315" i="160"/>
  <c r="J315" i="160"/>
  <c r="E315" i="160"/>
  <c r="F315" i="160"/>
  <c r="C315" i="160"/>
  <c r="I316" i="160"/>
  <c r="D316" i="160"/>
  <c r="J316" i="160"/>
  <c r="E316" i="160"/>
  <c r="F316" i="160"/>
  <c r="C316" i="160"/>
  <c r="I317" i="160"/>
  <c r="D317" i="160"/>
  <c r="J317" i="160"/>
  <c r="E317" i="160"/>
  <c r="F317" i="160"/>
  <c r="C317" i="160"/>
  <c r="I313" i="160"/>
  <c r="D313" i="160"/>
  <c r="J313" i="160"/>
  <c r="E313" i="160"/>
  <c r="F313" i="160"/>
  <c r="C313" i="160"/>
  <c r="I2" i="160"/>
  <c r="D2" i="160"/>
  <c r="J2" i="160"/>
  <c r="E2" i="160"/>
  <c r="C2" i="160"/>
  <c r="I3" i="160"/>
  <c r="D3" i="160"/>
  <c r="J3" i="160"/>
  <c r="E3" i="160"/>
  <c r="C3" i="160"/>
  <c r="I4" i="160"/>
  <c r="D4" i="160"/>
  <c r="J4" i="160"/>
  <c r="E4" i="160"/>
  <c r="C4" i="160"/>
  <c r="I5" i="160"/>
  <c r="D5" i="160"/>
  <c r="J5" i="160"/>
  <c r="E5" i="160"/>
  <c r="C5" i="160"/>
  <c r="I6" i="160"/>
  <c r="D6" i="160"/>
  <c r="J6" i="160"/>
  <c r="E6" i="160"/>
  <c r="C6" i="160"/>
  <c r="I7" i="160"/>
  <c r="D7" i="160"/>
  <c r="J7" i="160"/>
  <c r="E7" i="160"/>
  <c r="C7" i="160"/>
  <c r="I8" i="160"/>
  <c r="D8" i="160"/>
  <c r="J8" i="160"/>
  <c r="E8" i="160"/>
  <c r="C8" i="160"/>
  <c r="I9" i="160"/>
  <c r="D9" i="160"/>
  <c r="J9" i="160"/>
  <c r="E9" i="160"/>
  <c r="C9" i="160"/>
  <c r="I10" i="160"/>
  <c r="D10" i="160"/>
  <c r="J10" i="160"/>
  <c r="E10" i="160"/>
  <c r="C10" i="160"/>
  <c r="I11" i="160"/>
  <c r="D11" i="160"/>
  <c r="J11" i="160"/>
  <c r="E11" i="160"/>
  <c r="C11" i="160"/>
  <c r="I12" i="160"/>
  <c r="D12" i="160"/>
  <c r="J12" i="160"/>
  <c r="E12" i="160"/>
  <c r="C12" i="160"/>
  <c r="I13" i="160"/>
  <c r="D13" i="160"/>
  <c r="J13" i="160"/>
  <c r="E13" i="160"/>
  <c r="C13" i="160"/>
  <c r="I14" i="160"/>
  <c r="D14" i="160"/>
  <c r="J14" i="160"/>
  <c r="E14" i="160"/>
  <c r="C14" i="160"/>
  <c r="I15" i="160"/>
  <c r="D15" i="160"/>
  <c r="J15" i="160"/>
  <c r="E15" i="160"/>
  <c r="C15" i="160"/>
  <c r="I16" i="160"/>
  <c r="D16" i="160"/>
  <c r="J16" i="160"/>
  <c r="E16" i="160"/>
  <c r="C16" i="160"/>
  <c r="I17" i="160"/>
  <c r="D17" i="160"/>
  <c r="J17" i="160"/>
  <c r="E17" i="160"/>
  <c r="C17" i="160"/>
  <c r="I18" i="160"/>
  <c r="D18" i="160"/>
  <c r="J18" i="160"/>
  <c r="E18" i="160"/>
  <c r="C18" i="160"/>
  <c r="I19" i="160"/>
  <c r="D19" i="160"/>
  <c r="J19" i="160"/>
  <c r="E19" i="160"/>
  <c r="C19" i="160"/>
  <c r="I20" i="160"/>
  <c r="D20" i="160"/>
  <c r="J20" i="160"/>
  <c r="E20" i="160"/>
  <c r="C20" i="160"/>
  <c r="I21" i="160"/>
  <c r="D21" i="160"/>
  <c r="J21" i="160"/>
  <c r="E21" i="160"/>
  <c r="C21" i="160"/>
  <c r="I22" i="160"/>
  <c r="D22" i="160"/>
  <c r="J22" i="160"/>
  <c r="E22" i="160"/>
  <c r="C22" i="160"/>
  <c r="I23" i="160"/>
  <c r="D23" i="160"/>
  <c r="J23" i="160"/>
  <c r="E23" i="160"/>
  <c r="C23" i="160"/>
  <c r="I24" i="160"/>
  <c r="D24" i="160"/>
  <c r="J24" i="160"/>
  <c r="E24" i="160"/>
  <c r="C24" i="160"/>
  <c r="I25" i="160"/>
  <c r="D25" i="160"/>
  <c r="J25" i="160"/>
  <c r="E25" i="160"/>
  <c r="C25" i="160"/>
  <c r="I26" i="160"/>
  <c r="D26" i="160"/>
  <c r="J26" i="160"/>
  <c r="E26" i="160"/>
  <c r="C26" i="160"/>
  <c r="I27" i="160"/>
  <c r="D27" i="160"/>
  <c r="J27" i="160"/>
  <c r="E27" i="160"/>
  <c r="C27" i="160"/>
  <c r="I28" i="160"/>
  <c r="D28" i="160"/>
  <c r="J28" i="160"/>
  <c r="E28" i="160"/>
  <c r="C28" i="160"/>
  <c r="I29" i="160"/>
  <c r="D29" i="160"/>
  <c r="J29" i="160"/>
  <c r="E29" i="160"/>
  <c r="C29" i="160"/>
  <c r="I30" i="160"/>
  <c r="D30" i="160"/>
  <c r="J30" i="160"/>
  <c r="E30" i="160"/>
  <c r="C30" i="160"/>
  <c r="I31" i="160"/>
  <c r="D31" i="160"/>
  <c r="J31" i="160"/>
  <c r="E31" i="160"/>
  <c r="C31" i="160"/>
  <c r="I32" i="160"/>
  <c r="D32" i="160"/>
  <c r="J32" i="160"/>
  <c r="E32" i="160"/>
  <c r="C32" i="160"/>
  <c r="I33" i="160"/>
  <c r="D33" i="160"/>
  <c r="J33" i="160"/>
  <c r="E33" i="160"/>
  <c r="C33" i="160"/>
  <c r="I34" i="160"/>
  <c r="D34" i="160"/>
  <c r="J34" i="160"/>
  <c r="E34" i="160"/>
  <c r="C34" i="160"/>
  <c r="I35" i="160"/>
  <c r="D35" i="160"/>
  <c r="J35" i="160"/>
  <c r="E35" i="160"/>
  <c r="C35" i="160"/>
  <c r="I36" i="160"/>
  <c r="D36" i="160"/>
  <c r="J36" i="160"/>
  <c r="E36" i="160"/>
  <c r="C36" i="160"/>
  <c r="I37" i="160"/>
  <c r="D37" i="160"/>
  <c r="J37" i="160"/>
  <c r="E37" i="160"/>
  <c r="C37" i="160"/>
  <c r="I38" i="160"/>
  <c r="D38" i="160"/>
  <c r="J38" i="160"/>
  <c r="E38" i="160"/>
  <c r="C38" i="160"/>
  <c r="I39" i="160"/>
  <c r="D39" i="160"/>
  <c r="J39" i="160"/>
  <c r="E39" i="160"/>
  <c r="C39" i="160"/>
  <c r="I40" i="160"/>
  <c r="D40" i="160"/>
  <c r="J40" i="160"/>
  <c r="E40" i="160"/>
  <c r="C40" i="160"/>
  <c r="I41" i="160"/>
  <c r="D41" i="160"/>
  <c r="J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D215" i="160"/>
  <c r="J215" i="160"/>
  <c r="E215" i="160"/>
  <c r="C215" i="160"/>
  <c r="I216" i="160"/>
  <c r="D216" i="160"/>
  <c r="J216" i="160"/>
  <c r="E216" i="160"/>
  <c r="C216" i="160"/>
  <c r="I217" i="160"/>
  <c r="D217" i="160"/>
  <c r="J217" i="160"/>
  <c r="E217" i="160"/>
  <c r="C217" i="160"/>
  <c r="I218" i="160"/>
  <c r="D218" i="160"/>
  <c r="J218" i="160"/>
  <c r="E218" i="160"/>
  <c r="C218" i="160"/>
  <c r="I219" i="160"/>
  <c r="D219" i="160"/>
  <c r="J219" i="160"/>
  <c r="E219" i="160"/>
  <c r="C219" i="160"/>
  <c r="I220" i="160"/>
  <c r="D220" i="160"/>
  <c r="J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I300" i="160"/>
  <c r="D300" i="160"/>
  <c r="J300" i="160"/>
  <c r="E300" i="160"/>
  <c r="C300" i="160"/>
  <c r="I301" i="160"/>
  <c r="D301" i="160"/>
  <c r="J301" i="160"/>
  <c r="E301" i="160"/>
  <c r="C301" i="160"/>
  <c r="I302" i="160"/>
  <c r="D302" i="160"/>
  <c r="J302" i="160"/>
  <c r="E302" i="160"/>
  <c r="C302" i="160"/>
  <c r="I303" i="160"/>
  <c r="D303" i="160"/>
  <c r="J303" i="160"/>
  <c r="E303" i="160"/>
  <c r="C303" i="160"/>
  <c r="I304" i="160"/>
  <c r="D304" i="160"/>
  <c r="J304" i="160"/>
  <c r="E304" i="160"/>
  <c r="C304" i="160"/>
  <c r="I305" i="160"/>
  <c r="D305" i="160"/>
  <c r="J305" i="160"/>
  <c r="E305" i="160"/>
  <c r="C305" i="160"/>
  <c r="I306" i="160"/>
  <c r="D306" i="160"/>
  <c r="J306" i="160"/>
  <c r="E306" i="160"/>
  <c r="C306" i="160"/>
  <c r="I307" i="160"/>
  <c r="D307" i="160"/>
  <c r="J307" i="160"/>
  <c r="E307" i="160"/>
  <c r="C307" i="160"/>
  <c r="I308" i="160"/>
  <c r="D308" i="160"/>
  <c r="J308" i="160"/>
  <c r="E308" i="160"/>
  <c r="C308" i="160"/>
  <c r="I309" i="160"/>
  <c r="D309" i="160"/>
  <c r="J309" i="160"/>
  <c r="E309" i="160"/>
  <c r="C309" i="160"/>
  <c r="I310" i="160"/>
  <c r="D310" i="160"/>
  <c r="J310" i="160"/>
  <c r="E310" i="160"/>
  <c r="C310" i="160"/>
  <c r="I311" i="160"/>
  <c r="D311" i="160"/>
  <c r="J311" i="160"/>
  <c r="E311" i="160"/>
  <c r="C311" i="160"/>
  <c r="I312" i="160"/>
  <c r="D312" i="160"/>
  <c r="J312" i="160"/>
  <c r="E312" i="160"/>
  <c r="C312" i="160"/>
  <c r="F5" i="159"/>
  <c r="F6" i="159"/>
  <c r="A36" i="159"/>
  <c r="R16" i="159"/>
  <c r="R18" i="159"/>
  <c r="R17" i="159"/>
  <c r="O314" i="160"/>
  <c r="E6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19" i="159"/>
  <c r="B19" i="159"/>
  <c r="E24" i="159"/>
  <c r="B24" i="159"/>
  <c r="B17" i="159"/>
  <c r="G17" i="159"/>
  <c r="E17" i="159"/>
  <c r="H17" i="159"/>
  <c r="O2" i="160"/>
  <c r="E18" i="159"/>
  <c r="B18" i="159"/>
  <c r="G18" i="159"/>
  <c r="H18" i="159"/>
  <c r="O3" i="160"/>
  <c r="O4" i="160"/>
  <c r="O5" i="160"/>
  <c r="O6" i="160"/>
  <c r="O7" i="160"/>
  <c r="O8" i="160"/>
  <c r="O9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E25" i="159"/>
  <c r="B25" i="159"/>
  <c r="G25" i="159"/>
  <c r="H25" i="159"/>
  <c r="O43" i="160"/>
  <c r="E26" i="159"/>
  <c r="B26" i="159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E20" i="159"/>
  <c r="E23" i="159"/>
  <c r="B23" i="159"/>
  <c r="E5" i="159"/>
  <c r="E28" i="159"/>
  <c r="B28" i="159"/>
  <c r="E29" i="159"/>
  <c r="B29" i="159"/>
  <c r="B21" i="159"/>
  <c r="B20" i="159"/>
  <c r="G20" i="159"/>
  <c r="H20" i="159"/>
  <c r="O52" i="160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E27" i="159"/>
  <c r="B27" i="159"/>
  <c r="G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E22" i="159"/>
  <c r="B22" i="159"/>
  <c r="G22" i="159"/>
  <c r="H22" i="159"/>
  <c r="O256" i="160"/>
  <c r="G23" i="159"/>
  <c r="H23" i="159"/>
  <c r="O257" i="160"/>
  <c r="O258" i="160"/>
  <c r="O259" i="160"/>
  <c r="G29" i="159"/>
  <c r="H29" i="159"/>
  <c r="O260" i="160"/>
  <c r="O261" i="160"/>
  <c r="O262" i="160"/>
  <c r="O263" i="160"/>
  <c r="O264" i="160"/>
  <c r="O265" i="160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R3" i="159"/>
  <c r="O300" i="160"/>
  <c r="R4" i="159"/>
  <c r="O301" i="160"/>
  <c r="R5" i="159"/>
  <c r="O302" i="160"/>
  <c r="R6" i="159"/>
  <c r="O303" i="160"/>
  <c r="R7" i="159"/>
  <c r="O304" i="160"/>
  <c r="R8" i="159"/>
  <c r="O305" i="160"/>
  <c r="R9" i="159"/>
  <c r="O306" i="160"/>
  <c r="R10" i="159"/>
  <c r="O307" i="160"/>
  <c r="R11" i="159"/>
  <c r="O308" i="160"/>
  <c r="R12" i="159"/>
  <c r="O309" i="160"/>
  <c r="R13" i="159"/>
  <c r="O310" i="160"/>
  <c r="R14" i="159"/>
  <c r="O311" i="160"/>
  <c r="R15" i="159"/>
  <c r="O312" i="160"/>
  <c r="O313" i="160"/>
  <c r="R19" i="159"/>
  <c r="O315" i="160"/>
  <c r="R20" i="159"/>
  <c r="O316" i="160"/>
  <c r="O317" i="160"/>
  <c r="P314" i="160"/>
  <c r="A315" i="160"/>
  <c r="H315" i="160"/>
  <c r="K315" i="160"/>
  <c r="L315" i="160"/>
  <c r="M315" i="160"/>
  <c r="N315" i="160"/>
  <c r="P315" i="160"/>
  <c r="A316" i="160"/>
  <c r="H316" i="160"/>
  <c r="K316" i="160"/>
  <c r="L316" i="160"/>
  <c r="M316" i="160"/>
  <c r="N316" i="160"/>
  <c r="P316" i="160"/>
  <c r="A317" i="160"/>
  <c r="H317" i="160"/>
  <c r="K317" i="160"/>
  <c r="L317" i="160"/>
  <c r="M317" i="160"/>
  <c r="N317" i="160"/>
  <c r="P317" i="160"/>
  <c r="P138" i="160"/>
  <c r="P139" i="160"/>
  <c r="P140" i="160"/>
  <c r="P141" i="160"/>
  <c r="P2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299" i="160"/>
  <c r="P300" i="160"/>
  <c r="P301" i="160"/>
  <c r="P302" i="160"/>
  <c r="P303" i="160"/>
  <c r="P304" i="160"/>
  <c r="P305" i="160"/>
  <c r="P306" i="160"/>
  <c r="P307" i="160"/>
  <c r="P308" i="160"/>
  <c r="P309" i="160"/>
  <c r="P310" i="160"/>
  <c r="P311" i="160"/>
  <c r="P312" i="160"/>
  <c r="P313" i="160"/>
  <c r="F48" i="159"/>
  <c r="B10" i="159"/>
  <c r="B43" i="159"/>
  <c r="B12" i="159"/>
  <c r="B32" i="159"/>
  <c r="A300" i="160"/>
  <c r="F300" i="160"/>
  <c r="H300" i="160"/>
  <c r="K300" i="160"/>
  <c r="L300" i="160"/>
  <c r="M300" i="160"/>
  <c r="N300" i="160"/>
  <c r="F301" i="160"/>
  <c r="F302" i="160"/>
  <c r="F303" i="160"/>
  <c r="F304" i="160"/>
  <c r="F305" i="160"/>
  <c r="F306" i="160"/>
  <c r="F307" i="160"/>
  <c r="F308" i="160"/>
  <c r="F309" i="160"/>
  <c r="F310" i="160"/>
  <c r="F311" i="160"/>
  <c r="F312" i="160"/>
  <c r="G31" i="159"/>
  <c r="E31" i="159"/>
  <c r="H31" i="159"/>
  <c r="A301" i="160"/>
  <c r="H301" i="160"/>
  <c r="K301" i="160"/>
  <c r="L301" i="160"/>
  <c r="M301" i="160"/>
  <c r="N301" i="160"/>
  <c r="A302" i="160"/>
  <c r="H302" i="160"/>
  <c r="K302" i="160"/>
  <c r="L302" i="160"/>
  <c r="M302" i="160"/>
  <c r="N302" i="160"/>
  <c r="A303" i="160"/>
  <c r="H303" i="160"/>
  <c r="K303" i="160"/>
  <c r="L303" i="160"/>
  <c r="M303" i="160"/>
  <c r="N303" i="160"/>
  <c r="A304" i="160"/>
  <c r="H304" i="160"/>
  <c r="K304" i="160"/>
  <c r="L304" i="160"/>
  <c r="M304" i="160"/>
  <c r="N304" i="160"/>
  <c r="A305" i="160"/>
  <c r="H305" i="160"/>
  <c r="K305" i="160"/>
  <c r="L305" i="160"/>
  <c r="M305" i="160"/>
  <c r="N305" i="160"/>
  <c r="A306" i="160"/>
  <c r="H306" i="160"/>
  <c r="K306" i="160"/>
  <c r="L306" i="160"/>
  <c r="M306" i="160"/>
  <c r="N306" i="160"/>
  <c r="A307" i="160"/>
  <c r="H307" i="160"/>
  <c r="K307" i="160"/>
  <c r="L307" i="160"/>
  <c r="M307" i="160"/>
  <c r="N307" i="160"/>
  <c r="A308" i="160"/>
  <c r="H308" i="160"/>
  <c r="K308" i="160"/>
  <c r="L308" i="160"/>
  <c r="M308" i="160"/>
  <c r="N308" i="160"/>
  <c r="A309" i="160"/>
  <c r="H309" i="160"/>
  <c r="K309" i="160"/>
  <c r="L309" i="160"/>
  <c r="M309" i="160"/>
  <c r="N309" i="160"/>
  <c r="A310" i="160"/>
  <c r="H310" i="160"/>
  <c r="K310" i="160"/>
  <c r="L310" i="160"/>
  <c r="M310" i="160"/>
  <c r="N310" i="160"/>
  <c r="A311" i="160"/>
  <c r="H311" i="160"/>
  <c r="K311" i="160"/>
  <c r="L311" i="160"/>
  <c r="M311" i="160"/>
  <c r="N311" i="160"/>
  <c r="A312" i="160"/>
  <c r="H312" i="160"/>
  <c r="K312" i="160"/>
  <c r="L312" i="160"/>
  <c r="M312" i="160"/>
  <c r="N312" i="160"/>
  <c r="A313" i="160"/>
  <c r="H313" i="160"/>
  <c r="K313" i="160"/>
  <c r="L313" i="160"/>
  <c r="M313" i="160"/>
  <c r="N313" i="160"/>
  <c r="E6" i="103"/>
  <c r="B4" i="98"/>
  <c r="B5" i="98"/>
  <c r="B3" i="98"/>
  <c r="B2" i="98"/>
  <c r="N31" i="161"/>
  <c r="M31" i="161"/>
  <c r="L31" i="161"/>
  <c r="K31" i="161"/>
  <c r="J31" i="161"/>
  <c r="I31" i="161"/>
  <c r="H31" i="161"/>
  <c r="D31" i="161"/>
  <c r="C31" i="161"/>
  <c r="N30" i="161"/>
  <c r="M30" i="161"/>
  <c r="L30" i="161"/>
  <c r="K30" i="161"/>
  <c r="J30" i="161"/>
  <c r="I30" i="161"/>
  <c r="H30" i="161"/>
  <c r="F30" i="161"/>
  <c r="D30" i="161"/>
  <c r="C30" i="161"/>
  <c r="N29" i="161"/>
  <c r="M29" i="161"/>
  <c r="L29" i="161"/>
  <c r="K29" i="161"/>
  <c r="J29" i="161"/>
  <c r="H29" i="161"/>
  <c r="F29" i="161"/>
  <c r="D29" i="161"/>
  <c r="C29" i="161"/>
  <c r="N28" i="161"/>
  <c r="M28" i="161"/>
  <c r="L28" i="161"/>
  <c r="K28" i="161"/>
  <c r="J28" i="161"/>
  <c r="H28" i="161"/>
  <c r="F28" i="161"/>
  <c r="D28" i="161"/>
  <c r="C28" i="161"/>
  <c r="N27" i="161"/>
  <c r="M27" i="161"/>
  <c r="L27" i="161"/>
  <c r="K27" i="161"/>
  <c r="J27" i="161"/>
  <c r="H27" i="161"/>
  <c r="F27" i="161"/>
  <c r="D27" i="161"/>
  <c r="C27" i="161"/>
  <c r="N26" i="161"/>
  <c r="M26" i="161"/>
  <c r="L26" i="161"/>
  <c r="K26" i="161"/>
  <c r="J26" i="161"/>
  <c r="I26" i="161"/>
  <c r="H26" i="161"/>
  <c r="F26" i="161"/>
  <c r="D26" i="161"/>
  <c r="C26" i="161"/>
  <c r="N25" i="161"/>
  <c r="M25" i="161"/>
  <c r="L25" i="161"/>
  <c r="K25" i="161"/>
  <c r="J25" i="161"/>
  <c r="I25" i="161"/>
  <c r="H25" i="161"/>
  <c r="F25" i="161"/>
  <c r="D25" i="161"/>
  <c r="C25" i="161"/>
  <c r="N24" i="161"/>
  <c r="M24" i="161"/>
  <c r="L24" i="161"/>
  <c r="K24" i="161"/>
  <c r="J24" i="161"/>
  <c r="H24" i="161"/>
  <c r="F24" i="161"/>
  <c r="D24" i="161"/>
  <c r="C24" i="161"/>
  <c r="N23" i="161"/>
  <c r="M23" i="161"/>
  <c r="L23" i="161"/>
  <c r="K23" i="161"/>
  <c r="J23" i="161"/>
  <c r="H23" i="161"/>
  <c r="F23" i="161"/>
  <c r="D23" i="161"/>
  <c r="C23" i="161"/>
  <c r="N22" i="161"/>
  <c r="M22" i="161"/>
  <c r="L22" i="161"/>
  <c r="K22" i="161"/>
  <c r="J22" i="161"/>
  <c r="H22" i="161"/>
  <c r="F22" i="161"/>
  <c r="D22" i="161"/>
  <c r="C22" i="161"/>
  <c r="N21" i="161"/>
  <c r="M21" i="161"/>
  <c r="L21" i="161"/>
  <c r="K21" i="161"/>
  <c r="J21" i="161"/>
  <c r="H21" i="161"/>
  <c r="F21" i="161"/>
  <c r="D21" i="161"/>
  <c r="C21" i="161"/>
  <c r="N20" i="161"/>
  <c r="M20" i="161"/>
  <c r="L20" i="161"/>
  <c r="K20" i="161"/>
  <c r="J20" i="161"/>
  <c r="H20" i="161"/>
  <c r="F20" i="161"/>
  <c r="D20" i="161"/>
  <c r="C20" i="161"/>
  <c r="N19" i="161"/>
  <c r="M19" i="161"/>
  <c r="L19" i="161"/>
  <c r="K19" i="161"/>
  <c r="J19" i="161"/>
  <c r="I19" i="161"/>
  <c r="H19" i="161"/>
  <c r="F19" i="161"/>
  <c r="D19" i="161"/>
  <c r="C19" i="161"/>
  <c r="N18" i="161"/>
  <c r="M18" i="161"/>
  <c r="L18" i="161"/>
  <c r="K18" i="161"/>
  <c r="J18" i="161"/>
  <c r="I18" i="161"/>
  <c r="H18" i="161"/>
  <c r="F18" i="161"/>
  <c r="D18" i="161"/>
  <c r="C18" i="161"/>
  <c r="N17" i="161"/>
  <c r="M17" i="161"/>
  <c r="L17" i="161"/>
  <c r="K17" i="161"/>
  <c r="J17" i="161"/>
  <c r="I17" i="161"/>
  <c r="H17" i="161"/>
  <c r="F17" i="161"/>
  <c r="D17" i="161"/>
  <c r="C17" i="161"/>
  <c r="N16" i="161"/>
  <c r="M16" i="161"/>
  <c r="L16" i="161"/>
  <c r="K16" i="161"/>
  <c r="J16" i="161"/>
  <c r="I16" i="161"/>
  <c r="H16" i="161"/>
  <c r="F16" i="161"/>
  <c r="D16" i="161"/>
  <c r="C16" i="161"/>
  <c r="N15" i="161"/>
  <c r="M15" i="161"/>
  <c r="L15" i="161"/>
  <c r="K15" i="161"/>
  <c r="J15" i="161"/>
  <c r="I15" i="161"/>
  <c r="H15" i="161"/>
  <c r="F15" i="161"/>
  <c r="D15" i="161"/>
  <c r="C15" i="161"/>
  <c r="N14" i="161"/>
  <c r="M14" i="161"/>
  <c r="L14" i="161"/>
  <c r="K14" i="161"/>
  <c r="J14" i="161"/>
  <c r="I14" i="161"/>
  <c r="H14" i="161"/>
  <c r="F14" i="161"/>
  <c r="D14" i="161"/>
  <c r="C14" i="161"/>
  <c r="N13" i="161"/>
  <c r="M13" i="161"/>
  <c r="L13" i="161"/>
  <c r="K13" i="161"/>
  <c r="J13" i="161"/>
  <c r="I13" i="161"/>
  <c r="H13" i="161"/>
  <c r="F13" i="161"/>
  <c r="D13" i="161"/>
  <c r="C13" i="161"/>
  <c r="N12" i="161"/>
  <c r="M12" i="161"/>
  <c r="L12" i="161"/>
  <c r="K12" i="161"/>
  <c r="J12" i="161"/>
  <c r="I12" i="161"/>
  <c r="H12" i="161"/>
  <c r="F12" i="161"/>
  <c r="D12" i="161"/>
  <c r="C12" i="161"/>
  <c r="N11" i="161"/>
  <c r="M11" i="161"/>
  <c r="L11" i="161"/>
  <c r="K11" i="161"/>
  <c r="J11" i="161"/>
  <c r="H11" i="161"/>
  <c r="F11" i="161"/>
  <c r="D11" i="161"/>
  <c r="C11" i="161"/>
  <c r="N10" i="161"/>
  <c r="M10" i="161"/>
  <c r="L10" i="161"/>
  <c r="K10" i="161"/>
  <c r="J10" i="161"/>
  <c r="H10" i="161"/>
  <c r="F10" i="161"/>
  <c r="D10" i="161"/>
  <c r="C10" i="161"/>
  <c r="N9" i="161"/>
  <c r="M9" i="161"/>
  <c r="L9" i="161"/>
  <c r="K9" i="161"/>
  <c r="J9" i="161"/>
  <c r="I9" i="161"/>
  <c r="H9" i="161"/>
  <c r="F9" i="161"/>
  <c r="D9" i="161"/>
  <c r="C9" i="161"/>
  <c r="N8" i="161"/>
  <c r="M8" i="161"/>
  <c r="L8" i="161"/>
  <c r="K8" i="161"/>
  <c r="J8" i="161"/>
  <c r="I8" i="161"/>
  <c r="H8" i="161"/>
  <c r="F8" i="161"/>
  <c r="D8" i="161"/>
  <c r="C8" i="161"/>
  <c r="N7" i="161"/>
  <c r="M7" i="161"/>
  <c r="L7" i="161"/>
  <c r="K7" i="161"/>
  <c r="J7" i="161"/>
  <c r="H7" i="161"/>
  <c r="F7" i="161"/>
  <c r="D7" i="161"/>
  <c r="C7" i="161"/>
  <c r="N6" i="161"/>
  <c r="M6" i="161"/>
  <c r="L6" i="161"/>
  <c r="K6" i="161"/>
  <c r="J6" i="161"/>
  <c r="H6" i="161"/>
  <c r="F6" i="161"/>
  <c r="D6" i="161"/>
  <c r="C6" i="161"/>
  <c r="N5" i="161"/>
  <c r="M5" i="161"/>
  <c r="L5" i="161"/>
  <c r="K5" i="161"/>
  <c r="J5" i="161"/>
  <c r="I5" i="161"/>
  <c r="H5" i="161"/>
  <c r="F5" i="161"/>
  <c r="D5" i="161"/>
  <c r="C5" i="161"/>
  <c r="N4" i="161"/>
  <c r="M4" i="161"/>
  <c r="L4" i="161"/>
  <c r="K4" i="161"/>
  <c r="J4" i="161"/>
  <c r="I4" i="161"/>
  <c r="H4" i="161"/>
  <c r="F4" i="161"/>
  <c r="D4" i="161"/>
  <c r="C4" i="161"/>
  <c r="N3" i="161"/>
  <c r="M3" i="161"/>
  <c r="L3" i="161"/>
  <c r="K3" i="161"/>
  <c r="J3" i="161"/>
  <c r="H3" i="161"/>
  <c r="F3" i="161"/>
  <c r="D3" i="161"/>
  <c r="C3" i="161"/>
  <c r="N2" i="161"/>
  <c r="M2" i="161"/>
  <c r="L2" i="161"/>
  <c r="K2" i="161"/>
  <c r="J2" i="161"/>
  <c r="H2" i="161"/>
  <c r="F2" i="161"/>
  <c r="D2" i="161"/>
  <c r="C2" i="161"/>
  <c r="B32" i="153"/>
  <c r="A295" i="154"/>
  <c r="F295" i="154"/>
  <c r="H295" i="154"/>
  <c r="K295" i="154"/>
  <c r="L295" i="154"/>
  <c r="M295" i="154"/>
  <c r="N295" i="154"/>
  <c r="F296" i="154"/>
  <c r="F297" i="154"/>
  <c r="F298" i="154"/>
  <c r="F299" i="154"/>
  <c r="P295" i="154"/>
  <c r="A296" i="154"/>
  <c r="H296" i="154"/>
  <c r="K296" i="154"/>
  <c r="L296" i="154"/>
  <c r="M296" i="154"/>
  <c r="N296" i="154"/>
  <c r="P296" i="154"/>
  <c r="A297" i="154"/>
  <c r="H297" i="154"/>
  <c r="K297" i="154"/>
  <c r="L297" i="154"/>
  <c r="M297" i="154"/>
  <c r="N297" i="154"/>
  <c r="P297" i="154"/>
  <c r="A298" i="154"/>
  <c r="H298" i="154"/>
  <c r="K298" i="154"/>
  <c r="L298" i="154"/>
  <c r="M298" i="154"/>
  <c r="N298" i="154"/>
  <c r="P298" i="154"/>
  <c r="A299" i="154"/>
  <c r="H299" i="154"/>
  <c r="K299" i="154"/>
  <c r="L299" i="154"/>
  <c r="M299" i="154"/>
  <c r="N299" i="154"/>
  <c r="P29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P2" i="154"/>
  <c r="A295" i="160"/>
  <c r="F295" i="160"/>
  <c r="H295" i="160"/>
  <c r="K295" i="160"/>
  <c r="L295" i="160"/>
  <c r="M295" i="160"/>
  <c r="N295" i="160"/>
  <c r="F296" i="160"/>
  <c r="F297" i="160"/>
  <c r="F298" i="160"/>
  <c r="F299" i="160"/>
  <c r="A296" i="160"/>
  <c r="H296" i="160"/>
  <c r="K296" i="160"/>
  <c r="L296" i="160"/>
  <c r="M296" i="160"/>
  <c r="N296" i="160"/>
  <c r="A297" i="160"/>
  <c r="H297" i="160"/>
  <c r="K297" i="160"/>
  <c r="L297" i="160"/>
  <c r="M297" i="160"/>
  <c r="N297" i="160"/>
  <c r="A298" i="160"/>
  <c r="H298" i="160"/>
  <c r="K298" i="160"/>
  <c r="L298" i="160"/>
  <c r="M298" i="160"/>
  <c r="N298" i="160"/>
  <c r="A299" i="160"/>
  <c r="H299" i="160"/>
  <c r="K299" i="160"/>
  <c r="L299" i="160"/>
  <c r="M299" i="160"/>
  <c r="N299" i="160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E30" i="159"/>
  <c r="G30" i="159"/>
  <c r="H30" i="159"/>
  <c r="N294" i="160"/>
  <c r="M294" i="160"/>
  <c r="L294" i="160"/>
  <c r="K294" i="160"/>
  <c r="H294" i="160"/>
  <c r="A294" i="160"/>
  <c r="N293" i="160"/>
  <c r="M293" i="160"/>
  <c r="L293" i="160"/>
  <c r="K293" i="160"/>
  <c r="H293" i="160"/>
  <c r="A293" i="160"/>
  <c r="N292" i="160"/>
  <c r="M292" i="160"/>
  <c r="L292" i="160"/>
  <c r="K292" i="160"/>
  <c r="H292" i="160"/>
  <c r="A292" i="160"/>
  <c r="N291" i="160"/>
  <c r="M291" i="160"/>
  <c r="L291" i="160"/>
  <c r="K291" i="160"/>
  <c r="H291" i="160"/>
  <c r="A291" i="160"/>
  <c r="N290" i="160"/>
  <c r="M290" i="160"/>
  <c r="L290" i="160"/>
  <c r="K290" i="160"/>
  <c r="H290" i="160"/>
  <c r="A290" i="160"/>
  <c r="N289" i="160"/>
  <c r="M289" i="160"/>
  <c r="L289" i="160"/>
  <c r="K289" i="160"/>
  <c r="H289" i="160"/>
  <c r="A289" i="160"/>
  <c r="N288" i="160"/>
  <c r="M288" i="160"/>
  <c r="L288" i="160"/>
  <c r="K288" i="160"/>
  <c r="H288" i="160"/>
  <c r="A288" i="160"/>
  <c r="N287" i="160"/>
  <c r="M287" i="160"/>
  <c r="L287" i="160"/>
  <c r="K287" i="160"/>
  <c r="H287" i="160"/>
  <c r="A287" i="160"/>
  <c r="N286" i="160"/>
  <c r="M286" i="160"/>
  <c r="L286" i="160"/>
  <c r="K286" i="160"/>
  <c r="H286" i="160"/>
  <c r="A286" i="160"/>
  <c r="N285" i="160"/>
  <c r="M285" i="160"/>
  <c r="L285" i="160"/>
  <c r="K285" i="160"/>
  <c r="H285" i="160"/>
  <c r="A285" i="160"/>
  <c r="N284" i="160"/>
  <c r="M284" i="160"/>
  <c r="L284" i="160"/>
  <c r="K284" i="160"/>
  <c r="H284" i="160"/>
  <c r="A284" i="160"/>
  <c r="N283" i="160"/>
  <c r="M283" i="160"/>
  <c r="L283" i="160"/>
  <c r="K283" i="160"/>
  <c r="H283" i="160"/>
  <c r="A283" i="160"/>
  <c r="N282" i="160"/>
  <c r="M282" i="160"/>
  <c r="L282" i="160"/>
  <c r="K282" i="160"/>
  <c r="H282" i="160"/>
  <c r="A282" i="160"/>
  <c r="N281" i="160"/>
  <c r="M281" i="160"/>
  <c r="L281" i="160"/>
  <c r="K281" i="160"/>
  <c r="H281" i="160"/>
  <c r="A281" i="160"/>
  <c r="N280" i="160"/>
  <c r="M280" i="160"/>
  <c r="L280" i="160"/>
  <c r="K280" i="160"/>
  <c r="H280" i="160"/>
  <c r="A280" i="160"/>
  <c r="N279" i="160"/>
  <c r="M279" i="160"/>
  <c r="L279" i="160"/>
  <c r="K279" i="160"/>
  <c r="H279" i="160"/>
  <c r="A279" i="160"/>
  <c r="N278" i="160"/>
  <c r="M278" i="160"/>
  <c r="L278" i="160"/>
  <c r="K278" i="160"/>
  <c r="H278" i="160"/>
  <c r="A278" i="160"/>
  <c r="N277" i="160"/>
  <c r="M277" i="160"/>
  <c r="L277" i="160"/>
  <c r="K277" i="160"/>
  <c r="H277" i="160"/>
  <c r="A277" i="160"/>
  <c r="N276" i="160"/>
  <c r="M276" i="160"/>
  <c r="L276" i="160"/>
  <c r="K276" i="160"/>
  <c r="H276" i="160"/>
  <c r="A276" i="160"/>
  <c r="N275" i="160"/>
  <c r="M275" i="160"/>
  <c r="L275" i="160"/>
  <c r="K275" i="160"/>
  <c r="H275" i="160"/>
  <c r="A275" i="160"/>
  <c r="N274" i="160"/>
  <c r="M274" i="160"/>
  <c r="L274" i="160"/>
  <c r="K274" i="160"/>
  <c r="H274" i="160"/>
  <c r="A274" i="160"/>
  <c r="N273" i="160"/>
  <c r="M273" i="160"/>
  <c r="L273" i="160"/>
  <c r="K273" i="160"/>
  <c r="H273" i="160"/>
  <c r="A273" i="160"/>
  <c r="N272" i="160"/>
  <c r="M272" i="160"/>
  <c r="L272" i="160"/>
  <c r="K272" i="160"/>
  <c r="H272" i="160"/>
  <c r="A272" i="160"/>
  <c r="N271" i="160"/>
  <c r="M271" i="160"/>
  <c r="L271" i="160"/>
  <c r="K271" i="160"/>
  <c r="H271" i="160"/>
  <c r="A271" i="160"/>
  <c r="N270" i="160"/>
  <c r="M270" i="160"/>
  <c r="L270" i="160"/>
  <c r="K270" i="160"/>
  <c r="H270" i="160"/>
  <c r="A270" i="160"/>
  <c r="N269" i="160"/>
  <c r="M269" i="160"/>
  <c r="L269" i="160"/>
  <c r="K269" i="160"/>
  <c r="H269" i="160"/>
  <c r="A269" i="160"/>
  <c r="N268" i="160"/>
  <c r="M268" i="160"/>
  <c r="L268" i="160"/>
  <c r="K268" i="160"/>
  <c r="H268" i="160"/>
  <c r="A268" i="160"/>
  <c r="N267" i="160"/>
  <c r="M267" i="160"/>
  <c r="L267" i="160"/>
  <c r="K267" i="160"/>
  <c r="H267" i="160"/>
  <c r="A267" i="160"/>
  <c r="N266" i="160"/>
  <c r="M266" i="160"/>
  <c r="L266" i="160"/>
  <c r="K266" i="160"/>
  <c r="H266" i="160"/>
  <c r="A266" i="160"/>
  <c r="N265" i="160"/>
  <c r="M265" i="160"/>
  <c r="L265" i="160"/>
  <c r="K265" i="160"/>
  <c r="H265" i="160"/>
  <c r="A265" i="160"/>
  <c r="N264" i="160"/>
  <c r="M264" i="160"/>
  <c r="L264" i="160"/>
  <c r="K264" i="160"/>
  <c r="H264" i="160"/>
  <c r="A264" i="160"/>
  <c r="N263" i="160"/>
  <c r="M263" i="160"/>
  <c r="L263" i="160"/>
  <c r="K263" i="160"/>
  <c r="H263" i="160"/>
  <c r="A263" i="160"/>
  <c r="N262" i="160"/>
  <c r="M262" i="160"/>
  <c r="L262" i="160"/>
  <c r="K262" i="160"/>
  <c r="H262" i="160"/>
  <c r="A262" i="160"/>
  <c r="N261" i="160"/>
  <c r="M261" i="160"/>
  <c r="L261" i="160"/>
  <c r="K261" i="160"/>
  <c r="H261" i="160"/>
  <c r="A261" i="160"/>
  <c r="N260" i="160"/>
  <c r="M260" i="160"/>
  <c r="L260" i="160"/>
  <c r="K260" i="160"/>
  <c r="H260" i="160"/>
  <c r="A260" i="160"/>
  <c r="N259" i="160"/>
  <c r="M259" i="160"/>
  <c r="L259" i="160"/>
  <c r="K259" i="160"/>
  <c r="H259" i="160"/>
  <c r="A259" i="160"/>
  <c r="N258" i="160"/>
  <c r="M258" i="160"/>
  <c r="L258" i="160"/>
  <c r="K258" i="160"/>
  <c r="H258" i="160"/>
  <c r="A258" i="160"/>
  <c r="N257" i="160"/>
  <c r="M257" i="160"/>
  <c r="L257" i="160"/>
  <c r="K257" i="160"/>
  <c r="H257" i="160"/>
  <c r="A257" i="160"/>
  <c r="N256" i="160"/>
  <c r="M256" i="160"/>
  <c r="L256" i="160"/>
  <c r="K256" i="160"/>
  <c r="H256" i="160"/>
  <c r="A256" i="160"/>
  <c r="N255" i="160"/>
  <c r="M255" i="160"/>
  <c r="L255" i="160"/>
  <c r="K255" i="160"/>
  <c r="H255" i="160"/>
  <c r="A255" i="160"/>
  <c r="N254" i="160"/>
  <c r="M254" i="160"/>
  <c r="L254" i="160"/>
  <c r="K254" i="160"/>
  <c r="H254" i="160"/>
  <c r="A254" i="160"/>
  <c r="N253" i="160"/>
  <c r="M253" i="160"/>
  <c r="L253" i="160"/>
  <c r="K253" i="160"/>
  <c r="H253" i="160"/>
  <c r="A253" i="160"/>
  <c r="N252" i="160"/>
  <c r="M252" i="160"/>
  <c r="L252" i="160"/>
  <c r="K252" i="160"/>
  <c r="H252" i="160"/>
  <c r="A252" i="160"/>
  <c r="N251" i="160"/>
  <c r="M251" i="160"/>
  <c r="L251" i="160"/>
  <c r="K251" i="160"/>
  <c r="H251" i="160"/>
  <c r="A251" i="160"/>
  <c r="N250" i="160"/>
  <c r="M250" i="160"/>
  <c r="L250" i="160"/>
  <c r="K250" i="160"/>
  <c r="H250" i="160"/>
  <c r="A250" i="160"/>
  <c r="N249" i="160"/>
  <c r="M249" i="160"/>
  <c r="L249" i="160"/>
  <c r="K249" i="160"/>
  <c r="H249" i="160"/>
  <c r="A249" i="160"/>
  <c r="N248" i="160"/>
  <c r="M248" i="160"/>
  <c r="L248" i="160"/>
  <c r="K248" i="160"/>
  <c r="H248" i="160"/>
  <c r="A248" i="160"/>
  <c r="N247" i="160"/>
  <c r="M247" i="160"/>
  <c r="L247" i="160"/>
  <c r="K247" i="160"/>
  <c r="H247" i="160"/>
  <c r="A247" i="160"/>
  <c r="N246" i="160"/>
  <c r="M246" i="160"/>
  <c r="L246" i="160"/>
  <c r="K246" i="160"/>
  <c r="H246" i="160"/>
  <c r="A246" i="160"/>
  <c r="N245" i="160"/>
  <c r="M245" i="160"/>
  <c r="L245" i="160"/>
  <c r="K245" i="160"/>
  <c r="H245" i="160"/>
  <c r="A245" i="160"/>
  <c r="N244" i="160"/>
  <c r="M244" i="160"/>
  <c r="L244" i="160"/>
  <c r="K244" i="160"/>
  <c r="H244" i="160"/>
  <c r="A244" i="160"/>
  <c r="N243" i="160"/>
  <c r="M243" i="160"/>
  <c r="L243" i="160"/>
  <c r="K243" i="160"/>
  <c r="H243" i="160"/>
  <c r="A243" i="160"/>
  <c r="N242" i="160"/>
  <c r="M242" i="160"/>
  <c r="L242" i="160"/>
  <c r="K242" i="160"/>
  <c r="H242" i="160"/>
  <c r="A242" i="160"/>
  <c r="N241" i="160"/>
  <c r="M241" i="160"/>
  <c r="L241" i="160"/>
  <c r="K241" i="160"/>
  <c r="H241" i="160"/>
  <c r="A241" i="160"/>
  <c r="N240" i="160"/>
  <c r="M240" i="160"/>
  <c r="L240" i="160"/>
  <c r="K240" i="160"/>
  <c r="H240" i="160"/>
  <c r="A240" i="160"/>
  <c r="N239" i="160"/>
  <c r="M239" i="160"/>
  <c r="L239" i="160"/>
  <c r="K239" i="160"/>
  <c r="H239" i="160"/>
  <c r="A239" i="160"/>
  <c r="N238" i="160"/>
  <c r="M238" i="160"/>
  <c r="L238" i="160"/>
  <c r="K238" i="160"/>
  <c r="H238" i="160"/>
  <c r="A238" i="160"/>
  <c r="N237" i="160"/>
  <c r="M237" i="160"/>
  <c r="L237" i="160"/>
  <c r="K237" i="160"/>
  <c r="H237" i="160"/>
  <c r="A237" i="160"/>
  <c r="N236" i="160"/>
  <c r="M236" i="160"/>
  <c r="L236" i="160"/>
  <c r="K236" i="160"/>
  <c r="H236" i="160"/>
  <c r="A236" i="160"/>
  <c r="N235" i="160"/>
  <c r="M235" i="160"/>
  <c r="L235" i="160"/>
  <c r="K235" i="160"/>
  <c r="H235" i="160"/>
  <c r="A235" i="160"/>
  <c r="N234" i="160"/>
  <c r="M234" i="160"/>
  <c r="L234" i="160"/>
  <c r="K234" i="160"/>
  <c r="H234" i="160"/>
  <c r="A234" i="160"/>
  <c r="N233" i="160"/>
  <c r="M233" i="160"/>
  <c r="L233" i="160"/>
  <c r="K233" i="160"/>
  <c r="H233" i="160"/>
  <c r="A233" i="160"/>
  <c r="N232" i="160"/>
  <c r="M232" i="160"/>
  <c r="L232" i="160"/>
  <c r="K232" i="160"/>
  <c r="H232" i="160"/>
  <c r="A232" i="160"/>
  <c r="N231" i="160"/>
  <c r="M231" i="160"/>
  <c r="L231" i="160"/>
  <c r="K231" i="160"/>
  <c r="H231" i="160"/>
  <c r="A231" i="160"/>
  <c r="N230" i="160"/>
  <c r="M230" i="160"/>
  <c r="L230" i="160"/>
  <c r="K230" i="160"/>
  <c r="H230" i="160"/>
  <c r="A230" i="160"/>
  <c r="N229" i="160"/>
  <c r="M229" i="160"/>
  <c r="L229" i="160"/>
  <c r="K229" i="160"/>
  <c r="H229" i="160"/>
  <c r="A229" i="160"/>
  <c r="N228" i="160"/>
  <c r="M228" i="160"/>
  <c r="L228" i="160"/>
  <c r="K228" i="160"/>
  <c r="H228" i="160"/>
  <c r="A228" i="160"/>
  <c r="N227" i="160"/>
  <c r="M227" i="160"/>
  <c r="L227" i="160"/>
  <c r="K227" i="160"/>
  <c r="H227" i="160"/>
  <c r="A227" i="160"/>
  <c r="N226" i="160"/>
  <c r="M226" i="160"/>
  <c r="L226" i="160"/>
  <c r="K226" i="160"/>
  <c r="H226" i="160"/>
  <c r="A226" i="160"/>
  <c r="N225" i="160"/>
  <c r="M225" i="160"/>
  <c r="L225" i="160"/>
  <c r="K225" i="160"/>
  <c r="H225" i="160"/>
  <c r="A225" i="160"/>
  <c r="N224" i="160"/>
  <c r="M224" i="160"/>
  <c r="L224" i="160"/>
  <c r="K224" i="160"/>
  <c r="H224" i="160"/>
  <c r="A224" i="160"/>
  <c r="N223" i="160"/>
  <c r="M223" i="160"/>
  <c r="L223" i="160"/>
  <c r="K223" i="160"/>
  <c r="H223" i="160"/>
  <c r="A223" i="160"/>
  <c r="N222" i="160"/>
  <c r="M222" i="160"/>
  <c r="L222" i="160"/>
  <c r="K222" i="160"/>
  <c r="H222" i="160"/>
  <c r="A222" i="160"/>
  <c r="N221" i="160"/>
  <c r="M221" i="160"/>
  <c r="L221" i="160"/>
  <c r="K221" i="160"/>
  <c r="H221" i="160"/>
  <c r="A221" i="160"/>
  <c r="N220" i="160"/>
  <c r="M220" i="160"/>
  <c r="L220" i="160"/>
  <c r="K220" i="160"/>
  <c r="H220" i="160"/>
  <c r="A220" i="160"/>
  <c r="N219" i="160"/>
  <c r="M219" i="160"/>
  <c r="L219" i="160"/>
  <c r="K219" i="160"/>
  <c r="H219" i="160"/>
  <c r="A219" i="160"/>
  <c r="N218" i="160"/>
  <c r="M218" i="160"/>
  <c r="L218" i="160"/>
  <c r="K218" i="160"/>
  <c r="H218" i="160"/>
  <c r="A218" i="160"/>
  <c r="N217" i="160"/>
  <c r="M217" i="160"/>
  <c r="L217" i="160"/>
  <c r="K217" i="160"/>
  <c r="H217" i="160"/>
  <c r="A217" i="160"/>
  <c r="N216" i="160"/>
  <c r="M216" i="160"/>
  <c r="L216" i="160"/>
  <c r="K216" i="160"/>
  <c r="H216" i="160"/>
  <c r="A216" i="160"/>
  <c r="N215" i="160"/>
  <c r="M215" i="160"/>
  <c r="L215" i="160"/>
  <c r="K215" i="160"/>
  <c r="H215" i="160"/>
  <c r="A215" i="160"/>
  <c r="N214" i="160"/>
  <c r="M214" i="160"/>
  <c r="L214" i="160"/>
  <c r="K214" i="160"/>
  <c r="H214" i="160"/>
  <c r="A214" i="160"/>
  <c r="N213" i="160"/>
  <c r="M213" i="160"/>
  <c r="L213" i="160"/>
  <c r="K213" i="160"/>
  <c r="H213" i="160"/>
  <c r="A213" i="160"/>
  <c r="N212" i="160"/>
  <c r="M212" i="160"/>
  <c r="L212" i="160"/>
  <c r="K212" i="160"/>
  <c r="H212" i="160"/>
  <c r="A212" i="160"/>
  <c r="N211" i="160"/>
  <c r="M211" i="160"/>
  <c r="L211" i="160"/>
  <c r="K211" i="160"/>
  <c r="H211" i="160"/>
  <c r="A211" i="160"/>
  <c r="N210" i="160"/>
  <c r="M210" i="160"/>
  <c r="L210" i="160"/>
  <c r="K210" i="160"/>
  <c r="H210" i="160"/>
  <c r="A210" i="160"/>
  <c r="N209" i="160"/>
  <c r="M209" i="160"/>
  <c r="L209" i="160"/>
  <c r="K209" i="160"/>
  <c r="H209" i="160"/>
  <c r="A209" i="160"/>
  <c r="N208" i="160"/>
  <c r="M208" i="160"/>
  <c r="L208" i="160"/>
  <c r="K208" i="160"/>
  <c r="H208" i="160"/>
  <c r="A208" i="160"/>
  <c r="N207" i="160"/>
  <c r="M207" i="160"/>
  <c r="L207" i="160"/>
  <c r="K207" i="160"/>
  <c r="H207" i="160"/>
  <c r="A207" i="160"/>
  <c r="N206" i="160"/>
  <c r="M206" i="160"/>
  <c r="L206" i="160"/>
  <c r="K206" i="160"/>
  <c r="H206" i="160"/>
  <c r="A206" i="160"/>
  <c r="N205" i="160"/>
  <c r="M205" i="160"/>
  <c r="L205" i="160"/>
  <c r="K205" i="160"/>
  <c r="H205" i="160"/>
  <c r="A205" i="160"/>
  <c r="N204" i="160"/>
  <c r="M204" i="160"/>
  <c r="L204" i="160"/>
  <c r="K204" i="160"/>
  <c r="H204" i="160"/>
  <c r="A204" i="160"/>
  <c r="N203" i="160"/>
  <c r="M203" i="160"/>
  <c r="L203" i="160"/>
  <c r="K203" i="160"/>
  <c r="H203" i="160"/>
  <c r="A203" i="160"/>
  <c r="N202" i="160"/>
  <c r="M202" i="160"/>
  <c r="L202" i="160"/>
  <c r="K202" i="160"/>
  <c r="H202" i="160"/>
  <c r="A202" i="160"/>
  <c r="N201" i="160"/>
  <c r="M201" i="160"/>
  <c r="L201" i="160"/>
  <c r="K201" i="160"/>
  <c r="H201" i="160"/>
  <c r="A201" i="160"/>
  <c r="N200" i="160"/>
  <c r="M200" i="160"/>
  <c r="L200" i="160"/>
  <c r="K200" i="160"/>
  <c r="H200" i="160"/>
  <c r="A200" i="160"/>
  <c r="N199" i="160"/>
  <c r="M199" i="160"/>
  <c r="L199" i="160"/>
  <c r="K199" i="160"/>
  <c r="H199" i="160"/>
  <c r="A199" i="160"/>
  <c r="N198" i="160"/>
  <c r="M198" i="160"/>
  <c r="L198" i="160"/>
  <c r="K198" i="160"/>
  <c r="H198" i="160"/>
  <c r="A198" i="160"/>
  <c r="N197" i="160"/>
  <c r="M197" i="160"/>
  <c r="L197" i="160"/>
  <c r="K197" i="160"/>
  <c r="H197" i="160"/>
  <c r="A197" i="160"/>
  <c r="N196" i="160"/>
  <c r="M196" i="160"/>
  <c r="L196" i="160"/>
  <c r="K196" i="160"/>
  <c r="H196" i="160"/>
  <c r="A196" i="160"/>
  <c r="N195" i="160"/>
  <c r="M195" i="160"/>
  <c r="L195" i="160"/>
  <c r="K195" i="160"/>
  <c r="H195" i="160"/>
  <c r="A195" i="160"/>
  <c r="N194" i="160"/>
  <c r="M194" i="160"/>
  <c r="L194" i="160"/>
  <c r="K194" i="160"/>
  <c r="H194" i="160"/>
  <c r="A194" i="160"/>
  <c r="N193" i="160"/>
  <c r="M193" i="160"/>
  <c r="L193" i="160"/>
  <c r="K193" i="160"/>
  <c r="H193" i="160"/>
  <c r="A193" i="160"/>
  <c r="N192" i="160"/>
  <c r="M192" i="160"/>
  <c r="L192" i="160"/>
  <c r="K192" i="160"/>
  <c r="H192" i="160"/>
  <c r="A192" i="160"/>
  <c r="N191" i="160"/>
  <c r="M191" i="160"/>
  <c r="L191" i="160"/>
  <c r="K191" i="160"/>
  <c r="H191" i="160"/>
  <c r="A191" i="160"/>
  <c r="N190" i="160"/>
  <c r="M190" i="160"/>
  <c r="L190" i="160"/>
  <c r="K190" i="160"/>
  <c r="H190" i="160"/>
  <c r="A190" i="160"/>
  <c r="N189" i="160"/>
  <c r="M189" i="160"/>
  <c r="L189" i="160"/>
  <c r="K189" i="160"/>
  <c r="H189" i="160"/>
  <c r="A189" i="160"/>
  <c r="N188" i="160"/>
  <c r="M188" i="160"/>
  <c r="L188" i="160"/>
  <c r="K188" i="160"/>
  <c r="H188" i="160"/>
  <c r="A188" i="160"/>
  <c r="N187" i="160"/>
  <c r="M187" i="160"/>
  <c r="L187" i="160"/>
  <c r="K187" i="160"/>
  <c r="H187" i="160"/>
  <c r="A187" i="160"/>
  <c r="N186" i="160"/>
  <c r="M186" i="160"/>
  <c r="L186" i="160"/>
  <c r="K186" i="160"/>
  <c r="H186" i="160"/>
  <c r="A186" i="160"/>
  <c r="N185" i="160"/>
  <c r="M185" i="160"/>
  <c r="L185" i="160"/>
  <c r="K185" i="160"/>
  <c r="H185" i="160"/>
  <c r="A185" i="160"/>
  <c r="N184" i="160"/>
  <c r="M184" i="160"/>
  <c r="L184" i="160"/>
  <c r="K184" i="160"/>
  <c r="H184" i="160"/>
  <c r="A184" i="160"/>
  <c r="N183" i="160"/>
  <c r="M183" i="160"/>
  <c r="L183" i="160"/>
  <c r="K183" i="160"/>
  <c r="H183" i="160"/>
  <c r="A183" i="160"/>
  <c r="N182" i="160"/>
  <c r="M182" i="160"/>
  <c r="L182" i="160"/>
  <c r="K182" i="160"/>
  <c r="H182" i="160"/>
  <c r="A182" i="160"/>
  <c r="N181" i="160"/>
  <c r="M181" i="160"/>
  <c r="L181" i="160"/>
  <c r="K181" i="160"/>
  <c r="H181" i="160"/>
  <c r="A181" i="160"/>
  <c r="N180" i="160"/>
  <c r="M180" i="160"/>
  <c r="L180" i="160"/>
  <c r="K180" i="160"/>
  <c r="H180" i="160"/>
  <c r="A180" i="160"/>
  <c r="N179" i="160"/>
  <c r="M179" i="160"/>
  <c r="L179" i="160"/>
  <c r="K179" i="160"/>
  <c r="H179" i="160"/>
  <c r="A179" i="160"/>
  <c r="N178" i="160"/>
  <c r="M178" i="160"/>
  <c r="L178" i="160"/>
  <c r="K178" i="160"/>
  <c r="H178" i="160"/>
  <c r="A178" i="160"/>
  <c r="N177" i="160"/>
  <c r="M177" i="160"/>
  <c r="L177" i="160"/>
  <c r="K177" i="160"/>
  <c r="H177" i="160"/>
  <c r="A177" i="160"/>
  <c r="N176" i="160"/>
  <c r="M176" i="160"/>
  <c r="L176" i="160"/>
  <c r="K176" i="160"/>
  <c r="H176" i="160"/>
  <c r="A176" i="160"/>
  <c r="N175" i="160"/>
  <c r="M175" i="160"/>
  <c r="L175" i="160"/>
  <c r="K175" i="160"/>
  <c r="H175" i="160"/>
  <c r="A175" i="160"/>
  <c r="N174" i="160"/>
  <c r="M174" i="160"/>
  <c r="L174" i="160"/>
  <c r="K174" i="160"/>
  <c r="H174" i="160"/>
  <c r="A174" i="160"/>
  <c r="N173" i="160"/>
  <c r="M173" i="160"/>
  <c r="L173" i="160"/>
  <c r="K173" i="160"/>
  <c r="H173" i="160"/>
  <c r="A173" i="160"/>
  <c r="N172" i="160"/>
  <c r="M172" i="160"/>
  <c r="L172" i="160"/>
  <c r="K172" i="160"/>
  <c r="H172" i="160"/>
  <c r="A172" i="160"/>
  <c r="N171" i="160"/>
  <c r="M171" i="160"/>
  <c r="L171" i="160"/>
  <c r="K171" i="160"/>
  <c r="H171" i="160"/>
  <c r="A171" i="160"/>
  <c r="N170" i="160"/>
  <c r="M170" i="160"/>
  <c r="L170" i="160"/>
  <c r="K170" i="160"/>
  <c r="H170" i="160"/>
  <c r="A170" i="160"/>
  <c r="N169" i="160"/>
  <c r="M169" i="160"/>
  <c r="L169" i="160"/>
  <c r="K169" i="160"/>
  <c r="H169" i="160"/>
  <c r="A169" i="160"/>
  <c r="N168" i="160"/>
  <c r="M168" i="160"/>
  <c r="L168" i="160"/>
  <c r="K168" i="160"/>
  <c r="H168" i="160"/>
  <c r="A168" i="160"/>
  <c r="N167" i="160"/>
  <c r="M167" i="160"/>
  <c r="L167" i="160"/>
  <c r="K167" i="160"/>
  <c r="H167" i="160"/>
  <c r="A167" i="160"/>
  <c r="N166" i="160"/>
  <c r="M166" i="160"/>
  <c r="L166" i="160"/>
  <c r="K166" i="160"/>
  <c r="H166" i="160"/>
  <c r="A166" i="160"/>
  <c r="N165" i="160"/>
  <c r="M165" i="160"/>
  <c r="L165" i="160"/>
  <c r="K165" i="160"/>
  <c r="H165" i="160"/>
  <c r="A165" i="160"/>
  <c r="N164" i="160"/>
  <c r="M164" i="160"/>
  <c r="L164" i="160"/>
  <c r="K164" i="160"/>
  <c r="H164" i="160"/>
  <c r="A164" i="160"/>
  <c r="N163" i="160"/>
  <c r="M163" i="160"/>
  <c r="L163" i="160"/>
  <c r="K163" i="160"/>
  <c r="H163" i="160"/>
  <c r="A163" i="160"/>
  <c r="N162" i="160"/>
  <c r="M162" i="160"/>
  <c r="L162" i="160"/>
  <c r="K162" i="160"/>
  <c r="H162" i="160"/>
  <c r="A162" i="160"/>
  <c r="N161" i="160"/>
  <c r="M161" i="160"/>
  <c r="L161" i="160"/>
  <c r="K161" i="160"/>
  <c r="H161" i="160"/>
  <c r="A161" i="160"/>
  <c r="N160" i="160"/>
  <c r="M160" i="160"/>
  <c r="L160" i="160"/>
  <c r="K160" i="160"/>
  <c r="H160" i="160"/>
  <c r="A160" i="160"/>
  <c r="N159" i="160"/>
  <c r="M159" i="160"/>
  <c r="L159" i="160"/>
  <c r="K159" i="160"/>
  <c r="H159" i="160"/>
  <c r="A159" i="160"/>
  <c r="N158" i="160"/>
  <c r="M158" i="160"/>
  <c r="L158" i="160"/>
  <c r="K158" i="160"/>
  <c r="H158" i="160"/>
  <c r="A158" i="160"/>
  <c r="N157" i="160"/>
  <c r="M157" i="160"/>
  <c r="L157" i="160"/>
  <c r="K157" i="160"/>
  <c r="H157" i="160"/>
  <c r="A157" i="160"/>
  <c r="N156" i="160"/>
  <c r="M156" i="160"/>
  <c r="L156" i="160"/>
  <c r="K156" i="160"/>
  <c r="H156" i="160"/>
  <c r="A156" i="160"/>
  <c r="N155" i="160"/>
  <c r="M155" i="160"/>
  <c r="L155" i="160"/>
  <c r="K155" i="160"/>
  <c r="H155" i="160"/>
  <c r="A155" i="160"/>
  <c r="N154" i="160"/>
  <c r="M154" i="160"/>
  <c r="L154" i="160"/>
  <c r="K154" i="160"/>
  <c r="H154" i="160"/>
  <c r="A154" i="160"/>
  <c r="N153" i="160"/>
  <c r="M153" i="160"/>
  <c r="L153" i="160"/>
  <c r="K153" i="160"/>
  <c r="H153" i="160"/>
  <c r="A153" i="160"/>
  <c r="N152" i="160"/>
  <c r="M152" i="160"/>
  <c r="L152" i="160"/>
  <c r="K152" i="160"/>
  <c r="H152" i="160"/>
  <c r="A152" i="160"/>
  <c r="N151" i="160"/>
  <c r="M151" i="160"/>
  <c r="L151" i="160"/>
  <c r="K151" i="160"/>
  <c r="H151" i="160"/>
  <c r="A151" i="160"/>
  <c r="N150" i="160"/>
  <c r="M150" i="160"/>
  <c r="L150" i="160"/>
  <c r="K150" i="160"/>
  <c r="H150" i="160"/>
  <c r="A150" i="160"/>
  <c r="N149" i="160"/>
  <c r="M149" i="160"/>
  <c r="L149" i="160"/>
  <c r="K149" i="160"/>
  <c r="H149" i="160"/>
  <c r="A149" i="160"/>
  <c r="N148" i="160"/>
  <c r="M148" i="160"/>
  <c r="L148" i="160"/>
  <c r="K148" i="160"/>
  <c r="H148" i="160"/>
  <c r="A148" i="160"/>
  <c r="N147" i="160"/>
  <c r="M147" i="160"/>
  <c r="L147" i="160"/>
  <c r="K147" i="160"/>
  <c r="H147" i="160"/>
  <c r="A147" i="160"/>
  <c r="N146" i="160"/>
  <c r="M146" i="160"/>
  <c r="L146" i="160"/>
  <c r="K146" i="160"/>
  <c r="H146" i="160"/>
  <c r="A146" i="160"/>
  <c r="N145" i="160"/>
  <c r="M145" i="160"/>
  <c r="L145" i="160"/>
  <c r="K145" i="160"/>
  <c r="H145" i="160"/>
  <c r="A145" i="160"/>
  <c r="N144" i="160"/>
  <c r="M144" i="160"/>
  <c r="L144" i="160"/>
  <c r="K144" i="160"/>
  <c r="H144" i="160"/>
  <c r="A144" i="160"/>
  <c r="N143" i="160"/>
  <c r="M143" i="160"/>
  <c r="L143" i="160"/>
  <c r="K143" i="160"/>
  <c r="H143" i="160"/>
  <c r="A143" i="160"/>
  <c r="N142" i="160"/>
  <c r="M142" i="160"/>
  <c r="L142" i="160"/>
  <c r="K142" i="160"/>
  <c r="H142" i="160"/>
  <c r="A142" i="160"/>
  <c r="N141" i="160"/>
  <c r="M141" i="160"/>
  <c r="L141" i="160"/>
  <c r="K141" i="160"/>
  <c r="H141" i="160"/>
  <c r="A141" i="160"/>
  <c r="N140" i="160"/>
  <c r="M140" i="160"/>
  <c r="L140" i="160"/>
  <c r="K140" i="160"/>
  <c r="H140" i="160"/>
  <c r="A140" i="160"/>
  <c r="N139" i="160"/>
  <c r="M139" i="160"/>
  <c r="L139" i="160"/>
  <c r="K139" i="160"/>
  <c r="H139" i="160"/>
  <c r="A139" i="160"/>
  <c r="N138" i="160"/>
  <c r="M138" i="160"/>
  <c r="L138" i="160"/>
  <c r="K138" i="160"/>
  <c r="H138" i="160"/>
  <c r="A138" i="160"/>
  <c r="N137" i="160"/>
  <c r="M137" i="160"/>
  <c r="L137" i="160"/>
  <c r="K137" i="160"/>
  <c r="H137" i="160"/>
  <c r="A137" i="160"/>
  <c r="N136" i="160"/>
  <c r="M136" i="160"/>
  <c r="L136" i="160"/>
  <c r="K136" i="160"/>
  <c r="H136" i="160"/>
  <c r="A136" i="160"/>
  <c r="N135" i="160"/>
  <c r="M135" i="160"/>
  <c r="L135" i="160"/>
  <c r="K135" i="160"/>
  <c r="H135" i="160"/>
  <c r="A135" i="160"/>
  <c r="N134" i="160"/>
  <c r="M134" i="160"/>
  <c r="L134" i="160"/>
  <c r="K134" i="160"/>
  <c r="H134" i="160"/>
  <c r="A134" i="160"/>
  <c r="N133" i="160"/>
  <c r="M133" i="160"/>
  <c r="L133" i="160"/>
  <c r="K133" i="160"/>
  <c r="H133" i="160"/>
  <c r="A133" i="160"/>
  <c r="N132" i="160"/>
  <c r="M132" i="160"/>
  <c r="L132" i="160"/>
  <c r="K132" i="160"/>
  <c r="H132" i="160"/>
  <c r="A132" i="160"/>
  <c r="N131" i="160"/>
  <c r="M131" i="160"/>
  <c r="L131" i="160"/>
  <c r="K131" i="160"/>
  <c r="H131" i="160"/>
  <c r="A131" i="160"/>
  <c r="N130" i="160"/>
  <c r="M130" i="160"/>
  <c r="L130" i="160"/>
  <c r="K130" i="160"/>
  <c r="H130" i="160"/>
  <c r="A130" i="160"/>
  <c r="N129" i="160"/>
  <c r="M129" i="160"/>
  <c r="L129" i="160"/>
  <c r="K129" i="160"/>
  <c r="H129" i="160"/>
  <c r="A129" i="160"/>
  <c r="N128" i="160"/>
  <c r="M128" i="160"/>
  <c r="L128" i="160"/>
  <c r="K128" i="160"/>
  <c r="H128" i="160"/>
  <c r="A128" i="160"/>
  <c r="N127" i="160"/>
  <c r="M127" i="160"/>
  <c r="L127" i="160"/>
  <c r="K127" i="160"/>
  <c r="H127" i="160"/>
  <c r="A127" i="160"/>
  <c r="N126" i="160"/>
  <c r="M126" i="160"/>
  <c r="L126" i="160"/>
  <c r="K126" i="160"/>
  <c r="H126" i="160"/>
  <c r="A126" i="160"/>
  <c r="N125" i="160"/>
  <c r="M125" i="160"/>
  <c r="L125" i="160"/>
  <c r="K125" i="160"/>
  <c r="H125" i="160"/>
  <c r="A125" i="160"/>
  <c r="N124" i="160"/>
  <c r="M124" i="160"/>
  <c r="L124" i="160"/>
  <c r="K124" i="160"/>
  <c r="H124" i="160"/>
  <c r="A124" i="160"/>
  <c r="N123" i="160"/>
  <c r="M123" i="160"/>
  <c r="L123" i="160"/>
  <c r="K123" i="160"/>
  <c r="H123" i="160"/>
  <c r="A123" i="160"/>
  <c r="N122" i="160"/>
  <c r="M122" i="160"/>
  <c r="L122" i="160"/>
  <c r="K122" i="160"/>
  <c r="H122" i="160"/>
  <c r="A122" i="160"/>
  <c r="N121" i="160"/>
  <c r="M121" i="160"/>
  <c r="L121" i="160"/>
  <c r="K121" i="160"/>
  <c r="H121" i="160"/>
  <c r="A121" i="160"/>
  <c r="N120" i="160"/>
  <c r="M120" i="160"/>
  <c r="L120" i="160"/>
  <c r="K120" i="160"/>
  <c r="H120" i="160"/>
  <c r="A120" i="160"/>
  <c r="N119" i="160"/>
  <c r="M119" i="160"/>
  <c r="L119" i="160"/>
  <c r="K119" i="160"/>
  <c r="H119" i="160"/>
  <c r="A119" i="160"/>
  <c r="N118" i="160"/>
  <c r="M118" i="160"/>
  <c r="L118" i="160"/>
  <c r="K118" i="160"/>
  <c r="H118" i="160"/>
  <c r="A118" i="160"/>
  <c r="N117" i="160"/>
  <c r="M117" i="160"/>
  <c r="L117" i="160"/>
  <c r="K117" i="160"/>
  <c r="H117" i="160"/>
  <c r="A117" i="160"/>
  <c r="N116" i="160"/>
  <c r="M116" i="160"/>
  <c r="L116" i="160"/>
  <c r="K116" i="160"/>
  <c r="H116" i="160"/>
  <c r="A116" i="160"/>
  <c r="N115" i="160"/>
  <c r="M115" i="160"/>
  <c r="L115" i="160"/>
  <c r="K115" i="160"/>
  <c r="H115" i="160"/>
  <c r="A115" i="160"/>
  <c r="N114" i="160"/>
  <c r="M114" i="160"/>
  <c r="L114" i="160"/>
  <c r="K114" i="160"/>
  <c r="H114" i="160"/>
  <c r="A114" i="160"/>
  <c r="N113" i="160"/>
  <c r="M113" i="160"/>
  <c r="L113" i="160"/>
  <c r="K113" i="160"/>
  <c r="H113" i="160"/>
  <c r="A113" i="160"/>
  <c r="N112" i="160"/>
  <c r="M112" i="160"/>
  <c r="L112" i="160"/>
  <c r="K112" i="160"/>
  <c r="H112" i="160"/>
  <c r="A112" i="160"/>
  <c r="N111" i="160"/>
  <c r="M111" i="160"/>
  <c r="L111" i="160"/>
  <c r="K111" i="160"/>
  <c r="H111" i="160"/>
  <c r="A111" i="160"/>
  <c r="N110" i="160"/>
  <c r="M110" i="160"/>
  <c r="L110" i="160"/>
  <c r="K110" i="160"/>
  <c r="H110" i="160"/>
  <c r="A110" i="160"/>
  <c r="N109" i="160"/>
  <c r="M109" i="160"/>
  <c r="L109" i="160"/>
  <c r="K109" i="160"/>
  <c r="H109" i="160"/>
  <c r="A109" i="160"/>
  <c r="N108" i="160"/>
  <c r="M108" i="160"/>
  <c r="L108" i="160"/>
  <c r="K108" i="160"/>
  <c r="H108" i="160"/>
  <c r="A108" i="160"/>
  <c r="N107" i="160"/>
  <c r="M107" i="160"/>
  <c r="L107" i="160"/>
  <c r="K107" i="160"/>
  <c r="H107" i="160"/>
  <c r="A107" i="160"/>
  <c r="N106" i="160"/>
  <c r="M106" i="160"/>
  <c r="L106" i="160"/>
  <c r="K106" i="160"/>
  <c r="H106" i="160"/>
  <c r="A106" i="160"/>
  <c r="N105" i="160"/>
  <c r="M105" i="160"/>
  <c r="L105" i="160"/>
  <c r="K105" i="160"/>
  <c r="H105" i="160"/>
  <c r="A105" i="160"/>
  <c r="N104" i="160"/>
  <c r="M104" i="160"/>
  <c r="L104" i="160"/>
  <c r="K104" i="160"/>
  <c r="H104" i="160"/>
  <c r="A104" i="160"/>
  <c r="N103" i="160"/>
  <c r="M103" i="160"/>
  <c r="L103" i="160"/>
  <c r="K103" i="160"/>
  <c r="H103" i="160"/>
  <c r="A103" i="160"/>
  <c r="N102" i="160"/>
  <c r="M102" i="160"/>
  <c r="L102" i="160"/>
  <c r="K102" i="160"/>
  <c r="H102" i="160"/>
  <c r="A102" i="160"/>
  <c r="N101" i="160"/>
  <c r="M101" i="160"/>
  <c r="L101" i="160"/>
  <c r="K101" i="160"/>
  <c r="H101" i="160"/>
  <c r="A101" i="160"/>
  <c r="N100" i="160"/>
  <c r="M100" i="160"/>
  <c r="L100" i="160"/>
  <c r="K100" i="160"/>
  <c r="H100" i="160"/>
  <c r="A100" i="160"/>
  <c r="N99" i="160"/>
  <c r="M99" i="160"/>
  <c r="L99" i="160"/>
  <c r="K99" i="160"/>
  <c r="H99" i="160"/>
  <c r="A99" i="160"/>
  <c r="N98" i="160"/>
  <c r="M98" i="160"/>
  <c r="L98" i="160"/>
  <c r="K98" i="160"/>
  <c r="H98" i="160"/>
  <c r="A98" i="160"/>
  <c r="N97" i="160"/>
  <c r="M97" i="160"/>
  <c r="L97" i="160"/>
  <c r="K97" i="160"/>
  <c r="H97" i="160"/>
  <c r="A97" i="160"/>
  <c r="N96" i="160"/>
  <c r="M96" i="160"/>
  <c r="L96" i="160"/>
  <c r="K96" i="160"/>
  <c r="H96" i="160"/>
  <c r="A96" i="160"/>
  <c r="N95" i="160"/>
  <c r="M95" i="160"/>
  <c r="L95" i="160"/>
  <c r="K95" i="160"/>
  <c r="H95" i="160"/>
  <c r="A95" i="160"/>
  <c r="N94" i="160"/>
  <c r="M94" i="160"/>
  <c r="L94" i="160"/>
  <c r="K94" i="160"/>
  <c r="H94" i="160"/>
  <c r="A94" i="160"/>
  <c r="N93" i="160"/>
  <c r="M93" i="160"/>
  <c r="L93" i="160"/>
  <c r="K93" i="160"/>
  <c r="H93" i="160"/>
  <c r="A93" i="160"/>
  <c r="N92" i="160"/>
  <c r="M92" i="160"/>
  <c r="L92" i="160"/>
  <c r="K92" i="160"/>
  <c r="H92" i="160"/>
  <c r="A92" i="160"/>
  <c r="N91" i="160"/>
  <c r="M91" i="160"/>
  <c r="L91" i="160"/>
  <c r="K91" i="160"/>
  <c r="H91" i="160"/>
  <c r="A91" i="160"/>
  <c r="N90" i="160"/>
  <c r="M90" i="160"/>
  <c r="L90" i="160"/>
  <c r="K90" i="160"/>
  <c r="H90" i="160"/>
  <c r="A90" i="160"/>
  <c r="N89" i="160"/>
  <c r="M89" i="160"/>
  <c r="L89" i="160"/>
  <c r="K89" i="160"/>
  <c r="H89" i="160"/>
  <c r="A89" i="160"/>
  <c r="N88" i="160"/>
  <c r="M88" i="160"/>
  <c r="L88" i="160"/>
  <c r="K88" i="160"/>
  <c r="H88" i="160"/>
  <c r="A88" i="160"/>
  <c r="N87" i="160"/>
  <c r="M87" i="160"/>
  <c r="L87" i="160"/>
  <c r="K87" i="160"/>
  <c r="H87" i="160"/>
  <c r="A87" i="160"/>
  <c r="N86" i="160"/>
  <c r="M86" i="160"/>
  <c r="L86" i="160"/>
  <c r="K86" i="160"/>
  <c r="H86" i="160"/>
  <c r="A86" i="160"/>
  <c r="N85" i="160"/>
  <c r="M85" i="160"/>
  <c r="L85" i="160"/>
  <c r="K85" i="160"/>
  <c r="H85" i="160"/>
  <c r="A85" i="160"/>
  <c r="N84" i="160"/>
  <c r="M84" i="160"/>
  <c r="L84" i="160"/>
  <c r="K84" i="160"/>
  <c r="H84" i="160"/>
  <c r="A84" i="160"/>
  <c r="N83" i="160"/>
  <c r="M83" i="160"/>
  <c r="L83" i="160"/>
  <c r="K83" i="160"/>
  <c r="H83" i="160"/>
  <c r="A83" i="160"/>
  <c r="N82" i="160"/>
  <c r="M82" i="160"/>
  <c r="L82" i="160"/>
  <c r="K82" i="160"/>
  <c r="H82" i="160"/>
  <c r="A82" i="160"/>
  <c r="N81" i="160"/>
  <c r="M81" i="160"/>
  <c r="L81" i="160"/>
  <c r="K81" i="160"/>
  <c r="H81" i="160"/>
  <c r="A81" i="160"/>
  <c r="N80" i="160"/>
  <c r="M80" i="160"/>
  <c r="L80" i="160"/>
  <c r="K80" i="160"/>
  <c r="H80" i="160"/>
  <c r="A80" i="160"/>
  <c r="N79" i="160"/>
  <c r="M79" i="160"/>
  <c r="L79" i="160"/>
  <c r="K79" i="160"/>
  <c r="H79" i="160"/>
  <c r="A79" i="160"/>
  <c r="N78" i="160"/>
  <c r="M78" i="160"/>
  <c r="L78" i="160"/>
  <c r="K78" i="160"/>
  <c r="H78" i="160"/>
  <c r="A78" i="160"/>
  <c r="N77" i="160"/>
  <c r="M77" i="160"/>
  <c r="L77" i="160"/>
  <c r="K77" i="160"/>
  <c r="H77" i="160"/>
  <c r="A77" i="160"/>
  <c r="N76" i="160"/>
  <c r="M76" i="160"/>
  <c r="L76" i="160"/>
  <c r="K76" i="160"/>
  <c r="H76" i="160"/>
  <c r="A76" i="160"/>
  <c r="N75" i="160"/>
  <c r="M75" i="160"/>
  <c r="L75" i="160"/>
  <c r="K75" i="160"/>
  <c r="H75" i="160"/>
  <c r="A75" i="160"/>
  <c r="N74" i="160"/>
  <c r="M74" i="160"/>
  <c r="L74" i="160"/>
  <c r="K74" i="160"/>
  <c r="H74" i="160"/>
  <c r="A74" i="160"/>
  <c r="N73" i="160"/>
  <c r="M73" i="160"/>
  <c r="L73" i="160"/>
  <c r="K73" i="160"/>
  <c r="H73" i="160"/>
  <c r="A73" i="160"/>
  <c r="N72" i="160"/>
  <c r="M72" i="160"/>
  <c r="L72" i="160"/>
  <c r="K72" i="160"/>
  <c r="H72" i="160"/>
  <c r="A72" i="160"/>
  <c r="N71" i="160"/>
  <c r="M71" i="160"/>
  <c r="L71" i="160"/>
  <c r="K71" i="160"/>
  <c r="H71" i="160"/>
  <c r="A71" i="160"/>
  <c r="N70" i="160"/>
  <c r="M70" i="160"/>
  <c r="L70" i="160"/>
  <c r="K70" i="160"/>
  <c r="H70" i="160"/>
  <c r="A70" i="160"/>
  <c r="N69" i="160"/>
  <c r="M69" i="160"/>
  <c r="L69" i="160"/>
  <c r="K69" i="160"/>
  <c r="H69" i="160"/>
  <c r="A69" i="160"/>
  <c r="N68" i="160"/>
  <c r="M68" i="160"/>
  <c r="L68" i="160"/>
  <c r="K68" i="160"/>
  <c r="H68" i="160"/>
  <c r="A68" i="160"/>
  <c r="N67" i="160"/>
  <c r="M67" i="160"/>
  <c r="L67" i="160"/>
  <c r="K67" i="160"/>
  <c r="H67" i="160"/>
  <c r="A67" i="160"/>
  <c r="N66" i="160"/>
  <c r="M66" i="160"/>
  <c r="L66" i="160"/>
  <c r="K66" i="160"/>
  <c r="H66" i="160"/>
  <c r="A66" i="160"/>
  <c r="N65" i="160"/>
  <c r="M65" i="160"/>
  <c r="L65" i="160"/>
  <c r="K65" i="160"/>
  <c r="H65" i="160"/>
  <c r="A65" i="160"/>
  <c r="N64" i="160"/>
  <c r="M64" i="160"/>
  <c r="L64" i="160"/>
  <c r="K64" i="160"/>
  <c r="H64" i="160"/>
  <c r="A64" i="160"/>
  <c r="N63" i="160"/>
  <c r="M63" i="160"/>
  <c r="L63" i="160"/>
  <c r="K63" i="160"/>
  <c r="H63" i="160"/>
  <c r="A63" i="160"/>
  <c r="N62" i="160"/>
  <c r="M62" i="160"/>
  <c r="L62" i="160"/>
  <c r="K62" i="160"/>
  <c r="H62" i="160"/>
  <c r="A62" i="160"/>
  <c r="N61" i="160"/>
  <c r="M61" i="160"/>
  <c r="L61" i="160"/>
  <c r="K61" i="160"/>
  <c r="H61" i="160"/>
  <c r="A61" i="160"/>
  <c r="N60" i="160"/>
  <c r="M60" i="160"/>
  <c r="L60" i="160"/>
  <c r="K60" i="160"/>
  <c r="H60" i="160"/>
  <c r="A60" i="160"/>
  <c r="N59" i="160"/>
  <c r="M59" i="160"/>
  <c r="L59" i="160"/>
  <c r="K59" i="160"/>
  <c r="H59" i="160"/>
  <c r="A59" i="160"/>
  <c r="N58" i="160"/>
  <c r="M58" i="160"/>
  <c r="L58" i="160"/>
  <c r="K58" i="160"/>
  <c r="H58" i="160"/>
  <c r="A58" i="160"/>
  <c r="N57" i="160"/>
  <c r="M57" i="160"/>
  <c r="L57" i="160"/>
  <c r="K57" i="160"/>
  <c r="H57" i="160"/>
  <c r="A57" i="160"/>
  <c r="N56" i="160"/>
  <c r="M56" i="160"/>
  <c r="L56" i="160"/>
  <c r="K56" i="160"/>
  <c r="H56" i="160"/>
  <c r="A56" i="160"/>
  <c r="N55" i="160"/>
  <c r="M55" i="160"/>
  <c r="L55" i="160"/>
  <c r="K55" i="160"/>
  <c r="H55" i="160"/>
  <c r="A55" i="160"/>
  <c r="N54" i="160"/>
  <c r="M54" i="160"/>
  <c r="L54" i="160"/>
  <c r="K54" i="160"/>
  <c r="H54" i="160"/>
  <c r="A54" i="160"/>
  <c r="N53" i="160"/>
  <c r="M53" i="160"/>
  <c r="L53" i="160"/>
  <c r="K53" i="160"/>
  <c r="H53" i="160"/>
  <c r="A53" i="160"/>
  <c r="N52" i="160"/>
  <c r="M52" i="160"/>
  <c r="L52" i="160"/>
  <c r="K52" i="160"/>
  <c r="H52" i="160"/>
  <c r="A52" i="160"/>
  <c r="N51" i="160"/>
  <c r="M51" i="160"/>
  <c r="L51" i="160"/>
  <c r="K51" i="160"/>
  <c r="H51" i="160"/>
  <c r="A51" i="160"/>
  <c r="N50" i="160"/>
  <c r="M50" i="160"/>
  <c r="L50" i="160"/>
  <c r="K50" i="160"/>
  <c r="H50" i="160"/>
  <c r="A50" i="160"/>
  <c r="N49" i="160"/>
  <c r="M49" i="160"/>
  <c r="L49" i="160"/>
  <c r="K49" i="160"/>
  <c r="H49" i="160"/>
  <c r="A49" i="160"/>
  <c r="N48" i="160"/>
  <c r="M48" i="160"/>
  <c r="L48" i="160"/>
  <c r="K48" i="160"/>
  <c r="H48" i="160"/>
  <c r="A48" i="160"/>
  <c r="N47" i="160"/>
  <c r="M47" i="160"/>
  <c r="L47" i="160"/>
  <c r="K47" i="160"/>
  <c r="H47" i="160"/>
  <c r="A47" i="160"/>
  <c r="N46" i="160"/>
  <c r="M46" i="160"/>
  <c r="L46" i="160"/>
  <c r="K46" i="160"/>
  <c r="H46" i="160"/>
  <c r="A46" i="160"/>
  <c r="N45" i="160"/>
  <c r="M45" i="160"/>
  <c r="L45" i="160"/>
  <c r="K45" i="160"/>
  <c r="H45" i="160"/>
  <c r="A45" i="160"/>
  <c r="N44" i="160"/>
  <c r="M44" i="160"/>
  <c r="L44" i="160"/>
  <c r="K44" i="160"/>
  <c r="H44" i="160"/>
  <c r="A44" i="160"/>
  <c r="N43" i="160"/>
  <c r="M43" i="160"/>
  <c r="L43" i="160"/>
  <c r="K43" i="160"/>
  <c r="H43" i="160"/>
  <c r="A43" i="160"/>
  <c r="N42" i="160"/>
  <c r="M42" i="160"/>
  <c r="L42" i="160"/>
  <c r="K42" i="160"/>
  <c r="H42" i="160"/>
  <c r="A42" i="160"/>
  <c r="N41" i="160"/>
  <c r="M41" i="160"/>
  <c r="L41" i="160"/>
  <c r="K41" i="160"/>
  <c r="H41" i="160"/>
  <c r="A41" i="160"/>
  <c r="N40" i="160"/>
  <c r="M40" i="160"/>
  <c r="L40" i="160"/>
  <c r="K40" i="160"/>
  <c r="H40" i="160"/>
  <c r="A40" i="160"/>
  <c r="N39" i="160"/>
  <c r="M39" i="160"/>
  <c r="L39" i="160"/>
  <c r="K39" i="160"/>
  <c r="H39" i="160"/>
  <c r="A39" i="160"/>
  <c r="N38" i="160"/>
  <c r="M38" i="160"/>
  <c r="L38" i="160"/>
  <c r="K38" i="160"/>
  <c r="H38" i="160"/>
  <c r="A38" i="160"/>
  <c r="N37" i="160"/>
  <c r="M37" i="160"/>
  <c r="L37" i="160"/>
  <c r="K37" i="160"/>
  <c r="H37" i="160"/>
  <c r="A37" i="160"/>
  <c r="N36" i="160"/>
  <c r="M36" i="160"/>
  <c r="L36" i="160"/>
  <c r="K36" i="160"/>
  <c r="H36" i="160"/>
  <c r="A36" i="160"/>
  <c r="N35" i="160"/>
  <c r="M35" i="160"/>
  <c r="L35" i="160"/>
  <c r="K35" i="160"/>
  <c r="H35" i="160"/>
  <c r="A35" i="160"/>
  <c r="N34" i="160"/>
  <c r="M34" i="160"/>
  <c r="L34" i="160"/>
  <c r="K34" i="160"/>
  <c r="H34" i="160"/>
  <c r="A34" i="160"/>
  <c r="N33" i="160"/>
  <c r="M33" i="160"/>
  <c r="L33" i="160"/>
  <c r="K33" i="160"/>
  <c r="H33" i="160"/>
  <c r="A33" i="160"/>
  <c r="N32" i="160"/>
  <c r="M32" i="160"/>
  <c r="L32" i="160"/>
  <c r="K32" i="160"/>
  <c r="H32" i="160"/>
  <c r="A32" i="160"/>
  <c r="N31" i="160"/>
  <c r="M31" i="160"/>
  <c r="L31" i="160"/>
  <c r="K31" i="160"/>
  <c r="H31" i="160"/>
  <c r="A31" i="160"/>
  <c r="N30" i="160"/>
  <c r="M30" i="160"/>
  <c r="L30" i="160"/>
  <c r="K30" i="160"/>
  <c r="H30" i="160"/>
  <c r="A30" i="160"/>
  <c r="N29" i="160"/>
  <c r="M29" i="160"/>
  <c r="L29" i="160"/>
  <c r="K29" i="160"/>
  <c r="H29" i="160"/>
  <c r="A29" i="160"/>
  <c r="N28" i="160"/>
  <c r="M28" i="160"/>
  <c r="L28" i="160"/>
  <c r="K28" i="160"/>
  <c r="H28" i="160"/>
  <c r="A28" i="160"/>
  <c r="N27" i="160"/>
  <c r="M27" i="160"/>
  <c r="L27" i="160"/>
  <c r="K27" i="160"/>
  <c r="H27" i="160"/>
  <c r="A27" i="160"/>
  <c r="N26" i="160"/>
  <c r="M26" i="160"/>
  <c r="L26" i="160"/>
  <c r="K26" i="160"/>
  <c r="H26" i="160"/>
  <c r="A26" i="160"/>
  <c r="N25" i="160"/>
  <c r="M25" i="160"/>
  <c r="L25" i="160"/>
  <c r="K25" i="160"/>
  <c r="H25" i="160"/>
  <c r="A25" i="160"/>
  <c r="N24" i="160"/>
  <c r="M24" i="160"/>
  <c r="L24" i="160"/>
  <c r="K24" i="160"/>
  <c r="H24" i="160"/>
  <c r="A24" i="160"/>
  <c r="N23" i="160"/>
  <c r="M23" i="160"/>
  <c r="L23" i="160"/>
  <c r="K23" i="160"/>
  <c r="H23" i="160"/>
  <c r="A23" i="160"/>
  <c r="N22" i="160"/>
  <c r="M22" i="160"/>
  <c r="L22" i="160"/>
  <c r="K22" i="160"/>
  <c r="H22" i="160"/>
  <c r="A22" i="160"/>
  <c r="N21" i="160"/>
  <c r="M21" i="160"/>
  <c r="L21" i="160"/>
  <c r="K21" i="160"/>
  <c r="H21" i="160"/>
  <c r="A21" i="160"/>
  <c r="N20" i="160"/>
  <c r="M20" i="160"/>
  <c r="L20" i="160"/>
  <c r="K20" i="160"/>
  <c r="H20" i="160"/>
  <c r="A20" i="160"/>
  <c r="N19" i="160"/>
  <c r="M19" i="160"/>
  <c r="L19" i="160"/>
  <c r="K19" i="160"/>
  <c r="H19" i="160"/>
  <c r="A19" i="160"/>
  <c r="N18" i="160"/>
  <c r="M18" i="160"/>
  <c r="L18" i="160"/>
  <c r="K18" i="160"/>
  <c r="H18" i="160"/>
  <c r="A18" i="160"/>
  <c r="N17" i="160"/>
  <c r="M17" i="160"/>
  <c r="L17" i="160"/>
  <c r="K17" i="160"/>
  <c r="H17" i="160"/>
  <c r="A17" i="160"/>
  <c r="N16" i="160"/>
  <c r="M16" i="160"/>
  <c r="L16" i="160"/>
  <c r="K16" i="160"/>
  <c r="H16" i="160"/>
  <c r="A16" i="160"/>
  <c r="N15" i="160"/>
  <c r="M15" i="160"/>
  <c r="L15" i="160"/>
  <c r="K15" i="160"/>
  <c r="H15" i="160"/>
  <c r="A15" i="160"/>
  <c r="N14" i="160"/>
  <c r="M14" i="160"/>
  <c r="L14" i="160"/>
  <c r="K14" i="160"/>
  <c r="H14" i="160"/>
  <c r="A14" i="160"/>
  <c r="N13" i="160"/>
  <c r="M13" i="160"/>
  <c r="L13" i="160"/>
  <c r="K13" i="160"/>
  <c r="H13" i="160"/>
  <c r="A13" i="160"/>
  <c r="N12" i="160"/>
  <c r="M12" i="160"/>
  <c r="L12" i="160"/>
  <c r="K12" i="160"/>
  <c r="H12" i="160"/>
  <c r="A12" i="160"/>
  <c r="N11" i="160"/>
  <c r="M11" i="160"/>
  <c r="L11" i="160"/>
  <c r="K11" i="160"/>
  <c r="H11" i="160"/>
  <c r="A11" i="160"/>
  <c r="N10" i="160"/>
  <c r="M10" i="160"/>
  <c r="L10" i="160"/>
  <c r="K10" i="160"/>
  <c r="H10" i="160"/>
  <c r="A10" i="160"/>
  <c r="N9" i="160"/>
  <c r="M9" i="160"/>
  <c r="L9" i="160"/>
  <c r="K9" i="160"/>
  <c r="H9" i="160"/>
  <c r="A9" i="160"/>
  <c r="N8" i="160"/>
  <c r="M8" i="160"/>
  <c r="L8" i="160"/>
  <c r="K8" i="160"/>
  <c r="H8" i="160"/>
  <c r="A8" i="160"/>
  <c r="N7" i="160"/>
  <c r="M7" i="160"/>
  <c r="L7" i="160"/>
  <c r="K7" i="160"/>
  <c r="H7" i="160"/>
  <c r="A7" i="160"/>
  <c r="N6" i="160"/>
  <c r="M6" i="160"/>
  <c r="L6" i="160"/>
  <c r="K6" i="160"/>
  <c r="H6" i="160"/>
  <c r="A6" i="160"/>
  <c r="N5" i="160"/>
  <c r="M5" i="160"/>
  <c r="L5" i="160"/>
  <c r="K5" i="160"/>
  <c r="H5" i="160"/>
  <c r="A5" i="160"/>
  <c r="N4" i="160"/>
  <c r="M4" i="160"/>
  <c r="L4" i="160"/>
  <c r="K4" i="160"/>
  <c r="H4" i="160"/>
  <c r="A4" i="160"/>
  <c r="N3" i="160"/>
  <c r="M3" i="160"/>
  <c r="L3" i="160"/>
  <c r="K3" i="160"/>
  <c r="H3" i="160"/>
  <c r="A3" i="160"/>
  <c r="N2" i="160"/>
  <c r="M2" i="160"/>
  <c r="L2" i="160"/>
  <c r="K2" i="160"/>
  <c r="H2" i="160"/>
  <c r="A2" i="160"/>
  <c r="F47" i="159"/>
  <c r="B40" i="159"/>
  <c r="B41" i="159"/>
  <c r="B42" i="159"/>
  <c r="B44" i="159"/>
  <c r="B45" i="159"/>
  <c r="B46" i="159"/>
  <c r="B47" i="159"/>
  <c r="C40" i="159"/>
  <c r="C41" i="159"/>
  <c r="C42" i="159"/>
  <c r="C43" i="159"/>
  <c r="C44" i="159"/>
  <c r="C45" i="159"/>
  <c r="C46" i="159"/>
  <c r="C47" i="159"/>
  <c r="F46" i="159"/>
  <c r="F45" i="159"/>
  <c r="F42" i="159"/>
  <c r="G42" i="159"/>
  <c r="F41" i="159"/>
  <c r="G41" i="159"/>
  <c r="F40" i="159"/>
  <c r="G40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I31" i="159"/>
  <c r="J31" i="159"/>
  <c r="F31" i="159"/>
  <c r="D31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P20" i="159"/>
  <c r="O20" i="159"/>
  <c r="M20" i="159"/>
  <c r="I20" i="159"/>
  <c r="J20" i="159"/>
  <c r="F20" i="159"/>
  <c r="D20" i="159"/>
  <c r="P19" i="159"/>
  <c r="O19" i="159"/>
  <c r="M19" i="159"/>
  <c r="I19" i="159"/>
  <c r="J19" i="159"/>
  <c r="F19" i="159"/>
  <c r="D19" i="159"/>
  <c r="P18" i="159"/>
  <c r="O18" i="159"/>
  <c r="M18" i="159"/>
  <c r="I18" i="159"/>
  <c r="J18" i="159"/>
  <c r="F18" i="159"/>
  <c r="C18" i="159"/>
  <c r="D18" i="159"/>
  <c r="P17" i="159"/>
  <c r="O17" i="159"/>
  <c r="M17" i="159"/>
  <c r="I17" i="159"/>
  <c r="J17" i="159"/>
  <c r="F17" i="159"/>
  <c r="C17" i="159"/>
  <c r="D17" i="159"/>
  <c r="V16" i="159"/>
  <c r="P16" i="159"/>
  <c r="O16" i="159"/>
  <c r="M16" i="159"/>
  <c r="V15" i="159"/>
  <c r="P15" i="159"/>
  <c r="O15" i="159"/>
  <c r="M15" i="159"/>
  <c r="V14" i="159"/>
  <c r="P14" i="159"/>
  <c r="O14" i="159"/>
  <c r="M14" i="159"/>
  <c r="V13" i="159"/>
  <c r="P13" i="159"/>
  <c r="O13" i="159"/>
  <c r="M13" i="159"/>
  <c r="V12" i="159"/>
  <c r="P12" i="159"/>
  <c r="O12" i="159"/>
  <c r="M12" i="159"/>
  <c r="V11" i="159"/>
  <c r="P11" i="159"/>
  <c r="O11" i="159"/>
  <c r="M11" i="159"/>
  <c r="V10" i="159"/>
  <c r="P10" i="159"/>
  <c r="O10" i="159"/>
  <c r="M10" i="159"/>
  <c r="V9" i="159"/>
  <c r="P9" i="159"/>
  <c r="O9" i="159"/>
  <c r="M9" i="159"/>
  <c r="V8" i="159"/>
  <c r="P8" i="159"/>
  <c r="O8" i="159"/>
  <c r="M8" i="159"/>
  <c r="V7" i="159"/>
  <c r="P7" i="159"/>
  <c r="O7" i="159"/>
  <c r="M7" i="159"/>
  <c r="V6" i="159"/>
  <c r="P6" i="159"/>
  <c r="O6" i="159"/>
  <c r="M6" i="159"/>
  <c r="V5" i="159"/>
  <c r="P5" i="159"/>
  <c r="O5" i="159"/>
  <c r="M5" i="159"/>
  <c r="V4" i="159"/>
  <c r="P4" i="159"/>
  <c r="O4" i="159"/>
  <c r="M4" i="159"/>
  <c r="V3" i="159"/>
  <c r="P3" i="159"/>
  <c r="O3" i="159"/>
  <c r="M3" i="159"/>
  <c r="V2" i="159"/>
  <c r="I2" i="156"/>
  <c r="D2" i="156"/>
  <c r="I3" i="156"/>
  <c r="D3" i="156"/>
  <c r="I4" i="156"/>
  <c r="D4" i="156"/>
  <c r="I5" i="156"/>
  <c r="D5" i="156"/>
  <c r="I6" i="156"/>
  <c r="D6" i="156"/>
  <c r="I7" i="156"/>
  <c r="D7" i="156"/>
  <c r="I8" i="156"/>
  <c r="D8" i="156"/>
  <c r="I9" i="156"/>
  <c r="D9" i="156"/>
  <c r="I10" i="156"/>
  <c r="D10" i="156"/>
  <c r="I11" i="156"/>
  <c r="D11" i="156"/>
  <c r="I12" i="156"/>
  <c r="D12" i="156"/>
  <c r="I13" i="156"/>
  <c r="D13" i="156"/>
  <c r="I14" i="156"/>
  <c r="D14" i="156"/>
  <c r="I15" i="156"/>
  <c r="D15" i="156"/>
  <c r="J7" i="156"/>
  <c r="E7" i="156"/>
  <c r="F7" i="156"/>
  <c r="C7" i="156"/>
  <c r="H7" i="156"/>
  <c r="K7" i="156"/>
  <c r="L7" i="156"/>
  <c r="M7" i="156"/>
  <c r="N7" i="156"/>
  <c r="P7" i="156"/>
  <c r="J8" i="156"/>
  <c r="E8" i="156"/>
  <c r="F8" i="156"/>
  <c r="C8" i="156"/>
  <c r="H8" i="156"/>
  <c r="K8" i="156"/>
  <c r="L8" i="156"/>
  <c r="M8" i="156"/>
  <c r="N8" i="156"/>
  <c r="P8" i="156"/>
  <c r="J9" i="156"/>
  <c r="E9" i="156"/>
  <c r="F9" i="156"/>
  <c r="C9" i="156"/>
  <c r="H9" i="156"/>
  <c r="K9" i="156"/>
  <c r="L9" i="156"/>
  <c r="M9" i="156"/>
  <c r="N9" i="156"/>
  <c r="P9" i="156"/>
  <c r="J10" i="156"/>
  <c r="E10" i="156"/>
  <c r="F10" i="156"/>
  <c r="C10" i="156"/>
  <c r="H10" i="156"/>
  <c r="K10" i="156"/>
  <c r="L10" i="156"/>
  <c r="M10" i="156"/>
  <c r="N10" i="156"/>
  <c r="P10" i="156"/>
  <c r="J11" i="156"/>
  <c r="E11" i="156"/>
  <c r="F11" i="156"/>
  <c r="C11" i="156"/>
  <c r="H11" i="156"/>
  <c r="K11" i="156"/>
  <c r="L11" i="156"/>
  <c r="M11" i="156"/>
  <c r="N11" i="156"/>
  <c r="P11" i="156"/>
  <c r="J12" i="156"/>
  <c r="E12" i="156"/>
  <c r="F12" i="156"/>
  <c r="C12" i="156"/>
  <c r="H12" i="156"/>
  <c r="K12" i="156"/>
  <c r="L12" i="156"/>
  <c r="M12" i="156"/>
  <c r="N12" i="156"/>
  <c r="P12" i="156"/>
  <c r="J13" i="156"/>
  <c r="E13" i="156"/>
  <c r="F13" i="156"/>
  <c r="C13" i="156"/>
  <c r="H13" i="156"/>
  <c r="K13" i="156"/>
  <c r="L13" i="156"/>
  <c r="M13" i="156"/>
  <c r="N13" i="156"/>
  <c r="P13" i="156"/>
  <c r="J14" i="156"/>
  <c r="E14" i="156"/>
  <c r="F14" i="156"/>
  <c r="C14" i="156"/>
  <c r="H14" i="156"/>
  <c r="K14" i="156"/>
  <c r="L14" i="156"/>
  <c r="M14" i="156"/>
  <c r="N14" i="156"/>
  <c r="P14" i="156"/>
  <c r="J15" i="156"/>
  <c r="E15" i="156"/>
  <c r="F15" i="156"/>
  <c r="C15" i="156"/>
  <c r="H15" i="156"/>
  <c r="K15" i="156"/>
  <c r="L15" i="156"/>
  <c r="M15" i="156"/>
  <c r="N15" i="156"/>
  <c r="P15" i="156"/>
  <c r="G30" i="153"/>
  <c r="E30" i="153"/>
  <c r="H30" i="153"/>
  <c r="G31" i="153"/>
  <c r="E31" i="153"/>
  <c r="H31" i="153"/>
  <c r="A290" i="154"/>
  <c r="H290" i="154"/>
  <c r="K290" i="154"/>
  <c r="L290" i="154"/>
  <c r="M290" i="154"/>
  <c r="N290" i="154"/>
  <c r="P290" i="154"/>
  <c r="A291" i="154"/>
  <c r="H291" i="154"/>
  <c r="K291" i="154"/>
  <c r="L291" i="154"/>
  <c r="M291" i="154"/>
  <c r="N291" i="154"/>
  <c r="P291" i="154"/>
  <c r="A292" i="154"/>
  <c r="H292" i="154"/>
  <c r="K292" i="154"/>
  <c r="L292" i="154"/>
  <c r="M292" i="154"/>
  <c r="N292" i="154"/>
  <c r="P292" i="154"/>
  <c r="A293" i="154"/>
  <c r="H293" i="154"/>
  <c r="K293" i="154"/>
  <c r="L293" i="154"/>
  <c r="M293" i="154"/>
  <c r="N293" i="154"/>
  <c r="P293" i="154"/>
  <c r="A294" i="154"/>
  <c r="H294" i="154"/>
  <c r="K294" i="154"/>
  <c r="L294" i="154"/>
  <c r="M294" i="154"/>
  <c r="N294" i="154"/>
  <c r="P294" i="154"/>
  <c r="P2" i="156"/>
  <c r="P3" i="156"/>
  <c r="P4" i="156"/>
  <c r="P5" i="156"/>
  <c r="P6" i="156"/>
  <c r="H287" i="154"/>
  <c r="K287" i="154"/>
  <c r="L287" i="154"/>
  <c r="M287" i="154"/>
  <c r="N287" i="154"/>
  <c r="P287" i="154"/>
  <c r="H288" i="154"/>
  <c r="K288" i="154"/>
  <c r="L288" i="154"/>
  <c r="M288" i="154"/>
  <c r="N288" i="154"/>
  <c r="P288" i="154"/>
  <c r="H289" i="154"/>
  <c r="K289" i="154"/>
  <c r="L289" i="154"/>
  <c r="M289" i="154"/>
  <c r="N289" i="154"/>
  <c r="P289" i="154"/>
  <c r="A287" i="154"/>
  <c r="A288" i="154"/>
  <c r="A289" i="154"/>
  <c r="F2" i="156"/>
  <c r="F3" i="156"/>
  <c r="F4" i="156"/>
  <c r="F5" i="156"/>
  <c r="F6" i="156"/>
  <c r="A285" i="154"/>
  <c r="H285" i="154"/>
  <c r="K285" i="154"/>
  <c r="L285" i="154"/>
  <c r="M285" i="154"/>
  <c r="N285" i="154"/>
  <c r="P285" i="154"/>
  <c r="A286" i="154"/>
  <c r="H286" i="154"/>
  <c r="K286" i="154"/>
  <c r="L286" i="154"/>
  <c r="M286" i="154"/>
  <c r="N286" i="154"/>
  <c r="P286" i="154"/>
  <c r="A284" i="154"/>
  <c r="H284" i="154"/>
  <c r="K284" i="154"/>
  <c r="L284" i="154"/>
  <c r="M284" i="154"/>
  <c r="N284" i="154"/>
  <c r="P284" i="154"/>
  <c r="C5" i="103"/>
  <c r="E5" i="103"/>
  <c r="C3" i="103"/>
  <c r="E3" i="103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N6" i="156"/>
  <c r="M6" i="156"/>
  <c r="L6" i="156"/>
  <c r="K6" i="156"/>
  <c r="H6" i="156"/>
  <c r="N5" i="156"/>
  <c r="M5" i="156"/>
  <c r="L5" i="156"/>
  <c r="K5" i="156"/>
  <c r="H5" i="156"/>
  <c r="N4" i="156"/>
  <c r="M4" i="156"/>
  <c r="L4" i="156"/>
  <c r="K4" i="156"/>
  <c r="H4" i="156"/>
  <c r="N3" i="156"/>
  <c r="M3" i="156"/>
  <c r="L3" i="156"/>
  <c r="K3" i="156"/>
  <c r="H3" i="156"/>
  <c r="N2" i="156"/>
  <c r="M2" i="156"/>
  <c r="L2" i="156"/>
  <c r="K2" i="156"/>
  <c r="H2" i="156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P20" i="153"/>
  <c r="O20" i="153"/>
  <c r="I20" i="153"/>
  <c r="J20" i="153"/>
  <c r="F20" i="153"/>
  <c r="D20" i="153"/>
  <c r="P19" i="153"/>
  <c r="O19" i="153"/>
  <c r="I19" i="153"/>
  <c r="J19" i="153"/>
  <c r="F19" i="153"/>
  <c r="D19" i="153"/>
  <c r="P18" i="153"/>
  <c r="O18" i="153"/>
  <c r="I18" i="153"/>
  <c r="J18" i="153"/>
  <c r="F18" i="153"/>
  <c r="C18" i="153"/>
  <c r="D18" i="153"/>
  <c r="P17" i="153"/>
  <c r="O17" i="153"/>
  <c r="I17" i="153"/>
  <c r="J17" i="153"/>
  <c r="F17" i="153"/>
  <c r="C17" i="153"/>
  <c r="D17" i="153"/>
  <c r="V16" i="153"/>
  <c r="P16" i="153"/>
  <c r="O16" i="153"/>
  <c r="V15" i="153"/>
  <c r="P15" i="153"/>
  <c r="O15" i="153"/>
  <c r="V14" i="153"/>
  <c r="P14" i="153"/>
  <c r="O14" i="153"/>
  <c r="V13" i="153"/>
  <c r="P13" i="153"/>
  <c r="O13" i="153"/>
  <c r="V12" i="153"/>
  <c r="P12" i="153"/>
  <c r="O12" i="153"/>
  <c r="V11" i="153"/>
  <c r="P11" i="153"/>
  <c r="O11" i="153"/>
  <c r="V10" i="153"/>
  <c r="P10" i="153"/>
  <c r="O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4" i="103"/>
  <c r="E4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8" i="103"/>
  <c r="E7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<sst xmlns="http://schemas.openxmlformats.org/spreadsheetml/2006/main" count="547" uniqueCount="263">
  <si>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</si>
  <si>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</si>
  <si>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</si>
  <si>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</si>
  <si>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</si>
  <si>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</si>
  <si>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</si>
  <si>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</si>
  <si>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</si>
  <si>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</si>
  <si>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</si>
  <si>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</si>
  <si>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</si>
  <si>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</si>
  <si>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</si>
  <si>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</si>
  <si>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</si>
  <si>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</si>
  <si>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</si>
  <si>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</si>
  <si>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</si>
  <si>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</si>
  <si>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</si>
  <si>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</si>
  <si>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</si>
  <si>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</si>
  <si>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</si>
  <si>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</si>
  <si>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</si>
  <si>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</si>
  <si>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</si>
  <si>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</si>
  <si>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</si>
  <si>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</si>
  <si>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</si>
  <si>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</si>
  <si>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</si>
  <si>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</si>
  <si>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</si>
  <si>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</si>
  <si>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</si>
  <si>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</si>
  <si>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</si>
  <si>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</si>
  <si>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</si>
  <si>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</si>
  <si>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</si>
  <si>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</si>
  <si>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</si>
  <si>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t>出力flg</t>
    <rPh sb="0" eb="2">
      <t>シュツリョク</t>
    </rPh>
    <phoneticPr fontId="51"/>
  </si>
  <si>
    <t>color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</si>
  <si>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</si>
  <si>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</si>
  <si>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</si>
  <si>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</si>
  <si>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</si>
  <si>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</si>
  <si>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</si>
  <si>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</si>
  <si>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</si>
  <si>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</si>
  <si>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</si>
  <si>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</si>
  <si>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</si>
  <si>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</si>
  <si>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</si>
  <si>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</si>
  <si>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</si>
  <si>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</si>
  <si>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</si>
  <si>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</si>
  <si>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</si>
  <si>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</si>
  <si>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</si>
  <si>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</si>
  <si>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</si>
  <si>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</si>
  <si>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</si>
  <si>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</si>
  <si>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</si>
  <si>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</si>
  <si>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</si>
  <si>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</si>
  <si>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</si>
  <si>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</si>
  <si>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</si>
  <si>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</si>
  <si>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</si>
  <si>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</si>
  <si>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</si>
  <si>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</si>
  <si>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</si>
  <si>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</si>
  <si>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</si>
  <si>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</si>
  <si>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</si>
  <si>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</si>
  <si>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</si>
  <si>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</si>
  <si>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</si>
  <si>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</si>
  <si>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</si>
  <si>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</si>
  <si>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</si>
  <si>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</si>
  <si>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</si>
  <si>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</si>
  <si>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PremiumSSS4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</si>
  <si>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</si>
  <si>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</si>
  <si>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</si>
  <si>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</si>
  <si>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</si>
  <si>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</si>
  <si>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</si>
  <si>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</si>
  <si>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</si>
  <si>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</si>
  <si>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</si>
  <si>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</si>
  <si>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B</t>
    <phoneticPr fontId="51"/>
  </si>
  <si>
    <t>D</t>
    <phoneticPr fontId="51"/>
  </si>
  <si>
    <t>F</t>
    <phoneticPr fontId="51"/>
  </si>
  <si>
    <t>E</t>
    <phoneticPr fontId="51"/>
  </si>
  <si>
    <t>G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</si>
  <si>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</si>
  <si>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</si>
  <si>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</si>
  <si>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</si>
  <si>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</si>
  <si>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</si>
  <si>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</si>
  <si>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</si>
  <si>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</si>
  <si>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</si>
  <si>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</si>
  <si>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X*{SS}*R5率</t>
    <rPh sb="9" eb="10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</si>
  <si>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</si>
  <si>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=</t>
    <phoneticPr fontId="51"/>
  </si>
  <si>
    <t>①</t>
    <phoneticPr fontId="51"/>
  </si>
  <si>
    <t>B + D + F</t>
    <phoneticPr fontId="51"/>
  </si>
  <si>
    <t>②</t>
    <phoneticPr fontId="51"/>
  </si>
  <si>
    <t>③</t>
    <phoneticPr fontId="51"/>
  </si>
  <si>
    <t>A+B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</si>
  <si>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</si>
  <si>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</si>
  <si>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</si>
  <si>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</si>
  <si>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</si>
  <si>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</si>
  <si>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</si>
  <si>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</si>
  <si>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</si>
  <si>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</si>
  <si>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</si>
  <si>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</si>
  <si>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</si>
  <si>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</si>
  <si>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</si>
  <si>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</si>
  <si>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Y*{W}-A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</si>
  <si>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</si>
  <si>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</si>
  <si>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</si>
  <si>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</si>
  <si>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</si>
  <si>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</si>
  <si>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</si>
  <si>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</si>
  <si>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</si>
  <si>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</si>
  <si>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</si>
  <si>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</si>
  <si>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</si>
  <si>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</si>
  <si>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</si>
  <si>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</si>
  <si>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</si>
  <si>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</si>
  <si>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</si>
  <si>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</si>
  <si>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</si>
  <si>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</si>
  <si>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</si>
  <si>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</si>
  <si>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</si>
  <si>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</si>
  <si>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gacha_settle_tables_</t>
    <phoneticPr fontId="18"/>
  </si>
  <si>
    <t>ja</t>
  </si>
  <si>
    <t>A</t>
    <phoneticPr fontId="18"/>
  </si>
  <si>
    <t>B</t>
    <phoneticPr fontId="18"/>
  </si>
  <si>
    <t>PremiumW4</t>
    <phoneticPr fontId="18"/>
  </si>
  <si>
    <t>C</t>
    <phoneticPr fontId="18"/>
  </si>
  <si>
    <t>Premium3</t>
    <phoneticPr fontId="18"/>
  </si>
  <si>
    <t>D</t>
    <phoneticPr fontId="18"/>
  </si>
  <si>
    <t>Premium4</t>
    <phoneticPr fontId="18"/>
  </si>
  <si>
    <t>E</t>
    <phoneticPr fontId="18"/>
  </si>
  <si>
    <t>Premium5</t>
    <phoneticPr fontId="18"/>
  </si>
  <si>
    <t>F</t>
    <phoneticPr fontId="18"/>
  </si>
  <si>
    <t>Premium4R3less</t>
    <phoneticPr fontId="18"/>
  </si>
  <si>
    <t>G</t>
    <phoneticPr fontId="18"/>
  </si>
  <si>
    <t>Premium5R3less</t>
    <phoneticPr fontId="18"/>
  </si>
  <si>
    <t>K</t>
    <phoneticPr fontId="18"/>
  </si>
  <si>
    <t>PremiumSS4</t>
    <phoneticPr fontId="18"/>
  </si>
  <si>
    <t>PremiumSS5</t>
    <phoneticPr fontId="18"/>
  </si>
  <si>
    <t>L</t>
    <phoneticPr fontId="18"/>
  </si>
  <si>
    <t>M</t>
    <phoneticPr fontId="18"/>
  </si>
  <si>
    <t>PremiumSS5R5only</t>
    <phoneticPr fontId="18"/>
  </si>
  <si>
    <t>unit</t>
    <phoneticPr fontId="18"/>
  </si>
  <si>
    <t>PremiumSSS4R3less</t>
    <phoneticPr fontId="18"/>
  </si>
  <si>
    <t>PremiumSSS5R3less</t>
    <phoneticPr fontId="18"/>
  </si>
  <si>
    <t>フェス確率</t>
    <phoneticPr fontId="18"/>
  </si>
  <si>
    <t>old</t>
    <phoneticPr fontId="18"/>
  </si>
  <si>
    <t>R3率</t>
    <phoneticPr fontId="51"/>
  </si>
  <si>
    <t>Y*{W}</t>
    <phoneticPr fontId="51"/>
  </si>
  <si>
    <t>→</t>
    <phoneticPr fontId="51"/>
  </si>
  <si>
    <t>ハズレ素体確率 Y = (1-SS率)/(W+N+S)</t>
    <rPh sb="3" eb="5">
      <t>ソタイカクリ</t>
    </rPh>
    <rPh sb="5" eb="7">
      <t>カクリツ</t>
    </rPh>
    <rPh sb="17" eb="18">
      <t>リツ</t>
    </rPh>
    <phoneticPr fontId="51"/>
  </si>
  <si>
    <t>H</t>
    <phoneticPr fontId="51"/>
  </si>
  <si>
    <t>I</t>
    <phoneticPr fontId="51"/>
  </si>
  <si>
    <t>J</t>
    <phoneticPr fontId="51"/>
  </si>
  <si>
    <t>A + C</t>
    <phoneticPr fontId="51"/>
  </si>
  <si>
    <t>R4率-H</t>
    <phoneticPr fontId="51"/>
  </si>
  <si>
    <t>J</t>
    <phoneticPr fontId="51"/>
  </si>
  <si>
    <t>H</t>
    <phoneticPr fontId="51"/>
  </si>
  <si>
    <t>I</t>
    <phoneticPr fontId="51"/>
  </si>
  <si>
    <t>E+G</t>
    <phoneticPr fontId="51"/>
  </si>
  <si>
    <t>R5率-I-J</t>
    <phoneticPr fontId="51"/>
  </si>
  <si>
    <t>⑦</t>
    <phoneticPr fontId="51"/>
  </si>
  <si>
    <t>A+B+C+D+E+F+G</t>
    <phoneticPr fontId="51"/>
  </si>
  <si>
    <t>50%-C</t>
    <phoneticPr fontId="51"/>
  </si>
  <si>
    <t>=</t>
    <phoneticPr fontId="18"/>
  </si>
  <si>
    <t>Y*{W}*R3率</t>
    <phoneticPr fontId="18"/>
  </si>
  <si>
    <t>5%-E-I-J</t>
    <phoneticPr fontId="51"/>
  </si>
  <si>
    <t>←R6releaseを取り除いた場合の計算</t>
    <phoneticPr fontId="18"/>
  </si>
  <si>
    <t>tables_384100</t>
    <phoneticPr fontId="18"/>
  </si>
  <si>
    <t>table_no</t>
    <phoneticPr fontId="18"/>
  </si>
  <si>
    <t>rare</t>
    <phoneticPr fontId="18"/>
  </si>
  <si>
    <t>character_type_id</t>
    <phoneticPr fontId="18"/>
  </si>
  <si>
    <t>weight</t>
    <phoneticPr fontId="18"/>
  </si>
  <si>
    <t>unit_level</t>
    <phoneticPr fontId="18"/>
  </si>
  <si>
    <t>tables_settle_384104</t>
    <phoneticPr fontId="18"/>
  </si>
  <si>
    <t>tables_settle_384107</t>
    <phoneticPr fontId="18"/>
  </si>
  <si>
    <t>item</t>
    <phoneticPr fontId="18"/>
  </si>
  <si>
    <t>リトルハンプティ × 1</t>
    <phoneticPr fontId="18"/>
  </si>
  <si>
    <t>マスターキー × 3</t>
    <phoneticPr fontId="18"/>
  </si>
  <si>
    <t>unit</t>
    <phoneticPr fontId="18"/>
  </si>
  <si>
    <t>unit</t>
    <phoneticPr fontId="18"/>
  </si>
  <si>
    <t>特集記念ガチャ特典</t>
    <rPh sb="7" eb="9">
      <t>トクテン</t>
    </rPh>
    <phoneticPr fontId="18"/>
  </si>
  <si>
    <t>STEP2特典として
マスターキー3本をプレゼント！</t>
    <phoneticPr fontId="18"/>
  </si>
  <si>
    <t>STEP3特典として
リトルハンプティ1体をプレゼント！</t>
    <phoneticPr fontId="18"/>
  </si>
  <si>
    <t>STEP5特典として
ギガ秘術の果実1体をプレゼント！</t>
    <phoneticPr fontId="18"/>
  </si>
  <si>
    <t>STEP6特典として
リトルハンプティ2体をプレゼント！</t>
    <phoneticPr fontId="18"/>
  </si>
  <si>
    <t>リトルハンプティ × 2</t>
    <phoneticPr fontId="18"/>
  </si>
  <si>
    <t>ギガ秘術の果実 × 1</t>
    <phoneticPr fontId="18"/>
  </si>
  <si>
    <t>384102</t>
    <phoneticPr fontId="18"/>
  </si>
  <si>
    <t>384103</t>
    <phoneticPr fontId="18"/>
  </si>
  <si>
    <t>384105</t>
    <phoneticPr fontId="18"/>
  </si>
  <si>
    <t>384106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</si>
  <si>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</si>
  <si>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.tmp</t>
    <phoneticPr fontId="51"/>
  </si>
  <si>
    <t>gacha_bonus_tables</t>
    <phoneticPr fontId="51"/>
  </si>
  <si>
    <t>384107</t>
    <phoneticPr fontId="18"/>
  </si>
  <si>
    <t>tables_384010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</si>
</sst>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665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2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7" fillId="0" borderId="0"/>
    <xf numFmtId="38" fontId="53" fillId="0" borderId="0" applyFont="0" applyFill="0" applyBorder="0" applyAlignment="0" applyProtection="0"/>
    <xf numFmtId="0" fontId="3" fillId="0" borderId="0"/>
  </cellStyleXfs>
  <cellXfs count="126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0" fontId="7" fillId="0" borderId="0" xfId="3662"/>
    <xf numFmtId="9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6" fillId="0" borderId="1" xfId="2978" applyFont="1" applyBorder="1"/>
    <xf numFmtId="178" fontId="55" fillId="32" borderId="1" xfId="0" applyNumberFormat="1" applyFont="1" applyFill="1" applyBorder="1"/>
    <xf numFmtId="38" fontId="23" fillId="4" borderId="1" xfId="3663" quotePrefix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0" fillId="0" borderId="1" xfId="0" applyFont="1" applyBorder="1" applyAlignment="1">
      <alignment vertical="center" wrapText="1"/>
    </xf>
    <xf numFmtId="0" fontId="23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5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3" fillId="0" borderId="1" xfId="2" quotePrefix="1" applyFont="1" applyBorder="1" applyAlignment="1">
      <alignment vertical="center"/>
    </xf>
    <xf numFmtId="10" fontId="0" fillId="4" borderId="0" xfId="0" applyNumberFormat="1" applyFill="1"/>
    <xf numFmtId="0" fontId="23" fillId="33" borderId="1" xfId="2" applyFont="1" applyFill="1" applyBorder="1" applyAlignment="1">
      <alignment vertical="center"/>
    </xf>
    <xf numFmtId="0" fontId="4" fillId="0" borderId="0" xfId="3662" applyFont="1"/>
    <xf numFmtId="9" fontId="5" fillId="0" borderId="0" xfId="3662" applyNumberFormat="1" applyFont="1"/>
    <xf numFmtId="0" fontId="7" fillId="0" borderId="17" xfId="3662" applyBorder="1"/>
    <xf numFmtId="0" fontId="7" fillId="0" borderId="18" xfId="3662" applyBorder="1"/>
    <xf numFmtId="0" fontId="7" fillId="0" borderId="19" xfId="3662" applyBorder="1"/>
    <xf numFmtId="0" fontId="7" fillId="0" borderId="20" xfId="3662" applyBorder="1"/>
    <xf numFmtId="0" fontId="7" fillId="0" borderId="0" xfId="3662" applyBorder="1"/>
    <xf numFmtId="0" fontId="7" fillId="0" borderId="21" xfId="3662" applyBorder="1"/>
    <xf numFmtId="0" fontId="7" fillId="4" borderId="0" xfId="3662" applyFill="1" applyBorder="1"/>
    <xf numFmtId="9" fontId="7" fillId="0" borderId="0" xfId="3662" applyNumberFormat="1" applyBorder="1"/>
    <xf numFmtId="0" fontId="4" fillId="4" borderId="0" xfId="3662" applyFont="1" applyFill="1" applyBorder="1"/>
    <xf numFmtId="0" fontId="7" fillId="0" borderId="0" xfId="3662" applyFill="1" applyBorder="1"/>
    <xf numFmtId="9" fontId="4" fillId="0" borderId="0" xfId="3662" applyNumberFormat="1" applyFont="1" applyBorder="1"/>
    <xf numFmtId="9" fontId="7" fillId="0" borderId="0" xfId="3662" applyNumberFormat="1" applyBorder="1" applyAlignment="1"/>
    <xf numFmtId="9" fontId="7" fillId="0" borderId="21" xfId="3662" applyNumberFormat="1" applyBorder="1"/>
    <xf numFmtId="0" fontId="4" fillId="0" borderId="20" xfId="3662" applyFont="1" applyBorder="1"/>
    <xf numFmtId="0" fontId="4" fillId="0" borderId="0" xfId="3662" applyFont="1" applyBorder="1"/>
    <xf numFmtId="0" fontId="4" fillId="0" borderId="0" xfId="3662" quotePrefix="1" applyFont="1" applyBorder="1"/>
    <xf numFmtId="0" fontId="4" fillId="0" borderId="22" xfId="3662" applyFont="1" applyBorder="1"/>
    <xf numFmtId="9" fontId="7" fillId="0" borderId="23" xfId="3662" applyNumberFormat="1" applyBorder="1"/>
    <xf numFmtId="0" fontId="7" fillId="0" borderId="23" xfId="3662" applyBorder="1"/>
    <xf numFmtId="0" fontId="7" fillId="0" borderId="24" xfId="3662" applyBorder="1"/>
    <xf numFmtId="176" fontId="0" fillId="0" borderId="0" xfId="3575" applyNumberFormat="1" applyFont="1"/>
    <xf numFmtId="0" fontId="3" fillId="0" borderId="1" xfId="3036" applyFont="1" applyBorder="1"/>
    <xf numFmtId="0" fontId="3" fillId="4" borderId="1" xfId="2978" applyFont="1" applyFill="1" applyBorder="1"/>
    <xf numFmtId="0" fontId="23" fillId="2" borderId="1" xfId="3664" applyFont="1" applyFill="1" applyBorder="1" applyAlignment="1">
      <alignment horizontal="left" vertical="center"/>
    </xf>
    <xf numFmtId="0" fontId="23" fillId="2" borderId="1" xfId="3664" applyFont="1" applyFill="1" applyBorder="1" applyAlignment="1">
      <alignment horizontal="center" vertical="center"/>
    </xf>
    <xf numFmtId="0" fontId="23" fillId="3" borderId="1" xfId="3664" applyFont="1" applyFill="1" applyBorder="1" applyAlignment="1">
      <alignment horizontal="center" vertical="center"/>
    </xf>
    <xf numFmtId="0" fontId="23" fillId="0" borderId="0" xfId="3664" applyFont="1" applyAlignment="1">
      <alignment vertical="center"/>
    </xf>
    <xf numFmtId="0" fontId="23" fillId="0" borderId="1" xfId="3664" applyFont="1" applyBorder="1" applyAlignment="1">
      <alignment vertical="center"/>
    </xf>
    <xf numFmtId="0" fontId="23" fillId="3" borderId="1" xfId="3664" applyFont="1" applyFill="1" applyBorder="1" applyAlignment="1">
      <alignment vertical="center"/>
    </xf>
    <xf numFmtId="0" fontId="23" fillId="25" borderId="1" xfId="3664" applyFont="1" applyFill="1" applyBorder="1" applyAlignment="1">
      <alignment vertical="center"/>
    </xf>
    <xf numFmtId="0" fontId="23" fillId="0" borderId="0" xfId="3664" applyFont="1" applyAlignment="1">
      <alignment horizontal="center" vertical="center"/>
    </xf>
    <xf numFmtId="0" fontId="23" fillId="0" borderId="1" xfId="2" applyFont="1" applyFill="1" applyBorder="1" applyAlignment="1">
      <alignment vertical="center"/>
    </xf>
    <xf numFmtId="0" fontId="3" fillId="0" borderId="1" xfId="2978" applyFont="1" applyBorder="1"/>
    <xf numFmtId="0" fontId="3" fillId="2" borderId="1" xfId="19" applyFont="1" applyFill="1" applyBorder="1"/>
    <xf numFmtId="179" fontId="0" fillId="0" borderId="1" xfId="0" applyNumberFormat="1" applyBorder="1"/>
    <xf numFmtId="0" fontId="23" fillId="4" borderId="16" xfId="2" applyFont="1" applyFill="1" applyBorder="1" applyAlignment="1">
      <alignment vertical="center"/>
    </xf>
    <xf numFmtId="179" fontId="23" fillId="3" borderId="1" xfId="2" applyNumberFormat="1" applyFont="1" applyFill="1" applyBorder="1" applyAlignment="1">
      <alignment horizontal="center" vertical="center"/>
    </xf>
    <xf numFmtId="179" fontId="0" fillId="29" borderId="1" xfId="3575" applyNumberFormat="1" applyFont="1" applyFill="1" applyBorder="1"/>
    <xf numFmtId="177" fontId="0" fillId="4" borderId="1" xfId="3575" applyNumberFormat="1" applyFont="1" applyFill="1" applyBorder="1"/>
    <xf numFmtId="183" fontId="0" fillId="29" borderId="1" xfId="0" applyNumberFormat="1" applyFill="1" applyBorder="1"/>
    <xf numFmtId="0" fontId="2" fillId="4" borderId="1" xfId="2978" applyFont="1" applyFill="1" applyBorder="1"/>
  </cellXfs>
  <cellStyles count="3665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2 3" xfId="3664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externalLink" Target="externalLinks/externalLink2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achaTableData_V2_71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balance</v>
          </cell>
          <cell r="L961" t="str">
            <v>バランスタイプ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balance</v>
          </cell>
          <cell r="L1075" t="str">
            <v>バランスタイプ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balance</v>
          </cell>
          <cell r="L1076" t="str">
            <v>バランスタイプ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DropWizSSS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DropWizSSS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human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DropWizSS</v>
          </cell>
          <cell r="K1089" t="str">
            <v>attack</v>
          </cell>
          <cell r="L1089" t="str">
            <v>攻撃タイプ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DropWizSS</v>
          </cell>
          <cell r="K1090" t="str">
            <v>attack</v>
          </cell>
          <cell r="L1090" t="str">
            <v>攻撃タイプ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カスケード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カスケード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シャガール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attack</v>
          </cell>
          <cell r="L1095" t="str">
            <v>攻撃タイプ</v>
          </cell>
          <cell r="M1095" t="str">
            <v>unknown</v>
          </cell>
        </row>
        <row r="1096">
          <cell r="A1096">
            <v>1095</v>
          </cell>
          <cell r="B1096" t="str">
            <v>ja</v>
          </cell>
          <cell r="C1096" t="str">
            <v>シャガール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attack</v>
          </cell>
          <cell r="L1096" t="str">
            <v>攻撃タイプ</v>
          </cell>
          <cell r="M1096" t="str">
            <v>unknown</v>
          </cell>
        </row>
        <row r="1097">
          <cell r="A1097">
            <v>1096</v>
          </cell>
          <cell r="B1097" t="str">
            <v>ja</v>
          </cell>
          <cell r="C1097" t="str">
            <v>ダリ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attack</v>
          </cell>
          <cell r="L1097" t="str">
            <v>攻撃タイプ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ダリ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attack</v>
          </cell>
          <cell r="L1098" t="str">
            <v>攻撃タイプ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ピカソ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DropWizSS</v>
          </cell>
          <cell r="K1099" t="str">
            <v>attack</v>
          </cell>
          <cell r="L1099" t="str">
            <v>攻撃タイプ</v>
          </cell>
          <cell r="M1099" t="str">
            <v>unknown</v>
          </cell>
        </row>
        <row r="1100">
          <cell r="A1100">
            <v>1099</v>
          </cell>
          <cell r="B1100" t="str">
            <v>ja</v>
          </cell>
          <cell r="C1100" t="str">
            <v>ピカソ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DropWizSS</v>
          </cell>
          <cell r="K1100" t="str">
            <v>attack</v>
          </cell>
          <cell r="L1100" t="str">
            <v>攻撃タイプ</v>
          </cell>
          <cell r="M1100" t="str">
            <v>unknown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unknown</v>
          </cell>
        </row>
        <row r="1102">
          <cell r="A1102">
            <v>1101</v>
          </cell>
          <cell r="B1102" t="str">
            <v>ja</v>
          </cell>
          <cell r="C1102" t="str">
            <v>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1103</v>
          </cell>
          <cell r="B1104" t="str">
            <v>ja</v>
          </cell>
          <cell r="C1104" t="str">
            <v>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</v>
          </cell>
          <cell r="K1104" t="str">
            <v>attack</v>
          </cell>
          <cell r="L1104" t="str">
            <v>攻撃タイプ</v>
          </cell>
          <cell r="M1104" t="str">
            <v>unknown</v>
          </cell>
        </row>
        <row r="1105">
          <cell r="A1105">
            <v>1104</v>
          </cell>
          <cell r="B1105" t="str">
            <v>ja</v>
          </cell>
          <cell r="C1105" t="str">
            <v>フェルメール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5</v>
          </cell>
          <cell r="J1105" t="str">
            <v>PremiumSS</v>
          </cell>
          <cell r="K1105" t="str">
            <v>attack</v>
          </cell>
          <cell r="L1105" t="str">
            <v>攻撃タイプ</v>
          </cell>
          <cell r="M1105" t="str">
            <v>unknown</v>
          </cell>
        </row>
        <row r="1106">
          <cell r="A1106">
            <v>1105</v>
          </cell>
          <cell r="B1106" t="str">
            <v>ja</v>
          </cell>
          <cell r="C1106" t="str">
            <v>フェルメール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6</v>
          </cell>
          <cell r="J1106" t="str">
            <v>PremiumSS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1106</v>
          </cell>
          <cell r="B1107" t="str">
            <v>ja</v>
          </cell>
          <cell r="C1107" t="str">
            <v>フェルメール_分岐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blue</v>
          </cell>
          <cell r="I1107">
            <v>6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1107</v>
          </cell>
          <cell r="B1108" t="str">
            <v>ja</v>
          </cell>
          <cell r="C1108" t="str">
            <v>クリムト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4</v>
          </cell>
          <cell r="J1108" t="str">
            <v>PremiumS</v>
          </cell>
          <cell r="K1108" t="str">
            <v>attack</v>
          </cell>
          <cell r="L1108" t="str">
            <v>攻撃タイプ</v>
          </cell>
          <cell r="M1108" t="str">
            <v>unknown</v>
          </cell>
        </row>
        <row r="1109">
          <cell r="A1109">
            <v>1108</v>
          </cell>
          <cell r="B1109" t="str">
            <v>ja</v>
          </cell>
          <cell r="C1109" t="str">
            <v>クリムト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attack</v>
          </cell>
          <cell r="L1109" t="str">
            <v>攻撃タイプ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unknown</v>
          </cell>
        </row>
        <row r="1113">
          <cell r="A1113">
            <v>1112</v>
          </cell>
          <cell r="B1113" t="str">
            <v>ja</v>
          </cell>
          <cell r="C1113" t="str">
            <v>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unknown</v>
          </cell>
        </row>
        <row r="1114">
          <cell r="A1114">
            <v>1113</v>
          </cell>
          <cell r="B1114" t="str">
            <v>ja</v>
          </cell>
          <cell r="C1114" t="str">
            <v>ウィグナー_分岐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attack</v>
          </cell>
          <cell r="L1114" t="str">
            <v>攻撃タイプ</v>
          </cell>
          <cell r="M1114" t="str">
            <v>unknown</v>
          </cell>
        </row>
        <row r="1115">
          <cell r="A1115">
            <v>1114</v>
          </cell>
          <cell r="B1115" t="str">
            <v>ja</v>
          </cell>
          <cell r="C1115" t="str">
            <v>パスツール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PremiumSSS</v>
          </cell>
          <cell r="K1115" t="str">
            <v>attack</v>
          </cell>
          <cell r="L1115" t="str">
            <v>攻撃タイプ</v>
          </cell>
          <cell r="M1115" t="str">
            <v>unknown</v>
          </cell>
        </row>
        <row r="1116">
          <cell r="A1116">
            <v>1115</v>
          </cell>
          <cell r="B1116" t="str">
            <v>ja</v>
          </cell>
          <cell r="C1116" t="str">
            <v>パスツール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PremiumSSS</v>
          </cell>
          <cell r="K1116" t="str">
            <v>attack</v>
          </cell>
          <cell r="L1116" t="str">
            <v>攻撃タイプ</v>
          </cell>
          <cell r="M1116" t="str">
            <v>unknown</v>
          </cell>
        </row>
        <row r="1117">
          <cell r="A1117">
            <v>1116</v>
          </cell>
          <cell r="B1117" t="str">
            <v>ja</v>
          </cell>
          <cell r="C1117" t="str">
            <v>アマテラス_分岐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6001</v>
          </cell>
          <cell r="B1130" t="str">
            <v>ja</v>
          </cell>
          <cell r="C1130" t="str">
            <v>ジェリー</v>
          </cell>
          <cell r="D1130" t="str">
            <v>ノーマルクエスト</v>
          </cell>
          <cell r="E1130" t="str">
            <v>QoH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1</v>
          </cell>
          <cell r="J1130" t="str">
            <v>Drop1T</v>
          </cell>
          <cell r="K1130" t="str">
            <v>ra</v>
          </cell>
          <cell r="L1130" t="str">
            <v>ラグランジュチャレンジ</v>
          </cell>
          <cell r="M1130" t="str">
            <v>unknown</v>
          </cell>
        </row>
        <row r="1131">
          <cell r="A1131">
            <v>6002</v>
          </cell>
          <cell r="B1131" t="str">
            <v>ja</v>
          </cell>
          <cell r="C1131" t="str">
            <v>ヨシタカ</v>
          </cell>
          <cell r="D1131" t="str">
            <v>ノーマルクエスト</v>
          </cell>
          <cell r="E1131" t="str">
            <v>アバター</v>
          </cell>
          <cell r="F1131" t="str">
            <v>世界観</v>
          </cell>
          <cell r="G1131" t="str">
            <v>男性</v>
          </cell>
          <cell r="H1131" t="str">
            <v>red</v>
          </cell>
          <cell r="I1131">
            <v>2</v>
          </cell>
          <cell r="J1131" t="str">
            <v>Drop1N</v>
          </cell>
          <cell r="K1131" t="str">
            <v>ra</v>
          </cell>
          <cell r="L1131" t="str">
            <v>ラグランジュチャレンジ</v>
          </cell>
          <cell r="M1131" t="str">
            <v>human</v>
          </cell>
        </row>
        <row r="1132">
          <cell r="A1132">
            <v>6003</v>
          </cell>
          <cell r="B1132" t="str">
            <v>ja</v>
          </cell>
          <cell r="C1132" t="str">
            <v>朱雀</v>
          </cell>
          <cell r="D1132" t="str">
            <v>リンクガチャ:4神</v>
          </cell>
          <cell r="E1132" t="str">
            <v>守護神</v>
          </cell>
          <cell r="F1132" t="str">
            <v>格好いい</v>
          </cell>
          <cell r="G1132" t="str">
            <v>不明</v>
          </cell>
          <cell r="H1132" t="str">
            <v>red</v>
          </cell>
          <cell r="I1132">
            <v>3</v>
          </cell>
          <cell r="J1132" t="str">
            <v>Drop2N</v>
          </cell>
          <cell r="K1132" t="str">
            <v>ra</v>
          </cell>
          <cell r="L1132" t="str">
            <v>ラグランジュチャレンジ</v>
          </cell>
          <cell r="M1132" t="str">
            <v>animal</v>
          </cell>
        </row>
        <row r="1133">
          <cell r="A1133">
            <v>6004</v>
          </cell>
          <cell r="B1133" t="str">
            <v>ja</v>
          </cell>
          <cell r="C1133" t="str">
            <v>ブレット</v>
          </cell>
          <cell r="D1133" t="str">
            <v>ノーマルクエスト</v>
          </cell>
          <cell r="E1133" t="str">
            <v>アバター</v>
          </cell>
          <cell r="F1133" t="str">
            <v>世界観</v>
          </cell>
          <cell r="G1133" t="str">
            <v>不明</v>
          </cell>
          <cell r="H1133" t="str">
            <v>red</v>
          </cell>
          <cell r="I1133">
            <v>1</v>
          </cell>
          <cell r="J1133" t="str">
            <v>Drop1W</v>
          </cell>
          <cell r="K1133" t="str">
            <v>ra</v>
          </cell>
          <cell r="L1133" t="str">
            <v>ラグランジュチャレンジ</v>
          </cell>
          <cell r="M1133" t="str">
            <v>animal</v>
          </cell>
        </row>
        <row r="1134">
          <cell r="A1134">
            <v>6005</v>
          </cell>
          <cell r="B1134" t="str">
            <v>ja</v>
          </cell>
          <cell r="C1134" t="str">
            <v>孤神 テティス</v>
          </cell>
          <cell r="D1134" t="str">
            <v>初期ガチャ</v>
          </cell>
          <cell r="E1134" t="str">
            <v>管理者</v>
          </cell>
          <cell r="F1134" t="str">
            <v>美しい</v>
          </cell>
          <cell r="G1134" t="str">
            <v>女性</v>
          </cell>
          <cell r="H1134" t="str">
            <v>blue</v>
          </cell>
          <cell r="I1134">
            <v>4</v>
          </cell>
          <cell r="J1134" t="str">
            <v>PremiumN</v>
          </cell>
          <cell r="K1134" t="str">
            <v>ra</v>
          </cell>
          <cell r="L1134" t="str">
            <v>ラグランジュチャレンジ</v>
          </cell>
          <cell r="M1134" t="str">
            <v>god</v>
          </cell>
        </row>
        <row r="1135">
          <cell r="A1135">
            <v>6006</v>
          </cell>
          <cell r="B1135" t="str">
            <v>ja</v>
          </cell>
          <cell r="C1135" t="str">
            <v>海底の孤高神 テティス</v>
          </cell>
          <cell r="D1135" t="str">
            <v>初期ガチャ</v>
          </cell>
          <cell r="E1135" t="str">
            <v>管理者</v>
          </cell>
          <cell r="F1135" t="str">
            <v>美しい</v>
          </cell>
          <cell r="G1135" t="str">
            <v>女性</v>
          </cell>
          <cell r="H1135" t="str">
            <v>blue</v>
          </cell>
          <cell r="I1135">
            <v>5</v>
          </cell>
          <cell r="J1135" t="str">
            <v>PremiumN</v>
          </cell>
          <cell r="K1135" t="str">
            <v>ra</v>
          </cell>
          <cell r="L1135" t="str">
            <v>ラグランジュチャレンジ</v>
          </cell>
          <cell r="M1135" t="str">
            <v>god</v>
          </cell>
        </row>
        <row r="1136">
          <cell r="A1136">
            <v>6007</v>
          </cell>
          <cell r="B1136" t="str">
            <v>ja</v>
          </cell>
          <cell r="C1136" t="str">
            <v>番犬 ケルベロス</v>
          </cell>
          <cell r="D1136" t="str">
            <v>初期ガチャ</v>
          </cell>
          <cell r="E1136" t="str">
            <v>破界者</v>
          </cell>
          <cell r="F1136" t="str">
            <v>可愛い</v>
          </cell>
          <cell r="G1136" t="str">
            <v>女性</v>
          </cell>
          <cell r="H1136" t="str">
            <v>red</v>
          </cell>
          <cell r="I1136">
            <v>4</v>
          </cell>
          <cell r="J1136" t="str">
            <v>PremiumN</v>
          </cell>
          <cell r="K1136" t="str">
            <v>ra</v>
          </cell>
          <cell r="L1136" t="str">
            <v>ラグランジュチャレンジ</v>
          </cell>
          <cell r="M1136" t="str">
            <v>animal</v>
          </cell>
        </row>
        <row r="1137">
          <cell r="A1137">
            <v>6008</v>
          </cell>
          <cell r="B1137" t="str">
            <v>ja</v>
          </cell>
          <cell r="C1137" t="str">
            <v>焔神 プロメテウス</v>
          </cell>
          <cell r="D1137" t="str">
            <v>初期ガチャ</v>
          </cell>
          <cell r="E1137" t="str">
            <v>管理者</v>
          </cell>
          <cell r="F1137" t="str">
            <v>格好いい</v>
          </cell>
          <cell r="G1137" t="str">
            <v>男性</v>
          </cell>
          <cell r="H1137" t="str">
            <v>red</v>
          </cell>
          <cell r="I1137">
            <v>4</v>
          </cell>
          <cell r="J1137" t="str">
            <v>PremiumN</v>
          </cell>
          <cell r="K1137" t="str">
            <v>ra</v>
          </cell>
          <cell r="L1137" t="str">
            <v>ラグランジュチャレンジ</v>
          </cell>
          <cell r="M1137" t="str">
            <v>god</v>
          </cell>
        </row>
        <row r="1138">
          <cell r="A1138">
            <v>6009</v>
          </cell>
          <cell r="B1138" t="str">
            <v>ja</v>
          </cell>
          <cell r="C1138" t="str">
            <v>超越自我 ラグランジュ</v>
          </cell>
          <cell r="D1138" t="str">
            <v>ガチャ:フィーバーフェス02</v>
          </cell>
          <cell r="E1138" t="str">
            <v>執行者</v>
          </cell>
          <cell r="F1138" t="str">
            <v>格好いい</v>
          </cell>
          <cell r="G1138" t="str">
            <v>女性</v>
          </cell>
          <cell r="H1138" t="str">
            <v>red</v>
          </cell>
          <cell r="I1138">
            <v>5</v>
          </cell>
          <cell r="J1138" t="str">
            <v>PremiumSSS</v>
          </cell>
          <cell r="K1138" t="str">
            <v>ra</v>
          </cell>
          <cell r="L1138" t="str">
            <v>ラグランジュチャレンジ</v>
          </cell>
          <cell r="M1138" t="str">
            <v>human</v>
          </cell>
        </row>
        <row r="1139">
          <cell r="A1139">
            <v>6010</v>
          </cell>
          <cell r="B1139" t="str">
            <v>ja</v>
          </cell>
          <cell r="C1139" t="str">
            <v>超越凌駕 ラグランジュ</v>
          </cell>
          <cell r="D1139" t="str">
            <v>ガチャ:フィーバーフェス02</v>
          </cell>
          <cell r="E1139" t="str">
            <v>執行者</v>
          </cell>
          <cell r="F1139" t="str">
            <v>格好いい</v>
          </cell>
          <cell r="G1139" t="str">
            <v>女性</v>
          </cell>
          <cell r="H1139" t="str">
            <v>red</v>
          </cell>
          <cell r="I1139">
            <v>6</v>
          </cell>
          <cell r="J1139" t="str">
            <v>PremiumSSS</v>
          </cell>
          <cell r="K1139" t="str">
            <v>ra</v>
          </cell>
          <cell r="L1139" t="str">
            <v>ラグランジュチャレンジ</v>
          </cell>
          <cell r="M1139" t="str">
            <v>human</v>
          </cell>
        </row>
        <row r="1140">
          <cell r="A1140">
            <v>6011</v>
          </cell>
          <cell r="B1140" t="str">
            <v>ja</v>
          </cell>
          <cell r="C1140" t="str">
            <v>パトドッグリーダー ポチ</v>
          </cell>
          <cell r="D1140" t="str">
            <v>ガチャ:フィーバーフェス02</v>
          </cell>
          <cell r="E1140" t="str">
            <v>執行者</v>
          </cell>
          <cell r="F1140" t="str">
            <v>格好いい</v>
          </cell>
          <cell r="G1140" t="str">
            <v>男性</v>
          </cell>
          <cell r="H1140" t="str">
            <v>blue</v>
          </cell>
          <cell r="I1140">
            <v>2</v>
          </cell>
          <cell r="J1140" t="str">
            <v>Drop1T</v>
          </cell>
          <cell r="K1140" t="str">
            <v>ra002</v>
          </cell>
          <cell r="L1140" t="str">
            <v>ユークリッドチャレンジ</v>
          </cell>
          <cell r="M1140" t="str">
            <v>unknown</v>
          </cell>
        </row>
        <row r="1141">
          <cell r="A1141">
            <v>6012</v>
          </cell>
          <cell r="B1141" t="str">
            <v>ja</v>
          </cell>
          <cell r="C1141" t="str">
            <v>ミミ</v>
          </cell>
          <cell r="D1141" t="str">
            <v>ガチャ:フィーバーフェス02</v>
          </cell>
          <cell r="E1141" t="str">
            <v>執行者</v>
          </cell>
          <cell r="F1141" t="str">
            <v>格好いい</v>
          </cell>
          <cell r="G1141" t="str">
            <v>男性</v>
          </cell>
          <cell r="H1141" t="str">
            <v>yellow</v>
          </cell>
          <cell r="I1141">
            <v>1</v>
          </cell>
          <cell r="J1141" t="str">
            <v>Drop1W</v>
          </cell>
          <cell r="K1141" t="str">
            <v>ra002</v>
          </cell>
          <cell r="L1141" t="str">
            <v>ユークリッドチャレンジ</v>
          </cell>
          <cell r="M1141" t="str">
            <v>animal</v>
          </cell>
        </row>
        <row r="1142">
          <cell r="A1142">
            <v>6013</v>
          </cell>
          <cell r="B1142" t="str">
            <v>ja</v>
          </cell>
          <cell r="C1142" t="str">
            <v>護衛機人 スケアクロウ</v>
          </cell>
          <cell r="D1142" t="str">
            <v>ガチャ:フィーバーフェス02</v>
          </cell>
          <cell r="E1142" t="str">
            <v>執行者</v>
          </cell>
          <cell r="F1142" t="str">
            <v>格好いい</v>
          </cell>
          <cell r="G1142" t="str">
            <v>男性</v>
          </cell>
          <cell r="H1142" t="str">
            <v>blue</v>
          </cell>
          <cell r="I1142">
            <v>2</v>
          </cell>
          <cell r="J1142" t="str">
            <v>Drop1N</v>
          </cell>
          <cell r="K1142" t="str">
            <v>ra002</v>
          </cell>
          <cell r="L1142" t="str">
            <v>ユークリッドチャレンジ</v>
          </cell>
          <cell r="M1142" t="str">
            <v>machine</v>
          </cell>
        </row>
        <row r="1143">
          <cell r="A1143">
            <v>6014</v>
          </cell>
          <cell r="B1143" t="str">
            <v>ja</v>
          </cell>
          <cell r="C1143" t="str">
            <v>月下の人狼 ローレンス</v>
          </cell>
          <cell r="D1143" t="str">
            <v>ガチャ:フィーバーフェス02</v>
          </cell>
          <cell r="E1143" t="str">
            <v>執行者</v>
          </cell>
          <cell r="F1143" t="str">
            <v>格好いい</v>
          </cell>
          <cell r="G1143" t="str">
            <v>男性</v>
          </cell>
          <cell r="H1143" t="str">
            <v>blue</v>
          </cell>
          <cell r="I1143">
            <v>4</v>
          </cell>
          <cell r="J1143" t="str">
            <v>PremiumW</v>
          </cell>
          <cell r="K1143" t="str">
            <v>ra002</v>
          </cell>
          <cell r="L1143" t="str">
            <v>ユークリッドチャレンジ</v>
          </cell>
          <cell r="M1143" t="str">
            <v>animal</v>
          </cell>
        </row>
        <row r="1144">
          <cell r="A1144">
            <v>6015</v>
          </cell>
          <cell r="B1144" t="str">
            <v>ja</v>
          </cell>
          <cell r="C1144" t="str">
            <v>フレイヤ</v>
          </cell>
          <cell r="D1144" t="str">
            <v>ガチャ:フィーバーフェス02</v>
          </cell>
          <cell r="E1144" t="str">
            <v>執行者</v>
          </cell>
          <cell r="F1144" t="str">
            <v>格好いい</v>
          </cell>
          <cell r="G1144" t="str">
            <v>男性</v>
          </cell>
          <cell r="H1144" t="str">
            <v>blue</v>
          </cell>
          <cell r="I1144">
            <v>4</v>
          </cell>
          <cell r="J1144" t="str">
            <v>PremiumSS</v>
          </cell>
          <cell r="K1144" t="str">
            <v>ra002</v>
          </cell>
          <cell r="L1144" t="str">
            <v>ユークリッドチャレンジ</v>
          </cell>
          <cell r="M1144" t="str">
            <v>animal</v>
          </cell>
        </row>
        <row r="1145">
          <cell r="A1145">
            <v>6016</v>
          </cell>
          <cell r="B1145" t="str">
            <v>ja</v>
          </cell>
          <cell r="C1145" t="str">
            <v>根原論理 ユークリッド</v>
          </cell>
          <cell r="D1145" t="str">
            <v>ガチャ:フィーバーフェス02</v>
          </cell>
          <cell r="E1145" t="str">
            <v>執行者</v>
          </cell>
          <cell r="F1145" t="str">
            <v>格好いい</v>
          </cell>
          <cell r="G1145" t="str">
            <v>男性</v>
          </cell>
          <cell r="H1145" t="str">
            <v>blue</v>
          </cell>
          <cell r="I1145">
            <v>5</v>
          </cell>
          <cell r="J1145" t="str">
            <v>PremiumSSS</v>
          </cell>
          <cell r="K1145" t="str">
            <v>ra002</v>
          </cell>
          <cell r="L1145" t="str">
            <v>ユークリッドチャレンジ</v>
          </cell>
          <cell r="M1145" t="str">
            <v>human</v>
          </cell>
        </row>
        <row r="1146">
          <cell r="A1146">
            <v>6017</v>
          </cell>
          <cell r="B1146" t="str">
            <v>ja</v>
          </cell>
          <cell r="C1146" t="str">
            <v>不朽の極論 ユークリッド</v>
          </cell>
          <cell r="D1146" t="str">
            <v>ガチャ:フィーバーフェス02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blue</v>
          </cell>
          <cell r="I1146">
            <v>6</v>
          </cell>
          <cell r="J1146" t="str">
            <v>PremiumSSS</v>
          </cell>
          <cell r="K1146" t="str">
            <v>ra002</v>
          </cell>
          <cell r="L1146" t="str">
            <v>ユークリッドチャレンジ</v>
          </cell>
          <cell r="M1146" t="str">
            <v>human</v>
          </cell>
        </row>
        <row r="1147">
          <cell r="A1147">
            <v>6018</v>
          </cell>
          <cell r="B1147" t="str">
            <v>ja</v>
          </cell>
          <cell r="C1147" t="str">
            <v>ハヅル</v>
          </cell>
          <cell r="D1147" t="str">
            <v>ガチャ:フィーバーフェス02</v>
          </cell>
          <cell r="E1147" t="str">
            <v>執行者</v>
          </cell>
          <cell r="F1147" t="str">
            <v>格好いい</v>
          </cell>
          <cell r="G1147" t="str">
            <v>男性</v>
          </cell>
          <cell r="H1147" t="str">
            <v>red</v>
          </cell>
          <cell r="I1147">
            <v>4</v>
          </cell>
          <cell r="J1147" t="str">
            <v>PremiumSS</v>
          </cell>
          <cell r="K1147" t="str">
            <v>ra002</v>
          </cell>
          <cell r="L1147" t="str">
            <v>ユークリッドチャレンジ</v>
          </cell>
          <cell r="M1147" t="str">
            <v>animal</v>
          </cell>
        </row>
        <row r="1148">
          <cell r="A1148">
            <v>6019</v>
          </cell>
          <cell r="B1148" t="str">
            <v>ja</v>
          </cell>
          <cell r="C1148" t="str">
            <v>天織羽鶴 ハヅル</v>
          </cell>
          <cell r="D1148" t="str">
            <v>ガチャ:フィーバーフェス02</v>
          </cell>
          <cell r="E1148" t="str">
            <v>執行者</v>
          </cell>
          <cell r="F1148" t="str">
            <v>格好いい</v>
          </cell>
          <cell r="G1148" t="str">
            <v>男性</v>
          </cell>
          <cell r="H1148" t="str">
            <v>red</v>
          </cell>
          <cell r="I1148">
            <v>5</v>
          </cell>
          <cell r="J1148" t="str">
            <v>PremiumSS</v>
          </cell>
          <cell r="K1148" t="str">
            <v>ra002</v>
          </cell>
          <cell r="L1148" t="str">
            <v>ユークリッドチャレンジ</v>
          </cell>
          <cell r="M1148" t="str">
            <v>animal</v>
          </cell>
        </row>
        <row r="1149">
          <cell r="A1149">
            <v>6020</v>
          </cell>
          <cell r="B1149" t="str">
            <v>ja</v>
          </cell>
          <cell r="C1149" t="str">
            <v>ミズチ</v>
          </cell>
          <cell r="D1149" t="str">
            <v>ガチャ:フィーバーフェス02</v>
          </cell>
          <cell r="E1149" t="str">
            <v>執行者</v>
          </cell>
          <cell r="F1149" t="str">
            <v>格好いい</v>
          </cell>
          <cell r="G1149" t="str">
            <v>男性</v>
          </cell>
          <cell r="H1149" t="str">
            <v>blue</v>
          </cell>
          <cell r="I1149">
            <v>4</v>
          </cell>
          <cell r="J1149" t="str">
            <v>PremiumS</v>
          </cell>
          <cell r="K1149" t="str">
            <v>ra002</v>
          </cell>
          <cell r="L1149" t="str">
            <v>ユークリッドチャレンジ</v>
          </cell>
          <cell r="M1149" t="str">
            <v>dragon</v>
          </cell>
        </row>
        <row r="1150">
          <cell r="A1150">
            <v>8001</v>
          </cell>
          <cell r="B1150" t="str">
            <v>ja</v>
          </cell>
          <cell r="C1150" t="str">
            <v>媽祖</v>
          </cell>
          <cell r="D1150" t="str">
            <v>イベント:ミクコラボ01</v>
          </cell>
          <cell r="E1150" t="str">
            <v>執行者</v>
          </cell>
          <cell r="F1150" t="str">
            <v>格好いい</v>
          </cell>
          <cell r="G1150" t="str">
            <v>女性</v>
          </cell>
          <cell r="H1150" t="str">
            <v>yellow</v>
          </cell>
          <cell r="I1150">
            <v>5</v>
          </cell>
          <cell r="J1150" t="str">
            <v>PremiumSS</v>
          </cell>
          <cell r="K1150" t="str">
            <v>attack</v>
          </cell>
          <cell r="L1150" t="str">
            <v>攻撃タイプ</v>
          </cell>
          <cell r="M1150" t="str">
            <v>god</v>
          </cell>
        </row>
        <row r="1151">
          <cell r="A1151">
            <v>8002</v>
          </cell>
          <cell r="B1151" t="str">
            <v>ja</v>
          </cell>
          <cell r="C1151" t="str">
            <v>天后 媽祖</v>
          </cell>
          <cell r="D1151" t="str">
            <v>イベント:ミクコラボ01</v>
          </cell>
          <cell r="E1151" t="str">
            <v>執行者</v>
          </cell>
          <cell r="F1151" t="str">
            <v>格好いい</v>
          </cell>
          <cell r="G1151" t="str">
            <v>女性</v>
          </cell>
          <cell r="H1151" t="str">
            <v>yellow</v>
          </cell>
          <cell r="I1151">
            <v>6</v>
          </cell>
          <cell r="J1151" t="str">
            <v>PremiumSS</v>
          </cell>
          <cell r="K1151" t="str">
            <v>attack</v>
          </cell>
          <cell r="L1151" t="str">
            <v>攻撃タイプ</v>
          </cell>
          <cell r="M1151" t="str">
            <v>god</v>
          </cell>
        </row>
        <row r="1152">
          <cell r="A1152">
            <v>8003</v>
          </cell>
          <cell r="B1152" t="str">
            <v>ja</v>
          </cell>
          <cell r="C1152" t="str">
            <v>蛟龍</v>
          </cell>
          <cell r="D1152" t="str">
            <v>イベント:ミクコラボ01</v>
          </cell>
          <cell r="E1152" t="str">
            <v>執行者</v>
          </cell>
          <cell r="F1152" t="str">
            <v>格好いい</v>
          </cell>
          <cell r="G1152" t="str">
            <v>不明</v>
          </cell>
          <cell r="H1152" t="str">
            <v>blue</v>
          </cell>
          <cell r="I1152">
            <v>5</v>
          </cell>
          <cell r="J1152" t="str">
            <v>DropWizS</v>
          </cell>
          <cell r="K1152" t="str">
            <v>hp</v>
          </cell>
          <cell r="L1152" t="str">
            <v>体力タイプ</v>
          </cell>
          <cell r="M1152" t="str">
            <v>dragon</v>
          </cell>
        </row>
        <row r="1153">
          <cell r="A1153">
            <v>8004</v>
          </cell>
          <cell r="B1153" t="str">
            <v>ja</v>
          </cell>
          <cell r="C1153" t="str">
            <v>深海蛟龍怪‧晏公</v>
          </cell>
          <cell r="D1153" t="str">
            <v>イベント:ミクコラボ01</v>
          </cell>
          <cell r="E1153" t="str">
            <v>執行者</v>
          </cell>
          <cell r="F1153" t="str">
            <v>格好いい</v>
          </cell>
          <cell r="G1153" t="str">
            <v>不明</v>
          </cell>
          <cell r="H1153" t="str">
            <v>blue</v>
          </cell>
          <cell r="I1153">
            <v>6</v>
          </cell>
          <cell r="J1153" t="str">
            <v>DropWizS</v>
          </cell>
          <cell r="K1153" t="str">
            <v>hp</v>
          </cell>
          <cell r="L1153" t="str">
            <v>体力タイプ</v>
          </cell>
          <cell r="M1153" t="str">
            <v>dragon</v>
          </cell>
        </row>
        <row r="1154">
          <cell r="A1154">
            <v>8005</v>
          </cell>
          <cell r="B1154" t="str">
            <v>ja</v>
          </cell>
          <cell r="C1154" t="str">
            <v>三蔵法師</v>
          </cell>
          <cell r="D1154" t="str">
            <v>イベント:ミクコラボ01</v>
          </cell>
          <cell r="E1154" t="str">
            <v>執行者</v>
          </cell>
          <cell r="F1154" t="str">
            <v>格好いい</v>
          </cell>
          <cell r="G1154" t="str">
            <v>不明</v>
          </cell>
          <cell r="H1154" t="str">
            <v>blue</v>
          </cell>
          <cell r="I1154">
            <v>5</v>
          </cell>
          <cell r="J1154" t="str">
            <v>PremiumSS</v>
          </cell>
          <cell r="K1154" t="str">
            <v>balance</v>
          </cell>
          <cell r="L1154" t="str">
            <v>バランスタイプ</v>
          </cell>
          <cell r="M1154" t="str">
            <v>human</v>
          </cell>
        </row>
        <row r="1155">
          <cell r="A1155">
            <v>8006</v>
          </cell>
          <cell r="B1155" t="str">
            <v>ja</v>
          </cell>
          <cell r="C1155" t="str">
            <v>三蔵法師</v>
          </cell>
          <cell r="D1155" t="str">
            <v>イベント:ミクコラボ01</v>
          </cell>
          <cell r="E1155" t="str">
            <v>執行者</v>
          </cell>
          <cell r="F1155" t="str">
            <v>格好いい</v>
          </cell>
          <cell r="G1155" t="str">
            <v>不明</v>
          </cell>
          <cell r="H1155" t="str">
            <v>blue</v>
          </cell>
          <cell r="I1155">
            <v>6</v>
          </cell>
          <cell r="J1155" t="str">
            <v>PremiumSS</v>
          </cell>
          <cell r="K1155" t="str">
            <v>balance</v>
          </cell>
          <cell r="L1155" t="str">
            <v>バランスタイプ</v>
          </cell>
          <cell r="M1155" t="str">
            <v>human</v>
          </cell>
        </row>
        <row r="1156">
          <cell r="A1156">
            <v>8007</v>
          </cell>
          <cell r="B1156" t="str">
            <v>ja</v>
          </cell>
          <cell r="C1156" t="str">
            <v>孫悟空</v>
          </cell>
          <cell r="D1156" t="str">
            <v>イベント:ミクコラボ01</v>
          </cell>
          <cell r="E1156" t="str">
            <v>執行者</v>
          </cell>
          <cell r="F1156" t="str">
            <v>格好いい</v>
          </cell>
          <cell r="G1156" t="str">
            <v>不明</v>
          </cell>
          <cell r="H1156" t="str">
            <v>red</v>
          </cell>
          <cell r="I1156">
            <v>5</v>
          </cell>
          <cell r="J1156" t="str">
            <v>DropWizS</v>
          </cell>
          <cell r="K1156" t="str">
            <v>attack</v>
          </cell>
          <cell r="L1156" t="str">
            <v>攻撃タイプ</v>
          </cell>
          <cell r="M1156" t="str">
            <v>animal</v>
          </cell>
        </row>
        <row r="1157">
          <cell r="A1157">
            <v>8008</v>
          </cell>
          <cell r="B1157" t="str">
            <v>ja</v>
          </cell>
          <cell r="C1157" t="str">
            <v>孫悟空</v>
          </cell>
          <cell r="D1157" t="str">
            <v>イベント:ミクコラボ01</v>
          </cell>
          <cell r="E1157" t="str">
            <v>執行者</v>
          </cell>
          <cell r="F1157" t="str">
            <v>格好いい</v>
          </cell>
          <cell r="G1157" t="str">
            <v>不明</v>
          </cell>
          <cell r="H1157" t="str">
            <v>red</v>
          </cell>
          <cell r="I1157">
            <v>6</v>
          </cell>
          <cell r="J1157" t="str">
            <v>DropWizS</v>
          </cell>
          <cell r="K1157" t="str">
            <v>attack</v>
          </cell>
          <cell r="L1157" t="str">
            <v>攻撃タイプ</v>
          </cell>
          <cell r="M1157" t="str">
            <v>animal</v>
          </cell>
        </row>
        <row r="1158">
          <cell r="A1158">
            <v>8009</v>
          </cell>
          <cell r="B1158" t="str">
            <v>ja</v>
          </cell>
          <cell r="C1158" t="str">
            <v>西王娘娘</v>
          </cell>
          <cell r="D1158" t="str">
            <v>イベント:ミクコラボ01</v>
          </cell>
          <cell r="E1158" t="str">
            <v>執行者</v>
          </cell>
          <cell r="F1158" t="str">
            <v>格好いい</v>
          </cell>
          <cell r="G1158" t="str">
            <v>不明</v>
          </cell>
          <cell r="H1158" t="str">
            <v>green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8010</v>
          </cell>
          <cell r="B1159" t="str">
            <v>ja</v>
          </cell>
          <cell r="C1159" t="str">
            <v>西王娘娘</v>
          </cell>
          <cell r="D1159" t="str">
            <v>イベント:ミクコラボ01</v>
          </cell>
          <cell r="E1159" t="str">
            <v>執行者</v>
          </cell>
          <cell r="F1159" t="str">
            <v>格好いい</v>
          </cell>
          <cell r="G1159" t="str">
            <v>不明</v>
          </cell>
          <cell r="H1159" t="str">
            <v>green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8011</v>
          </cell>
          <cell r="B1160" t="str">
            <v>ja</v>
          </cell>
          <cell r="C1160" t="str">
            <v>月下老人</v>
          </cell>
          <cell r="D1160" t="str">
            <v>イベント:ミクコラボ01</v>
          </cell>
          <cell r="E1160" t="str">
            <v>執行者</v>
          </cell>
          <cell r="F1160" t="str">
            <v>格好いい</v>
          </cell>
          <cell r="G1160" t="str">
            <v>女性</v>
          </cell>
          <cell r="H1160" t="str">
            <v>yellow</v>
          </cell>
          <cell r="I1160">
            <v>5</v>
          </cell>
          <cell r="J1160" t="str">
            <v>DropWizS</v>
          </cell>
          <cell r="K1160" t="str">
            <v>balance</v>
          </cell>
          <cell r="L1160" t="str">
            <v>バランスタイプ</v>
          </cell>
          <cell r="M1160" t="str">
            <v>god</v>
          </cell>
        </row>
        <row r="1161">
          <cell r="A1161">
            <v>8012</v>
          </cell>
          <cell r="B1161" t="str">
            <v>ja</v>
          </cell>
          <cell r="C1161" t="str">
            <v>良緣祈福 月下老人</v>
          </cell>
          <cell r="D1161" t="str">
            <v>イベント:ミクコラボ01</v>
          </cell>
          <cell r="E1161" t="str">
            <v>執行者</v>
          </cell>
          <cell r="F1161" t="str">
            <v>格好いい</v>
          </cell>
          <cell r="G1161" t="str">
            <v>女性</v>
          </cell>
          <cell r="H1161" t="str">
            <v>yellow</v>
          </cell>
          <cell r="I1161">
            <v>6</v>
          </cell>
          <cell r="J1161" t="str">
            <v>DropWizS</v>
          </cell>
          <cell r="K1161" t="str">
            <v>balance</v>
          </cell>
          <cell r="L1161" t="str">
            <v>バランスタイプ</v>
          </cell>
          <cell r="M1161" t="str">
            <v>god</v>
          </cell>
        </row>
        <row r="1162">
          <cell r="A1162">
            <v>8013</v>
          </cell>
          <cell r="B1162" t="str">
            <v>ja</v>
          </cell>
          <cell r="C1162" t="str">
            <v>初音ミクV3</v>
          </cell>
          <cell r="D1162" t="str">
            <v>初音ミクV3</v>
          </cell>
          <cell r="E1162" t="str">
            <v>執行者</v>
          </cell>
          <cell r="F1162" t="str">
            <v>格好いい</v>
          </cell>
          <cell r="G1162" t="str">
            <v>女性</v>
          </cell>
          <cell r="H1162" t="str">
            <v>yellow</v>
          </cell>
          <cell r="I1162">
            <v>4</v>
          </cell>
          <cell r="J1162" t="str">
            <v>DropWizS</v>
          </cell>
          <cell r="K1162" t="str">
            <v>balance</v>
          </cell>
          <cell r="L1162" t="str">
            <v>バランスタイプ</v>
          </cell>
          <cell r="M1162" t="str">
            <v>unknown</v>
          </cell>
        </row>
        <row r="1163">
          <cell r="A1163">
            <v>8014</v>
          </cell>
          <cell r="B1163" t="str">
            <v>ja</v>
          </cell>
          <cell r="C1163" t="str">
            <v>初音ミクV3</v>
          </cell>
          <cell r="D1163" t="str">
            <v>初音ミクV3</v>
          </cell>
          <cell r="E1163" t="str">
            <v>執行者</v>
          </cell>
          <cell r="F1163" t="str">
            <v>格好いい</v>
          </cell>
          <cell r="G1163" t="str">
            <v>女性</v>
          </cell>
          <cell r="H1163" t="str">
            <v>yellow</v>
          </cell>
          <cell r="I1163">
            <v>5</v>
          </cell>
          <cell r="J1163" t="str">
            <v>DropWizS</v>
          </cell>
          <cell r="K1163" t="str">
            <v>balance</v>
          </cell>
          <cell r="L1163" t="str">
            <v>バランスタイプ</v>
          </cell>
          <cell r="M1163" t="str">
            <v>unknown</v>
          </cell>
        </row>
        <row r="1164">
          <cell r="A1164">
            <v>8015</v>
          </cell>
          <cell r="B1164" t="str">
            <v>ja</v>
          </cell>
          <cell r="C1164" t="str">
            <v>初音ミク・アペンド</v>
          </cell>
          <cell r="D1164" t="str">
            <v>初音ミク・アペンド</v>
          </cell>
          <cell r="E1164" t="str">
            <v>執行者</v>
          </cell>
          <cell r="F1164" t="str">
            <v>格好いい</v>
          </cell>
          <cell r="G1164" t="str">
            <v>女性</v>
          </cell>
          <cell r="H1164" t="str">
            <v>green</v>
          </cell>
          <cell r="I1164">
            <v>4</v>
          </cell>
          <cell r="J1164" t="str">
            <v>PremiumSSS</v>
          </cell>
          <cell r="K1164" t="str">
            <v>technical</v>
          </cell>
          <cell r="L1164" t="str">
            <v>テクニカルタイプ</v>
          </cell>
          <cell r="M1164" t="str">
            <v>unknown</v>
          </cell>
        </row>
        <row r="1165">
          <cell r="A1165">
            <v>8016</v>
          </cell>
          <cell r="B1165" t="str">
            <v>ja</v>
          </cell>
          <cell r="C1165" t="str">
            <v>初音ミク・アペンド</v>
          </cell>
          <cell r="D1165" t="str">
            <v>初音ミク・アペンド</v>
          </cell>
          <cell r="E1165" t="str">
            <v>執行者</v>
          </cell>
          <cell r="F1165" t="str">
            <v>格好いい</v>
          </cell>
          <cell r="G1165" t="str">
            <v>女性</v>
          </cell>
          <cell r="H1165" t="str">
            <v>green</v>
          </cell>
          <cell r="I1165">
            <v>5</v>
          </cell>
          <cell r="J1165" t="str">
            <v>PremiumSSS</v>
          </cell>
          <cell r="K1165" t="str">
            <v>technical</v>
          </cell>
          <cell r="L1165" t="str">
            <v>テクニカルタイプ</v>
          </cell>
          <cell r="M1165" t="str">
            <v>unknown</v>
          </cell>
        </row>
        <row r="1166">
          <cell r="A1166">
            <v>8017</v>
          </cell>
          <cell r="B1166" t="str">
            <v>ja</v>
          </cell>
          <cell r="C1166" t="str">
            <v>初音ミク</v>
          </cell>
          <cell r="D1166" t="str">
            <v>初音ミク</v>
          </cell>
          <cell r="E1166" t="str">
            <v>執行者</v>
          </cell>
          <cell r="F1166" t="str">
            <v>格好いい</v>
          </cell>
          <cell r="G1166" t="str">
            <v>女性</v>
          </cell>
          <cell r="H1166" t="str">
            <v>green</v>
          </cell>
          <cell r="I1166">
            <v>4</v>
          </cell>
          <cell r="J1166" t="str">
            <v>PremiumSSS</v>
          </cell>
          <cell r="K1166" t="str">
            <v>balance</v>
          </cell>
          <cell r="L1166" t="str">
            <v>バランスタイプ</v>
          </cell>
          <cell r="M1166" t="str">
            <v>unknown</v>
          </cell>
        </row>
        <row r="1167">
          <cell r="A1167">
            <v>8018</v>
          </cell>
          <cell r="B1167" t="str">
            <v>ja</v>
          </cell>
          <cell r="C1167" t="str">
            <v>初音ミク</v>
          </cell>
          <cell r="D1167" t="str">
            <v>初音ミク</v>
          </cell>
          <cell r="E1167" t="str">
            <v>執行者</v>
          </cell>
          <cell r="F1167" t="str">
            <v>格好いい</v>
          </cell>
          <cell r="G1167" t="str">
            <v>女性</v>
          </cell>
          <cell r="H1167" t="str">
            <v>green</v>
          </cell>
          <cell r="I1167">
            <v>5</v>
          </cell>
          <cell r="J1167" t="str">
            <v>PremiumSSS</v>
          </cell>
          <cell r="K1167" t="str">
            <v>balance</v>
          </cell>
          <cell r="L1167" t="str">
            <v>バランスタイプ</v>
          </cell>
          <cell r="M1167" t="str">
            <v>unknown</v>
          </cell>
        </row>
        <row r="1168">
          <cell r="A1168">
            <v>8019</v>
          </cell>
          <cell r="B1168" t="str">
            <v>ja</v>
          </cell>
          <cell r="C1168" t="str">
            <v>鏡音リン</v>
          </cell>
          <cell r="D1168" t="str">
            <v>鏡音リン</v>
          </cell>
          <cell r="E1168" t="str">
            <v>執行者</v>
          </cell>
          <cell r="F1168" t="str">
            <v>格好いい</v>
          </cell>
          <cell r="G1168" t="str">
            <v>男性</v>
          </cell>
          <cell r="H1168" t="str">
            <v>yellow</v>
          </cell>
          <cell r="I1168">
            <v>4</v>
          </cell>
          <cell r="J1168" t="str">
            <v>PremiumSS</v>
          </cell>
          <cell r="K1168" t="str">
            <v>balance</v>
          </cell>
          <cell r="L1168" t="str">
            <v>バランスタイプ</v>
          </cell>
          <cell r="M1168" t="str">
            <v>unknown</v>
          </cell>
        </row>
        <row r="1169">
          <cell r="A1169">
            <v>8020</v>
          </cell>
          <cell r="B1169" t="str">
            <v>ja</v>
          </cell>
          <cell r="C1169" t="str">
            <v>鏡音リン</v>
          </cell>
          <cell r="D1169" t="str">
            <v>鏡音リン</v>
          </cell>
          <cell r="E1169" t="str">
            <v>執行者</v>
          </cell>
          <cell r="F1169" t="str">
            <v>格好いい</v>
          </cell>
          <cell r="G1169" t="str">
            <v>男性</v>
          </cell>
          <cell r="H1169" t="str">
            <v>yellow</v>
          </cell>
          <cell r="I1169">
            <v>5</v>
          </cell>
          <cell r="J1169" t="str">
            <v>PremiumSS</v>
          </cell>
          <cell r="K1169" t="str">
            <v>balance</v>
          </cell>
          <cell r="L1169" t="str">
            <v>バランスタイプ</v>
          </cell>
          <cell r="M1169" t="str">
            <v>unknown</v>
          </cell>
        </row>
        <row r="1170">
          <cell r="A1170">
            <v>8021</v>
          </cell>
          <cell r="B1170" t="str">
            <v>ja</v>
          </cell>
          <cell r="C1170" t="str">
            <v>鏡音レン</v>
          </cell>
          <cell r="D1170" t="str">
            <v>鏡音レン</v>
          </cell>
          <cell r="E1170" t="str">
            <v>執行者</v>
          </cell>
          <cell r="F1170" t="str">
            <v>格好いい</v>
          </cell>
          <cell r="G1170" t="str">
            <v>女性</v>
          </cell>
          <cell r="H1170" t="str">
            <v>yellow</v>
          </cell>
          <cell r="I1170">
            <v>4</v>
          </cell>
          <cell r="J1170" t="str">
            <v>PremiumSS</v>
          </cell>
          <cell r="K1170" t="str">
            <v>heal</v>
          </cell>
          <cell r="L1170" t="str">
            <v>回復タイプ</v>
          </cell>
          <cell r="M1170" t="str">
            <v>unknown</v>
          </cell>
        </row>
        <row r="1171">
          <cell r="A1171">
            <v>8022</v>
          </cell>
          <cell r="B1171" t="str">
            <v>ja</v>
          </cell>
          <cell r="C1171" t="str">
            <v>鏡音レン</v>
          </cell>
          <cell r="D1171" t="str">
            <v>鏡音レン</v>
          </cell>
          <cell r="E1171" t="str">
            <v>執行者</v>
          </cell>
          <cell r="F1171" t="str">
            <v>格好いい</v>
          </cell>
          <cell r="G1171" t="str">
            <v>女性</v>
          </cell>
          <cell r="H1171" t="str">
            <v>yellow</v>
          </cell>
          <cell r="I1171">
            <v>5</v>
          </cell>
          <cell r="J1171" t="str">
            <v>PremiumSS</v>
          </cell>
          <cell r="K1171" t="str">
            <v>heal</v>
          </cell>
          <cell r="L1171" t="str">
            <v>回復タイプ</v>
          </cell>
          <cell r="M1171" t="str">
            <v>unknown</v>
          </cell>
        </row>
        <row r="1172">
          <cell r="A1172">
            <v>8023</v>
          </cell>
          <cell r="B1172" t="str">
            <v>ja</v>
          </cell>
          <cell r="C1172" t="str">
            <v>巡音ルカ</v>
          </cell>
          <cell r="D1172" t="str">
            <v>巡音ルカ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3</v>
          </cell>
          <cell r="J1172" t="str">
            <v>PremiumS</v>
          </cell>
          <cell r="K1172" t="str">
            <v>attack</v>
          </cell>
          <cell r="L1172" t="str">
            <v>攻撃タイプ</v>
          </cell>
          <cell r="M1172" t="str">
            <v>unknown</v>
          </cell>
        </row>
        <row r="1173">
          <cell r="A1173">
            <v>8024</v>
          </cell>
          <cell r="B1173" t="str">
            <v>ja</v>
          </cell>
          <cell r="C1173" t="str">
            <v>巡音ルカ</v>
          </cell>
          <cell r="D1173" t="str">
            <v>巡音ルカ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4</v>
          </cell>
          <cell r="J1173" t="str">
            <v>PremiumS</v>
          </cell>
          <cell r="K1173" t="str">
            <v>attack</v>
          </cell>
          <cell r="L1173" t="str">
            <v>攻撃タイプ</v>
          </cell>
          <cell r="M1173" t="str">
            <v>unknown</v>
          </cell>
        </row>
        <row r="1174">
          <cell r="A1174">
            <v>8025</v>
          </cell>
          <cell r="B1174" t="str">
            <v>ja</v>
          </cell>
          <cell r="C1174" t="str">
            <v>MEIKO</v>
          </cell>
          <cell r="D1174" t="str">
            <v>MEIKO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red</v>
          </cell>
          <cell r="I1174">
            <v>3</v>
          </cell>
          <cell r="J1174" t="str">
            <v>PremiumS</v>
          </cell>
          <cell r="K1174" t="str">
            <v>hp</v>
          </cell>
          <cell r="L1174" t="str">
            <v>体力タイプ</v>
          </cell>
          <cell r="M1174" t="str">
            <v>unknown</v>
          </cell>
        </row>
        <row r="1175">
          <cell r="A1175">
            <v>8026</v>
          </cell>
          <cell r="B1175" t="str">
            <v>ja</v>
          </cell>
          <cell r="C1175" t="str">
            <v>MEIKO</v>
          </cell>
          <cell r="D1175" t="str">
            <v>MEIKO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red</v>
          </cell>
          <cell r="I1175">
            <v>4</v>
          </cell>
          <cell r="J1175" t="str">
            <v>PremiumS</v>
          </cell>
          <cell r="K1175" t="str">
            <v>hp</v>
          </cell>
          <cell r="L1175" t="str">
            <v>体力タイプ</v>
          </cell>
          <cell r="M1175" t="str">
            <v>unknown</v>
          </cell>
        </row>
        <row r="1176">
          <cell r="A1176">
            <v>8027</v>
          </cell>
          <cell r="B1176" t="str">
            <v>ja</v>
          </cell>
          <cell r="C1176" t="str">
            <v>KAITO</v>
          </cell>
          <cell r="D1176" t="str">
            <v>KAITO</v>
          </cell>
          <cell r="E1176" t="str">
            <v>執行者</v>
          </cell>
          <cell r="F1176" t="str">
            <v>格好いい</v>
          </cell>
          <cell r="G1176" t="str">
            <v>女性</v>
          </cell>
          <cell r="H1176" t="str">
            <v>blue</v>
          </cell>
          <cell r="I1176">
            <v>3</v>
          </cell>
          <cell r="J1176" t="str">
            <v>PremiumS</v>
          </cell>
          <cell r="K1176" t="str">
            <v>technical</v>
          </cell>
          <cell r="L1176" t="str">
            <v>テクニカルタイプ</v>
          </cell>
          <cell r="M1176" t="str">
            <v>unknown</v>
          </cell>
        </row>
        <row r="1177">
          <cell r="A1177">
            <v>8028</v>
          </cell>
          <cell r="B1177" t="str">
            <v>ja</v>
          </cell>
          <cell r="C1177" t="str">
            <v>KAITO</v>
          </cell>
          <cell r="D1177" t="str">
            <v>KAITO</v>
          </cell>
          <cell r="E1177" t="str">
            <v>執行者</v>
          </cell>
          <cell r="F1177" t="str">
            <v>格好いい</v>
          </cell>
          <cell r="G1177" t="str">
            <v>女性</v>
          </cell>
          <cell r="H1177" t="str">
            <v>blue</v>
          </cell>
          <cell r="I1177">
            <v>4</v>
          </cell>
          <cell r="J1177" t="str">
            <v>PremiumS</v>
          </cell>
          <cell r="K1177" t="str">
            <v>technical</v>
          </cell>
          <cell r="L1177" t="str">
            <v>テクニカルタイプ</v>
          </cell>
          <cell r="M1177" t="str">
            <v>unknown</v>
          </cell>
        </row>
        <row r="1178">
          <cell r="A1178">
            <v>8029</v>
          </cell>
          <cell r="B1178" t="str">
            <v>ja</v>
          </cell>
          <cell r="C1178" t="str">
            <v>Expoミク</v>
          </cell>
          <cell r="D1178" t="str">
            <v>Expoミク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blue</v>
          </cell>
          <cell r="I1178">
            <v>4</v>
          </cell>
          <cell r="J1178" t="str">
            <v>Drop2N</v>
          </cell>
          <cell r="K1178" t="str">
            <v>heal</v>
          </cell>
          <cell r="L1178" t="str">
            <v>回復タイプ</v>
          </cell>
          <cell r="M1178" t="str">
            <v>unknown</v>
          </cell>
        </row>
        <row r="1179">
          <cell r="A1179">
            <v>8030</v>
          </cell>
          <cell r="B1179" t="str">
            <v>ja</v>
          </cell>
          <cell r="C1179" t="str">
            <v>Expoミク</v>
          </cell>
          <cell r="D1179" t="str">
            <v>Expoミク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blue</v>
          </cell>
          <cell r="I1179">
            <v>5</v>
          </cell>
          <cell r="J1179" t="str">
            <v>Drop2N</v>
          </cell>
          <cell r="K1179" t="str">
            <v>heal</v>
          </cell>
          <cell r="L1179" t="str">
            <v>回復タイプ</v>
          </cell>
          <cell r="M1179" t="str">
            <v>unknown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確率の考え方"/>
      <sheetName val="Sheet1"/>
      <sheetName val="output"/>
      <sheetName val="input_settle_7111100"/>
      <sheetName val="tables_settle_7111100"/>
      <sheetName val="R6追加前"/>
      <sheetName val="R6開放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ピックアップ確率</v>
          </cell>
        </row>
        <row r="2">
          <cell r="A2" t="str">
            <v>character_id</v>
          </cell>
        </row>
        <row r="3">
          <cell r="A3">
            <v>166</v>
          </cell>
        </row>
        <row r="4">
          <cell r="A4">
            <v>167</v>
          </cell>
        </row>
        <row r="5">
          <cell r="A5">
            <v>168</v>
          </cell>
        </row>
        <row r="6">
          <cell r="A6">
            <v>169</v>
          </cell>
        </row>
        <row r="7">
          <cell r="A7">
            <v>170</v>
          </cell>
        </row>
        <row r="8">
          <cell r="A8">
            <v>171</v>
          </cell>
        </row>
        <row r="9">
          <cell r="A9">
            <v>172</v>
          </cell>
        </row>
        <row r="10">
          <cell r="A10">
            <v>173</v>
          </cell>
        </row>
        <row r="11">
          <cell r="A11">
            <v>174</v>
          </cell>
        </row>
        <row r="12">
          <cell r="A12">
            <v>235</v>
          </cell>
        </row>
        <row r="13">
          <cell r="A13">
            <v>236</v>
          </cell>
        </row>
        <row r="14">
          <cell r="A14">
            <v>237</v>
          </cell>
        </row>
      </sheetData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47"/>
  <sheetViews>
    <sheetView zoomScale="90" zoomScaleNormal="90" zoomScalePageLayoutView="90" workbookViewId="0">
      <selection activeCell="C33" sqref="C33"/>
    </sheetView>
  </sheetViews>
  <sheetFormatPr baseColWidth="12" defaultRowHeight="15" x14ac:dyDescent="0.15"/>
  <cols>
    <col min="1" max="1" width="45" style="61" customWidth="1"/>
    <col min="2" max="16384" width="13" style="61"/>
  </cols>
  <sheetData>
    <row r="1" spans="1:13" x14ac:dyDescent="0.15">
      <c r="A1" s="85" t="s">
        <v>109</v>
      </c>
      <c r="B1" s="86" t="s">
        <v>110</v>
      </c>
      <c r="C1" s="86"/>
      <c r="D1" s="86"/>
      <c r="E1" s="86"/>
      <c r="F1" s="86"/>
      <c r="G1" s="86"/>
      <c r="H1" s="87"/>
    </row>
    <row r="2" spans="1:13" x14ac:dyDescent="0.15">
      <c r="A2" s="88" t="s">
        <v>111</v>
      </c>
      <c r="B2" s="89" t="s">
        <v>112</v>
      </c>
      <c r="C2" s="89" t="s">
        <v>113</v>
      </c>
      <c r="D2" s="89" t="s">
        <v>114</v>
      </c>
      <c r="E2" s="89" t="s">
        <v>115</v>
      </c>
      <c r="F2" s="89" t="s">
        <v>116</v>
      </c>
      <c r="G2" s="89" t="s">
        <v>117</v>
      </c>
      <c r="H2" s="90"/>
    </row>
    <row r="3" spans="1:13" x14ac:dyDescent="0.15">
      <c r="A3" s="88">
        <v>3</v>
      </c>
      <c r="B3" s="91" t="s">
        <v>118</v>
      </c>
      <c r="C3" s="91" t="s">
        <v>119</v>
      </c>
      <c r="D3" s="89">
        <v>0</v>
      </c>
      <c r="E3" s="89">
        <v>0</v>
      </c>
      <c r="F3" s="89">
        <v>0</v>
      </c>
      <c r="G3" s="92">
        <v>0.5</v>
      </c>
      <c r="H3" s="90"/>
    </row>
    <row r="4" spans="1:13" x14ac:dyDescent="0.15">
      <c r="A4" s="88">
        <v>4</v>
      </c>
      <c r="B4" s="91" t="s">
        <v>120</v>
      </c>
      <c r="C4" s="91" t="s">
        <v>121</v>
      </c>
      <c r="D4" s="91" t="s">
        <v>122</v>
      </c>
      <c r="E4" s="93" t="s">
        <v>217</v>
      </c>
      <c r="F4" s="89">
        <v>0</v>
      </c>
      <c r="G4" s="92">
        <v>0.45</v>
      </c>
      <c r="H4" s="90"/>
      <c r="I4" s="83" t="s">
        <v>233</v>
      </c>
    </row>
    <row r="5" spans="1:13" x14ac:dyDescent="0.15">
      <c r="A5" s="88">
        <v>5</v>
      </c>
      <c r="B5" s="94">
        <v>0</v>
      </c>
      <c r="C5" s="91" t="s">
        <v>123</v>
      </c>
      <c r="D5" s="91" t="s">
        <v>124</v>
      </c>
      <c r="E5" s="93" t="s">
        <v>218</v>
      </c>
      <c r="F5" s="93" t="s">
        <v>219</v>
      </c>
      <c r="G5" s="92">
        <v>0.05</v>
      </c>
      <c r="H5" s="90"/>
    </row>
    <row r="6" spans="1:13" x14ac:dyDescent="0.15">
      <c r="A6" s="88"/>
      <c r="B6" s="92" t="s">
        <v>125</v>
      </c>
      <c r="C6" s="92" t="s">
        <v>125</v>
      </c>
      <c r="D6" s="95" t="s">
        <v>215</v>
      </c>
      <c r="E6" s="92" t="s">
        <v>125</v>
      </c>
      <c r="F6" s="96" t="s">
        <v>127</v>
      </c>
      <c r="G6" s="92">
        <v>1</v>
      </c>
      <c r="H6" s="90"/>
    </row>
    <row r="7" spans="1:13" x14ac:dyDescent="0.15">
      <c r="A7" s="88"/>
      <c r="B7" s="92"/>
      <c r="C7" s="92"/>
      <c r="D7" s="92"/>
      <c r="E7" s="92"/>
      <c r="F7" s="92"/>
      <c r="G7" s="96"/>
      <c r="H7" s="97"/>
    </row>
    <row r="8" spans="1:13" x14ac:dyDescent="0.15">
      <c r="A8" s="88" t="s">
        <v>128</v>
      </c>
      <c r="B8" s="92"/>
      <c r="C8" s="92"/>
      <c r="D8" s="92"/>
      <c r="E8" s="92"/>
      <c r="F8" s="92"/>
      <c r="G8" s="96"/>
      <c r="H8" s="97"/>
    </row>
    <row r="9" spans="1:13" x14ac:dyDescent="0.15">
      <c r="A9" s="88" t="s">
        <v>129</v>
      </c>
      <c r="B9" s="92"/>
      <c r="C9" s="92"/>
      <c r="D9" s="92"/>
      <c r="E9" s="92"/>
      <c r="F9" s="92"/>
      <c r="G9" s="96"/>
      <c r="H9" s="97"/>
    </row>
    <row r="10" spans="1:13" x14ac:dyDescent="0.15">
      <c r="A10" s="88" t="s">
        <v>130</v>
      </c>
      <c r="B10" s="92"/>
      <c r="C10" s="92"/>
      <c r="D10" s="92"/>
      <c r="E10" s="92"/>
      <c r="F10" s="92"/>
      <c r="G10" s="96"/>
      <c r="H10" s="97"/>
    </row>
    <row r="11" spans="1:13" x14ac:dyDescent="0.15">
      <c r="A11" s="88" t="s">
        <v>131</v>
      </c>
      <c r="B11" s="92"/>
      <c r="C11" s="92"/>
      <c r="D11" s="92"/>
      <c r="E11" s="92"/>
      <c r="F11" s="92"/>
      <c r="G11" s="96"/>
      <c r="H11" s="97"/>
    </row>
    <row r="12" spans="1:13" x14ac:dyDescent="0.15">
      <c r="A12" s="98" t="s">
        <v>222</v>
      </c>
      <c r="B12" s="92" t="s">
        <v>132</v>
      </c>
      <c r="C12" s="92" t="s">
        <v>133</v>
      </c>
      <c r="D12" s="92"/>
      <c r="E12" s="92"/>
      <c r="F12" s="92"/>
      <c r="G12" s="96"/>
      <c r="H12" s="97"/>
    </row>
    <row r="13" spans="1:13" x14ac:dyDescent="0.15">
      <c r="A13" s="98" t="s">
        <v>223</v>
      </c>
      <c r="B13" s="89" t="s">
        <v>134</v>
      </c>
      <c r="C13" s="89" t="s">
        <v>135</v>
      </c>
      <c r="D13" s="89"/>
      <c r="E13" s="89"/>
      <c r="F13" s="89"/>
      <c r="G13" s="89"/>
      <c r="H13" s="90"/>
    </row>
    <row r="14" spans="1:13" x14ac:dyDescent="0.15">
      <c r="A14" s="98" t="s">
        <v>224</v>
      </c>
      <c r="B14" s="89" t="s">
        <v>132</v>
      </c>
      <c r="C14" s="94" t="s">
        <v>136</v>
      </c>
      <c r="D14" s="89"/>
      <c r="E14" s="94"/>
      <c r="F14" s="94"/>
      <c r="G14" s="89"/>
      <c r="H14" s="90"/>
      <c r="M14" s="62"/>
    </row>
    <row r="15" spans="1:13" x14ac:dyDescent="0.15">
      <c r="A15" s="88"/>
      <c r="B15" s="92"/>
      <c r="C15" s="92"/>
      <c r="D15" s="89"/>
      <c r="E15" s="89"/>
      <c r="F15" s="89"/>
      <c r="G15" s="89"/>
      <c r="H15" s="90"/>
    </row>
    <row r="16" spans="1:13" x14ac:dyDescent="0.15">
      <c r="A16" s="88" t="s">
        <v>137</v>
      </c>
      <c r="B16" s="89"/>
      <c r="C16" s="89"/>
      <c r="D16" s="89"/>
      <c r="E16" s="89"/>
      <c r="F16" s="89"/>
      <c r="G16" s="89"/>
      <c r="H16" s="90"/>
    </row>
    <row r="17" spans="1:8" x14ac:dyDescent="0.15">
      <c r="A17" s="98" t="s">
        <v>216</v>
      </c>
      <c r="B17" s="92"/>
      <c r="C17" s="92"/>
      <c r="D17" s="89"/>
      <c r="E17" s="89"/>
      <c r="F17" s="89"/>
      <c r="G17" s="89"/>
      <c r="H17" s="90"/>
    </row>
    <row r="18" spans="1:8" x14ac:dyDescent="0.15">
      <c r="A18" s="98" t="s">
        <v>220</v>
      </c>
      <c r="B18" s="92" t="s">
        <v>138</v>
      </c>
      <c r="C18" s="95" t="s">
        <v>213</v>
      </c>
      <c r="D18" s="89" t="s">
        <v>139</v>
      </c>
      <c r="E18" s="89"/>
      <c r="F18" s="89"/>
      <c r="G18" s="89"/>
      <c r="H18" s="90"/>
    </row>
    <row r="19" spans="1:8" x14ac:dyDescent="0.15">
      <c r="A19" s="88" t="s">
        <v>140</v>
      </c>
      <c r="B19" s="92" t="s">
        <v>132</v>
      </c>
      <c r="C19" s="95" t="s">
        <v>221</v>
      </c>
      <c r="D19" s="89" t="s">
        <v>141</v>
      </c>
      <c r="E19" s="89"/>
      <c r="F19" s="89"/>
      <c r="G19" s="89"/>
      <c r="H19" s="90"/>
    </row>
    <row r="20" spans="1:8" x14ac:dyDescent="0.15">
      <c r="A20" s="98" t="s">
        <v>225</v>
      </c>
      <c r="B20" s="92" t="s">
        <v>132</v>
      </c>
      <c r="C20" s="99" t="s">
        <v>226</v>
      </c>
      <c r="D20" s="89" t="s">
        <v>142</v>
      </c>
      <c r="E20" s="89"/>
      <c r="F20" s="89"/>
      <c r="G20" s="89"/>
      <c r="H20" s="90"/>
    </row>
    <row r="21" spans="1:8" x14ac:dyDescent="0.15">
      <c r="A21" s="88" t="s">
        <v>143</v>
      </c>
      <c r="B21" s="92" t="s">
        <v>132</v>
      </c>
      <c r="C21" s="95" t="s">
        <v>214</v>
      </c>
      <c r="D21" s="89" t="s">
        <v>144</v>
      </c>
      <c r="E21" s="89"/>
      <c r="F21" s="89"/>
      <c r="G21" s="89"/>
      <c r="H21" s="90"/>
    </row>
    <row r="22" spans="1:8" x14ac:dyDescent="0.15">
      <c r="A22" s="88" t="s">
        <v>145</v>
      </c>
      <c r="B22" s="92" t="s">
        <v>132</v>
      </c>
      <c r="C22" s="92" t="s">
        <v>146</v>
      </c>
      <c r="D22" s="89" t="s">
        <v>147</v>
      </c>
      <c r="E22" s="89"/>
      <c r="F22" s="89"/>
      <c r="G22" s="89"/>
      <c r="H22" s="90"/>
    </row>
    <row r="23" spans="1:8" x14ac:dyDescent="0.15">
      <c r="A23" s="88" t="s">
        <v>148</v>
      </c>
      <c r="B23" s="92" t="s">
        <v>132</v>
      </c>
      <c r="C23" s="92" t="s">
        <v>149</v>
      </c>
      <c r="D23" s="89" t="s">
        <v>150</v>
      </c>
      <c r="E23" s="89"/>
      <c r="F23" s="89"/>
      <c r="G23" s="89"/>
      <c r="H23" s="90"/>
    </row>
    <row r="24" spans="1:8" x14ac:dyDescent="0.15">
      <c r="A24" s="98" t="s">
        <v>228</v>
      </c>
      <c r="B24" s="92" t="s">
        <v>132</v>
      </c>
      <c r="C24" s="92" t="s">
        <v>126</v>
      </c>
      <c r="D24" s="99" t="s">
        <v>227</v>
      </c>
      <c r="E24" s="89" t="s">
        <v>151</v>
      </c>
      <c r="F24" s="89"/>
      <c r="G24" s="89"/>
      <c r="H24" s="90"/>
    </row>
    <row r="25" spans="1:8" x14ac:dyDescent="0.15">
      <c r="A25" s="88" t="s">
        <v>119</v>
      </c>
      <c r="B25" s="92" t="s">
        <v>132</v>
      </c>
      <c r="C25" s="92" t="s">
        <v>152</v>
      </c>
      <c r="D25" s="89"/>
      <c r="E25" s="89" t="s">
        <v>153</v>
      </c>
      <c r="F25" s="89"/>
      <c r="G25" s="89"/>
      <c r="H25" s="90"/>
    </row>
    <row r="26" spans="1:8" x14ac:dyDescent="0.15">
      <c r="A26" s="88" t="s">
        <v>121</v>
      </c>
      <c r="B26" s="92" t="s">
        <v>132</v>
      </c>
      <c r="C26" s="92" t="s">
        <v>154</v>
      </c>
      <c r="D26" s="89"/>
      <c r="E26" s="89"/>
      <c r="F26" s="89"/>
      <c r="G26" s="89"/>
      <c r="H26" s="90"/>
    </row>
    <row r="27" spans="1:8" x14ac:dyDescent="0.15">
      <c r="A27" s="88"/>
      <c r="B27" s="92"/>
      <c r="C27" s="89"/>
      <c r="D27" s="89"/>
      <c r="E27" s="89"/>
      <c r="F27" s="89"/>
      <c r="G27" s="89"/>
      <c r="H27" s="90"/>
    </row>
    <row r="28" spans="1:8" x14ac:dyDescent="0.15">
      <c r="A28" s="88" t="s">
        <v>155</v>
      </c>
      <c r="B28" s="89"/>
      <c r="C28" s="89"/>
      <c r="D28" s="89"/>
      <c r="E28" s="89"/>
      <c r="F28" s="89"/>
      <c r="G28" s="89"/>
      <c r="H28" s="90"/>
    </row>
    <row r="29" spans="1:8" x14ac:dyDescent="0.15">
      <c r="A29" s="88" t="s">
        <v>156</v>
      </c>
      <c r="B29" s="92" t="s">
        <v>132</v>
      </c>
      <c r="C29" s="92" t="s">
        <v>157</v>
      </c>
      <c r="D29" s="89"/>
      <c r="E29" s="89"/>
      <c r="F29" s="89"/>
      <c r="G29" s="89"/>
      <c r="H29" s="90"/>
    </row>
    <row r="30" spans="1:8" x14ac:dyDescent="0.15">
      <c r="A30" s="88" t="s">
        <v>121</v>
      </c>
      <c r="B30" s="92" t="s">
        <v>132</v>
      </c>
      <c r="C30" s="92" t="s">
        <v>158</v>
      </c>
      <c r="D30" s="89"/>
      <c r="E30" s="89"/>
      <c r="F30" s="89"/>
      <c r="G30" s="89"/>
      <c r="H30" s="90"/>
    </row>
    <row r="31" spans="1:8" x14ac:dyDescent="0.15">
      <c r="A31" s="88" t="s">
        <v>119</v>
      </c>
      <c r="B31" s="92" t="s">
        <v>132</v>
      </c>
      <c r="C31" s="92" t="s">
        <v>159</v>
      </c>
      <c r="D31" s="89"/>
      <c r="E31" s="89"/>
      <c r="F31" s="89"/>
      <c r="G31" s="89"/>
      <c r="H31" s="90"/>
    </row>
    <row r="32" spans="1:8" x14ac:dyDescent="0.15">
      <c r="A32" s="88" t="s">
        <v>118</v>
      </c>
      <c r="B32" s="92" t="s">
        <v>132</v>
      </c>
      <c r="C32" s="95" t="s">
        <v>229</v>
      </c>
      <c r="D32" s="100" t="s">
        <v>230</v>
      </c>
      <c r="E32" s="99" t="s">
        <v>231</v>
      </c>
      <c r="F32" s="89"/>
      <c r="G32" s="89"/>
      <c r="H32" s="90"/>
    </row>
    <row r="33" spans="1:13" x14ac:dyDescent="0.15">
      <c r="A33" s="88" t="s">
        <v>120</v>
      </c>
      <c r="B33" s="92" t="s">
        <v>132</v>
      </c>
      <c r="C33" s="92" t="s">
        <v>160</v>
      </c>
      <c r="D33" s="100"/>
      <c r="E33" s="89"/>
      <c r="F33" s="89"/>
      <c r="G33" s="89"/>
      <c r="H33" s="90"/>
    </row>
    <row r="34" spans="1:13" x14ac:dyDescent="0.15">
      <c r="A34" s="88" t="s">
        <v>124</v>
      </c>
      <c r="B34" s="92" t="s">
        <v>132</v>
      </c>
      <c r="C34" s="95" t="s">
        <v>232</v>
      </c>
      <c r="D34" s="89"/>
      <c r="E34" s="89"/>
      <c r="F34" s="89"/>
      <c r="G34" s="89"/>
      <c r="H34" s="90"/>
    </row>
    <row r="35" spans="1:13" x14ac:dyDescent="0.15">
      <c r="A35" s="88" t="s">
        <v>122</v>
      </c>
      <c r="B35" s="92" t="s">
        <v>132</v>
      </c>
      <c r="C35" s="92" t="s">
        <v>161</v>
      </c>
      <c r="D35" s="89"/>
      <c r="E35" s="89"/>
      <c r="F35" s="89"/>
      <c r="G35" s="89"/>
      <c r="H35" s="90"/>
    </row>
    <row r="36" spans="1:13" x14ac:dyDescent="0.15">
      <c r="A36" s="101"/>
      <c r="B36" s="102"/>
      <c r="C36" s="103"/>
      <c r="D36" s="103"/>
      <c r="E36" s="103"/>
      <c r="F36" s="103"/>
      <c r="G36" s="103"/>
      <c r="H36" s="104"/>
    </row>
    <row r="37" spans="1:13" x14ac:dyDescent="0.15">
      <c r="A37" s="83"/>
      <c r="B37" s="62"/>
      <c r="J37" s="77" t="s">
        <v>189</v>
      </c>
      <c r="K37" s="77" t="s">
        <v>164</v>
      </c>
      <c r="M37" s="84"/>
    </row>
    <row r="38" spans="1:13" x14ac:dyDescent="0.15">
      <c r="A38" s="83"/>
      <c r="B38" s="62"/>
      <c r="J38" s="77" t="s">
        <v>190</v>
      </c>
      <c r="K38" s="77" t="s">
        <v>191</v>
      </c>
      <c r="M38" s="62"/>
    </row>
    <row r="39" spans="1:13" x14ac:dyDescent="0.15">
      <c r="J39" s="77" t="s">
        <v>192</v>
      </c>
      <c r="K39" s="77" t="s">
        <v>193</v>
      </c>
    </row>
    <row r="40" spans="1:13" x14ac:dyDescent="0.15">
      <c r="J40" s="77" t="s">
        <v>194</v>
      </c>
      <c r="K40" s="77" t="s">
        <v>195</v>
      </c>
    </row>
    <row r="41" spans="1:13" x14ac:dyDescent="0.15">
      <c r="J41" s="77" t="s">
        <v>196</v>
      </c>
      <c r="K41" s="77" t="s">
        <v>197</v>
      </c>
    </row>
    <row r="42" spans="1:13" x14ac:dyDescent="0.15">
      <c r="J42" s="77" t="s">
        <v>198</v>
      </c>
      <c r="K42" s="77" t="s">
        <v>199</v>
      </c>
    </row>
    <row r="43" spans="1:13" x14ac:dyDescent="0.15">
      <c r="J43" s="77" t="s">
        <v>200</v>
      </c>
      <c r="K43" s="77" t="s">
        <v>201</v>
      </c>
    </row>
    <row r="44" spans="1:13" x14ac:dyDescent="0.15">
      <c r="J44" s="77" t="s">
        <v>202</v>
      </c>
      <c r="K44" s="77" t="s">
        <v>203</v>
      </c>
    </row>
    <row r="45" spans="1:13" x14ac:dyDescent="0.15">
      <c r="J45" s="77" t="s">
        <v>205</v>
      </c>
      <c r="K45" s="77" t="s">
        <v>204</v>
      </c>
    </row>
    <row r="46" spans="1:13" x14ac:dyDescent="0.15">
      <c r="J46" s="77" t="s">
        <v>206</v>
      </c>
      <c r="K46" s="77" t="s">
        <v>207</v>
      </c>
    </row>
    <row r="47" spans="1:13" x14ac:dyDescent="0.15">
      <c r="J47" s="77"/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76</v>
      </c>
    </row>
    <row r="2" spans="1:1" x14ac:dyDescent="0.15">
      <c r="A2" t="s">
        <v>77</v>
      </c>
    </row>
    <row r="3" spans="1:1" x14ac:dyDescent="0.15">
      <c r="A3" t="s">
        <v>78</v>
      </c>
    </row>
    <row r="4" spans="1:1" x14ac:dyDescent="0.15">
      <c r="A4" t="s">
        <v>79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8"/>
  <sheetViews>
    <sheetView workbookViewId="0">
      <selection activeCell="F3" sqref="F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6" t="s">
        <v>49</v>
      </c>
      <c r="B1" s="16" t="s">
        <v>38</v>
      </c>
      <c r="C1" s="16" t="s">
        <v>39</v>
      </c>
      <c r="D1" s="16" t="s">
        <v>40</v>
      </c>
      <c r="E1" s="16" t="s">
        <v>41</v>
      </c>
      <c r="F1" s="16" t="s">
        <v>42</v>
      </c>
      <c r="G1" s="16" t="s">
        <v>43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106" t="s">
        <v>212</v>
      </c>
      <c r="B2" s="59" t="s">
        <v>108</v>
      </c>
      <c r="C2" s="48" t="str">
        <f t="shared" ref="C2" si="0">RIGHT(F2,6)</f>
        <v>384010</v>
      </c>
      <c r="D2" s="19" t="s">
        <v>44</v>
      </c>
      <c r="E2" s="17" t="str">
        <f t="shared" ref="E2" si="1">B2&amp;C2&amp;D2</f>
        <v>gacha_select_tables_384010.tmp</v>
      </c>
      <c r="F2" s="125" t="s">
        <v>262</v>
      </c>
      <c r="G2" s="47" t="s">
        <v>83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106" t="s">
        <v>212</v>
      </c>
      <c r="B3" s="59" t="s">
        <v>108</v>
      </c>
      <c r="C3" s="48" t="str">
        <f t="shared" ref="C3" si="2">RIGHT(F3,6)</f>
        <v>384100</v>
      </c>
      <c r="D3" s="19" t="s">
        <v>44</v>
      </c>
      <c r="E3" s="17" t="str">
        <f t="shared" ref="E3" si="3">B3&amp;C3&amp;D3</f>
        <v>gacha_select_tables_384100.tmp</v>
      </c>
      <c r="F3" s="107" t="s">
        <v>234</v>
      </c>
      <c r="G3" s="47" t="s">
        <v>83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106" t="s">
        <v>212</v>
      </c>
      <c r="B4" s="70" t="s">
        <v>187</v>
      </c>
      <c r="C4" s="48" t="str">
        <f t="shared" ref="C4:C5" si="4">RIGHT(F4,6)</f>
        <v>384104</v>
      </c>
      <c r="D4" s="19" t="s">
        <v>44</v>
      </c>
      <c r="E4" s="17" t="str">
        <f t="shared" ref="E4:E6" si="5">B4&amp;C4&amp;D4</f>
        <v>gacha_settle_tables_384104.tmp</v>
      </c>
      <c r="F4" s="107" t="s">
        <v>240</v>
      </c>
      <c r="G4" s="47" t="s">
        <v>83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106" t="s">
        <v>212</v>
      </c>
      <c r="B5" s="70" t="s">
        <v>187</v>
      </c>
      <c r="C5" s="48" t="str">
        <f t="shared" si="4"/>
        <v>384107</v>
      </c>
      <c r="D5" s="19" t="s">
        <v>44</v>
      </c>
      <c r="E5" s="17" t="str">
        <f t="shared" si="5"/>
        <v>gacha_settle_tables_384107.tmp</v>
      </c>
      <c r="F5" s="107" t="s">
        <v>241</v>
      </c>
      <c r="G5" s="47" t="s">
        <v>82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106" t="s">
        <v>212</v>
      </c>
      <c r="B6" s="117" t="s">
        <v>258</v>
      </c>
      <c r="C6" s="117">
        <v>384</v>
      </c>
      <c r="D6" s="19" t="s">
        <v>259</v>
      </c>
      <c r="E6" s="17" t="str">
        <f t="shared" si="5"/>
        <v>gacha_bonus_tables_384.tmp</v>
      </c>
      <c r="F6" s="19" t="s">
        <v>260</v>
      </c>
      <c r="G6" s="118" t="s">
        <v>11</v>
      </c>
      <c r="H6" s="118" t="s">
        <v>13</v>
      </c>
      <c r="I6" s="118" t="s">
        <v>2</v>
      </c>
      <c r="J6" s="20"/>
      <c r="K6" s="20"/>
      <c r="L6" s="20"/>
      <c r="M6" s="20"/>
      <c r="N6" s="20"/>
      <c r="O6" s="20"/>
    </row>
    <row r="7" spans="1:21" x14ac:dyDescent="0.15">
      <c r="A7" s="106" t="s">
        <v>212</v>
      </c>
      <c r="B7" s="19" t="s">
        <v>47</v>
      </c>
      <c r="C7" s="30">
        <v>384</v>
      </c>
      <c r="D7" s="19" t="s">
        <v>45</v>
      </c>
      <c r="E7" s="17" t="str">
        <f t="shared" ref="E7:E8" si="6">B7&amp;C7&amp;D7</f>
        <v>gifts_tmp_384.tmp</v>
      </c>
      <c r="F7" s="19" t="s">
        <v>46</v>
      </c>
      <c r="G7" s="22" t="s">
        <v>21</v>
      </c>
      <c r="H7" s="23" t="s">
        <v>29</v>
      </c>
      <c r="I7" s="22" t="s">
        <v>22</v>
      </c>
      <c r="J7" s="22" t="s">
        <v>23</v>
      </c>
      <c r="K7" s="22" t="s">
        <v>23</v>
      </c>
      <c r="L7" s="22" t="s">
        <v>24</v>
      </c>
      <c r="M7" s="22" t="s">
        <v>24</v>
      </c>
      <c r="N7" s="22" t="s">
        <v>24</v>
      </c>
      <c r="O7" s="49" t="s">
        <v>7</v>
      </c>
      <c r="P7" s="49" t="s">
        <v>9</v>
      </c>
      <c r="Q7" s="49" t="s">
        <v>6</v>
      </c>
      <c r="R7" s="49" t="s">
        <v>84</v>
      </c>
      <c r="S7" s="49" t="s">
        <v>8</v>
      </c>
      <c r="T7" s="49" t="s">
        <v>85</v>
      </c>
      <c r="U7" s="49" t="s">
        <v>5</v>
      </c>
    </row>
    <row r="8" spans="1:21" x14ac:dyDescent="0.15">
      <c r="A8" s="106" t="s">
        <v>212</v>
      </c>
      <c r="B8" s="19" t="s">
        <v>48</v>
      </c>
      <c r="C8" s="30">
        <v>384</v>
      </c>
      <c r="D8" s="19" t="s">
        <v>45</v>
      </c>
      <c r="E8" s="17" t="str">
        <f t="shared" si="6"/>
        <v>gifts_i18n_384.tmp</v>
      </c>
      <c r="F8" s="19" t="s">
        <v>46</v>
      </c>
      <c r="G8" s="22" t="s">
        <v>12</v>
      </c>
      <c r="H8" s="24" t="s">
        <v>25</v>
      </c>
      <c r="I8" s="24" t="s">
        <v>26</v>
      </c>
      <c r="J8" s="24" t="s">
        <v>27</v>
      </c>
      <c r="K8" s="24" t="s">
        <v>28</v>
      </c>
      <c r="L8" s="25"/>
      <c r="M8" s="22"/>
      <c r="N8" s="22"/>
      <c r="O8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workbookViewId="0">
      <selection activeCell="L3" sqref="L3:N20"/>
    </sheetView>
  </sheetViews>
  <sheetFormatPr baseColWidth="12" defaultRowHeight="14" x14ac:dyDescent="0.15"/>
  <cols>
    <col min="1" max="2" width="24.19921875" bestFit="1" customWidth="1"/>
    <col min="3" max="3" width="14.19921875" bestFit="1" customWidth="1"/>
    <col min="17" max="17" width="13" customWidth="1"/>
  </cols>
  <sheetData>
    <row r="1" spans="1:22" x14ac:dyDescent="0.15">
      <c r="A1" s="46" t="s">
        <v>80</v>
      </c>
      <c r="B1" s="46"/>
      <c r="L1" s="36" t="s">
        <v>59</v>
      </c>
      <c r="M1" s="36"/>
      <c r="U1" t="s">
        <v>59</v>
      </c>
    </row>
    <row r="2" spans="1:22" x14ac:dyDescent="0.15">
      <c r="A2" t="str">
        <f ca="1">RIGHT(RIGHT(CELL("filename",A2),LEN(CELL("filename",A2))-FIND("]",CELL("filename",A2))),6)</f>
        <v>384010</v>
      </c>
      <c r="L2" s="31" t="s">
        <v>1</v>
      </c>
      <c r="M2" s="35" t="s">
        <v>63</v>
      </c>
      <c r="N2" s="31" t="s">
        <v>61</v>
      </c>
      <c r="O2" s="35" t="s">
        <v>64</v>
      </c>
      <c r="P2" s="35" t="s">
        <v>65</v>
      </c>
      <c r="Q2" s="35" t="s">
        <v>62</v>
      </c>
      <c r="R2" s="42" t="s">
        <v>71</v>
      </c>
      <c r="U2" s="31" t="s">
        <v>164</v>
      </c>
      <c r="V2" s="52">
        <f t="shared" ref="V2:V16" si="0">SUMIF(Q:Q,U2,N:N)</f>
        <v>0</v>
      </c>
    </row>
    <row r="3" spans="1:22" x14ac:dyDescent="0.15">
      <c r="H3" s="66" t="s">
        <v>185</v>
      </c>
      <c r="L3" s="6">
        <v>379</v>
      </c>
      <c r="M3" s="35" t="str">
        <f>VLOOKUP(L3,[1]characters!$A:$C,3,FALSE)</f>
        <v>幾何の機刃 オイラー</v>
      </c>
      <c r="N3" s="119">
        <v>1.9999999999999999E-6</v>
      </c>
      <c r="O3" s="35">
        <f>VLOOKUP(L3,[1]characters!$A:$I,9,FALSE)</f>
        <v>5</v>
      </c>
      <c r="P3" s="35" t="str">
        <f>VLOOKUP(L3,[1]characters!$A:$J,10,FALSE)</f>
        <v>PremiumSSS</v>
      </c>
      <c r="Q3" s="35" t="str">
        <f>VLOOKUP(L3,tables_384010!B:C,2,FALSE)</f>
        <v>PremiumSSS5R3less</v>
      </c>
      <c r="R3" s="60">
        <f t="shared" ref="R3:R20" si="1">N3*A$36</f>
        <v>130.03199999999998</v>
      </c>
      <c r="S3">
        <v>190</v>
      </c>
      <c r="U3" s="31" t="s">
        <v>165</v>
      </c>
      <c r="V3" s="52">
        <f t="shared" si="0"/>
        <v>0</v>
      </c>
    </row>
    <row r="4" spans="1:22" x14ac:dyDescent="0.15">
      <c r="A4" s="32" t="s">
        <v>51</v>
      </c>
      <c r="B4" s="32"/>
      <c r="D4" t="s">
        <v>174</v>
      </c>
      <c r="F4" t="s">
        <v>177</v>
      </c>
      <c r="H4" t="s">
        <v>183</v>
      </c>
      <c r="I4" t="s">
        <v>184</v>
      </c>
      <c r="L4" s="6">
        <v>411</v>
      </c>
      <c r="M4" s="35" t="str">
        <f>VLOOKUP(L4,[1]characters!$A:$C,3,FALSE)</f>
        <v>電隷の始祖 ファラデー</v>
      </c>
      <c r="N4" s="119">
        <v>1.9999999999999999E-6</v>
      </c>
      <c r="O4" s="35">
        <f>VLOOKUP(L4,[1]characters!$A:$I,9,FALSE)</f>
        <v>5</v>
      </c>
      <c r="P4" s="35" t="str">
        <f>VLOOKUP(L4,[1]characters!$A:$J,10,FALSE)</f>
        <v>PremiumSSS</v>
      </c>
      <c r="Q4" s="35" t="str">
        <f>VLOOKUP(L4,tables_384010!B:C,2,FALSE)</f>
        <v>PremiumSSS5R3less</v>
      </c>
      <c r="R4" s="60">
        <f t="shared" si="1"/>
        <v>130.03199999999998</v>
      </c>
      <c r="S4">
        <v>191</v>
      </c>
      <c r="U4" s="31" t="s">
        <v>95</v>
      </c>
      <c r="V4" s="52">
        <f t="shared" si="0"/>
        <v>0</v>
      </c>
    </row>
    <row r="5" spans="1:22" x14ac:dyDescent="0.15">
      <c r="A5" s="31" t="s">
        <v>66</v>
      </c>
      <c r="B5" s="65">
        <v>0.5</v>
      </c>
      <c r="D5" t="s">
        <v>175</v>
      </c>
      <c r="E5" s="41">
        <f>(B11-H5)/(F5-I5)</f>
        <v>1.1904761904761906E-3</v>
      </c>
      <c r="F5">
        <f>(COUNTIF(tables_384010!C:C,input_384010!A28)+COUNTIF(tables_384010!C:C,input_384010!A29))</f>
        <v>42</v>
      </c>
      <c r="H5" s="78">
        <v>0</v>
      </c>
      <c r="I5" s="29">
        <v>0</v>
      </c>
      <c r="L5" s="6">
        <v>485</v>
      </c>
      <c r="M5" s="35" t="str">
        <f>VLOOKUP(L5,[1]characters!$A:$C,3,FALSE)</f>
        <v>超越自我 ラグランジュ</v>
      </c>
      <c r="N5" s="119">
        <v>1.9999999999999999E-6</v>
      </c>
      <c r="O5" s="35">
        <f>VLOOKUP(L5,[1]characters!$A:$I,9,FALSE)</f>
        <v>5</v>
      </c>
      <c r="P5" s="35" t="str">
        <f>VLOOKUP(L5,[1]characters!$A:$J,10,FALSE)</f>
        <v>PremiumSSS</v>
      </c>
      <c r="Q5" s="35" t="str">
        <f>VLOOKUP(L5,tables_384010!B:C,2,FALSE)</f>
        <v>PremiumSSS5R3less</v>
      </c>
      <c r="R5" s="60">
        <f t="shared" si="1"/>
        <v>130.03199999999998</v>
      </c>
      <c r="S5">
        <v>192</v>
      </c>
      <c r="U5" s="31" t="s">
        <v>96</v>
      </c>
      <c r="V5" s="52">
        <f t="shared" si="0"/>
        <v>0</v>
      </c>
    </row>
    <row r="6" spans="1:22" x14ac:dyDescent="0.15">
      <c r="A6" s="31" t="s">
        <v>67</v>
      </c>
      <c r="B6" s="65">
        <v>0.45</v>
      </c>
      <c r="D6" t="s">
        <v>176</v>
      </c>
      <c r="E6" s="69">
        <f>(B10-H6)/(F6-I6)</f>
        <v>1.1046120930232557E-2</v>
      </c>
      <c r="F6">
        <f>(COUNTIF(tables_384010!C:C,input_384010!A25)+COUNTIF(tables_384010!C:C,input_384010!A18)+COUNTIF(tables_384010!C:C,input_384010!A20)+COUNTIF(tables_384010!C:C,input_384010!A22))</f>
        <v>86</v>
      </c>
      <c r="H6" s="81">
        <v>0</v>
      </c>
      <c r="I6" s="29">
        <v>0</v>
      </c>
      <c r="L6" s="6">
        <v>689</v>
      </c>
      <c r="M6" s="35" t="str">
        <f>VLOOKUP(L6,[1]characters!$A:$C,3,FALSE)</f>
        <v>根原論理 ユークリッド</v>
      </c>
      <c r="N6" s="119">
        <v>1.9999999999999999E-6</v>
      </c>
      <c r="O6" s="35">
        <f>VLOOKUP(L6,[1]characters!$A:$I,9,FALSE)</f>
        <v>5</v>
      </c>
      <c r="P6" s="35" t="str">
        <f>VLOOKUP(L6,[1]characters!$A:$J,10,FALSE)</f>
        <v>PremiumSSS</v>
      </c>
      <c r="Q6" s="35" t="str">
        <f>VLOOKUP(L6,tables_384010!B:C,2,FALSE)</f>
        <v>PremiumSSS5R3less</v>
      </c>
      <c r="R6" s="60">
        <f t="shared" si="1"/>
        <v>130.03199999999998</v>
      </c>
      <c r="S6">
        <v>596</v>
      </c>
      <c r="U6" s="31" t="s">
        <v>97</v>
      </c>
      <c r="V6" s="52">
        <f t="shared" si="0"/>
        <v>0</v>
      </c>
    </row>
    <row r="7" spans="1:22" x14ac:dyDescent="0.15">
      <c r="A7" s="31" t="s">
        <v>68</v>
      </c>
      <c r="B7" s="65">
        <v>0.05</v>
      </c>
      <c r="L7" s="6">
        <v>760</v>
      </c>
      <c r="M7" s="35" t="str">
        <f>VLOOKUP(L7,[1]characters!$A:$C,3,FALSE)</f>
        <v>限論顕現 クロネッカー</v>
      </c>
      <c r="N7" s="119">
        <v>2.3999999999999999E-6</v>
      </c>
      <c r="O7" s="35">
        <f>VLOOKUP(L7,[1]characters!$A:$I,9,FALSE)</f>
        <v>5</v>
      </c>
      <c r="P7" s="35" t="str">
        <f>VLOOKUP(L7,[1]characters!$A:$J,10,FALSE)</f>
        <v>PremiumSSS</v>
      </c>
      <c r="Q7" s="35" t="str">
        <f>VLOOKUP(L7,tables_384010!B:C,2,FALSE)</f>
        <v>PremiumSSS5R3less</v>
      </c>
      <c r="R7" s="60">
        <f t="shared" si="1"/>
        <v>156.0384</v>
      </c>
      <c r="S7">
        <v>597</v>
      </c>
      <c r="U7" s="31" t="s">
        <v>170</v>
      </c>
      <c r="V7" s="52">
        <f t="shared" si="0"/>
        <v>0</v>
      </c>
    </row>
    <row r="8" spans="1:22" x14ac:dyDescent="0.15">
      <c r="A8" s="55"/>
      <c r="B8" s="64"/>
      <c r="E8" s="69"/>
      <c r="L8" s="6">
        <v>750</v>
      </c>
      <c r="M8" s="35" t="str">
        <f>VLOOKUP(L8,[1]characters!$A:$C,3,FALSE)</f>
        <v>ポアソン</v>
      </c>
      <c r="N8" s="119">
        <v>2.3999999999999999E-6</v>
      </c>
      <c r="O8" s="35">
        <f>VLOOKUP(L8,[1]characters!$A:$I,9,FALSE)</f>
        <v>5</v>
      </c>
      <c r="P8" s="35" t="str">
        <f>VLOOKUP(L8,[1]characters!$A:$J,10,FALSE)</f>
        <v>PremiumSSS</v>
      </c>
      <c r="Q8" s="35" t="str">
        <f>VLOOKUP(L8,tables_384010!B:C,2,FALSE)</f>
        <v>PremiumSSS5R3less</v>
      </c>
      <c r="R8" s="60">
        <f t="shared" si="1"/>
        <v>156.0384</v>
      </c>
      <c r="S8">
        <v>598</v>
      </c>
      <c r="U8" s="31" t="s">
        <v>171</v>
      </c>
      <c r="V8" s="52">
        <f t="shared" si="0"/>
        <v>0</v>
      </c>
    </row>
    <row r="9" spans="1:22" x14ac:dyDescent="0.15">
      <c r="A9" s="33" t="s">
        <v>52</v>
      </c>
      <c r="B9" s="33"/>
      <c r="L9" s="8">
        <v>870</v>
      </c>
      <c r="M9" s="35" t="str">
        <f>VLOOKUP(L9,[1]characters!$A:$C,3,FALSE)</f>
        <v>フロイト</v>
      </c>
      <c r="N9" s="119">
        <v>2.3999999999999999E-6</v>
      </c>
      <c r="O9" s="35">
        <f>VLOOKUP(L9,[1]characters!$A:$I,9,FALSE)</f>
        <v>5</v>
      </c>
      <c r="P9" s="35" t="str">
        <f>VLOOKUP(L9,[1]characters!$A:$J,10,FALSE)</f>
        <v>PremiumSSS</v>
      </c>
      <c r="Q9" s="35" t="str">
        <f>VLOOKUP(L9,tables_384010!B:C,2,FALSE)</f>
        <v>PremiumSSS5R3less</v>
      </c>
      <c r="R9" s="60">
        <f t="shared" si="1"/>
        <v>156.0384</v>
      </c>
      <c r="S9">
        <v>390</v>
      </c>
      <c r="U9" s="31" t="s">
        <v>167</v>
      </c>
      <c r="V9" s="52">
        <f t="shared" si="0"/>
        <v>0</v>
      </c>
    </row>
    <row r="10" spans="1:22" x14ac:dyDescent="0.15">
      <c r="A10" s="31" t="s">
        <v>94</v>
      </c>
      <c r="B10" s="119">
        <f>1-B11-B12</f>
        <v>0.94996639999999999</v>
      </c>
      <c r="C10" t="s">
        <v>182</v>
      </c>
      <c r="L10" s="8">
        <v>486</v>
      </c>
      <c r="M10" s="35" t="str">
        <f>VLOOKUP(L10,[1]characters!$A:$C,3,FALSE)</f>
        <v>重なる世解 シュレディンガー</v>
      </c>
      <c r="N10" s="119">
        <v>2.3999999999999999E-6</v>
      </c>
      <c r="O10" s="35">
        <f>VLOOKUP(L10,[1]characters!$A:$I,9,FALSE)</f>
        <v>5</v>
      </c>
      <c r="P10" s="35" t="str">
        <f>VLOOKUP(L10,[1]characters!$A:$J,10,FALSE)</f>
        <v>PremiumSSS</v>
      </c>
      <c r="Q10" s="35" t="str">
        <f>VLOOKUP(L10,tables_384010!B:C,2,FALSE)</f>
        <v>PremiumSSS5R3less</v>
      </c>
      <c r="R10" s="60">
        <f t="shared" si="1"/>
        <v>156.0384</v>
      </c>
      <c r="S10">
        <v>391</v>
      </c>
      <c r="U10" s="31" t="s">
        <v>168</v>
      </c>
      <c r="V10" s="52">
        <f t="shared" si="0"/>
        <v>0</v>
      </c>
    </row>
    <row r="11" spans="1:22" x14ac:dyDescent="0.15">
      <c r="A11" s="31" t="s">
        <v>54</v>
      </c>
      <c r="B11" s="71">
        <v>0.05</v>
      </c>
      <c r="L11" s="6">
        <v>488</v>
      </c>
      <c r="M11" s="35" t="str">
        <f>VLOOKUP(L11,[1]characters!$A:$C,3,FALSE)</f>
        <v>直観の異論 ヘンペル</v>
      </c>
      <c r="N11" s="119">
        <v>2.3999999999999999E-6</v>
      </c>
      <c r="O11" s="35">
        <f>VLOOKUP(L11,[1]characters!$A:$I,9,FALSE)</f>
        <v>5</v>
      </c>
      <c r="P11" s="35" t="str">
        <f>VLOOKUP(L11,[1]characters!$A:$J,10,FALSE)</f>
        <v>PremiumSSS</v>
      </c>
      <c r="Q11" s="35" t="str">
        <f>VLOOKUP(L11,tables_384010!B:C,2,FALSE)</f>
        <v>PremiumSSS5R3less</v>
      </c>
      <c r="R11" s="60">
        <f t="shared" si="1"/>
        <v>156.0384</v>
      </c>
      <c r="S11">
        <v>811</v>
      </c>
      <c r="U11" s="31" t="s">
        <v>169</v>
      </c>
      <c r="V11" s="52">
        <f t="shared" si="0"/>
        <v>0</v>
      </c>
    </row>
    <row r="12" spans="1:22" x14ac:dyDescent="0.15">
      <c r="A12" s="31" t="s">
        <v>53</v>
      </c>
      <c r="B12" s="119">
        <f>SUM(N3:N20)</f>
        <v>3.3600000000000017E-5</v>
      </c>
      <c r="L12" s="6">
        <v>489</v>
      </c>
      <c r="M12" s="35" t="str">
        <f>VLOOKUP(L12,[1]characters!$A:$C,3,FALSE)</f>
        <v>宇宙の拡超 ハップル</v>
      </c>
      <c r="N12" s="119">
        <v>2.3999999999999999E-6</v>
      </c>
      <c r="O12" s="35">
        <f>VLOOKUP(L12,[1]characters!$A:$I,9,FALSE)</f>
        <v>5</v>
      </c>
      <c r="P12" s="35" t="str">
        <f>VLOOKUP(L12,[1]characters!$A:$J,10,FALSE)</f>
        <v>PremiumSSS</v>
      </c>
      <c r="Q12" s="35" t="str">
        <f>VLOOKUP(L12,tables_384010!B:C,2,FALSE)</f>
        <v>PremiumSSS5R3less</v>
      </c>
      <c r="R12" s="60">
        <f t="shared" si="1"/>
        <v>156.0384</v>
      </c>
      <c r="S12">
        <v>496</v>
      </c>
      <c r="U12" s="31" t="s">
        <v>104</v>
      </c>
      <c r="V12" s="52">
        <f t="shared" si="0"/>
        <v>0</v>
      </c>
    </row>
    <row r="13" spans="1:22" x14ac:dyDescent="0.15">
      <c r="L13" s="6">
        <v>762</v>
      </c>
      <c r="M13" s="35" t="str">
        <f>VLOOKUP(L13,[1]characters!$A:$C,3,FALSE)</f>
        <v>フィボナッチ</v>
      </c>
      <c r="N13" s="119">
        <v>2.3999999999999999E-6</v>
      </c>
      <c r="O13" s="35">
        <f>VLOOKUP(L13,[1]characters!$A:$I,9,FALSE)</f>
        <v>5</v>
      </c>
      <c r="P13" s="35" t="str">
        <f>VLOOKUP(L13,[1]characters!$A:$J,10,FALSE)</f>
        <v>PremiumSSS</v>
      </c>
      <c r="Q13" s="35" t="str">
        <f>VLOOKUP(L13,tables_384010!B:C,2,FALSE)</f>
        <v>PremiumSSS5R3less</v>
      </c>
      <c r="R13" s="60">
        <f t="shared" si="1"/>
        <v>156.0384</v>
      </c>
      <c r="S13">
        <v>497</v>
      </c>
      <c r="U13" s="31" t="s">
        <v>105</v>
      </c>
      <c r="V13" s="52">
        <f t="shared" si="0"/>
        <v>0</v>
      </c>
    </row>
    <row r="14" spans="1:22" x14ac:dyDescent="0.15">
      <c r="L14" s="5">
        <v>487</v>
      </c>
      <c r="M14" s="35" t="str">
        <f>VLOOKUP(L14,[1]characters!$A:$C,3,FALSE)</f>
        <v>暴創の造物 チューリング</v>
      </c>
      <c r="N14" s="119">
        <v>2.3999999999999999E-6</v>
      </c>
      <c r="O14" s="35">
        <f>VLOOKUP(L14,[1]characters!$A:$I,9,FALSE)</f>
        <v>5</v>
      </c>
      <c r="P14" s="35" t="str">
        <f>VLOOKUP(L14,[1]characters!$A:$J,10,FALSE)</f>
        <v>PremiumSSS</v>
      </c>
      <c r="Q14" s="35" t="str">
        <f>VLOOKUP(L14,tables_384010!B:C,2,FALSE)</f>
        <v>PremiumSSS5R3less</v>
      </c>
      <c r="R14" s="60">
        <f t="shared" si="1"/>
        <v>156.0384</v>
      </c>
      <c r="S14">
        <v>498</v>
      </c>
      <c r="U14" s="31" t="s">
        <v>173</v>
      </c>
      <c r="V14" s="52">
        <f t="shared" si="0"/>
        <v>0</v>
      </c>
    </row>
    <row r="15" spans="1:22" x14ac:dyDescent="0.15">
      <c r="A15" s="34" t="s">
        <v>55</v>
      </c>
      <c r="B15" s="34"/>
      <c r="C15" t="s">
        <v>81</v>
      </c>
      <c r="L15" s="5">
        <v>790</v>
      </c>
      <c r="M15" s="35" t="str">
        <f>VLOOKUP(L15,[1]characters!$A:$C,3,FALSE)</f>
        <v>戦略級の才脳 ノイマン</v>
      </c>
      <c r="N15" s="119">
        <v>2.3999999999999999E-6</v>
      </c>
      <c r="O15" s="35">
        <f>VLOOKUP(L15,[1]characters!$A:$I,9,FALSE)</f>
        <v>5</v>
      </c>
      <c r="P15" s="35" t="str">
        <f>VLOOKUP(L15,[1]characters!$A:$J,10,FALSE)</f>
        <v>PremiumSSS</v>
      </c>
      <c r="Q15" s="35" t="str">
        <f>VLOOKUP(L15,tables_384010!B:C,2,FALSE)</f>
        <v>PremiumSSS5R3less</v>
      </c>
      <c r="R15" s="60">
        <f t="shared" si="1"/>
        <v>156.0384</v>
      </c>
      <c r="S15">
        <v>395</v>
      </c>
      <c r="U15" s="31" t="s">
        <v>107</v>
      </c>
      <c r="V15" s="52">
        <f t="shared" si="0"/>
        <v>0</v>
      </c>
    </row>
    <row r="16" spans="1:22" x14ac:dyDescent="0.15">
      <c r="A16" s="31" t="s">
        <v>58</v>
      </c>
      <c r="B16" s="31" t="s">
        <v>166</v>
      </c>
      <c r="C16" s="35" t="s">
        <v>59</v>
      </c>
      <c r="D16" s="35" t="s">
        <v>60</v>
      </c>
      <c r="E16" t="s">
        <v>70</v>
      </c>
      <c r="F16" t="s">
        <v>69</v>
      </c>
      <c r="G16" t="s">
        <v>72</v>
      </c>
      <c r="H16" t="s">
        <v>186</v>
      </c>
      <c r="I16" t="s">
        <v>73</v>
      </c>
      <c r="J16" t="s">
        <v>75</v>
      </c>
      <c r="L16" s="5">
        <v>792</v>
      </c>
      <c r="M16" s="35" t="str">
        <f>VLOOKUP(L16,[1]characters!$A:$C,3,FALSE)</f>
        <v>片還の収波 フーリエ</v>
      </c>
      <c r="N16" s="119">
        <v>2.3999999999999999E-6</v>
      </c>
      <c r="O16" s="35">
        <f>VLOOKUP(L16,[1]characters!$A:$I,9,FALSE)</f>
        <v>5</v>
      </c>
      <c r="P16" s="35" t="str">
        <f>VLOOKUP(L16,[1]characters!$A:$J,10,FALSE)</f>
        <v>PremiumSSS</v>
      </c>
      <c r="Q16" s="35" t="str">
        <f>VLOOKUP(L16,tables_384010!B:C,2,FALSE)</f>
        <v>PremiumSSS5R3less</v>
      </c>
      <c r="R16" s="60">
        <f t="shared" si="1"/>
        <v>156.0384</v>
      </c>
      <c r="S16">
        <v>396</v>
      </c>
      <c r="U16" s="31" t="s">
        <v>106</v>
      </c>
      <c r="V16" s="52">
        <f t="shared" si="0"/>
        <v>0</v>
      </c>
    </row>
    <row r="17" spans="1:19" x14ac:dyDescent="0.15">
      <c r="A17" s="31" t="s">
        <v>164</v>
      </c>
      <c r="B17" s="76">
        <f>B$5-B19-B24</f>
        <v>0.19070861395348843</v>
      </c>
      <c r="C17" s="79">
        <f t="shared" ref="C17:C31" si="2">SUMIF(Q:Q,A17,N:N)</f>
        <v>0</v>
      </c>
      <c r="D17" s="67">
        <f t="shared" ref="D17:D32" si="3">B17-C17</f>
        <v>0.19070861395348843</v>
      </c>
      <c r="E17">
        <f>COUNTIF(tables_384010!C:C,input_384010!A17)-COUNTIF(Q:Q,A17)</f>
        <v>20</v>
      </c>
      <c r="F17" s="41">
        <f>IFERROR(B17/E17,0)</f>
        <v>9.535430697674421E-3</v>
      </c>
      <c r="G17">
        <f t="shared" ref="G17:G31" si="4">A$36*B17</f>
        <v>12399111.244800003</v>
      </c>
      <c r="H17">
        <f t="shared" ref="H17:H31" si="5">IFERROR(ROUND(G17/E17,5),0)</f>
        <v>619955.56224</v>
      </c>
      <c r="I17">
        <f t="shared" ref="I17:I31" si="6">MOD(H17,1)</f>
        <v>0.56223999999929219</v>
      </c>
      <c r="J17">
        <f t="shared" ref="J17:J31" si="7">IFERROR(1/I17,1)</f>
        <v>1.7785998861718464</v>
      </c>
      <c r="L17" s="120">
        <v>378</v>
      </c>
      <c r="M17" s="35" t="str">
        <f>VLOOKUP(L17,[1]characters!$A:$C,3,FALSE)</f>
        <v>オイラー</v>
      </c>
      <c r="N17" s="119">
        <v>3.9999999999999998E-7</v>
      </c>
      <c r="O17" s="35">
        <f>VLOOKUP(L17,[1]characters!$A:$I,9,FALSE)</f>
        <v>4</v>
      </c>
      <c r="P17" s="35" t="str">
        <f>VLOOKUP(L17,[1]characters!$A:$J,10,FALSE)</f>
        <v>PremiumSSS</v>
      </c>
      <c r="Q17" s="35" t="str">
        <f>VLOOKUP(L17,tables_384010!B:C,2,FALSE)</f>
        <v>PremiumSSS4R3less</v>
      </c>
      <c r="R17" s="60">
        <f t="shared" si="1"/>
        <v>26.006399999999999</v>
      </c>
      <c r="S17">
        <v>397</v>
      </c>
    </row>
    <row r="18" spans="1:19" x14ac:dyDescent="0.15">
      <c r="A18" s="31" t="s">
        <v>165</v>
      </c>
      <c r="B18" s="54">
        <f>E$6*E18-B17</f>
        <v>3.0213804651162718E-2</v>
      </c>
      <c r="C18" s="79">
        <f t="shared" si="2"/>
        <v>0</v>
      </c>
      <c r="D18" s="67">
        <f t="shared" si="3"/>
        <v>3.0213804651162718E-2</v>
      </c>
      <c r="E18">
        <f>COUNTIF(tables_384010!C:C,input_384010!A18)-COUNTIF(Q:Q,A18)</f>
        <v>20</v>
      </c>
      <c r="F18" s="41">
        <f>IFERROR(B18/E18,0)</f>
        <v>1.5106902325581358E-3</v>
      </c>
      <c r="G18">
        <f t="shared" si="4"/>
        <v>1964380.7231999952</v>
      </c>
      <c r="H18">
        <f t="shared" si="5"/>
        <v>98219.036160000003</v>
      </c>
      <c r="I18">
        <f t="shared" si="6"/>
        <v>3.6160000003292225E-2</v>
      </c>
      <c r="J18">
        <f t="shared" si="7"/>
        <v>27.654867254119303</v>
      </c>
      <c r="L18" s="120">
        <v>410</v>
      </c>
      <c r="M18" s="35" t="str">
        <f>VLOOKUP(L18,[1]characters!$A:$C,3,FALSE)</f>
        <v>ファラデー</v>
      </c>
      <c r="N18" s="119">
        <v>3.9999999999999998E-7</v>
      </c>
      <c r="O18" s="35">
        <f>VLOOKUP(L18,[1]characters!$A:$I,9,FALSE)</f>
        <v>4</v>
      </c>
      <c r="P18" s="35" t="str">
        <f>VLOOKUP(L18,[1]characters!$A:$J,10,FALSE)</f>
        <v>PremiumSSS</v>
      </c>
      <c r="Q18" s="35" t="str">
        <f>VLOOKUP(L18,tables_384010!B:C,2,FALSE)</f>
        <v>PremiumSSS4R3less</v>
      </c>
      <c r="R18" s="60">
        <f t="shared" si="1"/>
        <v>26.006399999999999</v>
      </c>
      <c r="S18">
        <v>324</v>
      </c>
    </row>
    <row r="19" spans="1:19" x14ac:dyDescent="0.15">
      <c r="A19" s="31" t="s">
        <v>95</v>
      </c>
      <c r="B19" s="54">
        <f>E$6*E19*B$5</f>
        <v>0.28719914418604647</v>
      </c>
      <c r="C19" s="79">
        <f t="shared" si="2"/>
        <v>0</v>
      </c>
      <c r="D19" s="67">
        <f t="shared" si="3"/>
        <v>0.28719914418604647</v>
      </c>
      <c r="E19">
        <f>COUNTIF(tables_384010!C:C,input_384010!A19)-COUNTIF(Q:Q,A19)</f>
        <v>52</v>
      </c>
      <c r="F19" s="41">
        <f t="shared" ref="F19:F31" si="8">IFERROR(B19/E19,0)</f>
        <v>5.5230604651162786E-3</v>
      </c>
      <c r="G19">
        <f t="shared" si="4"/>
        <v>18672539.558399998</v>
      </c>
      <c r="H19">
        <f t="shared" si="5"/>
        <v>359087.29920000001</v>
      </c>
      <c r="I19">
        <f t="shared" si="6"/>
        <v>0.29920000000856817</v>
      </c>
      <c r="J19">
        <f t="shared" si="7"/>
        <v>3.342245989209101</v>
      </c>
      <c r="L19" s="120">
        <v>484</v>
      </c>
      <c r="M19" s="35" t="str">
        <f>VLOOKUP(L19,[1]characters!$A:$C,3,FALSE)</f>
        <v>ラグランジュ</v>
      </c>
      <c r="N19" s="119">
        <v>3.9999999999999998E-7</v>
      </c>
      <c r="O19" s="35">
        <f>VLOOKUP(L19,[1]characters!$A:$I,9,FALSE)</f>
        <v>4</v>
      </c>
      <c r="P19" s="35" t="str">
        <f>VLOOKUP(L19,[1]characters!$A:$J,10,FALSE)</f>
        <v>PremiumSSS</v>
      </c>
      <c r="Q19" s="35" t="str">
        <f>VLOOKUP(L19,tables_384010!B:C,2,FALSE)</f>
        <v>PremiumSSS4R3less</v>
      </c>
      <c r="R19" s="60">
        <f t="shared" si="1"/>
        <v>26.006399999999999</v>
      </c>
      <c r="S19">
        <v>325</v>
      </c>
    </row>
    <row r="20" spans="1:19" x14ac:dyDescent="0.15">
      <c r="A20" s="31" t="s">
        <v>96</v>
      </c>
      <c r="B20" s="76">
        <f>E20*E6-B21-B19</f>
        <v>0.26326476217054257</v>
      </c>
      <c r="C20" s="79">
        <f t="shared" si="2"/>
        <v>0</v>
      </c>
      <c r="D20" s="67">
        <f t="shared" si="3"/>
        <v>0.26326476217054257</v>
      </c>
      <c r="E20">
        <f>COUNTIF(tables_384010!C:C,input_384010!A20)-COUNTIF(Q:Q,A20)</f>
        <v>52</v>
      </c>
      <c r="F20" s="41">
        <f t="shared" si="8"/>
        <v>5.0627838878950495E-3</v>
      </c>
      <c r="G20">
        <f t="shared" si="4"/>
        <v>17116421.777279995</v>
      </c>
      <c r="H20">
        <f t="shared" si="5"/>
        <v>329161.95726</v>
      </c>
      <c r="I20">
        <f t="shared" si="6"/>
        <v>0.95725999999558553</v>
      </c>
      <c r="J20">
        <f t="shared" si="7"/>
        <v>1.0446482669333426</v>
      </c>
      <c r="L20" s="120">
        <v>688</v>
      </c>
      <c r="M20" s="35" t="str">
        <f>VLOOKUP(L20,[1]characters!$A:$C,3,FALSE)</f>
        <v>ユークリッド</v>
      </c>
      <c r="N20" s="119">
        <v>3.9999999999999998E-7</v>
      </c>
      <c r="O20" s="35">
        <f>VLOOKUP(L20,[1]characters!$A:$I,9,FALSE)</f>
        <v>4</v>
      </c>
      <c r="P20" s="35" t="str">
        <f>VLOOKUP(L20,[1]characters!$A:$J,10,FALSE)</f>
        <v>PremiumSSS</v>
      </c>
      <c r="Q20" s="35" t="str">
        <f>VLOOKUP(L20,tables_384010!B:C,2,FALSE)</f>
        <v>PremiumSSS4R3less</v>
      </c>
      <c r="R20" s="60">
        <f t="shared" si="1"/>
        <v>26.006399999999999</v>
      </c>
      <c r="S20">
        <v>809</v>
      </c>
    </row>
    <row r="21" spans="1:19" x14ac:dyDescent="0.15">
      <c r="A21" s="31" t="s">
        <v>97</v>
      </c>
      <c r="B21" s="54">
        <f>B7-B23-B26-B28-B29</f>
        <v>2.3934382015503873E-2</v>
      </c>
      <c r="C21" s="79">
        <f t="shared" si="2"/>
        <v>0</v>
      </c>
      <c r="D21" s="67">
        <f t="shared" si="3"/>
        <v>2.3934382015503873E-2</v>
      </c>
      <c r="E21">
        <f>COUNTIF(tables_384010!C:C,input_384010!A21)-COUNTIF(Q:Q,A21)</f>
        <v>52</v>
      </c>
      <c r="F21" s="41">
        <f t="shared" si="8"/>
        <v>4.602765772212283E-4</v>
      </c>
      <c r="G21">
        <f t="shared" si="4"/>
        <v>1556117.7811199997</v>
      </c>
      <c r="H21">
        <f t="shared" si="5"/>
        <v>29925.341939999998</v>
      </c>
      <c r="I21">
        <f t="shared" si="6"/>
        <v>0.34193999999843072</v>
      </c>
      <c r="J21">
        <f t="shared" si="7"/>
        <v>2.9244896765648631</v>
      </c>
      <c r="L21" s="55"/>
      <c r="M21" s="35"/>
      <c r="N21" s="56"/>
      <c r="O21" s="55"/>
      <c r="P21" s="55"/>
      <c r="Q21" s="55"/>
      <c r="R21" s="57"/>
    </row>
    <row r="22" spans="1:19" x14ac:dyDescent="0.15">
      <c r="A22" s="31" t="s">
        <v>170</v>
      </c>
      <c r="B22" s="68">
        <f>E$6*E22*(B6+B5)</f>
        <v>0.10493814883720928</v>
      </c>
      <c r="C22" s="79">
        <f t="shared" si="2"/>
        <v>0</v>
      </c>
      <c r="D22" s="67">
        <f t="shared" si="3"/>
        <v>0.10493814883720928</v>
      </c>
      <c r="E22">
        <f>COUNTIF(tables_384010!C:C,input_384010!A22)-COUNTIF(Q:Q,A22)</f>
        <v>10</v>
      </c>
      <c r="F22" s="41">
        <f t="shared" si="8"/>
        <v>1.0493814883720929E-2</v>
      </c>
      <c r="G22">
        <f t="shared" si="4"/>
        <v>6822658.684799999</v>
      </c>
      <c r="H22">
        <f t="shared" si="5"/>
        <v>682265.86847999995</v>
      </c>
      <c r="I22">
        <f t="shared" si="6"/>
        <v>0.86847999994643033</v>
      </c>
      <c r="J22">
        <f t="shared" si="7"/>
        <v>1.1514369934387461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1" t="s">
        <v>171</v>
      </c>
      <c r="B23" s="63">
        <f>E23*E6*B7</f>
        <v>5.5230604651162786E-3</v>
      </c>
      <c r="C23" s="79">
        <f t="shared" si="2"/>
        <v>0</v>
      </c>
      <c r="D23" s="67">
        <f t="shared" si="3"/>
        <v>5.5230604651162786E-3</v>
      </c>
      <c r="E23">
        <f>COUNTIF(tables_384010!C:C,input_384010!A23)-COUNTIF(Q:Q,A23)</f>
        <v>10</v>
      </c>
      <c r="F23" s="41">
        <f t="shared" si="8"/>
        <v>5.523060465116279E-4</v>
      </c>
      <c r="G23">
        <f t="shared" si="4"/>
        <v>359087.29919999995</v>
      </c>
      <c r="H23">
        <f t="shared" si="5"/>
        <v>35908.729919999998</v>
      </c>
      <c r="I23">
        <f t="shared" si="6"/>
        <v>0.72991999999794643</v>
      </c>
      <c r="J23">
        <f t="shared" si="7"/>
        <v>1.3700131521301149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1" t="s">
        <v>167</v>
      </c>
      <c r="B24" s="54">
        <f>E$6*E24*B$5</f>
        <v>2.2092241860465114E-2</v>
      </c>
      <c r="C24" s="79">
        <f t="shared" si="2"/>
        <v>0</v>
      </c>
      <c r="D24" s="67">
        <f t="shared" si="3"/>
        <v>2.2092241860465114E-2</v>
      </c>
      <c r="E24">
        <f>COUNTIF(tables_384010!C:C,input_384010!A24)-COUNTIF(Q:Q,A24)</f>
        <v>4</v>
      </c>
      <c r="F24" s="41">
        <f t="shared" si="8"/>
        <v>5.5230604651162786E-3</v>
      </c>
      <c r="G24">
        <f t="shared" si="4"/>
        <v>1436349.1967999998</v>
      </c>
      <c r="H24">
        <f t="shared" si="5"/>
        <v>359087.29920000001</v>
      </c>
      <c r="I24">
        <f t="shared" si="6"/>
        <v>0.29920000000856817</v>
      </c>
      <c r="J24">
        <f t="shared" si="7"/>
        <v>3.342245989209101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1" t="s">
        <v>168</v>
      </c>
      <c r="B25" s="54">
        <f>E$6*B$6*E25</f>
        <v>1.9883017674418604E-2</v>
      </c>
      <c r="C25" s="79">
        <f t="shared" si="2"/>
        <v>0</v>
      </c>
      <c r="D25" s="67">
        <f t="shared" si="3"/>
        <v>1.9883017674418604E-2</v>
      </c>
      <c r="E25">
        <f>COUNTIF(tables_384010!C:C,input_384010!A25)-COUNTIF(Q:Q,A25)</f>
        <v>4</v>
      </c>
      <c r="F25" s="41">
        <f t="shared" si="8"/>
        <v>4.9707544186046509E-3</v>
      </c>
      <c r="G25">
        <f t="shared" si="4"/>
        <v>1292714.27712</v>
      </c>
      <c r="H25">
        <f t="shared" si="5"/>
        <v>323178.56928</v>
      </c>
      <c r="I25">
        <f t="shared" si="6"/>
        <v>0.56927999999606982</v>
      </c>
      <c r="J25">
        <f t="shared" si="7"/>
        <v>1.7566048341886309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1" t="s">
        <v>169</v>
      </c>
      <c r="B26" s="54">
        <f>E$6*B$7*E26</f>
        <v>2.2092241860465116E-3</v>
      </c>
      <c r="C26" s="79">
        <f t="shared" si="2"/>
        <v>0</v>
      </c>
      <c r="D26" s="67">
        <f t="shared" si="3"/>
        <v>2.2092241860465116E-3</v>
      </c>
      <c r="E26">
        <f>COUNTIF(tables_384010!C:C,input_384010!A26)-COUNTIF(Q:Q,A26)</f>
        <v>4</v>
      </c>
      <c r="F26" s="41">
        <f t="shared" si="8"/>
        <v>5.523060465116279E-4</v>
      </c>
      <c r="G26">
        <f t="shared" si="4"/>
        <v>143634.91967999999</v>
      </c>
      <c r="H26">
        <f t="shared" si="5"/>
        <v>35908.729919999998</v>
      </c>
      <c r="I26">
        <f t="shared" si="6"/>
        <v>0.72991999999794643</v>
      </c>
      <c r="J26">
        <f t="shared" si="7"/>
        <v>1.3700131521301149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1" t="s">
        <v>104</v>
      </c>
      <c r="B27" s="54">
        <f>E$5*E27*(B$5+B$6)</f>
        <v>3.1666666666666669E-2</v>
      </c>
      <c r="C27" s="79">
        <f t="shared" si="2"/>
        <v>0</v>
      </c>
      <c r="D27" s="67">
        <f t="shared" si="3"/>
        <v>3.1666666666666669E-2</v>
      </c>
      <c r="E27">
        <f>COUNTIF(tables_384010!C:C,input_384010!A27)-COUNTIF(Q:Q,A27)</f>
        <v>28</v>
      </c>
      <c r="F27" s="41">
        <f>IFERROR(B27/E27,0)</f>
        <v>1.1309523809523811E-3</v>
      </c>
      <c r="G27">
        <f t="shared" si="4"/>
        <v>2058840.0000000002</v>
      </c>
      <c r="H27">
        <f t="shared" si="5"/>
        <v>73530</v>
      </c>
      <c r="I27">
        <f t="shared" si="6"/>
        <v>0</v>
      </c>
      <c r="J27">
        <f t="shared" si="7"/>
        <v>1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1" t="s">
        <v>105</v>
      </c>
      <c r="B28" s="54">
        <f>E$5*E28*B$7</f>
        <v>1.666666666666667E-3</v>
      </c>
      <c r="C28" s="79">
        <f t="shared" si="2"/>
        <v>0</v>
      </c>
      <c r="D28" s="67">
        <f t="shared" si="3"/>
        <v>1.666666666666667E-3</v>
      </c>
      <c r="E28">
        <f>COUNTIF(tables_384010!C:C,input_384010!A28)-COUNTIF(Q:Q,A28)</f>
        <v>28</v>
      </c>
      <c r="F28" s="41">
        <f t="shared" si="8"/>
        <v>5.9523809523809537E-5</v>
      </c>
      <c r="G28">
        <f t="shared" si="4"/>
        <v>108360.00000000001</v>
      </c>
      <c r="H28">
        <f t="shared" si="5"/>
        <v>3870</v>
      </c>
      <c r="I28">
        <f t="shared" si="6"/>
        <v>0</v>
      </c>
      <c r="J28">
        <f t="shared" si="7"/>
        <v>1</v>
      </c>
      <c r="L28" s="55"/>
      <c r="M28" s="55"/>
      <c r="N28" s="56"/>
      <c r="O28" s="55"/>
      <c r="P28" s="55"/>
      <c r="Q28" s="55"/>
      <c r="R28" s="57"/>
    </row>
    <row r="29" spans="1:19" x14ac:dyDescent="0.15">
      <c r="A29" s="31" t="s">
        <v>173</v>
      </c>
      <c r="B29" s="54">
        <f>E$5*E29</f>
        <v>1.666666666666667E-2</v>
      </c>
      <c r="C29" s="79">
        <f t="shared" si="2"/>
        <v>0</v>
      </c>
      <c r="D29" s="67">
        <f t="shared" si="3"/>
        <v>1.666666666666667E-2</v>
      </c>
      <c r="E29">
        <f>COUNTIF(tables_384010!C:C,input_384010!A29)-COUNTIF(Q:Q,A29)</f>
        <v>14</v>
      </c>
      <c r="F29" s="41">
        <f t="shared" si="8"/>
        <v>1.1904761904761908E-3</v>
      </c>
      <c r="G29">
        <f t="shared" si="4"/>
        <v>1083600.0000000002</v>
      </c>
      <c r="H29">
        <f t="shared" si="5"/>
        <v>77400</v>
      </c>
      <c r="I29">
        <f t="shared" si="6"/>
        <v>0</v>
      </c>
      <c r="J29">
        <f t="shared" si="7"/>
        <v>1</v>
      </c>
      <c r="L29" s="55"/>
      <c r="M29" s="55"/>
      <c r="N29" s="56"/>
      <c r="O29" s="55"/>
      <c r="P29" s="55"/>
      <c r="Q29" s="55"/>
      <c r="R29" s="57"/>
    </row>
    <row r="30" spans="1:19" x14ac:dyDescent="0.15">
      <c r="A30" s="31" t="s">
        <v>209</v>
      </c>
      <c r="B30" s="54">
        <v>1.5999999999999999E-6</v>
      </c>
      <c r="C30" s="79">
        <f t="shared" si="2"/>
        <v>1.5999999999999999E-6</v>
      </c>
      <c r="D30" s="67">
        <f t="shared" si="3"/>
        <v>0</v>
      </c>
      <c r="E30">
        <f>COUNTIF(tables_384010!C:C,input_384010!A30)-COUNTIF(Q:Q,A30)</f>
        <v>0</v>
      </c>
      <c r="F30" s="41">
        <f t="shared" si="8"/>
        <v>0</v>
      </c>
      <c r="G30">
        <f t="shared" si="4"/>
        <v>104.0256</v>
      </c>
      <c r="H30">
        <f t="shared" si="5"/>
        <v>0</v>
      </c>
      <c r="I30">
        <f t="shared" si="6"/>
        <v>0</v>
      </c>
      <c r="J30">
        <f t="shared" si="7"/>
        <v>1</v>
      </c>
      <c r="L30" s="55"/>
      <c r="M30" s="55"/>
      <c r="N30" s="56"/>
      <c r="O30" s="55"/>
      <c r="P30" s="55"/>
      <c r="Q30" s="55"/>
      <c r="R30" s="57"/>
    </row>
    <row r="31" spans="1:19" x14ac:dyDescent="0.15">
      <c r="A31" s="31" t="s">
        <v>210</v>
      </c>
      <c r="B31" s="54">
        <v>3.1999999999999999E-5</v>
      </c>
      <c r="C31" s="79">
        <f t="shared" si="2"/>
        <v>3.2000000000000005E-5</v>
      </c>
      <c r="D31" s="67">
        <f t="shared" si="3"/>
        <v>0</v>
      </c>
      <c r="E31">
        <f>COUNTIF(tables_384010!C:C,input_384010!A31)-COUNTIF(Q:Q,A31)</f>
        <v>0</v>
      </c>
      <c r="F31" s="41">
        <f t="shared" si="8"/>
        <v>0</v>
      </c>
      <c r="G31">
        <f t="shared" si="4"/>
        <v>2080.5119999999997</v>
      </c>
      <c r="H31">
        <f t="shared" si="5"/>
        <v>0</v>
      </c>
      <c r="I31">
        <f t="shared" si="6"/>
        <v>0</v>
      </c>
      <c r="J31">
        <f t="shared" si="7"/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7" t="s">
        <v>57</v>
      </c>
      <c r="B32" s="38">
        <f>SUM(B17:B31)</f>
        <v>1</v>
      </c>
      <c r="C32" s="39">
        <f>SUM(C19:C31)</f>
        <v>3.3600000000000004E-5</v>
      </c>
      <c r="D32" s="40">
        <f t="shared" si="3"/>
        <v>0.99996640000000003</v>
      </c>
      <c r="L32" s="55"/>
      <c r="M32" s="55"/>
      <c r="N32" s="55"/>
      <c r="O32" s="55"/>
      <c r="P32" s="55"/>
      <c r="Q32" s="55"/>
      <c r="R32" s="57"/>
    </row>
    <row r="35" spans="1:7" x14ac:dyDescent="0.15">
      <c r="A35" t="s">
        <v>71</v>
      </c>
    </row>
    <row r="36" spans="1:7" x14ac:dyDescent="0.15">
      <c r="A36" s="29">
        <f>LCM(F5-I5,F6-I6,336,20)*100*3*3</f>
        <v>65016000</v>
      </c>
    </row>
    <row r="38" spans="1:7" x14ac:dyDescent="0.15">
      <c r="A38" s="45" t="s">
        <v>74</v>
      </c>
    </row>
    <row r="39" spans="1:7" x14ac:dyDescent="0.15">
      <c r="A39" s="31" t="s">
        <v>58</v>
      </c>
      <c r="B39" t="s">
        <v>72</v>
      </c>
      <c r="C39" t="s">
        <v>98</v>
      </c>
      <c r="E39" t="s">
        <v>99</v>
      </c>
      <c r="F39" t="s">
        <v>2</v>
      </c>
      <c r="G39" t="s">
        <v>61</v>
      </c>
    </row>
    <row r="40" spans="1:7" x14ac:dyDescent="0.15">
      <c r="A40" s="31" t="s">
        <v>101</v>
      </c>
      <c r="B40">
        <f ca="1">SUMIF(tables_384010!C:C,input_384010!A40,tables_384010!O:O)</f>
        <v>18672539.558400001</v>
      </c>
      <c r="C40" s="52">
        <f t="shared" ref="C40:C46" ca="1" si="9">B40/B$47</f>
        <v>0.47257561385419394</v>
      </c>
      <c r="E40">
        <v>3</v>
      </c>
      <c r="F40">
        <f ca="1">SUMIF(tables_384010!J:J,input_384010!E40,tables_384010!O:O)</f>
        <v>32507999.999999937</v>
      </c>
      <c r="G40">
        <f ca="1">F40/A36</f>
        <v>0.499999999999999</v>
      </c>
    </row>
    <row r="41" spans="1:7" x14ac:dyDescent="0.15">
      <c r="A41" s="31" t="s">
        <v>102</v>
      </c>
      <c r="B41">
        <f ca="1">SUMIF(tables_384010!C:C,input_384010!A41,tables_384010!O:O)</f>
        <v>17116421.777519986</v>
      </c>
      <c r="C41" s="52">
        <f t="shared" ca="1" si="9"/>
        <v>0.43319246978700243</v>
      </c>
      <c r="E41">
        <v>4</v>
      </c>
      <c r="F41">
        <f ca="1">SUMIF(tables_384010!J:J,input_384010!E41,tables_384010!O:O)</f>
        <v>29255119.488240015</v>
      </c>
      <c r="G41" s="105">
        <f ca="1">F41/A36</f>
        <v>0.44996800000369164</v>
      </c>
    </row>
    <row r="42" spans="1:7" x14ac:dyDescent="0.15">
      <c r="A42" s="31" t="s">
        <v>104</v>
      </c>
      <c r="B42">
        <f ca="1">SUMIF(tables_384010!C:C,input_384010!A42,tables_384010!O:O)</f>
        <v>2058840</v>
      </c>
      <c r="C42" s="52">
        <f t="shared" ca="1" si="9"/>
        <v>5.2106333677031914E-2</v>
      </c>
      <c r="E42">
        <v>5</v>
      </c>
      <c r="F42">
        <f ca="1">SUMIF(tables_384010!J:J,input_384010!E42,tables_384010!O:O)</f>
        <v>3252880.5117599973</v>
      </c>
      <c r="G42" s="105">
        <f ca="1">F42/A36</f>
        <v>5.0031999996308557E-2</v>
      </c>
    </row>
    <row r="43" spans="1:7" x14ac:dyDescent="0.15">
      <c r="A43" s="31" t="s">
        <v>107</v>
      </c>
      <c r="B43">
        <f>SUMIF(tables_384010!C:C,input_384010!A43,tables_384010!O:O)</f>
        <v>0</v>
      </c>
      <c r="C43" s="52">
        <f t="shared" ca="1" si="9"/>
        <v>0</v>
      </c>
      <c r="F43" s="53"/>
    </row>
    <row r="44" spans="1:7" x14ac:dyDescent="0.15">
      <c r="A44" s="31" t="s">
        <v>103</v>
      </c>
      <c r="B44">
        <f ca="1">SUMIF(tables_384010!C:C,input_384010!A44,tables_384010!O:O)</f>
        <v>1556117.7808799986</v>
      </c>
      <c r="C44" s="52">
        <f t="shared" ca="1" si="9"/>
        <v>3.938314406719106E-2</v>
      </c>
      <c r="E44" t="s">
        <v>52</v>
      </c>
      <c r="F44" s="53"/>
    </row>
    <row r="45" spans="1:7" x14ac:dyDescent="0.15">
      <c r="A45" s="31" t="s">
        <v>105</v>
      </c>
      <c r="B45">
        <f ca="1">SUMIF(tables_384010!C:C,input_384010!A45,tables_384010!O:O)</f>
        <v>108360</v>
      </c>
      <c r="C45" s="52">
        <f t="shared" ca="1" si="9"/>
        <v>2.7424386145806271E-3</v>
      </c>
      <c r="E45" t="s">
        <v>178</v>
      </c>
      <c r="F45" s="53">
        <f ca="1">SUMIF(tables_384010!I:I,input_384010!E45,tables_384010!P:P)</f>
        <v>0.22092241860465156</v>
      </c>
    </row>
    <row r="46" spans="1:7" x14ac:dyDescent="0.15">
      <c r="A46" s="31" t="s">
        <v>106</v>
      </c>
      <c r="B46">
        <f>SUMIF(tables_384010!C:C,input_384010!A46,tables_384010!O:O)</f>
        <v>0</v>
      </c>
      <c r="C46" s="41">
        <f t="shared" ca="1" si="9"/>
        <v>0</v>
      </c>
      <c r="E46" t="s">
        <v>179</v>
      </c>
      <c r="F46" s="53">
        <f ca="1">SUMIF(tables_384010!I:I,input_384010!E46,tables_384010!P:P)</f>
        <v>0.22092241860465178</v>
      </c>
    </row>
    <row r="47" spans="1:7" x14ac:dyDescent="0.15">
      <c r="A47" s="37" t="s">
        <v>57</v>
      </c>
      <c r="B47">
        <f ca="1">SUM(B40:B46)</f>
        <v>39512279.116799988</v>
      </c>
      <c r="C47" s="53">
        <f ca="1">SUM(C40:C46)</f>
        <v>0.99999999999999989</v>
      </c>
      <c r="E47" t="s">
        <v>180</v>
      </c>
      <c r="F47" s="53">
        <f ca="1">SUMIF(tables_384010!I:I,input_384010!E47,tables_384010!P:P)</f>
        <v>0.50812156279069942</v>
      </c>
    </row>
    <row r="48" spans="1:7" x14ac:dyDescent="0.15">
      <c r="E48" t="s">
        <v>181</v>
      </c>
      <c r="F48" s="53">
        <f ca="1">SUMIF(tables_384010!I:I,input_384010!E48,tables_384010!P:P)</f>
        <v>5.0000000000000065E-2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7"/>
  <sheetViews>
    <sheetView showGridLines="0" zoomScale="75" zoomScaleNormal="75" zoomScalePageLayoutView="75" workbookViewId="0">
      <pane ySplit="1" topLeftCell="A280" activePane="bottomLeft" state="frozen"/>
      <selection activeCell="B31" sqref="B31"/>
      <selection pane="bottomLeft" activeCell="H321" sqref="H32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82</v>
      </c>
      <c r="B1" s="15" t="s">
        <v>1</v>
      </c>
      <c r="C1" s="3" t="s">
        <v>30</v>
      </c>
      <c r="D1" s="3" t="s">
        <v>93</v>
      </c>
      <c r="E1" s="3" t="s">
        <v>162</v>
      </c>
      <c r="F1" s="3" t="s">
        <v>163</v>
      </c>
      <c r="G1" s="3" t="s">
        <v>100</v>
      </c>
      <c r="H1" s="3" t="s">
        <v>32</v>
      </c>
      <c r="I1" s="3" t="s">
        <v>33</v>
      </c>
      <c r="J1" s="3" t="s">
        <v>34</v>
      </c>
      <c r="K1" s="3" t="s">
        <v>50</v>
      </c>
      <c r="L1" s="3" t="s">
        <v>35</v>
      </c>
      <c r="M1" s="3" t="s">
        <v>36</v>
      </c>
      <c r="N1" s="3" t="s">
        <v>56</v>
      </c>
      <c r="O1" s="15" t="s">
        <v>2</v>
      </c>
      <c r="P1" s="121" t="s">
        <v>61</v>
      </c>
      <c r="Q1" s="15" t="s">
        <v>37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 t="str">
        <f ca="1">input_384010!A$2</f>
        <v>384010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IFERROR(VLOOKUP(B2,input_384010!L:R,7,FALSE),VLOOKUP(tables_384010!C2,input_384010!A:H,8,FALSE))</f>
        <v>619955.56224</v>
      </c>
      <c r="P2" s="122">
        <f ca="1">O2/SUM(O:O)</f>
        <v>9.5354306976744366E-3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 t="str">
        <f ca="1">input_384010!A$2</f>
        <v>384010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IFERROR(VLOOKUP(B3,input_384010!L:R,7,FALSE),VLOOKUP(tables_384010!C3,input_384010!A:H,8,FALSE))</f>
        <v>98219.036160000003</v>
      </c>
      <c r="P3" s="122">
        <f t="shared" ref="P3:P66" ca="1" si="2">O3/SUM(O:O)</f>
        <v>1.5106902325581423E-3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 t="str">
        <f ca="1">input_384010!A$2</f>
        <v>384010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IFERROR(VLOOKUP(B4,input_384010!L:R,7,FALSE),VLOOKUP(tables_384010!C4,input_384010!A:H,8,FALSE))</f>
        <v>619955.56224</v>
      </c>
      <c r="P4" s="122">
        <f t="shared" ca="1" si="2"/>
        <v>9.5354306976744366E-3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 t="str">
        <f ca="1">input_384010!A$2</f>
        <v>384010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IFERROR(VLOOKUP(B5,input_384010!L:R,7,FALSE),VLOOKUP(tables_384010!C5,input_384010!A:H,8,FALSE))</f>
        <v>98219.036160000003</v>
      </c>
      <c r="P5" s="122">
        <f t="shared" ca="1" si="2"/>
        <v>1.5106902325581423E-3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 t="str">
        <f ca="1">input_384010!A$2</f>
        <v>384010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IFERROR(VLOOKUP(B6,input_384010!L:R,7,FALSE),VLOOKUP(tables_384010!C6,input_384010!A:H,8,FALSE))</f>
        <v>619955.56224</v>
      </c>
      <c r="P6" s="122">
        <f t="shared" ca="1" si="2"/>
        <v>9.5354306976744366E-3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 t="str">
        <f ca="1">input_384010!A$2</f>
        <v>384010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IFERROR(VLOOKUP(B7,input_384010!L:R,7,FALSE),VLOOKUP(tables_384010!C7,input_384010!A:H,8,FALSE))</f>
        <v>98219.036160000003</v>
      </c>
      <c r="P7" s="122">
        <f t="shared" ca="1" si="2"/>
        <v>1.5106902325581423E-3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 t="str">
        <f ca="1">input_384010!A$2</f>
        <v>384010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IFERROR(VLOOKUP(B8,input_384010!L:R,7,FALSE),VLOOKUP(tables_384010!C8,input_384010!A:H,8,FALSE))</f>
        <v>619955.56224</v>
      </c>
      <c r="P8" s="122">
        <f t="shared" ca="1" si="2"/>
        <v>9.5354306976744366E-3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 t="str">
        <f ca="1">input_384010!A$2</f>
        <v>384010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IFERROR(VLOOKUP(B9,input_384010!L:R,7,FALSE),VLOOKUP(tables_384010!C9,input_384010!A:H,8,FALSE))</f>
        <v>98219.036160000003</v>
      </c>
      <c r="P9" s="122">
        <f t="shared" ca="1" si="2"/>
        <v>1.5106902325581423E-3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 t="str">
        <f ca="1">input_384010!A$2</f>
        <v>384010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IFERROR(VLOOKUP(B10,input_384010!L:R,7,FALSE),VLOOKUP(tables_384010!C10,input_384010!A:H,8,FALSE))</f>
        <v>619955.56224</v>
      </c>
      <c r="P10" s="122">
        <f t="shared" ca="1" si="2"/>
        <v>9.5354306976744366E-3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 t="str">
        <f ca="1">input_384010!A$2</f>
        <v>384010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IFERROR(VLOOKUP(B11,input_384010!L:R,7,FALSE),VLOOKUP(tables_384010!C11,input_384010!A:H,8,FALSE))</f>
        <v>98219.036160000003</v>
      </c>
      <c r="P11" s="122">
        <f t="shared" ca="1" si="2"/>
        <v>1.5106902325581423E-3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 t="str">
        <f ca="1">input_384010!A$2</f>
        <v>384010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IFERROR(VLOOKUP(B12,input_384010!L:R,7,FALSE),VLOOKUP(tables_384010!C12,input_384010!A:H,8,FALSE))</f>
        <v>619955.56224</v>
      </c>
      <c r="P12" s="122">
        <f t="shared" ca="1" si="2"/>
        <v>9.5354306976744366E-3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 t="str">
        <f ca="1">input_384010!A$2</f>
        <v>384010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IFERROR(VLOOKUP(B13,input_384010!L:R,7,FALSE),VLOOKUP(tables_384010!C13,input_384010!A:H,8,FALSE))</f>
        <v>98219.036160000003</v>
      </c>
      <c r="P13" s="122">
        <f t="shared" ca="1" si="2"/>
        <v>1.5106902325581423E-3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 t="str">
        <f ca="1">input_384010!A$2</f>
        <v>384010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IFERROR(VLOOKUP(B14,input_384010!L:R,7,FALSE),VLOOKUP(tables_384010!C14,input_384010!A:H,8,FALSE))</f>
        <v>619955.56224</v>
      </c>
      <c r="P14" s="122">
        <f t="shared" ca="1" si="2"/>
        <v>9.5354306976744366E-3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 t="str">
        <f ca="1">input_384010!A$2</f>
        <v>384010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IFERROR(VLOOKUP(B15,input_384010!L:R,7,FALSE),VLOOKUP(tables_384010!C15,input_384010!A:H,8,FALSE))</f>
        <v>98219.036160000003</v>
      </c>
      <c r="P15" s="122">
        <f t="shared" ca="1" si="2"/>
        <v>1.5106902325581423E-3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 t="str">
        <f ca="1">input_384010!A$2</f>
        <v>384010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IFERROR(VLOOKUP(B16,input_384010!L:R,7,FALSE),VLOOKUP(tables_384010!C16,input_384010!A:H,8,FALSE))</f>
        <v>619955.56224</v>
      </c>
      <c r="P16" s="122">
        <f t="shared" ca="1" si="2"/>
        <v>9.5354306976744366E-3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 t="str">
        <f ca="1">input_384010!A$2</f>
        <v>384010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IFERROR(VLOOKUP(B17,input_384010!L:R,7,FALSE),VLOOKUP(tables_384010!C17,input_384010!A:H,8,FALSE))</f>
        <v>98219.036160000003</v>
      </c>
      <c r="P17" s="122">
        <f t="shared" ca="1" si="2"/>
        <v>1.5106902325581423E-3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 t="str">
        <f ca="1">input_384010!A$2</f>
        <v>384010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IFERROR(VLOOKUP(B18,input_384010!L:R,7,FALSE),VLOOKUP(tables_384010!C18,input_384010!A:H,8,FALSE))</f>
        <v>619955.56224</v>
      </c>
      <c r="P18" s="122">
        <f t="shared" ca="1" si="2"/>
        <v>9.5354306976744366E-3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s="12" customFormat="1" ht="21" customHeight="1" thickBot="1" x14ac:dyDescent="0.2">
      <c r="A19" s="2" t="str">
        <f ca="1">input_384010!A$2</f>
        <v>384010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IFERROR(VLOOKUP(B19,input_384010!L:R,7,FALSE),VLOOKUP(tables_384010!C19,input_384010!A:H,8,FALSE))</f>
        <v>98219.036160000003</v>
      </c>
      <c r="P19" s="122">
        <f t="shared" ca="1" si="2"/>
        <v>1.5106902325581423E-3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 t="str">
        <f ca="1">input_384010!A$2</f>
        <v>384010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IFERROR(VLOOKUP(B20,input_384010!L:R,7,FALSE),VLOOKUP(tables_384010!C20,input_384010!A:H,8,FALSE))</f>
        <v>619955.56224</v>
      </c>
      <c r="P20" s="122">
        <f t="shared" ca="1" si="2"/>
        <v>9.5354306976744366E-3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 t="str">
        <f ca="1">input_384010!A$2</f>
        <v>384010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IFERROR(VLOOKUP(B21,input_384010!L:R,7,FALSE),VLOOKUP(tables_384010!C21,input_384010!A:H,8,FALSE))</f>
        <v>98219.036160000003</v>
      </c>
      <c r="P21" s="122">
        <f t="shared" ca="1" si="2"/>
        <v>1.5106902325581423E-3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 t="str">
        <f ca="1">input_384010!A$2</f>
        <v>384010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IFERROR(VLOOKUP(B22,input_384010!L:R,7,FALSE),VLOOKUP(tables_384010!C22,input_384010!A:H,8,FALSE))</f>
        <v>619955.56224</v>
      </c>
      <c r="P22" s="122">
        <f t="shared" ca="1" si="2"/>
        <v>9.5354306976744366E-3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 t="str">
        <f ca="1">input_384010!A$2</f>
        <v>384010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IFERROR(VLOOKUP(B23,input_384010!L:R,7,FALSE),VLOOKUP(tables_384010!C23,input_384010!A:H,8,FALSE))</f>
        <v>98219.036160000003</v>
      </c>
      <c r="P23" s="122">
        <f t="shared" ca="1" si="2"/>
        <v>1.5106902325581423E-3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 t="str">
        <f ca="1">input_384010!A$2</f>
        <v>384010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IFERROR(VLOOKUP(B24,input_384010!L:R,7,FALSE),VLOOKUP(tables_384010!C24,input_384010!A:H,8,FALSE))</f>
        <v>619955.56224</v>
      </c>
      <c r="P24" s="122">
        <f t="shared" ca="1" si="2"/>
        <v>9.5354306976744366E-3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 t="str">
        <f ca="1">input_384010!A$2</f>
        <v>384010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IFERROR(VLOOKUP(B25,input_384010!L:R,7,FALSE),VLOOKUP(tables_384010!C25,input_384010!A:H,8,FALSE))</f>
        <v>98219.036160000003</v>
      </c>
      <c r="P25" s="122">
        <f t="shared" ca="1" si="2"/>
        <v>1.5106902325581423E-3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 t="str">
        <f ca="1">input_384010!A$2</f>
        <v>384010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IFERROR(VLOOKUP(B26,input_384010!L:R,7,FALSE),VLOOKUP(tables_384010!C26,input_384010!A:H,8,FALSE))</f>
        <v>619955.56224</v>
      </c>
      <c r="P26" s="122">
        <f t="shared" ca="1" si="2"/>
        <v>9.5354306976744366E-3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 t="str">
        <f ca="1">input_384010!A$2</f>
        <v>384010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IFERROR(VLOOKUP(B27,input_384010!L:R,7,FALSE),VLOOKUP(tables_384010!C27,input_384010!A:H,8,FALSE))</f>
        <v>98219.036160000003</v>
      </c>
      <c r="P27" s="122">
        <f t="shared" ca="1" si="2"/>
        <v>1.5106902325581423E-3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 t="str">
        <f ca="1">input_384010!A$2</f>
        <v>384010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IFERROR(VLOOKUP(B28,input_384010!L:R,7,FALSE),VLOOKUP(tables_384010!C28,input_384010!A:H,8,FALSE))</f>
        <v>619955.56224</v>
      </c>
      <c r="P28" s="122">
        <f t="shared" ca="1" si="2"/>
        <v>9.5354306976744366E-3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 t="str">
        <f ca="1">input_384010!A$2</f>
        <v>384010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IFERROR(VLOOKUP(B29,input_384010!L:R,7,FALSE),VLOOKUP(tables_384010!C29,input_384010!A:H,8,FALSE))</f>
        <v>98219.036160000003</v>
      </c>
      <c r="P29" s="122">
        <f t="shared" ca="1" si="2"/>
        <v>1.5106902325581423E-3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 t="str">
        <f ca="1">input_384010!A$2</f>
        <v>384010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IFERROR(VLOOKUP(B30,input_384010!L:R,7,FALSE),VLOOKUP(tables_384010!C30,input_384010!A:H,8,FALSE))</f>
        <v>619955.56224</v>
      </c>
      <c r="P30" s="122">
        <f t="shared" ca="1" si="2"/>
        <v>9.5354306976744366E-3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 t="str">
        <f ca="1">input_384010!A$2</f>
        <v>384010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IFERROR(VLOOKUP(B31,input_384010!L:R,7,FALSE),VLOOKUP(tables_384010!C31,input_384010!A:H,8,FALSE))</f>
        <v>98219.036160000003</v>
      </c>
      <c r="P31" s="122">
        <f t="shared" ca="1" si="2"/>
        <v>1.5106902325581423E-3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 t="str">
        <f ca="1">input_384010!A$2</f>
        <v>384010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IFERROR(VLOOKUP(B32,input_384010!L:R,7,FALSE),VLOOKUP(tables_384010!C32,input_384010!A:H,8,FALSE))</f>
        <v>619955.56224</v>
      </c>
      <c r="P32" s="122">
        <f t="shared" ca="1" si="2"/>
        <v>9.5354306976744366E-3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 t="str">
        <f ca="1">input_384010!A$2</f>
        <v>384010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IFERROR(VLOOKUP(B33,input_384010!L:R,7,FALSE),VLOOKUP(tables_384010!C33,input_384010!A:H,8,FALSE))</f>
        <v>98219.036160000003</v>
      </c>
      <c r="P33" s="122">
        <f t="shared" ca="1" si="2"/>
        <v>1.5106902325581423E-3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 t="str">
        <f ca="1">input_384010!A$2</f>
        <v>384010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IFERROR(VLOOKUP(B34,input_384010!L:R,7,FALSE),VLOOKUP(tables_384010!C34,input_384010!A:H,8,FALSE))</f>
        <v>619955.56224</v>
      </c>
      <c r="P34" s="122">
        <f t="shared" ca="1" si="2"/>
        <v>9.5354306976744366E-3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 t="str">
        <f ca="1">input_384010!A$2</f>
        <v>384010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IFERROR(VLOOKUP(B35,input_384010!L:R,7,FALSE),VLOOKUP(tables_384010!C35,input_384010!A:H,8,FALSE))</f>
        <v>98219.036160000003</v>
      </c>
      <c r="P35" s="122">
        <f t="shared" ca="1" si="2"/>
        <v>1.5106902325581423E-3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 t="str">
        <f ca="1">input_384010!A$2</f>
        <v>384010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IFERROR(VLOOKUP(B36,input_384010!L:R,7,FALSE),VLOOKUP(tables_384010!C36,input_384010!A:H,8,FALSE))</f>
        <v>619955.56224</v>
      </c>
      <c r="P36" s="122">
        <f t="shared" ca="1" si="2"/>
        <v>9.5354306976744366E-3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 t="str">
        <f ca="1">input_384010!A$2</f>
        <v>384010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IFERROR(VLOOKUP(B37,input_384010!L:R,7,FALSE),VLOOKUP(tables_384010!C37,input_384010!A:H,8,FALSE))</f>
        <v>98219.036160000003</v>
      </c>
      <c r="P37" s="122">
        <f t="shared" ca="1" si="2"/>
        <v>1.5106902325581423E-3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 t="str">
        <f ca="1">input_384010!A$2</f>
        <v>384010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IFERROR(VLOOKUP(B38,input_384010!L:R,7,FALSE),VLOOKUP(tables_384010!C38,input_384010!A:H,8,FALSE))</f>
        <v>619955.56224</v>
      </c>
      <c r="P38" s="122">
        <f t="shared" ca="1" si="2"/>
        <v>9.5354306976744366E-3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 t="str">
        <f ca="1">input_384010!A$2</f>
        <v>384010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IFERROR(VLOOKUP(B39,input_384010!L:R,7,FALSE),VLOOKUP(tables_384010!C39,input_384010!A:H,8,FALSE))</f>
        <v>98219.036160000003</v>
      </c>
      <c r="P39" s="122">
        <f t="shared" ca="1" si="2"/>
        <v>1.5106902325581423E-3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 t="str">
        <f ca="1">input_384010!A$2</f>
        <v>384010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IFERROR(VLOOKUP(B40,input_384010!L:R,7,FALSE),VLOOKUP(tables_384010!C40,input_384010!A:H,8,FALSE))</f>
        <v>619955.56224</v>
      </c>
      <c r="P40" s="122">
        <f t="shared" ca="1" si="2"/>
        <v>9.5354306976744366E-3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 t="str">
        <f ca="1">input_384010!A$2</f>
        <v>384010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IFERROR(VLOOKUP(B41,input_384010!L:R,7,FALSE),VLOOKUP(tables_384010!C41,input_384010!A:H,8,FALSE))</f>
        <v>98219.036160000003</v>
      </c>
      <c r="P41" s="122">
        <f t="shared" ca="1" si="2"/>
        <v>1.5106902325581423E-3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 t="str">
        <f ca="1">input_384010!A$2</f>
        <v>384010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IFERROR(VLOOKUP(B42,input_384010!L:R,7,FALSE),VLOOKUP(tables_384010!C42,input_384010!A:H,8,FALSE))</f>
        <v>359087.29920000001</v>
      </c>
      <c r="P42" s="122">
        <f t="shared" ca="1" si="2"/>
        <v>5.523060465116289E-3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 t="str">
        <f ca="1">input_384010!A$2</f>
        <v>384010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IFERROR(VLOOKUP(B43,input_384010!L:R,7,FALSE),VLOOKUP(tables_384010!C43,input_384010!A:H,8,FALSE))</f>
        <v>323178.56928</v>
      </c>
      <c r="P43" s="122">
        <f t="shared" ca="1" si="2"/>
        <v>4.9707544186046605E-3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 t="str">
        <f ca="1">input_384010!A$2</f>
        <v>384010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IFERROR(VLOOKUP(B44,input_384010!L:R,7,FALSE),VLOOKUP(tables_384010!C44,input_384010!A:H,8,FALSE))</f>
        <v>35908.729919999998</v>
      </c>
      <c r="P44" s="122">
        <f t="shared" ca="1" si="2"/>
        <v>5.5230604651162888E-4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 t="str">
        <f ca="1">input_384010!A$2</f>
        <v>384010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IFERROR(VLOOKUP(B45,input_384010!L:R,7,FALSE),VLOOKUP(tables_384010!C45,input_384010!A:H,8,FALSE))</f>
        <v>359087.29920000001</v>
      </c>
      <c r="P45" s="122">
        <f t="shared" ca="1" si="2"/>
        <v>5.523060465116289E-3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 t="str">
        <f ca="1">input_384010!A$2</f>
        <v>384010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IFERROR(VLOOKUP(B46,input_384010!L:R,7,FALSE),VLOOKUP(tables_384010!C46,input_384010!A:H,8,FALSE))</f>
        <v>323178.56928</v>
      </c>
      <c r="P46" s="122">
        <f t="shared" ca="1" si="2"/>
        <v>4.9707544186046605E-3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 t="str">
        <f ca="1">input_384010!A$2</f>
        <v>384010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IFERROR(VLOOKUP(B47,input_384010!L:R,7,FALSE),VLOOKUP(tables_384010!C47,input_384010!A:H,8,FALSE))</f>
        <v>35908.729919999998</v>
      </c>
      <c r="P47" s="122">
        <f t="shared" ca="1" si="2"/>
        <v>5.5230604651162888E-4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 t="str">
        <f ca="1">input_384010!A$2</f>
        <v>384010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IFERROR(VLOOKUP(B48,input_384010!L:R,7,FALSE),VLOOKUP(tables_384010!C48,input_384010!A:H,8,FALSE))</f>
        <v>359087.29920000001</v>
      </c>
      <c r="P48" s="122">
        <f t="shared" ca="1" si="2"/>
        <v>5.523060465116289E-3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 t="str">
        <f ca="1">input_384010!A$2</f>
        <v>384010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IFERROR(VLOOKUP(B49,input_384010!L:R,7,FALSE),VLOOKUP(tables_384010!C49,input_384010!A:H,8,FALSE))</f>
        <v>323178.56928</v>
      </c>
      <c r="P49" s="122">
        <f t="shared" ca="1" si="2"/>
        <v>4.9707544186046605E-3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 t="str">
        <f ca="1">input_384010!A$2</f>
        <v>384010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IFERROR(VLOOKUP(B50,input_384010!L:R,7,FALSE),VLOOKUP(tables_384010!C50,input_384010!A:H,8,FALSE))</f>
        <v>35908.729919999998</v>
      </c>
      <c r="P50" s="122">
        <f t="shared" ca="1" si="2"/>
        <v>5.5230604651162888E-4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 t="str">
        <f ca="1">input_384010!A$2</f>
        <v>384010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IFERROR(VLOOKUP(B51,input_384010!L:R,7,FALSE),VLOOKUP(tables_384010!C51,input_384010!A:H,8,FALSE))</f>
        <v>359087.29920000001</v>
      </c>
      <c r="P51" s="122">
        <f t="shared" ca="1" si="2"/>
        <v>5.523060465116289E-3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 t="str">
        <f ca="1">input_384010!A$2</f>
        <v>384010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IFERROR(VLOOKUP(B52,input_384010!L:R,7,FALSE),VLOOKUP(tables_384010!C52,input_384010!A:H,8,FALSE))</f>
        <v>329161.95726</v>
      </c>
      <c r="P52" s="122">
        <f t="shared" ca="1" si="2"/>
        <v>5.0627838879660483E-3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 t="str">
        <f ca="1">input_384010!A$2</f>
        <v>384010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IFERROR(VLOOKUP(B53,input_384010!L:R,7,FALSE),VLOOKUP(tables_384010!C53,input_384010!A:H,8,FALSE))</f>
        <v>29925.341939999998</v>
      </c>
      <c r="P53" s="122">
        <f t="shared" ca="1" si="2"/>
        <v>4.6027657715024076E-4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 t="str">
        <f ca="1">input_384010!A$2</f>
        <v>384010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IFERROR(VLOOKUP(B54,input_384010!L:R,7,FALSE),VLOOKUP(tables_384010!C54,input_384010!A:H,8,FALSE))</f>
        <v>359087.29920000001</v>
      </c>
      <c r="P54" s="122">
        <f t="shared" ca="1" si="2"/>
        <v>5.523060465116289E-3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 t="str">
        <f ca="1">input_384010!A$2</f>
        <v>384010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IFERROR(VLOOKUP(B55,input_384010!L:R,7,FALSE),VLOOKUP(tables_384010!C55,input_384010!A:H,8,FALSE))</f>
        <v>329161.95726</v>
      </c>
      <c r="P55" s="122">
        <f t="shared" ca="1" si="2"/>
        <v>5.0627838879660483E-3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 t="str">
        <f ca="1">input_384010!A$2</f>
        <v>384010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IFERROR(VLOOKUP(B56,input_384010!L:R,7,FALSE),VLOOKUP(tables_384010!C56,input_384010!A:H,8,FALSE))</f>
        <v>29925.341939999998</v>
      </c>
      <c r="P56" s="122">
        <f t="shared" ca="1" si="2"/>
        <v>4.6027657715024076E-4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 t="str">
        <f ca="1">input_384010!A$2</f>
        <v>384010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IFERROR(VLOOKUP(B57,input_384010!L:R,7,FALSE),VLOOKUP(tables_384010!C57,input_384010!A:H,8,FALSE))</f>
        <v>359087.29920000001</v>
      </c>
      <c r="P57" s="122">
        <f t="shared" ca="1" si="2"/>
        <v>5.523060465116289E-3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 t="str">
        <f ca="1">input_384010!A$2</f>
        <v>384010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IFERROR(VLOOKUP(B58,input_384010!L:R,7,FALSE),VLOOKUP(tables_384010!C58,input_384010!A:H,8,FALSE))</f>
        <v>329161.95726</v>
      </c>
      <c r="P58" s="122">
        <f t="shared" ca="1" si="2"/>
        <v>5.0627838879660483E-3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 t="str">
        <f ca="1">input_384010!A$2</f>
        <v>384010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IFERROR(VLOOKUP(B59,input_384010!L:R,7,FALSE),VLOOKUP(tables_384010!C59,input_384010!A:H,8,FALSE))</f>
        <v>29925.341939999998</v>
      </c>
      <c r="P59" s="122">
        <f t="shared" ca="1" si="2"/>
        <v>4.6027657715024076E-4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 t="str">
        <f ca="1">input_384010!A$2</f>
        <v>384010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IFERROR(VLOOKUP(B60,input_384010!L:R,7,FALSE),VLOOKUP(tables_384010!C60,input_384010!A:H,8,FALSE))</f>
        <v>359087.29920000001</v>
      </c>
      <c r="P60" s="122">
        <f t="shared" ca="1" si="2"/>
        <v>5.523060465116289E-3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 t="str">
        <f ca="1">input_384010!A$2</f>
        <v>384010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IFERROR(VLOOKUP(B61,input_384010!L:R,7,FALSE),VLOOKUP(tables_384010!C61,input_384010!A:H,8,FALSE))</f>
        <v>329161.95726</v>
      </c>
      <c r="P61" s="122">
        <f t="shared" ca="1" si="2"/>
        <v>5.0627838879660483E-3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 t="str">
        <f ca="1">input_384010!A$2</f>
        <v>384010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IFERROR(VLOOKUP(B62,input_384010!L:R,7,FALSE),VLOOKUP(tables_384010!C62,input_384010!A:H,8,FALSE))</f>
        <v>29925.341939999998</v>
      </c>
      <c r="P62" s="122">
        <f t="shared" ca="1" si="2"/>
        <v>4.6027657715024076E-4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 t="str">
        <f ca="1">input_384010!A$2</f>
        <v>384010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IFERROR(VLOOKUP(B63,input_384010!L:R,7,FALSE),VLOOKUP(tables_384010!C63,input_384010!A:H,8,FALSE))</f>
        <v>359087.29920000001</v>
      </c>
      <c r="P63" s="122">
        <f t="shared" ca="1" si="2"/>
        <v>5.523060465116289E-3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  <row r="64" spans="1:22" ht="21" customHeight="1" x14ac:dyDescent="0.15">
      <c r="A64" s="2" t="str">
        <f ca="1">input_384010!A$2</f>
        <v>384010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IFERROR(VLOOKUP(B64,input_384010!L:R,7,FALSE),VLOOKUP(tables_384010!C64,input_384010!A:H,8,FALSE))</f>
        <v>329161.95726</v>
      </c>
      <c r="P64" s="122">
        <f t="shared" ca="1" si="2"/>
        <v>5.0627838879660483E-3</v>
      </c>
      <c r="Q64" s="28">
        <v>1</v>
      </c>
      <c r="R64" s="28">
        <v>0</v>
      </c>
      <c r="S64" s="28">
        <v>0</v>
      </c>
      <c r="T64" s="28">
        <v>0</v>
      </c>
      <c r="U64" s="28">
        <v>0</v>
      </c>
      <c r="V64" s="28">
        <v>1</v>
      </c>
    </row>
    <row r="65" spans="1:22" ht="21" customHeight="1" x14ac:dyDescent="0.15">
      <c r="A65" s="2" t="str">
        <f ca="1">input_384010!A$2</f>
        <v>384010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IFERROR(VLOOKUP(B65,input_384010!L:R,7,FALSE),VLOOKUP(tables_384010!C65,input_384010!A:H,8,FALSE))</f>
        <v>29925.341939999998</v>
      </c>
      <c r="P65" s="122">
        <f t="shared" ca="1" si="2"/>
        <v>4.6027657715024076E-4</v>
      </c>
      <c r="Q65" s="28">
        <v>1</v>
      </c>
      <c r="R65" s="28">
        <v>0</v>
      </c>
      <c r="S65" s="28">
        <v>0</v>
      </c>
      <c r="T65" s="28">
        <v>0</v>
      </c>
      <c r="U65" s="28">
        <v>0</v>
      </c>
      <c r="V65" s="28">
        <v>1</v>
      </c>
    </row>
    <row r="66" spans="1:22" s="9" customFormat="1" ht="21" customHeight="1" thickBot="1" x14ac:dyDescent="0.2">
      <c r="A66" s="2" t="str">
        <f ca="1">input_384010!A$2</f>
        <v>384010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IFERROR(VLOOKUP(B66,input_384010!L:R,7,FALSE),VLOOKUP(tables_384010!C66,input_384010!A:H,8,FALSE))</f>
        <v>359087.29920000001</v>
      </c>
      <c r="P66" s="122">
        <f t="shared" ca="1" si="2"/>
        <v>5.523060465116289E-3</v>
      </c>
      <c r="Q66" s="28">
        <v>1</v>
      </c>
      <c r="R66" s="28">
        <v>0</v>
      </c>
      <c r="S66" s="28">
        <v>0</v>
      </c>
      <c r="T66" s="28">
        <v>0</v>
      </c>
      <c r="U66" s="28">
        <v>0</v>
      </c>
      <c r="V66" s="28">
        <v>1</v>
      </c>
    </row>
    <row r="67" spans="1:22" ht="21" customHeight="1" x14ac:dyDescent="0.15">
      <c r="A67" s="2" t="str">
        <f ca="1">input_384010!A$2</f>
        <v>384010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IFERROR(VLOOKUP(B67,input_384010!L:R,7,FALSE),VLOOKUP(tables_384010!C67,input_384010!A:H,8,FALSE))</f>
        <v>329161.95726</v>
      </c>
      <c r="P67" s="122">
        <f t="shared" ref="P67:P130" ca="1" si="5">O67/SUM(O:O)</f>
        <v>5.0627838879660483E-3</v>
      </c>
      <c r="Q67" s="28">
        <v>1</v>
      </c>
      <c r="R67" s="28">
        <v>0</v>
      </c>
      <c r="S67" s="28">
        <v>0</v>
      </c>
      <c r="T67" s="28">
        <v>0</v>
      </c>
      <c r="U67" s="28">
        <v>0</v>
      </c>
      <c r="V67" s="28">
        <v>1</v>
      </c>
    </row>
    <row r="68" spans="1:22" ht="21" customHeight="1" x14ac:dyDescent="0.15">
      <c r="A68" s="2" t="str">
        <f ca="1">input_384010!A$2</f>
        <v>384010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IFERROR(VLOOKUP(B68,input_384010!L:R,7,FALSE),VLOOKUP(tables_384010!C68,input_384010!A:H,8,FALSE))</f>
        <v>29925.341939999998</v>
      </c>
      <c r="P68" s="122">
        <f t="shared" ca="1" si="5"/>
        <v>4.6027657715024076E-4</v>
      </c>
      <c r="Q68" s="28">
        <v>1</v>
      </c>
      <c r="R68" s="28">
        <v>0</v>
      </c>
      <c r="S68" s="28">
        <v>0</v>
      </c>
      <c r="T68" s="28">
        <v>0</v>
      </c>
      <c r="U68" s="28">
        <v>0</v>
      </c>
      <c r="V68" s="28">
        <v>1</v>
      </c>
    </row>
    <row r="69" spans="1:22" ht="21" customHeight="1" x14ac:dyDescent="0.15">
      <c r="A69" s="2" t="str">
        <f ca="1">input_384010!A$2</f>
        <v>384010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IFERROR(VLOOKUP(B69,input_384010!L:R,7,FALSE),VLOOKUP(tables_384010!C69,input_384010!A:H,8,FALSE))</f>
        <v>359087.29920000001</v>
      </c>
      <c r="P69" s="122">
        <f t="shared" ca="1" si="5"/>
        <v>5.523060465116289E-3</v>
      </c>
      <c r="Q69" s="28">
        <v>1</v>
      </c>
      <c r="R69" s="28">
        <v>0</v>
      </c>
      <c r="S69" s="28">
        <v>0</v>
      </c>
      <c r="T69" s="28">
        <v>0</v>
      </c>
      <c r="U69" s="28">
        <v>0</v>
      </c>
      <c r="V69" s="28">
        <v>1</v>
      </c>
    </row>
    <row r="70" spans="1:22" ht="21" customHeight="1" x14ac:dyDescent="0.15">
      <c r="A70" s="2" t="str">
        <f ca="1">input_384010!A$2</f>
        <v>384010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IFERROR(VLOOKUP(B70,input_384010!L:R,7,FALSE),VLOOKUP(tables_384010!C70,input_384010!A:H,8,FALSE))</f>
        <v>329161.95726</v>
      </c>
      <c r="P70" s="122">
        <f t="shared" ca="1" si="5"/>
        <v>5.0627838879660483E-3</v>
      </c>
      <c r="Q70" s="28">
        <v>1</v>
      </c>
      <c r="R70" s="28">
        <v>0</v>
      </c>
      <c r="S70" s="28">
        <v>0</v>
      </c>
      <c r="T70" s="28">
        <v>0</v>
      </c>
      <c r="U70" s="28">
        <v>0</v>
      </c>
      <c r="V70" s="28">
        <v>1</v>
      </c>
    </row>
    <row r="71" spans="1:22" ht="21" customHeight="1" x14ac:dyDescent="0.15">
      <c r="A71" s="2" t="str">
        <f ca="1">input_384010!A$2</f>
        <v>384010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IFERROR(VLOOKUP(B71,input_384010!L:R,7,FALSE),VLOOKUP(tables_384010!C71,input_384010!A:H,8,FALSE))</f>
        <v>29925.341939999998</v>
      </c>
      <c r="P71" s="122">
        <f t="shared" ca="1" si="5"/>
        <v>4.6027657715024076E-4</v>
      </c>
      <c r="Q71" s="28">
        <v>1</v>
      </c>
      <c r="R71" s="28">
        <v>0</v>
      </c>
      <c r="S71" s="28">
        <v>0</v>
      </c>
      <c r="T71" s="28">
        <v>0</v>
      </c>
      <c r="U71" s="28">
        <v>0</v>
      </c>
      <c r="V71" s="28">
        <v>1</v>
      </c>
    </row>
    <row r="72" spans="1:22" ht="21" customHeight="1" x14ac:dyDescent="0.15">
      <c r="A72" s="2" t="str">
        <f ca="1">input_384010!A$2</f>
        <v>384010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IFERROR(VLOOKUP(B72,input_384010!L:R,7,FALSE),VLOOKUP(tables_384010!C72,input_384010!A:H,8,FALSE))</f>
        <v>359087.29920000001</v>
      </c>
      <c r="P72" s="122">
        <f t="shared" ca="1" si="5"/>
        <v>5.523060465116289E-3</v>
      </c>
      <c r="Q72" s="28">
        <v>1</v>
      </c>
      <c r="R72" s="28">
        <v>0</v>
      </c>
      <c r="S72" s="28">
        <v>0</v>
      </c>
      <c r="T72" s="28">
        <v>0</v>
      </c>
      <c r="U72" s="28">
        <v>0</v>
      </c>
      <c r="V72" s="28">
        <v>1</v>
      </c>
    </row>
    <row r="73" spans="1:22" ht="21" customHeight="1" x14ac:dyDescent="0.15">
      <c r="A73" s="2" t="str">
        <f ca="1">input_384010!A$2</f>
        <v>384010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IFERROR(VLOOKUP(B73,input_384010!L:R,7,FALSE),VLOOKUP(tables_384010!C73,input_384010!A:H,8,FALSE))</f>
        <v>329161.95726</v>
      </c>
      <c r="P73" s="122">
        <f t="shared" ca="1" si="5"/>
        <v>5.0627838879660483E-3</v>
      </c>
      <c r="Q73" s="28">
        <v>1</v>
      </c>
      <c r="R73" s="28">
        <v>0</v>
      </c>
      <c r="S73" s="28">
        <v>0</v>
      </c>
      <c r="T73" s="28">
        <v>0</v>
      </c>
      <c r="U73" s="28">
        <v>0</v>
      </c>
      <c r="V73" s="28">
        <v>1</v>
      </c>
    </row>
    <row r="74" spans="1:22" ht="21" customHeight="1" x14ac:dyDescent="0.15">
      <c r="A74" s="2" t="str">
        <f ca="1">input_384010!A$2</f>
        <v>384010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IFERROR(VLOOKUP(B74,input_384010!L:R,7,FALSE),VLOOKUP(tables_384010!C74,input_384010!A:H,8,FALSE))</f>
        <v>29925.341939999998</v>
      </c>
      <c r="P74" s="122">
        <f t="shared" ca="1" si="5"/>
        <v>4.6027657715024076E-4</v>
      </c>
      <c r="Q74" s="28">
        <v>1</v>
      </c>
      <c r="R74" s="28">
        <v>0</v>
      </c>
      <c r="S74" s="28">
        <v>0</v>
      </c>
      <c r="T74" s="28">
        <v>0</v>
      </c>
      <c r="U74" s="28">
        <v>0</v>
      </c>
      <c r="V74" s="28">
        <v>1</v>
      </c>
    </row>
    <row r="75" spans="1:22" ht="21" customHeight="1" x14ac:dyDescent="0.15">
      <c r="A75" s="2" t="str">
        <f ca="1">input_384010!A$2</f>
        <v>384010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IFERROR(VLOOKUP(B75,input_384010!L:R,7,FALSE),VLOOKUP(tables_384010!C75,input_384010!A:H,8,FALSE))</f>
        <v>359087.29920000001</v>
      </c>
      <c r="P75" s="122">
        <f t="shared" ca="1" si="5"/>
        <v>5.523060465116289E-3</v>
      </c>
      <c r="Q75" s="28">
        <v>1</v>
      </c>
      <c r="R75" s="28">
        <v>0</v>
      </c>
      <c r="S75" s="28">
        <v>0</v>
      </c>
      <c r="T75" s="28">
        <v>0</v>
      </c>
      <c r="U75" s="28">
        <v>0</v>
      </c>
      <c r="V75" s="28">
        <v>1</v>
      </c>
    </row>
    <row r="76" spans="1:22" ht="21" customHeight="1" x14ac:dyDescent="0.15">
      <c r="A76" s="2" t="str">
        <f ca="1">input_384010!A$2</f>
        <v>384010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IFERROR(VLOOKUP(B76,input_384010!L:R,7,FALSE),VLOOKUP(tables_384010!C76,input_384010!A:H,8,FALSE))</f>
        <v>329161.95726</v>
      </c>
      <c r="P76" s="122">
        <f t="shared" ca="1" si="5"/>
        <v>5.0627838879660483E-3</v>
      </c>
      <c r="Q76" s="28">
        <v>1</v>
      </c>
      <c r="R76" s="28">
        <v>0</v>
      </c>
      <c r="S76" s="28">
        <v>0</v>
      </c>
      <c r="T76" s="28">
        <v>0</v>
      </c>
      <c r="U76" s="28">
        <v>0</v>
      </c>
      <c r="V76" s="28">
        <v>1</v>
      </c>
    </row>
    <row r="77" spans="1:22" ht="21" customHeight="1" x14ac:dyDescent="0.15">
      <c r="A77" s="2" t="str">
        <f ca="1">input_384010!A$2</f>
        <v>384010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IFERROR(VLOOKUP(B77,input_384010!L:R,7,FALSE),VLOOKUP(tables_384010!C77,input_384010!A:H,8,FALSE))</f>
        <v>29925.341939999998</v>
      </c>
      <c r="P77" s="122">
        <f t="shared" ca="1" si="5"/>
        <v>4.6027657715024076E-4</v>
      </c>
      <c r="Q77" s="28">
        <v>1</v>
      </c>
      <c r="R77" s="28">
        <v>0</v>
      </c>
      <c r="S77" s="28">
        <v>0</v>
      </c>
      <c r="T77" s="28">
        <v>0</v>
      </c>
      <c r="U77" s="28">
        <v>0</v>
      </c>
      <c r="V77" s="28">
        <v>1</v>
      </c>
    </row>
    <row r="78" spans="1:22" ht="21" customHeight="1" x14ac:dyDescent="0.15">
      <c r="A78" s="2" t="str">
        <f ca="1">input_384010!A$2</f>
        <v>384010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IFERROR(VLOOKUP(B78,input_384010!L:R,7,FALSE),VLOOKUP(tables_384010!C78,input_384010!A:H,8,FALSE))</f>
        <v>359087.29920000001</v>
      </c>
      <c r="P78" s="122">
        <f t="shared" ca="1" si="5"/>
        <v>5.523060465116289E-3</v>
      </c>
      <c r="Q78" s="28">
        <v>1</v>
      </c>
      <c r="R78" s="28">
        <v>0</v>
      </c>
      <c r="S78" s="28">
        <v>0</v>
      </c>
      <c r="T78" s="28">
        <v>0</v>
      </c>
      <c r="U78" s="28">
        <v>0</v>
      </c>
      <c r="V78" s="28">
        <v>1</v>
      </c>
    </row>
    <row r="79" spans="1:22" ht="21" customHeight="1" x14ac:dyDescent="0.15">
      <c r="A79" s="2" t="str">
        <f ca="1">input_384010!A$2</f>
        <v>384010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IFERROR(VLOOKUP(B79,input_384010!L:R,7,FALSE),VLOOKUP(tables_384010!C79,input_384010!A:H,8,FALSE))</f>
        <v>329161.95726</v>
      </c>
      <c r="P79" s="122">
        <f t="shared" ca="1" si="5"/>
        <v>5.0627838879660483E-3</v>
      </c>
      <c r="Q79" s="28">
        <v>1</v>
      </c>
      <c r="R79" s="28">
        <v>0</v>
      </c>
      <c r="S79" s="28">
        <v>0</v>
      </c>
      <c r="T79" s="28">
        <v>0</v>
      </c>
      <c r="U79" s="28">
        <v>0</v>
      </c>
      <c r="V79" s="28">
        <v>1</v>
      </c>
    </row>
    <row r="80" spans="1:22" ht="21" customHeight="1" x14ac:dyDescent="0.15">
      <c r="A80" s="2" t="str">
        <f ca="1">input_384010!A$2</f>
        <v>384010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IFERROR(VLOOKUP(B80,input_384010!L:R,7,FALSE),VLOOKUP(tables_384010!C80,input_384010!A:H,8,FALSE))</f>
        <v>29925.341939999998</v>
      </c>
      <c r="P80" s="122">
        <f t="shared" ca="1" si="5"/>
        <v>4.6027657715024076E-4</v>
      </c>
      <c r="Q80" s="28">
        <v>1</v>
      </c>
      <c r="R80" s="28">
        <v>0</v>
      </c>
      <c r="S80" s="28">
        <v>0</v>
      </c>
      <c r="T80" s="28">
        <v>0</v>
      </c>
      <c r="U80" s="28">
        <v>0</v>
      </c>
      <c r="V80" s="28">
        <v>1</v>
      </c>
    </row>
    <row r="81" spans="1:22" ht="21" customHeight="1" x14ac:dyDescent="0.15">
      <c r="A81" s="2" t="str">
        <f ca="1">input_384010!A$2</f>
        <v>384010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IFERROR(VLOOKUP(B81,input_384010!L:R,7,FALSE),VLOOKUP(tables_384010!C81,input_384010!A:H,8,FALSE))</f>
        <v>359087.29920000001</v>
      </c>
      <c r="P81" s="122">
        <f t="shared" ca="1" si="5"/>
        <v>5.523060465116289E-3</v>
      </c>
      <c r="Q81" s="28">
        <v>1</v>
      </c>
      <c r="R81" s="28">
        <v>0</v>
      </c>
      <c r="S81" s="28">
        <v>0</v>
      </c>
      <c r="T81" s="28">
        <v>0</v>
      </c>
      <c r="U81" s="28">
        <v>0</v>
      </c>
      <c r="V81" s="28">
        <v>1</v>
      </c>
    </row>
    <row r="82" spans="1:22" ht="21" customHeight="1" x14ac:dyDescent="0.15">
      <c r="A82" s="2" t="str">
        <f ca="1">input_384010!A$2</f>
        <v>384010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IFERROR(VLOOKUP(B82,input_384010!L:R,7,FALSE),VLOOKUP(tables_384010!C82,input_384010!A:H,8,FALSE))</f>
        <v>329161.95726</v>
      </c>
      <c r="P82" s="122">
        <f t="shared" ca="1" si="5"/>
        <v>5.0627838879660483E-3</v>
      </c>
      <c r="Q82" s="28">
        <v>1</v>
      </c>
      <c r="R82" s="28">
        <v>0</v>
      </c>
      <c r="S82" s="28">
        <v>0</v>
      </c>
      <c r="T82" s="28">
        <v>0</v>
      </c>
      <c r="U82" s="28">
        <v>0</v>
      </c>
      <c r="V82" s="28">
        <v>1</v>
      </c>
    </row>
    <row r="83" spans="1:22" ht="21" customHeight="1" x14ac:dyDescent="0.15">
      <c r="A83" s="2" t="str">
        <f ca="1">input_384010!A$2</f>
        <v>384010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IFERROR(VLOOKUP(B83,input_384010!L:R,7,FALSE),VLOOKUP(tables_384010!C83,input_384010!A:H,8,FALSE))</f>
        <v>29925.341939999998</v>
      </c>
      <c r="P83" s="122">
        <f t="shared" ca="1" si="5"/>
        <v>4.6027657715024076E-4</v>
      </c>
      <c r="Q83" s="28">
        <v>1</v>
      </c>
      <c r="R83" s="28">
        <v>0</v>
      </c>
      <c r="S83" s="28">
        <v>0</v>
      </c>
      <c r="T83" s="28">
        <v>0</v>
      </c>
      <c r="U83" s="28">
        <v>0</v>
      </c>
      <c r="V83" s="28">
        <v>1</v>
      </c>
    </row>
    <row r="84" spans="1:22" ht="21" customHeight="1" x14ac:dyDescent="0.15">
      <c r="A84" s="2" t="str">
        <f ca="1">input_384010!A$2</f>
        <v>384010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IFERROR(VLOOKUP(B84,input_384010!L:R,7,FALSE),VLOOKUP(tables_384010!C84,input_384010!A:H,8,FALSE))</f>
        <v>359087.29920000001</v>
      </c>
      <c r="P84" s="122">
        <f t="shared" ca="1" si="5"/>
        <v>5.523060465116289E-3</v>
      </c>
      <c r="Q84" s="28">
        <v>1</v>
      </c>
      <c r="R84" s="28">
        <v>0</v>
      </c>
      <c r="S84" s="28">
        <v>0</v>
      </c>
      <c r="T84" s="28">
        <v>0</v>
      </c>
      <c r="U84" s="28">
        <v>0</v>
      </c>
      <c r="V84" s="28">
        <v>1</v>
      </c>
    </row>
    <row r="85" spans="1:22" ht="21" customHeight="1" x14ac:dyDescent="0.15">
      <c r="A85" s="2" t="str">
        <f ca="1">input_384010!A$2</f>
        <v>384010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IFERROR(VLOOKUP(B85,input_384010!L:R,7,FALSE),VLOOKUP(tables_384010!C85,input_384010!A:H,8,FALSE))</f>
        <v>329161.95726</v>
      </c>
      <c r="P85" s="122">
        <f t="shared" ca="1" si="5"/>
        <v>5.0627838879660483E-3</v>
      </c>
      <c r="Q85" s="28">
        <v>1</v>
      </c>
      <c r="R85" s="28">
        <v>0</v>
      </c>
      <c r="S85" s="28">
        <v>0</v>
      </c>
      <c r="T85" s="28">
        <v>0</v>
      </c>
      <c r="U85" s="28">
        <v>0</v>
      </c>
      <c r="V85" s="28">
        <v>1</v>
      </c>
    </row>
    <row r="86" spans="1:22" ht="21" customHeight="1" x14ac:dyDescent="0.15">
      <c r="A86" s="2" t="str">
        <f ca="1">input_384010!A$2</f>
        <v>384010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IFERROR(VLOOKUP(B86,input_384010!L:R,7,FALSE),VLOOKUP(tables_384010!C86,input_384010!A:H,8,FALSE))</f>
        <v>29925.341939999998</v>
      </c>
      <c r="P86" s="122">
        <f t="shared" ca="1" si="5"/>
        <v>4.6027657715024076E-4</v>
      </c>
      <c r="Q86" s="28">
        <v>1</v>
      </c>
      <c r="R86" s="28">
        <v>0</v>
      </c>
      <c r="S86" s="28">
        <v>0</v>
      </c>
      <c r="T86" s="28">
        <v>0</v>
      </c>
      <c r="U86" s="28">
        <v>0</v>
      </c>
      <c r="V86" s="28">
        <v>1</v>
      </c>
    </row>
    <row r="87" spans="1:22" ht="21" customHeight="1" x14ac:dyDescent="0.15">
      <c r="A87" s="2" t="str">
        <f ca="1">input_384010!A$2</f>
        <v>384010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IFERROR(VLOOKUP(B87,input_384010!L:R,7,FALSE),VLOOKUP(tables_384010!C87,input_384010!A:H,8,FALSE))</f>
        <v>359087.29920000001</v>
      </c>
      <c r="P87" s="122">
        <f t="shared" ca="1" si="5"/>
        <v>5.523060465116289E-3</v>
      </c>
      <c r="Q87" s="28">
        <v>1</v>
      </c>
      <c r="R87" s="28">
        <v>0</v>
      </c>
      <c r="S87" s="28">
        <v>0</v>
      </c>
      <c r="T87" s="28">
        <v>0</v>
      </c>
      <c r="U87" s="28">
        <v>0</v>
      </c>
      <c r="V87" s="28">
        <v>1</v>
      </c>
    </row>
    <row r="88" spans="1:22" ht="21" customHeight="1" x14ac:dyDescent="0.15">
      <c r="A88" s="2" t="str">
        <f ca="1">input_384010!A$2</f>
        <v>384010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IFERROR(VLOOKUP(B88,input_384010!L:R,7,FALSE),VLOOKUP(tables_384010!C88,input_384010!A:H,8,FALSE))</f>
        <v>329161.95726</v>
      </c>
      <c r="P88" s="122">
        <f t="shared" ca="1" si="5"/>
        <v>5.0627838879660483E-3</v>
      </c>
      <c r="Q88" s="28">
        <v>1</v>
      </c>
      <c r="R88" s="28">
        <v>0</v>
      </c>
      <c r="S88" s="28">
        <v>0</v>
      </c>
      <c r="T88" s="28">
        <v>0</v>
      </c>
      <c r="U88" s="28">
        <v>0</v>
      </c>
      <c r="V88" s="28">
        <v>1</v>
      </c>
    </row>
    <row r="89" spans="1:22" ht="21" customHeight="1" x14ac:dyDescent="0.15">
      <c r="A89" s="2" t="str">
        <f ca="1">input_384010!A$2</f>
        <v>384010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IFERROR(VLOOKUP(B89,input_384010!L:R,7,FALSE),VLOOKUP(tables_384010!C89,input_384010!A:H,8,FALSE))</f>
        <v>29925.341939999998</v>
      </c>
      <c r="P89" s="122">
        <f t="shared" ca="1" si="5"/>
        <v>4.6027657715024076E-4</v>
      </c>
      <c r="Q89" s="28">
        <v>1</v>
      </c>
      <c r="R89" s="28">
        <v>0</v>
      </c>
      <c r="S89" s="28">
        <v>0</v>
      </c>
      <c r="T89" s="28">
        <v>0</v>
      </c>
      <c r="U89" s="28">
        <v>0</v>
      </c>
      <c r="V89" s="28">
        <v>1</v>
      </c>
    </row>
    <row r="90" spans="1:22" ht="21" customHeight="1" x14ac:dyDescent="0.15">
      <c r="A90" s="2" t="str">
        <f ca="1">input_384010!A$2</f>
        <v>384010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IFERROR(VLOOKUP(B90,input_384010!L:R,7,FALSE),VLOOKUP(tables_384010!C90,input_384010!A:H,8,FALSE))</f>
        <v>359087.29920000001</v>
      </c>
      <c r="P90" s="122">
        <f t="shared" ca="1" si="5"/>
        <v>5.523060465116289E-3</v>
      </c>
      <c r="Q90" s="28">
        <v>1</v>
      </c>
      <c r="R90" s="28">
        <v>0</v>
      </c>
      <c r="S90" s="28">
        <v>0</v>
      </c>
      <c r="T90" s="28">
        <v>0</v>
      </c>
      <c r="U90" s="28">
        <v>0</v>
      </c>
      <c r="V90" s="28">
        <v>1</v>
      </c>
    </row>
    <row r="91" spans="1:22" ht="21" customHeight="1" x14ac:dyDescent="0.15">
      <c r="A91" s="2" t="str">
        <f ca="1">input_384010!A$2</f>
        <v>384010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IFERROR(VLOOKUP(B91,input_384010!L:R,7,FALSE),VLOOKUP(tables_384010!C91,input_384010!A:H,8,FALSE))</f>
        <v>329161.95726</v>
      </c>
      <c r="P91" s="122">
        <f t="shared" ca="1" si="5"/>
        <v>5.0627838879660483E-3</v>
      </c>
      <c r="Q91" s="28">
        <v>1</v>
      </c>
      <c r="R91" s="28">
        <v>0</v>
      </c>
      <c r="S91" s="28">
        <v>0</v>
      </c>
      <c r="T91" s="28">
        <v>0</v>
      </c>
      <c r="U91" s="28">
        <v>0</v>
      </c>
      <c r="V91" s="28">
        <v>1</v>
      </c>
    </row>
    <row r="92" spans="1:22" ht="21" customHeight="1" x14ac:dyDescent="0.15">
      <c r="A92" s="2" t="str">
        <f ca="1">input_384010!A$2</f>
        <v>384010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IFERROR(VLOOKUP(B92,input_384010!L:R,7,FALSE),VLOOKUP(tables_384010!C92,input_384010!A:H,8,FALSE))</f>
        <v>29925.341939999998</v>
      </c>
      <c r="P92" s="122">
        <f t="shared" ca="1" si="5"/>
        <v>4.6027657715024076E-4</v>
      </c>
      <c r="Q92" s="28">
        <v>1</v>
      </c>
      <c r="R92" s="28">
        <v>0</v>
      </c>
      <c r="S92" s="28">
        <v>0</v>
      </c>
      <c r="T92" s="28">
        <v>0</v>
      </c>
      <c r="U92" s="28">
        <v>0</v>
      </c>
      <c r="V92" s="28">
        <v>1</v>
      </c>
    </row>
    <row r="93" spans="1:22" ht="21" customHeight="1" x14ac:dyDescent="0.15">
      <c r="A93" s="2" t="str">
        <f ca="1">input_384010!A$2</f>
        <v>384010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IFERROR(VLOOKUP(B93,input_384010!L:R,7,FALSE),VLOOKUP(tables_384010!C93,input_384010!A:H,8,FALSE))</f>
        <v>359087.29920000001</v>
      </c>
      <c r="P93" s="122">
        <f t="shared" ca="1" si="5"/>
        <v>5.523060465116289E-3</v>
      </c>
      <c r="Q93" s="28">
        <v>1</v>
      </c>
      <c r="R93" s="28">
        <v>0</v>
      </c>
      <c r="S93" s="28">
        <v>0</v>
      </c>
      <c r="T93" s="28">
        <v>0</v>
      </c>
      <c r="U93" s="28">
        <v>0</v>
      </c>
      <c r="V93" s="28">
        <v>1</v>
      </c>
    </row>
    <row r="94" spans="1:22" ht="21" customHeight="1" x14ac:dyDescent="0.15">
      <c r="A94" s="2" t="str">
        <f ca="1">input_384010!A$2</f>
        <v>384010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IFERROR(VLOOKUP(B94,input_384010!L:R,7,FALSE),VLOOKUP(tables_384010!C94,input_384010!A:H,8,FALSE))</f>
        <v>329161.95726</v>
      </c>
      <c r="P94" s="122">
        <f t="shared" ca="1" si="5"/>
        <v>5.0627838879660483E-3</v>
      </c>
      <c r="Q94" s="28">
        <v>1</v>
      </c>
      <c r="R94" s="28">
        <v>0</v>
      </c>
      <c r="S94" s="28">
        <v>0</v>
      </c>
      <c r="T94" s="28">
        <v>0</v>
      </c>
      <c r="U94" s="28">
        <v>0</v>
      </c>
      <c r="V94" s="28">
        <v>1</v>
      </c>
    </row>
    <row r="95" spans="1:22" ht="21" customHeight="1" x14ac:dyDescent="0.15">
      <c r="A95" s="2" t="str">
        <f ca="1">input_384010!A$2</f>
        <v>384010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IFERROR(VLOOKUP(B95,input_384010!L:R,7,FALSE),VLOOKUP(tables_384010!C95,input_384010!A:H,8,FALSE))</f>
        <v>29925.341939999998</v>
      </c>
      <c r="P95" s="122">
        <f t="shared" ca="1" si="5"/>
        <v>4.6027657715024076E-4</v>
      </c>
      <c r="Q95" s="28">
        <v>1</v>
      </c>
      <c r="R95" s="28">
        <v>0</v>
      </c>
      <c r="S95" s="28">
        <v>0</v>
      </c>
      <c r="T95" s="28">
        <v>0</v>
      </c>
      <c r="U95" s="28">
        <v>0</v>
      </c>
      <c r="V95" s="28">
        <v>1</v>
      </c>
    </row>
    <row r="96" spans="1:22" ht="21" customHeight="1" x14ac:dyDescent="0.15">
      <c r="A96" s="2" t="str">
        <f ca="1">input_384010!A$2</f>
        <v>384010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IFERROR(VLOOKUP(B96,input_384010!L:R,7,FALSE),VLOOKUP(tables_384010!C96,input_384010!A:H,8,FALSE))</f>
        <v>359087.29920000001</v>
      </c>
      <c r="P96" s="122">
        <f t="shared" ca="1" si="5"/>
        <v>5.523060465116289E-3</v>
      </c>
      <c r="Q96" s="28">
        <v>1</v>
      </c>
      <c r="R96" s="28">
        <v>0</v>
      </c>
      <c r="S96" s="28">
        <v>0</v>
      </c>
      <c r="T96" s="28">
        <v>0</v>
      </c>
      <c r="U96" s="28">
        <v>0</v>
      </c>
      <c r="V96" s="28">
        <v>1</v>
      </c>
    </row>
    <row r="97" spans="1:22" ht="21" customHeight="1" x14ac:dyDescent="0.15">
      <c r="A97" s="2" t="str">
        <f ca="1">input_384010!A$2</f>
        <v>384010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IFERROR(VLOOKUP(B97,input_384010!L:R,7,FALSE),VLOOKUP(tables_384010!C97,input_384010!A:H,8,FALSE))</f>
        <v>329161.95726</v>
      </c>
      <c r="P97" s="122">
        <f t="shared" ca="1" si="5"/>
        <v>5.0627838879660483E-3</v>
      </c>
      <c r="Q97" s="28">
        <v>1</v>
      </c>
      <c r="R97" s="28">
        <v>0</v>
      </c>
      <c r="S97" s="28">
        <v>0</v>
      </c>
      <c r="T97" s="28">
        <v>0</v>
      </c>
      <c r="U97" s="28">
        <v>0</v>
      </c>
      <c r="V97" s="28">
        <v>1</v>
      </c>
    </row>
    <row r="98" spans="1:22" ht="21" customHeight="1" x14ac:dyDescent="0.15">
      <c r="A98" s="2" t="str">
        <f ca="1">input_384010!A$2</f>
        <v>384010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IFERROR(VLOOKUP(B98,input_384010!L:R,7,FALSE),VLOOKUP(tables_384010!C98,input_384010!A:H,8,FALSE))</f>
        <v>29925.341939999998</v>
      </c>
      <c r="P98" s="122">
        <f t="shared" ca="1" si="5"/>
        <v>4.6027657715024076E-4</v>
      </c>
      <c r="Q98" s="28">
        <v>1</v>
      </c>
      <c r="R98" s="28">
        <v>0</v>
      </c>
      <c r="S98" s="28">
        <v>0</v>
      </c>
      <c r="T98" s="28">
        <v>0</v>
      </c>
      <c r="U98" s="28">
        <v>0</v>
      </c>
      <c r="V98" s="28">
        <v>1</v>
      </c>
    </row>
    <row r="99" spans="1:22" ht="21" customHeight="1" x14ac:dyDescent="0.15">
      <c r="A99" s="2" t="str">
        <f ca="1">input_384010!A$2</f>
        <v>384010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IFERROR(VLOOKUP(B99,input_384010!L:R,7,FALSE),VLOOKUP(tables_384010!C99,input_384010!A:H,8,FALSE))</f>
        <v>359087.29920000001</v>
      </c>
      <c r="P99" s="122">
        <f t="shared" ca="1" si="5"/>
        <v>5.523060465116289E-3</v>
      </c>
      <c r="Q99" s="28">
        <v>1</v>
      </c>
      <c r="R99" s="28">
        <v>0</v>
      </c>
      <c r="S99" s="28">
        <v>0</v>
      </c>
      <c r="T99" s="28">
        <v>0</v>
      </c>
      <c r="U99" s="28">
        <v>0</v>
      </c>
      <c r="V99" s="28">
        <v>1</v>
      </c>
    </row>
    <row r="100" spans="1:22" ht="21" customHeight="1" x14ac:dyDescent="0.15">
      <c r="A100" s="2" t="str">
        <f ca="1">input_384010!A$2</f>
        <v>384010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IFERROR(VLOOKUP(B100,input_384010!L:R,7,FALSE),VLOOKUP(tables_384010!C100,input_384010!A:H,8,FALSE))</f>
        <v>329161.95726</v>
      </c>
      <c r="P100" s="122">
        <f t="shared" ca="1" si="5"/>
        <v>5.0627838879660483E-3</v>
      </c>
      <c r="Q100" s="28">
        <v>1</v>
      </c>
      <c r="R100" s="28">
        <v>0</v>
      </c>
      <c r="S100" s="28">
        <v>0</v>
      </c>
      <c r="T100" s="28">
        <v>0</v>
      </c>
      <c r="U100" s="28">
        <v>0</v>
      </c>
      <c r="V100" s="28">
        <v>1</v>
      </c>
    </row>
    <row r="101" spans="1:22" ht="21" customHeight="1" x14ac:dyDescent="0.15">
      <c r="A101" s="2" t="str">
        <f ca="1">input_384010!A$2</f>
        <v>384010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IFERROR(VLOOKUP(B101,input_384010!L:R,7,FALSE),VLOOKUP(tables_384010!C101,input_384010!A:H,8,FALSE))</f>
        <v>29925.341939999998</v>
      </c>
      <c r="P101" s="122">
        <f t="shared" ca="1" si="5"/>
        <v>4.6027657715024076E-4</v>
      </c>
      <c r="Q101" s="28">
        <v>1</v>
      </c>
      <c r="R101" s="28">
        <v>0</v>
      </c>
      <c r="S101" s="28">
        <v>0</v>
      </c>
      <c r="T101" s="28">
        <v>0</v>
      </c>
      <c r="U101" s="28">
        <v>0</v>
      </c>
      <c r="V101" s="28">
        <v>1</v>
      </c>
    </row>
    <row r="102" spans="1:22" ht="21" customHeight="1" x14ac:dyDescent="0.15">
      <c r="A102" s="2" t="str">
        <f ca="1">input_384010!A$2</f>
        <v>384010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IFERROR(VLOOKUP(B102,input_384010!L:R,7,FALSE),VLOOKUP(tables_384010!C102,input_384010!A:H,8,FALSE))</f>
        <v>359087.29920000001</v>
      </c>
      <c r="P102" s="122">
        <f t="shared" ca="1" si="5"/>
        <v>5.523060465116289E-3</v>
      </c>
      <c r="Q102" s="28">
        <v>1</v>
      </c>
      <c r="R102" s="28">
        <v>0</v>
      </c>
      <c r="S102" s="28">
        <v>0</v>
      </c>
      <c r="T102" s="28">
        <v>0</v>
      </c>
      <c r="U102" s="28">
        <v>0</v>
      </c>
      <c r="V102" s="28">
        <v>1</v>
      </c>
    </row>
    <row r="103" spans="1:22" ht="21" customHeight="1" x14ac:dyDescent="0.15">
      <c r="A103" s="2" t="str">
        <f ca="1">input_384010!A$2</f>
        <v>384010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IFERROR(VLOOKUP(B103,input_384010!L:R,7,FALSE),VLOOKUP(tables_384010!C103,input_384010!A:H,8,FALSE))</f>
        <v>329161.95726</v>
      </c>
      <c r="P103" s="122">
        <f t="shared" ca="1" si="5"/>
        <v>5.0627838879660483E-3</v>
      </c>
      <c r="Q103" s="28">
        <v>1</v>
      </c>
      <c r="R103" s="28">
        <v>0</v>
      </c>
      <c r="S103" s="28">
        <v>0</v>
      </c>
      <c r="T103" s="28">
        <v>0</v>
      </c>
      <c r="U103" s="28">
        <v>0</v>
      </c>
      <c r="V103" s="28">
        <v>1</v>
      </c>
    </row>
    <row r="104" spans="1:22" ht="21" customHeight="1" x14ac:dyDescent="0.15">
      <c r="A104" s="2" t="str">
        <f ca="1">input_384010!A$2</f>
        <v>384010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IFERROR(VLOOKUP(B104,input_384010!L:R,7,FALSE),VLOOKUP(tables_384010!C104,input_384010!A:H,8,FALSE))</f>
        <v>29925.341939999998</v>
      </c>
      <c r="P104" s="122">
        <f t="shared" ca="1" si="5"/>
        <v>4.6027657715024076E-4</v>
      </c>
      <c r="Q104" s="28">
        <v>1</v>
      </c>
      <c r="R104" s="28">
        <v>0</v>
      </c>
      <c r="S104" s="28">
        <v>0</v>
      </c>
      <c r="T104" s="28">
        <v>0</v>
      </c>
      <c r="U104" s="28">
        <v>0</v>
      </c>
      <c r="V104" s="28">
        <v>1</v>
      </c>
    </row>
    <row r="105" spans="1:22" ht="21" customHeight="1" x14ac:dyDescent="0.15">
      <c r="A105" s="2" t="str">
        <f ca="1">input_384010!A$2</f>
        <v>384010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IFERROR(VLOOKUP(B105,input_384010!L:R,7,FALSE),VLOOKUP(tables_384010!C105,input_384010!A:H,8,FALSE))</f>
        <v>359087.29920000001</v>
      </c>
      <c r="P105" s="122">
        <f t="shared" ca="1" si="5"/>
        <v>5.523060465116289E-3</v>
      </c>
      <c r="Q105" s="28">
        <v>1</v>
      </c>
      <c r="R105" s="28">
        <v>0</v>
      </c>
      <c r="S105" s="28">
        <v>0</v>
      </c>
      <c r="T105" s="28">
        <v>0</v>
      </c>
      <c r="U105" s="28">
        <v>0</v>
      </c>
      <c r="V105" s="28">
        <v>1</v>
      </c>
    </row>
    <row r="106" spans="1:22" ht="21" customHeight="1" x14ac:dyDescent="0.15">
      <c r="A106" s="2" t="str">
        <f ca="1">input_384010!A$2</f>
        <v>384010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IFERROR(VLOOKUP(B106,input_384010!L:R,7,FALSE),VLOOKUP(tables_384010!C106,input_384010!A:H,8,FALSE))</f>
        <v>329161.95726</v>
      </c>
      <c r="P106" s="122">
        <f t="shared" ca="1" si="5"/>
        <v>5.0627838879660483E-3</v>
      </c>
      <c r="Q106" s="28">
        <v>1</v>
      </c>
      <c r="R106" s="28">
        <v>0</v>
      </c>
      <c r="S106" s="28">
        <v>0</v>
      </c>
      <c r="T106" s="28">
        <v>0</v>
      </c>
      <c r="U106" s="28">
        <v>0</v>
      </c>
      <c r="V106" s="28">
        <v>1</v>
      </c>
    </row>
    <row r="107" spans="1:22" ht="21" customHeight="1" x14ac:dyDescent="0.15">
      <c r="A107" s="2" t="str">
        <f ca="1">input_384010!A$2</f>
        <v>384010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IFERROR(VLOOKUP(B107,input_384010!L:R,7,FALSE),VLOOKUP(tables_384010!C107,input_384010!A:H,8,FALSE))</f>
        <v>29925.341939999998</v>
      </c>
      <c r="P107" s="122">
        <f t="shared" ca="1" si="5"/>
        <v>4.6027657715024076E-4</v>
      </c>
      <c r="Q107" s="28">
        <v>1</v>
      </c>
      <c r="R107" s="28">
        <v>0</v>
      </c>
      <c r="S107" s="28">
        <v>0</v>
      </c>
      <c r="T107" s="28">
        <v>0</v>
      </c>
      <c r="U107" s="28">
        <v>0</v>
      </c>
      <c r="V107" s="28">
        <v>1</v>
      </c>
    </row>
    <row r="108" spans="1:22" ht="21" customHeight="1" x14ac:dyDescent="0.15">
      <c r="A108" s="2" t="str">
        <f ca="1">input_384010!A$2</f>
        <v>384010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IFERROR(VLOOKUP(B108,input_384010!L:R,7,FALSE),VLOOKUP(tables_384010!C108,input_384010!A:H,8,FALSE))</f>
        <v>359087.29920000001</v>
      </c>
      <c r="P108" s="122">
        <f t="shared" ca="1" si="5"/>
        <v>5.523060465116289E-3</v>
      </c>
      <c r="Q108" s="28">
        <v>1</v>
      </c>
      <c r="R108" s="28">
        <v>0</v>
      </c>
      <c r="S108" s="28">
        <v>0</v>
      </c>
      <c r="T108" s="28">
        <v>0</v>
      </c>
      <c r="U108" s="28">
        <v>0</v>
      </c>
      <c r="V108" s="28">
        <v>1</v>
      </c>
    </row>
    <row r="109" spans="1:22" ht="21" customHeight="1" x14ac:dyDescent="0.15">
      <c r="A109" s="2" t="str">
        <f ca="1">input_384010!A$2</f>
        <v>384010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IFERROR(VLOOKUP(B109,input_384010!L:R,7,FALSE),VLOOKUP(tables_384010!C109,input_384010!A:H,8,FALSE))</f>
        <v>329161.95726</v>
      </c>
      <c r="P109" s="122">
        <f t="shared" ca="1" si="5"/>
        <v>5.0627838879660483E-3</v>
      </c>
      <c r="Q109" s="28">
        <v>1</v>
      </c>
      <c r="R109" s="28">
        <v>0</v>
      </c>
      <c r="S109" s="28">
        <v>0</v>
      </c>
      <c r="T109" s="28">
        <v>0</v>
      </c>
      <c r="U109" s="28">
        <v>0</v>
      </c>
      <c r="V109" s="28">
        <v>1</v>
      </c>
    </row>
    <row r="110" spans="1:22" ht="21" customHeight="1" x14ac:dyDescent="0.15">
      <c r="A110" s="2" t="str">
        <f ca="1">input_384010!A$2</f>
        <v>384010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IFERROR(VLOOKUP(B110,input_384010!L:R,7,FALSE),VLOOKUP(tables_384010!C110,input_384010!A:H,8,FALSE))</f>
        <v>29925.341939999998</v>
      </c>
      <c r="P110" s="122">
        <f t="shared" ca="1" si="5"/>
        <v>4.6027657715024076E-4</v>
      </c>
      <c r="Q110" s="28">
        <v>1</v>
      </c>
      <c r="R110" s="28">
        <v>0</v>
      </c>
      <c r="S110" s="28">
        <v>0</v>
      </c>
      <c r="T110" s="28">
        <v>0</v>
      </c>
      <c r="U110" s="28">
        <v>0</v>
      </c>
      <c r="V110" s="28">
        <v>1</v>
      </c>
    </row>
    <row r="111" spans="1:22" ht="21" customHeight="1" x14ac:dyDescent="0.15">
      <c r="A111" s="2" t="str">
        <f ca="1">input_384010!A$2</f>
        <v>384010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IFERROR(VLOOKUP(B111,input_384010!L:R,7,FALSE),VLOOKUP(tables_384010!C111,input_384010!A:H,8,FALSE))</f>
        <v>359087.29920000001</v>
      </c>
      <c r="P111" s="122">
        <f t="shared" ca="1" si="5"/>
        <v>5.523060465116289E-3</v>
      </c>
      <c r="Q111" s="28">
        <v>1</v>
      </c>
      <c r="R111" s="28">
        <v>0</v>
      </c>
      <c r="S111" s="28">
        <v>0</v>
      </c>
      <c r="T111" s="28">
        <v>0</v>
      </c>
      <c r="U111" s="28">
        <v>0</v>
      </c>
      <c r="V111" s="28">
        <v>1</v>
      </c>
    </row>
    <row r="112" spans="1:22" ht="21" customHeight="1" x14ac:dyDescent="0.15">
      <c r="A112" s="2" t="str">
        <f ca="1">input_384010!A$2</f>
        <v>384010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IFERROR(VLOOKUP(B112,input_384010!L:R,7,FALSE),VLOOKUP(tables_384010!C112,input_384010!A:H,8,FALSE))</f>
        <v>323178.56928</v>
      </c>
      <c r="P112" s="122">
        <f t="shared" ca="1" si="5"/>
        <v>4.9707544186046605E-3</v>
      </c>
      <c r="Q112" s="28">
        <v>1</v>
      </c>
      <c r="R112" s="28">
        <v>0</v>
      </c>
      <c r="S112" s="28">
        <v>0</v>
      </c>
      <c r="T112" s="28">
        <v>0</v>
      </c>
      <c r="U112" s="28">
        <v>0</v>
      </c>
      <c r="V112" s="28">
        <v>1</v>
      </c>
    </row>
    <row r="113" spans="1:22" ht="21" customHeight="1" x14ac:dyDescent="0.15">
      <c r="A113" s="2" t="str">
        <f ca="1">input_384010!A$2</f>
        <v>384010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IFERROR(VLOOKUP(B113,input_384010!L:R,7,FALSE),VLOOKUP(tables_384010!C113,input_384010!A:H,8,FALSE))</f>
        <v>35908.729919999998</v>
      </c>
      <c r="P113" s="122">
        <f t="shared" ca="1" si="5"/>
        <v>5.5230604651162888E-4</v>
      </c>
      <c r="Q113" s="28">
        <v>1</v>
      </c>
      <c r="R113" s="28">
        <v>0</v>
      </c>
      <c r="S113" s="28">
        <v>0</v>
      </c>
      <c r="T113" s="28">
        <v>0</v>
      </c>
      <c r="U113" s="28">
        <v>0</v>
      </c>
      <c r="V113" s="28">
        <v>1</v>
      </c>
    </row>
    <row r="114" spans="1:22" ht="21" customHeight="1" x14ac:dyDescent="0.15">
      <c r="A114" s="2" t="str">
        <f ca="1">input_384010!A$2</f>
        <v>384010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IFERROR(VLOOKUP(B114,input_384010!L:R,7,FALSE),VLOOKUP(tables_384010!C114,input_384010!A:H,8,FALSE))</f>
        <v>359087.29920000001</v>
      </c>
      <c r="P114" s="122">
        <f t="shared" ca="1" si="5"/>
        <v>5.523060465116289E-3</v>
      </c>
      <c r="Q114" s="28">
        <v>1</v>
      </c>
      <c r="R114" s="28">
        <v>0</v>
      </c>
      <c r="S114" s="28">
        <v>0</v>
      </c>
      <c r="T114" s="28">
        <v>0</v>
      </c>
      <c r="U114" s="28">
        <v>0</v>
      </c>
      <c r="V114" s="28">
        <v>1</v>
      </c>
    </row>
    <row r="115" spans="1:22" ht="21" customHeight="1" x14ac:dyDescent="0.15">
      <c r="A115" s="2" t="str">
        <f ca="1">input_384010!A$2</f>
        <v>384010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IFERROR(VLOOKUP(B115,input_384010!L:R,7,FALSE),VLOOKUP(tables_384010!C115,input_384010!A:H,8,FALSE))</f>
        <v>329161.95726</v>
      </c>
      <c r="P115" s="122">
        <f t="shared" ca="1" si="5"/>
        <v>5.0627838879660483E-3</v>
      </c>
      <c r="Q115" s="28">
        <v>1</v>
      </c>
      <c r="R115" s="28">
        <v>0</v>
      </c>
      <c r="S115" s="28">
        <v>0</v>
      </c>
      <c r="T115" s="28">
        <v>0</v>
      </c>
      <c r="U115" s="28">
        <v>0</v>
      </c>
      <c r="V115" s="28">
        <v>1</v>
      </c>
    </row>
    <row r="116" spans="1:22" ht="21" customHeight="1" x14ac:dyDescent="0.15">
      <c r="A116" s="2" t="str">
        <f ca="1">input_384010!A$2</f>
        <v>384010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IFERROR(VLOOKUP(B116,input_384010!L:R,7,FALSE),VLOOKUP(tables_384010!C116,input_384010!A:H,8,FALSE))</f>
        <v>29925.341939999998</v>
      </c>
      <c r="P116" s="122">
        <f t="shared" ca="1" si="5"/>
        <v>4.6027657715024076E-4</v>
      </c>
      <c r="Q116" s="28">
        <v>1</v>
      </c>
      <c r="R116" s="28">
        <v>0</v>
      </c>
      <c r="S116" s="28">
        <v>0</v>
      </c>
      <c r="T116" s="28">
        <v>0</v>
      </c>
      <c r="U116" s="28">
        <v>0</v>
      </c>
      <c r="V116" s="28">
        <v>1</v>
      </c>
    </row>
    <row r="117" spans="1:22" ht="21" customHeight="1" x14ac:dyDescent="0.15">
      <c r="A117" s="2" t="str">
        <f ca="1">input_384010!A$2</f>
        <v>384010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IFERROR(VLOOKUP(B117,input_384010!L:R,7,FALSE),VLOOKUP(tables_384010!C117,input_384010!A:H,8,FALSE))</f>
        <v>359087.29920000001</v>
      </c>
      <c r="P117" s="122">
        <f t="shared" ca="1" si="5"/>
        <v>5.523060465116289E-3</v>
      </c>
      <c r="Q117" s="28">
        <v>1</v>
      </c>
      <c r="R117" s="28">
        <v>0</v>
      </c>
      <c r="S117" s="28">
        <v>0</v>
      </c>
      <c r="T117" s="28">
        <v>0</v>
      </c>
      <c r="U117" s="28">
        <v>0</v>
      </c>
      <c r="V117" s="28">
        <v>1</v>
      </c>
    </row>
    <row r="118" spans="1:22" ht="21" customHeight="1" x14ac:dyDescent="0.15">
      <c r="A118" s="2" t="str">
        <f ca="1">input_384010!A$2</f>
        <v>384010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IFERROR(VLOOKUP(B118,input_384010!L:R,7,FALSE),VLOOKUP(tables_384010!C118,input_384010!A:H,8,FALSE))</f>
        <v>329161.95726</v>
      </c>
      <c r="P118" s="122">
        <f t="shared" ca="1" si="5"/>
        <v>5.0627838879660483E-3</v>
      </c>
      <c r="Q118" s="28">
        <v>1</v>
      </c>
      <c r="R118" s="28">
        <v>0</v>
      </c>
      <c r="S118" s="28">
        <v>0</v>
      </c>
      <c r="T118" s="28">
        <v>0</v>
      </c>
      <c r="U118" s="28">
        <v>0</v>
      </c>
      <c r="V118" s="28">
        <v>1</v>
      </c>
    </row>
    <row r="119" spans="1:22" ht="21" customHeight="1" x14ac:dyDescent="0.15">
      <c r="A119" s="2" t="str">
        <f ca="1">input_384010!A$2</f>
        <v>384010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IFERROR(VLOOKUP(B119,input_384010!L:R,7,FALSE),VLOOKUP(tables_384010!C119,input_384010!A:H,8,FALSE))</f>
        <v>29925.341939999998</v>
      </c>
      <c r="P119" s="122">
        <f t="shared" ca="1" si="5"/>
        <v>4.6027657715024076E-4</v>
      </c>
      <c r="Q119" s="28">
        <v>1</v>
      </c>
      <c r="R119" s="28">
        <v>0</v>
      </c>
      <c r="S119" s="28">
        <v>0</v>
      </c>
      <c r="T119" s="28">
        <v>0</v>
      </c>
      <c r="U119" s="28">
        <v>0</v>
      </c>
      <c r="V119" s="28">
        <v>1</v>
      </c>
    </row>
    <row r="120" spans="1:22" ht="21" customHeight="1" x14ac:dyDescent="0.15">
      <c r="A120" s="2" t="str">
        <f ca="1">input_384010!A$2</f>
        <v>384010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IFERROR(VLOOKUP(B120,input_384010!L:R,7,FALSE),VLOOKUP(tables_384010!C120,input_384010!A:H,8,FALSE))</f>
        <v>359087.29920000001</v>
      </c>
      <c r="P120" s="122">
        <f t="shared" ca="1" si="5"/>
        <v>5.523060465116289E-3</v>
      </c>
      <c r="Q120" s="28">
        <v>1</v>
      </c>
      <c r="R120" s="28">
        <v>0</v>
      </c>
      <c r="S120" s="28">
        <v>0</v>
      </c>
      <c r="T120" s="28">
        <v>0</v>
      </c>
      <c r="U120" s="28">
        <v>0</v>
      </c>
      <c r="V120" s="28">
        <v>1</v>
      </c>
    </row>
    <row r="121" spans="1:22" ht="21" customHeight="1" x14ac:dyDescent="0.15">
      <c r="A121" s="2" t="str">
        <f ca="1">input_384010!A$2</f>
        <v>384010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IFERROR(VLOOKUP(B121,input_384010!L:R,7,FALSE),VLOOKUP(tables_384010!C121,input_384010!A:H,8,FALSE))</f>
        <v>329161.95726</v>
      </c>
      <c r="P121" s="122">
        <f t="shared" ca="1" si="5"/>
        <v>5.0627838879660483E-3</v>
      </c>
      <c r="Q121" s="28">
        <v>1</v>
      </c>
      <c r="R121" s="28">
        <v>0</v>
      </c>
      <c r="S121" s="28">
        <v>0</v>
      </c>
      <c r="T121" s="28">
        <v>0</v>
      </c>
      <c r="U121" s="28">
        <v>0</v>
      </c>
      <c r="V121" s="28">
        <v>1</v>
      </c>
    </row>
    <row r="122" spans="1:22" ht="21" customHeight="1" x14ac:dyDescent="0.15">
      <c r="A122" s="2" t="str">
        <f ca="1">input_384010!A$2</f>
        <v>384010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IFERROR(VLOOKUP(B122,input_384010!L:R,7,FALSE),VLOOKUP(tables_384010!C122,input_384010!A:H,8,FALSE))</f>
        <v>29925.341939999998</v>
      </c>
      <c r="P122" s="122">
        <f t="shared" ca="1" si="5"/>
        <v>4.6027657715024076E-4</v>
      </c>
      <c r="Q122" s="28">
        <v>1</v>
      </c>
      <c r="R122" s="28">
        <v>0</v>
      </c>
      <c r="S122" s="28">
        <v>0</v>
      </c>
      <c r="T122" s="28">
        <v>0</v>
      </c>
      <c r="U122" s="28">
        <v>0</v>
      </c>
      <c r="V122" s="28">
        <v>1</v>
      </c>
    </row>
    <row r="123" spans="1:22" ht="21" customHeight="1" x14ac:dyDescent="0.15">
      <c r="A123" s="2" t="str">
        <f ca="1">input_384010!A$2</f>
        <v>384010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IFERROR(VLOOKUP(B123,input_384010!L:R,7,FALSE),VLOOKUP(tables_384010!C123,input_384010!A:H,8,FALSE))</f>
        <v>359087.29920000001</v>
      </c>
      <c r="P123" s="122">
        <f t="shared" ca="1" si="5"/>
        <v>5.523060465116289E-3</v>
      </c>
      <c r="Q123" s="28">
        <v>1</v>
      </c>
      <c r="R123" s="28">
        <v>0</v>
      </c>
      <c r="S123" s="28">
        <v>0</v>
      </c>
      <c r="T123" s="28">
        <v>0</v>
      </c>
      <c r="U123" s="28">
        <v>0</v>
      </c>
      <c r="V123" s="28">
        <v>1</v>
      </c>
    </row>
    <row r="124" spans="1:22" ht="21" customHeight="1" x14ac:dyDescent="0.15">
      <c r="A124" s="2" t="str">
        <f ca="1">input_384010!A$2</f>
        <v>384010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IFERROR(VLOOKUP(B124,input_384010!L:R,7,FALSE),VLOOKUP(tables_384010!C124,input_384010!A:H,8,FALSE))</f>
        <v>329161.95726</v>
      </c>
      <c r="P124" s="122">
        <f t="shared" ca="1" si="5"/>
        <v>5.0627838879660483E-3</v>
      </c>
      <c r="Q124" s="28">
        <v>1</v>
      </c>
      <c r="R124" s="28">
        <v>0</v>
      </c>
      <c r="S124" s="28">
        <v>0</v>
      </c>
      <c r="T124" s="28">
        <v>0</v>
      </c>
      <c r="U124" s="28">
        <v>0</v>
      </c>
      <c r="V124" s="28">
        <v>1</v>
      </c>
    </row>
    <row r="125" spans="1:22" ht="21" customHeight="1" x14ac:dyDescent="0.15">
      <c r="A125" s="2" t="str">
        <f ca="1">input_384010!A$2</f>
        <v>384010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IFERROR(VLOOKUP(B125,input_384010!L:R,7,FALSE),VLOOKUP(tables_384010!C125,input_384010!A:H,8,FALSE))</f>
        <v>29925.341939999998</v>
      </c>
      <c r="P125" s="122">
        <f t="shared" ca="1" si="5"/>
        <v>4.6027657715024076E-4</v>
      </c>
      <c r="Q125" s="28">
        <v>1</v>
      </c>
      <c r="R125" s="28">
        <v>0</v>
      </c>
      <c r="S125" s="28">
        <v>0</v>
      </c>
      <c r="T125" s="28">
        <v>0</v>
      </c>
      <c r="U125" s="28">
        <v>0</v>
      </c>
      <c r="V125" s="28">
        <v>1</v>
      </c>
    </row>
    <row r="126" spans="1:22" ht="21" customHeight="1" x14ac:dyDescent="0.15">
      <c r="A126" s="2" t="str">
        <f ca="1">input_384010!A$2</f>
        <v>384010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IFERROR(VLOOKUP(B126,input_384010!L:R,7,FALSE),VLOOKUP(tables_384010!C126,input_384010!A:H,8,FALSE))</f>
        <v>359087.29920000001</v>
      </c>
      <c r="P126" s="122">
        <f t="shared" ca="1" si="5"/>
        <v>5.523060465116289E-3</v>
      </c>
      <c r="Q126" s="28">
        <v>1</v>
      </c>
      <c r="R126" s="28">
        <v>0</v>
      </c>
      <c r="S126" s="28">
        <v>0</v>
      </c>
      <c r="T126" s="28">
        <v>0</v>
      </c>
      <c r="U126" s="28">
        <v>0</v>
      </c>
      <c r="V126" s="28">
        <v>1</v>
      </c>
    </row>
    <row r="127" spans="1:22" ht="21" customHeight="1" x14ac:dyDescent="0.15">
      <c r="A127" s="2" t="str">
        <f ca="1">input_384010!A$2</f>
        <v>384010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IFERROR(VLOOKUP(B127,input_384010!L:R,7,FALSE),VLOOKUP(tables_384010!C127,input_384010!A:H,8,FALSE))</f>
        <v>329161.95726</v>
      </c>
      <c r="P127" s="122">
        <f t="shared" ca="1" si="5"/>
        <v>5.0627838879660483E-3</v>
      </c>
      <c r="Q127" s="28">
        <v>1</v>
      </c>
      <c r="R127" s="28">
        <v>0</v>
      </c>
      <c r="S127" s="28">
        <v>0</v>
      </c>
      <c r="T127" s="28">
        <v>0</v>
      </c>
      <c r="U127" s="28">
        <v>0</v>
      </c>
      <c r="V127" s="28">
        <v>1</v>
      </c>
    </row>
    <row r="128" spans="1:22" ht="21" customHeight="1" x14ac:dyDescent="0.15">
      <c r="A128" s="2" t="str">
        <f ca="1">input_384010!A$2</f>
        <v>384010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IFERROR(VLOOKUP(B128,input_384010!L:R,7,FALSE),VLOOKUP(tables_384010!C128,input_384010!A:H,8,FALSE))</f>
        <v>29925.341939999998</v>
      </c>
      <c r="P128" s="122">
        <f t="shared" ca="1" si="5"/>
        <v>4.6027657715024076E-4</v>
      </c>
      <c r="Q128" s="28">
        <v>1</v>
      </c>
      <c r="R128" s="28">
        <v>0</v>
      </c>
      <c r="S128" s="28">
        <v>0</v>
      </c>
      <c r="T128" s="28">
        <v>0</v>
      </c>
      <c r="U128" s="28">
        <v>0</v>
      </c>
      <c r="V128" s="28">
        <v>1</v>
      </c>
    </row>
    <row r="129" spans="1:22" ht="21" customHeight="1" x14ac:dyDescent="0.15">
      <c r="A129" s="2" t="str">
        <f ca="1">input_384010!A$2</f>
        <v>384010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IFERROR(VLOOKUP(B129,input_384010!L:R,7,FALSE),VLOOKUP(tables_384010!C129,input_384010!A:H,8,FALSE))</f>
        <v>359087.29920000001</v>
      </c>
      <c r="P129" s="122">
        <f t="shared" ca="1" si="5"/>
        <v>5.523060465116289E-3</v>
      </c>
      <c r="Q129" s="28">
        <v>1</v>
      </c>
      <c r="R129" s="28">
        <v>0</v>
      </c>
      <c r="S129" s="28">
        <v>0</v>
      </c>
      <c r="T129" s="28">
        <v>0</v>
      </c>
      <c r="U129" s="28">
        <v>0</v>
      </c>
      <c r="V129" s="28">
        <v>1</v>
      </c>
    </row>
    <row r="130" spans="1:22" ht="21" customHeight="1" x14ac:dyDescent="0.15">
      <c r="A130" s="2" t="str">
        <f ca="1">input_384010!A$2</f>
        <v>384010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IFERROR(VLOOKUP(B130,input_384010!L:R,7,FALSE),VLOOKUP(tables_384010!C130,input_384010!A:H,8,FALSE))</f>
        <v>329161.95726</v>
      </c>
      <c r="P130" s="122">
        <f t="shared" ca="1" si="5"/>
        <v>5.0627838879660483E-3</v>
      </c>
      <c r="Q130" s="28">
        <v>1</v>
      </c>
      <c r="R130" s="28">
        <v>0</v>
      </c>
      <c r="S130" s="28">
        <v>0</v>
      </c>
      <c r="T130" s="28">
        <v>0</v>
      </c>
      <c r="U130" s="28">
        <v>0</v>
      </c>
      <c r="V130" s="28">
        <v>1</v>
      </c>
    </row>
    <row r="131" spans="1:22" ht="21" customHeight="1" x14ac:dyDescent="0.15">
      <c r="A131" s="2" t="str">
        <f ca="1">input_384010!A$2</f>
        <v>384010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IFERROR(VLOOKUP(B131,input_384010!L:R,7,FALSE),VLOOKUP(tables_384010!C131,input_384010!A:H,8,FALSE))</f>
        <v>29925.341939999998</v>
      </c>
      <c r="P131" s="122">
        <f t="shared" ref="P131:P194" ca="1" si="8">O131/SUM(O:O)</f>
        <v>4.6027657715024076E-4</v>
      </c>
      <c r="Q131" s="28">
        <v>1</v>
      </c>
      <c r="R131" s="28">
        <v>0</v>
      </c>
      <c r="S131" s="28">
        <v>0</v>
      </c>
      <c r="T131" s="28">
        <v>0</v>
      </c>
      <c r="U131" s="28">
        <v>0</v>
      </c>
      <c r="V131" s="28">
        <v>1</v>
      </c>
    </row>
    <row r="132" spans="1:22" ht="21" customHeight="1" x14ac:dyDescent="0.15">
      <c r="A132" s="2" t="str">
        <f ca="1">input_384010!A$2</f>
        <v>384010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IFERROR(VLOOKUP(B132,input_384010!L:R,7,FALSE),VLOOKUP(tables_384010!C132,input_384010!A:H,8,FALSE))</f>
        <v>359087.29920000001</v>
      </c>
      <c r="P132" s="122">
        <f t="shared" ca="1" si="8"/>
        <v>5.523060465116289E-3</v>
      </c>
      <c r="Q132" s="28">
        <v>1</v>
      </c>
      <c r="R132" s="28">
        <v>0</v>
      </c>
      <c r="S132" s="28">
        <v>0</v>
      </c>
      <c r="T132" s="28">
        <v>0</v>
      </c>
      <c r="U132" s="28">
        <v>0</v>
      </c>
      <c r="V132" s="28">
        <v>1</v>
      </c>
    </row>
    <row r="133" spans="1:22" ht="21" customHeight="1" x14ac:dyDescent="0.15">
      <c r="A133" s="2" t="str">
        <f ca="1">input_384010!A$2</f>
        <v>384010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IFERROR(VLOOKUP(B133,input_384010!L:R,7,FALSE),VLOOKUP(tables_384010!C133,input_384010!A:H,8,FALSE))</f>
        <v>329161.95726</v>
      </c>
      <c r="P133" s="122">
        <f t="shared" ca="1" si="8"/>
        <v>5.0627838879660483E-3</v>
      </c>
      <c r="Q133" s="28">
        <v>1</v>
      </c>
      <c r="R133" s="28">
        <v>0</v>
      </c>
      <c r="S133" s="28">
        <v>0</v>
      </c>
      <c r="T133" s="28">
        <v>0</v>
      </c>
      <c r="U133" s="28">
        <v>0</v>
      </c>
      <c r="V133" s="28">
        <v>1</v>
      </c>
    </row>
    <row r="134" spans="1:22" ht="21" customHeight="1" x14ac:dyDescent="0.15">
      <c r="A134" s="2" t="str">
        <f ca="1">input_384010!A$2</f>
        <v>384010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IFERROR(VLOOKUP(B134,input_384010!L:R,7,FALSE),VLOOKUP(tables_384010!C134,input_384010!A:H,8,FALSE))</f>
        <v>29925.341939999998</v>
      </c>
      <c r="P134" s="122">
        <f t="shared" ca="1" si="8"/>
        <v>4.6027657715024076E-4</v>
      </c>
      <c r="Q134" s="28">
        <v>1</v>
      </c>
      <c r="R134" s="28">
        <v>0</v>
      </c>
      <c r="S134" s="28">
        <v>0</v>
      </c>
      <c r="T134" s="28">
        <v>0</v>
      </c>
      <c r="U134" s="28">
        <v>0</v>
      </c>
      <c r="V134" s="28">
        <v>1</v>
      </c>
    </row>
    <row r="135" spans="1:22" ht="21" customHeight="1" x14ac:dyDescent="0.15">
      <c r="A135" s="2" t="str">
        <f ca="1">input_384010!A$2</f>
        <v>384010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IFERROR(VLOOKUP(B135,input_384010!L:R,7,FALSE),VLOOKUP(tables_384010!C135,input_384010!A:H,8,FALSE))</f>
        <v>359087.29920000001</v>
      </c>
      <c r="P135" s="122">
        <f t="shared" ca="1" si="8"/>
        <v>5.523060465116289E-3</v>
      </c>
      <c r="Q135" s="28">
        <v>1</v>
      </c>
      <c r="R135" s="28">
        <v>0</v>
      </c>
      <c r="S135" s="28">
        <v>0</v>
      </c>
      <c r="T135" s="28">
        <v>0</v>
      </c>
      <c r="U135" s="28">
        <v>0</v>
      </c>
      <c r="V135" s="28">
        <v>1</v>
      </c>
    </row>
    <row r="136" spans="1:22" ht="21" customHeight="1" x14ac:dyDescent="0.15">
      <c r="A136" s="2" t="str">
        <f ca="1">input_384010!A$2</f>
        <v>384010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IFERROR(VLOOKUP(B136,input_384010!L:R,7,FALSE),VLOOKUP(tables_384010!C136,input_384010!A:H,8,FALSE))</f>
        <v>329161.95726</v>
      </c>
      <c r="P136" s="122">
        <f t="shared" ca="1" si="8"/>
        <v>5.0627838879660483E-3</v>
      </c>
      <c r="Q136" s="28">
        <v>1</v>
      </c>
      <c r="R136" s="28">
        <v>0</v>
      </c>
      <c r="S136" s="28">
        <v>0</v>
      </c>
      <c r="T136" s="28">
        <v>0</v>
      </c>
      <c r="U136" s="28">
        <v>0</v>
      </c>
      <c r="V136" s="28">
        <v>1</v>
      </c>
    </row>
    <row r="137" spans="1:22" ht="21" customHeight="1" x14ac:dyDescent="0.15">
      <c r="A137" s="2" t="str">
        <f ca="1">input_384010!A$2</f>
        <v>384010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IFERROR(VLOOKUP(B137,input_384010!L:R,7,FALSE),VLOOKUP(tables_384010!C137,input_384010!A:H,8,FALSE))</f>
        <v>29925.341939999998</v>
      </c>
      <c r="P137" s="122">
        <f t="shared" ca="1" si="8"/>
        <v>4.6027657715024076E-4</v>
      </c>
      <c r="Q137" s="28">
        <v>1</v>
      </c>
      <c r="R137" s="28">
        <v>0</v>
      </c>
      <c r="S137" s="28">
        <v>0</v>
      </c>
      <c r="T137" s="28">
        <v>0</v>
      </c>
      <c r="U137" s="28">
        <v>0</v>
      </c>
      <c r="V137" s="28">
        <v>1</v>
      </c>
    </row>
    <row r="138" spans="1:22" ht="21" customHeight="1" x14ac:dyDescent="0.15">
      <c r="A138" s="2" t="str">
        <f ca="1">input_384010!A$2</f>
        <v>384010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IFERROR(VLOOKUP(B138,input_384010!L:R,7,FALSE),VLOOKUP(tables_384010!C138,input_384010!A:H,8,FALSE))</f>
        <v>73530</v>
      </c>
      <c r="P138" s="122">
        <f t="shared" ca="1" si="8"/>
        <v>1.1309523809523831E-3</v>
      </c>
      <c r="Q138" s="28">
        <v>1</v>
      </c>
      <c r="R138" s="28">
        <v>0</v>
      </c>
      <c r="S138" s="28">
        <v>0</v>
      </c>
      <c r="T138" s="28">
        <v>0</v>
      </c>
      <c r="U138" s="28">
        <v>0</v>
      </c>
      <c r="V138" s="28">
        <v>1</v>
      </c>
    </row>
    <row r="139" spans="1:22" ht="21" customHeight="1" x14ac:dyDescent="0.15">
      <c r="A139" s="2" t="str">
        <f ca="1">input_384010!A$2</f>
        <v>384010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IFERROR(VLOOKUP(B139,input_384010!L:R,7,FALSE),VLOOKUP(tables_384010!C139,input_384010!A:H,8,FALSE))</f>
        <v>3870</v>
      </c>
      <c r="P139" s="122">
        <f t="shared" ca="1" si="8"/>
        <v>5.9523809523809632E-5</v>
      </c>
      <c r="Q139" s="28">
        <v>1</v>
      </c>
      <c r="R139" s="28">
        <v>0</v>
      </c>
      <c r="S139" s="28">
        <v>0</v>
      </c>
      <c r="T139" s="28">
        <v>0</v>
      </c>
      <c r="U139" s="28">
        <v>0</v>
      </c>
      <c r="V139" s="28">
        <v>1</v>
      </c>
    </row>
    <row r="140" spans="1:22" ht="21" customHeight="1" x14ac:dyDescent="0.15">
      <c r="A140" s="2" t="str">
        <f ca="1">input_384010!A$2</f>
        <v>384010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IFERROR(VLOOKUP(B140,input_384010!L:R,7,FALSE),VLOOKUP(tables_384010!C140,input_384010!A:H,8,FALSE))</f>
        <v>73530</v>
      </c>
      <c r="P140" s="122">
        <f t="shared" ca="1" si="8"/>
        <v>1.1309523809523831E-3</v>
      </c>
      <c r="Q140" s="28">
        <v>1</v>
      </c>
      <c r="R140" s="28">
        <v>0</v>
      </c>
      <c r="S140" s="28">
        <v>0</v>
      </c>
      <c r="T140" s="28">
        <v>0</v>
      </c>
      <c r="U140" s="28">
        <v>0</v>
      </c>
      <c r="V140" s="28">
        <v>1</v>
      </c>
    </row>
    <row r="141" spans="1:22" ht="21" customHeight="1" x14ac:dyDescent="0.15">
      <c r="A141" s="2" t="str">
        <f ca="1">input_384010!A$2</f>
        <v>384010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IFERROR(VLOOKUP(B141,input_384010!L:R,7,FALSE),VLOOKUP(tables_384010!C141,input_384010!A:H,8,FALSE))</f>
        <v>3870</v>
      </c>
      <c r="P141" s="122">
        <f t="shared" ca="1" si="8"/>
        <v>5.9523809523809632E-5</v>
      </c>
      <c r="Q141" s="28">
        <v>1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</row>
    <row r="142" spans="1:22" ht="21" customHeight="1" x14ac:dyDescent="0.15">
      <c r="A142" s="2" t="str">
        <f ca="1">input_384010!A$2</f>
        <v>384010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IFERROR(VLOOKUP(B142,input_384010!L:R,7,FALSE),VLOOKUP(tables_384010!C142,input_384010!A:H,8,FALSE))</f>
        <v>73530</v>
      </c>
      <c r="P142" s="122">
        <f t="shared" ca="1" si="8"/>
        <v>1.1309523809523831E-3</v>
      </c>
      <c r="Q142" s="28">
        <v>1</v>
      </c>
      <c r="R142" s="28">
        <v>0</v>
      </c>
      <c r="S142" s="28">
        <v>0</v>
      </c>
      <c r="T142" s="28">
        <v>0</v>
      </c>
      <c r="U142" s="28">
        <v>0</v>
      </c>
      <c r="V142" s="28">
        <v>1</v>
      </c>
    </row>
    <row r="143" spans="1:22" s="12" customFormat="1" ht="21" customHeight="1" thickBot="1" x14ac:dyDescent="0.2">
      <c r="A143" s="2" t="str">
        <f ca="1">input_384010!A$2</f>
        <v>384010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IFERROR(VLOOKUP(B143,input_384010!L:R,7,FALSE),VLOOKUP(tables_384010!C143,input_384010!A:H,8,FALSE))</f>
        <v>3870</v>
      </c>
      <c r="P143" s="122">
        <f t="shared" ca="1" si="8"/>
        <v>5.9523809523809632E-5</v>
      </c>
      <c r="Q143" s="28">
        <v>1</v>
      </c>
      <c r="R143" s="28">
        <v>0</v>
      </c>
      <c r="S143" s="28">
        <v>0</v>
      </c>
      <c r="T143" s="28">
        <v>0</v>
      </c>
      <c r="U143" s="28">
        <v>0</v>
      </c>
      <c r="V143" s="28">
        <v>1</v>
      </c>
    </row>
    <row r="144" spans="1:22" ht="21" customHeight="1" x14ac:dyDescent="0.15">
      <c r="A144" s="2" t="str">
        <f ca="1">input_384010!A$2</f>
        <v>384010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IFERROR(VLOOKUP(B144,input_384010!L:R,7,FALSE),VLOOKUP(tables_384010!C144,input_384010!A:H,8,FALSE))</f>
        <v>73530</v>
      </c>
      <c r="P144" s="122">
        <f t="shared" ca="1" si="8"/>
        <v>1.1309523809523831E-3</v>
      </c>
      <c r="Q144" s="28">
        <v>1</v>
      </c>
      <c r="R144" s="28">
        <v>0</v>
      </c>
      <c r="S144" s="28">
        <v>0</v>
      </c>
      <c r="T144" s="28">
        <v>0</v>
      </c>
      <c r="U144" s="28">
        <v>0</v>
      </c>
      <c r="V144" s="28">
        <v>1</v>
      </c>
    </row>
    <row r="145" spans="1:22" ht="21" customHeight="1" x14ac:dyDescent="0.15">
      <c r="A145" s="2" t="str">
        <f ca="1">input_384010!A$2</f>
        <v>384010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IFERROR(VLOOKUP(B145,input_384010!L:R,7,FALSE),VLOOKUP(tables_384010!C145,input_384010!A:H,8,FALSE))</f>
        <v>3870</v>
      </c>
      <c r="P145" s="122">
        <f t="shared" ca="1" si="8"/>
        <v>5.9523809523809632E-5</v>
      </c>
      <c r="Q145" s="28">
        <v>1</v>
      </c>
      <c r="R145" s="28">
        <v>0</v>
      </c>
      <c r="S145" s="28">
        <v>0</v>
      </c>
      <c r="T145" s="28">
        <v>0</v>
      </c>
      <c r="U145" s="28">
        <v>0</v>
      </c>
      <c r="V145" s="28">
        <v>1</v>
      </c>
    </row>
    <row r="146" spans="1:22" ht="21" customHeight="1" x14ac:dyDescent="0.15">
      <c r="A146" s="2" t="str">
        <f ca="1">input_384010!A$2</f>
        <v>384010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IFERROR(VLOOKUP(B146,input_384010!L:R,7,FALSE),VLOOKUP(tables_384010!C146,input_384010!A:H,8,FALSE))</f>
        <v>359087.29920000001</v>
      </c>
      <c r="P146" s="122">
        <f t="shared" ca="1" si="8"/>
        <v>5.523060465116289E-3</v>
      </c>
      <c r="Q146" s="28">
        <v>1</v>
      </c>
      <c r="R146" s="28">
        <v>0</v>
      </c>
      <c r="S146" s="28">
        <v>0</v>
      </c>
      <c r="T146" s="28">
        <v>0</v>
      </c>
      <c r="U146" s="28">
        <v>0</v>
      </c>
      <c r="V146" s="28">
        <v>1</v>
      </c>
    </row>
    <row r="147" spans="1:22" ht="21" customHeight="1" x14ac:dyDescent="0.15">
      <c r="A147" s="2" t="str">
        <f ca="1">input_384010!A$2</f>
        <v>384010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IFERROR(VLOOKUP(B147,input_384010!L:R,7,FALSE),VLOOKUP(tables_384010!C147,input_384010!A:H,8,FALSE))</f>
        <v>329161.95726</v>
      </c>
      <c r="P147" s="122">
        <f t="shared" ca="1" si="8"/>
        <v>5.0627838879660483E-3</v>
      </c>
      <c r="Q147" s="28">
        <v>1</v>
      </c>
      <c r="R147" s="28">
        <v>0</v>
      </c>
      <c r="S147" s="28">
        <v>0</v>
      </c>
      <c r="T147" s="28">
        <v>0</v>
      </c>
      <c r="U147" s="28">
        <v>0</v>
      </c>
      <c r="V147" s="28">
        <v>1</v>
      </c>
    </row>
    <row r="148" spans="1:22" ht="21" customHeight="1" x14ac:dyDescent="0.15">
      <c r="A148" s="2" t="str">
        <f ca="1">input_384010!A$2</f>
        <v>384010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IFERROR(VLOOKUP(B148,input_384010!L:R,7,FALSE),VLOOKUP(tables_384010!C148,input_384010!A:H,8,FALSE))</f>
        <v>29925.341939999998</v>
      </c>
      <c r="P148" s="122">
        <f t="shared" ca="1" si="8"/>
        <v>4.6027657715024076E-4</v>
      </c>
      <c r="Q148" s="28">
        <v>1</v>
      </c>
      <c r="R148" s="28">
        <v>0</v>
      </c>
      <c r="S148" s="28">
        <v>0</v>
      </c>
      <c r="T148" s="28">
        <v>0</v>
      </c>
      <c r="U148" s="28">
        <v>0</v>
      </c>
      <c r="V148" s="28">
        <v>1</v>
      </c>
    </row>
    <row r="149" spans="1:22" ht="21" customHeight="1" x14ac:dyDescent="0.15">
      <c r="A149" s="2" t="str">
        <f ca="1">input_384010!A$2</f>
        <v>384010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IFERROR(VLOOKUP(B149,input_384010!L:R,7,FALSE),VLOOKUP(tables_384010!C149,input_384010!A:H,8,FALSE))</f>
        <v>73530</v>
      </c>
      <c r="P149" s="122">
        <f t="shared" ca="1" si="8"/>
        <v>1.1309523809523831E-3</v>
      </c>
      <c r="Q149" s="28">
        <v>1</v>
      </c>
      <c r="R149" s="28">
        <v>0</v>
      </c>
      <c r="S149" s="28">
        <v>0</v>
      </c>
      <c r="T149" s="28">
        <v>0</v>
      </c>
      <c r="U149" s="28">
        <v>0</v>
      </c>
      <c r="V149" s="28">
        <v>1</v>
      </c>
    </row>
    <row r="150" spans="1:22" ht="21" customHeight="1" x14ac:dyDescent="0.15">
      <c r="A150" s="2" t="str">
        <f ca="1">input_384010!A$2</f>
        <v>384010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IFERROR(VLOOKUP(B150,input_384010!L:R,7,FALSE),VLOOKUP(tables_384010!C150,input_384010!A:H,8,FALSE))</f>
        <v>3870</v>
      </c>
      <c r="P150" s="122">
        <f t="shared" ca="1" si="8"/>
        <v>5.9523809523809632E-5</v>
      </c>
      <c r="Q150" s="28">
        <v>1</v>
      </c>
      <c r="R150" s="28">
        <v>0</v>
      </c>
      <c r="S150" s="28">
        <v>0</v>
      </c>
      <c r="T150" s="28">
        <v>0</v>
      </c>
      <c r="U150" s="28">
        <v>0</v>
      </c>
      <c r="V150" s="28">
        <v>1</v>
      </c>
    </row>
    <row r="151" spans="1:22" ht="21" customHeight="1" x14ac:dyDescent="0.15">
      <c r="A151" s="2" t="str">
        <f ca="1">input_384010!A$2</f>
        <v>384010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IFERROR(VLOOKUP(B151,input_384010!L:R,7,FALSE),VLOOKUP(tables_384010!C151,input_384010!A:H,8,FALSE))</f>
        <v>73530</v>
      </c>
      <c r="P151" s="122">
        <f t="shared" ca="1" si="8"/>
        <v>1.1309523809523831E-3</v>
      </c>
      <c r="Q151" s="28">
        <v>1</v>
      </c>
      <c r="R151" s="28">
        <v>0</v>
      </c>
      <c r="S151" s="28">
        <v>0</v>
      </c>
      <c r="T151" s="28">
        <v>0</v>
      </c>
      <c r="U151" s="28">
        <v>0</v>
      </c>
      <c r="V151" s="28">
        <v>1</v>
      </c>
    </row>
    <row r="152" spans="1:22" ht="21" customHeight="1" x14ac:dyDescent="0.15">
      <c r="A152" s="2" t="str">
        <f ca="1">input_384010!A$2</f>
        <v>384010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IFERROR(VLOOKUP(B152,input_384010!L:R,7,FALSE),VLOOKUP(tables_384010!C152,input_384010!A:H,8,FALSE))</f>
        <v>3870</v>
      </c>
      <c r="P152" s="122">
        <f t="shared" ca="1" si="8"/>
        <v>5.9523809523809632E-5</v>
      </c>
      <c r="Q152" s="28">
        <v>1</v>
      </c>
      <c r="R152" s="28">
        <v>0</v>
      </c>
      <c r="S152" s="28">
        <v>0</v>
      </c>
      <c r="T152" s="28">
        <v>0</v>
      </c>
      <c r="U152" s="28">
        <v>0</v>
      </c>
      <c r="V152" s="28">
        <v>1</v>
      </c>
    </row>
    <row r="153" spans="1:22" ht="21" customHeight="1" x14ac:dyDescent="0.15">
      <c r="A153" s="2" t="str">
        <f ca="1">input_384010!A$2</f>
        <v>384010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IFERROR(VLOOKUP(B153,input_384010!L:R,7,FALSE),VLOOKUP(tables_384010!C153,input_384010!A:H,8,FALSE))</f>
        <v>359087.29920000001</v>
      </c>
      <c r="P153" s="122">
        <f t="shared" ca="1" si="8"/>
        <v>5.523060465116289E-3</v>
      </c>
      <c r="Q153" s="28">
        <v>1</v>
      </c>
      <c r="R153" s="28">
        <v>0</v>
      </c>
      <c r="S153" s="28">
        <v>0</v>
      </c>
      <c r="T153" s="28">
        <v>0</v>
      </c>
      <c r="U153" s="28">
        <v>0</v>
      </c>
      <c r="V153" s="28">
        <v>1</v>
      </c>
    </row>
    <row r="154" spans="1:22" ht="21" customHeight="1" x14ac:dyDescent="0.15">
      <c r="A154" s="2" t="str">
        <f ca="1">input_384010!A$2</f>
        <v>384010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IFERROR(VLOOKUP(B154,input_384010!L:R,7,FALSE),VLOOKUP(tables_384010!C154,input_384010!A:H,8,FALSE))</f>
        <v>329161.95726</v>
      </c>
      <c r="P154" s="122">
        <f t="shared" ca="1" si="8"/>
        <v>5.0627838879660483E-3</v>
      </c>
      <c r="Q154" s="28">
        <v>1</v>
      </c>
      <c r="R154" s="28">
        <v>0</v>
      </c>
      <c r="S154" s="28">
        <v>0</v>
      </c>
      <c r="T154" s="28">
        <v>0</v>
      </c>
      <c r="U154" s="28">
        <v>0</v>
      </c>
      <c r="V154" s="28">
        <v>1</v>
      </c>
    </row>
    <row r="155" spans="1:22" ht="21" customHeight="1" x14ac:dyDescent="0.15">
      <c r="A155" s="2" t="str">
        <f ca="1">input_384010!A$2</f>
        <v>384010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IFERROR(VLOOKUP(B155,input_384010!L:R,7,FALSE),VLOOKUP(tables_384010!C155,input_384010!A:H,8,FALSE))</f>
        <v>29925.341939999998</v>
      </c>
      <c r="P155" s="122">
        <f t="shared" ca="1" si="8"/>
        <v>4.6027657715024076E-4</v>
      </c>
      <c r="Q155" s="28">
        <v>1</v>
      </c>
      <c r="R155" s="28">
        <v>0</v>
      </c>
      <c r="S155" s="28">
        <v>0</v>
      </c>
      <c r="T155" s="28">
        <v>0</v>
      </c>
      <c r="U155" s="28">
        <v>0</v>
      </c>
      <c r="V155" s="28">
        <v>1</v>
      </c>
    </row>
    <row r="156" spans="1:22" ht="21" customHeight="1" x14ac:dyDescent="0.15">
      <c r="A156" s="2" t="str">
        <f ca="1">input_384010!A$2</f>
        <v>384010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IFERROR(VLOOKUP(B156,input_384010!L:R,7,FALSE),VLOOKUP(tables_384010!C156,input_384010!A:H,8,FALSE))</f>
        <v>73530</v>
      </c>
      <c r="P156" s="122">
        <f t="shared" ca="1" si="8"/>
        <v>1.1309523809523831E-3</v>
      </c>
      <c r="Q156" s="28">
        <v>1</v>
      </c>
      <c r="R156" s="28">
        <v>0</v>
      </c>
      <c r="S156" s="28">
        <v>0</v>
      </c>
      <c r="T156" s="28">
        <v>0</v>
      </c>
      <c r="U156" s="28">
        <v>0</v>
      </c>
      <c r="V156" s="28">
        <v>1</v>
      </c>
    </row>
    <row r="157" spans="1:22" ht="21" customHeight="1" x14ac:dyDescent="0.15">
      <c r="A157" s="2" t="str">
        <f ca="1">input_384010!A$2</f>
        <v>384010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IFERROR(VLOOKUP(B157,input_384010!L:R,7,FALSE),VLOOKUP(tables_384010!C157,input_384010!A:H,8,FALSE))</f>
        <v>3870</v>
      </c>
      <c r="P157" s="122">
        <f t="shared" ca="1" si="8"/>
        <v>5.9523809523809632E-5</v>
      </c>
      <c r="Q157" s="28">
        <v>1</v>
      </c>
      <c r="R157" s="28">
        <v>0</v>
      </c>
      <c r="S157" s="28">
        <v>0</v>
      </c>
      <c r="T157" s="28">
        <v>0</v>
      </c>
      <c r="U157" s="28">
        <v>0</v>
      </c>
      <c r="V157" s="28">
        <v>1</v>
      </c>
    </row>
    <row r="158" spans="1:22" ht="21" customHeight="1" x14ac:dyDescent="0.15">
      <c r="A158" s="2" t="str">
        <f ca="1">input_384010!A$2</f>
        <v>384010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IFERROR(VLOOKUP(B158,input_384010!L:R,7,FALSE),VLOOKUP(tables_384010!C158,input_384010!A:H,8,FALSE))</f>
        <v>359087.29920000001</v>
      </c>
      <c r="P158" s="122">
        <f t="shared" ca="1" si="8"/>
        <v>5.523060465116289E-3</v>
      </c>
      <c r="Q158" s="28">
        <v>1</v>
      </c>
      <c r="R158" s="28">
        <v>0</v>
      </c>
      <c r="S158" s="28">
        <v>0</v>
      </c>
      <c r="T158" s="28">
        <v>0</v>
      </c>
      <c r="U158" s="28">
        <v>0</v>
      </c>
      <c r="V158" s="28">
        <v>1</v>
      </c>
    </row>
    <row r="159" spans="1:22" ht="21" customHeight="1" x14ac:dyDescent="0.15">
      <c r="A159" s="2" t="str">
        <f ca="1">input_384010!A$2</f>
        <v>384010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IFERROR(VLOOKUP(B159,input_384010!L:R,7,FALSE),VLOOKUP(tables_384010!C159,input_384010!A:H,8,FALSE))</f>
        <v>329161.95726</v>
      </c>
      <c r="P159" s="122">
        <f t="shared" ca="1" si="8"/>
        <v>5.0627838879660483E-3</v>
      </c>
      <c r="Q159" s="28">
        <v>1</v>
      </c>
      <c r="R159" s="28">
        <v>0</v>
      </c>
      <c r="S159" s="28">
        <v>0</v>
      </c>
      <c r="T159" s="28">
        <v>0</v>
      </c>
      <c r="U159" s="28">
        <v>0</v>
      </c>
      <c r="V159" s="28">
        <v>1</v>
      </c>
    </row>
    <row r="160" spans="1:22" ht="21" customHeight="1" x14ac:dyDescent="0.15">
      <c r="A160" s="2" t="str">
        <f ca="1">input_384010!A$2</f>
        <v>384010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IFERROR(VLOOKUP(B160,input_384010!L:R,7,FALSE),VLOOKUP(tables_384010!C160,input_384010!A:H,8,FALSE))</f>
        <v>29925.341939999998</v>
      </c>
      <c r="P160" s="122">
        <f t="shared" ca="1" si="8"/>
        <v>4.6027657715024076E-4</v>
      </c>
      <c r="Q160" s="28">
        <v>1</v>
      </c>
      <c r="R160" s="28">
        <v>0</v>
      </c>
      <c r="S160" s="28">
        <v>0</v>
      </c>
      <c r="T160" s="28">
        <v>0</v>
      </c>
      <c r="U160" s="28">
        <v>0</v>
      </c>
      <c r="V160" s="28">
        <v>1</v>
      </c>
    </row>
    <row r="161" spans="1:22" ht="21" customHeight="1" x14ac:dyDescent="0.15">
      <c r="A161" s="2" t="str">
        <f ca="1">input_384010!A$2</f>
        <v>384010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IFERROR(VLOOKUP(B161,input_384010!L:R,7,FALSE),VLOOKUP(tables_384010!C161,input_384010!A:H,8,FALSE))</f>
        <v>359087.29920000001</v>
      </c>
      <c r="P161" s="122">
        <f t="shared" ca="1" si="8"/>
        <v>5.523060465116289E-3</v>
      </c>
      <c r="Q161" s="28">
        <v>1</v>
      </c>
      <c r="R161" s="28">
        <v>0</v>
      </c>
      <c r="S161" s="28">
        <v>0</v>
      </c>
      <c r="T161" s="28">
        <v>0</v>
      </c>
      <c r="U161" s="28">
        <v>0</v>
      </c>
      <c r="V161" s="28">
        <v>1</v>
      </c>
    </row>
    <row r="162" spans="1:22" ht="21" customHeight="1" x14ac:dyDescent="0.15">
      <c r="A162" s="2" t="str">
        <f ca="1">input_384010!A$2</f>
        <v>384010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IFERROR(VLOOKUP(B162,input_384010!L:R,7,FALSE),VLOOKUP(tables_384010!C162,input_384010!A:H,8,FALSE))</f>
        <v>329161.95726</v>
      </c>
      <c r="P162" s="122">
        <f t="shared" ca="1" si="8"/>
        <v>5.0627838879660483E-3</v>
      </c>
      <c r="Q162" s="28">
        <v>1</v>
      </c>
      <c r="R162" s="28">
        <v>0</v>
      </c>
      <c r="S162" s="28">
        <v>0</v>
      </c>
      <c r="T162" s="28">
        <v>0</v>
      </c>
      <c r="U162" s="28">
        <v>0</v>
      </c>
      <c r="V162" s="28">
        <v>1</v>
      </c>
    </row>
    <row r="163" spans="1:22" ht="21" customHeight="1" x14ac:dyDescent="0.15">
      <c r="A163" s="2" t="str">
        <f ca="1">input_384010!A$2</f>
        <v>384010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IFERROR(VLOOKUP(B163,input_384010!L:R,7,FALSE),VLOOKUP(tables_384010!C163,input_384010!A:H,8,FALSE))</f>
        <v>29925.341939999998</v>
      </c>
      <c r="P163" s="122">
        <f t="shared" ca="1" si="8"/>
        <v>4.6027657715024076E-4</v>
      </c>
      <c r="Q163" s="28">
        <v>1</v>
      </c>
      <c r="R163" s="28">
        <v>0</v>
      </c>
      <c r="S163" s="28">
        <v>0</v>
      </c>
      <c r="T163" s="28">
        <v>0</v>
      </c>
      <c r="U163" s="28">
        <v>0</v>
      </c>
      <c r="V163" s="28">
        <v>1</v>
      </c>
    </row>
    <row r="164" spans="1:22" ht="21" customHeight="1" x14ac:dyDescent="0.15">
      <c r="A164" s="2" t="str">
        <f ca="1">input_384010!A$2</f>
        <v>384010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IFERROR(VLOOKUP(B164,input_384010!L:R,7,FALSE),VLOOKUP(tables_384010!C164,input_384010!A:H,8,FALSE))</f>
        <v>73530</v>
      </c>
      <c r="P164" s="122">
        <f t="shared" ca="1" si="8"/>
        <v>1.1309523809523831E-3</v>
      </c>
      <c r="Q164" s="28">
        <v>1</v>
      </c>
      <c r="R164" s="28">
        <v>0</v>
      </c>
      <c r="S164" s="28">
        <v>0</v>
      </c>
      <c r="T164" s="28">
        <v>0</v>
      </c>
      <c r="U164" s="28">
        <v>0</v>
      </c>
      <c r="V164" s="28">
        <v>1</v>
      </c>
    </row>
    <row r="165" spans="1:22" ht="21" customHeight="1" x14ac:dyDescent="0.15">
      <c r="A165" s="2" t="str">
        <f ca="1">input_384010!A$2</f>
        <v>384010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IFERROR(VLOOKUP(B165,input_384010!L:R,7,FALSE),VLOOKUP(tables_384010!C165,input_384010!A:H,8,FALSE))</f>
        <v>3870</v>
      </c>
      <c r="P165" s="122">
        <f t="shared" ca="1" si="8"/>
        <v>5.9523809523809632E-5</v>
      </c>
      <c r="Q165" s="28">
        <v>1</v>
      </c>
      <c r="R165" s="28">
        <v>0</v>
      </c>
      <c r="S165" s="28">
        <v>0</v>
      </c>
      <c r="T165" s="28">
        <v>0</v>
      </c>
      <c r="U165" s="28">
        <v>0</v>
      </c>
      <c r="V165" s="28">
        <v>1</v>
      </c>
    </row>
    <row r="166" spans="1:22" ht="21" customHeight="1" x14ac:dyDescent="0.15">
      <c r="A166" s="2" t="str">
        <f ca="1">input_384010!A$2</f>
        <v>384010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IFERROR(VLOOKUP(B166,input_384010!L:R,7,FALSE),VLOOKUP(tables_384010!C166,input_384010!A:H,8,FALSE))</f>
        <v>359087.29920000001</v>
      </c>
      <c r="P166" s="122">
        <f t="shared" ca="1" si="8"/>
        <v>5.523060465116289E-3</v>
      </c>
      <c r="Q166" s="28">
        <v>1</v>
      </c>
      <c r="R166" s="28">
        <v>0</v>
      </c>
      <c r="S166" s="28">
        <v>0</v>
      </c>
      <c r="T166" s="28">
        <v>0</v>
      </c>
      <c r="U166" s="28">
        <v>0</v>
      </c>
      <c r="V166" s="28">
        <v>1</v>
      </c>
    </row>
    <row r="167" spans="1:22" ht="21" customHeight="1" x14ac:dyDescent="0.15">
      <c r="A167" s="2" t="str">
        <f ca="1">input_384010!A$2</f>
        <v>384010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IFERROR(VLOOKUP(B167,input_384010!L:R,7,FALSE),VLOOKUP(tables_384010!C167,input_384010!A:H,8,FALSE))</f>
        <v>329161.95726</v>
      </c>
      <c r="P167" s="122">
        <f t="shared" ca="1" si="8"/>
        <v>5.0627838879660483E-3</v>
      </c>
      <c r="Q167" s="28">
        <v>1</v>
      </c>
      <c r="R167" s="28">
        <v>0</v>
      </c>
      <c r="S167" s="28">
        <v>0</v>
      </c>
      <c r="T167" s="28">
        <v>0</v>
      </c>
      <c r="U167" s="28">
        <v>0</v>
      </c>
      <c r="V167" s="28">
        <v>1</v>
      </c>
    </row>
    <row r="168" spans="1:22" ht="21" customHeight="1" x14ac:dyDescent="0.15">
      <c r="A168" s="2" t="str">
        <f ca="1">input_384010!A$2</f>
        <v>384010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IFERROR(VLOOKUP(B168,input_384010!L:R,7,FALSE),VLOOKUP(tables_384010!C168,input_384010!A:H,8,FALSE))</f>
        <v>29925.341939999998</v>
      </c>
      <c r="P168" s="122">
        <f t="shared" ca="1" si="8"/>
        <v>4.6027657715024076E-4</v>
      </c>
      <c r="Q168" s="28">
        <v>1</v>
      </c>
      <c r="R168" s="28">
        <v>0</v>
      </c>
      <c r="S168" s="28">
        <v>0</v>
      </c>
      <c r="T168" s="28">
        <v>0</v>
      </c>
      <c r="U168" s="28">
        <v>0</v>
      </c>
      <c r="V168" s="28">
        <v>1</v>
      </c>
    </row>
    <row r="169" spans="1:22" ht="21" customHeight="1" x14ac:dyDescent="0.15">
      <c r="A169" s="2" t="str">
        <f ca="1">input_384010!A$2</f>
        <v>384010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IFERROR(VLOOKUP(B169,input_384010!L:R,7,FALSE),VLOOKUP(tables_384010!C169,input_384010!A:H,8,FALSE))</f>
        <v>73530</v>
      </c>
      <c r="P169" s="122">
        <f t="shared" ca="1" si="8"/>
        <v>1.1309523809523831E-3</v>
      </c>
      <c r="Q169" s="28">
        <v>1</v>
      </c>
      <c r="R169" s="28">
        <v>0</v>
      </c>
      <c r="S169" s="28">
        <v>0</v>
      </c>
      <c r="T169" s="28">
        <v>0</v>
      </c>
      <c r="U169" s="28">
        <v>0</v>
      </c>
      <c r="V169" s="28">
        <v>1</v>
      </c>
    </row>
    <row r="170" spans="1:22" ht="21" customHeight="1" x14ac:dyDescent="0.15">
      <c r="A170" s="2" t="str">
        <f ca="1">input_384010!A$2</f>
        <v>384010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IFERROR(VLOOKUP(B170,input_384010!L:R,7,FALSE),VLOOKUP(tables_384010!C170,input_384010!A:H,8,FALSE))</f>
        <v>3870</v>
      </c>
      <c r="P170" s="122">
        <f t="shared" ca="1" si="8"/>
        <v>5.9523809523809632E-5</v>
      </c>
      <c r="Q170" s="28">
        <v>1</v>
      </c>
      <c r="R170" s="28">
        <v>0</v>
      </c>
      <c r="S170" s="28">
        <v>0</v>
      </c>
      <c r="T170" s="28">
        <v>0</v>
      </c>
      <c r="U170" s="28">
        <v>0</v>
      </c>
      <c r="V170" s="28">
        <v>1</v>
      </c>
    </row>
    <row r="171" spans="1:22" ht="21" customHeight="1" x14ac:dyDescent="0.15">
      <c r="A171" s="2" t="str">
        <f ca="1">input_384010!A$2</f>
        <v>384010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IFERROR(VLOOKUP(B171,input_384010!L:R,7,FALSE),VLOOKUP(tables_384010!C171,input_384010!A:H,8,FALSE))</f>
        <v>359087.29920000001</v>
      </c>
      <c r="P171" s="122">
        <f t="shared" ca="1" si="8"/>
        <v>5.523060465116289E-3</v>
      </c>
      <c r="Q171" s="28">
        <v>1</v>
      </c>
      <c r="R171" s="28">
        <v>0</v>
      </c>
      <c r="S171" s="28">
        <v>0</v>
      </c>
      <c r="T171" s="28">
        <v>0</v>
      </c>
      <c r="U171" s="28">
        <v>0</v>
      </c>
      <c r="V171" s="28">
        <v>1</v>
      </c>
    </row>
    <row r="172" spans="1:22" ht="21" customHeight="1" x14ac:dyDescent="0.15">
      <c r="A172" s="2" t="str">
        <f ca="1">input_384010!A$2</f>
        <v>384010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IFERROR(VLOOKUP(B172,input_384010!L:R,7,FALSE),VLOOKUP(tables_384010!C172,input_384010!A:H,8,FALSE))</f>
        <v>329161.95726</v>
      </c>
      <c r="P172" s="122">
        <f t="shared" ca="1" si="8"/>
        <v>5.0627838879660483E-3</v>
      </c>
      <c r="Q172" s="28">
        <v>1</v>
      </c>
      <c r="R172" s="28">
        <v>0</v>
      </c>
      <c r="S172" s="28">
        <v>0</v>
      </c>
      <c r="T172" s="28">
        <v>0</v>
      </c>
      <c r="U172" s="28">
        <v>0</v>
      </c>
      <c r="V172" s="28">
        <v>1</v>
      </c>
    </row>
    <row r="173" spans="1:22" ht="21" customHeight="1" x14ac:dyDescent="0.15">
      <c r="A173" s="2" t="str">
        <f ca="1">input_384010!A$2</f>
        <v>384010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IFERROR(VLOOKUP(B173,input_384010!L:R,7,FALSE),VLOOKUP(tables_384010!C173,input_384010!A:H,8,FALSE))</f>
        <v>29925.341939999998</v>
      </c>
      <c r="P173" s="122">
        <f t="shared" ca="1" si="8"/>
        <v>4.6027657715024076E-4</v>
      </c>
      <c r="Q173" s="28">
        <v>1</v>
      </c>
      <c r="R173" s="28">
        <v>0</v>
      </c>
      <c r="S173" s="28">
        <v>0</v>
      </c>
      <c r="T173" s="28">
        <v>0</v>
      </c>
      <c r="U173" s="28">
        <v>0</v>
      </c>
      <c r="V173" s="28">
        <v>1</v>
      </c>
    </row>
    <row r="174" spans="1:22" ht="21" customHeight="1" x14ac:dyDescent="0.15">
      <c r="A174" s="2" t="str">
        <f ca="1">input_384010!A$2</f>
        <v>384010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IFERROR(VLOOKUP(B174,input_384010!L:R,7,FALSE),VLOOKUP(tables_384010!C174,input_384010!A:H,8,FALSE))</f>
        <v>73530</v>
      </c>
      <c r="P174" s="122">
        <f t="shared" ca="1" si="8"/>
        <v>1.1309523809523831E-3</v>
      </c>
      <c r="Q174" s="28">
        <v>1</v>
      </c>
      <c r="R174" s="28">
        <v>0</v>
      </c>
      <c r="S174" s="28">
        <v>0</v>
      </c>
      <c r="T174" s="28">
        <v>0</v>
      </c>
      <c r="U174" s="28">
        <v>0</v>
      </c>
      <c r="V174" s="28">
        <v>1</v>
      </c>
    </row>
    <row r="175" spans="1:22" ht="21" customHeight="1" x14ac:dyDescent="0.15">
      <c r="A175" s="2" t="str">
        <f ca="1">input_384010!A$2</f>
        <v>384010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IFERROR(VLOOKUP(B175,input_384010!L:R,7,FALSE),VLOOKUP(tables_384010!C175,input_384010!A:H,8,FALSE))</f>
        <v>3870</v>
      </c>
      <c r="P175" s="122">
        <f t="shared" ca="1" si="8"/>
        <v>5.9523809523809632E-5</v>
      </c>
      <c r="Q175" s="28">
        <v>1</v>
      </c>
      <c r="R175" s="28">
        <v>0</v>
      </c>
      <c r="S175" s="28">
        <v>0</v>
      </c>
      <c r="T175" s="28">
        <v>0</v>
      </c>
      <c r="U175" s="28">
        <v>0</v>
      </c>
      <c r="V175" s="28">
        <v>1</v>
      </c>
    </row>
    <row r="176" spans="1:22" ht="21" customHeight="1" x14ac:dyDescent="0.15">
      <c r="A176" s="2" t="str">
        <f ca="1">input_384010!A$2</f>
        <v>384010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IFERROR(VLOOKUP(B176,input_384010!L:R,7,FALSE),VLOOKUP(tables_384010!C176,input_384010!A:H,8,FALSE))</f>
        <v>73530</v>
      </c>
      <c r="P176" s="122">
        <f t="shared" ca="1" si="8"/>
        <v>1.1309523809523831E-3</v>
      </c>
      <c r="Q176" s="28">
        <v>1</v>
      </c>
      <c r="R176" s="28">
        <v>0</v>
      </c>
      <c r="S176" s="28">
        <v>0</v>
      </c>
      <c r="T176" s="28">
        <v>0</v>
      </c>
      <c r="U176" s="28">
        <v>0</v>
      </c>
      <c r="V176" s="28">
        <v>1</v>
      </c>
    </row>
    <row r="177" spans="1:22" ht="21" customHeight="1" x14ac:dyDescent="0.15">
      <c r="A177" s="2" t="str">
        <f ca="1">input_384010!A$2</f>
        <v>384010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IFERROR(VLOOKUP(B177,input_384010!L:R,7,FALSE),VLOOKUP(tables_384010!C177,input_384010!A:H,8,FALSE))</f>
        <v>3870</v>
      </c>
      <c r="P177" s="122">
        <f t="shared" ca="1" si="8"/>
        <v>5.9523809523809632E-5</v>
      </c>
      <c r="Q177" s="28">
        <v>1</v>
      </c>
      <c r="R177" s="28">
        <v>0</v>
      </c>
      <c r="S177" s="28">
        <v>0</v>
      </c>
      <c r="T177" s="28">
        <v>0</v>
      </c>
      <c r="U177" s="28">
        <v>0</v>
      </c>
      <c r="V177" s="28">
        <v>1</v>
      </c>
    </row>
    <row r="178" spans="1:22" ht="21" customHeight="1" x14ac:dyDescent="0.15">
      <c r="A178" s="2" t="str">
        <f ca="1">input_384010!A$2</f>
        <v>384010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IFERROR(VLOOKUP(B178,input_384010!L:R,7,FALSE),VLOOKUP(tables_384010!C178,input_384010!A:H,8,FALSE))</f>
        <v>359087.29920000001</v>
      </c>
      <c r="P178" s="122">
        <f t="shared" ca="1" si="8"/>
        <v>5.523060465116289E-3</v>
      </c>
      <c r="Q178" s="28">
        <v>1</v>
      </c>
      <c r="R178" s="28">
        <v>0</v>
      </c>
      <c r="S178" s="28">
        <v>0</v>
      </c>
      <c r="T178" s="28">
        <v>0</v>
      </c>
      <c r="U178" s="28">
        <v>0</v>
      </c>
      <c r="V178" s="28">
        <v>1</v>
      </c>
    </row>
    <row r="179" spans="1:22" ht="21" customHeight="1" x14ac:dyDescent="0.15">
      <c r="A179" s="2" t="str">
        <f ca="1">input_384010!A$2</f>
        <v>384010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IFERROR(VLOOKUP(B179,input_384010!L:R,7,FALSE),VLOOKUP(tables_384010!C179,input_384010!A:H,8,FALSE))</f>
        <v>329161.95726</v>
      </c>
      <c r="P179" s="122">
        <f t="shared" ca="1" si="8"/>
        <v>5.0627838879660483E-3</v>
      </c>
      <c r="Q179" s="28">
        <v>1</v>
      </c>
      <c r="R179" s="28">
        <v>0</v>
      </c>
      <c r="S179" s="28">
        <v>0</v>
      </c>
      <c r="T179" s="28">
        <v>0</v>
      </c>
      <c r="U179" s="28">
        <v>0</v>
      </c>
      <c r="V179" s="28">
        <v>1</v>
      </c>
    </row>
    <row r="180" spans="1:22" ht="21" customHeight="1" x14ac:dyDescent="0.15">
      <c r="A180" s="2" t="str">
        <f ca="1">input_384010!A$2</f>
        <v>384010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IFERROR(VLOOKUP(B180,input_384010!L:R,7,FALSE),VLOOKUP(tables_384010!C180,input_384010!A:H,8,FALSE))</f>
        <v>29925.341939999998</v>
      </c>
      <c r="P180" s="122">
        <f t="shared" ca="1" si="8"/>
        <v>4.6027657715024076E-4</v>
      </c>
      <c r="Q180" s="28">
        <v>1</v>
      </c>
      <c r="R180" s="28">
        <v>0</v>
      </c>
      <c r="S180" s="28">
        <v>0</v>
      </c>
      <c r="T180" s="28">
        <v>0</v>
      </c>
      <c r="U180" s="28">
        <v>0</v>
      </c>
      <c r="V180" s="28">
        <v>1</v>
      </c>
    </row>
    <row r="181" spans="1:22" ht="21" customHeight="1" x14ac:dyDescent="0.15">
      <c r="A181" s="2" t="str">
        <f ca="1">input_384010!A$2</f>
        <v>384010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IFERROR(VLOOKUP(B181,input_384010!L:R,7,FALSE),VLOOKUP(tables_384010!C181,input_384010!A:H,8,FALSE))</f>
        <v>359087.29920000001</v>
      </c>
      <c r="P181" s="122">
        <f t="shared" ca="1" si="8"/>
        <v>5.523060465116289E-3</v>
      </c>
      <c r="Q181" s="28">
        <v>1</v>
      </c>
      <c r="R181" s="28">
        <v>0</v>
      </c>
      <c r="S181" s="28">
        <v>0</v>
      </c>
      <c r="T181" s="28">
        <v>0</v>
      </c>
      <c r="U181" s="28">
        <v>0</v>
      </c>
      <c r="V181" s="28">
        <v>1</v>
      </c>
    </row>
    <row r="182" spans="1:22" ht="21" customHeight="1" x14ac:dyDescent="0.15">
      <c r="A182" s="2" t="str">
        <f ca="1">input_384010!A$2</f>
        <v>384010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IFERROR(VLOOKUP(B182,input_384010!L:R,7,FALSE),VLOOKUP(tables_384010!C182,input_384010!A:H,8,FALSE))</f>
        <v>329161.95726</v>
      </c>
      <c r="P182" s="122">
        <f t="shared" ca="1" si="8"/>
        <v>5.0627838879660483E-3</v>
      </c>
      <c r="Q182" s="28">
        <v>1</v>
      </c>
      <c r="R182" s="28">
        <v>0</v>
      </c>
      <c r="S182" s="28">
        <v>0</v>
      </c>
      <c r="T182" s="28">
        <v>0</v>
      </c>
      <c r="U182" s="28">
        <v>0</v>
      </c>
      <c r="V182" s="28">
        <v>1</v>
      </c>
    </row>
    <row r="183" spans="1:22" ht="21" customHeight="1" x14ac:dyDescent="0.15">
      <c r="A183" s="2" t="str">
        <f ca="1">input_384010!A$2</f>
        <v>384010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IFERROR(VLOOKUP(B183,input_384010!L:R,7,FALSE),VLOOKUP(tables_384010!C183,input_384010!A:H,8,FALSE))</f>
        <v>29925.341939999998</v>
      </c>
      <c r="P183" s="122">
        <f t="shared" ca="1" si="8"/>
        <v>4.6027657715024076E-4</v>
      </c>
      <c r="Q183" s="28">
        <v>1</v>
      </c>
      <c r="R183" s="28">
        <v>0</v>
      </c>
      <c r="S183" s="28">
        <v>0</v>
      </c>
      <c r="T183" s="28">
        <v>0</v>
      </c>
      <c r="U183" s="28">
        <v>0</v>
      </c>
      <c r="V183" s="28">
        <v>1</v>
      </c>
    </row>
    <row r="184" spans="1:22" ht="21" customHeight="1" x14ac:dyDescent="0.15">
      <c r="A184" s="2" t="str">
        <f ca="1">input_384010!A$2</f>
        <v>384010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IFERROR(VLOOKUP(B184,input_384010!L:R,7,FALSE),VLOOKUP(tables_384010!C184,input_384010!A:H,8,FALSE))</f>
        <v>73530</v>
      </c>
      <c r="P184" s="122">
        <f t="shared" ca="1" si="8"/>
        <v>1.1309523809523831E-3</v>
      </c>
      <c r="Q184" s="28">
        <v>1</v>
      </c>
      <c r="R184" s="28">
        <v>0</v>
      </c>
      <c r="S184" s="28">
        <v>0</v>
      </c>
      <c r="T184" s="28">
        <v>0</v>
      </c>
      <c r="U184" s="28">
        <v>0</v>
      </c>
      <c r="V184" s="28">
        <v>1</v>
      </c>
    </row>
    <row r="185" spans="1:22" ht="21" customHeight="1" x14ac:dyDescent="0.15">
      <c r="A185" s="2" t="str">
        <f ca="1">input_384010!A$2</f>
        <v>384010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IFERROR(VLOOKUP(B185,input_384010!L:R,7,FALSE),VLOOKUP(tables_384010!C185,input_384010!A:H,8,FALSE))</f>
        <v>3870</v>
      </c>
      <c r="P185" s="122">
        <f t="shared" ca="1" si="8"/>
        <v>5.9523809523809632E-5</v>
      </c>
      <c r="Q185" s="28">
        <v>1</v>
      </c>
      <c r="R185" s="28">
        <v>0</v>
      </c>
      <c r="S185" s="28">
        <v>0</v>
      </c>
      <c r="T185" s="28">
        <v>0</v>
      </c>
      <c r="U185" s="28">
        <v>0</v>
      </c>
      <c r="V185" s="28">
        <v>1</v>
      </c>
    </row>
    <row r="186" spans="1:22" ht="21" customHeight="1" x14ac:dyDescent="0.15">
      <c r="A186" s="2" t="str">
        <f ca="1">input_384010!A$2</f>
        <v>384010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IFERROR(VLOOKUP(B186,input_384010!L:R,7,FALSE),VLOOKUP(tables_384010!C186,input_384010!A:H,8,FALSE))</f>
        <v>359087.29920000001</v>
      </c>
      <c r="P186" s="122">
        <f t="shared" ca="1" si="8"/>
        <v>5.523060465116289E-3</v>
      </c>
      <c r="Q186" s="28">
        <v>1</v>
      </c>
      <c r="R186" s="28">
        <v>0</v>
      </c>
      <c r="S186" s="28">
        <v>0</v>
      </c>
      <c r="T186" s="28">
        <v>0</v>
      </c>
      <c r="U186" s="28">
        <v>0</v>
      </c>
      <c r="V186" s="28">
        <v>1</v>
      </c>
    </row>
    <row r="187" spans="1:22" ht="21" customHeight="1" x14ac:dyDescent="0.15">
      <c r="A187" s="2" t="str">
        <f ca="1">input_384010!A$2</f>
        <v>384010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IFERROR(VLOOKUP(B187,input_384010!L:R,7,FALSE),VLOOKUP(tables_384010!C187,input_384010!A:H,8,FALSE))</f>
        <v>329161.95726</v>
      </c>
      <c r="P187" s="122">
        <f t="shared" ca="1" si="8"/>
        <v>5.0627838879660483E-3</v>
      </c>
      <c r="Q187" s="28">
        <v>1</v>
      </c>
      <c r="R187" s="28">
        <v>0</v>
      </c>
      <c r="S187" s="28">
        <v>0</v>
      </c>
      <c r="T187" s="28">
        <v>0</v>
      </c>
      <c r="U187" s="28">
        <v>0</v>
      </c>
      <c r="V187" s="28">
        <v>1</v>
      </c>
    </row>
    <row r="188" spans="1:22" ht="21" customHeight="1" x14ac:dyDescent="0.15">
      <c r="A188" s="2" t="str">
        <f ca="1">input_384010!A$2</f>
        <v>384010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IFERROR(VLOOKUP(B188,input_384010!L:R,7,FALSE),VLOOKUP(tables_384010!C188,input_384010!A:H,8,FALSE))</f>
        <v>29925.341939999998</v>
      </c>
      <c r="P188" s="122">
        <f t="shared" ca="1" si="8"/>
        <v>4.6027657715024076E-4</v>
      </c>
      <c r="Q188" s="28">
        <v>1</v>
      </c>
      <c r="R188" s="28">
        <v>0</v>
      </c>
      <c r="S188" s="28">
        <v>0</v>
      </c>
      <c r="T188" s="28">
        <v>0</v>
      </c>
      <c r="U188" s="28">
        <v>0</v>
      </c>
      <c r="V188" s="28">
        <v>1</v>
      </c>
    </row>
    <row r="189" spans="1:22" ht="21" customHeight="1" x14ac:dyDescent="0.15">
      <c r="A189" s="2" t="str">
        <f ca="1">input_384010!A$2</f>
        <v>384010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IFERROR(VLOOKUP(B189,input_384010!L:R,7,FALSE),VLOOKUP(tables_384010!C189,input_384010!A:H,8,FALSE))</f>
        <v>73530</v>
      </c>
      <c r="P189" s="122">
        <f t="shared" ca="1" si="8"/>
        <v>1.1309523809523831E-3</v>
      </c>
      <c r="Q189" s="28">
        <v>1</v>
      </c>
      <c r="R189" s="28">
        <v>0</v>
      </c>
      <c r="S189" s="28">
        <v>0</v>
      </c>
      <c r="T189" s="28">
        <v>0</v>
      </c>
      <c r="U189" s="28">
        <v>0</v>
      </c>
      <c r="V189" s="28">
        <v>1</v>
      </c>
    </row>
    <row r="190" spans="1:22" s="9" customFormat="1" ht="21" customHeight="1" thickBot="1" x14ac:dyDescent="0.2">
      <c r="A190" s="2" t="str">
        <f ca="1">input_384010!A$2</f>
        <v>384010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IFERROR(VLOOKUP(B190,input_384010!L:R,7,FALSE),VLOOKUP(tables_384010!C190,input_384010!A:H,8,FALSE))</f>
        <v>3870</v>
      </c>
      <c r="P190" s="122">
        <f t="shared" ca="1" si="8"/>
        <v>5.9523809523809632E-5</v>
      </c>
      <c r="Q190" s="28">
        <v>1</v>
      </c>
      <c r="R190" s="28">
        <v>0</v>
      </c>
      <c r="S190" s="28">
        <v>0</v>
      </c>
      <c r="T190" s="28">
        <v>0</v>
      </c>
      <c r="U190" s="28">
        <v>0</v>
      </c>
      <c r="V190" s="28">
        <v>1</v>
      </c>
    </row>
    <row r="191" spans="1:22" ht="21" customHeight="1" x14ac:dyDescent="0.15">
      <c r="A191" s="2" t="str">
        <f ca="1">input_384010!A$2</f>
        <v>384010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IFERROR(VLOOKUP(B191,input_384010!L:R,7,FALSE),VLOOKUP(tables_384010!C191,input_384010!A:H,8,FALSE))</f>
        <v>73530</v>
      </c>
      <c r="P191" s="122">
        <f t="shared" ca="1" si="8"/>
        <v>1.1309523809523831E-3</v>
      </c>
      <c r="Q191" s="28">
        <v>1</v>
      </c>
      <c r="R191" s="28">
        <v>0</v>
      </c>
      <c r="S191" s="28">
        <v>0</v>
      </c>
      <c r="T191" s="28">
        <v>0</v>
      </c>
      <c r="U191" s="28">
        <v>0</v>
      </c>
      <c r="V191" s="28">
        <v>1</v>
      </c>
    </row>
    <row r="192" spans="1:22" ht="21" customHeight="1" x14ac:dyDescent="0.15">
      <c r="A192" s="2" t="str">
        <f ca="1">input_384010!A$2</f>
        <v>384010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IFERROR(VLOOKUP(B192,input_384010!L:R,7,FALSE),VLOOKUP(tables_384010!C192,input_384010!A:H,8,FALSE))</f>
        <v>3870</v>
      </c>
      <c r="P192" s="122">
        <f t="shared" ca="1" si="8"/>
        <v>5.9523809523809632E-5</v>
      </c>
      <c r="Q192" s="28">
        <v>1</v>
      </c>
      <c r="R192" s="28">
        <v>0</v>
      </c>
      <c r="S192" s="28">
        <v>0</v>
      </c>
      <c r="T192" s="28">
        <v>0</v>
      </c>
      <c r="U192" s="28">
        <v>0</v>
      </c>
      <c r="V192" s="28">
        <v>1</v>
      </c>
    </row>
    <row r="193" spans="1:22" ht="21" customHeight="1" x14ac:dyDescent="0.15">
      <c r="A193" s="2" t="str">
        <f ca="1">input_384010!A$2</f>
        <v>384010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IFERROR(VLOOKUP(B193,input_384010!L:R,7,FALSE),VLOOKUP(tables_384010!C193,input_384010!A:H,8,FALSE))</f>
        <v>359087.29920000001</v>
      </c>
      <c r="P193" s="122">
        <f t="shared" ca="1" si="8"/>
        <v>5.523060465116289E-3</v>
      </c>
      <c r="Q193" s="28">
        <v>1</v>
      </c>
      <c r="R193" s="28">
        <v>0</v>
      </c>
      <c r="S193" s="28">
        <v>0</v>
      </c>
      <c r="T193" s="28">
        <v>0</v>
      </c>
      <c r="U193" s="28">
        <v>0</v>
      </c>
      <c r="V193" s="28">
        <v>1</v>
      </c>
    </row>
    <row r="194" spans="1:22" ht="21" customHeight="1" x14ac:dyDescent="0.15">
      <c r="A194" s="2" t="str">
        <f ca="1">input_384010!A$2</f>
        <v>384010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IFERROR(VLOOKUP(B194,input_384010!L:R,7,FALSE),VLOOKUP(tables_384010!C194,input_384010!A:H,8,FALSE))</f>
        <v>329161.95726</v>
      </c>
      <c r="P194" s="122">
        <f t="shared" ca="1" si="8"/>
        <v>5.0627838879660483E-3</v>
      </c>
      <c r="Q194" s="28">
        <v>1</v>
      </c>
      <c r="R194" s="28">
        <v>0</v>
      </c>
      <c r="S194" s="28">
        <v>0</v>
      </c>
      <c r="T194" s="28">
        <v>0</v>
      </c>
      <c r="U194" s="28">
        <v>0</v>
      </c>
      <c r="V194" s="28">
        <v>1</v>
      </c>
    </row>
    <row r="195" spans="1:22" ht="21" customHeight="1" x14ac:dyDescent="0.15">
      <c r="A195" s="2" t="str">
        <f ca="1">input_384010!A$2</f>
        <v>384010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IFERROR(VLOOKUP(B195,input_384010!L:R,7,FALSE),VLOOKUP(tables_384010!C195,input_384010!A:H,8,FALSE))</f>
        <v>29925.341939999998</v>
      </c>
      <c r="P195" s="122">
        <f t="shared" ref="P195:P258" ca="1" si="11">O195/SUM(O:O)</f>
        <v>4.6027657715024076E-4</v>
      </c>
      <c r="Q195" s="28">
        <v>1</v>
      </c>
      <c r="R195" s="28">
        <v>0</v>
      </c>
      <c r="S195" s="28">
        <v>0</v>
      </c>
      <c r="T195" s="28">
        <v>0</v>
      </c>
      <c r="U195" s="28">
        <v>0</v>
      </c>
      <c r="V195" s="28">
        <v>1</v>
      </c>
    </row>
    <row r="196" spans="1:22" ht="21" customHeight="1" x14ac:dyDescent="0.15">
      <c r="A196" s="2" t="str">
        <f ca="1">input_384010!A$2</f>
        <v>384010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IFERROR(VLOOKUP(B196,input_384010!L:R,7,FALSE),VLOOKUP(tables_384010!C196,input_384010!A:H,8,FALSE))</f>
        <v>73530</v>
      </c>
      <c r="P196" s="122">
        <f t="shared" ca="1" si="11"/>
        <v>1.1309523809523831E-3</v>
      </c>
      <c r="Q196" s="28">
        <v>1</v>
      </c>
      <c r="R196" s="28">
        <v>0</v>
      </c>
      <c r="S196" s="28">
        <v>0</v>
      </c>
      <c r="T196" s="28">
        <v>0</v>
      </c>
      <c r="U196" s="28">
        <v>0</v>
      </c>
      <c r="V196" s="28">
        <v>1</v>
      </c>
    </row>
    <row r="197" spans="1:22" ht="21" customHeight="1" x14ac:dyDescent="0.15">
      <c r="A197" s="2" t="str">
        <f ca="1">input_384010!A$2</f>
        <v>384010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IFERROR(VLOOKUP(B197,input_384010!L:R,7,FALSE),VLOOKUP(tables_384010!C197,input_384010!A:H,8,FALSE))</f>
        <v>3870</v>
      </c>
      <c r="P197" s="122">
        <f t="shared" ca="1" si="11"/>
        <v>5.9523809523809632E-5</v>
      </c>
      <c r="Q197" s="28">
        <v>1</v>
      </c>
      <c r="R197" s="28">
        <v>0</v>
      </c>
      <c r="S197" s="28">
        <v>0</v>
      </c>
      <c r="T197" s="28">
        <v>0</v>
      </c>
      <c r="U197" s="28">
        <v>0</v>
      </c>
      <c r="V197" s="28">
        <v>1</v>
      </c>
    </row>
    <row r="198" spans="1:22" ht="21" customHeight="1" x14ac:dyDescent="0.15">
      <c r="A198" s="2" t="str">
        <f ca="1">input_384010!A$2</f>
        <v>384010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IFERROR(VLOOKUP(B198,input_384010!L:R,7,FALSE),VLOOKUP(tables_384010!C198,input_384010!A:H,8,FALSE))</f>
        <v>359087.29920000001</v>
      </c>
      <c r="P198" s="122">
        <f t="shared" ca="1" si="11"/>
        <v>5.523060465116289E-3</v>
      </c>
      <c r="Q198" s="28">
        <v>1</v>
      </c>
      <c r="R198" s="28">
        <v>0</v>
      </c>
      <c r="S198" s="28">
        <v>0</v>
      </c>
      <c r="T198" s="28">
        <v>0</v>
      </c>
      <c r="U198" s="28">
        <v>0</v>
      </c>
      <c r="V198" s="28">
        <v>1</v>
      </c>
    </row>
    <row r="199" spans="1:22" ht="21" customHeight="1" x14ac:dyDescent="0.15">
      <c r="A199" s="2" t="str">
        <f ca="1">input_384010!A$2</f>
        <v>384010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IFERROR(VLOOKUP(B199,input_384010!L:R,7,FALSE),VLOOKUP(tables_384010!C199,input_384010!A:H,8,FALSE))</f>
        <v>329161.95726</v>
      </c>
      <c r="P199" s="122">
        <f t="shared" ca="1" si="11"/>
        <v>5.0627838879660483E-3</v>
      </c>
      <c r="Q199" s="28">
        <v>1</v>
      </c>
      <c r="R199" s="28">
        <v>0</v>
      </c>
      <c r="S199" s="28">
        <v>0</v>
      </c>
      <c r="T199" s="28">
        <v>0</v>
      </c>
      <c r="U199" s="28">
        <v>0</v>
      </c>
      <c r="V199" s="28">
        <v>1</v>
      </c>
    </row>
    <row r="200" spans="1:22" ht="21" customHeight="1" x14ac:dyDescent="0.15">
      <c r="A200" s="2" t="str">
        <f ca="1">input_384010!A$2</f>
        <v>384010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IFERROR(VLOOKUP(B200,input_384010!L:R,7,FALSE),VLOOKUP(tables_384010!C200,input_384010!A:H,8,FALSE))</f>
        <v>29925.341939999998</v>
      </c>
      <c r="P200" s="122">
        <f t="shared" ca="1" si="11"/>
        <v>4.6027657715024076E-4</v>
      </c>
      <c r="Q200" s="28">
        <v>1</v>
      </c>
      <c r="R200" s="28">
        <v>0</v>
      </c>
      <c r="S200" s="28">
        <v>0</v>
      </c>
      <c r="T200" s="28">
        <v>0</v>
      </c>
      <c r="U200" s="28">
        <v>0</v>
      </c>
      <c r="V200" s="28">
        <v>1</v>
      </c>
    </row>
    <row r="201" spans="1:22" ht="21" customHeight="1" x14ac:dyDescent="0.15">
      <c r="A201" s="2" t="str">
        <f ca="1">input_384010!A$2</f>
        <v>384010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IFERROR(VLOOKUP(B201,input_384010!L:R,7,FALSE),VLOOKUP(tables_384010!C201,input_384010!A:H,8,FALSE))</f>
        <v>73530</v>
      </c>
      <c r="P201" s="122">
        <f t="shared" ca="1" si="11"/>
        <v>1.1309523809523831E-3</v>
      </c>
      <c r="Q201" s="28">
        <v>1</v>
      </c>
      <c r="R201" s="28">
        <v>0</v>
      </c>
      <c r="S201" s="28">
        <v>0</v>
      </c>
      <c r="T201" s="28">
        <v>0</v>
      </c>
      <c r="U201" s="28">
        <v>0</v>
      </c>
      <c r="V201" s="28">
        <v>1</v>
      </c>
    </row>
    <row r="202" spans="1:22" ht="21" customHeight="1" x14ac:dyDescent="0.15">
      <c r="A202" s="2" t="str">
        <f ca="1">input_384010!A$2</f>
        <v>384010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IFERROR(VLOOKUP(B202,input_384010!L:R,7,FALSE),VLOOKUP(tables_384010!C202,input_384010!A:H,8,FALSE))</f>
        <v>3870</v>
      </c>
      <c r="P202" s="122">
        <f t="shared" ca="1" si="11"/>
        <v>5.9523809523809632E-5</v>
      </c>
      <c r="Q202" s="28">
        <v>1</v>
      </c>
      <c r="R202" s="28">
        <v>0</v>
      </c>
      <c r="S202" s="28">
        <v>0</v>
      </c>
      <c r="T202" s="28">
        <v>0</v>
      </c>
      <c r="U202" s="28">
        <v>0</v>
      </c>
      <c r="V202" s="28">
        <v>1</v>
      </c>
    </row>
    <row r="203" spans="1:22" ht="21" customHeight="1" x14ac:dyDescent="0.15">
      <c r="A203" s="2" t="str">
        <f ca="1">input_384010!A$2</f>
        <v>384010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IFERROR(VLOOKUP(B203,input_384010!L:R,7,FALSE),VLOOKUP(tables_384010!C203,input_384010!A:H,8,FALSE))</f>
        <v>359087.29920000001</v>
      </c>
      <c r="P203" s="122">
        <f t="shared" ca="1" si="11"/>
        <v>5.523060465116289E-3</v>
      </c>
      <c r="Q203" s="28">
        <v>1</v>
      </c>
      <c r="R203" s="28">
        <v>0</v>
      </c>
      <c r="S203" s="28">
        <v>0</v>
      </c>
      <c r="T203" s="28">
        <v>0</v>
      </c>
      <c r="U203" s="28">
        <v>0</v>
      </c>
      <c r="V203" s="28">
        <v>1</v>
      </c>
    </row>
    <row r="204" spans="1:22" ht="21" customHeight="1" x14ac:dyDescent="0.15">
      <c r="A204" s="2" t="str">
        <f ca="1">input_384010!A$2</f>
        <v>384010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IFERROR(VLOOKUP(B204,input_384010!L:R,7,FALSE),VLOOKUP(tables_384010!C204,input_384010!A:H,8,FALSE))</f>
        <v>329161.95726</v>
      </c>
      <c r="P204" s="122">
        <f t="shared" ca="1" si="11"/>
        <v>5.0627838879660483E-3</v>
      </c>
      <c r="Q204" s="28">
        <v>1</v>
      </c>
      <c r="R204" s="28">
        <v>0</v>
      </c>
      <c r="S204" s="28">
        <v>0</v>
      </c>
      <c r="T204" s="28">
        <v>0</v>
      </c>
      <c r="U204" s="28">
        <v>0</v>
      </c>
      <c r="V204" s="28">
        <v>1</v>
      </c>
    </row>
    <row r="205" spans="1:22" ht="21" customHeight="1" x14ac:dyDescent="0.15">
      <c r="A205" s="2" t="str">
        <f ca="1">input_384010!A$2</f>
        <v>384010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IFERROR(VLOOKUP(B205,input_384010!L:R,7,FALSE),VLOOKUP(tables_384010!C205,input_384010!A:H,8,FALSE))</f>
        <v>29925.341939999998</v>
      </c>
      <c r="P205" s="122">
        <f t="shared" ca="1" si="11"/>
        <v>4.6027657715024076E-4</v>
      </c>
      <c r="Q205" s="28">
        <v>1</v>
      </c>
      <c r="R205" s="28">
        <v>0</v>
      </c>
      <c r="S205" s="28">
        <v>0</v>
      </c>
      <c r="T205" s="28">
        <v>0</v>
      </c>
      <c r="U205" s="28">
        <v>0</v>
      </c>
      <c r="V205" s="28">
        <v>1</v>
      </c>
    </row>
    <row r="206" spans="1:22" ht="21" customHeight="1" x14ac:dyDescent="0.15">
      <c r="A206" s="2" t="str">
        <f ca="1">input_384010!A$2</f>
        <v>384010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IFERROR(VLOOKUP(B206,input_384010!L:R,7,FALSE),VLOOKUP(tables_384010!C206,input_384010!A:H,8,FALSE))</f>
        <v>73530</v>
      </c>
      <c r="P206" s="122">
        <f t="shared" ca="1" si="11"/>
        <v>1.1309523809523831E-3</v>
      </c>
      <c r="Q206" s="28">
        <v>1</v>
      </c>
      <c r="R206" s="28">
        <v>0</v>
      </c>
      <c r="S206" s="28">
        <v>0</v>
      </c>
      <c r="T206" s="28">
        <v>0</v>
      </c>
      <c r="U206" s="28">
        <v>0</v>
      </c>
      <c r="V206" s="28">
        <v>1</v>
      </c>
    </row>
    <row r="207" spans="1:22" ht="21" customHeight="1" x14ac:dyDescent="0.15">
      <c r="A207" s="2" t="str">
        <f ca="1">input_384010!A$2</f>
        <v>384010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IFERROR(VLOOKUP(B207,input_384010!L:R,7,FALSE),VLOOKUP(tables_384010!C207,input_384010!A:H,8,FALSE))</f>
        <v>3870</v>
      </c>
      <c r="P207" s="122">
        <f t="shared" ca="1" si="11"/>
        <v>5.9523809523809632E-5</v>
      </c>
      <c r="Q207" s="28">
        <v>1</v>
      </c>
      <c r="R207" s="28">
        <v>0</v>
      </c>
      <c r="S207" s="28">
        <v>0</v>
      </c>
      <c r="T207" s="28">
        <v>0</v>
      </c>
      <c r="U207" s="28">
        <v>0</v>
      </c>
      <c r="V207" s="28">
        <v>1</v>
      </c>
    </row>
    <row r="208" spans="1:22" ht="21" customHeight="1" x14ac:dyDescent="0.15">
      <c r="A208" s="2" t="str">
        <f ca="1">input_384010!A$2</f>
        <v>384010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IFERROR(VLOOKUP(B208,input_384010!L:R,7,FALSE),VLOOKUP(tables_384010!C208,input_384010!A:H,8,FALSE))</f>
        <v>73530</v>
      </c>
      <c r="P208" s="122">
        <f t="shared" ca="1" si="11"/>
        <v>1.1309523809523831E-3</v>
      </c>
      <c r="Q208" s="28">
        <v>1</v>
      </c>
      <c r="R208" s="28">
        <v>0</v>
      </c>
      <c r="S208" s="28">
        <v>0</v>
      </c>
      <c r="T208" s="28">
        <v>0</v>
      </c>
      <c r="U208" s="28">
        <v>0</v>
      </c>
      <c r="V208" s="28">
        <v>1</v>
      </c>
    </row>
    <row r="209" spans="1:22" ht="21" customHeight="1" x14ac:dyDescent="0.15">
      <c r="A209" s="2" t="str">
        <f ca="1">input_384010!A$2</f>
        <v>384010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IFERROR(VLOOKUP(B209,input_384010!L:R,7,FALSE),VLOOKUP(tables_384010!C209,input_384010!A:H,8,FALSE))</f>
        <v>3870</v>
      </c>
      <c r="P209" s="122">
        <f t="shared" ca="1" si="11"/>
        <v>5.9523809523809632E-5</v>
      </c>
      <c r="Q209" s="28">
        <v>1</v>
      </c>
      <c r="R209" s="28">
        <v>0</v>
      </c>
      <c r="S209" s="28">
        <v>0</v>
      </c>
      <c r="T209" s="28">
        <v>0</v>
      </c>
      <c r="U209" s="28">
        <v>0</v>
      </c>
      <c r="V209" s="28">
        <v>1</v>
      </c>
    </row>
    <row r="210" spans="1:22" ht="21" customHeight="1" x14ac:dyDescent="0.15">
      <c r="A210" s="2" t="str">
        <f ca="1">input_384010!A$2</f>
        <v>384010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IFERROR(VLOOKUP(B210,input_384010!L:R,7,FALSE),VLOOKUP(tables_384010!C210,input_384010!A:H,8,FALSE))</f>
        <v>359087.29920000001</v>
      </c>
      <c r="P210" s="122">
        <f t="shared" ca="1" si="11"/>
        <v>5.523060465116289E-3</v>
      </c>
      <c r="Q210" s="28">
        <v>1</v>
      </c>
      <c r="R210" s="28">
        <v>0</v>
      </c>
      <c r="S210" s="28">
        <v>0</v>
      </c>
      <c r="T210" s="28">
        <v>0</v>
      </c>
      <c r="U210" s="28">
        <v>0</v>
      </c>
      <c r="V210" s="28">
        <v>1</v>
      </c>
    </row>
    <row r="211" spans="1:22" ht="21" customHeight="1" x14ac:dyDescent="0.15">
      <c r="A211" s="2" t="str">
        <f ca="1">input_384010!A$2</f>
        <v>384010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IFERROR(VLOOKUP(B211,input_384010!L:R,7,FALSE),VLOOKUP(tables_384010!C211,input_384010!A:H,8,FALSE))</f>
        <v>329161.95726</v>
      </c>
      <c r="P211" s="122">
        <f t="shared" ca="1" si="11"/>
        <v>5.0627838879660483E-3</v>
      </c>
      <c r="Q211" s="28">
        <v>1</v>
      </c>
      <c r="R211" s="28">
        <v>0</v>
      </c>
      <c r="S211" s="28">
        <v>0</v>
      </c>
      <c r="T211" s="28">
        <v>0</v>
      </c>
      <c r="U211" s="28">
        <v>0</v>
      </c>
      <c r="V211" s="28">
        <v>1</v>
      </c>
    </row>
    <row r="212" spans="1:22" ht="21" customHeight="1" x14ac:dyDescent="0.15">
      <c r="A212" s="2" t="str">
        <f ca="1">input_384010!A$2</f>
        <v>384010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IFERROR(VLOOKUP(B212,input_384010!L:R,7,FALSE),VLOOKUP(tables_384010!C212,input_384010!A:H,8,FALSE))</f>
        <v>29925.341939999998</v>
      </c>
      <c r="P212" s="122">
        <f t="shared" ca="1" si="11"/>
        <v>4.6027657715024076E-4</v>
      </c>
      <c r="Q212" s="28">
        <v>1</v>
      </c>
      <c r="R212" s="28">
        <v>0</v>
      </c>
      <c r="S212" s="28">
        <v>0</v>
      </c>
      <c r="T212" s="28">
        <v>0</v>
      </c>
      <c r="U212" s="28">
        <v>0</v>
      </c>
      <c r="V212" s="28">
        <v>1</v>
      </c>
    </row>
    <row r="213" spans="1:22" ht="21" customHeight="1" x14ac:dyDescent="0.15">
      <c r="A213" s="2" t="str">
        <f ca="1">input_384010!A$2</f>
        <v>384010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IFERROR(VLOOKUP(B213,input_384010!L:R,7,FALSE),VLOOKUP(tables_384010!C213,input_384010!A:H,8,FALSE))</f>
        <v>73530</v>
      </c>
      <c r="P213" s="122">
        <f t="shared" ca="1" si="11"/>
        <v>1.1309523809523831E-3</v>
      </c>
      <c r="Q213" s="28">
        <v>1</v>
      </c>
      <c r="R213" s="28">
        <v>0</v>
      </c>
      <c r="S213" s="28">
        <v>0</v>
      </c>
      <c r="T213" s="28">
        <v>0</v>
      </c>
      <c r="U213" s="28">
        <v>0</v>
      </c>
      <c r="V213" s="28">
        <v>1</v>
      </c>
    </row>
    <row r="214" spans="1:22" ht="21" customHeight="1" x14ac:dyDescent="0.15">
      <c r="A214" s="2" t="str">
        <f ca="1">input_384010!A$2</f>
        <v>384010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IFERROR(VLOOKUP(B214,input_384010!L:R,7,FALSE),VLOOKUP(tables_384010!C214,input_384010!A:H,8,FALSE))</f>
        <v>3870</v>
      </c>
      <c r="P214" s="122">
        <f t="shared" ca="1" si="11"/>
        <v>5.9523809523809632E-5</v>
      </c>
      <c r="Q214" s="28">
        <v>1</v>
      </c>
      <c r="R214" s="28">
        <v>0</v>
      </c>
      <c r="S214" s="28">
        <v>0</v>
      </c>
      <c r="T214" s="28">
        <v>0</v>
      </c>
      <c r="U214" s="28">
        <v>0</v>
      </c>
      <c r="V214" s="28">
        <v>1</v>
      </c>
    </row>
    <row r="215" spans="1:22" ht="21" customHeight="1" x14ac:dyDescent="0.15">
      <c r="A215" s="2" t="str">
        <f ca="1">input_384010!A$2</f>
        <v>384010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3">
        <f ca="1">IFERROR(VLOOKUP(B215,input_384010!L:R,7,FALSE),VLOOKUP(tables_384010!C215,input_384010!A:H,8,FALSE))</f>
        <v>73530</v>
      </c>
      <c r="P215" s="122">
        <f t="shared" ca="1" si="11"/>
        <v>1.1309523809523831E-3</v>
      </c>
      <c r="Q215" s="28">
        <v>1</v>
      </c>
      <c r="R215" s="28">
        <v>0</v>
      </c>
      <c r="S215" s="28">
        <v>0</v>
      </c>
      <c r="T215" s="28">
        <v>0</v>
      </c>
      <c r="U215" s="28">
        <v>0</v>
      </c>
      <c r="V215" s="28">
        <v>1</v>
      </c>
    </row>
    <row r="216" spans="1:22" ht="21" customHeight="1" x14ac:dyDescent="0.15">
      <c r="A216" s="2" t="str">
        <f ca="1">input_384010!A$2</f>
        <v>384010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3">
        <f ca="1">IFERROR(VLOOKUP(B216,input_384010!L:R,7,FALSE),VLOOKUP(tables_384010!C216,input_384010!A:H,8,FALSE))</f>
        <v>3870</v>
      </c>
      <c r="P216" s="122">
        <f t="shared" ca="1" si="11"/>
        <v>5.9523809523809632E-5</v>
      </c>
      <c r="Q216" s="28">
        <v>1</v>
      </c>
      <c r="R216" s="28">
        <v>0</v>
      </c>
      <c r="S216" s="28">
        <v>0</v>
      </c>
      <c r="T216" s="28">
        <v>0</v>
      </c>
      <c r="U216" s="28">
        <v>0</v>
      </c>
      <c r="V216" s="28">
        <v>1</v>
      </c>
    </row>
    <row r="217" spans="1:22" ht="21" customHeight="1" x14ac:dyDescent="0.15">
      <c r="A217" s="2" t="str">
        <f ca="1">input_384010!A$2</f>
        <v>384010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3">
        <f ca="1">IFERROR(VLOOKUP(B217,input_384010!L:R,7,FALSE),VLOOKUP(tables_384010!C217,input_384010!A:H,8,FALSE))</f>
        <v>359087.29920000001</v>
      </c>
      <c r="P217" s="122">
        <f t="shared" ca="1" si="11"/>
        <v>5.523060465116289E-3</v>
      </c>
      <c r="Q217" s="28">
        <v>1</v>
      </c>
      <c r="R217" s="28">
        <v>0</v>
      </c>
      <c r="S217" s="28">
        <v>0</v>
      </c>
      <c r="T217" s="28">
        <v>0</v>
      </c>
      <c r="U217" s="28">
        <v>0</v>
      </c>
      <c r="V217" s="28">
        <v>1</v>
      </c>
    </row>
    <row r="218" spans="1:22" ht="21" customHeight="1" x14ac:dyDescent="0.15">
      <c r="A218" s="2" t="str">
        <f ca="1">input_384010!A$2</f>
        <v>384010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3">
        <f ca="1">IFERROR(VLOOKUP(B218,input_384010!L:R,7,FALSE),VLOOKUP(tables_384010!C218,input_384010!A:H,8,FALSE))</f>
        <v>329161.95726</v>
      </c>
      <c r="P218" s="122">
        <f t="shared" ca="1" si="11"/>
        <v>5.0627838879660483E-3</v>
      </c>
      <c r="Q218" s="28">
        <v>1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</row>
    <row r="219" spans="1:22" ht="21" customHeight="1" x14ac:dyDescent="0.15">
      <c r="A219" s="2" t="str">
        <f ca="1">input_384010!A$2</f>
        <v>384010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3">
        <f ca="1">IFERROR(VLOOKUP(B219,input_384010!L:R,7,FALSE),VLOOKUP(tables_384010!C219,input_384010!A:H,8,FALSE))</f>
        <v>29925.341939999998</v>
      </c>
      <c r="P219" s="122">
        <f t="shared" ca="1" si="11"/>
        <v>4.6027657715024076E-4</v>
      </c>
      <c r="Q219" s="28">
        <v>1</v>
      </c>
      <c r="R219" s="28">
        <v>0</v>
      </c>
      <c r="S219" s="28">
        <v>0</v>
      </c>
      <c r="T219" s="28">
        <v>0</v>
      </c>
      <c r="U219" s="28">
        <v>0</v>
      </c>
      <c r="V219" s="28">
        <v>1</v>
      </c>
    </row>
    <row r="220" spans="1:22" ht="21" customHeight="1" x14ac:dyDescent="0.15">
      <c r="A220" s="2" t="str">
        <f ca="1">input_384010!A$2</f>
        <v>384010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3">
        <f ca="1">IFERROR(VLOOKUP(B220,input_384010!L:R,7,FALSE),VLOOKUP(tables_384010!C220,input_384010!A:H,8,FALSE))</f>
        <v>359087.29920000001</v>
      </c>
      <c r="P220" s="122">
        <f t="shared" ca="1" si="11"/>
        <v>5.523060465116289E-3</v>
      </c>
      <c r="Q220" s="28">
        <v>1</v>
      </c>
      <c r="R220" s="28">
        <v>0</v>
      </c>
      <c r="S220" s="28">
        <v>0</v>
      </c>
      <c r="T220" s="28">
        <v>0</v>
      </c>
      <c r="U220" s="28">
        <v>0</v>
      </c>
      <c r="V220" s="28">
        <v>1</v>
      </c>
    </row>
    <row r="221" spans="1:22" ht="21" customHeight="1" x14ac:dyDescent="0.15">
      <c r="A221" s="2" t="str">
        <f ca="1">input_384010!A$2</f>
        <v>384010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3">
        <f ca="1">IFERROR(VLOOKUP(B221,input_384010!L:R,7,FALSE),VLOOKUP(tables_384010!C221,input_384010!A:H,8,FALSE))</f>
        <v>329161.95726</v>
      </c>
      <c r="P221" s="122">
        <f t="shared" ca="1" si="11"/>
        <v>5.0627838879660483E-3</v>
      </c>
      <c r="Q221" s="28">
        <v>1</v>
      </c>
      <c r="R221" s="28">
        <v>0</v>
      </c>
      <c r="S221" s="28">
        <v>0</v>
      </c>
      <c r="T221" s="28">
        <v>0</v>
      </c>
      <c r="U221" s="28">
        <v>0</v>
      </c>
      <c r="V221" s="28">
        <v>1</v>
      </c>
    </row>
    <row r="222" spans="1:22" ht="21" customHeight="1" x14ac:dyDescent="0.15">
      <c r="A222" s="2" t="str">
        <f ca="1">input_384010!A$2</f>
        <v>384010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3">
        <f ca="1">IFERROR(VLOOKUP(B222,input_384010!L:R,7,FALSE),VLOOKUP(tables_384010!C222,input_384010!A:H,8,FALSE))</f>
        <v>29925.341939999998</v>
      </c>
      <c r="P222" s="122">
        <f t="shared" ca="1" si="11"/>
        <v>4.6027657715024076E-4</v>
      </c>
      <c r="Q222" s="28">
        <v>1</v>
      </c>
      <c r="R222" s="28">
        <v>0</v>
      </c>
      <c r="S222" s="28">
        <v>0</v>
      </c>
      <c r="T222" s="28">
        <v>0</v>
      </c>
      <c r="U222" s="28">
        <v>0</v>
      </c>
      <c r="V222" s="28">
        <v>1</v>
      </c>
    </row>
    <row r="223" spans="1:22" ht="21" customHeight="1" x14ac:dyDescent="0.15">
      <c r="A223" s="2" t="str">
        <f ca="1">input_384010!A$2</f>
        <v>384010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3">
        <f ca="1">IFERROR(VLOOKUP(B223,input_384010!L:R,7,FALSE),VLOOKUP(tables_384010!C223,input_384010!A:H,8,FALSE))</f>
        <v>73530</v>
      </c>
      <c r="P223" s="122">
        <f t="shared" ca="1" si="11"/>
        <v>1.1309523809523831E-3</v>
      </c>
      <c r="Q223" s="28">
        <v>1</v>
      </c>
      <c r="R223" s="28">
        <v>0</v>
      </c>
      <c r="S223" s="28">
        <v>0</v>
      </c>
      <c r="T223" s="28">
        <v>0</v>
      </c>
      <c r="U223" s="28">
        <v>0</v>
      </c>
      <c r="V223" s="28">
        <v>1</v>
      </c>
    </row>
    <row r="224" spans="1:22" ht="21" customHeight="1" x14ac:dyDescent="0.15">
      <c r="A224" s="2" t="str">
        <f ca="1">input_384010!A$2</f>
        <v>384010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3">
        <f ca="1">IFERROR(VLOOKUP(B224,input_384010!L:R,7,FALSE),VLOOKUP(tables_384010!C224,input_384010!A:H,8,FALSE))</f>
        <v>3870</v>
      </c>
      <c r="P224" s="122">
        <f t="shared" ca="1" si="11"/>
        <v>5.9523809523809632E-5</v>
      </c>
      <c r="Q224" s="28">
        <v>1</v>
      </c>
      <c r="R224" s="28">
        <v>0</v>
      </c>
      <c r="S224" s="28">
        <v>0</v>
      </c>
      <c r="T224" s="28">
        <v>0</v>
      </c>
      <c r="U224" s="28">
        <v>0</v>
      </c>
      <c r="V224" s="28">
        <v>1</v>
      </c>
    </row>
    <row r="225" spans="1:22" ht="21" customHeight="1" x14ac:dyDescent="0.15">
      <c r="A225" s="2" t="str">
        <f ca="1">input_384010!A$2</f>
        <v>384010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3">
        <f ca="1">IFERROR(VLOOKUP(B225,input_384010!L:R,7,FALSE),VLOOKUP(tables_384010!C225,input_384010!A:H,8,FALSE))</f>
        <v>359087.29920000001</v>
      </c>
      <c r="P225" s="122">
        <f t="shared" ca="1" si="11"/>
        <v>5.523060465116289E-3</v>
      </c>
      <c r="Q225" s="28">
        <v>1</v>
      </c>
      <c r="R225" s="28">
        <v>0</v>
      </c>
      <c r="S225" s="28">
        <v>0</v>
      </c>
      <c r="T225" s="28">
        <v>0</v>
      </c>
      <c r="U225" s="28">
        <v>0</v>
      </c>
      <c r="V225" s="28">
        <v>1</v>
      </c>
    </row>
    <row r="226" spans="1:22" ht="21" customHeight="1" x14ac:dyDescent="0.15">
      <c r="A226" s="2" t="str">
        <f ca="1">input_384010!A$2</f>
        <v>384010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3">
        <f ca="1">IFERROR(VLOOKUP(B226,input_384010!L:R,7,FALSE),VLOOKUP(tables_384010!C226,input_384010!A:H,8,FALSE))</f>
        <v>329161.95726</v>
      </c>
      <c r="P226" s="122">
        <f t="shared" ca="1" si="11"/>
        <v>5.0627838879660483E-3</v>
      </c>
      <c r="Q226" s="28">
        <v>1</v>
      </c>
      <c r="R226" s="28">
        <v>0</v>
      </c>
      <c r="S226" s="28">
        <v>0</v>
      </c>
      <c r="T226" s="28">
        <v>0</v>
      </c>
      <c r="U226" s="28">
        <v>0</v>
      </c>
      <c r="V226" s="28">
        <v>1</v>
      </c>
    </row>
    <row r="227" spans="1:22" ht="21" customHeight="1" x14ac:dyDescent="0.15">
      <c r="A227" s="2" t="str">
        <f ca="1">input_384010!A$2</f>
        <v>384010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3">
        <f ca="1">IFERROR(VLOOKUP(B227,input_384010!L:R,7,FALSE),VLOOKUP(tables_384010!C227,input_384010!A:H,8,FALSE))</f>
        <v>29925.341939999998</v>
      </c>
      <c r="P227" s="122">
        <f t="shared" ca="1" si="11"/>
        <v>4.6027657715024076E-4</v>
      </c>
      <c r="Q227" s="28">
        <v>1</v>
      </c>
      <c r="R227" s="28">
        <v>0</v>
      </c>
      <c r="S227" s="28">
        <v>0</v>
      </c>
      <c r="T227" s="28">
        <v>0</v>
      </c>
      <c r="U227" s="28">
        <v>0</v>
      </c>
      <c r="V227" s="28">
        <v>1</v>
      </c>
    </row>
    <row r="228" spans="1:22" ht="21" customHeight="1" x14ac:dyDescent="0.15">
      <c r="A228" s="2" t="str">
        <f ca="1">input_384010!A$2</f>
        <v>384010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IFERROR(VLOOKUP(B228,input_384010!L:R,7,FALSE),VLOOKUP(tables_384010!C228,input_384010!A:H,8,FALSE))</f>
        <v>359087.29920000001</v>
      </c>
      <c r="P228" s="122">
        <f t="shared" ca="1" si="11"/>
        <v>5.523060465116289E-3</v>
      </c>
      <c r="Q228" s="28">
        <v>1</v>
      </c>
      <c r="R228" s="28">
        <v>0</v>
      </c>
      <c r="S228" s="28">
        <v>0</v>
      </c>
      <c r="T228" s="28">
        <v>0</v>
      </c>
      <c r="U228" s="28">
        <v>0</v>
      </c>
      <c r="V228" s="28">
        <v>1</v>
      </c>
    </row>
    <row r="229" spans="1:22" ht="21" customHeight="1" x14ac:dyDescent="0.15">
      <c r="A229" s="2" t="str">
        <f ca="1">input_384010!A$2</f>
        <v>384010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IFERROR(VLOOKUP(B229,input_384010!L:R,7,FALSE),VLOOKUP(tables_384010!C229,input_384010!A:H,8,FALSE))</f>
        <v>329161.95726</v>
      </c>
      <c r="P229" s="122">
        <f t="shared" ca="1" si="11"/>
        <v>5.0627838879660483E-3</v>
      </c>
      <c r="Q229" s="28">
        <v>1</v>
      </c>
      <c r="R229" s="28">
        <v>0</v>
      </c>
      <c r="S229" s="28">
        <v>0</v>
      </c>
      <c r="T229" s="28">
        <v>0</v>
      </c>
      <c r="U229" s="28">
        <v>0</v>
      </c>
      <c r="V229" s="28">
        <v>1</v>
      </c>
    </row>
    <row r="230" spans="1:22" ht="21" customHeight="1" x14ac:dyDescent="0.15">
      <c r="A230" s="2" t="str">
        <f ca="1">input_384010!A$2</f>
        <v>384010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IFERROR(VLOOKUP(B230,input_384010!L:R,7,FALSE),VLOOKUP(tables_384010!C230,input_384010!A:H,8,FALSE))</f>
        <v>29925.341939999998</v>
      </c>
      <c r="P230" s="122">
        <f t="shared" ca="1" si="11"/>
        <v>4.6027657715024076E-4</v>
      </c>
      <c r="Q230" s="28">
        <v>1</v>
      </c>
      <c r="R230" s="28">
        <v>0</v>
      </c>
      <c r="S230" s="28">
        <v>0</v>
      </c>
      <c r="T230" s="28">
        <v>0</v>
      </c>
      <c r="U230" s="28">
        <v>0</v>
      </c>
      <c r="V230" s="28">
        <v>1</v>
      </c>
    </row>
    <row r="231" spans="1:22" ht="21" customHeight="1" x14ac:dyDescent="0.15">
      <c r="A231" s="2" t="str">
        <f ca="1">input_384010!A$2</f>
        <v>384010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3">
        <f ca="1">IFERROR(VLOOKUP(B231,input_384010!L:R,7,FALSE),VLOOKUP(tables_384010!C231,input_384010!A:H,8,FALSE))</f>
        <v>73530</v>
      </c>
      <c r="P231" s="122">
        <f t="shared" ca="1" si="11"/>
        <v>1.1309523809523831E-3</v>
      </c>
      <c r="Q231" s="28">
        <v>1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</row>
    <row r="232" spans="1:22" ht="21" customHeight="1" x14ac:dyDescent="0.15">
      <c r="A232" s="2" t="str">
        <f ca="1">input_384010!A$2</f>
        <v>384010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3">
        <f ca="1">IFERROR(VLOOKUP(B232,input_384010!L:R,7,FALSE),VLOOKUP(tables_384010!C232,input_384010!A:H,8,FALSE))</f>
        <v>3870</v>
      </c>
      <c r="P232" s="122">
        <f t="shared" ca="1" si="11"/>
        <v>5.9523809523809632E-5</v>
      </c>
      <c r="Q232" s="28">
        <v>1</v>
      </c>
      <c r="R232" s="28">
        <v>0</v>
      </c>
      <c r="S232" s="28">
        <v>0</v>
      </c>
      <c r="T232" s="28">
        <v>0</v>
      </c>
      <c r="U232" s="28">
        <v>0</v>
      </c>
      <c r="V232" s="28">
        <v>1</v>
      </c>
    </row>
    <row r="233" spans="1:22" ht="21" customHeight="1" x14ac:dyDescent="0.15">
      <c r="A233" s="2" t="str">
        <f ca="1">input_384010!A$2</f>
        <v>384010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3">
        <f ca="1">IFERROR(VLOOKUP(B233,input_384010!L:R,7,FALSE),VLOOKUP(tables_384010!C233,input_384010!A:H,8,FALSE))</f>
        <v>359087.29920000001</v>
      </c>
      <c r="P233" s="122">
        <f t="shared" ca="1" si="11"/>
        <v>5.523060465116289E-3</v>
      </c>
      <c r="Q233" s="28">
        <v>1</v>
      </c>
      <c r="R233" s="28">
        <v>0</v>
      </c>
      <c r="S233" s="28">
        <v>0</v>
      </c>
      <c r="T233" s="28">
        <v>0</v>
      </c>
      <c r="U233" s="28">
        <v>0</v>
      </c>
      <c r="V233" s="28">
        <v>1</v>
      </c>
    </row>
    <row r="234" spans="1:22" ht="21" customHeight="1" x14ac:dyDescent="0.15">
      <c r="A234" s="2" t="str">
        <f ca="1">input_384010!A$2</f>
        <v>384010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3">
        <f ca="1">IFERROR(VLOOKUP(B234,input_384010!L:R,7,FALSE),VLOOKUP(tables_384010!C234,input_384010!A:H,8,FALSE))</f>
        <v>329161.95726</v>
      </c>
      <c r="P234" s="122">
        <f t="shared" ca="1" si="11"/>
        <v>5.0627838879660483E-3</v>
      </c>
      <c r="Q234" s="28">
        <v>1</v>
      </c>
      <c r="R234" s="28">
        <v>0</v>
      </c>
      <c r="S234" s="28">
        <v>0</v>
      </c>
      <c r="T234" s="28">
        <v>0</v>
      </c>
      <c r="U234" s="28">
        <v>0</v>
      </c>
      <c r="V234" s="28">
        <v>1</v>
      </c>
    </row>
    <row r="235" spans="1:22" ht="21" customHeight="1" x14ac:dyDescent="0.15">
      <c r="A235" s="2" t="str">
        <f ca="1">input_384010!A$2</f>
        <v>384010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3">
        <f ca="1">IFERROR(VLOOKUP(B235,input_384010!L:R,7,FALSE),VLOOKUP(tables_384010!C235,input_384010!A:H,8,FALSE))</f>
        <v>29925.341939999998</v>
      </c>
      <c r="P235" s="122">
        <f t="shared" ca="1" si="11"/>
        <v>4.6027657715024076E-4</v>
      </c>
      <c r="Q235" s="28">
        <v>1</v>
      </c>
      <c r="R235" s="28">
        <v>0</v>
      </c>
      <c r="S235" s="28">
        <v>0</v>
      </c>
      <c r="T235" s="28">
        <v>0</v>
      </c>
      <c r="U235" s="28">
        <v>0</v>
      </c>
      <c r="V235" s="28">
        <v>1</v>
      </c>
    </row>
    <row r="236" spans="1:22" ht="21" customHeight="1" x14ac:dyDescent="0.15">
      <c r="A236" s="2" t="str">
        <f ca="1">input_384010!A$2</f>
        <v>384010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3">
        <f ca="1">IFERROR(VLOOKUP(B236,input_384010!L:R,7,FALSE),VLOOKUP(tables_384010!C236,input_384010!A:H,8,FALSE))</f>
        <v>73530</v>
      </c>
      <c r="P236" s="122">
        <f t="shared" ca="1" si="11"/>
        <v>1.1309523809523831E-3</v>
      </c>
      <c r="Q236" s="28">
        <v>1</v>
      </c>
      <c r="R236" s="28">
        <v>0</v>
      </c>
      <c r="S236" s="28">
        <v>0</v>
      </c>
      <c r="T236" s="28">
        <v>0</v>
      </c>
      <c r="U236" s="28">
        <v>0</v>
      </c>
      <c r="V236" s="28">
        <v>1</v>
      </c>
    </row>
    <row r="237" spans="1:22" ht="21" customHeight="1" x14ac:dyDescent="0.15">
      <c r="A237" s="2" t="str">
        <f ca="1">input_384010!A$2</f>
        <v>384010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IFERROR(VLOOKUP(B237,input_384010!L:R,7,FALSE),VLOOKUP(tables_384010!C237,input_384010!A:H,8,FALSE))</f>
        <v>3870</v>
      </c>
      <c r="P237" s="122">
        <f t="shared" ca="1" si="11"/>
        <v>5.9523809523809632E-5</v>
      </c>
      <c r="Q237" s="28">
        <v>1</v>
      </c>
      <c r="R237" s="28">
        <v>0</v>
      </c>
      <c r="S237" s="28">
        <v>0</v>
      </c>
      <c r="T237" s="28">
        <v>0</v>
      </c>
      <c r="U237" s="28">
        <v>0</v>
      </c>
      <c r="V237" s="28">
        <v>1</v>
      </c>
    </row>
    <row r="238" spans="1:22" ht="21" customHeight="1" x14ac:dyDescent="0.15">
      <c r="A238" s="2" t="str">
        <f ca="1">input_384010!A$2</f>
        <v>384010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3">
        <f ca="1">IFERROR(VLOOKUP(B238,input_384010!L:R,7,FALSE),VLOOKUP(tables_384010!C238,input_384010!A:H,8,FALSE))</f>
        <v>73530</v>
      </c>
      <c r="P238" s="122">
        <f t="shared" ca="1" si="11"/>
        <v>1.1309523809523831E-3</v>
      </c>
      <c r="Q238" s="28">
        <v>1</v>
      </c>
      <c r="R238" s="28">
        <v>0</v>
      </c>
      <c r="S238" s="28">
        <v>0</v>
      </c>
      <c r="T238" s="28">
        <v>0</v>
      </c>
      <c r="U238" s="28">
        <v>0</v>
      </c>
      <c r="V238" s="28">
        <v>1</v>
      </c>
    </row>
    <row r="239" spans="1:22" ht="21" customHeight="1" x14ac:dyDescent="0.15">
      <c r="A239" s="2" t="str">
        <f ca="1">input_384010!A$2</f>
        <v>384010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3">
        <f ca="1">IFERROR(VLOOKUP(B239,input_384010!L:R,7,FALSE),VLOOKUP(tables_384010!C239,input_384010!A:H,8,FALSE))</f>
        <v>3870</v>
      </c>
      <c r="P239" s="122">
        <f t="shared" ca="1" si="11"/>
        <v>5.9523809523809632E-5</v>
      </c>
      <c r="Q239" s="28">
        <v>1</v>
      </c>
      <c r="R239" s="28">
        <v>0</v>
      </c>
      <c r="S239" s="28">
        <v>0</v>
      </c>
      <c r="T239" s="28">
        <v>0</v>
      </c>
      <c r="U239" s="28">
        <v>0</v>
      </c>
      <c r="V239" s="28">
        <v>1</v>
      </c>
    </row>
    <row r="240" spans="1:22" ht="21" customHeight="1" x14ac:dyDescent="0.15">
      <c r="A240" s="2" t="str">
        <f ca="1">input_384010!A$2</f>
        <v>384010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3">
        <f ca="1">IFERROR(VLOOKUP(B240,input_384010!L:R,7,FALSE),VLOOKUP(tables_384010!C240,input_384010!A:H,8,FALSE))</f>
        <v>359087.29920000001</v>
      </c>
      <c r="P240" s="122">
        <f t="shared" ca="1" si="11"/>
        <v>5.523060465116289E-3</v>
      </c>
      <c r="Q240" s="28">
        <v>1</v>
      </c>
      <c r="R240" s="28">
        <v>0</v>
      </c>
      <c r="S240" s="28">
        <v>0</v>
      </c>
      <c r="T240" s="28">
        <v>0</v>
      </c>
      <c r="U240" s="28">
        <v>0</v>
      </c>
      <c r="V240" s="28">
        <v>1</v>
      </c>
    </row>
    <row r="241" spans="1:22" ht="21" customHeight="1" x14ac:dyDescent="0.15">
      <c r="A241" s="2" t="str">
        <f ca="1">input_384010!A$2</f>
        <v>384010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3">
        <f ca="1">IFERROR(VLOOKUP(B241,input_384010!L:R,7,FALSE),VLOOKUP(tables_384010!C241,input_384010!A:H,8,FALSE))</f>
        <v>329161.95726</v>
      </c>
      <c r="P241" s="122">
        <f t="shared" ca="1" si="11"/>
        <v>5.0627838879660483E-3</v>
      </c>
      <c r="Q241" s="28">
        <v>1</v>
      </c>
      <c r="R241" s="28">
        <v>0</v>
      </c>
      <c r="S241" s="28">
        <v>0</v>
      </c>
      <c r="T241" s="28">
        <v>0</v>
      </c>
      <c r="U241" s="28">
        <v>0</v>
      </c>
      <c r="V241" s="28">
        <v>1</v>
      </c>
    </row>
    <row r="242" spans="1:22" ht="21" customHeight="1" x14ac:dyDescent="0.15">
      <c r="A242" s="2" t="str">
        <f ca="1">input_384010!A$2</f>
        <v>384010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3">
        <f ca="1">IFERROR(VLOOKUP(B242,input_384010!L:R,7,FALSE),VLOOKUP(tables_384010!C242,input_384010!A:H,8,FALSE))</f>
        <v>29925.341939999998</v>
      </c>
      <c r="P242" s="122">
        <f t="shared" ca="1" si="11"/>
        <v>4.6027657715024076E-4</v>
      </c>
      <c r="Q242" s="28">
        <v>1</v>
      </c>
      <c r="R242" s="28">
        <v>0</v>
      </c>
      <c r="S242" s="28">
        <v>0</v>
      </c>
      <c r="T242" s="28">
        <v>0</v>
      </c>
      <c r="U242" s="28">
        <v>0</v>
      </c>
      <c r="V242" s="28">
        <v>1</v>
      </c>
    </row>
    <row r="243" spans="1:22" ht="21" customHeight="1" x14ac:dyDescent="0.15">
      <c r="A243" s="2" t="str">
        <f ca="1">input_384010!A$2</f>
        <v>384010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3">
        <f ca="1">IFERROR(VLOOKUP(B243,input_384010!L:R,7,FALSE),VLOOKUP(tables_384010!C243,input_384010!A:H,8,FALSE))</f>
        <v>359087.29920000001</v>
      </c>
      <c r="P243" s="122">
        <f t="shared" ca="1" si="11"/>
        <v>5.523060465116289E-3</v>
      </c>
      <c r="Q243" s="28">
        <v>1</v>
      </c>
      <c r="R243" s="28">
        <v>0</v>
      </c>
      <c r="S243" s="28">
        <v>0</v>
      </c>
      <c r="T243" s="28">
        <v>0</v>
      </c>
      <c r="U243" s="28">
        <v>0</v>
      </c>
      <c r="V243" s="28">
        <v>1</v>
      </c>
    </row>
    <row r="244" spans="1:22" ht="21" customHeight="1" x14ac:dyDescent="0.15">
      <c r="A244" s="2" t="str">
        <f ca="1">input_384010!A$2</f>
        <v>384010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3">
        <f ca="1">IFERROR(VLOOKUP(B244,input_384010!L:R,7,FALSE),VLOOKUP(tables_384010!C244,input_384010!A:H,8,FALSE))</f>
        <v>329161.95726</v>
      </c>
      <c r="P244" s="122">
        <f t="shared" ca="1" si="11"/>
        <v>5.0627838879660483E-3</v>
      </c>
      <c r="Q244" s="28">
        <v>1</v>
      </c>
      <c r="R244" s="28">
        <v>0</v>
      </c>
      <c r="S244" s="28">
        <v>0</v>
      </c>
      <c r="T244" s="28">
        <v>0</v>
      </c>
      <c r="U244" s="28">
        <v>0</v>
      </c>
      <c r="V244" s="28">
        <v>1</v>
      </c>
    </row>
    <row r="245" spans="1:22" ht="21" customHeight="1" x14ac:dyDescent="0.15">
      <c r="A245" s="2" t="str">
        <f ca="1">input_384010!A$2</f>
        <v>384010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3">
        <f ca="1">IFERROR(VLOOKUP(B245,input_384010!L:R,7,FALSE),VLOOKUP(tables_384010!C245,input_384010!A:H,8,FALSE))</f>
        <v>29925.341939999998</v>
      </c>
      <c r="P245" s="122">
        <f t="shared" ca="1" si="11"/>
        <v>4.6027657715024076E-4</v>
      </c>
      <c r="Q245" s="28">
        <v>1</v>
      </c>
      <c r="R245" s="28">
        <v>0</v>
      </c>
      <c r="S245" s="28">
        <v>0</v>
      </c>
      <c r="T245" s="28">
        <v>0</v>
      </c>
      <c r="U245" s="28">
        <v>0</v>
      </c>
      <c r="V245" s="28">
        <v>1</v>
      </c>
    </row>
    <row r="246" spans="1:22" ht="21" customHeight="1" x14ac:dyDescent="0.15">
      <c r="A246" s="2" t="str">
        <f ca="1">input_384010!A$2</f>
        <v>384010</v>
      </c>
      <c r="B246" s="58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3">
        <f ca="1">IFERROR(VLOOKUP(B246,input_384010!L:R,7,FALSE),VLOOKUP(tables_384010!C246,input_384010!A:H,8,FALSE))</f>
        <v>359087.29920000001</v>
      </c>
      <c r="P246" s="122">
        <f t="shared" ca="1" si="11"/>
        <v>5.523060465116289E-3</v>
      </c>
      <c r="Q246" s="28">
        <v>1</v>
      </c>
      <c r="R246" s="28">
        <v>0</v>
      </c>
      <c r="S246" s="28">
        <v>0</v>
      </c>
      <c r="T246" s="28">
        <v>0</v>
      </c>
      <c r="U246" s="28">
        <v>0</v>
      </c>
      <c r="V246" s="28">
        <v>1</v>
      </c>
    </row>
    <row r="247" spans="1:22" ht="21" customHeight="1" x14ac:dyDescent="0.15">
      <c r="A247" s="2" t="str">
        <f ca="1">input_384010!A$2</f>
        <v>384010</v>
      </c>
      <c r="B247" s="58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3">
        <f ca="1">IFERROR(VLOOKUP(B247,input_384010!L:R,7,FALSE),VLOOKUP(tables_384010!C247,input_384010!A:H,8,FALSE))</f>
        <v>329161.95726</v>
      </c>
      <c r="P247" s="122">
        <f t="shared" ca="1" si="11"/>
        <v>5.0627838879660483E-3</v>
      </c>
      <c r="Q247" s="28">
        <v>1</v>
      </c>
      <c r="R247" s="28">
        <v>0</v>
      </c>
      <c r="S247" s="28">
        <v>0</v>
      </c>
      <c r="T247" s="28">
        <v>0</v>
      </c>
      <c r="U247" s="28">
        <v>0</v>
      </c>
      <c r="V247" s="28">
        <v>1</v>
      </c>
    </row>
    <row r="248" spans="1:22" ht="21" customHeight="1" x14ac:dyDescent="0.15">
      <c r="A248" s="2" t="str">
        <f ca="1">input_384010!A$2</f>
        <v>384010</v>
      </c>
      <c r="B248" s="58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3">
        <f ca="1">IFERROR(VLOOKUP(B248,input_384010!L:R,7,FALSE),VLOOKUP(tables_384010!C248,input_384010!A:H,8,FALSE))</f>
        <v>29925.341939999998</v>
      </c>
      <c r="P248" s="122">
        <f t="shared" ca="1" si="11"/>
        <v>4.6027657715024076E-4</v>
      </c>
      <c r="Q248" s="28">
        <v>1</v>
      </c>
      <c r="R248" s="28">
        <v>0</v>
      </c>
      <c r="S248" s="28">
        <v>0</v>
      </c>
      <c r="T248" s="28">
        <v>0</v>
      </c>
      <c r="U248" s="28">
        <v>0</v>
      </c>
      <c r="V248" s="28">
        <v>1</v>
      </c>
    </row>
    <row r="249" spans="1:22" ht="21" customHeight="1" x14ac:dyDescent="0.15">
      <c r="A249" s="2" t="str">
        <f ca="1">input_384010!A$2</f>
        <v>384010</v>
      </c>
      <c r="B249" s="58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3">
        <f ca="1">IFERROR(VLOOKUP(B249,input_384010!L:R,7,FALSE),VLOOKUP(tables_384010!C249,input_384010!A:H,8,FALSE))</f>
        <v>359087.29920000001</v>
      </c>
      <c r="P249" s="122">
        <f t="shared" ca="1" si="11"/>
        <v>5.523060465116289E-3</v>
      </c>
      <c r="Q249" s="28">
        <v>1</v>
      </c>
      <c r="R249" s="28">
        <v>0</v>
      </c>
      <c r="S249" s="28">
        <v>0</v>
      </c>
      <c r="T249" s="28">
        <v>0</v>
      </c>
      <c r="U249" s="28">
        <v>0</v>
      </c>
      <c r="V249" s="28">
        <v>1</v>
      </c>
    </row>
    <row r="250" spans="1:22" ht="21" customHeight="1" x14ac:dyDescent="0.15">
      <c r="A250" s="2" t="str">
        <f ca="1">input_384010!A$2</f>
        <v>384010</v>
      </c>
      <c r="B250" s="58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3">
        <f ca="1">IFERROR(VLOOKUP(B250,input_384010!L:R,7,FALSE),VLOOKUP(tables_384010!C250,input_384010!A:H,8,FALSE))</f>
        <v>329161.95726</v>
      </c>
      <c r="P250" s="122">
        <f t="shared" ca="1" si="11"/>
        <v>5.0627838879660483E-3</v>
      </c>
      <c r="Q250" s="28">
        <v>1</v>
      </c>
      <c r="R250" s="28">
        <v>0</v>
      </c>
      <c r="S250" s="28">
        <v>0</v>
      </c>
      <c r="T250" s="28">
        <v>0</v>
      </c>
      <c r="U250" s="28">
        <v>0</v>
      </c>
      <c r="V250" s="28">
        <v>1</v>
      </c>
    </row>
    <row r="251" spans="1:22" ht="21" customHeight="1" x14ac:dyDescent="0.15">
      <c r="A251" s="2" t="str">
        <f ca="1">input_384010!A$2</f>
        <v>384010</v>
      </c>
      <c r="B251" s="58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3">
        <f ca="1">IFERROR(VLOOKUP(B251,input_384010!L:R,7,FALSE),VLOOKUP(tables_384010!C251,input_384010!A:H,8,FALSE))</f>
        <v>29925.341939999998</v>
      </c>
      <c r="P251" s="122">
        <f t="shared" ca="1" si="11"/>
        <v>4.6027657715024076E-4</v>
      </c>
      <c r="Q251" s="28">
        <v>1</v>
      </c>
      <c r="R251" s="28">
        <v>0</v>
      </c>
      <c r="S251" s="28">
        <v>0</v>
      </c>
      <c r="T251" s="28">
        <v>0</v>
      </c>
      <c r="U251" s="28">
        <v>0</v>
      </c>
      <c r="V251" s="28">
        <v>1</v>
      </c>
    </row>
    <row r="252" spans="1:22" ht="21" customHeight="1" x14ac:dyDescent="0.15">
      <c r="A252" s="2" t="str">
        <f ca="1">input_384010!A$2</f>
        <v>384010</v>
      </c>
      <c r="B252" s="58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3">
        <f ca="1">IFERROR(VLOOKUP(B252,input_384010!L:R,7,FALSE),VLOOKUP(tables_384010!C252,input_384010!A:H,8,FALSE))</f>
        <v>73530</v>
      </c>
      <c r="P252" s="122">
        <f t="shared" ca="1" si="11"/>
        <v>1.1309523809523831E-3</v>
      </c>
      <c r="Q252" s="28">
        <v>1</v>
      </c>
      <c r="R252" s="28">
        <v>0</v>
      </c>
      <c r="S252" s="28">
        <v>0</v>
      </c>
      <c r="T252" s="28">
        <v>0</v>
      </c>
      <c r="U252" s="28">
        <v>0</v>
      </c>
      <c r="V252" s="28">
        <v>1</v>
      </c>
    </row>
    <row r="253" spans="1:22" ht="21" customHeight="1" x14ac:dyDescent="0.15">
      <c r="A253" s="2" t="str">
        <f ca="1">input_384010!A$2</f>
        <v>384010</v>
      </c>
      <c r="B253" s="58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3">
        <f ca="1">IFERROR(VLOOKUP(B253,input_384010!L:R,7,FALSE),VLOOKUP(tables_384010!C253,input_384010!A:H,8,FALSE))</f>
        <v>3870</v>
      </c>
      <c r="P253" s="122">
        <f t="shared" ca="1" si="11"/>
        <v>5.9523809523809632E-5</v>
      </c>
      <c r="Q253" s="28">
        <v>1</v>
      </c>
      <c r="R253" s="28">
        <v>0</v>
      </c>
      <c r="S253" s="28">
        <v>0</v>
      </c>
      <c r="T253" s="28">
        <v>0</v>
      </c>
      <c r="U253" s="28">
        <v>0</v>
      </c>
      <c r="V253" s="28">
        <v>1</v>
      </c>
    </row>
    <row r="254" spans="1:22" ht="21" customHeight="1" x14ac:dyDescent="0.15">
      <c r="A254" s="2" t="str">
        <f ca="1">input_384010!A$2</f>
        <v>384010</v>
      </c>
      <c r="B254" s="58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3">
        <f ca="1">IFERROR(VLOOKUP(B254,input_384010!L:R,7,FALSE),VLOOKUP(tables_384010!C254,input_384010!A:H,8,FALSE))</f>
        <v>73530</v>
      </c>
      <c r="P254" s="122">
        <f t="shared" ca="1" si="11"/>
        <v>1.1309523809523831E-3</v>
      </c>
      <c r="Q254" s="28">
        <v>1</v>
      </c>
      <c r="R254" s="28">
        <v>0</v>
      </c>
      <c r="S254" s="28">
        <v>0</v>
      </c>
      <c r="T254" s="28">
        <v>0</v>
      </c>
      <c r="U254" s="28">
        <v>0</v>
      </c>
      <c r="V254" s="28">
        <v>1</v>
      </c>
    </row>
    <row r="255" spans="1:22" ht="21" customHeight="1" x14ac:dyDescent="0.15">
      <c r="A255" s="2" t="str">
        <f ca="1">input_384010!A$2</f>
        <v>384010</v>
      </c>
      <c r="B255" s="58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3">
        <f ca="1">IFERROR(VLOOKUP(B255,input_384010!L:R,7,FALSE),VLOOKUP(tables_384010!C255,input_384010!A:H,8,FALSE))</f>
        <v>3870</v>
      </c>
      <c r="P255" s="122">
        <f t="shared" ca="1" si="11"/>
        <v>5.9523809523809632E-5</v>
      </c>
      <c r="Q255" s="28">
        <v>1</v>
      </c>
      <c r="R255" s="28">
        <v>0</v>
      </c>
      <c r="S255" s="28">
        <v>0</v>
      </c>
      <c r="T255" s="28">
        <v>0</v>
      </c>
      <c r="U255" s="28">
        <v>0</v>
      </c>
      <c r="V255" s="28">
        <v>1</v>
      </c>
    </row>
    <row r="256" spans="1:22" ht="21" customHeight="1" x14ac:dyDescent="0.15">
      <c r="A256" s="2" t="str">
        <f ca="1">input_384010!A$2</f>
        <v>384010</v>
      </c>
      <c r="B256" s="58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3">
        <f ca="1">IFERROR(VLOOKUP(B256,input_384010!L:R,7,FALSE),VLOOKUP(tables_384010!C256,input_384010!A:H,8,FALSE))</f>
        <v>682265.86847999995</v>
      </c>
      <c r="P256" s="122">
        <f t="shared" ca="1" si="11"/>
        <v>1.0493814883720949E-2</v>
      </c>
      <c r="Q256" s="28">
        <v>1</v>
      </c>
      <c r="R256" s="28">
        <v>0</v>
      </c>
      <c r="S256" s="28">
        <v>0</v>
      </c>
      <c r="T256" s="28">
        <v>0</v>
      </c>
      <c r="U256" s="28">
        <v>0</v>
      </c>
      <c r="V256" s="28">
        <v>1</v>
      </c>
    </row>
    <row r="257" spans="1:22" ht="21" customHeight="1" x14ac:dyDescent="0.15">
      <c r="A257" s="2" t="str">
        <f ca="1">input_384010!A$2</f>
        <v>384010</v>
      </c>
      <c r="B257" s="58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3">
        <f ca="1">IFERROR(VLOOKUP(B257,input_384010!L:R,7,FALSE),VLOOKUP(tables_384010!C257,input_384010!A:H,8,FALSE))</f>
        <v>35908.729919999998</v>
      </c>
      <c r="P257" s="122">
        <f t="shared" ca="1" si="11"/>
        <v>5.5230604651162888E-4</v>
      </c>
      <c r="Q257" s="28">
        <v>1</v>
      </c>
      <c r="R257" s="28">
        <v>0</v>
      </c>
      <c r="S257" s="28">
        <v>0</v>
      </c>
      <c r="T257" s="28">
        <v>0</v>
      </c>
      <c r="U257" s="28">
        <v>0</v>
      </c>
      <c r="V257" s="28">
        <v>1</v>
      </c>
    </row>
    <row r="258" spans="1:22" ht="21" customHeight="1" x14ac:dyDescent="0.15">
      <c r="A258" s="2" t="str">
        <f ca="1">input_384010!A$2</f>
        <v>384010</v>
      </c>
      <c r="B258" s="58">
        <v>730</v>
      </c>
      <c r="C258" s="7" t="str">
        <f t="shared" ref="C258:C294" si="12">D258&amp;J258&amp;E258&amp;F258&amp;G258</f>
        <v>Premium4R3less</v>
      </c>
      <c r="D258" s="7" t="str">
        <f t="shared" ref="D258:D29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3">
        <f ca="1">IFERROR(VLOOKUP(B258,input_384010!L:R,7,FALSE),VLOOKUP(tables_384010!C258,input_384010!A:H,8,FALSE))</f>
        <v>682265.86847999995</v>
      </c>
      <c r="P258" s="122">
        <f t="shared" ca="1" si="11"/>
        <v>1.0493814883720949E-2</v>
      </c>
      <c r="Q258" s="28">
        <v>1</v>
      </c>
      <c r="R258" s="28">
        <v>0</v>
      </c>
      <c r="S258" s="28">
        <v>0</v>
      </c>
      <c r="T258" s="28">
        <v>0</v>
      </c>
      <c r="U258" s="28">
        <v>0</v>
      </c>
      <c r="V258" s="28">
        <v>1</v>
      </c>
    </row>
    <row r="259" spans="1:22" ht="21" customHeight="1" x14ac:dyDescent="0.15">
      <c r="A259" s="2" t="str">
        <f ca="1">input_384010!A$2</f>
        <v>384010</v>
      </c>
      <c r="B259" s="58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3">
        <f ca="1">IFERROR(VLOOKUP(B259,input_384010!L:R,7,FALSE),VLOOKUP(tables_384010!C259,input_384010!A:H,8,FALSE))</f>
        <v>35908.729919999998</v>
      </c>
      <c r="P259" s="122">
        <f t="shared" ref="P259:P299" ca="1" si="14">O259/SUM(O:O)</f>
        <v>5.5230604651162888E-4</v>
      </c>
      <c r="Q259" s="28">
        <v>1</v>
      </c>
      <c r="R259" s="28">
        <v>0</v>
      </c>
      <c r="S259" s="28">
        <v>0</v>
      </c>
      <c r="T259" s="28">
        <v>0</v>
      </c>
      <c r="U259" s="28">
        <v>0</v>
      </c>
      <c r="V259" s="28">
        <v>1</v>
      </c>
    </row>
    <row r="260" spans="1:22" ht="21" customHeight="1" x14ac:dyDescent="0.15">
      <c r="A260" s="2" t="str">
        <f ca="1">input_384010!A$2</f>
        <v>384010</v>
      </c>
      <c r="B260" s="58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3">
        <f ca="1">IFERROR(VLOOKUP(B260,input_384010!L:R,7,FALSE),VLOOKUP(tables_384010!C260,input_384010!A:H,8,FALSE))</f>
        <v>77400</v>
      </c>
      <c r="P260" s="122">
        <f t="shared" ca="1" si="14"/>
        <v>1.1904761904761928E-3</v>
      </c>
      <c r="Q260" s="28">
        <v>1</v>
      </c>
      <c r="R260" s="28">
        <v>0</v>
      </c>
      <c r="S260" s="28">
        <v>0</v>
      </c>
      <c r="T260" s="28">
        <v>0</v>
      </c>
      <c r="U260" s="28">
        <v>0</v>
      </c>
      <c r="V260" s="28">
        <v>1</v>
      </c>
    </row>
    <row r="261" spans="1:22" ht="21" customHeight="1" x14ac:dyDescent="0.15">
      <c r="A261" s="2" t="str">
        <f ca="1">input_384010!A$2</f>
        <v>384010</v>
      </c>
      <c r="B261" s="58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3">
        <f ca="1">IFERROR(VLOOKUP(B261,input_384010!L:R,7,FALSE),VLOOKUP(tables_384010!C261,input_384010!A:H,8,FALSE))</f>
        <v>77400</v>
      </c>
      <c r="P261" s="122">
        <f t="shared" ca="1" si="14"/>
        <v>1.1904761904761928E-3</v>
      </c>
      <c r="Q261" s="28">
        <v>1</v>
      </c>
      <c r="R261" s="28">
        <v>0</v>
      </c>
      <c r="S261" s="28">
        <v>0</v>
      </c>
      <c r="T261" s="28">
        <v>0</v>
      </c>
      <c r="U261" s="28">
        <v>0</v>
      </c>
      <c r="V261" s="28">
        <v>1</v>
      </c>
    </row>
    <row r="262" spans="1:22" ht="21" customHeight="1" x14ac:dyDescent="0.15">
      <c r="A262" s="2" t="str">
        <f ca="1">input_384010!A$2</f>
        <v>384010</v>
      </c>
      <c r="B262" s="58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3">
        <f ca="1">IFERROR(VLOOKUP(B262,input_384010!L:R,7,FALSE),VLOOKUP(tables_384010!C262,input_384010!A:H,8,FALSE))</f>
        <v>73530</v>
      </c>
      <c r="P262" s="122">
        <f t="shared" ca="1" si="14"/>
        <v>1.1309523809523831E-3</v>
      </c>
      <c r="Q262" s="28">
        <v>1</v>
      </c>
      <c r="R262" s="28">
        <v>0</v>
      </c>
      <c r="S262" s="28">
        <v>0</v>
      </c>
      <c r="T262" s="28">
        <v>0</v>
      </c>
      <c r="U262" s="28">
        <v>0</v>
      </c>
      <c r="V262" s="28">
        <v>1</v>
      </c>
    </row>
    <row r="263" spans="1:22" ht="21" customHeight="1" x14ac:dyDescent="0.15">
      <c r="A263" s="2" t="str">
        <f ca="1">input_384010!A$2</f>
        <v>384010</v>
      </c>
      <c r="B263" s="58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3">
        <f ca="1">IFERROR(VLOOKUP(B263,input_384010!L:R,7,FALSE),VLOOKUP(tables_384010!C263,input_384010!A:H,8,FALSE))</f>
        <v>3870</v>
      </c>
      <c r="P263" s="122">
        <f t="shared" ca="1" si="14"/>
        <v>5.9523809523809632E-5</v>
      </c>
      <c r="Q263" s="28">
        <v>1</v>
      </c>
      <c r="R263" s="28">
        <v>0</v>
      </c>
      <c r="S263" s="28">
        <v>0</v>
      </c>
      <c r="T263" s="28">
        <v>0</v>
      </c>
      <c r="U263" s="28">
        <v>0</v>
      </c>
      <c r="V263" s="28">
        <v>1</v>
      </c>
    </row>
    <row r="264" spans="1:22" ht="21" customHeight="1" x14ac:dyDescent="0.15">
      <c r="A264" s="2" t="str">
        <f ca="1">input_384010!A$2</f>
        <v>384010</v>
      </c>
      <c r="B264" s="58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3">
        <f ca="1">IFERROR(VLOOKUP(B264,input_384010!L:R,7,FALSE),VLOOKUP(tables_384010!C264,input_384010!A:H,8,FALSE))</f>
        <v>73530</v>
      </c>
      <c r="P264" s="122">
        <f t="shared" ca="1" si="14"/>
        <v>1.1309523809523831E-3</v>
      </c>
      <c r="Q264" s="28">
        <v>1</v>
      </c>
      <c r="R264" s="28">
        <v>0</v>
      </c>
      <c r="S264" s="28">
        <v>0</v>
      </c>
      <c r="T264" s="28">
        <v>0</v>
      </c>
      <c r="U264" s="28">
        <v>0</v>
      </c>
      <c r="V264" s="28">
        <v>1</v>
      </c>
    </row>
    <row r="265" spans="1:22" ht="21" customHeight="1" x14ac:dyDescent="0.15">
      <c r="A265" s="2" t="str">
        <f ca="1">input_384010!A$2</f>
        <v>384010</v>
      </c>
      <c r="B265" s="58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3">
        <f ca="1">IFERROR(VLOOKUP(B265,input_384010!L:R,7,FALSE),VLOOKUP(tables_384010!C265,input_384010!A:H,8,FALSE))</f>
        <v>3870</v>
      </c>
      <c r="P265" s="122">
        <f t="shared" ca="1" si="14"/>
        <v>5.9523809523809632E-5</v>
      </c>
      <c r="Q265" s="28">
        <v>1</v>
      </c>
      <c r="R265" s="28">
        <v>0</v>
      </c>
      <c r="S265" s="28">
        <v>0</v>
      </c>
      <c r="T265" s="28">
        <v>0</v>
      </c>
      <c r="U265" s="28">
        <v>0</v>
      </c>
      <c r="V265" s="28">
        <v>1</v>
      </c>
    </row>
    <row r="266" spans="1:22" ht="21" customHeight="1" x14ac:dyDescent="0.15">
      <c r="A266" s="2" t="str">
        <f ca="1">input_384010!A$2</f>
        <v>384010</v>
      </c>
      <c r="B266" s="58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3">
        <f ca="1">IFERROR(VLOOKUP(B266,input_384010!L:R,7,FALSE),VLOOKUP(tables_384010!C266,input_384010!A:H,8,FALSE))</f>
        <v>359087.29920000001</v>
      </c>
      <c r="P266" s="122">
        <f t="shared" ca="1" si="14"/>
        <v>5.523060465116289E-3</v>
      </c>
      <c r="Q266" s="28">
        <v>1</v>
      </c>
      <c r="R266" s="28">
        <v>0</v>
      </c>
      <c r="S266" s="28">
        <v>0</v>
      </c>
      <c r="T266" s="28">
        <v>0</v>
      </c>
      <c r="U266" s="28">
        <v>0</v>
      </c>
      <c r="V266" s="28">
        <v>1</v>
      </c>
    </row>
    <row r="267" spans="1:22" ht="21" customHeight="1" x14ac:dyDescent="0.15">
      <c r="A267" s="2" t="str">
        <f ca="1">input_384010!A$2</f>
        <v>384010</v>
      </c>
      <c r="B267" s="58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3">
        <f ca="1">IFERROR(VLOOKUP(B267,input_384010!L:R,7,FALSE),VLOOKUP(tables_384010!C267,input_384010!A:H,8,FALSE))</f>
        <v>329161.95726</v>
      </c>
      <c r="P267" s="122">
        <f t="shared" ca="1" si="14"/>
        <v>5.0627838879660483E-3</v>
      </c>
      <c r="Q267" s="28">
        <v>1</v>
      </c>
      <c r="R267" s="28">
        <v>0</v>
      </c>
      <c r="S267" s="28">
        <v>0</v>
      </c>
      <c r="T267" s="28">
        <v>0</v>
      </c>
      <c r="U267" s="28">
        <v>0</v>
      </c>
      <c r="V267" s="28">
        <v>1</v>
      </c>
    </row>
    <row r="268" spans="1:22" ht="21" customHeight="1" x14ac:dyDescent="0.15">
      <c r="A268" s="2" t="str">
        <f ca="1">input_384010!A$2</f>
        <v>384010</v>
      </c>
      <c r="B268" s="58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3">
        <f ca="1">IFERROR(VLOOKUP(B268,input_384010!L:R,7,FALSE),VLOOKUP(tables_384010!C268,input_384010!A:H,8,FALSE))</f>
        <v>29925.341939999998</v>
      </c>
      <c r="P268" s="122">
        <f t="shared" ca="1" si="14"/>
        <v>4.6027657715024076E-4</v>
      </c>
      <c r="Q268" s="28">
        <v>1</v>
      </c>
      <c r="R268" s="28">
        <v>0</v>
      </c>
      <c r="S268" s="28">
        <v>0</v>
      </c>
      <c r="T268" s="28">
        <v>0</v>
      </c>
      <c r="U268" s="28">
        <v>0</v>
      </c>
      <c r="V268" s="28">
        <v>1</v>
      </c>
    </row>
    <row r="269" spans="1:22" ht="21" customHeight="1" x14ac:dyDescent="0.15">
      <c r="A269" s="2" t="str">
        <f ca="1">input_384010!A$2</f>
        <v>384010</v>
      </c>
      <c r="B269" s="58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3">
        <f ca="1">IFERROR(VLOOKUP(B269,input_384010!L:R,7,FALSE),VLOOKUP(tables_384010!C269,input_384010!A:H,8,FALSE))</f>
        <v>359087.29920000001</v>
      </c>
      <c r="P269" s="122">
        <f t="shared" ca="1" si="14"/>
        <v>5.523060465116289E-3</v>
      </c>
      <c r="Q269" s="28">
        <v>1</v>
      </c>
      <c r="R269" s="28">
        <v>0</v>
      </c>
      <c r="S269" s="28">
        <v>0</v>
      </c>
      <c r="T269" s="28">
        <v>0</v>
      </c>
      <c r="U269" s="28">
        <v>0</v>
      </c>
      <c r="V269" s="28">
        <v>1</v>
      </c>
    </row>
    <row r="270" spans="1:22" ht="21" customHeight="1" x14ac:dyDescent="0.15">
      <c r="A270" s="2" t="str">
        <f ca="1">input_384010!A$2</f>
        <v>384010</v>
      </c>
      <c r="B270" s="58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3">
        <f ca="1">IFERROR(VLOOKUP(B270,input_384010!L:R,7,FALSE),VLOOKUP(tables_384010!C270,input_384010!A:H,8,FALSE))</f>
        <v>329161.95726</v>
      </c>
      <c r="P270" s="122">
        <f t="shared" ca="1" si="14"/>
        <v>5.0627838879660483E-3</v>
      </c>
      <c r="Q270" s="28">
        <v>1</v>
      </c>
      <c r="R270" s="28">
        <v>0</v>
      </c>
      <c r="S270" s="28">
        <v>0</v>
      </c>
      <c r="T270" s="28">
        <v>0</v>
      </c>
      <c r="U270" s="28">
        <v>0</v>
      </c>
      <c r="V270" s="28">
        <v>1</v>
      </c>
    </row>
    <row r="271" spans="1:22" ht="21" customHeight="1" x14ac:dyDescent="0.15">
      <c r="A271" s="2" t="str">
        <f ca="1">input_384010!A$2</f>
        <v>384010</v>
      </c>
      <c r="B271" s="58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3">
        <f ca="1">IFERROR(VLOOKUP(B271,input_384010!L:R,7,FALSE),VLOOKUP(tables_384010!C271,input_384010!A:H,8,FALSE))</f>
        <v>29925.341939999998</v>
      </c>
      <c r="P271" s="122">
        <f t="shared" ca="1" si="14"/>
        <v>4.6027657715024076E-4</v>
      </c>
      <c r="Q271" s="28">
        <v>1</v>
      </c>
      <c r="R271" s="28">
        <v>0</v>
      </c>
      <c r="S271" s="28">
        <v>0</v>
      </c>
      <c r="T271" s="28">
        <v>0</v>
      </c>
      <c r="U271" s="28">
        <v>0</v>
      </c>
      <c r="V271" s="28">
        <v>1</v>
      </c>
    </row>
    <row r="272" spans="1:22" ht="21" customHeight="1" x14ac:dyDescent="0.15">
      <c r="A272" s="2" t="str">
        <f ca="1">input_384010!A$2</f>
        <v>384010</v>
      </c>
      <c r="B272" s="75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3">
        <f ca="1">IFERROR(VLOOKUP(B272,input_384010!L:R,7,FALSE),VLOOKUP(tables_384010!C272,input_384010!A:H,8,FALSE))</f>
        <v>77400</v>
      </c>
      <c r="P272" s="122">
        <f t="shared" ca="1" si="14"/>
        <v>1.1904761904761928E-3</v>
      </c>
      <c r="Q272" s="28">
        <v>1</v>
      </c>
      <c r="R272" s="28">
        <v>0</v>
      </c>
      <c r="S272" s="28">
        <v>0</v>
      </c>
      <c r="T272" s="28">
        <v>0</v>
      </c>
      <c r="U272" s="28">
        <v>0</v>
      </c>
      <c r="V272" s="28">
        <v>1</v>
      </c>
    </row>
    <row r="273" spans="1:22" ht="21" customHeight="1" x14ac:dyDescent="0.15">
      <c r="A273" s="2" t="str">
        <f ca="1">input_384010!A$2</f>
        <v>384010</v>
      </c>
      <c r="B273" s="75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3">
        <f ca="1">IFERROR(VLOOKUP(B273,input_384010!L:R,7,FALSE),VLOOKUP(tables_384010!C273,input_384010!A:H,8,FALSE))</f>
        <v>77400</v>
      </c>
      <c r="P273" s="122">
        <f t="shared" ca="1" si="14"/>
        <v>1.1904761904761928E-3</v>
      </c>
      <c r="Q273" s="28">
        <v>1</v>
      </c>
      <c r="R273" s="28">
        <v>0</v>
      </c>
      <c r="S273" s="28">
        <v>0</v>
      </c>
      <c r="T273" s="28">
        <v>0</v>
      </c>
      <c r="U273" s="28">
        <v>0</v>
      </c>
      <c r="V273" s="28">
        <v>1</v>
      </c>
    </row>
    <row r="274" spans="1:22" ht="21" customHeight="1" x14ac:dyDescent="0.15">
      <c r="A274" s="2" t="str">
        <f ca="1">input_384010!A$2</f>
        <v>384010</v>
      </c>
      <c r="B274" s="75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3">
        <f ca="1">IFERROR(VLOOKUP(B274,input_384010!L:R,7,FALSE),VLOOKUP(tables_384010!C274,input_384010!A:H,8,FALSE))</f>
        <v>682265.86847999995</v>
      </c>
      <c r="P274" s="122">
        <f t="shared" ca="1" si="14"/>
        <v>1.0493814883720949E-2</v>
      </c>
      <c r="Q274" s="28">
        <v>1</v>
      </c>
      <c r="R274" s="28">
        <v>0</v>
      </c>
      <c r="S274" s="28">
        <v>0</v>
      </c>
      <c r="T274" s="28">
        <v>0</v>
      </c>
      <c r="U274" s="28">
        <v>0</v>
      </c>
      <c r="V274" s="28">
        <v>1</v>
      </c>
    </row>
    <row r="275" spans="1:22" ht="21" customHeight="1" x14ac:dyDescent="0.15">
      <c r="A275" s="2" t="str">
        <f ca="1">input_384010!A$2</f>
        <v>384010</v>
      </c>
      <c r="B275" s="75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3">
        <f ca="1">IFERROR(VLOOKUP(B275,input_384010!L:R,7,FALSE),VLOOKUP(tables_384010!C275,input_384010!A:H,8,FALSE))</f>
        <v>35908.729919999998</v>
      </c>
      <c r="P275" s="122">
        <f t="shared" ca="1" si="14"/>
        <v>5.5230604651162888E-4</v>
      </c>
      <c r="Q275" s="28">
        <v>1</v>
      </c>
      <c r="R275" s="28">
        <v>0</v>
      </c>
      <c r="S275" s="28">
        <v>0</v>
      </c>
      <c r="T275" s="28">
        <v>0</v>
      </c>
      <c r="U275" s="28">
        <v>0</v>
      </c>
      <c r="V275" s="28">
        <v>1</v>
      </c>
    </row>
    <row r="276" spans="1:22" ht="21" customHeight="1" x14ac:dyDescent="0.15">
      <c r="A276" s="2" t="str">
        <f ca="1">input_384010!A$2</f>
        <v>384010</v>
      </c>
      <c r="B276" s="75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3">
        <f ca="1">IFERROR(VLOOKUP(B276,input_384010!L:R,7,FALSE),VLOOKUP(tables_384010!C276,input_384010!A:H,8,FALSE))</f>
        <v>682265.86847999995</v>
      </c>
      <c r="P276" s="122">
        <f t="shared" ca="1" si="14"/>
        <v>1.0493814883720949E-2</v>
      </c>
      <c r="Q276" s="28">
        <v>1</v>
      </c>
      <c r="R276" s="28">
        <v>0</v>
      </c>
      <c r="S276" s="28">
        <v>0</v>
      </c>
      <c r="T276" s="28">
        <v>0</v>
      </c>
      <c r="U276" s="28">
        <v>0</v>
      </c>
      <c r="V276" s="28">
        <v>1</v>
      </c>
    </row>
    <row r="277" spans="1:22" ht="21" customHeight="1" x14ac:dyDescent="0.15">
      <c r="A277" s="2" t="str">
        <f ca="1">input_384010!A$2</f>
        <v>384010</v>
      </c>
      <c r="B277" s="75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3">
        <f ca="1">IFERROR(VLOOKUP(B277,input_384010!L:R,7,FALSE),VLOOKUP(tables_384010!C277,input_384010!A:H,8,FALSE))</f>
        <v>35908.729919999998</v>
      </c>
      <c r="P277" s="122">
        <f t="shared" ca="1" si="14"/>
        <v>5.5230604651162888E-4</v>
      </c>
      <c r="Q277" s="28">
        <v>1</v>
      </c>
      <c r="R277" s="28">
        <v>0</v>
      </c>
      <c r="S277" s="28">
        <v>0</v>
      </c>
      <c r="T277" s="28">
        <v>0</v>
      </c>
      <c r="U277" s="28">
        <v>0</v>
      </c>
      <c r="V277" s="28">
        <v>1</v>
      </c>
    </row>
    <row r="278" spans="1:22" ht="21" customHeight="1" x14ac:dyDescent="0.15">
      <c r="A278" s="2" t="str">
        <f ca="1">input_384010!A$2</f>
        <v>384010</v>
      </c>
      <c r="B278" s="75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3">
        <f ca="1">IFERROR(VLOOKUP(B278,input_384010!L:R,7,FALSE),VLOOKUP(tables_384010!C278,input_384010!A:H,8,FALSE))</f>
        <v>682265.86847999995</v>
      </c>
      <c r="P278" s="122">
        <f t="shared" ca="1" si="14"/>
        <v>1.0493814883720949E-2</v>
      </c>
      <c r="Q278" s="28">
        <v>1</v>
      </c>
      <c r="R278" s="28">
        <v>0</v>
      </c>
      <c r="S278" s="28">
        <v>0</v>
      </c>
      <c r="T278" s="28">
        <v>0</v>
      </c>
      <c r="U278" s="28">
        <v>0</v>
      </c>
      <c r="V278" s="28">
        <v>1</v>
      </c>
    </row>
    <row r="279" spans="1:22" ht="21" customHeight="1" x14ac:dyDescent="0.15">
      <c r="A279" s="2" t="str">
        <f ca="1">input_384010!A$2</f>
        <v>384010</v>
      </c>
      <c r="B279" s="75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3">
        <f ca="1">IFERROR(VLOOKUP(B279,input_384010!L:R,7,FALSE),VLOOKUP(tables_384010!C279,input_384010!A:H,8,FALSE))</f>
        <v>35908.729919999998</v>
      </c>
      <c r="P279" s="122">
        <f t="shared" ca="1" si="14"/>
        <v>5.5230604651162888E-4</v>
      </c>
      <c r="Q279" s="28">
        <v>1</v>
      </c>
      <c r="R279" s="28">
        <v>0</v>
      </c>
      <c r="S279" s="28">
        <v>0</v>
      </c>
      <c r="T279" s="28">
        <v>0</v>
      </c>
      <c r="U279" s="28">
        <v>0</v>
      </c>
      <c r="V279" s="28">
        <v>1</v>
      </c>
    </row>
    <row r="280" spans="1:22" ht="21" customHeight="1" x14ac:dyDescent="0.15">
      <c r="A280" s="2" t="str">
        <f ca="1">input_384010!A$2</f>
        <v>384010</v>
      </c>
      <c r="B280" s="75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3">
        <f ca="1">IFERROR(VLOOKUP(B280,input_384010!L:R,7,FALSE),VLOOKUP(tables_384010!C280,input_384010!A:H,8,FALSE))</f>
        <v>682265.86847999995</v>
      </c>
      <c r="P280" s="122">
        <f t="shared" ca="1" si="14"/>
        <v>1.0493814883720949E-2</v>
      </c>
      <c r="Q280" s="28">
        <v>1</v>
      </c>
      <c r="R280" s="28">
        <v>0</v>
      </c>
      <c r="S280" s="28">
        <v>0</v>
      </c>
      <c r="T280" s="28">
        <v>0</v>
      </c>
      <c r="U280" s="28">
        <v>0</v>
      </c>
      <c r="V280" s="28">
        <v>1</v>
      </c>
    </row>
    <row r="281" spans="1:22" ht="21" customHeight="1" x14ac:dyDescent="0.15">
      <c r="A281" s="2" t="str">
        <f ca="1">input_384010!A$2</f>
        <v>384010</v>
      </c>
      <c r="B281" s="75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3">
        <f ca="1">IFERROR(VLOOKUP(B281,input_384010!L:R,7,FALSE),VLOOKUP(tables_384010!C281,input_384010!A:H,8,FALSE))</f>
        <v>35908.729919999998</v>
      </c>
      <c r="P281" s="122">
        <f t="shared" ca="1" si="14"/>
        <v>5.5230604651162888E-4</v>
      </c>
      <c r="Q281" s="28">
        <v>1</v>
      </c>
      <c r="R281" s="28">
        <v>0</v>
      </c>
      <c r="S281" s="28">
        <v>0</v>
      </c>
      <c r="T281" s="28">
        <v>0</v>
      </c>
      <c r="U281" s="28">
        <v>0</v>
      </c>
      <c r="V281" s="28">
        <v>1</v>
      </c>
    </row>
    <row r="282" spans="1:22" ht="21" customHeight="1" x14ac:dyDescent="0.15">
      <c r="A282" s="2" t="str">
        <f ca="1">input_384010!A$2</f>
        <v>384010</v>
      </c>
      <c r="B282" s="75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3">
        <f ca="1">IFERROR(VLOOKUP(B282,input_384010!L:R,7,FALSE),VLOOKUP(tables_384010!C282,input_384010!A:H,8,FALSE))</f>
        <v>77400</v>
      </c>
      <c r="P282" s="122">
        <f t="shared" ca="1" si="14"/>
        <v>1.1904761904761928E-3</v>
      </c>
      <c r="Q282" s="28">
        <v>1</v>
      </c>
      <c r="R282" s="28">
        <v>0</v>
      </c>
      <c r="S282" s="28">
        <v>0</v>
      </c>
      <c r="T282" s="28">
        <v>0</v>
      </c>
      <c r="U282" s="28">
        <v>0</v>
      </c>
      <c r="V282" s="28">
        <v>1</v>
      </c>
    </row>
    <row r="283" spans="1:22" ht="21" customHeight="1" x14ac:dyDescent="0.15">
      <c r="A283" s="2" t="str">
        <f ca="1">input_384010!A$2</f>
        <v>384010</v>
      </c>
      <c r="B283" s="75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3">
        <f ca="1">IFERROR(VLOOKUP(B283,input_384010!L:R,7,FALSE),VLOOKUP(tables_384010!C283,input_384010!A:H,8,FALSE))</f>
        <v>77400</v>
      </c>
      <c r="P283" s="122">
        <f t="shared" ca="1" si="14"/>
        <v>1.1904761904761928E-3</v>
      </c>
      <c r="Q283" s="28">
        <v>1</v>
      </c>
      <c r="R283" s="28">
        <v>0</v>
      </c>
      <c r="S283" s="28">
        <v>0</v>
      </c>
      <c r="T283" s="28">
        <v>0</v>
      </c>
      <c r="U283" s="28">
        <v>0</v>
      </c>
      <c r="V283" s="28">
        <v>1</v>
      </c>
    </row>
    <row r="284" spans="1:22" ht="21" customHeight="1" x14ac:dyDescent="0.15">
      <c r="A284" s="2" t="str">
        <f ca="1">input_384010!A$2</f>
        <v>384010</v>
      </c>
      <c r="B284" s="82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IFERROR(VLOOKUP(B284,input_384010!L:R,7,FALSE),VLOOKUP(tables_384010!C284,input_384010!A:H,8,FALSE))</f>
        <v>77400</v>
      </c>
      <c r="P284" s="122">
        <f t="shared" ca="1" si="14"/>
        <v>1.1904761904761928E-3</v>
      </c>
      <c r="Q284" s="28">
        <v>1</v>
      </c>
      <c r="R284" s="28">
        <v>0</v>
      </c>
      <c r="S284" s="28">
        <v>0</v>
      </c>
      <c r="T284" s="28">
        <v>0</v>
      </c>
      <c r="U284" s="28">
        <v>0</v>
      </c>
      <c r="V284" s="28">
        <v>1</v>
      </c>
    </row>
    <row r="285" spans="1:22" ht="21" customHeight="1" x14ac:dyDescent="0.15">
      <c r="A285" s="2" t="str">
        <f ca="1">input_384010!A$2</f>
        <v>384010</v>
      </c>
      <c r="B285" s="82">
        <v>744</v>
      </c>
      <c r="C285" s="7" t="str">
        <f t="shared" si="12"/>
        <v>PremiumSS5R5only</v>
      </c>
      <c r="D285" s="7" t="str">
        <f t="shared" si="13"/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IFERROR(VLOOKUP(B285,input_384010!L:R,7,FALSE),VLOOKUP(tables_384010!C285,input_384010!A:H,8,FALSE))</f>
        <v>77400</v>
      </c>
      <c r="P285" s="122">
        <f t="shared" ca="1" si="14"/>
        <v>1.1904761904761928E-3</v>
      </c>
      <c r="Q285" s="28">
        <v>1</v>
      </c>
      <c r="R285" s="28">
        <v>0</v>
      </c>
      <c r="S285" s="28">
        <v>0</v>
      </c>
      <c r="T285" s="28">
        <v>0</v>
      </c>
      <c r="U285" s="28">
        <v>0</v>
      </c>
      <c r="V285" s="28">
        <v>1</v>
      </c>
    </row>
    <row r="286" spans="1:22" ht="21" customHeight="1" x14ac:dyDescent="0.15">
      <c r="A286" s="2" t="str">
        <f ca="1">input_384010!A$2</f>
        <v>384010</v>
      </c>
      <c r="B286" s="82">
        <v>746</v>
      </c>
      <c r="C286" s="7" t="str">
        <f t="shared" si="12"/>
        <v>Premium4R3less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IFERROR(VLOOKUP(B286,input_384010!L:R,7,FALSE),VLOOKUP(tables_384010!C286,input_384010!A:H,8,FALSE))</f>
        <v>682265.86847999995</v>
      </c>
      <c r="P286" s="122">
        <f t="shared" ca="1" si="14"/>
        <v>1.0493814883720949E-2</v>
      </c>
      <c r="Q286" s="28">
        <v>1</v>
      </c>
      <c r="R286" s="28">
        <v>0</v>
      </c>
      <c r="S286" s="28">
        <v>0</v>
      </c>
      <c r="T286" s="28">
        <v>0</v>
      </c>
      <c r="U286" s="28">
        <v>0</v>
      </c>
      <c r="V286" s="28">
        <v>1</v>
      </c>
    </row>
    <row r="287" spans="1:22" ht="21" customHeight="1" x14ac:dyDescent="0.15">
      <c r="A287" s="2" t="str">
        <f ca="1">input_384010!A$2</f>
        <v>384010</v>
      </c>
      <c r="B287" s="82">
        <v>747</v>
      </c>
      <c r="C287" s="7" t="str">
        <f t="shared" si="12"/>
        <v>Premium5R3less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IFERROR(VLOOKUP(B287,input_384010!L:R,7,FALSE),VLOOKUP(tables_384010!C287,input_384010!A:H,8,FALSE))</f>
        <v>35908.729919999998</v>
      </c>
      <c r="P287" s="122">
        <f t="shared" ca="1" si="14"/>
        <v>5.5230604651162888E-4</v>
      </c>
      <c r="Q287" s="28">
        <v>1</v>
      </c>
      <c r="R287" s="28">
        <v>0</v>
      </c>
      <c r="S287" s="28">
        <v>0</v>
      </c>
      <c r="T287" s="28">
        <v>0</v>
      </c>
      <c r="U287" s="28">
        <v>0</v>
      </c>
      <c r="V287" s="28">
        <v>1</v>
      </c>
    </row>
    <row r="288" spans="1:22" ht="21" customHeight="1" x14ac:dyDescent="0.15">
      <c r="A288" s="2" t="str">
        <f ca="1">input_384010!A$2</f>
        <v>384010</v>
      </c>
      <c r="B288" s="82">
        <v>748</v>
      </c>
      <c r="C288" s="7" t="str">
        <f t="shared" si="12"/>
        <v>Premium4R3less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IFERROR(VLOOKUP(B288,input_384010!L:R,7,FALSE),VLOOKUP(tables_384010!C288,input_384010!A:H,8,FALSE))</f>
        <v>682265.86847999995</v>
      </c>
      <c r="P288" s="122">
        <f t="shared" ca="1" si="14"/>
        <v>1.0493814883720949E-2</v>
      </c>
      <c r="Q288" s="28">
        <v>1</v>
      </c>
      <c r="R288" s="28">
        <v>0</v>
      </c>
      <c r="S288" s="28">
        <v>0</v>
      </c>
      <c r="T288" s="28">
        <v>0</v>
      </c>
      <c r="U288" s="28">
        <v>0</v>
      </c>
      <c r="V288" s="28">
        <v>1</v>
      </c>
    </row>
    <row r="289" spans="1:22" ht="21" customHeight="1" x14ac:dyDescent="0.15">
      <c r="A289" s="2" t="str">
        <f ca="1">input_384010!A$2</f>
        <v>384010</v>
      </c>
      <c r="B289" s="82">
        <v>749</v>
      </c>
      <c r="C289" s="7" t="str">
        <f t="shared" si="12"/>
        <v>Premium5R3less</v>
      </c>
      <c r="D289" s="7" t="str">
        <f t="shared" si="13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IFERROR(VLOOKUP(B289,input_384010!L:R,7,FALSE),VLOOKUP(tables_384010!C289,input_384010!A:H,8,FALSE))</f>
        <v>35908.729919999998</v>
      </c>
      <c r="P289" s="122">
        <f t="shared" ca="1" si="14"/>
        <v>5.5230604651162888E-4</v>
      </c>
      <c r="Q289" s="28">
        <v>1</v>
      </c>
      <c r="R289" s="28">
        <v>0</v>
      </c>
      <c r="S289" s="28">
        <v>0</v>
      </c>
      <c r="T289" s="28">
        <v>0</v>
      </c>
      <c r="U289" s="28">
        <v>0</v>
      </c>
      <c r="V289" s="28">
        <v>1</v>
      </c>
    </row>
    <row r="290" spans="1:22" ht="21" customHeight="1" x14ac:dyDescent="0.15">
      <c r="A290" s="2" t="str">
        <f ca="1">input_384010!A$2</f>
        <v>384010</v>
      </c>
      <c r="B290" s="5">
        <v>937</v>
      </c>
      <c r="C290" s="7" t="str">
        <f t="shared" si="12"/>
        <v>PremiumSS5R5only</v>
      </c>
      <c r="D290" s="7" t="str">
        <f t="shared" si="13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3">
        <f ca="1">IFERROR(VLOOKUP(B290,input_384010!L:R,7,FALSE),VLOOKUP(tables_384010!C290,input_384010!A:H,8,FALSE))</f>
        <v>77400</v>
      </c>
      <c r="P290" s="122">
        <f t="shared" ca="1" si="14"/>
        <v>1.1904761904761928E-3</v>
      </c>
      <c r="Q290" s="28">
        <v>1</v>
      </c>
      <c r="R290" s="28">
        <v>0</v>
      </c>
      <c r="S290" s="28">
        <v>0</v>
      </c>
      <c r="T290" s="28">
        <v>0</v>
      </c>
      <c r="U290" s="28">
        <v>0</v>
      </c>
      <c r="V290" s="28">
        <v>1</v>
      </c>
    </row>
    <row r="291" spans="1:22" ht="21" customHeight="1" x14ac:dyDescent="0.15">
      <c r="A291" s="2" t="str">
        <f ca="1">input_384010!A$2</f>
        <v>384010</v>
      </c>
      <c r="B291" s="5">
        <v>939</v>
      </c>
      <c r="C291" s="7" t="str">
        <f t="shared" si="12"/>
        <v>Premium4R3less</v>
      </c>
      <c r="D291" s="7" t="str">
        <f t="shared" si="13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3">
        <f ca="1">IFERROR(VLOOKUP(B291,input_384010!L:R,7,FALSE),VLOOKUP(tables_384010!C291,input_384010!A:H,8,FALSE))</f>
        <v>682265.86847999995</v>
      </c>
      <c r="P291" s="122">
        <f t="shared" ca="1" si="14"/>
        <v>1.0493814883720949E-2</v>
      </c>
      <c r="Q291" s="28">
        <v>1</v>
      </c>
      <c r="R291" s="28">
        <v>0</v>
      </c>
      <c r="S291" s="28">
        <v>0</v>
      </c>
      <c r="T291" s="28">
        <v>0</v>
      </c>
      <c r="U291" s="28">
        <v>0</v>
      </c>
      <c r="V291" s="28">
        <v>1</v>
      </c>
    </row>
    <row r="292" spans="1:22" ht="21" customHeight="1" x14ac:dyDescent="0.15">
      <c r="A292" s="2" t="str">
        <f ca="1">input_384010!A$2</f>
        <v>384010</v>
      </c>
      <c r="B292" s="5">
        <v>940</v>
      </c>
      <c r="C292" s="7" t="str">
        <f t="shared" si="12"/>
        <v>Premium5R3less</v>
      </c>
      <c r="D292" s="7" t="str">
        <f t="shared" si="1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3">
        <f ca="1">IFERROR(VLOOKUP(B292,input_384010!L:R,7,FALSE),VLOOKUP(tables_384010!C292,input_384010!A:H,8,FALSE))</f>
        <v>35908.729919999998</v>
      </c>
      <c r="P292" s="122">
        <f t="shared" ca="1" si="14"/>
        <v>5.5230604651162888E-4</v>
      </c>
      <c r="Q292" s="28">
        <v>1</v>
      </c>
      <c r="R292" s="28">
        <v>0</v>
      </c>
      <c r="S292" s="28">
        <v>0</v>
      </c>
      <c r="T292" s="28">
        <v>0</v>
      </c>
      <c r="U292" s="28">
        <v>0</v>
      </c>
      <c r="V292" s="28">
        <v>1</v>
      </c>
    </row>
    <row r="293" spans="1:22" ht="21" customHeight="1" x14ac:dyDescent="0.15">
      <c r="A293" s="2" t="str">
        <f ca="1">input_384010!A$2</f>
        <v>384010</v>
      </c>
      <c r="B293" s="5">
        <v>941</v>
      </c>
      <c r="C293" s="7" t="str">
        <f t="shared" si="12"/>
        <v>PremiumSS5R5only</v>
      </c>
      <c r="D293" s="7" t="str">
        <f t="shared" si="1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3">
        <f ca="1">IFERROR(VLOOKUP(B293,input_384010!L:R,7,FALSE),VLOOKUP(tables_384010!C293,input_384010!A:H,8,FALSE))</f>
        <v>77400</v>
      </c>
      <c r="P293" s="122">
        <f t="shared" ca="1" si="14"/>
        <v>1.1904761904761928E-3</v>
      </c>
      <c r="Q293" s="28">
        <v>1</v>
      </c>
      <c r="R293" s="28">
        <v>0</v>
      </c>
      <c r="S293" s="28">
        <v>0</v>
      </c>
      <c r="T293" s="28">
        <v>0</v>
      </c>
      <c r="U293" s="28">
        <v>0</v>
      </c>
      <c r="V293" s="28">
        <v>1</v>
      </c>
    </row>
    <row r="294" spans="1:22" ht="21" customHeight="1" x14ac:dyDescent="0.15">
      <c r="A294" s="2" t="str">
        <f ca="1">input_384010!A$2</f>
        <v>384010</v>
      </c>
      <c r="B294" s="5">
        <v>943</v>
      </c>
      <c r="C294" s="7" t="str">
        <f t="shared" si="12"/>
        <v>PremiumSS5R5only</v>
      </c>
      <c r="D294" s="7" t="str">
        <f t="shared" si="1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IFERROR(VLOOKUP(B294,input_384010!L:R,7,FALSE),VLOOKUP(tables_384010!C294,input_384010!A:H,8,FALSE))</f>
        <v>77400</v>
      </c>
      <c r="P294" s="122">
        <f t="shared" ca="1" si="14"/>
        <v>1.1904761904761928E-3</v>
      </c>
      <c r="Q294" s="28">
        <v>1</v>
      </c>
      <c r="R294" s="28">
        <v>0</v>
      </c>
      <c r="S294" s="28">
        <v>0</v>
      </c>
      <c r="T294" s="28">
        <v>0</v>
      </c>
      <c r="U294" s="28">
        <v>0</v>
      </c>
      <c r="V294" s="28">
        <v>1</v>
      </c>
    </row>
    <row r="295" spans="1:22" ht="21" customHeight="1" x14ac:dyDescent="0.15">
      <c r="A295" s="2" t="str">
        <f ca="1">input_384010!A$2</f>
        <v>384010</v>
      </c>
      <c r="B295" s="5">
        <v>1012</v>
      </c>
      <c r="C295" s="7" t="str">
        <f t="shared" ref="C295:C299" si="15">D295&amp;J295&amp;E295&amp;F295&amp;G295</f>
        <v>PremiumSS5R5only</v>
      </c>
      <c r="D295" s="7" t="str">
        <f t="shared" ref="D295:D299" si="16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3">
        <f ca="1">IFERROR(VLOOKUP(B295,input_384010!L:R,7,FALSE),VLOOKUP(tables_384010!C295,input_384010!A:H,8,FALSE))</f>
        <v>77400</v>
      </c>
      <c r="P295" s="122">
        <f t="shared" ca="1" si="14"/>
        <v>1.1904761904761928E-3</v>
      </c>
      <c r="Q295" s="28">
        <v>1</v>
      </c>
      <c r="R295" s="28">
        <v>0</v>
      </c>
      <c r="S295" s="28">
        <v>0</v>
      </c>
      <c r="T295" s="28">
        <v>0</v>
      </c>
      <c r="U295" s="28">
        <v>0</v>
      </c>
      <c r="V295" s="28">
        <v>1</v>
      </c>
    </row>
    <row r="296" spans="1:22" ht="21" customHeight="1" x14ac:dyDescent="0.15">
      <c r="A296" s="2" t="str">
        <f ca="1">input_384010!A$2</f>
        <v>384010</v>
      </c>
      <c r="B296" s="5">
        <v>1014</v>
      </c>
      <c r="C296" s="7" t="str">
        <f t="shared" si="15"/>
        <v>PremiumSS5R5only</v>
      </c>
      <c r="D296" s="7" t="str">
        <f t="shared" si="16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3">
        <f ca="1">IFERROR(VLOOKUP(B296,input_384010!L:R,7,FALSE),VLOOKUP(tables_384010!C296,input_384010!A:H,8,FALSE))</f>
        <v>77400</v>
      </c>
      <c r="P296" s="122">
        <f t="shared" ca="1" si="14"/>
        <v>1.1904761904761928E-3</v>
      </c>
      <c r="Q296" s="28">
        <v>1</v>
      </c>
      <c r="R296" s="28">
        <v>0</v>
      </c>
      <c r="S296" s="28">
        <v>0</v>
      </c>
      <c r="T296" s="28">
        <v>0</v>
      </c>
      <c r="U296" s="28">
        <v>0</v>
      </c>
      <c r="V296" s="28">
        <v>1</v>
      </c>
    </row>
    <row r="297" spans="1:22" ht="21" customHeight="1" x14ac:dyDescent="0.15">
      <c r="A297" s="2" t="str">
        <f ca="1">input_384010!A$2</f>
        <v>384010</v>
      </c>
      <c r="B297" s="5">
        <v>1016</v>
      </c>
      <c r="C297" s="7" t="str">
        <f t="shared" si="15"/>
        <v>Premium4R3less</v>
      </c>
      <c r="D297" s="7" t="str">
        <f t="shared" si="16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3">
        <f ca="1">IFERROR(VLOOKUP(B297,input_384010!L:R,7,FALSE),VLOOKUP(tables_384010!C297,input_384010!A:H,8,FALSE))</f>
        <v>682265.86847999995</v>
      </c>
      <c r="P297" s="122">
        <f t="shared" ca="1" si="14"/>
        <v>1.0493814883720949E-2</v>
      </c>
      <c r="Q297" s="28">
        <v>1</v>
      </c>
      <c r="R297" s="28">
        <v>0</v>
      </c>
      <c r="S297" s="28">
        <v>0</v>
      </c>
      <c r="T297" s="28">
        <v>0</v>
      </c>
      <c r="U297" s="28">
        <v>0</v>
      </c>
      <c r="V297" s="28">
        <v>1</v>
      </c>
    </row>
    <row r="298" spans="1:22" ht="21" customHeight="1" x14ac:dyDescent="0.15">
      <c r="A298" s="2" t="str">
        <f ca="1">input_384010!A$2</f>
        <v>384010</v>
      </c>
      <c r="B298" s="5">
        <v>1017</v>
      </c>
      <c r="C298" s="7" t="str">
        <f t="shared" si="15"/>
        <v>Premium5R3less</v>
      </c>
      <c r="D298" s="7" t="str">
        <f t="shared" si="16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3">
        <f ca="1">IFERROR(VLOOKUP(B298,input_384010!L:R,7,FALSE),VLOOKUP(tables_384010!C298,input_384010!A:H,8,FALSE))</f>
        <v>35908.729919999998</v>
      </c>
      <c r="P298" s="122">
        <f t="shared" ca="1" si="14"/>
        <v>5.5230604651162888E-4</v>
      </c>
      <c r="Q298" s="28">
        <v>1</v>
      </c>
      <c r="R298" s="28">
        <v>0</v>
      </c>
      <c r="S298" s="28">
        <v>0</v>
      </c>
      <c r="T298" s="28">
        <v>0</v>
      </c>
      <c r="U298" s="28">
        <v>0</v>
      </c>
      <c r="V298" s="28">
        <v>1</v>
      </c>
    </row>
    <row r="299" spans="1:22" ht="21" customHeight="1" x14ac:dyDescent="0.15">
      <c r="A299" s="2" t="str">
        <f ca="1">input_384010!A$2</f>
        <v>384010</v>
      </c>
      <c r="B299" s="5">
        <v>1018</v>
      </c>
      <c r="C299" s="7" t="str">
        <f t="shared" si="15"/>
        <v>PremiumSS5R5only</v>
      </c>
      <c r="D299" s="7" t="str">
        <f t="shared" si="16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3">
        <f ca="1">IFERROR(VLOOKUP(B299,input_384010!L:R,7,FALSE),VLOOKUP(tables_384010!C299,input_384010!A:H,8,FALSE))</f>
        <v>77400</v>
      </c>
      <c r="P299" s="122">
        <f t="shared" ca="1" si="14"/>
        <v>1.1904761904761928E-3</v>
      </c>
      <c r="Q299" s="28">
        <v>1</v>
      </c>
      <c r="R299" s="28">
        <v>0</v>
      </c>
      <c r="S299" s="28">
        <v>0</v>
      </c>
      <c r="T299" s="28">
        <v>0</v>
      </c>
      <c r="U299" s="28">
        <v>0</v>
      </c>
      <c r="V299" s="28">
        <v>1</v>
      </c>
    </row>
    <row r="300" spans="1:22" ht="21" customHeight="1" x14ac:dyDescent="0.15">
      <c r="A300" s="2" t="str">
        <f ca="1">input_384010!A$2</f>
        <v>384010</v>
      </c>
      <c r="B300" s="6">
        <v>379</v>
      </c>
      <c r="C300" s="7" t="str">
        <f t="shared" ref="C300:C313" si="17">D300&amp;J300&amp;E300&amp;F300&amp;G300</f>
        <v>PremiumSSS5R3less</v>
      </c>
      <c r="D300" s="7" t="str">
        <f t="shared" ref="D300:D313" si="18">IF(I300="PremiumSS",I300,IF(I300="PremiumSSS",I300,IF(I300="PremiumW",I300,"Premium")))</f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幾何の機刃 オイラー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balance</v>
      </c>
      <c r="M300" s="7" t="str">
        <f>VLOOKUP(B300,[1]characters!$A:$M,13,FALSE)</f>
        <v>human</v>
      </c>
      <c r="N300" s="7" t="str">
        <f>VLOOKUP(B300,[1]characters!$A:$G,7,FALSE)</f>
        <v>女性</v>
      </c>
      <c r="O300" s="43">
        <f>IFERROR(VLOOKUP(B300,input_384010!L:R,7,FALSE),VLOOKUP(tables_384010!C300,input_384010!A:H,8,FALSE))</f>
        <v>130.03199999999998</v>
      </c>
      <c r="P300" s="122">
        <f t="shared" ref="P300:P313" ca="1" si="19">O300/SUM(O:O)</f>
        <v>2.0000000000000033E-6</v>
      </c>
      <c r="Q300" s="28">
        <v>1</v>
      </c>
      <c r="R300" s="28">
        <v>0</v>
      </c>
      <c r="S300" s="28">
        <v>0</v>
      </c>
      <c r="T300" s="28">
        <v>0</v>
      </c>
      <c r="U300" s="28">
        <v>0</v>
      </c>
      <c r="V300" s="28">
        <v>1</v>
      </c>
    </row>
    <row r="301" spans="1:22" ht="21" customHeight="1" x14ac:dyDescent="0.15">
      <c r="A301" s="2" t="str">
        <f ca="1">input_384010!A$2</f>
        <v>384010</v>
      </c>
      <c r="B301" s="6">
        <v>411</v>
      </c>
      <c r="C301" s="7" t="str">
        <f t="shared" si="17"/>
        <v>PremiumSSS5R3less</v>
      </c>
      <c r="D301" s="7" t="str">
        <f t="shared" si="18"/>
        <v>PremiumSSS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電隷の始祖 ファラデー</v>
      </c>
      <c r="I301" s="7" t="str">
        <f>VLOOKUP(B301,[1]characters!$A:$J,10,FALSE)</f>
        <v>PremiumSSS</v>
      </c>
      <c r="J301" s="7">
        <f>VLOOKUP(B301,[1]characters!$A:$I,9,FALSE)</f>
        <v>5</v>
      </c>
      <c r="K301" s="7" t="str">
        <f>VLOOKUP(B301,[1]characters!$A:$H,8,FALSE)</f>
        <v>yellow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女性</v>
      </c>
      <c r="O301" s="43">
        <f>IFERROR(VLOOKUP(B301,input_384010!L:R,7,FALSE),VLOOKUP(tables_384010!C301,input_384010!A:H,8,FALSE))</f>
        <v>130.03199999999998</v>
      </c>
      <c r="P301" s="122">
        <f t="shared" ca="1" si="19"/>
        <v>2.0000000000000033E-6</v>
      </c>
      <c r="Q301" s="28">
        <v>1</v>
      </c>
      <c r="R301" s="28">
        <v>0</v>
      </c>
      <c r="S301" s="28">
        <v>0</v>
      </c>
      <c r="T301" s="28">
        <v>0</v>
      </c>
      <c r="U301" s="28">
        <v>0</v>
      </c>
      <c r="V301" s="28">
        <v>1</v>
      </c>
    </row>
    <row r="302" spans="1:22" ht="21" customHeight="1" x14ac:dyDescent="0.15">
      <c r="A302" s="2" t="str">
        <f ca="1">input_384010!A$2</f>
        <v>384010</v>
      </c>
      <c r="B302" s="6">
        <v>485</v>
      </c>
      <c r="C302" s="7" t="str">
        <f t="shared" si="17"/>
        <v>PremiumSSS5R3less</v>
      </c>
      <c r="D302" s="7" t="str">
        <f t="shared" si="18"/>
        <v>PremiumSSS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/>
      <c r="H302" s="7" t="str">
        <f>VLOOKUP(B302,[1]characters!$A:$C,3,FALSE)</f>
        <v>超越自我 ラグランジュ</v>
      </c>
      <c r="I302" s="7" t="str">
        <f>VLOOKUP(B302,[1]characters!$A:$J,10,FALSE)</f>
        <v>PremiumSSS</v>
      </c>
      <c r="J302" s="7">
        <f>VLOOKUP(B302,[1]characters!$A:$I,9,FALSE)</f>
        <v>5</v>
      </c>
      <c r="K302" s="7" t="str">
        <f>VLOOKUP(B302,[1]characters!$A:$H,8,FALSE)</f>
        <v>red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女性</v>
      </c>
      <c r="O302" s="43">
        <f>IFERROR(VLOOKUP(B302,input_384010!L:R,7,FALSE),VLOOKUP(tables_384010!C302,input_384010!A:H,8,FALSE))</f>
        <v>130.03199999999998</v>
      </c>
      <c r="P302" s="122">
        <f t="shared" ca="1" si="19"/>
        <v>2.0000000000000033E-6</v>
      </c>
      <c r="Q302" s="28">
        <v>1</v>
      </c>
      <c r="R302" s="28">
        <v>0</v>
      </c>
      <c r="S302" s="28">
        <v>0</v>
      </c>
      <c r="T302" s="28">
        <v>0</v>
      </c>
      <c r="U302" s="28">
        <v>0</v>
      </c>
      <c r="V302" s="28">
        <v>1</v>
      </c>
    </row>
    <row r="303" spans="1:22" ht="21" customHeight="1" x14ac:dyDescent="0.15">
      <c r="A303" s="2" t="str">
        <f ca="1">input_384010!A$2</f>
        <v>384010</v>
      </c>
      <c r="B303" s="6">
        <v>689</v>
      </c>
      <c r="C303" s="7" t="str">
        <f t="shared" si="17"/>
        <v>PremiumSSS5R3less</v>
      </c>
      <c r="D303" s="7" t="str">
        <f t="shared" si="18"/>
        <v>PremiumSSS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根原論理 ユークリッド</v>
      </c>
      <c r="I303" s="7" t="str">
        <f>VLOOKUP(B303,[1]characters!$A:$J,10,FALSE)</f>
        <v>PremiumSSS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balance</v>
      </c>
      <c r="M303" s="7" t="str">
        <f>VLOOKUP(B303,[1]characters!$A:$M,13,FALSE)</f>
        <v>human</v>
      </c>
      <c r="N303" s="7" t="str">
        <f>VLOOKUP(B303,[1]characters!$A:$G,7,FALSE)</f>
        <v>女性</v>
      </c>
      <c r="O303" s="43">
        <f>IFERROR(VLOOKUP(B303,input_384010!L:R,7,FALSE),VLOOKUP(tables_384010!C303,input_384010!A:H,8,FALSE))</f>
        <v>130.03199999999998</v>
      </c>
      <c r="P303" s="122">
        <f t="shared" ca="1" si="19"/>
        <v>2.0000000000000033E-6</v>
      </c>
      <c r="Q303" s="28">
        <v>1</v>
      </c>
      <c r="R303" s="28">
        <v>0</v>
      </c>
      <c r="S303" s="28">
        <v>0</v>
      </c>
      <c r="T303" s="28">
        <v>0</v>
      </c>
      <c r="U303" s="28">
        <v>0</v>
      </c>
      <c r="V303" s="28">
        <v>1</v>
      </c>
    </row>
    <row r="304" spans="1:22" ht="21" customHeight="1" x14ac:dyDescent="0.15">
      <c r="A304" s="2" t="str">
        <f ca="1">input_384010!A$2</f>
        <v>384010</v>
      </c>
      <c r="B304" s="6">
        <v>760</v>
      </c>
      <c r="C304" s="7" t="str">
        <f t="shared" si="17"/>
        <v>PremiumSSS5R3less</v>
      </c>
      <c r="D304" s="7" t="str">
        <f t="shared" si="18"/>
        <v>PremiumSSS</v>
      </c>
      <c r="E304" s="7" t="str">
        <f>IF(COUNTIF('R6追加前'!A:A,B304)=0,IF(I304="PremiumSS","R5only","R3less"),"")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限論顕現 クロネッカー</v>
      </c>
      <c r="I304" s="7" t="str">
        <f>VLOOKUP(B304,[1]characters!$A:$J,10,FALSE)</f>
        <v>PremiumSSS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balance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3">
        <f>IFERROR(VLOOKUP(B304,input_384010!L:R,7,FALSE),VLOOKUP(tables_384010!C304,input_384010!A:H,8,FALSE))</f>
        <v>156.0384</v>
      </c>
      <c r="P304" s="122">
        <f t="shared" ca="1" si="19"/>
        <v>2.4000000000000041E-6</v>
      </c>
      <c r="Q304" s="28">
        <v>1</v>
      </c>
      <c r="R304" s="28">
        <v>0</v>
      </c>
      <c r="S304" s="28">
        <v>0</v>
      </c>
      <c r="T304" s="28">
        <v>0</v>
      </c>
      <c r="U304" s="28">
        <v>0</v>
      </c>
      <c r="V304" s="28">
        <v>1</v>
      </c>
    </row>
    <row r="305" spans="1:22" ht="21" customHeight="1" x14ac:dyDescent="0.15">
      <c r="A305" s="2" t="str">
        <f ca="1">input_384010!A$2</f>
        <v>384010</v>
      </c>
      <c r="B305" s="6">
        <v>750</v>
      </c>
      <c r="C305" s="7" t="str">
        <f t="shared" si="17"/>
        <v>PremiumSSS5R3less</v>
      </c>
      <c r="D305" s="7" t="str">
        <f t="shared" si="18"/>
        <v>PremiumSSS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ポアソン</v>
      </c>
      <c r="I305" s="7" t="str">
        <f>VLOOKUP(B305,[1]characters!$A:$J,10,FALSE)</f>
        <v>PremiumSSS</v>
      </c>
      <c r="J305" s="7">
        <f>VLOOKUP(B305,[1]characters!$A:$I,9,FALSE)</f>
        <v>5</v>
      </c>
      <c r="K305" s="7" t="str">
        <f>VLOOKUP(B305,[1]characters!$A:$H,8,FALSE)</f>
        <v>green</v>
      </c>
      <c r="L305" s="7" t="str">
        <f>VLOOKUP(B305,[1]characters!$A:$K,11,FALSE)</f>
        <v>balance</v>
      </c>
      <c r="M305" s="7" t="str">
        <f>VLOOKUP(B305,[1]characters!$A:$M,13,FALSE)</f>
        <v>academia</v>
      </c>
      <c r="N305" s="7" t="str">
        <f>VLOOKUP(B305,[1]characters!$A:$G,7,FALSE)</f>
        <v>男性</v>
      </c>
      <c r="O305" s="43">
        <f>IFERROR(VLOOKUP(B305,input_384010!L:R,7,FALSE),VLOOKUP(tables_384010!C305,input_384010!A:H,8,FALSE))</f>
        <v>156.0384</v>
      </c>
      <c r="P305" s="122">
        <f t="shared" ca="1" si="19"/>
        <v>2.4000000000000041E-6</v>
      </c>
      <c r="Q305" s="28">
        <v>1</v>
      </c>
      <c r="R305" s="28">
        <v>0</v>
      </c>
      <c r="S305" s="28">
        <v>0</v>
      </c>
      <c r="T305" s="28">
        <v>0</v>
      </c>
      <c r="U305" s="28">
        <v>0</v>
      </c>
      <c r="V305" s="28">
        <v>1</v>
      </c>
    </row>
    <row r="306" spans="1:22" ht="21" customHeight="1" x14ac:dyDescent="0.15">
      <c r="A306" s="2" t="str">
        <f ca="1">input_384010!A$2</f>
        <v>384010</v>
      </c>
      <c r="B306" s="8">
        <v>870</v>
      </c>
      <c r="C306" s="7" t="str">
        <f t="shared" si="17"/>
        <v>PremiumSSS5R3less</v>
      </c>
      <c r="D306" s="7" t="str">
        <f t="shared" si="18"/>
        <v>PremiumSSS</v>
      </c>
      <c r="E306" s="7" t="str">
        <f>IF(COUNTIF('R6追加前'!A:A,B306)=0,IF(I306="PremiumSS","R5only","R3less"),"")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フロイト</v>
      </c>
      <c r="I306" s="7" t="str">
        <f>VLOOKUP(B306,[1]characters!$A:$J,10,FALSE)</f>
        <v>PremiumSSS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academia</v>
      </c>
      <c r="N306" s="7" t="str">
        <f>VLOOKUP(B306,[1]characters!$A:$G,7,FALSE)</f>
        <v>男性</v>
      </c>
      <c r="O306" s="43">
        <f>IFERROR(VLOOKUP(B306,input_384010!L:R,7,FALSE),VLOOKUP(tables_384010!C306,input_384010!A:H,8,FALSE))</f>
        <v>156.0384</v>
      </c>
      <c r="P306" s="122">
        <f t="shared" ca="1" si="19"/>
        <v>2.4000000000000041E-6</v>
      </c>
      <c r="Q306" s="28">
        <v>1</v>
      </c>
      <c r="R306" s="28">
        <v>0</v>
      </c>
      <c r="S306" s="28">
        <v>0</v>
      </c>
      <c r="T306" s="28">
        <v>0</v>
      </c>
      <c r="U306" s="28">
        <v>0</v>
      </c>
      <c r="V306" s="28">
        <v>1</v>
      </c>
    </row>
    <row r="307" spans="1:22" ht="21" customHeight="1" x14ac:dyDescent="0.15">
      <c r="A307" s="2" t="str">
        <f ca="1">input_384010!A$2</f>
        <v>384010</v>
      </c>
      <c r="B307" s="8">
        <v>486</v>
      </c>
      <c r="C307" s="7" t="str">
        <f t="shared" si="17"/>
        <v>PremiumSSS5R3less</v>
      </c>
      <c r="D307" s="7" t="str">
        <f t="shared" si="18"/>
        <v>PremiumSSS</v>
      </c>
      <c r="E307" s="7" t="str">
        <f>IF(COUNTIF('R6追加前'!A:A,B307)=0,IF(I307="PremiumSS","R5only","R3less"),"")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重なる世解 シュレディンガー</v>
      </c>
      <c r="I307" s="7" t="str">
        <f>VLOOKUP(B307,[1]characters!$A:$J,10,FALSE)</f>
        <v>PremiumSSS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balance</v>
      </c>
      <c r="M307" s="7" t="str">
        <f>VLOOKUP(B307,[1]characters!$A:$M,13,FALSE)</f>
        <v>animal</v>
      </c>
      <c r="N307" s="7" t="str">
        <f>VLOOKUP(B307,[1]characters!$A:$G,7,FALSE)</f>
        <v>男性</v>
      </c>
      <c r="O307" s="43">
        <f>IFERROR(VLOOKUP(B307,input_384010!L:R,7,FALSE),VLOOKUP(tables_384010!C307,input_384010!A:H,8,FALSE))</f>
        <v>156.0384</v>
      </c>
      <c r="P307" s="122">
        <f t="shared" ca="1" si="19"/>
        <v>2.4000000000000041E-6</v>
      </c>
      <c r="Q307" s="28">
        <v>1</v>
      </c>
      <c r="R307" s="28">
        <v>0</v>
      </c>
      <c r="S307" s="28">
        <v>0</v>
      </c>
      <c r="T307" s="28">
        <v>0</v>
      </c>
      <c r="U307" s="28">
        <v>0</v>
      </c>
      <c r="V307" s="28">
        <v>1</v>
      </c>
    </row>
    <row r="308" spans="1:22" ht="21" customHeight="1" x14ac:dyDescent="0.15">
      <c r="A308" s="2" t="str">
        <f ca="1">input_384010!A$2</f>
        <v>384010</v>
      </c>
      <c r="B308" s="6">
        <v>488</v>
      </c>
      <c r="C308" s="7" t="str">
        <f t="shared" si="17"/>
        <v>PremiumSSS5R3less</v>
      </c>
      <c r="D308" s="7" t="str">
        <f t="shared" si="18"/>
        <v>PremiumSSS</v>
      </c>
      <c r="E308" s="7" t="str">
        <f>IF(COUNTIF('R6追加前'!A:A,B308)=0,IF(I308="PremiumSS","R5only","R3less"),"")</f>
        <v>R3less</v>
      </c>
      <c r="F308" s="7" t="str">
        <f>IF(COUNTIF('R6開放'!A:A,B308)&gt;0,"R6release","")</f>
        <v/>
      </c>
      <c r="G308" s="7"/>
      <c r="H308" s="7" t="str">
        <f>VLOOKUP(B308,[1]characters!$A:$C,3,FALSE)</f>
        <v>直観の異論 ヘンペル</v>
      </c>
      <c r="I308" s="7" t="str">
        <f>VLOOKUP(B308,[1]characters!$A:$J,10,FALSE)</f>
        <v>PremiumSSS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technical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>IFERROR(VLOOKUP(B308,input_384010!L:R,7,FALSE),VLOOKUP(tables_384010!C308,input_384010!A:H,8,FALSE))</f>
        <v>156.0384</v>
      </c>
      <c r="P308" s="122">
        <f t="shared" ca="1" si="19"/>
        <v>2.4000000000000041E-6</v>
      </c>
      <c r="Q308" s="28">
        <v>1</v>
      </c>
      <c r="R308" s="28">
        <v>0</v>
      </c>
      <c r="S308" s="28">
        <v>0</v>
      </c>
      <c r="T308" s="28">
        <v>0</v>
      </c>
      <c r="U308" s="28">
        <v>0</v>
      </c>
      <c r="V308" s="28">
        <v>1</v>
      </c>
    </row>
    <row r="309" spans="1:22" ht="21" customHeight="1" x14ac:dyDescent="0.15">
      <c r="A309" s="2" t="str">
        <f ca="1">input_384010!A$2</f>
        <v>384010</v>
      </c>
      <c r="B309" s="6">
        <v>489</v>
      </c>
      <c r="C309" s="7" t="str">
        <f t="shared" si="17"/>
        <v>PremiumSSS5R3less</v>
      </c>
      <c r="D309" s="7" t="str">
        <f t="shared" si="18"/>
        <v>PremiumSSS</v>
      </c>
      <c r="E309" s="7" t="str">
        <f>IF(COUNTIF('R6追加前'!A:A,B309)=0,IF(I309="PremiumSS","R5only","R3less"),"")</f>
        <v>R3less</v>
      </c>
      <c r="F309" s="7" t="str">
        <f>IF(COUNTIF('R6開放'!A:A,B309)&gt;0,"R6release","")</f>
        <v/>
      </c>
      <c r="G309" s="7"/>
      <c r="H309" s="7" t="str">
        <f>VLOOKUP(B309,[1]characters!$A:$C,3,FALSE)</f>
        <v>宇宙の拡超 ハップル</v>
      </c>
      <c r="I309" s="7" t="str">
        <f>VLOOKUP(B309,[1]characters!$A:$J,10,FALSE)</f>
        <v>PremiumSSS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女性</v>
      </c>
      <c r="O309" s="43">
        <f>IFERROR(VLOOKUP(B309,input_384010!L:R,7,FALSE),VLOOKUP(tables_384010!C309,input_384010!A:H,8,FALSE))</f>
        <v>156.0384</v>
      </c>
      <c r="P309" s="122">
        <f t="shared" ca="1" si="19"/>
        <v>2.4000000000000041E-6</v>
      </c>
      <c r="Q309" s="28">
        <v>1</v>
      </c>
      <c r="R309" s="28">
        <v>0</v>
      </c>
      <c r="S309" s="28">
        <v>0</v>
      </c>
      <c r="T309" s="28">
        <v>0</v>
      </c>
      <c r="U309" s="28">
        <v>0</v>
      </c>
      <c r="V309" s="28">
        <v>1</v>
      </c>
    </row>
    <row r="310" spans="1:22" ht="21" customHeight="1" x14ac:dyDescent="0.15">
      <c r="A310" s="2" t="str">
        <f ca="1">input_384010!A$2</f>
        <v>384010</v>
      </c>
      <c r="B310" s="6">
        <v>762</v>
      </c>
      <c r="C310" s="7" t="str">
        <f t="shared" si="17"/>
        <v>PremiumSSS5R3less</v>
      </c>
      <c r="D310" s="7" t="str">
        <f t="shared" si="18"/>
        <v>PremiumSSS</v>
      </c>
      <c r="E310" s="7" t="str">
        <f>IF(COUNTIF('R6追加前'!A:A,B310)=0,IF(I310="PremiumSS","R5only","R3less"),"")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フィボナッチ</v>
      </c>
      <c r="I310" s="7" t="str">
        <f>VLOOKUP(B310,[1]characters!$A:$J,10,FALSE)</f>
        <v>PremiumSSS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balance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>IFERROR(VLOOKUP(B310,input_384010!L:R,7,FALSE),VLOOKUP(tables_384010!C310,input_384010!A:H,8,FALSE))</f>
        <v>156.0384</v>
      </c>
      <c r="P310" s="122">
        <f t="shared" ca="1" si="19"/>
        <v>2.4000000000000041E-6</v>
      </c>
      <c r="Q310" s="28">
        <v>1</v>
      </c>
      <c r="R310" s="28">
        <v>0</v>
      </c>
      <c r="S310" s="28">
        <v>0</v>
      </c>
      <c r="T310" s="28">
        <v>0</v>
      </c>
      <c r="U310" s="28">
        <v>0</v>
      </c>
      <c r="V310" s="28">
        <v>1</v>
      </c>
    </row>
    <row r="311" spans="1:22" ht="21" customHeight="1" x14ac:dyDescent="0.15">
      <c r="A311" s="2" t="str">
        <f ca="1">input_384010!A$2</f>
        <v>384010</v>
      </c>
      <c r="B311" s="5">
        <v>487</v>
      </c>
      <c r="C311" s="7" t="str">
        <f t="shared" si="17"/>
        <v>PremiumSSS5R3less</v>
      </c>
      <c r="D311" s="7" t="str">
        <f t="shared" si="18"/>
        <v>PremiumSSS</v>
      </c>
      <c r="E311" s="7" t="str">
        <f>IF(COUNTIF('R6追加前'!A:A,B311)=0,IF(I311="PremiumSS","R5only","R3less"),"")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暴創の造物 チューリング</v>
      </c>
      <c r="I311" s="7" t="str">
        <f>VLOOKUP(B311,[1]characters!$A:$J,10,FALSE)</f>
        <v>PremiumSSS</v>
      </c>
      <c r="J311" s="7">
        <f>VLOOKUP(B311,[1]characters!$A:$I,9,FALSE)</f>
        <v>5</v>
      </c>
      <c r="K311" s="7" t="str">
        <f>VLOOKUP(B311,[1]characters!$A:$H,8,FALSE)</f>
        <v>green</v>
      </c>
      <c r="L311" s="7" t="str">
        <f>VLOOKUP(B311,[1]characters!$A:$K,11,FALSE)</f>
        <v>hp</v>
      </c>
      <c r="M311" s="7" t="str">
        <f>VLOOKUP(B311,[1]characters!$A:$M,13,FALSE)</f>
        <v>human</v>
      </c>
      <c r="N311" s="7" t="str">
        <f>VLOOKUP(B311,[1]characters!$A:$G,7,FALSE)</f>
        <v>女性</v>
      </c>
      <c r="O311" s="43">
        <f>IFERROR(VLOOKUP(B311,input_384010!L:R,7,FALSE),VLOOKUP(tables_384010!C311,input_384010!A:H,8,FALSE))</f>
        <v>156.0384</v>
      </c>
      <c r="P311" s="122">
        <f t="shared" ca="1" si="19"/>
        <v>2.4000000000000041E-6</v>
      </c>
      <c r="Q311" s="28">
        <v>1</v>
      </c>
      <c r="R311" s="28">
        <v>0</v>
      </c>
      <c r="S311" s="28">
        <v>0</v>
      </c>
      <c r="T311" s="28">
        <v>0</v>
      </c>
      <c r="U311" s="28">
        <v>0</v>
      </c>
      <c r="V311" s="28">
        <v>1</v>
      </c>
    </row>
    <row r="312" spans="1:22" ht="21" customHeight="1" x14ac:dyDescent="0.15">
      <c r="A312" s="2" t="str">
        <f ca="1">input_384010!A$2</f>
        <v>384010</v>
      </c>
      <c r="B312" s="5">
        <v>790</v>
      </c>
      <c r="C312" s="7" t="str">
        <f t="shared" si="17"/>
        <v>PremiumSSS5R3less</v>
      </c>
      <c r="D312" s="7" t="str">
        <f t="shared" si="18"/>
        <v>PremiumSSS</v>
      </c>
      <c r="E312" s="7" t="str">
        <f>IF(COUNTIF('R6追加前'!A:A,B312)=0,IF(I312="PremiumSS","R5only","R3less"),"")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戦略級の才脳 ノイマン</v>
      </c>
      <c r="I312" s="7" t="str">
        <f>VLOOKUP(B312,[1]characters!$A:$J,10,FALSE)</f>
        <v>PremiumSSS</v>
      </c>
      <c r="J312" s="7">
        <f>VLOOKUP(B312,[1]characters!$A:$I,9,FALSE)</f>
        <v>5</v>
      </c>
      <c r="K312" s="7" t="str">
        <f>VLOOKUP(B312,[1]characters!$A:$H,8,FALSE)</f>
        <v>blue</v>
      </c>
      <c r="L312" s="7" t="str">
        <f>VLOOKUP(B312,[1]characters!$A:$K,11,FALSE)</f>
        <v>attack</v>
      </c>
      <c r="M312" s="7" t="str">
        <f>VLOOKUP(B312,[1]characters!$A:$M,13,FALSE)</f>
        <v>machine</v>
      </c>
      <c r="N312" s="7" t="str">
        <f>VLOOKUP(B312,[1]characters!$A:$G,7,FALSE)</f>
        <v>女性</v>
      </c>
      <c r="O312" s="43">
        <f>IFERROR(VLOOKUP(B312,input_384010!L:R,7,FALSE),VLOOKUP(tables_384010!C312,input_384010!A:H,8,FALSE))</f>
        <v>156.0384</v>
      </c>
      <c r="P312" s="122">
        <f t="shared" ca="1" si="19"/>
        <v>2.4000000000000041E-6</v>
      </c>
      <c r="Q312" s="28">
        <v>1</v>
      </c>
      <c r="R312" s="28">
        <v>0</v>
      </c>
      <c r="S312" s="28">
        <v>0</v>
      </c>
      <c r="T312" s="28">
        <v>0</v>
      </c>
      <c r="U312" s="28">
        <v>0</v>
      </c>
      <c r="V312" s="28">
        <v>1</v>
      </c>
    </row>
    <row r="313" spans="1:22" ht="21" customHeight="1" x14ac:dyDescent="0.15">
      <c r="A313" s="2" t="str">
        <f ca="1">input_384010!A$2</f>
        <v>384010</v>
      </c>
      <c r="B313" s="5">
        <v>792</v>
      </c>
      <c r="C313" s="7" t="str">
        <f t="shared" si="17"/>
        <v>PremiumSSS5R3less</v>
      </c>
      <c r="D313" s="7" t="str">
        <f t="shared" si="18"/>
        <v>PremiumSSS</v>
      </c>
      <c r="E313" s="7" t="str">
        <f>IF(COUNTIF('R6追加前'!A:A,B313)=0,IF(I313="PremiumSS","R5only","R3less"),"")</f>
        <v>R3less</v>
      </c>
      <c r="F313" s="7" t="str">
        <f>IF(COUNTIF('R6開放'!A:A,B313)&gt;0,"R6release","")</f>
        <v/>
      </c>
      <c r="G313" s="7"/>
      <c r="H313" s="7" t="str">
        <f>VLOOKUP(B313,[1]characters!$A:$C,3,FALSE)</f>
        <v>片還の収波 フーリエ</v>
      </c>
      <c r="I313" s="7" t="str">
        <f>VLOOKUP(B313,[1]characters!$A:$J,10,FALSE)</f>
        <v>PremiumSSS</v>
      </c>
      <c r="J313" s="7">
        <f>VLOOKUP(B313,[1]characters!$A:$I,9,FALSE)</f>
        <v>5</v>
      </c>
      <c r="K313" s="7" t="str">
        <f>VLOOKUP(B313,[1]characters!$A:$H,8,FALSE)</f>
        <v>yellow</v>
      </c>
      <c r="L313" s="7" t="str">
        <f>VLOOKUP(B313,[1]characters!$A:$K,11,FALSE)</f>
        <v>technical</v>
      </c>
      <c r="M313" s="7" t="str">
        <f>VLOOKUP(B313,[1]characters!$A:$M,13,FALSE)</f>
        <v>human</v>
      </c>
      <c r="N313" s="7" t="str">
        <f>VLOOKUP(B313,[1]characters!$A:$G,7,FALSE)</f>
        <v>男性</v>
      </c>
      <c r="O313" s="43">
        <f>IFERROR(VLOOKUP(B313,input_384010!L:R,7,FALSE),VLOOKUP(tables_384010!C313,input_384010!A:H,8,FALSE))</f>
        <v>156.0384</v>
      </c>
      <c r="P313" s="122">
        <f t="shared" ca="1" si="19"/>
        <v>2.4000000000000041E-6</v>
      </c>
      <c r="Q313" s="28">
        <v>1</v>
      </c>
      <c r="R313" s="28">
        <v>0</v>
      </c>
      <c r="S313" s="28">
        <v>0</v>
      </c>
      <c r="T313" s="28">
        <v>0</v>
      </c>
      <c r="U313" s="28">
        <v>0</v>
      </c>
      <c r="V313" s="28">
        <v>1</v>
      </c>
    </row>
    <row r="314" spans="1:22" ht="21" customHeight="1" x14ac:dyDescent="0.15">
      <c r="A314" s="2" t="str">
        <f ca="1">input_384010!A$2</f>
        <v>384010</v>
      </c>
      <c r="B314" s="120">
        <v>378</v>
      </c>
      <c r="C314" s="7" t="str">
        <f t="shared" ref="C314:C317" si="20">D314&amp;J314&amp;E314&amp;F314&amp;G314</f>
        <v>PremiumSSS4R3less</v>
      </c>
      <c r="D314" s="7" t="str">
        <f t="shared" ref="D314:D317" si="21">IF(I314="PremiumSS",I314,IF(I314="PremiumSSS",I314,IF(I314="PremiumW",I314,"Premium")))</f>
        <v>PremiumSSS</v>
      </c>
      <c r="E314" s="7" t="str">
        <f>IF(COUNTIF('R6追加前'!A:A,B314)=0,IF(I314="PremiumSS","R5only","R3less"),"")</f>
        <v>R3less</v>
      </c>
      <c r="F314" s="7" t="str">
        <f>IF(COUNTIF('R6開放'!A:A,B314)&gt;0,"R6release","")</f>
        <v/>
      </c>
      <c r="G314" s="7"/>
      <c r="H314" s="7" t="str">
        <f>VLOOKUP(B314,[1]characters!$A:$C,3,FALSE)</f>
        <v>オイラー</v>
      </c>
      <c r="I314" s="7" t="str">
        <f>VLOOKUP(B314,[1]characters!$A:$J,10,FALSE)</f>
        <v>PremiumSSS</v>
      </c>
      <c r="J314" s="7">
        <f>VLOOKUP(B314,[1]characters!$A:$I,9,FALSE)</f>
        <v>4</v>
      </c>
      <c r="K314" s="7" t="str">
        <f>VLOOKUP(B314,[1]characters!$A:$H,8,FALSE)</f>
        <v>green</v>
      </c>
      <c r="L314" s="7" t="str">
        <f>VLOOKUP(B314,[1]characters!$A:$K,11,FALSE)</f>
        <v>balance</v>
      </c>
      <c r="M314" s="7" t="str">
        <f>VLOOKUP(B314,[1]characters!$A:$M,13,FALSE)</f>
        <v>human</v>
      </c>
      <c r="N314" s="7" t="str">
        <f>VLOOKUP(B314,[1]characters!$A:$G,7,FALSE)</f>
        <v>女性</v>
      </c>
      <c r="O314" s="43">
        <f>IFERROR(VLOOKUP(B314,input_384010!L:R,7,FALSE),VLOOKUP(tables_384010!C314,input_384010!A:H,8,FALSE))</f>
        <v>26.006399999999999</v>
      </c>
      <c r="P314" s="122">
        <f t="shared" ref="P314:P317" ca="1" si="22">O314/SUM(O:O)</f>
        <v>4.0000000000000072E-7</v>
      </c>
      <c r="Q314" s="28">
        <v>1</v>
      </c>
      <c r="R314" s="28">
        <v>0</v>
      </c>
      <c r="S314" s="28">
        <v>0</v>
      </c>
      <c r="T314" s="28">
        <v>0</v>
      </c>
      <c r="U314" s="28">
        <v>0</v>
      </c>
      <c r="V314" s="28">
        <v>1</v>
      </c>
    </row>
    <row r="315" spans="1:22" ht="21" customHeight="1" x14ac:dyDescent="0.15">
      <c r="A315" s="2" t="str">
        <f ca="1">input_384010!A$2</f>
        <v>384010</v>
      </c>
      <c r="B315" s="120">
        <v>410</v>
      </c>
      <c r="C315" s="7" t="str">
        <f t="shared" si="20"/>
        <v>PremiumSSS4R3less</v>
      </c>
      <c r="D315" s="7" t="str">
        <f t="shared" si="21"/>
        <v>PremiumSSS</v>
      </c>
      <c r="E315" s="7" t="str">
        <f>IF(COUNTIF('R6追加前'!A:A,B315)=0,IF(I315="PremiumSS","R5only","R3less"),"")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ファラデー</v>
      </c>
      <c r="I315" s="7" t="str">
        <f>VLOOKUP(B315,[1]characters!$A:$J,10,FALSE)</f>
        <v>PremiumSSS</v>
      </c>
      <c r="J315" s="7">
        <f>VLOOKUP(B315,[1]characters!$A:$I,9,FALSE)</f>
        <v>4</v>
      </c>
      <c r="K315" s="7" t="str">
        <f>VLOOKUP(B315,[1]characters!$A:$H,8,FALSE)</f>
        <v>yellow</v>
      </c>
      <c r="L315" s="7" t="str">
        <f>VLOOKUP(B315,[1]characters!$A:$K,11,FALSE)</f>
        <v>balance</v>
      </c>
      <c r="M315" s="7" t="str">
        <f>VLOOKUP(B315,[1]characters!$A:$M,13,FALSE)</f>
        <v>human</v>
      </c>
      <c r="N315" s="7" t="str">
        <f>VLOOKUP(B315,[1]characters!$A:$G,7,FALSE)</f>
        <v>女性</v>
      </c>
      <c r="O315" s="43">
        <f>IFERROR(VLOOKUP(B315,input_384010!L:R,7,FALSE),VLOOKUP(tables_384010!C315,input_384010!A:H,8,FALSE))</f>
        <v>26.006399999999999</v>
      </c>
      <c r="P315" s="122">
        <f t="shared" ca="1" si="22"/>
        <v>4.0000000000000072E-7</v>
      </c>
      <c r="Q315" s="28">
        <v>1</v>
      </c>
      <c r="R315" s="28">
        <v>0</v>
      </c>
      <c r="S315" s="28">
        <v>0</v>
      </c>
      <c r="T315" s="28">
        <v>0</v>
      </c>
      <c r="U315" s="28">
        <v>0</v>
      </c>
      <c r="V315" s="28">
        <v>1</v>
      </c>
    </row>
    <row r="316" spans="1:22" ht="21" customHeight="1" x14ac:dyDescent="0.15">
      <c r="A316" s="2" t="str">
        <f ca="1">input_384010!A$2</f>
        <v>384010</v>
      </c>
      <c r="B316" s="120">
        <v>484</v>
      </c>
      <c r="C316" s="7" t="str">
        <f t="shared" si="20"/>
        <v>PremiumSSS4R3less</v>
      </c>
      <c r="D316" s="7" t="str">
        <f t="shared" si="21"/>
        <v>PremiumSSS</v>
      </c>
      <c r="E316" s="7" t="str">
        <f>IF(COUNTIF('R6追加前'!A:A,B316)=0,IF(I316="PremiumSS","R5only","R3less"),"")</f>
        <v>R3less</v>
      </c>
      <c r="F316" s="7" t="str">
        <f>IF(COUNTIF('R6開放'!A:A,B316)&gt;0,"R6release","")</f>
        <v/>
      </c>
      <c r="G316" s="7"/>
      <c r="H316" s="7" t="str">
        <f>VLOOKUP(B316,[1]characters!$A:$C,3,FALSE)</f>
        <v>ラグランジュ</v>
      </c>
      <c r="I316" s="7" t="str">
        <f>VLOOKUP(B316,[1]characters!$A:$J,10,FALSE)</f>
        <v>PremiumSSS</v>
      </c>
      <c r="J316" s="7">
        <f>VLOOKUP(B316,[1]characters!$A:$I,9,FALSE)</f>
        <v>4</v>
      </c>
      <c r="K316" s="7" t="str">
        <f>VLOOKUP(B316,[1]characters!$A:$H,8,FALSE)</f>
        <v>red</v>
      </c>
      <c r="L316" s="7" t="str">
        <f>VLOOKUP(B316,[1]characters!$A:$K,11,FALSE)</f>
        <v>technical</v>
      </c>
      <c r="M316" s="7" t="str">
        <f>VLOOKUP(B316,[1]characters!$A:$M,13,FALSE)</f>
        <v>human</v>
      </c>
      <c r="N316" s="7" t="str">
        <f>VLOOKUP(B316,[1]characters!$A:$G,7,FALSE)</f>
        <v>女性</v>
      </c>
      <c r="O316" s="43">
        <f>IFERROR(VLOOKUP(B316,input_384010!L:R,7,FALSE),VLOOKUP(tables_384010!C316,input_384010!A:H,8,FALSE))</f>
        <v>26.006399999999999</v>
      </c>
      <c r="P316" s="122">
        <f t="shared" ca="1" si="22"/>
        <v>4.0000000000000072E-7</v>
      </c>
      <c r="Q316" s="28">
        <v>1</v>
      </c>
      <c r="R316" s="28">
        <v>0</v>
      </c>
      <c r="S316" s="28">
        <v>0</v>
      </c>
      <c r="T316" s="28">
        <v>0</v>
      </c>
      <c r="U316" s="28">
        <v>0</v>
      </c>
      <c r="V316" s="28">
        <v>1</v>
      </c>
    </row>
    <row r="317" spans="1:22" ht="21" customHeight="1" x14ac:dyDescent="0.15">
      <c r="A317" s="2" t="str">
        <f ca="1">input_384010!A$2</f>
        <v>384010</v>
      </c>
      <c r="B317" s="120">
        <v>688</v>
      </c>
      <c r="C317" s="7" t="str">
        <f t="shared" si="20"/>
        <v>PremiumSSS4R3less</v>
      </c>
      <c r="D317" s="7" t="str">
        <f t="shared" si="21"/>
        <v>PremiumSSS</v>
      </c>
      <c r="E317" s="7" t="str">
        <f>IF(COUNTIF('R6追加前'!A:A,B317)=0,IF(I317="PremiumSS","R5only","R3less"),"")</f>
        <v>R3less</v>
      </c>
      <c r="F317" s="7" t="str">
        <f>IF(COUNTIF('R6開放'!A:A,B317)&gt;0,"R6release","")</f>
        <v/>
      </c>
      <c r="G317" s="7"/>
      <c r="H317" s="7" t="str">
        <f>VLOOKUP(B317,[1]characters!$A:$C,3,FALSE)</f>
        <v>ユークリッド</v>
      </c>
      <c r="I317" s="7" t="str">
        <f>VLOOKUP(B317,[1]characters!$A:$J,10,FALSE)</f>
        <v>PremiumSSS</v>
      </c>
      <c r="J317" s="7">
        <f>VLOOKUP(B317,[1]characters!$A:$I,9,FALSE)</f>
        <v>4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女性</v>
      </c>
      <c r="O317" s="43">
        <f>IFERROR(VLOOKUP(B317,input_384010!L:R,7,FALSE),VLOOKUP(tables_384010!C317,input_384010!A:H,8,FALSE))</f>
        <v>26.006399999999999</v>
      </c>
      <c r="P317" s="122">
        <f t="shared" ca="1" si="22"/>
        <v>4.0000000000000072E-7</v>
      </c>
      <c r="Q317" s="28">
        <v>1</v>
      </c>
      <c r="R317" s="28">
        <v>0</v>
      </c>
      <c r="S317" s="28">
        <v>0</v>
      </c>
      <c r="T317" s="28">
        <v>0</v>
      </c>
      <c r="U317" s="28">
        <v>0</v>
      </c>
      <c r="V317" s="28">
        <v>1</v>
      </c>
    </row>
  </sheetData>
  <autoFilter ref="A1:V29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D33" sqref="D3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6" t="s">
        <v>80</v>
      </c>
      <c r="B1" s="46"/>
      <c r="L1" s="36" t="s">
        <v>59</v>
      </c>
      <c r="M1" s="36"/>
      <c r="U1" t="s">
        <v>59</v>
      </c>
    </row>
    <row r="2" spans="1:22" x14ac:dyDescent="0.15">
      <c r="A2" t="str">
        <f ca="1">RIGHT(RIGHT(CELL("filename",A2),LEN(CELL("filename",A2))-FIND("]",CELL("filename",A2))),6)</f>
        <v>384100</v>
      </c>
      <c r="L2" s="31" t="s">
        <v>1</v>
      </c>
      <c r="M2" s="35" t="s">
        <v>63</v>
      </c>
      <c r="N2" s="31" t="s">
        <v>61</v>
      </c>
      <c r="O2" s="35" t="s">
        <v>64</v>
      </c>
      <c r="P2" s="35" t="s">
        <v>65</v>
      </c>
      <c r="Q2" s="35" t="s">
        <v>62</v>
      </c>
      <c r="R2" s="42" t="s">
        <v>71</v>
      </c>
      <c r="U2" s="31" t="s">
        <v>164</v>
      </c>
      <c r="V2" s="52">
        <f t="shared" ref="V2:V16" si="0">SUMIF(Q:Q,U2,N:N)</f>
        <v>0</v>
      </c>
    </row>
    <row r="3" spans="1:22" x14ac:dyDescent="0.15">
      <c r="H3" s="66" t="s">
        <v>185</v>
      </c>
      <c r="L3" s="6">
        <v>379</v>
      </c>
      <c r="M3" s="35" t="str">
        <f>VLOOKUP(L3,[1]characters!$A:$C,3,FALSE)</f>
        <v>幾何の機刃 オイラー</v>
      </c>
      <c r="N3" s="119">
        <f>0.5%/14*0.9</f>
        <v>3.2142857142857141E-4</v>
      </c>
      <c r="O3" s="35">
        <f>VLOOKUP(L3,[1]characters!$A:$I,9,FALSE)</f>
        <v>5</v>
      </c>
      <c r="P3" s="35" t="str">
        <f>VLOOKUP(L3,[1]characters!$A:$J,10,FALSE)</f>
        <v>PremiumSSS</v>
      </c>
      <c r="Q3" s="35" t="str">
        <f>VLOOKUP(L3,tables_384100!B:C,2,FALSE)</f>
        <v>PremiumSSS5R3less</v>
      </c>
      <c r="R3" s="60">
        <f t="shared" ref="R3:R20" si="1">N3*A$36</f>
        <v>24381</v>
      </c>
      <c r="S3">
        <v>190</v>
      </c>
      <c r="U3" s="31" t="s">
        <v>165</v>
      </c>
      <c r="V3" s="52">
        <f t="shared" si="0"/>
        <v>0</v>
      </c>
    </row>
    <row r="4" spans="1:22" x14ac:dyDescent="0.15">
      <c r="A4" s="32" t="s">
        <v>51</v>
      </c>
      <c r="B4" s="32"/>
      <c r="D4" t="s">
        <v>174</v>
      </c>
      <c r="F4" t="s">
        <v>177</v>
      </c>
      <c r="H4" t="s">
        <v>183</v>
      </c>
      <c r="I4" t="s">
        <v>184</v>
      </c>
      <c r="L4" s="6">
        <v>411</v>
      </c>
      <c r="M4" s="35" t="str">
        <f>VLOOKUP(L4,[1]characters!$A:$C,3,FALSE)</f>
        <v>電隷の始祖 ファラデー</v>
      </c>
      <c r="N4" s="119">
        <f t="shared" ref="N4:N6" si="2">0.5%/14*0.9</f>
        <v>3.2142857142857141E-4</v>
      </c>
      <c r="O4" s="35">
        <f>VLOOKUP(L4,[1]characters!$A:$I,9,FALSE)</f>
        <v>5</v>
      </c>
      <c r="P4" s="35" t="str">
        <f>VLOOKUP(L4,[1]characters!$A:$J,10,FALSE)</f>
        <v>PremiumSSS</v>
      </c>
      <c r="Q4" s="35" t="str">
        <f>VLOOKUP(L4,tables_384100!B:C,2,FALSE)</f>
        <v>PremiumSSS5R3less</v>
      </c>
      <c r="R4" s="60">
        <f t="shared" si="1"/>
        <v>24381</v>
      </c>
      <c r="S4">
        <v>191</v>
      </c>
      <c r="U4" s="31" t="s">
        <v>95</v>
      </c>
      <c r="V4" s="52">
        <f t="shared" si="0"/>
        <v>0</v>
      </c>
    </row>
    <row r="5" spans="1:22" x14ac:dyDescent="0.15">
      <c r="A5" s="31" t="s">
        <v>66</v>
      </c>
      <c r="B5" s="65">
        <v>0</v>
      </c>
      <c r="D5" t="s">
        <v>175</v>
      </c>
      <c r="E5" s="41">
        <f>(B11-H5)/(F5-I5)</f>
        <v>1.1904761904761906E-3</v>
      </c>
      <c r="F5">
        <f>(COUNTIF(tables_384100!C:C,input_384100!A28)+COUNTIF(tables_384100!C:C,input_384100!A29))</f>
        <v>42</v>
      </c>
      <c r="H5" s="78">
        <v>0</v>
      </c>
      <c r="I5" s="29">
        <v>0</v>
      </c>
      <c r="L5" s="6">
        <v>485</v>
      </c>
      <c r="M5" s="35" t="str">
        <f>VLOOKUP(L5,[1]characters!$A:$C,3,FALSE)</f>
        <v>超越自我 ラグランジュ</v>
      </c>
      <c r="N5" s="119">
        <f t="shared" si="2"/>
        <v>3.2142857142857141E-4</v>
      </c>
      <c r="O5" s="35">
        <f>VLOOKUP(L5,[1]characters!$A:$I,9,FALSE)</f>
        <v>5</v>
      </c>
      <c r="P5" s="35" t="str">
        <f>VLOOKUP(L5,[1]characters!$A:$J,10,FALSE)</f>
        <v>PremiumSSS</v>
      </c>
      <c r="Q5" s="35" t="str">
        <f>VLOOKUP(L5,tables_384100!B:C,2,FALSE)</f>
        <v>PremiumSSS5R3less</v>
      </c>
      <c r="R5" s="60">
        <f t="shared" si="1"/>
        <v>24381</v>
      </c>
      <c r="S5">
        <v>192</v>
      </c>
      <c r="U5" s="31" t="s">
        <v>96</v>
      </c>
      <c r="V5" s="52">
        <f t="shared" si="0"/>
        <v>0</v>
      </c>
    </row>
    <row r="6" spans="1:22" x14ac:dyDescent="0.15">
      <c r="A6" s="31" t="s">
        <v>67</v>
      </c>
      <c r="B6" s="65">
        <v>0.95</v>
      </c>
      <c r="D6" t="s">
        <v>176</v>
      </c>
      <c r="E6" s="69">
        <f>(B10-H6)/(F6-I6)</f>
        <v>1.0988372093023255E-2</v>
      </c>
      <c r="F6">
        <f>(COUNTIF(tables_384100!C:C,input_384100!A25)+COUNTIF(tables_384100!C:C,input_384100!A18)+COUNTIF(tables_384100!C:C,input_384100!A20)+COUNTIF(tables_384100!C:C,input_384100!A22))</f>
        <v>86</v>
      </c>
      <c r="H6" s="81">
        <v>0</v>
      </c>
      <c r="I6" s="29">
        <v>0</v>
      </c>
      <c r="L6" s="6">
        <v>689</v>
      </c>
      <c r="M6" s="35" t="str">
        <f>VLOOKUP(L6,[1]characters!$A:$C,3,FALSE)</f>
        <v>根原論理 ユークリッド</v>
      </c>
      <c r="N6" s="119">
        <f t="shared" si="2"/>
        <v>3.2142857142857141E-4</v>
      </c>
      <c r="O6" s="35">
        <f>VLOOKUP(L6,[1]characters!$A:$I,9,FALSE)</f>
        <v>5</v>
      </c>
      <c r="P6" s="35" t="str">
        <f>VLOOKUP(L6,[1]characters!$A:$J,10,FALSE)</f>
        <v>PremiumSSS</v>
      </c>
      <c r="Q6" s="35" t="str">
        <f>VLOOKUP(L6,tables_384100!B:C,2,FALSE)</f>
        <v>PremiumSSS5R3less</v>
      </c>
      <c r="R6" s="60">
        <f t="shared" si="1"/>
        <v>24381</v>
      </c>
      <c r="S6">
        <v>596</v>
      </c>
      <c r="U6" s="31" t="s">
        <v>97</v>
      </c>
      <c r="V6" s="52">
        <f t="shared" si="0"/>
        <v>0</v>
      </c>
    </row>
    <row r="7" spans="1:22" x14ac:dyDescent="0.15">
      <c r="A7" s="31" t="s">
        <v>68</v>
      </c>
      <c r="B7" s="65">
        <v>0.05</v>
      </c>
      <c r="L7" s="6">
        <v>760</v>
      </c>
      <c r="M7" s="35" t="str">
        <f>VLOOKUP(L7,[1]characters!$A:$C,3,FALSE)</f>
        <v>限論顕現 クロネッカー</v>
      </c>
      <c r="N7" s="119">
        <f t="shared" ref="N4:N20" si="3">0.5%/14</f>
        <v>3.5714285714285714E-4</v>
      </c>
      <c r="O7" s="35">
        <f>VLOOKUP(L7,[1]characters!$A:$I,9,FALSE)</f>
        <v>5</v>
      </c>
      <c r="P7" s="35" t="str">
        <f>VLOOKUP(L7,[1]characters!$A:$J,10,FALSE)</f>
        <v>PremiumSSS</v>
      </c>
      <c r="Q7" s="35" t="str">
        <f>VLOOKUP(L7,tables_384100!B:C,2,FALSE)</f>
        <v>PremiumSSS5R3less</v>
      </c>
      <c r="R7" s="60">
        <f t="shared" si="1"/>
        <v>27090</v>
      </c>
      <c r="S7">
        <v>597</v>
      </c>
      <c r="U7" s="31" t="s">
        <v>170</v>
      </c>
      <c r="V7" s="52">
        <f t="shared" si="0"/>
        <v>0</v>
      </c>
    </row>
    <row r="8" spans="1:22" x14ac:dyDescent="0.15">
      <c r="A8" s="55"/>
      <c r="B8" s="64"/>
      <c r="E8" s="69"/>
      <c r="L8" s="6">
        <v>750</v>
      </c>
      <c r="M8" s="35" t="str">
        <f>VLOOKUP(L8,[1]characters!$A:$C,3,FALSE)</f>
        <v>ポアソン</v>
      </c>
      <c r="N8" s="119">
        <f t="shared" si="3"/>
        <v>3.5714285714285714E-4</v>
      </c>
      <c r="O8" s="35">
        <f>VLOOKUP(L8,[1]characters!$A:$I,9,FALSE)</f>
        <v>5</v>
      </c>
      <c r="P8" s="35" t="str">
        <f>VLOOKUP(L8,[1]characters!$A:$J,10,FALSE)</f>
        <v>PremiumSSS</v>
      </c>
      <c r="Q8" s="35" t="str">
        <f>VLOOKUP(L8,tables_384100!B:C,2,FALSE)</f>
        <v>PremiumSSS5R3less</v>
      </c>
      <c r="R8" s="60">
        <f t="shared" si="1"/>
        <v>27090</v>
      </c>
      <c r="S8">
        <v>598</v>
      </c>
      <c r="U8" s="31" t="s">
        <v>171</v>
      </c>
      <c r="V8" s="52">
        <f t="shared" si="0"/>
        <v>0</v>
      </c>
    </row>
    <row r="9" spans="1:22" x14ac:dyDescent="0.15">
      <c r="A9" s="33" t="s">
        <v>52</v>
      </c>
      <c r="B9" s="33"/>
      <c r="L9" s="8">
        <v>870</v>
      </c>
      <c r="M9" s="35" t="str">
        <f>VLOOKUP(L9,[1]characters!$A:$C,3,FALSE)</f>
        <v>フロイト</v>
      </c>
      <c r="N9" s="119">
        <f t="shared" si="3"/>
        <v>3.5714285714285714E-4</v>
      </c>
      <c r="O9" s="35">
        <f>VLOOKUP(L9,[1]characters!$A:$I,9,FALSE)</f>
        <v>5</v>
      </c>
      <c r="P9" s="35" t="str">
        <f>VLOOKUP(L9,[1]characters!$A:$J,10,FALSE)</f>
        <v>PremiumSSS</v>
      </c>
      <c r="Q9" s="35" t="str">
        <f>VLOOKUP(L9,tables_384100!B:C,2,FALSE)</f>
        <v>PremiumSSS5R3less</v>
      </c>
      <c r="R9" s="60">
        <f t="shared" si="1"/>
        <v>27090</v>
      </c>
      <c r="S9">
        <v>390</v>
      </c>
      <c r="U9" s="31" t="s">
        <v>167</v>
      </c>
      <c r="V9" s="52">
        <f t="shared" si="0"/>
        <v>0</v>
      </c>
    </row>
    <row r="10" spans="1:22" x14ac:dyDescent="0.15">
      <c r="A10" s="31" t="s">
        <v>94</v>
      </c>
      <c r="B10" s="119">
        <f>1-B11-B12</f>
        <v>0.94499999999999995</v>
      </c>
      <c r="C10" t="s">
        <v>182</v>
      </c>
      <c r="L10" s="8">
        <v>486</v>
      </c>
      <c r="M10" s="35" t="str">
        <f>VLOOKUP(L10,[1]characters!$A:$C,3,FALSE)</f>
        <v>重なる世解 シュレディンガー</v>
      </c>
      <c r="N10" s="119">
        <f t="shared" si="3"/>
        <v>3.5714285714285714E-4</v>
      </c>
      <c r="O10" s="35">
        <f>VLOOKUP(L10,[1]characters!$A:$I,9,FALSE)</f>
        <v>5</v>
      </c>
      <c r="P10" s="35" t="str">
        <f>VLOOKUP(L10,[1]characters!$A:$J,10,FALSE)</f>
        <v>PremiumSSS</v>
      </c>
      <c r="Q10" s="35" t="str">
        <f>VLOOKUP(L10,tables_384100!B:C,2,FALSE)</f>
        <v>PremiumSSS5R3less</v>
      </c>
      <c r="R10" s="60">
        <f t="shared" si="1"/>
        <v>27090</v>
      </c>
      <c r="S10">
        <v>391</v>
      </c>
      <c r="U10" s="31" t="s">
        <v>168</v>
      </c>
      <c r="V10" s="52">
        <f t="shared" si="0"/>
        <v>0</v>
      </c>
    </row>
    <row r="11" spans="1:22" x14ac:dyDescent="0.15">
      <c r="A11" s="31" t="s">
        <v>54</v>
      </c>
      <c r="B11" s="71">
        <v>0.05</v>
      </c>
      <c r="C11" t="s">
        <v>211</v>
      </c>
      <c r="L11" s="6">
        <v>488</v>
      </c>
      <c r="M11" s="35" t="str">
        <f>VLOOKUP(L11,[1]characters!$A:$C,3,FALSE)</f>
        <v>直観の異論 ヘンペル</v>
      </c>
      <c r="N11" s="119">
        <f t="shared" si="3"/>
        <v>3.5714285714285714E-4</v>
      </c>
      <c r="O11" s="35">
        <f>VLOOKUP(L11,[1]characters!$A:$I,9,FALSE)</f>
        <v>5</v>
      </c>
      <c r="P11" s="35" t="str">
        <f>VLOOKUP(L11,[1]characters!$A:$J,10,FALSE)</f>
        <v>PremiumSSS</v>
      </c>
      <c r="Q11" s="35" t="str">
        <f>VLOOKUP(L11,tables_384100!B:C,2,FALSE)</f>
        <v>PremiumSSS5R3less</v>
      </c>
      <c r="R11" s="60">
        <f t="shared" si="1"/>
        <v>27090</v>
      </c>
      <c r="S11">
        <v>811</v>
      </c>
      <c r="U11" s="31" t="s">
        <v>169</v>
      </c>
      <c r="V11" s="52">
        <f t="shared" si="0"/>
        <v>0</v>
      </c>
    </row>
    <row r="12" spans="1:22" x14ac:dyDescent="0.15">
      <c r="A12" s="31" t="s">
        <v>53</v>
      </c>
      <c r="B12" s="119">
        <f>SUM(N3:N20)</f>
        <v>4.9999999999999992E-3</v>
      </c>
      <c r="L12" s="6">
        <v>489</v>
      </c>
      <c r="M12" s="35" t="str">
        <f>VLOOKUP(L12,[1]characters!$A:$C,3,FALSE)</f>
        <v>宇宙の拡超 ハップル</v>
      </c>
      <c r="N12" s="119">
        <f t="shared" si="3"/>
        <v>3.5714285714285714E-4</v>
      </c>
      <c r="O12" s="35">
        <f>VLOOKUP(L12,[1]characters!$A:$I,9,FALSE)</f>
        <v>5</v>
      </c>
      <c r="P12" s="35" t="str">
        <f>VLOOKUP(L12,[1]characters!$A:$J,10,FALSE)</f>
        <v>PremiumSSS</v>
      </c>
      <c r="Q12" s="35" t="str">
        <f>VLOOKUP(L12,tables_384100!B:C,2,FALSE)</f>
        <v>PremiumSSS5R3less</v>
      </c>
      <c r="R12" s="60">
        <f t="shared" si="1"/>
        <v>27090</v>
      </c>
      <c r="S12">
        <v>496</v>
      </c>
      <c r="U12" s="31" t="s">
        <v>104</v>
      </c>
      <c r="V12" s="52">
        <f t="shared" si="0"/>
        <v>0</v>
      </c>
    </row>
    <row r="13" spans="1:22" x14ac:dyDescent="0.15">
      <c r="L13" s="6">
        <v>762</v>
      </c>
      <c r="M13" s="35" t="str">
        <f>VLOOKUP(L13,[1]characters!$A:$C,3,FALSE)</f>
        <v>フィボナッチ</v>
      </c>
      <c r="N13" s="119">
        <f t="shared" si="3"/>
        <v>3.5714285714285714E-4</v>
      </c>
      <c r="O13" s="35">
        <f>VLOOKUP(L13,[1]characters!$A:$I,9,FALSE)</f>
        <v>5</v>
      </c>
      <c r="P13" s="35" t="str">
        <f>VLOOKUP(L13,[1]characters!$A:$J,10,FALSE)</f>
        <v>PremiumSSS</v>
      </c>
      <c r="Q13" s="35" t="str">
        <f>VLOOKUP(L13,tables_384100!B:C,2,FALSE)</f>
        <v>PremiumSSS5R3less</v>
      </c>
      <c r="R13" s="60">
        <f t="shared" si="1"/>
        <v>27090</v>
      </c>
      <c r="S13">
        <v>497</v>
      </c>
      <c r="U13" s="31" t="s">
        <v>105</v>
      </c>
      <c r="V13" s="52">
        <f t="shared" si="0"/>
        <v>0</v>
      </c>
    </row>
    <row r="14" spans="1:22" x14ac:dyDescent="0.15">
      <c r="L14" s="5">
        <v>487</v>
      </c>
      <c r="M14" s="35" t="str">
        <f>VLOOKUP(L14,[1]characters!$A:$C,3,FALSE)</f>
        <v>暴創の造物 チューリング</v>
      </c>
      <c r="N14" s="119">
        <f t="shared" si="3"/>
        <v>3.5714285714285714E-4</v>
      </c>
      <c r="O14" s="35">
        <f>VLOOKUP(L14,[1]characters!$A:$I,9,FALSE)</f>
        <v>5</v>
      </c>
      <c r="P14" s="35" t="str">
        <f>VLOOKUP(L14,[1]characters!$A:$J,10,FALSE)</f>
        <v>PremiumSSS</v>
      </c>
      <c r="Q14" s="35" t="str">
        <f>VLOOKUP(L14,tables_384100!B:C,2,FALSE)</f>
        <v>PremiumSSS5R3less</v>
      </c>
      <c r="R14" s="60">
        <f t="shared" si="1"/>
        <v>27090</v>
      </c>
      <c r="S14">
        <v>498</v>
      </c>
      <c r="U14" s="31" t="s">
        <v>173</v>
      </c>
      <c r="V14" s="52">
        <f t="shared" si="0"/>
        <v>0</v>
      </c>
    </row>
    <row r="15" spans="1:22" x14ac:dyDescent="0.15">
      <c r="A15" s="34" t="s">
        <v>55</v>
      </c>
      <c r="B15" s="34"/>
      <c r="C15" t="s">
        <v>81</v>
      </c>
      <c r="L15" s="5">
        <v>790</v>
      </c>
      <c r="M15" s="35" t="str">
        <f>VLOOKUP(L15,[1]characters!$A:$C,3,FALSE)</f>
        <v>戦略級の才脳 ノイマン</v>
      </c>
      <c r="N15" s="119">
        <f t="shared" si="3"/>
        <v>3.5714285714285714E-4</v>
      </c>
      <c r="O15" s="35">
        <f>VLOOKUP(L15,[1]characters!$A:$I,9,FALSE)</f>
        <v>5</v>
      </c>
      <c r="P15" s="35" t="str">
        <f>VLOOKUP(L15,[1]characters!$A:$J,10,FALSE)</f>
        <v>PremiumSSS</v>
      </c>
      <c r="Q15" s="35" t="str">
        <f>VLOOKUP(L15,tables_384100!B:C,2,FALSE)</f>
        <v>PremiumSSS5R3less</v>
      </c>
      <c r="R15" s="60">
        <f t="shared" si="1"/>
        <v>27090</v>
      </c>
      <c r="S15">
        <v>395</v>
      </c>
      <c r="U15" s="31" t="s">
        <v>172</v>
      </c>
      <c r="V15" s="52">
        <f t="shared" si="0"/>
        <v>0</v>
      </c>
    </row>
    <row r="16" spans="1:22" x14ac:dyDescent="0.15">
      <c r="A16" s="31" t="s">
        <v>58</v>
      </c>
      <c r="B16" s="31" t="s">
        <v>166</v>
      </c>
      <c r="C16" s="35" t="s">
        <v>59</v>
      </c>
      <c r="D16" s="35" t="s">
        <v>60</v>
      </c>
      <c r="E16" t="s">
        <v>70</v>
      </c>
      <c r="F16" t="s">
        <v>69</v>
      </c>
      <c r="G16" t="s">
        <v>72</v>
      </c>
      <c r="H16" t="s">
        <v>186</v>
      </c>
      <c r="I16" t="s">
        <v>73</v>
      </c>
      <c r="J16" t="s">
        <v>75</v>
      </c>
      <c r="L16" s="5">
        <v>792</v>
      </c>
      <c r="M16" s="35" t="str">
        <f>VLOOKUP(L16,[1]characters!$A:$C,3,FALSE)</f>
        <v>片還の収波 フーリエ</v>
      </c>
      <c r="N16" s="119">
        <f t="shared" si="3"/>
        <v>3.5714285714285714E-4</v>
      </c>
      <c r="O16" s="35">
        <f>VLOOKUP(L16,[1]characters!$A:$I,9,FALSE)</f>
        <v>5</v>
      </c>
      <c r="P16" s="35" t="str">
        <f>VLOOKUP(L16,[1]characters!$A:$J,10,FALSE)</f>
        <v>PremiumSSS</v>
      </c>
      <c r="Q16" s="35" t="str">
        <f>VLOOKUP(L16,tables_384100!B:C,2,FALSE)</f>
        <v>PremiumSSS5R3less</v>
      </c>
      <c r="R16" s="60">
        <f t="shared" si="1"/>
        <v>27090</v>
      </c>
      <c r="S16">
        <v>396</v>
      </c>
      <c r="U16" s="31" t="s">
        <v>106</v>
      </c>
      <c r="V16" s="52">
        <f t="shared" si="0"/>
        <v>0</v>
      </c>
    </row>
    <row r="17" spans="1:19" x14ac:dyDescent="0.15">
      <c r="A17" s="31" t="s">
        <v>164</v>
      </c>
      <c r="B17" s="76">
        <f>B$5-B19-B24</f>
        <v>0</v>
      </c>
      <c r="C17" s="79">
        <f t="shared" ref="C17:C31" si="4">SUMIF(Q:Q,A17,N:N)</f>
        <v>0</v>
      </c>
      <c r="D17" s="67">
        <f t="shared" ref="D17:D32" si="5">B17-C17</f>
        <v>0</v>
      </c>
      <c r="E17">
        <f>COUNTIF(tables_384100!C:C,input_384100!A17)-COUNTIF(Q:Q,A17)</f>
        <v>20</v>
      </c>
      <c r="F17" s="41">
        <f>IFERROR(B17/E17,0)</f>
        <v>0</v>
      </c>
      <c r="G17">
        <f t="shared" ref="G17:G31" si="6">A$36*B17</f>
        <v>0</v>
      </c>
      <c r="H17">
        <f t="shared" ref="H17:H31" si="7">IFERROR(ROUND(G17/E17,5),0)</f>
        <v>0</v>
      </c>
      <c r="I17">
        <f t="shared" ref="I17:I31" si="8">MOD(H17,1)</f>
        <v>0</v>
      </c>
      <c r="J17">
        <f t="shared" ref="J17:J31" si="9">IFERROR(1/I17,1)</f>
        <v>1</v>
      </c>
      <c r="L17" s="120">
        <v>378</v>
      </c>
      <c r="M17" s="35" t="str">
        <f>VLOOKUP(L17,[1]characters!$A:$C,3,FALSE)</f>
        <v>オイラー</v>
      </c>
      <c r="N17" s="119">
        <f>0.5%/14*0.1</f>
        <v>3.5714285714285717E-5</v>
      </c>
      <c r="O17" s="35">
        <f>VLOOKUP(L17,[1]characters!$A:$I,9,FALSE)</f>
        <v>4</v>
      </c>
      <c r="P17" s="35" t="str">
        <f>VLOOKUP(L17,[1]characters!$A:$J,10,FALSE)</f>
        <v>PremiumSSS</v>
      </c>
      <c r="Q17" s="35" t="str">
        <f>VLOOKUP(L17,tables_384100!B:C,2,FALSE)</f>
        <v>PremiumSSS4R3less</v>
      </c>
      <c r="R17" s="60">
        <f t="shared" si="1"/>
        <v>2709</v>
      </c>
      <c r="S17">
        <v>397</v>
      </c>
    </row>
    <row r="18" spans="1:19" x14ac:dyDescent="0.15">
      <c r="A18" s="31" t="s">
        <v>165</v>
      </c>
      <c r="B18" s="54">
        <f>E$6*E18-B17</f>
        <v>0.2197674418604651</v>
      </c>
      <c r="C18" s="79">
        <f t="shared" si="4"/>
        <v>0</v>
      </c>
      <c r="D18" s="67">
        <f t="shared" si="5"/>
        <v>0.2197674418604651</v>
      </c>
      <c r="E18">
        <f>COUNTIF(tables_384100!C:C,input_384100!A18)-COUNTIF(Q:Q,A18)</f>
        <v>20</v>
      </c>
      <c r="F18" s="41">
        <f>IFERROR(B18/E18,0)</f>
        <v>1.0988372093023255E-2</v>
      </c>
      <c r="G18">
        <f t="shared" si="6"/>
        <v>16669799.999999998</v>
      </c>
      <c r="H18">
        <f t="shared" si="7"/>
        <v>833490</v>
      </c>
      <c r="I18">
        <f t="shared" si="8"/>
        <v>0</v>
      </c>
      <c r="J18">
        <f t="shared" si="9"/>
        <v>1</v>
      </c>
      <c r="L18" s="120">
        <v>410</v>
      </c>
      <c r="M18" s="35" t="str">
        <f>VLOOKUP(L18,[1]characters!$A:$C,3,FALSE)</f>
        <v>ファラデー</v>
      </c>
      <c r="N18" s="119">
        <f t="shared" ref="N18:N20" si="10">0.5%/14*0.1</f>
        <v>3.5714285714285717E-5</v>
      </c>
      <c r="O18" s="35">
        <f>VLOOKUP(L18,[1]characters!$A:$I,9,FALSE)</f>
        <v>4</v>
      </c>
      <c r="P18" s="35" t="str">
        <f>VLOOKUP(L18,[1]characters!$A:$J,10,FALSE)</f>
        <v>PremiumSSS</v>
      </c>
      <c r="Q18" s="35" t="str">
        <f>VLOOKUP(L18,tables_384100!B:C,2,FALSE)</f>
        <v>PremiumSSS4R3less</v>
      </c>
      <c r="R18" s="60">
        <f t="shared" si="1"/>
        <v>2709</v>
      </c>
      <c r="S18">
        <v>324</v>
      </c>
    </row>
    <row r="19" spans="1:19" x14ac:dyDescent="0.15">
      <c r="A19" s="31" t="s">
        <v>95</v>
      </c>
      <c r="B19" s="54">
        <f>E$6*E19*B$5</f>
        <v>0</v>
      </c>
      <c r="C19" s="79">
        <f t="shared" si="4"/>
        <v>0</v>
      </c>
      <c r="D19" s="67">
        <f t="shared" si="5"/>
        <v>0</v>
      </c>
      <c r="E19">
        <f>COUNTIF(tables_384100!C:C,input_384100!A19)-COUNTIF(Q:Q,A19)</f>
        <v>52</v>
      </c>
      <c r="F19" s="41">
        <f t="shared" ref="F19:F31" si="11">IFERROR(B19/E19,0)</f>
        <v>0</v>
      </c>
      <c r="G19">
        <f t="shared" si="6"/>
        <v>0</v>
      </c>
      <c r="H19">
        <f t="shared" si="7"/>
        <v>0</v>
      </c>
      <c r="I19">
        <f t="shared" si="8"/>
        <v>0</v>
      </c>
      <c r="J19">
        <f t="shared" si="9"/>
        <v>1</v>
      </c>
      <c r="L19" s="120">
        <v>484</v>
      </c>
      <c r="M19" s="35" t="str">
        <f>VLOOKUP(L19,[1]characters!$A:$C,3,FALSE)</f>
        <v>ラグランジュ</v>
      </c>
      <c r="N19" s="119">
        <f t="shared" si="10"/>
        <v>3.5714285714285717E-5</v>
      </c>
      <c r="O19" s="35">
        <f>VLOOKUP(L19,[1]characters!$A:$I,9,FALSE)</f>
        <v>4</v>
      </c>
      <c r="P19" s="35" t="str">
        <f>VLOOKUP(L19,[1]characters!$A:$J,10,FALSE)</f>
        <v>PremiumSSS</v>
      </c>
      <c r="Q19" s="35" t="str">
        <f>VLOOKUP(L19,tables_384100!B:C,2,FALSE)</f>
        <v>PremiumSSS4R3less</v>
      </c>
      <c r="R19" s="60">
        <f t="shared" si="1"/>
        <v>2709</v>
      </c>
      <c r="S19">
        <v>325</v>
      </c>
    </row>
    <row r="20" spans="1:19" x14ac:dyDescent="0.15">
      <c r="A20" s="31" t="s">
        <v>96</v>
      </c>
      <c r="B20" s="76">
        <f>E20*E6-B21</f>
        <v>0.54742054263565898</v>
      </c>
      <c r="C20" s="79">
        <f t="shared" si="4"/>
        <v>0</v>
      </c>
      <c r="D20" s="67">
        <f t="shared" si="5"/>
        <v>0.54742054263565898</v>
      </c>
      <c r="E20">
        <f>COUNTIF(tables_384100!C:C,input_384100!A20)-COUNTIF(Q:Q,A20)</f>
        <v>52</v>
      </c>
      <c r="F20" s="41">
        <f t="shared" si="11"/>
        <v>1.0527318127608827E-2</v>
      </c>
      <c r="G20">
        <f t="shared" si="6"/>
        <v>41522943.000000007</v>
      </c>
      <c r="H20">
        <f t="shared" si="7"/>
        <v>798518.13462000003</v>
      </c>
      <c r="I20">
        <f t="shared" si="8"/>
        <v>0.13462000002618879</v>
      </c>
      <c r="J20">
        <f t="shared" si="9"/>
        <v>7.4283167419808454</v>
      </c>
      <c r="L20" s="120">
        <v>688</v>
      </c>
      <c r="M20" s="35" t="str">
        <f>VLOOKUP(L20,[1]characters!$A:$C,3,FALSE)</f>
        <v>ユークリッド</v>
      </c>
      <c r="N20" s="119">
        <f t="shared" si="10"/>
        <v>3.5714285714285717E-5</v>
      </c>
      <c r="O20" s="35">
        <f>VLOOKUP(L20,[1]characters!$A:$I,9,FALSE)</f>
        <v>4</v>
      </c>
      <c r="P20" s="35" t="str">
        <f>VLOOKUP(L20,[1]characters!$A:$J,10,FALSE)</f>
        <v>PremiumSSS</v>
      </c>
      <c r="Q20" s="35" t="str">
        <f>VLOOKUP(L20,tables_384100!B:C,2,FALSE)</f>
        <v>PremiumSSS4R3less</v>
      </c>
      <c r="R20" s="60">
        <f t="shared" si="1"/>
        <v>2709</v>
      </c>
      <c r="S20">
        <v>809</v>
      </c>
    </row>
    <row r="21" spans="1:19" x14ac:dyDescent="0.15">
      <c r="A21" s="31" t="s">
        <v>97</v>
      </c>
      <c r="B21" s="54">
        <f>B7-B23-B26-B28-B29</f>
        <v>2.3974806201550396E-2</v>
      </c>
      <c r="C21" s="79">
        <f t="shared" si="4"/>
        <v>0</v>
      </c>
      <c r="D21" s="67">
        <f t="shared" si="5"/>
        <v>2.3974806201550396E-2</v>
      </c>
      <c r="E21">
        <f>COUNTIF(tables_384100!C:C,input_384100!A21)-COUNTIF(Q:Q,A21)</f>
        <v>52</v>
      </c>
      <c r="F21" s="41">
        <f t="shared" si="11"/>
        <v>4.610539654144307E-4</v>
      </c>
      <c r="G21">
        <f t="shared" si="6"/>
        <v>1818537.0000000007</v>
      </c>
      <c r="H21">
        <f t="shared" si="7"/>
        <v>34971.865380000003</v>
      </c>
      <c r="I21">
        <f t="shared" si="8"/>
        <v>0.86538000000291504</v>
      </c>
      <c r="J21">
        <f t="shared" si="9"/>
        <v>1.1555617185474953</v>
      </c>
      <c r="L21" s="55"/>
      <c r="M21" s="55"/>
      <c r="N21" s="56"/>
      <c r="O21" s="55"/>
      <c r="P21" s="55"/>
      <c r="Q21" s="55"/>
      <c r="R21" s="57"/>
    </row>
    <row r="22" spans="1:19" x14ac:dyDescent="0.15">
      <c r="A22" s="31" t="s">
        <v>170</v>
      </c>
      <c r="B22" s="68">
        <f>E$6*E22*B6</f>
        <v>0.10438953488372092</v>
      </c>
      <c r="C22" s="79">
        <f t="shared" si="4"/>
        <v>0</v>
      </c>
      <c r="D22" s="67">
        <f t="shared" si="5"/>
        <v>0.10438953488372092</v>
      </c>
      <c r="E22">
        <f>COUNTIF(tables_384100!C:C,input_384100!A22)-COUNTIF(Q:Q,A22)</f>
        <v>10</v>
      </c>
      <c r="F22" s="41">
        <f t="shared" si="11"/>
        <v>1.0438953488372092E-2</v>
      </c>
      <c r="G22">
        <f t="shared" si="6"/>
        <v>7918154.9999999991</v>
      </c>
      <c r="H22">
        <f t="shared" si="7"/>
        <v>791815.5</v>
      </c>
      <c r="I22">
        <f t="shared" si="8"/>
        <v>0.5</v>
      </c>
      <c r="J22">
        <f t="shared" si="9"/>
        <v>2</v>
      </c>
      <c r="L22" s="55"/>
      <c r="M22" s="55"/>
      <c r="N22" s="56"/>
      <c r="O22" s="55"/>
      <c r="P22" s="55"/>
      <c r="Q22" s="55"/>
      <c r="R22" s="57"/>
    </row>
    <row r="23" spans="1:19" x14ac:dyDescent="0.15">
      <c r="A23" s="31" t="s">
        <v>171</v>
      </c>
      <c r="B23" s="63">
        <f>E23*E6*B7</f>
        <v>5.4941860465116277E-3</v>
      </c>
      <c r="C23" s="79">
        <f t="shared" si="4"/>
        <v>0</v>
      </c>
      <c r="D23" s="67">
        <f t="shared" si="5"/>
        <v>5.4941860465116277E-3</v>
      </c>
      <c r="E23">
        <f>COUNTIF(tables_384100!C:C,input_384100!A23)-COUNTIF(Q:Q,A23)</f>
        <v>10</v>
      </c>
      <c r="F23" s="41">
        <f t="shared" si="11"/>
        <v>5.4941860465116277E-4</v>
      </c>
      <c r="G23">
        <f t="shared" si="6"/>
        <v>416745</v>
      </c>
      <c r="H23">
        <f t="shared" si="7"/>
        <v>41674.5</v>
      </c>
      <c r="I23">
        <f t="shared" si="8"/>
        <v>0.5</v>
      </c>
      <c r="J23">
        <f t="shared" si="9"/>
        <v>2</v>
      </c>
      <c r="L23" s="55"/>
      <c r="M23" s="55"/>
      <c r="N23" s="56"/>
      <c r="O23" s="55"/>
      <c r="P23" s="55"/>
      <c r="Q23" s="55"/>
      <c r="R23" s="57"/>
    </row>
    <row r="24" spans="1:19" x14ac:dyDescent="0.15">
      <c r="A24" s="31" t="s">
        <v>167</v>
      </c>
      <c r="B24" s="54">
        <f>E$6*E24*B$5</f>
        <v>0</v>
      </c>
      <c r="C24" s="79">
        <f t="shared" si="4"/>
        <v>0</v>
      </c>
      <c r="D24" s="67">
        <f t="shared" si="5"/>
        <v>0</v>
      </c>
      <c r="E24">
        <f>COUNTIF(tables_384100!C:C,input_384100!A24)-COUNTIF(Q:Q,A24)</f>
        <v>4</v>
      </c>
      <c r="F24" s="41">
        <f t="shared" si="11"/>
        <v>0</v>
      </c>
      <c r="G24">
        <f t="shared" si="6"/>
        <v>0</v>
      </c>
      <c r="H24">
        <f t="shared" si="7"/>
        <v>0</v>
      </c>
      <c r="I24">
        <f t="shared" si="8"/>
        <v>0</v>
      </c>
      <c r="J24">
        <f t="shared" si="9"/>
        <v>1</v>
      </c>
      <c r="L24" s="55"/>
      <c r="M24" s="55"/>
      <c r="N24" s="56"/>
      <c r="O24" s="55"/>
      <c r="P24" s="55"/>
      <c r="Q24" s="55"/>
      <c r="R24" s="57"/>
    </row>
    <row r="25" spans="1:19" x14ac:dyDescent="0.15">
      <c r="A25" s="31" t="s">
        <v>168</v>
      </c>
      <c r="B25" s="54">
        <f>E$6*B$6*E25</f>
        <v>4.1755813953488367E-2</v>
      </c>
      <c r="C25" s="79">
        <f t="shared" si="4"/>
        <v>0</v>
      </c>
      <c r="D25" s="67">
        <f t="shared" si="5"/>
        <v>4.1755813953488367E-2</v>
      </c>
      <c r="E25">
        <f>COUNTIF(tables_384100!C:C,input_384100!A25)-COUNTIF(Q:Q,A25)</f>
        <v>4</v>
      </c>
      <c r="F25" s="41">
        <f t="shared" si="11"/>
        <v>1.0438953488372092E-2</v>
      </c>
      <c r="G25">
        <f t="shared" si="6"/>
        <v>3167261.9999999995</v>
      </c>
      <c r="H25">
        <f t="shared" si="7"/>
        <v>791815.5</v>
      </c>
      <c r="I25">
        <f t="shared" si="8"/>
        <v>0.5</v>
      </c>
      <c r="J25">
        <f t="shared" si="9"/>
        <v>2</v>
      </c>
      <c r="L25" s="55"/>
      <c r="M25" s="55"/>
      <c r="N25" s="56"/>
      <c r="O25" s="55"/>
      <c r="P25" s="55"/>
      <c r="Q25" s="55"/>
      <c r="R25" s="57"/>
    </row>
    <row r="26" spans="1:19" x14ac:dyDescent="0.15">
      <c r="A26" s="31" t="s">
        <v>169</v>
      </c>
      <c r="B26" s="54">
        <f>E$6*B$7*E26</f>
        <v>2.1976744186046511E-3</v>
      </c>
      <c r="C26" s="79">
        <f t="shared" si="4"/>
        <v>0</v>
      </c>
      <c r="D26" s="67">
        <f t="shared" si="5"/>
        <v>2.1976744186046511E-3</v>
      </c>
      <c r="E26">
        <f>COUNTIF(tables_384100!C:C,input_384100!A26)-COUNTIF(Q:Q,A26)</f>
        <v>4</v>
      </c>
      <c r="F26" s="41">
        <f t="shared" si="11"/>
        <v>5.4941860465116277E-4</v>
      </c>
      <c r="G26">
        <f t="shared" si="6"/>
        <v>166698</v>
      </c>
      <c r="H26">
        <f t="shared" si="7"/>
        <v>41674.5</v>
      </c>
      <c r="I26">
        <f t="shared" si="8"/>
        <v>0.5</v>
      </c>
      <c r="J26">
        <f t="shared" si="9"/>
        <v>2</v>
      </c>
      <c r="L26" s="55"/>
      <c r="M26" s="55"/>
      <c r="N26" s="56"/>
      <c r="O26" s="55"/>
      <c r="P26" s="55"/>
      <c r="Q26" s="55"/>
      <c r="R26" s="57"/>
    </row>
    <row r="27" spans="1:19" x14ac:dyDescent="0.15">
      <c r="A27" s="31" t="s">
        <v>104</v>
      </c>
      <c r="B27" s="54">
        <f>E$5*E27*(B$5+B$6)</f>
        <v>3.1666666666666669E-2</v>
      </c>
      <c r="C27" s="79">
        <f t="shared" si="4"/>
        <v>0</v>
      </c>
      <c r="D27" s="67">
        <f t="shared" si="5"/>
        <v>3.1666666666666669E-2</v>
      </c>
      <c r="E27">
        <f>COUNTIF(tables_384100!C:C,input_384100!A27)-COUNTIF(Q:Q,A27)</f>
        <v>28</v>
      </c>
      <c r="F27" s="41">
        <f>IFERROR(B27/E27,0)</f>
        <v>1.1309523809523811E-3</v>
      </c>
      <c r="G27">
        <f t="shared" si="6"/>
        <v>2401980</v>
      </c>
      <c r="H27">
        <f t="shared" si="7"/>
        <v>85785</v>
      </c>
      <c r="I27">
        <f t="shared" si="8"/>
        <v>0</v>
      </c>
      <c r="J27">
        <f t="shared" si="9"/>
        <v>1</v>
      </c>
      <c r="L27" s="55"/>
      <c r="M27" s="55"/>
      <c r="N27" s="56"/>
      <c r="O27" s="55"/>
      <c r="P27" s="55"/>
      <c r="Q27" s="55"/>
      <c r="R27" s="57"/>
    </row>
    <row r="28" spans="1:19" x14ac:dyDescent="0.15">
      <c r="A28" s="31" t="s">
        <v>105</v>
      </c>
      <c r="B28" s="54">
        <f>E$5*E28*B$7</f>
        <v>1.666666666666667E-3</v>
      </c>
      <c r="C28" s="79">
        <f t="shared" si="4"/>
        <v>0</v>
      </c>
      <c r="D28" s="67">
        <f t="shared" si="5"/>
        <v>1.666666666666667E-3</v>
      </c>
      <c r="E28">
        <f>COUNTIF(tables_384100!C:C,input_384100!A28)-COUNTIF(Q:Q,A28)</f>
        <v>28</v>
      </c>
      <c r="F28" s="41">
        <f t="shared" si="11"/>
        <v>5.9523809523809537E-5</v>
      </c>
      <c r="G28">
        <f t="shared" si="6"/>
        <v>126420.00000000003</v>
      </c>
      <c r="H28">
        <f t="shared" si="7"/>
        <v>4515</v>
      </c>
      <c r="I28">
        <f t="shared" si="8"/>
        <v>0</v>
      </c>
      <c r="J28">
        <f t="shared" si="9"/>
        <v>1</v>
      </c>
      <c r="L28" s="55"/>
      <c r="M28" s="55"/>
      <c r="N28" s="56"/>
      <c r="O28" s="55"/>
      <c r="P28" s="55"/>
      <c r="Q28" s="55"/>
      <c r="R28" s="57"/>
    </row>
    <row r="29" spans="1:19" x14ac:dyDescent="0.15">
      <c r="A29" s="31" t="s">
        <v>173</v>
      </c>
      <c r="B29" s="54">
        <f>E$5*E29</f>
        <v>1.666666666666667E-2</v>
      </c>
      <c r="C29" s="79">
        <f t="shared" si="4"/>
        <v>0</v>
      </c>
      <c r="D29" s="67">
        <f t="shared" si="5"/>
        <v>1.666666666666667E-2</v>
      </c>
      <c r="E29">
        <f>COUNTIF(tables_384100!C:C,input_384100!A29)-COUNTIF(Q:Q,A29)</f>
        <v>14</v>
      </c>
      <c r="F29" s="41">
        <f t="shared" si="11"/>
        <v>1.1904761904761908E-3</v>
      </c>
      <c r="G29">
        <f t="shared" si="6"/>
        <v>1264200.0000000002</v>
      </c>
      <c r="H29">
        <f t="shared" si="7"/>
        <v>90300</v>
      </c>
      <c r="I29">
        <f t="shared" si="8"/>
        <v>0</v>
      </c>
      <c r="J29">
        <f t="shared" si="9"/>
        <v>1</v>
      </c>
      <c r="L29" s="55"/>
      <c r="M29" s="55"/>
      <c r="N29" s="56"/>
      <c r="O29" s="55"/>
      <c r="P29" s="55"/>
      <c r="Q29" s="55"/>
      <c r="R29" s="57"/>
    </row>
    <row r="30" spans="1:19" x14ac:dyDescent="0.15">
      <c r="A30" s="31" t="s">
        <v>209</v>
      </c>
      <c r="B30" s="54">
        <v>0</v>
      </c>
      <c r="C30" s="79">
        <f t="shared" si="4"/>
        <v>1.4285714285714287E-4</v>
      </c>
      <c r="D30" s="67">
        <f t="shared" si="5"/>
        <v>-1.4285714285714287E-4</v>
      </c>
      <c r="E30">
        <f>COUNTIF(tables_384100!C:C,input_384100!A30)-COUNTIF(Q:Q,A30)</f>
        <v>0</v>
      </c>
      <c r="F30" s="41">
        <f t="shared" si="11"/>
        <v>0</v>
      </c>
      <c r="G30">
        <f t="shared" si="6"/>
        <v>0</v>
      </c>
      <c r="H30">
        <f t="shared" si="7"/>
        <v>0</v>
      </c>
      <c r="I30">
        <f t="shared" si="8"/>
        <v>0</v>
      </c>
      <c r="J30">
        <f t="shared" si="9"/>
        <v>1</v>
      </c>
      <c r="L30" s="55"/>
      <c r="M30" s="55"/>
      <c r="N30" s="56"/>
      <c r="O30" s="55"/>
      <c r="P30" s="55"/>
      <c r="Q30" s="55"/>
      <c r="R30" s="57"/>
    </row>
    <row r="31" spans="1:19" x14ac:dyDescent="0.15">
      <c r="A31" s="31" t="s">
        <v>210</v>
      </c>
      <c r="B31" s="54">
        <v>0</v>
      </c>
      <c r="C31" s="79">
        <f t="shared" si="4"/>
        <v>4.8571428571428567E-3</v>
      </c>
      <c r="D31" s="67">
        <f t="shared" si="5"/>
        <v>-4.8571428571428567E-3</v>
      </c>
      <c r="E31">
        <f>COUNTIF(tables_384100!C:C,input_384100!A31)-COUNTIF(Q:Q,A31)</f>
        <v>0</v>
      </c>
      <c r="F31" s="41">
        <f t="shared" si="11"/>
        <v>0</v>
      </c>
      <c r="G31">
        <f t="shared" si="6"/>
        <v>0</v>
      </c>
      <c r="H31">
        <f t="shared" si="7"/>
        <v>0</v>
      </c>
      <c r="I31">
        <f t="shared" si="8"/>
        <v>0</v>
      </c>
      <c r="J31">
        <f t="shared" si="9"/>
        <v>1</v>
      </c>
      <c r="L31" s="55"/>
      <c r="M31" s="55"/>
      <c r="N31" s="56"/>
      <c r="O31" s="55"/>
      <c r="P31" s="55"/>
      <c r="Q31" s="55"/>
      <c r="R31" s="57"/>
    </row>
    <row r="32" spans="1:19" x14ac:dyDescent="0.15">
      <c r="A32" s="37" t="s">
        <v>57</v>
      </c>
      <c r="B32" s="38">
        <f>SUM(B17:B31)</f>
        <v>0.995</v>
      </c>
      <c r="C32" s="39">
        <f>SUM(C19:C31)</f>
        <v>4.9999999999999992E-3</v>
      </c>
      <c r="D32" s="40">
        <f>B32-C32</f>
        <v>0.99</v>
      </c>
      <c r="L32" s="55"/>
      <c r="M32" s="55"/>
      <c r="N32" s="55"/>
      <c r="O32" s="55"/>
      <c r="P32" s="55"/>
      <c r="Q32" s="55"/>
      <c r="R32" s="57"/>
    </row>
    <row r="35" spans="1:7" x14ac:dyDescent="0.15">
      <c r="A35" t="s">
        <v>71</v>
      </c>
    </row>
    <row r="36" spans="1:7" x14ac:dyDescent="0.15">
      <c r="A36" s="29">
        <f>LCM(F5-I5,F6-I6)*1000*7*3*2</f>
        <v>75852000</v>
      </c>
    </row>
    <row r="38" spans="1:7" x14ac:dyDescent="0.15">
      <c r="A38" s="45" t="s">
        <v>74</v>
      </c>
    </row>
    <row r="39" spans="1:7" x14ac:dyDescent="0.15">
      <c r="A39" s="31" t="s">
        <v>58</v>
      </c>
      <c r="B39" t="s">
        <v>72</v>
      </c>
      <c r="C39" t="s">
        <v>98</v>
      </c>
      <c r="E39" t="s">
        <v>99</v>
      </c>
      <c r="F39" t="s">
        <v>2</v>
      </c>
      <c r="G39" t="s">
        <v>61</v>
      </c>
    </row>
    <row r="40" spans="1:7" x14ac:dyDescent="0.15">
      <c r="A40" s="31" t="s">
        <v>101</v>
      </c>
      <c r="B40">
        <f ca="1">SUMIF(tables_384100!C:C,input_384100!A40,tables_384100!O:O)</f>
        <v>0</v>
      </c>
      <c r="C40" s="52">
        <f t="shared" ref="C40:C46" ca="1" si="12">B40/B$47</f>
        <v>0</v>
      </c>
      <c r="E40">
        <v>3</v>
      </c>
      <c r="F40">
        <f ca="1">SUMIF(tables_384100!J:J,input_384100!E40,tables_384100!O:O)</f>
        <v>0</v>
      </c>
      <c r="G40">
        <f ca="1">F40/A36</f>
        <v>0</v>
      </c>
    </row>
    <row r="41" spans="1:7" x14ac:dyDescent="0.15">
      <c r="A41" s="31" t="s">
        <v>102</v>
      </c>
      <c r="B41">
        <f ca="1">SUMIF(tables_384100!C:C,input_384100!A41,tables_384100!O:O)</f>
        <v>41522943.00024002</v>
      </c>
      <c r="C41" s="52">
        <f t="shared" ca="1" si="12"/>
        <v>0.90523330342787034</v>
      </c>
      <c r="E41">
        <v>4</v>
      </c>
      <c r="F41">
        <f ca="1">SUMIF(tables_384100!J:J,input_384100!E41,tables_384100!O:O)</f>
        <v>71690976.000240117</v>
      </c>
      <c r="G41" s="105">
        <f ca="1">F41/A36</f>
        <v>0.94514285714602275</v>
      </c>
    </row>
    <row r="42" spans="1:7" x14ac:dyDescent="0.15">
      <c r="A42" s="31" t="s">
        <v>104</v>
      </c>
      <c r="B42">
        <f ca="1">SUMIF(tables_384100!C:C,input_384100!A42,tables_384100!O:O)</f>
        <v>2401980</v>
      </c>
      <c r="C42" s="52">
        <f t="shared" ca="1" si="12"/>
        <v>5.2365081399820511E-2</v>
      </c>
      <c r="E42">
        <v>5</v>
      </c>
      <c r="F42">
        <f ca="1">SUMIF(tables_384100!J:J,input_384100!E42,tables_384100!O:O)</f>
        <v>4161023.9997600014</v>
      </c>
      <c r="G42" s="105">
        <f ca="1">F42/A36</f>
        <v>5.4857142853978823E-2</v>
      </c>
    </row>
    <row r="43" spans="1:7" x14ac:dyDescent="0.15">
      <c r="A43" s="31" t="s">
        <v>107</v>
      </c>
      <c r="B43">
        <f>SUMIF(tables_384100!C:C,input_384100!A43,tables_384100!O:O)</f>
        <v>0</v>
      </c>
      <c r="C43" s="52">
        <f t="shared" ca="1" si="12"/>
        <v>0</v>
      </c>
      <c r="F43" s="53"/>
    </row>
    <row r="44" spans="1:7" x14ac:dyDescent="0.15">
      <c r="A44" s="31" t="s">
        <v>103</v>
      </c>
      <c r="B44">
        <f ca="1">SUMIF(tables_384100!C:C,input_384100!A44,tables_384100!O:O)</f>
        <v>1818536.9997600014</v>
      </c>
      <c r="C44" s="52">
        <f t="shared" ca="1" si="12"/>
        <v>3.9645558256529136E-2</v>
      </c>
      <c r="E44" t="s">
        <v>52</v>
      </c>
      <c r="F44" s="53"/>
    </row>
    <row r="45" spans="1:7" x14ac:dyDescent="0.15">
      <c r="A45" s="31" t="s">
        <v>105</v>
      </c>
      <c r="B45">
        <f ca="1">SUMIF(tables_384100!C:C,input_384100!A45,tables_384100!O:O)</f>
        <v>126420</v>
      </c>
      <c r="C45" s="52">
        <f t="shared" ca="1" si="12"/>
        <v>2.7560569157800267E-3</v>
      </c>
      <c r="E45" t="s">
        <v>178</v>
      </c>
      <c r="F45" s="53">
        <f ca="1">SUMIF(tables_384100!I:I,input_384100!E45,tables_384100!P:P)</f>
        <v>0.23383720930232554</v>
      </c>
    </row>
    <row r="46" spans="1:7" x14ac:dyDescent="0.15">
      <c r="A46" s="31" t="s">
        <v>106</v>
      </c>
      <c r="B46">
        <f>SUMIF(tables_384100!C:C,input_384100!A46,tables_384100!O:O)</f>
        <v>0</v>
      </c>
      <c r="C46" s="52">
        <f t="shared" ca="1" si="12"/>
        <v>0</v>
      </c>
      <c r="E46" t="s">
        <v>179</v>
      </c>
      <c r="F46" s="53">
        <f ca="1">SUMIF(tables_384100!I:I,input_384100!E46,tables_384100!P:P)</f>
        <v>0.21976744186046507</v>
      </c>
    </row>
    <row r="47" spans="1:7" x14ac:dyDescent="0.15">
      <c r="A47" s="37" t="s">
        <v>57</v>
      </c>
      <c r="B47">
        <f ca="1">SUM(B40:B46)</f>
        <v>45869880.000000022</v>
      </c>
      <c r="C47" s="53">
        <f ca="1">SUM(C40:C46)</f>
        <v>1</v>
      </c>
      <c r="E47" t="s">
        <v>180</v>
      </c>
      <c r="F47" s="53">
        <f ca="1">SUMIF(tables_384100!I:I,input_384100!E47,tables_384100!P:P)</f>
        <v>0.50546511627906954</v>
      </c>
    </row>
    <row r="48" spans="1:7" x14ac:dyDescent="0.15">
      <c r="E48" t="s">
        <v>181</v>
      </c>
      <c r="F48" s="53">
        <f ca="1">SUMIF(tables_384100!I:I,input_384100!E48,tables_384100!P:P)</f>
        <v>5.000000000000001E-2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17"/>
  <sheetViews>
    <sheetView showGridLines="0" tabSelected="1" zoomScale="75" zoomScaleNormal="75" zoomScalePageLayoutView="75" workbookViewId="0">
      <pane ySplit="1" topLeftCell="A299" activePane="bottomLeft" state="frozen"/>
      <selection activeCell="B31" sqref="B31"/>
      <selection pane="bottomLeft" activeCell="H317" sqref="H31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82</v>
      </c>
      <c r="B1" s="15" t="s">
        <v>1</v>
      </c>
      <c r="C1" s="3" t="s">
        <v>30</v>
      </c>
      <c r="D1" s="3" t="s">
        <v>93</v>
      </c>
      <c r="E1" s="3" t="s">
        <v>162</v>
      </c>
      <c r="F1" s="3" t="s">
        <v>163</v>
      </c>
      <c r="G1" s="3" t="s">
        <v>100</v>
      </c>
      <c r="H1" s="3" t="s">
        <v>32</v>
      </c>
      <c r="I1" s="3" t="s">
        <v>33</v>
      </c>
      <c r="J1" s="3" t="s">
        <v>34</v>
      </c>
      <c r="K1" s="3" t="s">
        <v>50</v>
      </c>
      <c r="L1" s="3" t="s">
        <v>35</v>
      </c>
      <c r="M1" s="3" t="s">
        <v>36</v>
      </c>
      <c r="N1" s="3" t="s">
        <v>56</v>
      </c>
      <c r="O1" s="15" t="s">
        <v>2</v>
      </c>
      <c r="P1" s="3" t="s">
        <v>61</v>
      </c>
      <c r="Q1" s="15" t="s">
        <v>37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 t="str">
        <f ca="1">input_384100!A$2</f>
        <v>384100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f ca="1">IFERROR(VLOOKUP(B2,input_384100!L:R,7,FALSE),VLOOKUP(tables_384100!C2,input_384100!A:H,8,FALSE))</f>
        <v>0</v>
      </c>
      <c r="P2" s="44">
        <f ca="1">O2/SUM(O:O)</f>
        <v>0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2" t="str">
        <f ca="1">input_384100!A$2</f>
        <v>384100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f ca="1">IFERROR(VLOOKUP(B3,input_384100!L:R,7,FALSE),VLOOKUP(tables_384100!C3,input_384100!A:H,8,FALSE))</f>
        <v>833490</v>
      </c>
      <c r="P3" s="44">
        <v>1E-3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2" t="str">
        <f ca="1">input_384100!A$2</f>
        <v>384100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f ca="1">IFERROR(VLOOKUP(B4,input_384100!L:R,7,FALSE),VLOOKUP(tables_384100!C4,input_384100!A:H,8,FALSE))</f>
        <v>0</v>
      </c>
      <c r="P4" s="44">
        <v>0.01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2" t="str">
        <f ca="1">input_384100!A$2</f>
        <v>384100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f ca="1">IFERROR(VLOOKUP(B5,input_384100!L:R,7,FALSE),VLOOKUP(tables_384100!C5,input_384100!A:H,8,FALSE))</f>
        <v>833490</v>
      </c>
      <c r="P5" s="44">
        <v>8.9999999999999993E-3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2" t="str">
        <f ca="1">input_384100!A$2</f>
        <v>384100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3">
        <f ca="1">IFERROR(VLOOKUP(B6,input_384100!L:R,7,FALSE),VLOOKUP(tables_384100!C6,input_384100!A:H,8,FALSE))</f>
        <v>0</v>
      </c>
      <c r="P6" s="44">
        <v>1E-3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2" t="str">
        <f ca="1">input_384100!A$2</f>
        <v>384100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3">
        <f ca="1">IFERROR(VLOOKUP(B7,input_384100!L:R,7,FALSE),VLOOKUP(tables_384100!C7,input_384100!A:H,8,FALSE))</f>
        <v>833490</v>
      </c>
      <c r="P7" s="44">
        <v>0.01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2" t="str">
        <f ca="1">input_384100!A$2</f>
        <v>384100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3">
        <f ca="1">IFERROR(VLOOKUP(B8,input_384100!L:R,7,FALSE),VLOOKUP(tables_384100!C8,input_384100!A:H,8,FALSE))</f>
        <v>0</v>
      </c>
      <c r="P8" s="44">
        <v>8.9999999999999993E-3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2" t="str">
        <f ca="1">input_384100!A$2</f>
        <v>384100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3">
        <f ca="1">IFERROR(VLOOKUP(B9,input_384100!L:R,7,FALSE),VLOOKUP(tables_384100!C9,input_384100!A:H,8,FALSE))</f>
        <v>833490</v>
      </c>
      <c r="P9" s="44">
        <v>1E-3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2" t="str">
        <f ca="1">input_384100!A$2</f>
        <v>384100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3">
        <f ca="1">IFERROR(VLOOKUP(B10,input_384100!L:R,7,FALSE),VLOOKUP(tables_384100!C10,input_384100!A:H,8,FALSE))</f>
        <v>0</v>
      </c>
      <c r="P10" s="44">
        <v>0.01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2" t="str">
        <f ca="1">input_384100!A$2</f>
        <v>384100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f ca="1">IFERROR(VLOOKUP(B11,input_384100!L:R,7,FALSE),VLOOKUP(tables_384100!C11,input_384100!A:H,8,FALSE))</f>
        <v>833490</v>
      </c>
      <c r="P11" s="44">
        <v>8.9999999999999993E-3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2" t="str">
        <f ca="1">input_384100!A$2</f>
        <v>384100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3">
        <f ca="1">IFERROR(VLOOKUP(B12,input_384100!L:R,7,FALSE),VLOOKUP(tables_384100!C12,input_384100!A:H,8,FALSE))</f>
        <v>0</v>
      </c>
      <c r="P12" s="44">
        <v>1E-3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2" t="str">
        <f ca="1">input_384100!A$2</f>
        <v>384100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f ca="1">IFERROR(VLOOKUP(B13,input_384100!L:R,7,FALSE),VLOOKUP(tables_384100!C13,input_384100!A:H,8,FALSE))</f>
        <v>833490</v>
      </c>
      <c r="P13" s="44">
        <v>0.01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2" t="str">
        <f ca="1">input_384100!A$2</f>
        <v>384100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3">
        <f ca="1">IFERROR(VLOOKUP(B14,input_384100!L:R,7,FALSE),VLOOKUP(tables_384100!C14,input_384100!A:H,8,FALSE))</f>
        <v>0</v>
      </c>
      <c r="P14" s="44">
        <v>8.9999999999999993E-3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2" t="str">
        <f ca="1">input_384100!A$2</f>
        <v>384100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3">
        <f ca="1">IFERROR(VLOOKUP(B15,input_384100!L:R,7,FALSE),VLOOKUP(tables_384100!C15,input_384100!A:H,8,FALSE))</f>
        <v>833490</v>
      </c>
      <c r="P15" s="44">
        <f t="shared" ref="P15:P78" ca="1" si="2">O15/SUM(O:O)</f>
        <v>1.0988372093023255E-2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2" t="str">
        <f ca="1">input_384100!A$2</f>
        <v>384100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3">
        <f ca="1">IFERROR(VLOOKUP(B16,input_384100!L:R,7,FALSE),VLOOKUP(tables_384100!C16,input_384100!A:H,8,FALSE))</f>
        <v>0</v>
      </c>
      <c r="P16" s="44">
        <f t="shared" ca="1" si="2"/>
        <v>0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2" t="str">
        <f ca="1">input_384100!A$2</f>
        <v>384100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3">
        <f ca="1">IFERROR(VLOOKUP(B17,input_384100!L:R,7,FALSE),VLOOKUP(tables_384100!C17,input_384100!A:H,8,FALSE))</f>
        <v>833490</v>
      </c>
      <c r="P17" s="44">
        <f t="shared" ca="1" si="2"/>
        <v>1.0988372093023255E-2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2" t="str">
        <f ca="1">input_384100!A$2</f>
        <v>384100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3">
        <f ca="1">IFERROR(VLOOKUP(B18,input_384100!L:R,7,FALSE),VLOOKUP(tables_384100!C18,input_384100!A:H,8,FALSE))</f>
        <v>0</v>
      </c>
      <c r="P18" s="44">
        <f t="shared" ca="1" si="2"/>
        <v>0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s="12" customFormat="1" ht="21" customHeight="1" thickBot="1" x14ac:dyDescent="0.2">
      <c r="A19" s="2" t="str">
        <f ca="1">input_384100!A$2</f>
        <v>384100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3">
        <f ca="1">IFERROR(VLOOKUP(B19,input_384100!L:R,7,FALSE),VLOOKUP(tables_384100!C19,input_384100!A:H,8,FALSE))</f>
        <v>833490</v>
      </c>
      <c r="P19" s="44">
        <f t="shared" ca="1" si="2"/>
        <v>1.0988372093023255E-2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2" t="str">
        <f ca="1">input_384100!A$2</f>
        <v>384100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3">
        <f ca="1">IFERROR(VLOOKUP(B20,input_384100!L:R,7,FALSE),VLOOKUP(tables_384100!C20,input_384100!A:H,8,FALSE))</f>
        <v>0</v>
      </c>
      <c r="P20" s="44">
        <f t="shared" ca="1" si="2"/>
        <v>0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2" t="str">
        <f ca="1">input_384100!A$2</f>
        <v>384100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3">
        <f ca="1">IFERROR(VLOOKUP(B21,input_384100!L:R,7,FALSE),VLOOKUP(tables_384100!C21,input_384100!A:H,8,FALSE))</f>
        <v>833490</v>
      </c>
      <c r="P21" s="44">
        <f t="shared" ca="1" si="2"/>
        <v>1.0988372093023255E-2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2" t="str">
        <f ca="1">input_384100!A$2</f>
        <v>384100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3">
        <f ca="1">IFERROR(VLOOKUP(B22,input_384100!L:R,7,FALSE),VLOOKUP(tables_384100!C22,input_384100!A:H,8,FALSE))</f>
        <v>0</v>
      </c>
      <c r="P22" s="44">
        <f t="shared" ca="1" si="2"/>
        <v>0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2" t="str">
        <f ca="1">input_384100!A$2</f>
        <v>384100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3">
        <f ca="1">IFERROR(VLOOKUP(B23,input_384100!L:R,7,FALSE),VLOOKUP(tables_384100!C23,input_384100!A:H,8,FALSE))</f>
        <v>833490</v>
      </c>
      <c r="P23" s="44">
        <f t="shared" ca="1" si="2"/>
        <v>1.0988372093023255E-2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2" t="str">
        <f ca="1">input_384100!A$2</f>
        <v>384100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3">
        <f ca="1">IFERROR(VLOOKUP(B24,input_384100!L:R,7,FALSE),VLOOKUP(tables_384100!C24,input_384100!A:H,8,FALSE))</f>
        <v>0</v>
      </c>
      <c r="P24" s="44">
        <f t="shared" ca="1" si="2"/>
        <v>0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2" t="str">
        <f ca="1">input_384100!A$2</f>
        <v>384100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3">
        <f ca="1">IFERROR(VLOOKUP(B25,input_384100!L:R,7,FALSE),VLOOKUP(tables_384100!C25,input_384100!A:H,8,FALSE))</f>
        <v>833490</v>
      </c>
      <c r="P25" s="44">
        <f t="shared" ca="1" si="2"/>
        <v>1.0988372093023255E-2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2" t="str">
        <f ca="1">input_384100!A$2</f>
        <v>384100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3">
        <f ca="1">IFERROR(VLOOKUP(B26,input_384100!L:R,7,FALSE),VLOOKUP(tables_384100!C26,input_384100!A:H,8,FALSE))</f>
        <v>0</v>
      </c>
      <c r="P26" s="44">
        <f t="shared" ca="1" si="2"/>
        <v>0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2" t="str">
        <f ca="1">input_384100!A$2</f>
        <v>384100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3">
        <f ca="1">IFERROR(VLOOKUP(B27,input_384100!L:R,7,FALSE),VLOOKUP(tables_384100!C27,input_384100!A:H,8,FALSE))</f>
        <v>833490</v>
      </c>
      <c r="P27" s="44">
        <f t="shared" ca="1" si="2"/>
        <v>1.0988372093023255E-2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2" t="str">
        <f ca="1">input_384100!A$2</f>
        <v>384100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3">
        <f ca="1">IFERROR(VLOOKUP(B28,input_384100!L:R,7,FALSE),VLOOKUP(tables_384100!C28,input_384100!A:H,8,FALSE))</f>
        <v>0</v>
      </c>
      <c r="P28" s="44">
        <f t="shared" ca="1" si="2"/>
        <v>0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2" t="str">
        <f ca="1">input_384100!A$2</f>
        <v>384100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3">
        <f ca="1">IFERROR(VLOOKUP(B29,input_384100!L:R,7,FALSE),VLOOKUP(tables_384100!C29,input_384100!A:H,8,FALSE))</f>
        <v>833490</v>
      </c>
      <c r="P29" s="44">
        <f t="shared" ca="1" si="2"/>
        <v>1.0988372093023255E-2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2" t="str">
        <f ca="1">input_384100!A$2</f>
        <v>384100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3">
        <f ca="1">IFERROR(VLOOKUP(B30,input_384100!L:R,7,FALSE),VLOOKUP(tables_384100!C30,input_384100!A:H,8,FALSE))</f>
        <v>0</v>
      </c>
      <c r="P30" s="44">
        <f t="shared" ca="1" si="2"/>
        <v>0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2" t="str">
        <f ca="1">input_384100!A$2</f>
        <v>384100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3">
        <f ca="1">IFERROR(VLOOKUP(B31,input_384100!L:R,7,FALSE),VLOOKUP(tables_384100!C31,input_384100!A:H,8,FALSE))</f>
        <v>833490</v>
      </c>
      <c r="P31" s="44">
        <f t="shared" ca="1" si="2"/>
        <v>1.0988372093023255E-2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A32" s="2" t="str">
        <f ca="1">input_384100!A$2</f>
        <v>384100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3">
        <f ca="1">IFERROR(VLOOKUP(B32,input_384100!L:R,7,FALSE),VLOOKUP(tables_384100!C32,input_384100!A:H,8,FALSE))</f>
        <v>0</v>
      </c>
      <c r="P32" s="44">
        <f t="shared" ca="1" si="2"/>
        <v>0</v>
      </c>
      <c r="Q32" s="28">
        <v>1</v>
      </c>
      <c r="R32" s="28">
        <v>0</v>
      </c>
      <c r="S32" s="28">
        <v>0</v>
      </c>
      <c r="T32" s="28">
        <v>0</v>
      </c>
      <c r="U32" s="28">
        <v>0</v>
      </c>
      <c r="V32" s="28">
        <v>1</v>
      </c>
    </row>
    <row r="33" spans="1:22" ht="21" customHeight="1" x14ac:dyDescent="0.15">
      <c r="A33" s="2" t="str">
        <f ca="1">input_384100!A$2</f>
        <v>384100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3">
        <f ca="1">IFERROR(VLOOKUP(B33,input_384100!L:R,7,FALSE),VLOOKUP(tables_384100!C33,input_384100!A:H,8,FALSE))</f>
        <v>833490</v>
      </c>
      <c r="P33" s="44">
        <f t="shared" ca="1" si="2"/>
        <v>1.0988372093023255E-2</v>
      </c>
      <c r="Q33" s="28">
        <v>1</v>
      </c>
      <c r="R33" s="28">
        <v>0</v>
      </c>
      <c r="S33" s="28">
        <v>0</v>
      </c>
      <c r="T33" s="28">
        <v>0</v>
      </c>
      <c r="U33" s="28">
        <v>0</v>
      </c>
      <c r="V33" s="28">
        <v>1</v>
      </c>
    </row>
    <row r="34" spans="1:22" ht="21" customHeight="1" x14ac:dyDescent="0.15">
      <c r="A34" s="2" t="str">
        <f ca="1">input_384100!A$2</f>
        <v>384100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3">
        <f ca="1">IFERROR(VLOOKUP(B34,input_384100!L:R,7,FALSE),VLOOKUP(tables_384100!C34,input_384100!A:H,8,FALSE))</f>
        <v>0</v>
      </c>
      <c r="P34" s="44">
        <f t="shared" ca="1" si="2"/>
        <v>0</v>
      </c>
      <c r="Q34" s="28">
        <v>1</v>
      </c>
      <c r="R34" s="28">
        <v>0</v>
      </c>
      <c r="S34" s="28">
        <v>0</v>
      </c>
      <c r="T34" s="28">
        <v>0</v>
      </c>
      <c r="U34" s="28">
        <v>0</v>
      </c>
      <c r="V34" s="28">
        <v>1</v>
      </c>
    </row>
    <row r="35" spans="1:22" ht="21" customHeight="1" x14ac:dyDescent="0.15">
      <c r="A35" s="2" t="str">
        <f ca="1">input_384100!A$2</f>
        <v>384100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3">
        <f ca="1">IFERROR(VLOOKUP(B35,input_384100!L:R,7,FALSE),VLOOKUP(tables_384100!C35,input_384100!A:H,8,FALSE))</f>
        <v>833490</v>
      </c>
      <c r="P35" s="44">
        <f t="shared" ca="1" si="2"/>
        <v>1.0988372093023255E-2</v>
      </c>
      <c r="Q35" s="28">
        <v>1</v>
      </c>
      <c r="R35" s="28">
        <v>0</v>
      </c>
      <c r="S35" s="28">
        <v>0</v>
      </c>
      <c r="T35" s="28">
        <v>0</v>
      </c>
      <c r="U35" s="28">
        <v>0</v>
      </c>
      <c r="V35" s="28">
        <v>1</v>
      </c>
    </row>
    <row r="36" spans="1:22" ht="21" customHeight="1" x14ac:dyDescent="0.15">
      <c r="A36" s="2" t="str">
        <f ca="1">input_384100!A$2</f>
        <v>384100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3">
        <f ca="1">IFERROR(VLOOKUP(B36,input_384100!L:R,7,FALSE),VLOOKUP(tables_384100!C36,input_384100!A:H,8,FALSE))</f>
        <v>0</v>
      </c>
      <c r="P36" s="44">
        <f t="shared" ca="1" si="2"/>
        <v>0</v>
      </c>
      <c r="Q36" s="28">
        <v>1</v>
      </c>
      <c r="R36" s="28">
        <v>0</v>
      </c>
      <c r="S36" s="28">
        <v>0</v>
      </c>
      <c r="T36" s="28">
        <v>0</v>
      </c>
      <c r="U36" s="28">
        <v>0</v>
      </c>
      <c r="V36" s="28">
        <v>1</v>
      </c>
    </row>
    <row r="37" spans="1:22" ht="21" customHeight="1" x14ac:dyDescent="0.15">
      <c r="A37" s="2" t="str">
        <f ca="1">input_384100!A$2</f>
        <v>384100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3">
        <f ca="1">IFERROR(VLOOKUP(B37,input_384100!L:R,7,FALSE),VLOOKUP(tables_384100!C37,input_384100!A:H,8,FALSE))</f>
        <v>833490</v>
      </c>
      <c r="P37" s="44">
        <f t="shared" ca="1" si="2"/>
        <v>1.0988372093023255E-2</v>
      </c>
      <c r="Q37" s="28">
        <v>1</v>
      </c>
      <c r="R37" s="28">
        <v>0</v>
      </c>
      <c r="S37" s="28">
        <v>0</v>
      </c>
      <c r="T37" s="28">
        <v>0</v>
      </c>
      <c r="U37" s="28">
        <v>0</v>
      </c>
      <c r="V37" s="28">
        <v>1</v>
      </c>
    </row>
    <row r="38" spans="1:22" ht="21" customHeight="1" x14ac:dyDescent="0.15">
      <c r="A38" s="2" t="str">
        <f ca="1">input_384100!A$2</f>
        <v>384100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3">
        <f ca="1">IFERROR(VLOOKUP(B38,input_384100!L:R,7,FALSE),VLOOKUP(tables_384100!C38,input_384100!A:H,8,FALSE))</f>
        <v>0</v>
      </c>
      <c r="P38" s="44">
        <f t="shared" ca="1" si="2"/>
        <v>0</v>
      </c>
      <c r="Q38" s="28">
        <v>1</v>
      </c>
      <c r="R38" s="28">
        <v>0</v>
      </c>
      <c r="S38" s="28">
        <v>0</v>
      </c>
      <c r="T38" s="28">
        <v>0</v>
      </c>
      <c r="U38" s="28">
        <v>0</v>
      </c>
      <c r="V38" s="28">
        <v>1</v>
      </c>
    </row>
    <row r="39" spans="1:22" ht="21" customHeight="1" x14ac:dyDescent="0.15">
      <c r="A39" s="2" t="str">
        <f ca="1">input_384100!A$2</f>
        <v>384100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3">
        <f ca="1">IFERROR(VLOOKUP(B39,input_384100!L:R,7,FALSE),VLOOKUP(tables_384100!C39,input_384100!A:H,8,FALSE))</f>
        <v>833490</v>
      </c>
      <c r="P39" s="44">
        <f t="shared" ca="1" si="2"/>
        <v>1.0988372093023255E-2</v>
      </c>
      <c r="Q39" s="28">
        <v>1</v>
      </c>
      <c r="R39" s="28">
        <v>0</v>
      </c>
      <c r="S39" s="28">
        <v>0</v>
      </c>
      <c r="T39" s="28">
        <v>0</v>
      </c>
      <c r="U39" s="28">
        <v>0</v>
      </c>
      <c r="V39" s="28">
        <v>1</v>
      </c>
    </row>
    <row r="40" spans="1:22" ht="21" customHeight="1" x14ac:dyDescent="0.15">
      <c r="A40" s="2" t="str">
        <f ca="1">input_384100!A$2</f>
        <v>384100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3">
        <f ca="1">IFERROR(VLOOKUP(B40,input_384100!L:R,7,FALSE),VLOOKUP(tables_384100!C40,input_384100!A:H,8,FALSE))</f>
        <v>0</v>
      </c>
      <c r="P40" s="44">
        <f t="shared" ca="1" si="2"/>
        <v>0</v>
      </c>
      <c r="Q40" s="28">
        <v>1</v>
      </c>
      <c r="R40" s="28">
        <v>0</v>
      </c>
      <c r="S40" s="28">
        <v>0</v>
      </c>
      <c r="T40" s="28">
        <v>0</v>
      </c>
      <c r="U40" s="28">
        <v>0</v>
      </c>
      <c r="V40" s="28">
        <v>1</v>
      </c>
    </row>
    <row r="41" spans="1:22" ht="21" customHeight="1" x14ac:dyDescent="0.15">
      <c r="A41" s="2" t="str">
        <f ca="1">input_384100!A$2</f>
        <v>384100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3">
        <f ca="1">IFERROR(VLOOKUP(B41,input_384100!L:R,7,FALSE),VLOOKUP(tables_384100!C41,input_384100!A:H,8,FALSE))</f>
        <v>833490</v>
      </c>
      <c r="P41" s="44">
        <f t="shared" ca="1" si="2"/>
        <v>1.0988372093023255E-2</v>
      </c>
      <c r="Q41" s="28">
        <v>1</v>
      </c>
      <c r="R41" s="28">
        <v>0</v>
      </c>
      <c r="S41" s="28">
        <v>0</v>
      </c>
      <c r="T41" s="28">
        <v>0</v>
      </c>
      <c r="U41" s="28">
        <v>0</v>
      </c>
      <c r="V41" s="28">
        <v>1</v>
      </c>
    </row>
    <row r="42" spans="1:22" ht="21" customHeight="1" x14ac:dyDescent="0.15">
      <c r="A42" s="2" t="str">
        <f ca="1">input_384100!A$2</f>
        <v>384100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3">
        <f ca="1">IFERROR(VLOOKUP(B42,input_384100!L:R,7,FALSE),VLOOKUP(tables_384100!C42,input_384100!A:H,8,FALSE))</f>
        <v>0</v>
      </c>
      <c r="P42" s="44">
        <f t="shared" ca="1" si="2"/>
        <v>0</v>
      </c>
      <c r="Q42" s="28">
        <v>1</v>
      </c>
      <c r="R42" s="28">
        <v>0</v>
      </c>
      <c r="S42" s="28">
        <v>0</v>
      </c>
      <c r="T42" s="28">
        <v>0</v>
      </c>
      <c r="U42" s="28">
        <v>0</v>
      </c>
      <c r="V42" s="28">
        <v>1</v>
      </c>
    </row>
    <row r="43" spans="1:22" ht="21" customHeight="1" x14ac:dyDescent="0.15">
      <c r="A43" s="2" t="str">
        <f ca="1">input_384100!A$2</f>
        <v>384100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3">
        <f ca="1">IFERROR(VLOOKUP(B43,input_384100!L:R,7,FALSE),VLOOKUP(tables_384100!C43,input_384100!A:H,8,FALSE))</f>
        <v>791815.5</v>
      </c>
      <c r="P43" s="44">
        <f t="shared" ca="1" si="2"/>
        <v>1.0438953488372094E-2</v>
      </c>
      <c r="Q43" s="28">
        <v>1</v>
      </c>
      <c r="R43" s="28">
        <v>0</v>
      </c>
      <c r="S43" s="28">
        <v>0</v>
      </c>
      <c r="T43" s="28">
        <v>0</v>
      </c>
      <c r="U43" s="28">
        <v>0</v>
      </c>
      <c r="V43" s="28">
        <v>1</v>
      </c>
    </row>
    <row r="44" spans="1:22" ht="21" customHeight="1" x14ac:dyDescent="0.15">
      <c r="A44" s="2" t="str">
        <f ca="1">input_384100!A$2</f>
        <v>384100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3">
        <f ca="1">IFERROR(VLOOKUP(B44,input_384100!L:R,7,FALSE),VLOOKUP(tables_384100!C44,input_384100!A:H,8,FALSE))</f>
        <v>41674.5</v>
      </c>
      <c r="P44" s="44">
        <f t="shared" ca="1" si="2"/>
        <v>5.4941860465116277E-4</v>
      </c>
      <c r="Q44" s="28">
        <v>1</v>
      </c>
      <c r="R44" s="28">
        <v>0</v>
      </c>
      <c r="S44" s="28">
        <v>0</v>
      </c>
      <c r="T44" s="28">
        <v>0</v>
      </c>
      <c r="U44" s="28">
        <v>0</v>
      </c>
      <c r="V44" s="28">
        <v>1</v>
      </c>
    </row>
    <row r="45" spans="1:22" ht="21" customHeight="1" x14ac:dyDescent="0.15">
      <c r="A45" s="2" t="str">
        <f ca="1">input_384100!A$2</f>
        <v>384100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3">
        <f ca="1">IFERROR(VLOOKUP(B45,input_384100!L:R,7,FALSE),VLOOKUP(tables_384100!C45,input_384100!A:H,8,FALSE))</f>
        <v>0</v>
      </c>
      <c r="P45" s="44">
        <f t="shared" ca="1" si="2"/>
        <v>0</v>
      </c>
      <c r="Q45" s="28">
        <v>1</v>
      </c>
      <c r="R45" s="28">
        <v>0</v>
      </c>
      <c r="S45" s="28">
        <v>0</v>
      </c>
      <c r="T45" s="28">
        <v>0</v>
      </c>
      <c r="U45" s="28">
        <v>0</v>
      </c>
      <c r="V45" s="28">
        <v>1</v>
      </c>
    </row>
    <row r="46" spans="1:22" ht="21" customHeight="1" x14ac:dyDescent="0.15">
      <c r="A46" s="2" t="str">
        <f ca="1">input_384100!A$2</f>
        <v>384100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3">
        <f ca="1">IFERROR(VLOOKUP(B46,input_384100!L:R,7,FALSE),VLOOKUP(tables_384100!C46,input_384100!A:H,8,FALSE))</f>
        <v>791815.5</v>
      </c>
      <c r="P46" s="44">
        <f t="shared" ca="1" si="2"/>
        <v>1.0438953488372094E-2</v>
      </c>
      <c r="Q46" s="28">
        <v>1</v>
      </c>
      <c r="R46" s="28">
        <v>0</v>
      </c>
      <c r="S46" s="28">
        <v>0</v>
      </c>
      <c r="T46" s="28">
        <v>0</v>
      </c>
      <c r="U46" s="28">
        <v>0</v>
      </c>
      <c r="V46" s="28">
        <v>1</v>
      </c>
    </row>
    <row r="47" spans="1:22" ht="21" customHeight="1" x14ac:dyDescent="0.15">
      <c r="A47" s="2" t="str">
        <f ca="1">input_384100!A$2</f>
        <v>384100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3">
        <f ca="1">IFERROR(VLOOKUP(B47,input_384100!L:R,7,FALSE),VLOOKUP(tables_384100!C47,input_384100!A:H,8,FALSE))</f>
        <v>41674.5</v>
      </c>
      <c r="P47" s="44">
        <f t="shared" ca="1" si="2"/>
        <v>5.4941860465116277E-4</v>
      </c>
      <c r="Q47" s="28">
        <v>1</v>
      </c>
      <c r="R47" s="28">
        <v>0</v>
      </c>
      <c r="S47" s="28">
        <v>0</v>
      </c>
      <c r="T47" s="28">
        <v>0</v>
      </c>
      <c r="U47" s="28">
        <v>0</v>
      </c>
      <c r="V47" s="28">
        <v>1</v>
      </c>
    </row>
    <row r="48" spans="1:22" ht="21" customHeight="1" x14ac:dyDescent="0.15">
      <c r="A48" s="2" t="str">
        <f ca="1">input_384100!A$2</f>
        <v>384100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3">
        <f ca="1">IFERROR(VLOOKUP(B48,input_384100!L:R,7,FALSE),VLOOKUP(tables_384100!C48,input_384100!A:H,8,FALSE))</f>
        <v>0</v>
      </c>
      <c r="P48" s="44">
        <f t="shared" ca="1" si="2"/>
        <v>0</v>
      </c>
      <c r="Q48" s="28">
        <v>1</v>
      </c>
      <c r="R48" s="28">
        <v>0</v>
      </c>
      <c r="S48" s="28">
        <v>0</v>
      </c>
      <c r="T48" s="28">
        <v>0</v>
      </c>
      <c r="U48" s="28">
        <v>0</v>
      </c>
      <c r="V48" s="28">
        <v>1</v>
      </c>
    </row>
    <row r="49" spans="1:22" ht="21" customHeight="1" x14ac:dyDescent="0.15">
      <c r="A49" s="2" t="str">
        <f ca="1">input_384100!A$2</f>
        <v>384100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3">
        <f ca="1">IFERROR(VLOOKUP(B49,input_384100!L:R,7,FALSE),VLOOKUP(tables_384100!C49,input_384100!A:H,8,FALSE))</f>
        <v>791815.5</v>
      </c>
      <c r="P49" s="44">
        <f t="shared" ca="1" si="2"/>
        <v>1.0438953488372094E-2</v>
      </c>
      <c r="Q49" s="28">
        <v>1</v>
      </c>
      <c r="R49" s="28">
        <v>0</v>
      </c>
      <c r="S49" s="28">
        <v>0</v>
      </c>
      <c r="T49" s="28">
        <v>0</v>
      </c>
      <c r="U49" s="28">
        <v>0</v>
      </c>
      <c r="V49" s="28">
        <v>1</v>
      </c>
    </row>
    <row r="50" spans="1:22" ht="21" customHeight="1" x14ac:dyDescent="0.15">
      <c r="A50" s="2" t="str">
        <f ca="1">input_384100!A$2</f>
        <v>384100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3">
        <f ca="1">IFERROR(VLOOKUP(B50,input_384100!L:R,7,FALSE),VLOOKUP(tables_384100!C50,input_384100!A:H,8,FALSE))</f>
        <v>41674.5</v>
      </c>
      <c r="P50" s="44">
        <f t="shared" ca="1" si="2"/>
        <v>5.4941860465116277E-4</v>
      </c>
      <c r="Q50" s="28">
        <v>1</v>
      </c>
      <c r="R50" s="28">
        <v>0</v>
      </c>
      <c r="S50" s="28">
        <v>0</v>
      </c>
      <c r="T50" s="28">
        <v>0</v>
      </c>
      <c r="U50" s="28">
        <v>0</v>
      </c>
      <c r="V50" s="28">
        <v>1</v>
      </c>
    </row>
    <row r="51" spans="1:22" ht="21" customHeight="1" x14ac:dyDescent="0.15">
      <c r="A51" s="2" t="str">
        <f ca="1">input_384100!A$2</f>
        <v>384100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3">
        <f ca="1">IFERROR(VLOOKUP(B51,input_384100!L:R,7,FALSE),VLOOKUP(tables_384100!C51,input_384100!A:H,8,FALSE))</f>
        <v>0</v>
      </c>
      <c r="P51" s="44">
        <f t="shared" ca="1" si="2"/>
        <v>0</v>
      </c>
      <c r="Q51" s="28">
        <v>1</v>
      </c>
      <c r="R51" s="28">
        <v>0</v>
      </c>
      <c r="S51" s="28">
        <v>0</v>
      </c>
      <c r="T51" s="28">
        <v>0</v>
      </c>
      <c r="U51" s="28">
        <v>0</v>
      </c>
      <c r="V51" s="28">
        <v>1</v>
      </c>
    </row>
    <row r="52" spans="1:22" ht="21" customHeight="1" x14ac:dyDescent="0.15">
      <c r="A52" s="2" t="str">
        <f ca="1">input_384100!A$2</f>
        <v>384100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3">
        <f ca="1">IFERROR(VLOOKUP(B52,input_384100!L:R,7,FALSE),VLOOKUP(tables_384100!C52,input_384100!A:H,8,FALSE))</f>
        <v>798518.13462000003</v>
      </c>
      <c r="P52" s="44">
        <f t="shared" ca="1" si="2"/>
        <v>1.0527318127669672E-2</v>
      </c>
      <c r="Q52" s="28">
        <v>1</v>
      </c>
      <c r="R52" s="28">
        <v>0</v>
      </c>
      <c r="S52" s="28">
        <v>0</v>
      </c>
      <c r="T52" s="28">
        <v>0</v>
      </c>
      <c r="U52" s="28">
        <v>0</v>
      </c>
      <c r="V52" s="28">
        <v>1</v>
      </c>
    </row>
    <row r="53" spans="1:22" ht="21" customHeight="1" x14ac:dyDescent="0.15">
      <c r="A53" s="2" t="str">
        <f ca="1">input_384100!A$2</f>
        <v>384100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3">
        <f ca="1">IFERROR(VLOOKUP(B53,input_384100!L:R,7,FALSE),VLOOKUP(tables_384100!C53,input_384100!A:H,8,FALSE))</f>
        <v>34971.865380000003</v>
      </c>
      <c r="P53" s="44">
        <f t="shared" ca="1" si="2"/>
        <v>4.6105396535358332E-4</v>
      </c>
      <c r="Q53" s="28">
        <v>1</v>
      </c>
      <c r="R53" s="28">
        <v>0</v>
      </c>
      <c r="S53" s="28">
        <v>0</v>
      </c>
      <c r="T53" s="28">
        <v>0</v>
      </c>
      <c r="U53" s="28">
        <v>0</v>
      </c>
      <c r="V53" s="28">
        <v>1</v>
      </c>
    </row>
    <row r="54" spans="1:22" ht="21" customHeight="1" x14ac:dyDescent="0.15">
      <c r="A54" s="2" t="str">
        <f ca="1">input_384100!A$2</f>
        <v>384100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3">
        <f ca="1">IFERROR(VLOOKUP(B54,input_384100!L:R,7,FALSE),VLOOKUP(tables_384100!C54,input_384100!A:H,8,FALSE))</f>
        <v>0</v>
      </c>
      <c r="P54" s="44">
        <f t="shared" ca="1" si="2"/>
        <v>0</v>
      </c>
      <c r="Q54" s="28">
        <v>1</v>
      </c>
      <c r="R54" s="28">
        <v>0</v>
      </c>
      <c r="S54" s="28">
        <v>0</v>
      </c>
      <c r="T54" s="28">
        <v>0</v>
      </c>
      <c r="U54" s="28">
        <v>0</v>
      </c>
      <c r="V54" s="28">
        <v>1</v>
      </c>
    </row>
    <row r="55" spans="1:22" ht="21" customHeight="1" x14ac:dyDescent="0.15">
      <c r="A55" s="2" t="str">
        <f ca="1">input_384100!A$2</f>
        <v>384100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3">
        <f ca="1">IFERROR(VLOOKUP(B55,input_384100!L:R,7,FALSE),VLOOKUP(tables_384100!C55,input_384100!A:H,8,FALSE))</f>
        <v>798518.13462000003</v>
      </c>
      <c r="P55" s="44">
        <f t="shared" ca="1" si="2"/>
        <v>1.0527318127669672E-2</v>
      </c>
      <c r="Q55" s="28">
        <v>1</v>
      </c>
      <c r="R55" s="28">
        <v>0</v>
      </c>
      <c r="S55" s="28">
        <v>0</v>
      </c>
      <c r="T55" s="28">
        <v>0</v>
      </c>
      <c r="U55" s="28">
        <v>0</v>
      </c>
      <c r="V55" s="28">
        <v>1</v>
      </c>
    </row>
    <row r="56" spans="1:22" ht="21" customHeight="1" x14ac:dyDescent="0.15">
      <c r="A56" s="2" t="str">
        <f ca="1">input_384100!A$2</f>
        <v>384100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3">
        <f ca="1">IFERROR(VLOOKUP(B56,input_384100!L:R,7,FALSE),VLOOKUP(tables_384100!C56,input_384100!A:H,8,FALSE))</f>
        <v>34971.865380000003</v>
      </c>
      <c r="P56" s="44">
        <f t="shared" ca="1" si="2"/>
        <v>4.6105396535358332E-4</v>
      </c>
      <c r="Q56" s="28">
        <v>1</v>
      </c>
      <c r="R56" s="28">
        <v>0</v>
      </c>
      <c r="S56" s="28">
        <v>0</v>
      </c>
      <c r="T56" s="28">
        <v>0</v>
      </c>
      <c r="U56" s="28">
        <v>0</v>
      </c>
      <c r="V56" s="28">
        <v>1</v>
      </c>
    </row>
    <row r="57" spans="1:22" ht="21" customHeight="1" x14ac:dyDescent="0.15">
      <c r="A57" s="2" t="str">
        <f ca="1">input_384100!A$2</f>
        <v>384100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3">
        <f ca="1">IFERROR(VLOOKUP(B57,input_384100!L:R,7,FALSE),VLOOKUP(tables_384100!C57,input_384100!A:H,8,FALSE))</f>
        <v>0</v>
      </c>
      <c r="P57" s="44">
        <f t="shared" ca="1" si="2"/>
        <v>0</v>
      </c>
      <c r="Q57" s="28">
        <v>1</v>
      </c>
      <c r="R57" s="28">
        <v>0</v>
      </c>
      <c r="S57" s="28">
        <v>0</v>
      </c>
      <c r="T57" s="28">
        <v>0</v>
      </c>
      <c r="U57" s="28">
        <v>0</v>
      </c>
      <c r="V57" s="28">
        <v>1</v>
      </c>
    </row>
    <row r="58" spans="1:22" ht="21" customHeight="1" x14ac:dyDescent="0.15">
      <c r="A58" s="2" t="str">
        <f ca="1">input_384100!A$2</f>
        <v>384100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3">
        <f ca="1">IFERROR(VLOOKUP(B58,input_384100!L:R,7,FALSE),VLOOKUP(tables_384100!C58,input_384100!A:H,8,FALSE))</f>
        <v>798518.13462000003</v>
      </c>
      <c r="P58" s="44">
        <f t="shared" ca="1" si="2"/>
        <v>1.0527318127669672E-2</v>
      </c>
      <c r="Q58" s="28">
        <v>1</v>
      </c>
      <c r="R58" s="28">
        <v>0</v>
      </c>
      <c r="S58" s="28">
        <v>0</v>
      </c>
      <c r="T58" s="28">
        <v>0</v>
      </c>
      <c r="U58" s="28">
        <v>0</v>
      </c>
      <c r="V58" s="28">
        <v>1</v>
      </c>
    </row>
    <row r="59" spans="1:22" ht="21" customHeight="1" x14ac:dyDescent="0.15">
      <c r="A59" s="2" t="str">
        <f ca="1">input_384100!A$2</f>
        <v>384100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3">
        <f ca="1">IFERROR(VLOOKUP(B59,input_384100!L:R,7,FALSE),VLOOKUP(tables_384100!C59,input_384100!A:H,8,FALSE))</f>
        <v>34971.865380000003</v>
      </c>
      <c r="P59" s="44">
        <f t="shared" ca="1" si="2"/>
        <v>4.6105396535358332E-4</v>
      </c>
      <c r="Q59" s="28">
        <v>1</v>
      </c>
      <c r="R59" s="28">
        <v>0</v>
      </c>
      <c r="S59" s="28">
        <v>0</v>
      </c>
      <c r="T59" s="28">
        <v>0</v>
      </c>
      <c r="U59" s="28">
        <v>0</v>
      </c>
      <c r="V59" s="28">
        <v>1</v>
      </c>
    </row>
    <row r="60" spans="1:22" ht="21" customHeight="1" x14ac:dyDescent="0.15">
      <c r="A60" s="2" t="str">
        <f ca="1">input_384100!A$2</f>
        <v>384100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3">
        <f ca="1">IFERROR(VLOOKUP(B60,input_384100!L:R,7,FALSE),VLOOKUP(tables_384100!C60,input_384100!A:H,8,FALSE))</f>
        <v>0</v>
      </c>
      <c r="P60" s="44">
        <f t="shared" ca="1" si="2"/>
        <v>0</v>
      </c>
      <c r="Q60" s="28">
        <v>1</v>
      </c>
      <c r="R60" s="28">
        <v>0</v>
      </c>
      <c r="S60" s="28">
        <v>0</v>
      </c>
      <c r="T60" s="28">
        <v>0</v>
      </c>
      <c r="U60" s="28">
        <v>0</v>
      </c>
      <c r="V60" s="28">
        <v>1</v>
      </c>
    </row>
    <row r="61" spans="1:22" ht="21" customHeight="1" x14ac:dyDescent="0.15">
      <c r="A61" s="2" t="str">
        <f ca="1">input_384100!A$2</f>
        <v>384100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3">
        <f ca="1">IFERROR(VLOOKUP(B61,input_384100!L:R,7,FALSE),VLOOKUP(tables_384100!C61,input_384100!A:H,8,FALSE))</f>
        <v>798518.13462000003</v>
      </c>
      <c r="P61" s="44">
        <f t="shared" ca="1" si="2"/>
        <v>1.0527318127669672E-2</v>
      </c>
      <c r="Q61" s="28">
        <v>1</v>
      </c>
      <c r="R61" s="28">
        <v>0</v>
      </c>
      <c r="S61" s="28">
        <v>0</v>
      </c>
      <c r="T61" s="28">
        <v>0</v>
      </c>
      <c r="U61" s="28">
        <v>0</v>
      </c>
      <c r="V61" s="28">
        <v>1</v>
      </c>
    </row>
    <row r="62" spans="1:22" ht="21" customHeight="1" x14ac:dyDescent="0.15">
      <c r="A62" s="2" t="str">
        <f ca="1">input_384100!A$2</f>
        <v>384100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3">
        <f ca="1">IFERROR(VLOOKUP(B62,input_384100!L:R,7,FALSE),VLOOKUP(tables_384100!C62,input_384100!A:H,8,FALSE))</f>
        <v>34971.865380000003</v>
      </c>
      <c r="P62" s="44">
        <f t="shared" ca="1" si="2"/>
        <v>4.6105396535358332E-4</v>
      </c>
      <c r="Q62" s="28">
        <v>1</v>
      </c>
      <c r="R62" s="28">
        <v>0</v>
      </c>
      <c r="S62" s="28">
        <v>0</v>
      </c>
      <c r="T62" s="28">
        <v>0</v>
      </c>
      <c r="U62" s="28">
        <v>0</v>
      </c>
      <c r="V62" s="28">
        <v>1</v>
      </c>
    </row>
    <row r="63" spans="1:22" ht="21" customHeight="1" x14ac:dyDescent="0.15">
      <c r="A63" s="2" t="str">
        <f ca="1">input_384100!A$2</f>
        <v>384100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3">
        <f ca="1">IFERROR(VLOOKUP(B63,input_384100!L:R,7,FALSE),VLOOKUP(tables_384100!C63,input_384100!A:H,8,FALSE))</f>
        <v>0</v>
      </c>
      <c r="P63" s="44">
        <f t="shared" ca="1" si="2"/>
        <v>0</v>
      </c>
      <c r="Q63" s="28">
        <v>1</v>
      </c>
      <c r="R63" s="28">
        <v>0</v>
      </c>
      <c r="S63" s="28">
        <v>0</v>
      </c>
      <c r="T63" s="28">
        <v>0</v>
      </c>
      <c r="U63" s="28">
        <v>0</v>
      </c>
      <c r="V63" s="28">
        <v>1</v>
      </c>
    </row>
    <row r="64" spans="1:22" ht="21" customHeight="1" x14ac:dyDescent="0.15">
      <c r="A64" s="2" t="str">
        <f ca="1">input_384100!A$2</f>
        <v>384100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3">
        <f ca="1">IFERROR(VLOOKUP(B64,input_384100!L:R,7,FALSE),VLOOKUP(tables_384100!C64,input_384100!A:H,8,FALSE))</f>
        <v>798518.13462000003</v>
      </c>
      <c r="P64" s="44">
        <f t="shared" ca="1" si="2"/>
        <v>1.0527318127669672E-2</v>
      </c>
      <c r="Q64" s="28">
        <v>1</v>
      </c>
      <c r="R64" s="28">
        <v>0</v>
      </c>
      <c r="S64" s="28">
        <v>0</v>
      </c>
      <c r="T64" s="28">
        <v>0</v>
      </c>
      <c r="U64" s="28">
        <v>0</v>
      </c>
      <c r="V64" s="28">
        <v>1</v>
      </c>
    </row>
    <row r="65" spans="1:22" ht="21" customHeight="1" x14ac:dyDescent="0.15">
      <c r="A65" s="2" t="str">
        <f ca="1">input_384100!A$2</f>
        <v>384100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3">
        <f ca="1">IFERROR(VLOOKUP(B65,input_384100!L:R,7,FALSE),VLOOKUP(tables_384100!C65,input_384100!A:H,8,FALSE))</f>
        <v>34971.865380000003</v>
      </c>
      <c r="P65" s="44">
        <f t="shared" ca="1" si="2"/>
        <v>4.6105396535358332E-4</v>
      </c>
      <c r="Q65" s="28">
        <v>1</v>
      </c>
      <c r="R65" s="28">
        <v>0</v>
      </c>
      <c r="S65" s="28">
        <v>0</v>
      </c>
      <c r="T65" s="28">
        <v>0</v>
      </c>
      <c r="U65" s="28">
        <v>0</v>
      </c>
      <c r="V65" s="28">
        <v>1</v>
      </c>
    </row>
    <row r="66" spans="1:22" s="9" customFormat="1" ht="21" customHeight="1" thickBot="1" x14ac:dyDescent="0.2">
      <c r="A66" s="2" t="str">
        <f ca="1">input_384100!A$2</f>
        <v>384100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3">
        <f ca="1">IFERROR(VLOOKUP(B66,input_384100!L:R,7,FALSE),VLOOKUP(tables_384100!C66,input_384100!A:H,8,FALSE))</f>
        <v>0</v>
      </c>
      <c r="P66" s="44">
        <f t="shared" ca="1" si="2"/>
        <v>0</v>
      </c>
      <c r="Q66" s="28">
        <v>1</v>
      </c>
      <c r="R66" s="28">
        <v>0</v>
      </c>
      <c r="S66" s="28">
        <v>0</v>
      </c>
      <c r="T66" s="28">
        <v>0</v>
      </c>
      <c r="U66" s="28">
        <v>0</v>
      </c>
      <c r="V66" s="28">
        <v>1</v>
      </c>
    </row>
    <row r="67" spans="1:22" ht="21" customHeight="1" x14ac:dyDescent="0.15">
      <c r="A67" s="2" t="str">
        <f ca="1">input_384100!A$2</f>
        <v>384100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3">
        <f ca="1">IFERROR(VLOOKUP(B67,input_384100!L:R,7,FALSE),VLOOKUP(tables_384100!C67,input_384100!A:H,8,FALSE))</f>
        <v>798518.13462000003</v>
      </c>
      <c r="P67" s="44">
        <f t="shared" ca="1" si="2"/>
        <v>1.0527318127669672E-2</v>
      </c>
      <c r="Q67" s="28">
        <v>1</v>
      </c>
      <c r="R67" s="28">
        <v>0</v>
      </c>
      <c r="S67" s="28">
        <v>0</v>
      </c>
      <c r="T67" s="28">
        <v>0</v>
      </c>
      <c r="U67" s="28">
        <v>0</v>
      </c>
      <c r="V67" s="28">
        <v>1</v>
      </c>
    </row>
    <row r="68" spans="1:22" ht="21" customHeight="1" x14ac:dyDescent="0.15">
      <c r="A68" s="2" t="str">
        <f ca="1">input_384100!A$2</f>
        <v>384100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3">
        <f ca="1">IFERROR(VLOOKUP(B68,input_384100!L:R,7,FALSE),VLOOKUP(tables_384100!C68,input_384100!A:H,8,FALSE))</f>
        <v>34971.865380000003</v>
      </c>
      <c r="P68" s="44">
        <f t="shared" ca="1" si="2"/>
        <v>4.6105396535358332E-4</v>
      </c>
      <c r="Q68" s="28">
        <v>1</v>
      </c>
      <c r="R68" s="28">
        <v>0</v>
      </c>
      <c r="S68" s="28">
        <v>0</v>
      </c>
      <c r="T68" s="28">
        <v>0</v>
      </c>
      <c r="U68" s="28">
        <v>0</v>
      </c>
      <c r="V68" s="28">
        <v>1</v>
      </c>
    </row>
    <row r="69" spans="1:22" ht="21" customHeight="1" x14ac:dyDescent="0.15">
      <c r="A69" s="2" t="str">
        <f ca="1">input_384100!A$2</f>
        <v>384100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3">
        <f ca="1">IFERROR(VLOOKUP(B69,input_384100!L:R,7,FALSE),VLOOKUP(tables_384100!C69,input_384100!A:H,8,FALSE))</f>
        <v>0</v>
      </c>
      <c r="P69" s="44">
        <f t="shared" ca="1" si="2"/>
        <v>0</v>
      </c>
      <c r="Q69" s="28">
        <v>1</v>
      </c>
      <c r="R69" s="28">
        <v>0</v>
      </c>
      <c r="S69" s="28">
        <v>0</v>
      </c>
      <c r="T69" s="28">
        <v>0</v>
      </c>
      <c r="U69" s="28">
        <v>0</v>
      </c>
      <c r="V69" s="28">
        <v>1</v>
      </c>
    </row>
    <row r="70" spans="1:22" ht="21" customHeight="1" x14ac:dyDescent="0.15">
      <c r="A70" s="2" t="str">
        <f ca="1">input_384100!A$2</f>
        <v>384100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3">
        <f ca="1">IFERROR(VLOOKUP(B70,input_384100!L:R,7,FALSE),VLOOKUP(tables_384100!C70,input_384100!A:H,8,FALSE))</f>
        <v>798518.13462000003</v>
      </c>
      <c r="P70" s="44">
        <f t="shared" ca="1" si="2"/>
        <v>1.0527318127669672E-2</v>
      </c>
      <c r="Q70" s="28">
        <v>1</v>
      </c>
      <c r="R70" s="28">
        <v>0</v>
      </c>
      <c r="S70" s="28">
        <v>0</v>
      </c>
      <c r="T70" s="28">
        <v>0</v>
      </c>
      <c r="U70" s="28">
        <v>0</v>
      </c>
      <c r="V70" s="28">
        <v>1</v>
      </c>
    </row>
    <row r="71" spans="1:22" ht="21" customHeight="1" x14ac:dyDescent="0.15">
      <c r="A71" s="2" t="str">
        <f ca="1">input_384100!A$2</f>
        <v>384100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3">
        <f ca="1">IFERROR(VLOOKUP(B71,input_384100!L:R,7,FALSE),VLOOKUP(tables_384100!C71,input_384100!A:H,8,FALSE))</f>
        <v>34971.865380000003</v>
      </c>
      <c r="P71" s="44">
        <f t="shared" ca="1" si="2"/>
        <v>4.6105396535358332E-4</v>
      </c>
      <c r="Q71" s="28">
        <v>1</v>
      </c>
      <c r="R71" s="28">
        <v>0</v>
      </c>
      <c r="S71" s="28">
        <v>0</v>
      </c>
      <c r="T71" s="28">
        <v>0</v>
      </c>
      <c r="U71" s="28">
        <v>0</v>
      </c>
      <c r="V71" s="28">
        <v>1</v>
      </c>
    </row>
    <row r="72" spans="1:22" ht="21" customHeight="1" x14ac:dyDescent="0.15">
      <c r="A72" s="2" t="str">
        <f ca="1">input_384100!A$2</f>
        <v>384100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3">
        <f ca="1">IFERROR(VLOOKUP(B72,input_384100!L:R,7,FALSE),VLOOKUP(tables_384100!C72,input_384100!A:H,8,FALSE))</f>
        <v>0</v>
      </c>
      <c r="P72" s="44">
        <f t="shared" ca="1" si="2"/>
        <v>0</v>
      </c>
      <c r="Q72" s="28">
        <v>1</v>
      </c>
      <c r="R72" s="28">
        <v>0</v>
      </c>
      <c r="S72" s="28">
        <v>0</v>
      </c>
      <c r="T72" s="28">
        <v>0</v>
      </c>
      <c r="U72" s="28">
        <v>0</v>
      </c>
      <c r="V72" s="28">
        <v>1</v>
      </c>
    </row>
    <row r="73" spans="1:22" ht="21" customHeight="1" x14ac:dyDescent="0.15">
      <c r="A73" s="2" t="str">
        <f ca="1">input_384100!A$2</f>
        <v>384100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3">
        <f ca="1">IFERROR(VLOOKUP(B73,input_384100!L:R,7,FALSE),VLOOKUP(tables_384100!C73,input_384100!A:H,8,FALSE))</f>
        <v>798518.13462000003</v>
      </c>
      <c r="P73" s="44">
        <f t="shared" ca="1" si="2"/>
        <v>1.0527318127669672E-2</v>
      </c>
      <c r="Q73" s="28">
        <v>1</v>
      </c>
      <c r="R73" s="28">
        <v>0</v>
      </c>
      <c r="S73" s="28">
        <v>0</v>
      </c>
      <c r="T73" s="28">
        <v>0</v>
      </c>
      <c r="U73" s="28">
        <v>0</v>
      </c>
      <c r="V73" s="28">
        <v>1</v>
      </c>
    </row>
    <row r="74" spans="1:22" ht="21" customHeight="1" x14ac:dyDescent="0.15">
      <c r="A74" s="2" t="str">
        <f ca="1">input_384100!A$2</f>
        <v>384100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3">
        <f ca="1">IFERROR(VLOOKUP(B74,input_384100!L:R,7,FALSE),VLOOKUP(tables_384100!C74,input_384100!A:H,8,FALSE))</f>
        <v>34971.865380000003</v>
      </c>
      <c r="P74" s="44">
        <f t="shared" ca="1" si="2"/>
        <v>4.6105396535358332E-4</v>
      </c>
      <c r="Q74" s="28">
        <v>1</v>
      </c>
      <c r="R74" s="28">
        <v>0</v>
      </c>
      <c r="S74" s="28">
        <v>0</v>
      </c>
      <c r="T74" s="28">
        <v>0</v>
      </c>
      <c r="U74" s="28">
        <v>0</v>
      </c>
      <c r="V74" s="28">
        <v>1</v>
      </c>
    </row>
    <row r="75" spans="1:22" ht="21" customHeight="1" x14ac:dyDescent="0.15">
      <c r="A75" s="2" t="str">
        <f ca="1">input_384100!A$2</f>
        <v>384100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3">
        <f ca="1">IFERROR(VLOOKUP(B75,input_384100!L:R,7,FALSE),VLOOKUP(tables_384100!C75,input_384100!A:H,8,FALSE))</f>
        <v>0</v>
      </c>
      <c r="P75" s="44">
        <f t="shared" ca="1" si="2"/>
        <v>0</v>
      </c>
      <c r="Q75" s="28">
        <v>1</v>
      </c>
      <c r="R75" s="28">
        <v>0</v>
      </c>
      <c r="S75" s="28">
        <v>0</v>
      </c>
      <c r="T75" s="28">
        <v>0</v>
      </c>
      <c r="U75" s="28">
        <v>0</v>
      </c>
      <c r="V75" s="28">
        <v>1</v>
      </c>
    </row>
    <row r="76" spans="1:22" ht="21" customHeight="1" x14ac:dyDescent="0.15">
      <c r="A76" s="2" t="str">
        <f ca="1">input_384100!A$2</f>
        <v>384100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3">
        <f ca="1">IFERROR(VLOOKUP(B76,input_384100!L:R,7,FALSE),VLOOKUP(tables_384100!C76,input_384100!A:H,8,FALSE))</f>
        <v>798518.13462000003</v>
      </c>
      <c r="P76" s="44">
        <f t="shared" ca="1" si="2"/>
        <v>1.0527318127669672E-2</v>
      </c>
      <c r="Q76" s="28">
        <v>1</v>
      </c>
      <c r="R76" s="28">
        <v>0</v>
      </c>
      <c r="S76" s="28">
        <v>0</v>
      </c>
      <c r="T76" s="28">
        <v>0</v>
      </c>
      <c r="U76" s="28">
        <v>0</v>
      </c>
      <c r="V76" s="28">
        <v>1</v>
      </c>
    </row>
    <row r="77" spans="1:22" ht="21" customHeight="1" x14ac:dyDescent="0.15">
      <c r="A77" s="2" t="str">
        <f ca="1">input_384100!A$2</f>
        <v>384100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3">
        <f ca="1">IFERROR(VLOOKUP(B77,input_384100!L:R,7,FALSE),VLOOKUP(tables_384100!C77,input_384100!A:H,8,FALSE))</f>
        <v>34971.865380000003</v>
      </c>
      <c r="P77" s="44">
        <f t="shared" ca="1" si="2"/>
        <v>4.6105396535358332E-4</v>
      </c>
      <c r="Q77" s="28">
        <v>1</v>
      </c>
      <c r="R77" s="28">
        <v>0</v>
      </c>
      <c r="S77" s="28">
        <v>0</v>
      </c>
      <c r="T77" s="28">
        <v>0</v>
      </c>
      <c r="U77" s="28">
        <v>0</v>
      </c>
      <c r="V77" s="28">
        <v>1</v>
      </c>
    </row>
    <row r="78" spans="1:22" ht="21" customHeight="1" x14ac:dyDescent="0.15">
      <c r="A78" s="2" t="str">
        <f ca="1">input_384100!A$2</f>
        <v>384100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3">
        <f ca="1">IFERROR(VLOOKUP(B78,input_384100!L:R,7,FALSE),VLOOKUP(tables_384100!C78,input_384100!A:H,8,FALSE))</f>
        <v>0</v>
      </c>
      <c r="P78" s="44">
        <f t="shared" ca="1" si="2"/>
        <v>0</v>
      </c>
      <c r="Q78" s="28">
        <v>1</v>
      </c>
      <c r="R78" s="28">
        <v>0</v>
      </c>
      <c r="S78" s="28">
        <v>0</v>
      </c>
      <c r="T78" s="28">
        <v>0</v>
      </c>
      <c r="U78" s="28">
        <v>0</v>
      </c>
      <c r="V78" s="28">
        <v>1</v>
      </c>
    </row>
    <row r="79" spans="1:22" ht="21" customHeight="1" x14ac:dyDescent="0.15">
      <c r="A79" s="2" t="str">
        <f ca="1">input_384100!A$2</f>
        <v>384100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3">
        <f ca="1">IFERROR(VLOOKUP(B79,input_384100!L:R,7,FALSE),VLOOKUP(tables_384100!C79,input_384100!A:H,8,FALSE))</f>
        <v>798518.13462000003</v>
      </c>
      <c r="P79" s="44">
        <f t="shared" ref="P79:P142" ca="1" si="5">O79/SUM(O:O)</f>
        <v>1.0527318127669672E-2</v>
      </c>
      <c r="Q79" s="28">
        <v>1</v>
      </c>
      <c r="R79" s="28">
        <v>0</v>
      </c>
      <c r="S79" s="28">
        <v>0</v>
      </c>
      <c r="T79" s="28">
        <v>0</v>
      </c>
      <c r="U79" s="28">
        <v>0</v>
      </c>
      <c r="V79" s="28">
        <v>1</v>
      </c>
    </row>
    <row r="80" spans="1:22" ht="21" customHeight="1" x14ac:dyDescent="0.15">
      <c r="A80" s="2" t="str">
        <f ca="1">input_384100!A$2</f>
        <v>384100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3">
        <f ca="1">IFERROR(VLOOKUP(B80,input_384100!L:R,7,FALSE),VLOOKUP(tables_384100!C80,input_384100!A:H,8,FALSE))</f>
        <v>34971.865380000003</v>
      </c>
      <c r="P80" s="44">
        <f t="shared" ca="1" si="5"/>
        <v>4.6105396535358332E-4</v>
      </c>
      <c r="Q80" s="28">
        <v>1</v>
      </c>
      <c r="R80" s="28">
        <v>0</v>
      </c>
      <c r="S80" s="28">
        <v>0</v>
      </c>
      <c r="T80" s="28">
        <v>0</v>
      </c>
      <c r="U80" s="28">
        <v>0</v>
      </c>
      <c r="V80" s="28">
        <v>1</v>
      </c>
    </row>
    <row r="81" spans="1:22" ht="21" customHeight="1" x14ac:dyDescent="0.15">
      <c r="A81" s="2" t="str">
        <f ca="1">input_384100!A$2</f>
        <v>384100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3">
        <f ca="1">IFERROR(VLOOKUP(B81,input_384100!L:R,7,FALSE),VLOOKUP(tables_384100!C81,input_384100!A:H,8,FALSE))</f>
        <v>0</v>
      </c>
      <c r="P81" s="44">
        <f t="shared" ca="1" si="5"/>
        <v>0</v>
      </c>
      <c r="Q81" s="28">
        <v>1</v>
      </c>
      <c r="R81" s="28">
        <v>0</v>
      </c>
      <c r="S81" s="28">
        <v>0</v>
      </c>
      <c r="T81" s="28">
        <v>0</v>
      </c>
      <c r="U81" s="28">
        <v>0</v>
      </c>
      <c r="V81" s="28">
        <v>1</v>
      </c>
    </row>
    <row r="82" spans="1:22" ht="21" customHeight="1" x14ac:dyDescent="0.15">
      <c r="A82" s="2" t="str">
        <f ca="1">input_384100!A$2</f>
        <v>384100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3">
        <f ca="1">IFERROR(VLOOKUP(B82,input_384100!L:R,7,FALSE),VLOOKUP(tables_384100!C82,input_384100!A:H,8,FALSE))</f>
        <v>798518.13462000003</v>
      </c>
      <c r="P82" s="44">
        <f t="shared" ca="1" si="5"/>
        <v>1.0527318127669672E-2</v>
      </c>
      <c r="Q82" s="28">
        <v>1</v>
      </c>
      <c r="R82" s="28">
        <v>0</v>
      </c>
      <c r="S82" s="28">
        <v>0</v>
      </c>
      <c r="T82" s="28">
        <v>0</v>
      </c>
      <c r="U82" s="28">
        <v>0</v>
      </c>
      <c r="V82" s="28">
        <v>1</v>
      </c>
    </row>
    <row r="83" spans="1:22" ht="21" customHeight="1" x14ac:dyDescent="0.15">
      <c r="A83" s="2" t="str">
        <f ca="1">input_384100!A$2</f>
        <v>384100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3">
        <f ca="1">IFERROR(VLOOKUP(B83,input_384100!L:R,7,FALSE),VLOOKUP(tables_384100!C83,input_384100!A:H,8,FALSE))</f>
        <v>34971.865380000003</v>
      </c>
      <c r="P83" s="44">
        <f t="shared" ca="1" si="5"/>
        <v>4.6105396535358332E-4</v>
      </c>
      <c r="Q83" s="28">
        <v>1</v>
      </c>
      <c r="R83" s="28">
        <v>0</v>
      </c>
      <c r="S83" s="28">
        <v>0</v>
      </c>
      <c r="T83" s="28">
        <v>0</v>
      </c>
      <c r="U83" s="28">
        <v>0</v>
      </c>
      <c r="V83" s="28">
        <v>1</v>
      </c>
    </row>
    <row r="84" spans="1:22" ht="21" customHeight="1" x14ac:dyDescent="0.15">
      <c r="A84" s="2" t="str">
        <f ca="1">input_384100!A$2</f>
        <v>384100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3">
        <f ca="1">IFERROR(VLOOKUP(B84,input_384100!L:R,7,FALSE),VLOOKUP(tables_384100!C84,input_384100!A:H,8,FALSE))</f>
        <v>0</v>
      </c>
      <c r="P84" s="44">
        <f t="shared" ca="1" si="5"/>
        <v>0</v>
      </c>
      <c r="Q84" s="28">
        <v>1</v>
      </c>
      <c r="R84" s="28">
        <v>0</v>
      </c>
      <c r="S84" s="28">
        <v>0</v>
      </c>
      <c r="T84" s="28">
        <v>0</v>
      </c>
      <c r="U84" s="28">
        <v>0</v>
      </c>
      <c r="V84" s="28">
        <v>1</v>
      </c>
    </row>
    <row r="85" spans="1:22" ht="21" customHeight="1" x14ac:dyDescent="0.15">
      <c r="A85" s="2" t="str">
        <f ca="1">input_384100!A$2</f>
        <v>384100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3">
        <f ca="1">IFERROR(VLOOKUP(B85,input_384100!L:R,7,FALSE),VLOOKUP(tables_384100!C85,input_384100!A:H,8,FALSE))</f>
        <v>798518.13462000003</v>
      </c>
      <c r="P85" s="44">
        <f t="shared" ca="1" si="5"/>
        <v>1.0527318127669672E-2</v>
      </c>
      <c r="Q85" s="28">
        <v>1</v>
      </c>
      <c r="R85" s="28">
        <v>0</v>
      </c>
      <c r="S85" s="28">
        <v>0</v>
      </c>
      <c r="T85" s="28">
        <v>0</v>
      </c>
      <c r="U85" s="28">
        <v>0</v>
      </c>
      <c r="V85" s="28">
        <v>1</v>
      </c>
    </row>
    <row r="86" spans="1:22" ht="21" customHeight="1" x14ac:dyDescent="0.15">
      <c r="A86" s="2" t="str">
        <f ca="1">input_384100!A$2</f>
        <v>384100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3">
        <f ca="1">IFERROR(VLOOKUP(B86,input_384100!L:R,7,FALSE),VLOOKUP(tables_384100!C86,input_384100!A:H,8,FALSE))</f>
        <v>34971.865380000003</v>
      </c>
      <c r="P86" s="44">
        <f t="shared" ca="1" si="5"/>
        <v>4.6105396535358332E-4</v>
      </c>
      <c r="Q86" s="28">
        <v>1</v>
      </c>
      <c r="R86" s="28">
        <v>0</v>
      </c>
      <c r="S86" s="28">
        <v>0</v>
      </c>
      <c r="T86" s="28">
        <v>0</v>
      </c>
      <c r="U86" s="28">
        <v>0</v>
      </c>
      <c r="V86" s="28">
        <v>1</v>
      </c>
    </row>
    <row r="87" spans="1:22" ht="21" customHeight="1" x14ac:dyDescent="0.15">
      <c r="A87" s="2" t="str">
        <f ca="1">input_384100!A$2</f>
        <v>384100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3">
        <f ca="1">IFERROR(VLOOKUP(B87,input_384100!L:R,7,FALSE),VLOOKUP(tables_384100!C87,input_384100!A:H,8,FALSE))</f>
        <v>0</v>
      </c>
      <c r="P87" s="44">
        <f t="shared" ca="1" si="5"/>
        <v>0</v>
      </c>
      <c r="Q87" s="28">
        <v>1</v>
      </c>
      <c r="R87" s="28">
        <v>0</v>
      </c>
      <c r="S87" s="28">
        <v>0</v>
      </c>
      <c r="T87" s="28">
        <v>0</v>
      </c>
      <c r="U87" s="28">
        <v>0</v>
      </c>
      <c r="V87" s="28">
        <v>1</v>
      </c>
    </row>
    <row r="88" spans="1:22" ht="21" customHeight="1" x14ac:dyDescent="0.15">
      <c r="A88" s="2" t="str">
        <f ca="1">input_384100!A$2</f>
        <v>384100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3">
        <f ca="1">IFERROR(VLOOKUP(B88,input_384100!L:R,7,FALSE),VLOOKUP(tables_384100!C88,input_384100!A:H,8,FALSE))</f>
        <v>798518.13462000003</v>
      </c>
      <c r="P88" s="44">
        <f t="shared" ca="1" si="5"/>
        <v>1.0527318127669672E-2</v>
      </c>
      <c r="Q88" s="28">
        <v>1</v>
      </c>
      <c r="R88" s="28">
        <v>0</v>
      </c>
      <c r="S88" s="28">
        <v>0</v>
      </c>
      <c r="T88" s="28">
        <v>0</v>
      </c>
      <c r="U88" s="28">
        <v>0</v>
      </c>
      <c r="V88" s="28">
        <v>1</v>
      </c>
    </row>
    <row r="89" spans="1:22" ht="21" customHeight="1" x14ac:dyDescent="0.15">
      <c r="A89" s="2" t="str">
        <f ca="1">input_384100!A$2</f>
        <v>384100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3">
        <f ca="1">IFERROR(VLOOKUP(B89,input_384100!L:R,7,FALSE),VLOOKUP(tables_384100!C89,input_384100!A:H,8,FALSE))</f>
        <v>34971.865380000003</v>
      </c>
      <c r="P89" s="44">
        <f t="shared" ca="1" si="5"/>
        <v>4.6105396535358332E-4</v>
      </c>
      <c r="Q89" s="28">
        <v>1</v>
      </c>
      <c r="R89" s="28">
        <v>0</v>
      </c>
      <c r="S89" s="28">
        <v>0</v>
      </c>
      <c r="T89" s="28">
        <v>0</v>
      </c>
      <c r="U89" s="28">
        <v>0</v>
      </c>
      <c r="V89" s="28">
        <v>1</v>
      </c>
    </row>
    <row r="90" spans="1:22" ht="21" customHeight="1" x14ac:dyDescent="0.15">
      <c r="A90" s="2" t="str">
        <f ca="1">input_384100!A$2</f>
        <v>384100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3">
        <f ca="1">IFERROR(VLOOKUP(B90,input_384100!L:R,7,FALSE),VLOOKUP(tables_384100!C90,input_384100!A:H,8,FALSE))</f>
        <v>0</v>
      </c>
      <c r="P90" s="44">
        <f t="shared" ca="1" si="5"/>
        <v>0</v>
      </c>
      <c r="Q90" s="28">
        <v>1</v>
      </c>
      <c r="R90" s="28">
        <v>0</v>
      </c>
      <c r="S90" s="28">
        <v>0</v>
      </c>
      <c r="T90" s="28">
        <v>0</v>
      </c>
      <c r="U90" s="28">
        <v>0</v>
      </c>
      <c r="V90" s="28">
        <v>1</v>
      </c>
    </row>
    <row r="91" spans="1:22" ht="21" customHeight="1" x14ac:dyDescent="0.15">
      <c r="A91" s="2" t="str">
        <f ca="1">input_384100!A$2</f>
        <v>384100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3">
        <f ca="1">IFERROR(VLOOKUP(B91,input_384100!L:R,7,FALSE),VLOOKUP(tables_384100!C91,input_384100!A:H,8,FALSE))</f>
        <v>798518.13462000003</v>
      </c>
      <c r="P91" s="44">
        <f t="shared" ca="1" si="5"/>
        <v>1.0527318127669672E-2</v>
      </c>
      <c r="Q91" s="28">
        <v>1</v>
      </c>
      <c r="R91" s="28">
        <v>0</v>
      </c>
      <c r="S91" s="28">
        <v>0</v>
      </c>
      <c r="T91" s="28">
        <v>0</v>
      </c>
      <c r="U91" s="28">
        <v>0</v>
      </c>
      <c r="V91" s="28">
        <v>1</v>
      </c>
    </row>
    <row r="92" spans="1:22" ht="21" customHeight="1" x14ac:dyDescent="0.15">
      <c r="A92" s="2" t="str">
        <f ca="1">input_384100!A$2</f>
        <v>384100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3">
        <f ca="1">IFERROR(VLOOKUP(B92,input_384100!L:R,7,FALSE),VLOOKUP(tables_384100!C92,input_384100!A:H,8,FALSE))</f>
        <v>34971.865380000003</v>
      </c>
      <c r="P92" s="44">
        <f t="shared" ca="1" si="5"/>
        <v>4.6105396535358332E-4</v>
      </c>
      <c r="Q92" s="28">
        <v>1</v>
      </c>
      <c r="R92" s="28">
        <v>0</v>
      </c>
      <c r="S92" s="28">
        <v>0</v>
      </c>
      <c r="T92" s="28">
        <v>0</v>
      </c>
      <c r="U92" s="28">
        <v>0</v>
      </c>
      <c r="V92" s="28">
        <v>1</v>
      </c>
    </row>
    <row r="93" spans="1:22" ht="21" customHeight="1" x14ac:dyDescent="0.15">
      <c r="A93" s="2" t="str">
        <f ca="1">input_384100!A$2</f>
        <v>384100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3">
        <f ca="1">IFERROR(VLOOKUP(B93,input_384100!L:R,7,FALSE),VLOOKUP(tables_384100!C93,input_384100!A:H,8,FALSE))</f>
        <v>0</v>
      </c>
      <c r="P93" s="44">
        <f t="shared" ca="1" si="5"/>
        <v>0</v>
      </c>
      <c r="Q93" s="28">
        <v>1</v>
      </c>
      <c r="R93" s="28">
        <v>0</v>
      </c>
      <c r="S93" s="28">
        <v>0</v>
      </c>
      <c r="T93" s="28">
        <v>0</v>
      </c>
      <c r="U93" s="28">
        <v>0</v>
      </c>
      <c r="V93" s="28">
        <v>1</v>
      </c>
    </row>
    <row r="94" spans="1:22" ht="21" customHeight="1" x14ac:dyDescent="0.15">
      <c r="A94" s="2" t="str">
        <f ca="1">input_384100!A$2</f>
        <v>384100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3">
        <f ca="1">IFERROR(VLOOKUP(B94,input_384100!L:R,7,FALSE),VLOOKUP(tables_384100!C94,input_384100!A:H,8,FALSE))</f>
        <v>798518.13462000003</v>
      </c>
      <c r="P94" s="44">
        <f t="shared" ca="1" si="5"/>
        <v>1.0527318127669672E-2</v>
      </c>
      <c r="Q94" s="28">
        <v>1</v>
      </c>
      <c r="R94" s="28">
        <v>0</v>
      </c>
      <c r="S94" s="28">
        <v>0</v>
      </c>
      <c r="T94" s="28">
        <v>0</v>
      </c>
      <c r="U94" s="28">
        <v>0</v>
      </c>
      <c r="V94" s="28">
        <v>1</v>
      </c>
    </row>
    <row r="95" spans="1:22" ht="21" customHeight="1" x14ac:dyDescent="0.15">
      <c r="A95" s="2" t="str">
        <f ca="1">input_384100!A$2</f>
        <v>384100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3">
        <f ca="1">IFERROR(VLOOKUP(B95,input_384100!L:R,7,FALSE),VLOOKUP(tables_384100!C95,input_384100!A:H,8,FALSE))</f>
        <v>34971.865380000003</v>
      </c>
      <c r="P95" s="44">
        <f t="shared" ca="1" si="5"/>
        <v>4.6105396535358332E-4</v>
      </c>
      <c r="Q95" s="28">
        <v>1</v>
      </c>
      <c r="R95" s="28">
        <v>0</v>
      </c>
      <c r="S95" s="28">
        <v>0</v>
      </c>
      <c r="T95" s="28">
        <v>0</v>
      </c>
      <c r="U95" s="28">
        <v>0</v>
      </c>
      <c r="V95" s="28">
        <v>1</v>
      </c>
    </row>
    <row r="96" spans="1:22" ht="21" customHeight="1" x14ac:dyDescent="0.15">
      <c r="A96" s="2" t="str">
        <f ca="1">input_384100!A$2</f>
        <v>384100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3">
        <f ca="1">IFERROR(VLOOKUP(B96,input_384100!L:R,7,FALSE),VLOOKUP(tables_384100!C96,input_384100!A:H,8,FALSE))</f>
        <v>0</v>
      </c>
      <c r="P96" s="44">
        <f t="shared" ca="1" si="5"/>
        <v>0</v>
      </c>
      <c r="Q96" s="28">
        <v>1</v>
      </c>
      <c r="R96" s="28">
        <v>0</v>
      </c>
      <c r="S96" s="28">
        <v>0</v>
      </c>
      <c r="T96" s="28">
        <v>0</v>
      </c>
      <c r="U96" s="28">
        <v>0</v>
      </c>
      <c r="V96" s="28">
        <v>1</v>
      </c>
    </row>
    <row r="97" spans="1:22" ht="21" customHeight="1" x14ac:dyDescent="0.15">
      <c r="A97" s="2" t="str">
        <f ca="1">input_384100!A$2</f>
        <v>384100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3">
        <f ca="1">IFERROR(VLOOKUP(B97,input_384100!L:R,7,FALSE),VLOOKUP(tables_384100!C97,input_384100!A:H,8,FALSE))</f>
        <v>798518.13462000003</v>
      </c>
      <c r="P97" s="44">
        <f t="shared" ca="1" si="5"/>
        <v>1.0527318127669672E-2</v>
      </c>
      <c r="Q97" s="28">
        <v>1</v>
      </c>
      <c r="R97" s="28">
        <v>0</v>
      </c>
      <c r="S97" s="28">
        <v>0</v>
      </c>
      <c r="T97" s="28">
        <v>0</v>
      </c>
      <c r="U97" s="28">
        <v>0</v>
      </c>
      <c r="V97" s="28">
        <v>1</v>
      </c>
    </row>
    <row r="98" spans="1:22" ht="21" customHeight="1" x14ac:dyDescent="0.15">
      <c r="A98" s="2" t="str">
        <f ca="1">input_384100!A$2</f>
        <v>384100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3">
        <f ca="1">IFERROR(VLOOKUP(B98,input_384100!L:R,7,FALSE),VLOOKUP(tables_384100!C98,input_384100!A:H,8,FALSE))</f>
        <v>34971.865380000003</v>
      </c>
      <c r="P98" s="44">
        <f t="shared" ca="1" si="5"/>
        <v>4.6105396535358332E-4</v>
      </c>
      <c r="Q98" s="28">
        <v>1</v>
      </c>
      <c r="R98" s="28">
        <v>0</v>
      </c>
      <c r="S98" s="28">
        <v>0</v>
      </c>
      <c r="T98" s="28">
        <v>0</v>
      </c>
      <c r="U98" s="28">
        <v>0</v>
      </c>
      <c r="V98" s="28">
        <v>1</v>
      </c>
    </row>
    <row r="99" spans="1:22" ht="21" customHeight="1" x14ac:dyDescent="0.15">
      <c r="A99" s="2" t="str">
        <f ca="1">input_384100!A$2</f>
        <v>384100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3">
        <f ca="1">IFERROR(VLOOKUP(B99,input_384100!L:R,7,FALSE),VLOOKUP(tables_384100!C99,input_384100!A:H,8,FALSE))</f>
        <v>0</v>
      </c>
      <c r="P99" s="44">
        <f t="shared" ca="1" si="5"/>
        <v>0</v>
      </c>
      <c r="Q99" s="28">
        <v>1</v>
      </c>
      <c r="R99" s="28">
        <v>0</v>
      </c>
      <c r="S99" s="28">
        <v>0</v>
      </c>
      <c r="T99" s="28">
        <v>0</v>
      </c>
      <c r="U99" s="28">
        <v>0</v>
      </c>
      <c r="V99" s="28">
        <v>1</v>
      </c>
    </row>
    <row r="100" spans="1:22" ht="21" customHeight="1" x14ac:dyDescent="0.15">
      <c r="A100" s="2" t="str">
        <f ca="1">input_384100!A$2</f>
        <v>384100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3">
        <f ca="1">IFERROR(VLOOKUP(B100,input_384100!L:R,7,FALSE),VLOOKUP(tables_384100!C100,input_384100!A:H,8,FALSE))</f>
        <v>798518.13462000003</v>
      </c>
      <c r="P100" s="44">
        <f t="shared" ca="1" si="5"/>
        <v>1.0527318127669672E-2</v>
      </c>
      <c r="Q100" s="28">
        <v>1</v>
      </c>
      <c r="R100" s="28">
        <v>0</v>
      </c>
      <c r="S100" s="28">
        <v>0</v>
      </c>
      <c r="T100" s="28">
        <v>0</v>
      </c>
      <c r="U100" s="28">
        <v>0</v>
      </c>
      <c r="V100" s="28">
        <v>1</v>
      </c>
    </row>
    <row r="101" spans="1:22" ht="21" customHeight="1" x14ac:dyDescent="0.15">
      <c r="A101" s="2" t="str">
        <f ca="1">input_384100!A$2</f>
        <v>384100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3">
        <f ca="1">IFERROR(VLOOKUP(B101,input_384100!L:R,7,FALSE),VLOOKUP(tables_384100!C101,input_384100!A:H,8,FALSE))</f>
        <v>34971.865380000003</v>
      </c>
      <c r="P101" s="44">
        <f t="shared" ca="1" si="5"/>
        <v>4.6105396535358332E-4</v>
      </c>
      <c r="Q101" s="28">
        <v>1</v>
      </c>
      <c r="R101" s="28">
        <v>0</v>
      </c>
      <c r="S101" s="28">
        <v>0</v>
      </c>
      <c r="T101" s="28">
        <v>0</v>
      </c>
      <c r="U101" s="28">
        <v>0</v>
      </c>
      <c r="V101" s="28">
        <v>1</v>
      </c>
    </row>
    <row r="102" spans="1:22" ht="21" customHeight="1" x14ac:dyDescent="0.15">
      <c r="A102" s="2" t="str">
        <f ca="1">input_384100!A$2</f>
        <v>384100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3">
        <f ca="1">IFERROR(VLOOKUP(B102,input_384100!L:R,7,FALSE),VLOOKUP(tables_384100!C102,input_384100!A:H,8,FALSE))</f>
        <v>0</v>
      </c>
      <c r="P102" s="44">
        <f t="shared" ca="1" si="5"/>
        <v>0</v>
      </c>
      <c r="Q102" s="28">
        <v>1</v>
      </c>
      <c r="R102" s="28">
        <v>0</v>
      </c>
      <c r="S102" s="28">
        <v>0</v>
      </c>
      <c r="T102" s="28">
        <v>0</v>
      </c>
      <c r="U102" s="28">
        <v>0</v>
      </c>
      <c r="V102" s="28">
        <v>1</v>
      </c>
    </row>
    <row r="103" spans="1:22" ht="21" customHeight="1" x14ac:dyDescent="0.15">
      <c r="A103" s="2" t="str">
        <f ca="1">input_384100!A$2</f>
        <v>384100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3">
        <f ca="1">IFERROR(VLOOKUP(B103,input_384100!L:R,7,FALSE),VLOOKUP(tables_384100!C103,input_384100!A:H,8,FALSE))</f>
        <v>798518.13462000003</v>
      </c>
      <c r="P103" s="44">
        <f t="shared" ca="1" si="5"/>
        <v>1.0527318127669672E-2</v>
      </c>
      <c r="Q103" s="28">
        <v>1</v>
      </c>
      <c r="R103" s="28">
        <v>0</v>
      </c>
      <c r="S103" s="28">
        <v>0</v>
      </c>
      <c r="T103" s="28">
        <v>0</v>
      </c>
      <c r="U103" s="28">
        <v>0</v>
      </c>
      <c r="V103" s="28">
        <v>1</v>
      </c>
    </row>
    <row r="104" spans="1:22" ht="21" customHeight="1" x14ac:dyDescent="0.15">
      <c r="A104" s="2" t="str">
        <f ca="1">input_384100!A$2</f>
        <v>384100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3">
        <f ca="1">IFERROR(VLOOKUP(B104,input_384100!L:R,7,FALSE),VLOOKUP(tables_384100!C104,input_384100!A:H,8,FALSE))</f>
        <v>34971.865380000003</v>
      </c>
      <c r="P104" s="44">
        <f t="shared" ca="1" si="5"/>
        <v>4.6105396535358332E-4</v>
      </c>
      <c r="Q104" s="28">
        <v>1</v>
      </c>
      <c r="R104" s="28">
        <v>0</v>
      </c>
      <c r="S104" s="28">
        <v>0</v>
      </c>
      <c r="T104" s="28">
        <v>0</v>
      </c>
      <c r="U104" s="28">
        <v>0</v>
      </c>
      <c r="V104" s="28">
        <v>1</v>
      </c>
    </row>
    <row r="105" spans="1:22" ht="21" customHeight="1" x14ac:dyDescent="0.15">
      <c r="A105" s="2" t="str">
        <f ca="1">input_384100!A$2</f>
        <v>384100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3">
        <f ca="1">IFERROR(VLOOKUP(B105,input_384100!L:R,7,FALSE),VLOOKUP(tables_384100!C105,input_384100!A:H,8,FALSE))</f>
        <v>0</v>
      </c>
      <c r="P105" s="44">
        <f t="shared" ca="1" si="5"/>
        <v>0</v>
      </c>
      <c r="Q105" s="28">
        <v>1</v>
      </c>
      <c r="R105" s="28">
        <v>0</v>
      </c>
      <c r="S105" s="28">
        <v>0</v>
      </c>
      <c r="T105" s="28">
        <v>0</v>
      </c>
      <c r="U105" s="28">
        <v>0</v>
      </c>
      <c r="V105" s="28">
        <v>1</v>
      </c>
    </row>
    <row r="106" spans="1:22" ht="21" customHeight="1" x14ac:dyDescent="0.15">
      <c r="A106" s="2" t="str">
        <f ca="1">input_384100!A$2</f>
        <v>384100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3">
        <f ca="1">IFERROR(VLOOKUP(B106,input_384100!L:R,7,FALSE),VLOOKUP(tables_384100!C106,input_384100!A:H,8,FALSE))</f>
        <v>798518.13462000003</v>
      </c>
      <c r="P106" s="44">
        <f t="shared" ca="1" si="5"/>
        <v>1.0527318127669672E-2</v>
      </c>
      <c r="Q106" s="28">
        <v>1</v>
      </c>
      <c r="R106" s="28">
        <v>0</v>
      </c>
      <c r="S106" s="28">
        <v>0</v>
      </c>
      <c r="T106" s="28">
        <v>0</v>
      </c>
      <c r="U106" s="28">
        <v>0</v>
      </c>
      <c r="V106" s="28">
        <v>1</v>
      </c>
    </row>
    <row r="107" spans="1:22" ht="21" customHeight="1" x14ac:dyDescent="0.15">
      <c r="A107" s="2" t="str">
        <f ca="1">input_384100!A$2</f>
        <v>384100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3">
        <f ca="1">IFERROR(VLOOKUP(B107,input_384100!L:R,7,FALSE),VLOOKUP(tables_384100!C107,input_384100!A:H,8,FALSE))</f>
        <v>34971.865380000003</v>
      </c>
      <c r="P107" s="44">
        <f t="shared" ca="1" si="5"/>
        <v>4.6105396535358332E-4</v>
      </c>
      <c r="Q107" s="28">
        <v>1</v>
      </c>
      <c r="R107" s="28">
        <v>0</v>
      </c>
      <c r="S107" s="28">
        <v>0</v>
      </c>
      <c r="T107" s="28">
        <v>0</v>
      </c>
      <c r="U107" s="28">
        <v>0</v>
      </c>
      <c r="V107" s="28">
        <v>1</v>
      </c>
    </row>
    <row r="108" spans="1:22" ht="21" customHeight="1" x14ac:dyDescent="0.15">
      <c r="A108" s="2" t="str">
        <f ca="1">input_384100!A$2</f>
        <v>384100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3">
        <f ca="1">IFERROR(VLOOKUP(B108,input_384100!L:R,7,FALSE),VLOOKUP(tables_384100!C108,input_384100!A:H,8,FALSE))</f>
        <v>0</v>
      </c>
      <c r="P108" s="44">
        <f t="shared" ca="1" si="5"/>
        <v>0</v>
      </c>
      <c r="Q108" s="28">
        <v>1</v>
      </c>
      <c r="R108" s="28">
        <v>0</v>
      </c>
      <c r="S108" s="28">
        <v>0</v>
      </c>
      <c r="T108" s="28">
        <v>0</v>
      </c>
      <c r="U108" s="28">
        <v>0</v>
      </c>
      <c r="V108" s="28">
        <v>1</v>
      </c>
    </row>
    <row r="109" spans="1:22" ht="21" customHeight="1" x14ac:dyDescent="0.15">
      <c r="A109" s="2" t="str">
        <f ca="1">input_384100!A$2</f>
        <v>384100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3">
        <f ca="1">IFERROR(VLOOKUP(B109,input_384100!L:R,7,FALSE),VLOOKUP(tables_384100!C109,input_384100!A:H,8,FALSE))</f>
        <v>798518.13462000003</v>
      </c>
      <c r="P109" s="44">
        <f t="shared" ca="1" si="5"/>
        <v>1.0527318127669672E-2</v>
      </c>
      <c r="Q109" s="28">
        <v>1</v>
      </c>
      <c r="R109" s="28">
        <v>0</v>
      </c>
      <c r="S109" s="28">
        <v>0</v>
      </c>
      <c r="T109" s="28">
        <v>0</v>
      </c>
      <c r="U109" s="28">
        <v>0</v>
      </c>
      <c r="V109" s="28">
        <v>1</v>
      </c>
    </row>
    <row r="110" spans="1:22" ht="21" customHeight="1" x14ac:dyDescent="0.15">
      <c r="A110" s="2" t="str">
        <f ca="1">input_384100!A$2</f>
        <v>384100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3">
        <f ca="1">IFERROR(VLOOKUP(B110,input_384100!L:R,7,FALSE),VLOOKUP(tables_384100!C110,input_384100!A:H,8,FALSE))</f>
        <v>34971.865380000003</v>
      </c>
      <c r="P110" s="44">
        <f t="shared" ca="1" si="5"/>
        <v>4.6105396535358332E-4</v>
      </c>
      <c r="Q110" s="28">
        <v>1</v>
      </c>
      <c r="R110" s="28">
        <v>0</v>
      </c>
      <c r="S110" s="28">
        <v>0</v>
      </c>
      <c r="T110" s="28">
        <v>0</v>
      </c>
      <c r="U110" s="28">
        <v>0</v>
      </c>
      <c r="V110" s="28">
        <v>1</v>
      </c>
    </row>
    <row r="111" spans="1:22" ht="21" customHeight="1" x14ac:dyDescent="0.15">
      <c r="A111" s="2" t="str">
        <f ca="1">input_384100!A$2</f>
        <v>384100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3">
        <f ca="1">IFERROR(VLOOKUP(B111,input_384100!L:R,7,FALSE),VLOOKUP(tables_384100!C111,input_384100!A:H,8,FALSE))</f>
        <v>0</v>
      </c>
      <c r="P111" s="44">
        <f t="shared" ca="1" si="5"/>
        <v>0</v>
      </c>
      <c r="Q111" s="28">
        <v>1</v>
      </c>
      <c r="R111" s="28">
        <v>0</v>
      </c>
      <c r="S111" s="28">
        <v>0</v>
      </c>
      <c r="T111" s="28">
        <v>0</v>
      </c>
      <c r="U111" s="28">
        <v>0</v>
      </c>
      <c r="V111" s="28">
        <v>1</v>
      </c>
    </row>
    <row r="112" spans="1:22" ht="21" customHeight="1" x14ac:dyDescent="0.15">
      <c r="A112" s="2" t="str">
        <f ca="1">input_384100!A$2</f>
        <v>384100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3">
        <f ca="1">IFERROR(VLOOKUP(B112,input_384100!L:R,7,FALSE),VLOOKUP(tables_384100!C112,input_384100!A:H,8,FALSE))</f>
        <v>791815.5</v>
      </c>
      <c r="P112" s="44">
        <f t="shared" ca="1" si="5"/>
        <v>1.0438953488372094E-2</v>
      </c>
      <c r="Q112" s="28">
        <v>1</v>
      </c>
      <c r="R112" s="28">
        <v>0</v>
      </c>
      <c r="S112" s="28">
        <v>0</v>
      </c>
      <c r="T112" s="28">
        <v>0</v>
      </c>
      <c r="U112" s="28">
        <v>0</v>
      </c>
      <c r="V112" s="28">
        <v>1</v>
      </c>
    </row>
    <row r="113" spans="1:22" ht="21" customHeight="1" x14ac:dyDescent="0.15">
      <c r="A113" s="2" t="str">
        <f ca="1">input_384100!A$2</f>
        <v>384100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3">
        <f ca="1">IFERROR(VLOOKUP(B113,input_384100!L:R,7,FALSE),VLOOKUP(tables_384100!C113,input_384100!A:H,8,FALSE))</f>
        <v>41674.5</v>
      </c>
      <c r="P113" s="44">
        <f t="shared" ca="1" si="5"/>
        <v>5.4941860465116277E-4</v>
      </c>
      <c r="Q113" s="28">
        <v>1</v>
      </c>
      <c r="R113" s="28">
        <v>0</v>
      </c>
      <c r="S113" s="28">
        <v>0</v>
      </c>
      <c r="T113" s="28">
        <v>0</v>
      </c>
      <c r="U113" s="28">
        <v>0</v>
      </c>
      <c r="V113" s="28">
        <v>1</v>
      </c>
    </row>
    <row r="114" spans="1:22" ht="21" customHeight="1" x14ac:dyDescent="0.15">
      <c r="A114" s="2" t="str">
        <f ca="1">input_384100!A$2</f>
        <v>384100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3">
        <f ca="1">IFERROR(VLOOKUP(B114,input_384100!L:R,7,FALSE),VLOOKUP(tables_384100!C114,input_384100!A:H,8,FALSE))</f>
        <v>0</v>
      </c>
      <c r="P114" s="44">
        <f t="shared" ca="1" si="5"/>
        <v>0</v>
      </c>
      <c r="Q114" s="28">
        <v>1</v>
      </c>
      <c r="R114" s="28">
        <v>0</v>
      </c>
      <c r="S114" s="28">
        <v>0</v>
      </c>
      <c r="T114" s="28">
        <v>0</v>
      </c>
      <c r="U114" s="28">
        <v>0</v>
      </c>
      <c r="V114" s="28">
        <v>1</v>
      </c>
    </row>
    <row r="115" spans="1:22" ht="21" customHeight="1" x14ac:dyDescent="0.15">
      <c r="A115" s="2" t="str">
        <f ca="1">input_384100!A$2</f>
        <v>384100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3">
        <f ca="1">IFERROR(VLOOKUP(B115,input_384100!L:R,7,FALSE),VLOOKUP(tables_384100!C115,input_384100!A:H,8,FALSE))</f>
        <v>798518.13462000003</v>
      </c>
      <c r="P115" s="44">
        <f t="shared" ca="1" si="5"/>
        <v>1.0527318127669672E-2</v>
      </c>
      <c r="Q115" s="28">
        <v>1</v>
      </c>
      <c r="R115" s="28">
        <v>0</v>
      </c>
      <c r="S115" s="28">
        <v>0</v>
      </c>
      <c r="T115" s="28">
        <v>0</v>
      </c>
      <c r="U115" s="28">
        <v>0</v>
      </c>
      <c r="V115" s="28">
        <v>1</v>
      </c>
    </row>
    <row r="116" spans="1:22" ht="21" customHeight="1" x14ac:dyDescent="0.15">
      <c r="A116" s="2" t="str">
        <f ca="1">input_384100!A$2</f>
        <v>384100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3">
        <f ca="1">IFERROR(VLOOKUP(B116,input_384100!L:R,7,FALSE),VLOOKUP(tables_384100!C116,input_384100!A:H,8,FALSE))</f>
        <v>34971.865380000003</v>
      </c>
      <c r="P116" s="44">
        <f t="shared" ca="1" si="5"/>
        <v>4.6105396535358332E-4</v>
      </c>
      <c r="Q116" s="28">
        <v>1</v>
      </c>
      <c r="R116" s="28">
        <v>0</v>
      </c>
      <c r="S116" s="28">
        <v>0</v>
      </c>
      <c r="T116" s="28">
        <v>0</v>
      </c>
      <c r="U116" s="28">
        <v>0</v>
      </c>
      <c r="V116" s="28">
        <v>1</v>
      </c>
    </row>
    <row r="117" spans="1:22" ht="21" customHeight="1" x14ac:dyDescent="0.15">
      <c r="A117" s="2" t="str">
        <f ca="1">input_384100!A$2</f>
        <v>384100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3">
        <f ca="1">IFERROR(VLOOKUP(B117,input_384100!L:R,7,FALSE),VLOOKUP(tables_384100!C117,input_384100!A:H,8,FALSE))</f>
        <v>0</v>
      </c>
      <c r="P117" s="44">
        <f t="shared" ca="1" si="5"/>
        <v>0</v>
      </c>
      <c r="Q117" s="28">
        <v>1</v>
      </c>
      <c r="R117" s="28">
        <v>0</v>
      </c>
      <c r="S117" s="28">
        <v>0</v>
      </c>
      <c r="T117" s="28">
        <v>0</v>
      </c>
      <c r="U117" s="28">
        <v>0</v>
      </c>
      <c r="V117" s="28">
        <v>1</v>
      </c>
    </row>
    <row r="118" spans="1:22" ht="21" customHeight="1" x14ac:dyDescent="0.15">
      <c r="A118" s="2" t="str">
        <f ca="1">input_384100!A$2</f>
        <v>384100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3">
        <f ca="1">IFERROR(VLOOKUP(B118,input_384100!L:R,7,FALSE),VLOOKUP(tables_384100!C118,input_384100!A:H,8,FALSE))</f>
        <v>798518.13462000003</v>
      </c>
      <c r="P118" s="44">
        <f t="shared" ca="1" si="5"/>
        <v>1.0527318127669672E-2</v>
      </c>
      <c r="Q118" s="28">
        <v>1</v>
      </c>
      <c r="R118" s="28">
        <v>0</v>
      </c>
      <c r="S118" s="28">
        <v>0</v>
      </c>
      <c r="T118" s="28">
        <v>0</v>
      </c>
      <c r="U118" s="28">
        <v>0</v>
      </c>
      <c r="V118" s="28">
        <v>1</v>
      </c>
    </row>
    <row r="119" spans="1:22" ht="21" customHeight="1" x14ac:dyDescent="0.15">
      <c r="A119" s="2" t="str">
        <f ca="1">input_384100!A$2</f>
        <v>384100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3">
        <f ca="1">IFERROR(VLOOKUP(B119,input_384100!L:R,7,FALSE),VLOOKUP(tables_384100!C119,input_384100!A:H,8,FALSE))</f>
        <v>34971.865380000003</v>
      </c>
      <c r="P119" s="44">
        <f t="shared" ca="1" si="5"/>
        <v>4.6105396535358332E-4</v>
      </c>
      <c r="Q119" s="28">
        <v>1</v>
      </c>
      <c r="R119" s="28">
        <v>0</v>
      </c>
      <c r="S119" s="28">
        <v>0</v>
      </c>
      <c r="T119" s="28">
        <v>0</v>
      </c>
      <c r="U119" s="28">
        <v>0</v>
      </c>
      <c r="V119" s="28">
        <v>1</v>
      </c>
    </row>
    <row r="120" spans="1:22" ht="21" customHeight="1" x14ac:dyDescent="0.15">
      <c r="A120" s="2" t="str">
        <f ca="1">input_384100!A$2</f>
        <v>384100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3">
        <f ca="1">IFERROR(VLOOKUP(B120,input_384100!L:R,7,FALSE),VLOOKUP(tables_384100!C120,input_384100!A:H,8,FALSE))</f>
        <v>0</v>
      </c>
      <c r="P120" s="44">
        <f t="shared" ca="1" si="5"/>
        <v>0</v>
      </c>
      <c r="Q120" s="28">
        <v>1</v>
      </c>
      <c r="R120" s="28">
        <v>0</v>
      </c>
      <c r="S120" s="28">
        <v>0</v>
      </c>
      <c r="T120" s="28">
        <v>0</v>
      </c>
      <c r="U120" s="28">
        <v>0</v>
      </c>
      <c r="V120" s="28">
        <v>1</v>
      </c>
    </row>
    <row r="121" spans="1:22" ht="21" customHeight="1" x14ac:dyDescent="0.15">
      <c r="A121" s="2" t="str">
        <f ca="1">input_384100!A$2</f>
        <v>384100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3">
        <f ca="1">IFERROR(VLOOKUP(B121,input_384100!L:R,7,FALSE),VLOOKUP(tables_384100!C121,input_384100!A:H,8,FALSE))</f>
        <v>798518.13462000003</v>
      </c>
      <c r="P121" s="44">
        <f t="shared" ca="1" si="5"/>
        <v>1.0527318127669672E-2</v>
      </c>
      <c r="Q121" s="28">
        <v>1</v>
      </c>
      <c r="R121" s="28">
        <v>0</v>
      </c>
      <c r="S121" s="28">
        <v>0</v>
      </c>
      <c r="T121" s="28">
        <v>0</v>
      </c>
      <c r="U121" s="28">
        <v>0</v>
      </c>
      <c r="V121" s="28">
        <v>1</v>
      </c>
    </row>
    <row r="122" spans="1:22" ht="21" customHeight="1" x14ac:dyDescent="0.15">
      <c r="A122" s="2" t="str">
        <f ca="1">input_384100!A$2</f>
        <v>384100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3">
        <f ca="1">IFERROR(VLOOKUP(B122,input_384100!L:R,7,FALSE),VLOOKUP(tables_384100!C122,input_384100!A:H,8,FALSE))</f>
        <v>34971.865380000003</v>
      </c>
      <c r="P122" s="44">
        <f t="shared" ca="1" si="5"/>
        <v>4.6105396535358332E-4</v>
      </c>
      <c r="Q122" s="28">
        <v>1</v>
      </c>
      <c r="R122" s="28">
        <v>0</v>
      </c>
      <c r="S122" s="28">
        <v>0</v>
      </c>
      <c r="T122" s="28">
        <v>0</v>
      </c>
      <c r="U122" s="28">
        <v>0</v>
      </c>
      <c r="V122" s="28">
        <v>1</v>
      </c>
    </row>
    <row r="123" spans="1:22" ht="21" customHeight="1" x14ac:dyDescent="0.15">
      <c r="A123" s="2" t="str">
        <f ca="1">input_384100!A$2</f>
        <v>384100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3">
        <f ca="1">IFERROR(VLOOKUP(B123,input_384100!L:R,7,FALSE),VLOOKUP(tables_384100!C123,input_384100!A:H,8,FALSE))</f>
        <v>0</v>
      </c>
      <c r="P123" s="44">
        <f t="shared" ca="1" si="5"/>
        <v>0</v>
      </c>
      <c r="Q123" s="28">
        <v>1</v>
      </c>
      <c r="R123" s="28">
        <v>0</v>
      </c>
      <c r="S123" s="28">
        <v>0</v>
      </c>
      <c r="T123" s="28">
        <v>0</v>
      </c>
      <c r="U123" s="28">
        <v>0</v>
      </c>
      <c r="V123" s="28">
        <v>1</v>
      </c>
    </row>
    <row r="124" spans="1:22" ht="21" customHeight="1" x14ac:dyDescent="0.15">
      <c r="A124" s="2" t="str">
        <f ca="1">input_384100!A$2</f>
        <v>384100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3">
        <f ca="1">IFERROR(VLOOKUP(B124,input_384100!L:R,7,FALSE),VLOOKUP(tables_384100!C124,input_384100!A:H,8,FALSE))</f>
        <v>798518.13462000003</v>
      </c>
      <c r="P124" s="44">
        <f t="shared" ca="1" si="5"/>
        <v>1.0527318127669672E-2</v>
      </c>
      <c r="Q124" s="28">
        <v>1</v>
      </c>
      <c r="R124" s="28">
        <v>0</v>
      </c>
      <c r="S124" s="28">
        <v>0</v>
      </c>
      <c r="T124" s="28">
        <v>0</v>
      </c>
      <c r="U124" s="28">
        <v>0</v>
      </c>
      <c r="V124" s="28">
        <v>1</v>
      </c>
    </row>
    <row r="125" spans="1:22" ht="21" customHeight="1" x14ac:dyDescent="0.15">
      <c r="A125" s="2" t="str">
        <f ca="1">input_384100!A$2</f>
        <v>384100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3">
        <f ca="1">IFERROR(VLOOKUP(B125,input_384100!L:R,7,FALSE),VLOOKUP(tables_384100!C125,input_384100!A:H,8,FALSE))</f>
        <v>34971.865380000003</v>
      </c>
      <c r="P125" s="44">
        <f t="shared" ca="1" si="5"/>
        <v>4.6105396535358332E-4</v>
      </c>
      <c r="Q125" s="28">
        <v>1</v>
      </c>
      <c r="R125" s="28">
        <v>0</v>
      </c>
      <c r="S125" s="28">
        <v>0</v>
      </c>
      <c r="T125" s="28">
        <v>0</v>
      </c>
      <c r="U125" s="28">
        <v>0</v>
      </c>
      <c r="V125" s="28">
        <v>1</v>
      </c>
    </row>
    <row r="126" spans="1:22" ht="21" customHeight="1" x14ac:dyDescent="0.15">
      <c r="A126" s="2" t="str">
        <f ca="1">input_384100!A$2</f>
        <v>384100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3">
        <f ca="1">IFERROR(VLOOKUP(B126,input_384100!L:R,7,FALSE),VLOOKUP(tables_384100!C126,input_384100!A:H,8,FALSE))</f>
        <v>0</v>
      </c>
      <c r="P126" s="44">
        <f t="shared" ca="1" si="5"/>
        <v>0</v>
      </c>
      <c r="Q126" s="28">
        <v>1</v>
      </c>
      <c r="R126" s="28">
        <v>0</v>
      </c>
      <c r="S126" s="28">
        <v>0</v>
      </c>
      <c r="T126" s="28">
        <v>0</v>
      </c>
      <c r="U126" s="28">
        <v>0</v>
      </c>
      <c r="V126" s="28">
        <v>1</v>
      </c>
    </row>
    <row r="127" spans="1:22" ht="21" customHeight="1" x14ac:dyDescent="0.15">
      <c r="A127" s="2" t="str">
        <f ca="1">input_384100!A$2</f>
        <v>384100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3">
        <f ca="1">IFERROR(VLOOKUP(B127,input_384100!L:R,7,FALSE),VLOOKUP(tables_384100!C127,input_384100!A:H,8,FALSE))</f>
        <v>798518.13462000003</v>
      </c>
      <c r="P127" s="44">
        <f t="shared" ca="1" si="5"/>
        <v>1.0527318127669672E-2</v>
      </c>
      <c r="Q127" s="28">
        <v>1</v>
      </c>
      <c r="R127" s="28">
        <v>0</v>
      </c>
      <c r="S127" s="28">
        <v>0</v>
      </c>
      <c r="T127" s="28">
        <v>0</v>
      </c>
      <c r="U127" s="28">
        <v>0</v>
      </c>
      <c r="V127" s="28">
        <v>1</v>
      </c>
    </row>
    <row r="128" spans="1:22" ht="21" customHeight="1" x14ac:dyDescent="0.15">
      <c r="A128" s="2" t="str">
        <f ca="1">input_384100!A$2</f>
        <v>384100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3">
        <f ca="1">IFERROR(VLOOKUP(B128,input_384100!L:R,7,FALSE),VLOOKUP(tables_384100!C128,input_384100!A:H,8,FALSE))</f>
        <v>34971.865380000003</v>
      </c>
      <c r="P128" s="44">
        <f t="shared" ca="1" si="5"/>
        <v>4.6105396535358332E-4</v>
      </c>
      <c r="Q128" s="28">
        <v>1</v>
      </c>
      <c r="R128" s="28">
        <v>0</v>
      </c>
      <c r="S128" s="28">
        <v>0</v>
      </c>
      <c r="T128" s="28">
        <v>0</v>
      </c>
      <c r="U128" s="28">
        <v>0</v>
      </c>
      <c r="V128" s="28">
        <v>1</v>
      </c>
    </row>
    <row r="129" spans="1:22" ht="21" customHeight="1" x14ac:dyDescent="0.15">
      <c r="A129" s="2" t="str">
        <f ca="1">input_384100!A$2</f>
        <v>384100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3">
        <f ca="1">IFERROR(VLOOKUP(B129,input_384100!L:R,7,FALSE),VLOOKUP(tables_384100!C129,input_384100!A:H,8,FALSE))</f>
        <v>0</v>
      </c>
      <c r="P129" s="44">
        <f t="shared" ca="1" si="5"/>
        <v>0</v>
      </c>
      <c r="Q129" s="28">
        <v>1</v>
      </c>
      <c r="R129" s="28">
        <v>0</v>
      </c>
      <c r="S129" s="28">
        <v>0</v>
      </c>
      <c r="T129" s="28">
        <v>0</v>
      </c>
      <c r="U129" s="28">
        <v>0</v>
      </c>
      <c r="V129" s="28">
        <v>1</v>
      </c>
    </row>
    <row r="130" spans="1:22" ht="21" customHeight="1" x14ac:dyDescent="0.15">
      <c r="A130" s="2" t="str">
        <f ca="1">input_384100!A$2</f>
        <v>384100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3">
        <f ca="1">IFERROR(VLOOKUP(B130,input_384100!L:R,7,FALSE),VLOOKUP(tables_384100!C130,input_384100!A:H,8,FALSE))</f>
        <v>798518.13462000003</v>
      </c>
      <c r="P130" s="44">
        <f t="shared" ca="1" si="5"/>
        <v>1.0527318127669672E-2</v>
      </c>
      <c r="Q130" s="28">
        <v>1</v>
      </c>
      <c r="R130" s="28">
        <v>0</v>
      </c>
      <c r="S130" s="28">
        <v>0</v>
      </c>
      <c r="T130" s="28">
        <v>0</v>
      </c>
      <c r="U130" s="28">
        <v>0</v>
      </c>
      <c r="V130" s="28">
        <v>1</v>
      </c>
    </row>
    <row r="131" spans="1:22" ht="21" customHeight="1" x14ac:dyDescent="0.15">
      <c r="A131" s="2" t="str">
        <f ca="1">input_384100!A$2</f>
        <v>384100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3">
        <f ca="1">IFERROR(VLOOKUP(B131,input_384100!L:R,7,FALSE),VLOOKUP(tables_384100!C131,input_384100!A:H,8,FALSE))</f>
        <v>34971.865380000003</v>
      </c>
      <c r="P131" s="44">
        <f t="shared" ca="1" si="5"/>
        <v>4.6105396535358332E-4</v>
      </c>
      <c r="Q131" s="28">
        <v>1</v>
      </c>
      <c r="R131" s="28">
        <v>0</v>
      </c>
      <c r="S131" s="28">
        <v>0</v>
      </c>
      <c r="T131" s="28">
        <v>0</v>
      </c>
      <c r="U131" s="28">
        <v>0</v>
      </c>
      <c r="V131" s="28">
        <v>1</v>
      </c>
    </row>
    <row r="132" spans="1:22" ht="21" customHeight="1" x14ac:dyDescent="0.15">
      <c r="A132" s="2" t="str">
        <f ca="1">input_384100!A$2</f>
        <v>384100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3">
        <f ca="1">IFERROR(VLOOKUP(B132,input_384100!L:R,7,FALSE),VLOOKUP(tables_384100!C132,input_384100!A:H,8,FALSE))</f>
        <v>0</v>
      </c>
      <c r="P132" s="44">
        <f t="shared" ca="1" si="5"/>
        <v>0</v>
      </c>
      <c r="Q132" s="28">
        <v>1</v>
      </c>
      <c r="R132" s="28">
        <v>0</v>
      </c>
      <c r="S132" s="28">
        <v>0</v>
      </c>
      <c r="T132" s="28">
        <v>0</v>
      </c>
      <c r="U132" s="28">
        <v>0</v>
      </c>
      <c r="V132" s="28">
        <v>1</v>
      </c>
    </row>
    <row r="133" spans="1:22" ht="21" customHeight="1" x14ac:dyDescent="0.15">
      <c r="A133" s="2" t="str">
        <f ca="1">input_384100!A$2</f>
        <v>384100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3">
        <f ca="1">IFERROR(VLOOKUP(B133,input_384100!L:R,7,FALSE),VLOOKUP(tables_384100!C133,input_384100!A:H,8,FALSE))</f>
        <v>798518.13462000003</v>
      </c>
      <c r="P133" s="44">
        <f t="shared" ca="1" si="5"/>
        <v>1.0527318127669672E-2</v>
      </c>
      <c r="Q133" s="28">
        <v>1</v>
      </c>
      <c r="R133" s="28">
        <v>0</v>
      </c>
      <c r="S133" s="28">
        <v>0</v>
      </c>
      <c r="T133" s="28">
        <v>0</v>
      </c>
      <c r="U133" s="28">
        <v>0</v>
      </c>
      <c r="V133" s="28">
        <v>1</v>
      </c>
    </row>
    <row r="134" spans="1:22" ht="21" customHeight="1" x14ac:dyDescent="0.15">
      <c r="A134" s="2" t="str">
        <f ca="1">input_384100!A$2</f>
        <v>384100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3">
        <f ca="1">IFERROR(VLOOKUP(B134,input_384100!L:R,7,FALSE),VLOOKUP(tables_384100!C134,input_384100!A:H,8,FALSE))</f>
        <v>34971.865380000003</v>
      </c>
      <c r="P134" s="44">
        <f t="shared" ca="1" si="5"/>
        <v>4.6105396535358332E-4</v>
      </c>
      <c r="Q134" s="28">
        <v>1</v>
      </c>
      <c r="R134" s="28">
        <v>0</v>
      </c>
      <c r="S134" s="28">
        <v>0</v>
      </c>
      <c r="T134" s="28">
        <v>0</v>
      </c>
      <c r="U134" s="28">
        <v>0</v>
      </c>
      <c r="V134" s="28">
        <v>1</v>
      </c>
    </row>
    <row r="135" spans="1:22" ht="21" customHeight="1" x14ac:dyDescent="0.15">
      <c r="A135" s="2" t="str">
        <f ca="1">input_384100!A$2</f>
        <v>384100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3">
        <f ca="1">IFERROR(VLOOKUP(B135,input_384100!L:R,7,FALSE),VLOOKUP(tables_384100!C135,input_384100!A:H,8,FALSE))</f>
        <v>0</v>
      </c>
      <c r="P135" s="44">
        <f t="shared" ca="1" si="5"/>
        <v>0</v>
      </c>
      <c r="Q135" s="28">
        <v>1</v>
      </c>
      <c r="R135" s="28">
        <v>0</v>
      </c>
      <c r="S135" s="28">
        <v>0</v>
      </c>
      <c r="T135" s="28">
        <v>0</v>
      </c>
      <c r="U135" s="28">
        <v>0</v>
      </c>
      <c r="V135" s="28">
        <v>1</v>
      </c>
    </row>
    <row r="136" spans="1:22" ht="21" customHeight="1" x14ac:dyDescent="0.15">
      <c r="A136" s="2" t="str">
        <f ca="1">input_384100!A$2</f>
        <v>384100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3">
        <f ca="1">IFERROR(VLOOKUP(B136,input_384100!L:R,7,FALSE),VLOOKUP(tables_384100!C136,input_384100!A:H,8,FALSE))</f>
        <v>798518.13462000003</v>
      </c>
      <c r="P136" s="44">
        <f t="shared" ca="1" si="5"/>
        <v>1.0527318127669672E-2</v>
      </c>
      <c r="Q136" s="28">
        <v>1</v>
      </c>
      <c r="R136" s="28">
        <v>0</v>
      </c>
      <c r="S136" s="28">
        <v>0</v>
      </c>
      <c r="T136" s="28">
        <v>0</v>
      </c>
      <c r="U136" s="28">
        <v>0</v>
      </c>
      <c r="V136" s="28">
        <v>1</v>
      </c>
    </row>
    <row r="137" spans="1:22" ht="21" customHeight="1" x14ac:dyDescent="0.15">
      <c r="A137" s="2" t="str">
        <f ca="1">input_384100!A$2</f>
        <v>384100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3">
        <f ca="1">IFERROR(VLOOKUP(B137,input_384100!L:R,7,FALSE),VLOOKUP(tables_384100!C137,input_384100!A:H,8,FALSE))</f>
        <v>34971.865380000003</v>
      </c>
      <c r="P137" s="44">
        <f t="shared" ca="1" si="5"/>
        <v>4.6105396535358332E-4</v>
      </c>
      <c r="Q137" s="28">
        <v>1</v>
      </c>
      <c r="R137" s="28">
        <v>0</v>
      </c>
      <c r="S137" s="28">
        <v>0</v>
      </c>
      <c r="T137" s="28">
        <v>0</v>
      </c>
      <c r="U137" s="28">
        <v>0</v>
      </c>
      <c r="V137" s="28">
        <v>1</v>
      </c>
    </row>
    <row r="138" spans="1:22" ht="21" customHeight="1" x14ac:dyDescent="0.15">
      <c r="A138" s="2" t="str">
        <f ca="1">input_384100!A$2</f>
        <v>384100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3">
        <f ca="1">IFERROR(VLOOKUP(B138,input_384100!L:R,7,FALSE),VLOOKUP(tables_384100!C138,input_384100!A:H,8,FALSE))</f>
        <v>85785</v>
      </c>
      <c r="P138" s="44">
        <f t="shared" ca="1" si="5"/>
        <v>1.1309523809523809E-3</v>
      </c>
      <c r="Q138" s="28">
        <v>1</v>
      </c>
      <c r="R138" s="28">
        <v>0</v>
      </c>
      <c r="S138" s="28">
        <v>0</v>
      </c>
      <c r="T138" s="28">
        <v>0</v>
      </c>
      <c r="U138" s="28">
        <v>0</v>
      </c>
      <c r="V138" s="28">
        <v>1</v>
      </c>
    </row>
    <row r="139" spans="1:22" ht="21" customHeight="1" x14ac:dyDescent="0.15">
      <c r="A139" s="2" t="str">
        <f ca="1">input_384100!A$2</f>
        <v>384100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3">
        <f ca="1">IFERROR(VLOOKUP(B139,input_384100!L:R,7,FALSE),VLOOKUP(tables_384100!C139,input_384100!A:H,8,FALSE))</f>
        <v>4515</v>
      </c>
      <c r="P139" s="44">
        <f t="shared" ca="1" si="5"/>
        <v>5.9523809523809524E-5</v>
      </c>
      <c r="Q139" s="28">
        <v>1</v>
      </c>
      <c r="R139" s="28">
        <v>0</v>
      </c>
      <c r="S139" s="28">
        <v>0</v>
      </c>
      <c r="T139" s="28">
        <v>0</v>
      </c>
      <c r="U139" s="28">
        <v>0</v>
      </c>
      <c r="V139" s="28">
        <v>1</v>
      </c>
    </row>
    <row r="140" spans="1:22" ht="21" customHeight="1" x14ac:dyDescent="0.15">
      <c r="A140" s="2" t="str">
        <f ca="1">input_384100!A$2</f>
        <v>384100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3">
        <f ca="1">IFERROR(VLOOKUP(B140,input_384100!L:R,7,FALSE),VLOOKUP(tables_384100!C140,input_384100!A:H,8,FALSE))</f>
        <v>85785</v>
      </c>
      <c r="P140" s="44">
        <f t="shared" ca="1" si="5"/>
        <v>1.1309523809523809E-3</v>
      </c>
      <c r="Q140" s="28">
        <v>1</v>
      </c>
      <c r="R140" s="28">
        <v>0</v>
      </c>
      <c r="S140" s="28">
        <v>0</v>
      </c>
      <c r="T140" s="28">
        <v>0</v>
      </c>
      <c r="U140" s="28">
        <v>0</v>
      </c>
      <c r="V140" s="28">
        <v>1</v>
      </c>
    </row>
    <row r="141" spans="1:22" ht="21" customHeight="1" x14ac:dyDescent="0.15">
      <c r="A141" s="2" t="str">
        <f ca="1">input_384100!A$2</f>
        <v>384100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3">
        <f ca="1">IFERROR(VLOOKUP(B141,input_384100!L:R,7,FALSE),VLOOKUP(tables_384100!C141,input_384100!A:H,8,FALSE))</f>
        <v>4515</v>
      </c>
      <c r="P141" s="44">
        <f t="shared" ca="1" si="5"/>
        <v>5.9523809523809524E-5</v>
      </c>
      <c r="Q141" s="28">
        <v>1</v>
      </c>
      <c r="R141" s="28">
        <v>0</v>
      </c>
      <c r="S141" s="28">
        <v>0</v>
      </c>
      <c r="T141" s="28">
        <v>0</v>
      </c>
      <c r="U141" s="28">
        <v>0</v>
      </c>
      <c r="V141" s="28">
        <v>1</v>
      </c>
    </row>
    <row r="142" spans="1:22" ht="21" customHeight="1" x14ac:dyDescent="0.15">
      <c r="A142" s="2" t="str">
        <f ca="1">input_384100!A$2</f>
        <v>384100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3">
        <f ca="1">IFERROR(VLOOKUP(B142,input_384100!L:R,7,FALSE),VLOOKUP(tables_384100!C142,input_384100!A:H,8,FALSE))</f>
        <v>85785</v>
      </c>
      <c r="P142" s="44">
        <f t="shared" ca="1" si="5"/>
        <v>1.1309523809523809E-3</v>
      </c>
      <c r="Q142" s="28">
        <v>1</v>
      </c>
      <c r="R142" s="28">
        <v>0</v>
      </c>
      <c r="S142" s="28">
        <v>0</v>
      </c>
      <c r="T142" s="28">
        <v>0</v>
      </c>
      <c r="U142" s="28">
        <v>0</v>
      </c>
      <c r="V142" s="28">
        <v>1</v>
      </c>
    </row>
    <row r="143" spans="1:22" s="12" customFormat="1" ht="21" customHeight="1" thickBot="1" x14ac:dyDescent="0.2">
      <c r="A143" s="2" t="str">
        <f ca="1">input_384100!A$2</f>
        <v>384100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3">
        <f ca="1">IFERROR(VLOOKUP(B143,input_384100!L:R,7,FALSE),VLOOKUP(tables_384100!C143,input_384100!A:H,8,FALSE))</f>
        <v>4515</v>
      </c>
      <c r="P143" s="44">
        <f t="shared" ref="P143:P206" ca="1" si="8">O143/SUM(O:O)</f>
        <v>5.9523809523809524E-5</v>
      </c>
      <c r="Q143" s="28">
        <v>1</v>
      </c>
      <c r="R143" s="28">
        <v>0</v>
      </c>
      <c r="S143" s="28">
        <v>0</v>
      </c>
      <c r="T143" s="28">
        <v>0</v>
      </c>
      <c r="U143" s="28">
        <v>0</v>
      </c>
      <c r="V143" s="28">
        <v>1</v>
      </c>
    </row>
    <row r="144" spans="1:22" ht="21" customHeight="1" x14ac:dyDescent="0.15">
      <c r="A144" s="2" t="str">
        <f ca="1">input_384100!A$2</f>
        <v>384100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3">
        <f ca="1">IFERROR(VLOOKUP(B144,input_384100!L:R,7,FALSE),VLOOKUP(tables_384100!C144,input_384100!A:H,8,FALSE))</f>
        <v>85785</v>
      </c>
      <c r="P144" s="44">
        <f t="shared" ca="1" si="8"/>
        <v>1.1309523809523809E-3</v>
      </c>
      <c r="Q144" s="28">
        <v>1</v>
      </c>
      <c r="R144" s="28">
        <v>0</v>
      </c>
      <c r="S144" s="28">
        <v>0</v>
      </c>
      <c r="T144" s="28">
        <v>0</v>
      </c>
      <c r="U144" s="28">
        <v>0</v>
      </c>
      <c r="V144" s="28">
        <v>1</v>
      </c>
    </row>
    <row r="145" spans="1:22" ht="21" customHeight="1" x14ac:dyDescent="0.15">
      <c r="A145" s="2" t="str">
        <f ca="1">input_384100!A$2</f>
        <v>384100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3">
        <f ca="1">IFERROR(VLOOKUP(B145,input_384100!L:R,7,FALSE),VLOOKUP(tables_384100!C145,input_384100!A:H,8,FALSE))</f>
        <v>4515</v>
      </c>
      <c r="P145" s="44">
        <f t="shared" ca="1" si="8"/>
        <v>5.9523809523809524E-5</v>
      </c>
      <c r="Q145" s="28">
        <v>1</v>
      </c>
      <c r="R145" s="28">
        <v>0</v>
      </c>
      <c r="S145" s="28">
        <v>0</v>
      </c>
      <c r="T145" s="28">
        <v>0</v>
      </c>
      <c r="U145" s="28">
        <v>0</v>
      </c>
      <c r="V145" s="28">
        <v>1</v>
      </c>
    </row>
    <row r="146" spans="1:22" ht="21" customHeight="1" x14ac:dyDescent="0.15">
      <c r="A146" s="2" t="str">
        <f ca="1">input_384100!A$2</f>
        <v>384100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3">
        <f ca="1">IFERROR(VLOOKUP(B146,input_384100!L:R,7,FALSE),VLOOKUP(tables_384100!C146,input_384100!A:H,8,FALSE))</f>
        <v>0</v>
      </c>
      <c r="P146" s="44">
        <f t="shared" ca="1" si="8"/>
        <v>0</v>
      </c>
      <c r="Q146" s="28">
        <v>1</v>
      </c>
      <c r="R146" s="28">
        <v>0</v>
      </c>
      <c r="S146" s="28">
        <v>0</v>
      </c>
      <c r="T146" s="28">
        <v>0</v>
      </c>
      <c r="U146" s="28">
        <v>0</v>
      </c>
      <c r="V146" s="28">
        <v>1</v>
      </c>
    </row>
    <row r="147" spans="1:22" ht="21" customHeight="1" x14ac:dyDescent="0.15">
      <c r="A147" s="2" t="str">
        <f ca="1">input_384100!A$2</f>
        <v>384100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3">
        <f ca="1">IFERROR(VLOOKUP(B147,input_384100!L:R,7,FALSE),VLOOKUP(tables_384100!C147,input_384100!A:H,8,FALSE))</f>
        <v>798518.13462000003</v>
      </c>
      <c r="P147" s="44">
        <f t="shared" ca="1" si="8"/>
        <v>1.0527318127669672E-2</v>
      </c>
      <c r="Q147" s="28">
        <v>1</v>
      </c>
      <c r="R147" s="28">
        <v>0</v>
      </c>
      <c r="S147" s="28">
        <v>0</v>
      </c>
      <c r="T147" s="28">
        <v>0</v>
      </c>
      <c r="U147" s="28">
        <v>0</v>
      </c>
      <c r="V147" s="28">
        <v>1</v>
      </c>
    </row>
    <row r="148" spans="1:22" ht="21" customHeight="1" x14ac:dyDescent="0.15">
      <c r="A148" s="2" t="str">
        <f ca="1">input_384100!A$2</f>
        <v>384100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3">
        <f ca="1">IFERROR(VLOOKUP(B148,input_384100!L:R,7,FALSE),VLOOKUP(tables_384100!C148,input_384100!A:H,8,FALSE))</f>
        <v>34971.865380000003</v>
      </c>
      <c r="P148" s="44">
        <f t="shared" ca="1" si="8"/>
        <v>4.6105396535358332E-4</v>
      </c>
      <c r="Q148" s="28">
        <v>1</v>
      </c>
      <c r="R148" s="28">
        <v>0</v>
      </c>
      <c r="S148" s="28">
        <v>0</v>
      </c>
      <c r="T148" s="28">
        <v>0</v>
      </c>
      <c r="U148" s="28">
        <v>0</v>
      </c>
      <c r="V148" s="28">
        <v>1</v>
      </c>
    </row>
    <row r="149" spans="1:22" ht="21" customHeight="1" x14ac:dyDescent="0.15">
      <c r="A149" s="2" t="str">
        <f ca="1">input_384100!A$2</f>
        <v>384100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3">
        <f ca="1">IFERROR(VLOOKUP(B149,input_384100!L:R,7,FALSE),VLOOKUP(tables_384100!C149,input_384100!A:H,8,FALSE))</f>
        <v>85785</v>
      </c>
      <c r="P149" s="44">
        <f t="shared" ca="1" si="8"/>
        <v>1.1309523809523809E-3</v>
      </c>
      <c r="Q149" s="28">
        <v>1</v>
      </c>
      <c r="R149" s="28">
        <v>0</v>
      </c>
      <c r="S149" s="28">
        <v>0</v>
      </c>
      <c r="T149" s="28">
        <v>0</v>
      </c>
      <c r="U149" s="28">
        <v>0</v>
      </c>
      <c r="V149" s="28">
        <v>1</v>
      </c>
    </row>
    <row r="150" spans="1:22" ht="21" customHeight="1" x14ac:dyDescent="0.15">
      <c r="A150" s="2" t="str">
        <f ca="1">input_384100!A$2</f>
        <v>384100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3">
        <f ca="1">IFERROR(VLOOKUP(B150,input_384100!L:R,7,FALSE),VLOOKUP(tables_384100!C150,input_384100!A:H,8,FALSE))</f>
        <v>4515</v>
      </c>
      <c r="P150" s="44">
        <f t="shared" ca="1" si="8"/>
        <v>5.9523809523809524E-5</v>
      </c>
      <c r="Q150" s="28">
        <v>1</v>
      </c>
      <c r="R150" s="28">
        <v>0</v>
      </c>
      <c r="S150" s="28">
        <v>0</v>
      </c>
      <c r="T150" s="28">
        <v>0</v>
      </c>
      <c r="U150" s="28">
        <v>0</v>
      </c>
      <c r="V150" s="28">
        <v>1</v>
      </c>
    </row>
    <row r="151" spans="1:22" ht="21" customHeight="1" x14ac:dyDescent="0.15">
      <c r="A151" s="2" t="str">
        <f ca="1">input_384100!A$2</f>
        <v>384100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3">
        <f ca="1">IFERROR(VLOOKUP(B151,input_384100!L:R,7,FALSE),VLOOKUP(tables_384100!C151,input_384100!A:H,8,FALSE))</f>
        <v>85785</v>
      </c>
      <c r="P151" s="44">
        <f t="shared" ca="1" si="8"/>
        <v>1.1309523809523809E-3</v>
      </c>
      <c r="Q151" s="28">
        <v>1</v>
      </c>
      <c r="R151" s="28">
        <v>0</v>
      </c>
      <c r="S151" s="28">
        <v>0</v>
      </c>
      <c r="T151" s="28">
        <v>0</v>
      </c>
      <c r="U151" s="28">
        <v>0</v>
      </c>
      <c r="V151" s="28">
        <v>1</v>
      </c>
    </row>
    <row r="152" spans="1:22" ht="21" customHeight="1" x14ac:dyDescent="0.15">
      <c r="A152" s="2" t="str">
        <f ca="1">input_384100!A$2</f>
        <v>384100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3">
        <f ca="1">IFERROR(VLOOKUP(B152,input_384100!L:R,7,FALSE),VLOOKUP(tables_384100!C152,input_384100!A:H,8,FALSE))</f>
        <v>4515</v>
      </c>
      <c r="P152" s="44">
        <f t="shared" ca="1" si="8"/>
        <v>5.9523809523809524E-5</v>
      </c>
      <c r="Q152" s="28">
        <v>1</v>
      </c>
      <c r="R152" s="28">
        <v>0</v>
      </c>
      <c r="S152" s="28">
        <v>0</v>
      </c>
      <c r="T152" s="28">
        <v>0</v>
      </c>
      <c r="U152" s="28">
        <v>0</v>
      </c>
      <c r="V152" s="28">
        <v>1</v>
      </c>
    </row>
    <row r="153" spans="1:22" ht="21" customHeight="1" x14ac:dyDescent="0.15">
      <c r="A153" s="2" t="str">
        <f ca="1">input_384100!A$2</f>
        <v>384100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3">
        <f ca="1">IFERROR(VLOOKUP(B153,input_384100!L:R,7,FALSE),VLOOKUP(tables_384100!C153,input_384100!A:H,8,FALSE))</f>
        <v>0</v>
      </c>
      <c r="P153" s="44">
        <f t="shared" ca="1" si="8"/>
        <v>0</v>
      </c>
      <c r="Q153" s="28">
        <v>1</v>
      </c>
      <c r="R153" s="28">
        <v>0</v>
      </c>
      <c r="S153" s="28">
        <v>0</v>
      </c>
      <c r="T153" s="28">
        <v>0</v>
      </c>
      <c r="U153" s="28">
        <v>0</v>
      </c>
      <c r="V153" s="28">
        <v>1</v>
      </c>
    </row>
    <row r="154" spans="1:22" ht="21" customHeight="1" x14ac:dyDescent="0.15">
      <c r="A154" s="2" t="str">
        <f ca="1">input_384100!A$2</f>
        <v>384100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3">
        <f ca="1">IFERROR(VLOOKUP(B154,input_384100!L:R,7,FALSE),VLOOKUP(tables_384100!C154,input_384100!A:H,8,FALSE))</f>
        <v>798518.13462000003</v>
      </c>
      <c r="P154" s="44">
        <f t="shared" ca="1" si="8"/>
        <v>1.0527318127669672E-2</v>
      </c>
      <c r="Q154" s="28">
        <v>1</v>
      </c>
      <c r="R154" s="28">
        <v>0</v>
      </c>
      <c r="S154" s="28">
        <v>0</v>
      </c>
      <c r="T154" s="28">
        <v>0</v>
      </c>
      <c r="U154" s="28">
        <v>0</v>
      </c>
      <c r="V154" s="28">
        <v>1</v>
      </c>
    </row>
    <row r="155" spans="1:22" ht="21" customHeight="1" x14ac:dyDescent="0.15">
      <c r="A155" s="2" t="str">
        <f ca="1">input_384100!A$2</f>
        <v>384100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3">
        <f ca="1">IFERROR(VLOOKUP(B155,input_384100!L:R,7,FALSE),VLOOKUP(tables_384100!C155,input_384100!A:H,8,FALSE))</f>
        <v>34971.865380000003</v>
      </c>
      <c r="P155" s="44">
        <f t="shared" ca="1" si="8"/>
        <v>4.6105396535358332E-4</v>
      </c>
      <c r="Q155" s="28">
        <v>1</v>
      </c>
      <c r="R155" s="28">
        <v>0</v>
      </c>
      <c r="S155" s="28">
        <v>0</v>
      </c>
      <c r="T155" s="28">
        <v>0</v>
      </c>
      <c r="U155" s="28">
        <v>0</v>
      </c>
      <c r="V155" s="28">
        <v>1</v>
      </c>
    </row>
    <row r="156" spans="1:22" ht="21" customHeight="1" x14ac:dyDescent="0.15">
      <c r="A156" s="2" t="str">
        <f ca="1">input_384100!A$2</f>
        <v>384100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3">
        <f ca="1">IFERROR(VLOOKUP(B156,input_384100!L:R,7,FALSE),VLOOKUP(tables_384100!C156,input_384100!A:H,8,FALSE))</f>
        <v>85785</v>
      </c>
      <c r="P156" s="44">
        <f t="shared" ca="1" si="8"/>
        <v>1.1309523809523809E-3</v>
      </c>
      <c r="Q156" s="28">
        <v>1</v>
      </c>
      <c r="R156" s="28">
        <v>0</v>
      </c>
      <c r="S156" s="28">
        <v>0</v>
      </c>
      <c r="T156" s="28">
        <v>0</v>
      </c>
      <c r="U156" s="28">
        <v>0</v>
      </c>
      <c r="V156" s="28">
        <v>1</v>
      </c>
    </row>
    <row r="157" spans="1:22" ht="21" customHeight="1" x14ac:dyDescent="0.15">
      <c r="A157" s="2" t="str">
        <f ca="1">input_384100!A$2</f>
        <v>384100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3">
        <f ca="1">IFERROR(VLOOKUP(B157,input_384100!L:R,7,FALSE),VLOOKUP(tables_384100!C157,input_384100!A:H,8,FALSE))</f>
        <v>4515</v>
      </c>
      <c r="P157" s="44">
        <f t="shared" ca="1" si="8"/>
        <v>5.9523809523809524E-5</v>
      </c>
      <c r="Q157" s="28">
        <v>1</v>
      </c>
      <c r="R157" s="28">
        <v>0</v>
      </c>
      <c r="S157" s="28">
        <v>0</v>
      </c>
      <c r="T157" s="28">
        <v>0</v>
      </c>
      <c r="U157" s="28">
        <v>0</v>
      </c>
      <c r="V157" s="28">
        <v>1</v>
      </c>
    </row>
    <row r="158" spans="1:22" ht="21" customHeight="1" x14ac:dyDescent="0.15">
      <c r="A158" s="2" t="str">
        <f ca="1">input_384100!A$2</f>
        <v>384100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3">
        <f ca="1">IFERROR(VLOOKUP(B158,input_384100!L:R,7,FALSE),VLOOKUP(tables_384100!C158,input_384100!A:H,8,FALSE))</f>
        <v>0</v>
      </c>
      <c r="P158" s="44">
        <f t="shared" ca="1" si="8"/>
        <v>0</v>
      </c>
      <c r="Q158" s="28">
        <v>1</v>
      </c>
      <c r="R158" s="28">
        <v>0</v>
      </c>
      <c r="S158" s="28">
        <v>0</v>
      </c>
      <c r="T158" s="28">
        <v>0</v>
      </c>
      <c r="U158" s="28">
        <v>0</v>
      </c>
      <c r="V158" s="28">
        <v>1</v>
      </c>
    </row>
    <row r="159" spans="1:22" ht="21" customHeight="1" x14ac:dyDescent="0.15">
      <c r="A159" s="2" t="str">
        <f ca="1">input_384100!A$2</f>
        <v>384100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3">
        <f ca="1">IFERROR(VLOOKUP(B159,input_384100!L:R,7,FALSE),VLOOKUP(tables_384100!C159,input_384100!A:H,8,FALSE))</f>
        <v>798518.13462000003</v>
      </c>
      <c r="P159" s="44">
        <f t="shared" ca="1" si="8"/>
        <v>1.0527318127669672E-2</v>
      </c>
      <c r="Q159" s="28">
        <v>1</v>
      </c>
      <c r="R159" s="28">
        <v>0</v>
      </c>
      <c r="S159" s="28">
        <v>0</v>
      </c>
      <c r="T159" s="28">
        <v>0</v>
      </c>
      <c r="U159" s="28">
        <v>0</v>
      </c>
      <c r="V159" s="28">
        <v>1</v>
      </c>
    </row>
    <row r="160" spans="1:22" ht="21" customHeight="1" x14ac:dyDescent="0.15">
      <c r="A160" s="2" t="str">
        <f ca="1">input_384100!A$2</f>
        <v>384100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3">
        <f ca="1">IFERROR(VLOOKUP(B160,input_384100!L:R,7,FALSE),VLOOKUP(tables_384100!C160,input_384100!A:H,8,FALSE))</f>
        <v>34971.865380000003</v>
      </c>
      <c r="P160" s="44">
        <f t="shared" ca="1" si="8"/>
        <v>4.6105396535358332E-4</v>
      </c>
      <c r="Q160" s="28">
        <v>1</v>
      </c>
      <c r="R160" s="28">
        <v>0</v>
      </c>
      <c r="S160" s="28">
        <v>0</v>
      </c>
      <c r="T160" s="28">
        <v>0</v>
      </c>
      <c r="U160" s="28">
        <v>0</v>
      </c>
      <c r="V160" s="28">
        <v>1</v>
      </c>
    </row>
    <row r="161" spans="1:22" ht="21" customHeight="1" x14ac:dyDescent="0.15">
      <c r="A161" s="2" t="str">
        <f ca="1">input_384100!A$2</f>
        <v>384100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3">
        <f ca="1">IFERROR(VLOOKUP(B161,input_384100!L:R,7,FALSE),VLOOKUP(tables_384100!C161,input_384100!A:H,8,FALSE))</f>
        <v>0</v>
      </c>
      <c r="P161" s="44">
        <f t="shared" ca="1" si="8"/>
        <v>0</v>
      </c>
      <c r="Q161" s="28">
        <v>1</v>
      </c>
      <c r="R161" s="28">
        <v>0</v>
      </c>
      <c r="S161" s="28">
        <v>0</v>
      </c>
      <c r="T161" s="28">
        <v>0</v>
      </c>
      <c r="U161" s="28">
        <v>0</v>
      </c>
      <c r="V161" s="28">
        <v>1</v>
      </c>
    </row>
    <row r="162" spans="1:22" ht="21" customHeight="1" x14ac:dyDescent="0.15">
      <c r="A162" s="2" t="str">
        <f ca="1">input_384100!A$2</f>
        <v>384100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3">
        <f ca="1">IFERROR(VLOOKUP(B162,input_384100!L:R,7,FALSE),VLOOKUP(tables_384100!C162,input_384100!A:H,8,FALSE))</f>
        <v>798518.13462000003</v>
      </c>
      <c r="P162" s="44">
        <f t="shared" ca="1" si="8"/>
        <v>1.0527318127669672E-2</v>
      </c>
      <c r="Q162" s="28">
        <v>1</v>
      </c>
      <c r="R162" s="28">
        <v>0</v>
      </c>
      <c r="S162" s="28">
        <v>0</v>
      </c>
      <c r="T162" s="28">
        <v>0</v>
      </c>
      <c r="U162" s="28">
        <v>0</v>
      </c>
      <c r="V162" s="28">
        <v>1</v>
      </c>
    </row>
    <row r="163" spans="1:22" ht="21" customHeight="1" x14ac:dyDescent="0.15">
      <c r="A163" s="2" t="str">
        <f ca="1">input_384100!A$2</f>
        <v>384100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3">
        <f ca="1">IFERROR(VLOOKUP(B163,input_384100!L:R,7,FALSE),VLOOKUP(tables_384100!C163,input_384100!A:H,8,FALSE))</f>
        <v>34971.865380000003</v>
      </c>
      <c r="P163" s="44">
        <f t="shared" ca="1" si="8"/>
        <v>4.6105396535358332E-4</v>
      </c>
      <c r="Q163" s="28">
        <v>1</v>
      </c>
      <c r="R163" s="28">
        <v>0</v>
      </c>
      <c r="S163" s="28">
        <v>0</v>
      </c>
      <c r="T163" s="28">
        <v>0</v>
      </c>
      <c r="U163" s="28">
        <v>0</v>
      </c>
      <c r="V163" s="28">
        <v>1</v>
      </c>
    </row>
    <row r="164" spans="1:22" ht="21" customHeight="1" x14ac:dyDescent="0.15">
      <c r="A164" s="2" t="str">
        <f ca="1">input_384100!A$2</f>
        <v>384100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3">
        <f ca="1">IFERROR(VLOOKUP(B164,input_384100!L:R,7,FALSE),VLOOKUP(tables_384100!C164,input_384100!A:H,8,FALSE))</f>
        <v>85785</v>
      </c>
      <c r="P164" s="44">
        <f t="shared" ca="1" si="8"/>
        <v>1.1309523809523809E-3</v>
      </c>
      <c r="Q164" s="28">
        <v>1</v>
      </c>
      <c r="R164" s="28">
        <v>0</v>
      </c>
      <c r="S164" s="28">
        <v>0</v>
      </c>
      <c r="T164" s="28">
        <v>0</v>
      </c>
      <c r="U164" s="28">
        <v>0</v>
      </c>
      <c r="V164" s="28">
        <v>1</v>
      </c>
    </row>
    <row r="165" spans="1:22" ht="21" customHeight="1" x14ac:dyDescent="0.15">
      <c r="A165" s="2" t="str">
        <f ca="1">input_384100!A$2</f>
        <v>384100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3">
        <f ca="1">IFERROR(VLOOKUP(B165,input_384100!L:R,7,FALSE),VLOOKUP(tables_384100!C165,input_384100!A:H,8,FALSE))</f>
        <v>4515</v>
      </c>
      <c r="P165" s="44">
        <f t="shared" ca="1" si="8"/>
        <v>5.9523809523809524E-5</v>
      </c>
      <c r="Q165" s="28">
        <v>1</v>
      </c>
      <c r="R165" s="28">
        <v>0</v>
      </c>
      <c r="S165" s="28">
        <v>0</v>
      </c>
      <c r="T165" s="28">
        <v>0</v>
      </c>
      <c r="U165" s="28">
        <v>0</v>
      </c>
      <c r="V165" s="28">
        <v>1</v>
      </c>
    </row>
    <row r="166" spans="1:22" ht="21" customHeight="1" x14ac:dyDescent="0.15">
      <c r="A166" s="2" t="str">
        <f ca="1">input_384100!A$2</f>
        <v>384100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3">
        <f ca="1">IFERROR(VLOOKUP(B166,input_384100!L:R,7,FALSE),VLOOKUP(tables_384100!C166,input_384100!A:H,8,FALSE))</f>
        <v>0</v>
      </c>
      <c r="P166" s="44">
        <f t="shared" ca="1" si="8"/>
        <v>0</v>
      </c>
      <c r="Q166" s="28">
        <v>1</v>
      </c>
      <c r="R166" s="28">
        <v>0</v>
      </c>
      <c r="S166" s="28">
        <v>0</v>
      </c>
      <c r="T166" s="28">
        <v>0</v>
      </c>
      <c r="U166" s="28">
        <v>0</v>
      </c>
      <c r="V166" s="28">
        <v>1</v>
      </c>
    </row>
    <row r="167" spans="1:22" ht="21" customHeight="1" x14ac:dyDescent="0.15">
      <c r="A167" s="2" t="str">
        <f ca="1">input_384100!A$2</f>
        <v>384100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3">
        <f ca="1">IFERROR(VLOOKUP(B167,input_384100!L:R,7,FALSE),VLOOKUP(tables_384100!C167,input_384100!A:H,8,FALSE))</f>
        <v>798518.13462000003</v>
      </c>
      <c r="P167" s="44">
        <f t="shared" ca="1" si="8"/>
        <v>1.0527318127669672E-2</v>
      </c>
      <c r="Q167" s="28">
        <v>1</v>
      </c>
      <c r="R167" s="28">
        <v>0</v>
      </c>
      <c r="S167" s="28">
        <v>0</v>
      </c>
      <c r="T167" s="28">
        <v>0</v>
      </c>
      <c r="U167" s="28">
        <v>0</v>
      </c>
      <c r="V167" s="28">
        <v>1</v>
      </c>
    </row>
    <row r="168" spans="1:22" ht="21" customHeight="1" x14ac:dyDescent="0.15">
      <c r="A168" s="2" t="str">
        <f ca="1">input_384100!A$2</f>
        <v>384100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3">
        <f ca="1">IFERROR(VLOOKUP(B168,input_384100!L:R,7,FALSE),VLOOKUP(tables_384100!C168,input_384100!A:H,8,FALSE))</f>
        <v>34971.865380000003</v>
      </c>
      <c r="P168" s="44">
        <f t="shared" ca="1" si="8"/>
        <v>4.6105396535358332E-4</v>
      </c>
      <c r="Q168" s="28">
        <v>1</v>
      </c>
      <c r="R168" s="28">
        <v>0</v>
      </c>
      <c r="S168" s="28">
        <v>0</v>
      </c>
      <c r="T168" s="28">
        <v>0</v>
      </c>
      <c r="U168" s="28">
        <v>0</v>
      </c>
      <c r="V168" s="28">
        <v>1</v>
      </c>
    </row>
    <row r="169" spans="1:22" ht="21" customHeight="1" x14ac:dyDescent="0.15">
      <c r="A169" s="2" t="str">
        <f ca="1">input_384100!A$2</f>
        <v>384100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3">
        <f ca="1">IFERROR(VLOOKUP(B169,input_384100!L:R,7,FALSE),VLOOKUP(tables_384100!C169,input_384100!A:H,8,FALSE))</f>
        <v>85785</v>
      </c>
      <c r="P169" s="44">
        <f t="shared" ca="1" si="8"/>
        <v>1.1309523809523809E-3</v>
      </c>
      <c r="Q169" s="28">
        <v>1</v>
      </c>
      <c r="R169" s="28">
        <v>0</v>
      </c>
      <c r="S169" s="28">
        <v>0</v>
      </c>
      <c r="T169" s="28">
        <v>0</v>
      </c>
      <c r="U169" s="28">
        <v>0</v>
      </c>
      <c r="V169" s="28">
        <v>1</v>
      </c>
    </row>
    <row r="170" spans="1:22" ht="21" customHeight="1" x14ac:dyDescent="0.15">
      <c r="A170" s="2" t="str">
        <f ca="1">input_384100!A$2</f>
        <v>384100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3">
        <f ca="1">IFERROR(VLOOKUP(B170,input_384100!L:R,7,FALSE),VLOOKUP(tables_384100!C170,input_384100!A:H,8,FALSE))</f>
        <v>4515</v>
      </c>
      <c r="P170" s="44">
        <f t="shared" ca="1" si="8"/>
        <v>5.9523809523809524E-5</v>
      </c>
      <c r="Q170" s="28">
        <v>1</v>
      </c>
      <c r="R170" s="28">
        <v>0</v>
      </c>
      <c r="S170" s="28">
        <v>0</v>
      </c>
      <c r="T170" s="28">
        <v>0</v>
      </c>
      <c r="U170" s="28">
        <v>0</v>
      </c>
      <c r="V170" s="28">
        <v>1</v>
      </c>
    </row>
    <row r="171" spans="1:22" ht="21" customHeight="1" x14ac:dyDescent="0.15">
      <c r="A171" s="2" t="str">
        <f ca="1">input_384100!A$2</f>
        <v>384100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3">
        <f ca="1">IFERROR(VLOOKUP(B171,input_384100!L:R,7,FALSE),VLOOKUP(tables_384100!C171,input_384100!A:H,8,FALSE))</f>
        <v>0</v>
      </c>
      <c r="P171" s="44">
        <f t="shared" ca="1" si="8"/>
        <v>0</v>
      </c>
      <c r="Q171" s="28">
        <v>1</v>
      </c>
      <c r="R171" s="28">
        <v>0</v>
      </c>
      <c r="S171" s="28">
        <v>0</v>
      </c>
      <c r="T171" s="28">
        <v>0</v>
      </c>
      <c r="U171" s="28">
        <v>0</v>
      </c>
      <c r="V171" s="28">
        <v>1</v>
      </c>
    </row>
    <row r="172" spans="1:22" ht="21" customHeight="1" x14ac:dyDescent="0.15">
      <c r="A172" s="2" t="str">
        <f ca="1">input_384100!A$2</f>
        <v>384100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3">
        <f ca="1">IFERROR(VLOOKUP(B172,input_384100!L:R,7,FALSE),VLOOKUP(tables_384100!C172,input_384100!A:H,8,FALSE))</f>
        <v>798518.13462000003</v>
      </c>
      <c r="P172" s="44">
        <f t="shared" ca="1" si="8"/>
        <v>1.0527318127669672E-2</v>
      </c>
      <c r="Q172" s="28">
        <v>1</v>
      </c>
      <c r="R172" s="28">
        <v>0</v>
      </c>
      <c r="S172" s="28">
        <v>0</v>
      </c>
      <c r="T172" s="28">
        <v>0</v>
      </c>
      <c r="U172" s="28">
        <v>0</v>
      </c>
      <c r="V172" s="28">
        <v>1</v>
      </c>
    </row>
    <row r="173" spans="1:22" ht="21" customHeight="1" x14ac:dyDescent="0.15">
      <c r="A173" s="2" t="str">
        <f ca="1">input_384100!A$2</f>
        <v>384100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3">
        <f ca="1">IFERROR(VLOOKUP(B173,input_384100!L:R,7,FALSE),VLOOKUP(tables_384100!C173,input_384100!A:H,8,FALSE))</f>
        <v>34971.865380000003</v>
      </c>
      <c r="P173" s="44">
        <f t="shared" ca="1" si="8"/>
        <v>4.6105396535358332E-4</v>
      </c>
      <c r="Q173" s="28">
        <v>1</v>
      </c>
      <c r="R173" s="28">
        <v>0</v>
      </c>
      <c r="S173" s="28">
        <v>0</v>
      </c>
      <c r="T173" s="28">
        <v>0</v>
      </c>
      <c r="U173" s="28">
        <v>0</v>
      </c>
      <c r="V173" s="28">
        <v>1</v>
      </c>
    </row>
    <row r="174" spans="1:22" ht="21" customHeight="1" x14ac:dyDescent="0.15">
      <c r="A174" s="2" t="str">
        <f ca="1">input_384100!A$2</f>
        <v>384100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3">
        <f ca="1">IFERROR(VLOOKUP(B174,input_384100!L:R,7,FALSE),VLOOKUP(tables_384100!C174,input_384100!A:H,8,FALSE))</f>
        <v>85785</v>
      </c>
      <c r="P174" s="44">
        <f t="shared" ca="1" si="8"/>
        <v>1.1309523809523809E-3</v>
      </c>
      <c r="Q174" s="28">
        <v>1</v>
      </c>
      <c r="R174" s="28">
        <v>0</v>
      </c>
      <c r="S174" s="28">
        <v>0</v>
      </c>
      <c r="T174" s="28">
        <v>0</v>
      </c>
      <c r="U174" s="28">
        <v>0</v>
      </c>
      <c r="V174" s="28">
        <v>1</v>
      </c>
    </row>
    <row r="175" spans="1:22" ht="21" customHeight="1" x14ac:dyDescent="0.15">
      <c r="A175" s="2" t="str">
        <f ca="1">input_384100!A$2</f>
        <v>384100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3">
        <f ca="1">IFERROR(VLOOKUP(B175,input_384100!L:R,7,FALSE),VLOOKUP(tables_384100!C175,input_384100!A:H,8,FALSE))</f>
        <v>4515</v>
      </c>
      <c r="P175" s="44">
        <f t="shared" ca="1" si="8"/>
        <v>5.9523809523809524E-5</v>
      </c>
      <c r="Q175" s="28">
        <v>1</v>
      </c>
      <c r="R175" s="28">
        <v>0</v>
      </c>
      <c r="S175" s="28">
        <v>0</v>
      </c>
      <c r="T175" s="28">
        <v>0</v>
      </c>
      <c r="U175" s="28">
        <v>0</v>
      </c>
      <c r="V175" s="28">
        <v>1</v>
      </c>
    </row>
    <row r="176" spans="1:22" ht="21" customHeight="1" x14ac:dyDescent="0.15">
      <c r="A176" s="2" t="str">
        <f ca="1">input_384100!A$2</f>
        <v>384100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3">
        <f ca="1">IFERROR(VLOOKUP(B176,input_384100!L:R,7,FALSE),VLOOKUP(tables_384100!C176,input_384100!A:H,8,FALSE))</f>
        <v>85785</v>
      </c>
      <c r="P176" s="44">
        <f t="shared" ca="1" si="8"/>
        <v>1.1309523809523809E-3</v>
      </c>
      <c r="Q176" s="28">
        <v>1</v>
      </c>
      <c r="R176" s="28">
        <v>0</v>
      </c>
      <c r="S176" s="28">
        <v>0</v>
      </c>
      <c r="T176" s="28">
        <v>0</v>
      </c>
      <c r="U176" s="28">
        <v>0</v>
      </c>
      <c r="V176" s="28">
        <v>1</v>
      </c>
    </row>
    <row r="177" spans="1:22" ht="21" customHeight="1" x14ac:dyDescent="0.15">
      <c r="A177" s="2" t="str">
        <f ca="1">input_384100!A$2</f>
        <v>384100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3">
        <f ca="1">IFERROR(VLOOKUP(B177,input_384100!L:R,7,FALSE),VLOOKUP(tables_384100!C177,input_384100!A:H,8,FALSE))</f>
        <v>4515</v>
      </c>
      <c r="P177" s="44">
        <f t="shared" ca="1" si="8"/>
        <v>5.9523809523809524E-5</v>
      </c>
      <c r="Q177" s="28">
        <v>1</v>
      </c>
      <c r="R177" s="28">
        <v>0</v>
      </c>
      <c r="S177" s="28">
        <v>0</v>
      </c>
      <c r="T177" s="28">
        <v>0</v>
      </c>
      <c r="U177" s="28">
        <v>0</v>
      </c>
      <c r="V177" s="28">
        <v>1</v>
      </c>
    </row>
    <row r="178" spans="1:22" ht="21" customHeight="1" x14ac:dyDescent="0.15">
      <c r="A178" s="2" t="str">
        <f ca="1">input_384100!A$2</f>
        <v>384100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3">
        <f ca="1">IFERROR(VLOOKUP(B178,input_384100!L:R,7,FALSE),VLOOKUP(tables_384100!C178,input_384100!A:H,8,FALSE))</f>
        <v>0</v>
      </c>
      <c r="P178" s="44">
        <f t="shared" ca="1" si="8"/>
        <v>0</v>
      </c>
      <c r="Q178" s="28">
        <v>1</v>
      </c>
      <c r="R178" s="28">
        <v>0</v>
      </c>
      <c r="S178" s="28">
        <v>0</v>
      </c>
      <c r="T178" s="28">
        <v>0</v>
      </c>
      <c r="U178" s="28">
        <v>0</v>
      </c>
      <c r="V178" s="28">
        <v>1</v>
      </c>
    </row>
    <row r="179" spans="1:22" ht="21" customHeight="1" x14ac:dyDescent="0.15">
      <c r="A179" s="2" t="str">
        <f ca="1">input_384100!A$2</f>
        <v>384100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3">
        <f ca="1">IFERROR(VLOOKUP(B179,input_384100!L:R,7,FALSE),VLOOKUP(tables_384100!C179,input_384100!A:H,8,FALSE))</f>
        <v>798518.13462000003</v>
      </c>
      <c r="P179" s="44">
        <f t="shared" ca="1" si="8"/>
        <v>1.0527318127669672E-2</v>
      </c>
      <c r="Q179" s="28">
        <v>1</v>
      </c>
      <c r="R179" s="28">
        <v>0</v>
      </c>
      <c r="S179" s="28">
        <v>0</v>
      </c>
      <c r="T179" s="28">
        <v>0</v>
      </c>
      <c r="U179" s="28">
        <v>0</v>
      </c>
      <c r="V179" s="28">
        <v>1</v>
      </c>
    </row>
    <row r="180" spans="1:22" ht="21" customHeight="1" x14ac:dyDescent="0.15">
      <c r="A180" s="2" t="str">
        <f ca="1">input_384100!A$2</f>
        <v>384100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3">
        <f ca="1">IFERROR(VLOOKUP(B180,input_384100!L:R,7,FALSE),VLOOKUP(tables_384100!C180,input_384100!A:H,8,FALSE))</f>
        <v>34971.865380000003</v>
      </c>
      <c r="P180" s="44">
        <f t="shared" ca="1" si="8"/>
        <v>4.6105396535358332E-4</v>
      </c>
      <c r="Q180" s="28">
        <v>1</v>
      </c>
      <c r="R180" s="28">
        <v>0</v>
      </c>
      <c r="S180" s="28">
        <v>0</v>
      </c>
      <c r="T180" s="28">
        <v>0</v>
      </c>
      <c r="U180" s="28">
        <v>0</v>
      </c>
      <c r="V180" s="28">
        <v>1</v>
      </c>
    </row>
    <row r="181" spans="1:22" ht="21" customHeight="1" x14ac:dyDescent="0.15">
      <c r="A181" s="2" t="str">
        <f ca="1">input_384100!A$2</f>
        <v>384100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3">
        <f ca="1">IFERROR(VLOOKUP(B181,input_384100!L:R,7,FALSE),VLOOKUP(tables_384100!C181,input_384100!A:H,8,FALSE))</f>
        <v>0</v>
      </c>
      <c r="P181" s="44">
        <f t="shared" ca="1" si="8"/>
        <v>0</v>
      </c>
      <c r="Q181" s="28">
        <v>1</v>
      </c>
      <c r="R181" s="28">
        <v>0</v>
      </c>
      <c r="S181" s="28">
        <v>0</v>
      </c>
      <c r="T181" s="28">
        <v>0</v>
      </c>
      <c r="U181" s="28">
        <v>0</v>
      </c>
      <c r="V181" s="28">
        <v>1</v>
      </c>
    </row>
    <row r="182" spans="1:22" ht="21" customHeight="1" x14ac:dyDescent="0.15">
      <c r="A182" s="2" t="str">
        <f ca="1">input_384100!A$2</f>
        <v>384100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3">
        <f ca="1">IFERROR(VLOOKUP(B182,input_384100!L:R,7,FALSE),VLOOKUP(tables_384100!C182,input_384100!A:H,8,FALSE))</f>
        <v>798518.13462000003</v>
      </c>
      <c r="P182" s="44">
        <f t="shared" ca="1" si="8"/>
        <v>1.0527318127669672E-2</v>
      </c>
      <c r="Q182" s="28">
        <v>1</v>
      </c>
      <c r="R182" s="28">
        <v>0</v>
      </c>
      <c r="S182" s="28">
        <v>0</v>
      </c>
      <c r="T182" s="28">
        <v>0</v>
      </c>
      <c r="U182" s="28">
        <v>0</v>
      </c>
      <c r="V182" s="28">
        <v>1</v>
      </c>
    </row>
    <row r="183" spans="1:22" ht="21" customHeight="1" x14ac:dyDescent="0.15">
      <c r="A183" s="2" t="str">
        <f ca="1">input_384100!A$2</f>
        <v>384100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3">
        <f ca="1">IFERROR(VLOOKUP(B183,input_384100!L:R,7,FALSE),VLOOKUP(tables_384100!C183,input_384100!A:H,8,FALSE))</f>
        <v>34971.865380000003</v>
      </c>
      <c r="P183" s="44">
        <f t="shared" ca="1" si="8"/>
        <v>4.6105396535358332E-4</v>
      </c>
      <c r="Q183" s="28">
        <v>1</v>
      </c>
      <c r="R183" s="28">
        <v>0</v>
      </c>
      <c r="S183" s="28">
        <v>0</v>
      </c>
      <c r="T183" s="28">
        <v>0</v>
      </c>
      <c r="U183" s="28">
        <v>0</v>
      </c>
      <c r="V183" s="28">
        <v>1</v>
      </c>
    </row>
    <row r="184" spans="1:22" ht="21" customHeight="1" x14ac:dyDescent="0.15">
      <c r="A184" s="2" t="str">
        <f ca="1">input_384100!A$2</f>
        <v>384100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3">
        <f ca="1">IFERROR(VLOOKUP(B184,input_384100!L:R,7,FALSE),VLOOKUP(tables_384100!C184,input_384100!A:H,8,FALSE))</f>
        <v>85785</v>
      </c>
      <c r="P184" s="44">
        <f t="shared" ca="1" si="8"/>
        <v>1.1309523809523809E-3</v>
      </c>
      <c r="Q184" s="28">
        <v>1</v>
      </c>
      <c r="R184" s="28">
        <v>0</v>
      </c>
      <c r="S184" s="28">
        <v>0</v>
      </c>
      <c r="T184" s="28">
        <v>0</v>
      </c>
      <c r="U184" s="28">
        <v>0</v>
      </c>
      <c r="V184" s="28">
        <v>1</v>
      </c>
    </row>
    <row r="185" spans="1:22" ht="21" customHeight="1" x14ac:dyDescent="0.15">
      <c r="A185" s="2" t="str">
        <f ca="1">input_384100!A$2</f>
        <v>384100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3">
        <f ca="1">IFERROR(VLOOKUP(B185,input_384100!L:R,7,FALSE),VLOOKUP(tables_384100!C185,input_384100!A:H,8,FALSE))</f>
        <v>4515</v>
      </c>
      <c r="P185" s="44">
        <f t="shared" ca="1" si="8"/>
        <v>5.9523809523809524E-5</v>
      </c>
      <c r="Q185" s="28">
        <v>1</v>
      </c>
      <c r="R185" s="28">
        <v>0</v>
      </c>
      <c r="S185" s="28">
        <v>0</v>
      </c>
      <c r="T185" s="28">
        <v>0</v>
      </c>
      <c r="U185" s="28">
        <v>0</v>
      </c>
      <c r="V185" s="28">
        <v>1</v>
      </c>
    </row>
    <row r="186" spans="1:22" ht="21" customHeight="1" x14ac:dyDescent="0.15">
      <c r="A186" s="2" t="str">
        <f ca="1">input_384100!A$2</f>
        <v>384100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3">
        <f ca="1">IFERROR(VLOOKUP(B186,input_384100!L:R,7,FALSE),VLOOKUP(tables_384100!C186,input_384100!A:H,8,FALSE))</f>
        <v>0</v>
      </c>
      <c r="P186" s="44">
        <f t="shared" ca="1" si="8"/>
        <v>0</v>
      </c>
      <c r="Q186" s="28">
        <v>1</v>
      </c>
      <c r="R186" s="28">
        <v>0</v>
      </c>
      <c r="S186" s="28">
        <v>0</v>
      </c>
      <c r="T186" s="28">
        <v>0</v>
      </c>
      <c r="U186" s="28">
        <v>0</v>
      </c>
      <c r="V186" s="28">
        <v>1</v>
      </c>
    </row>
    <row r="187" spans="1:22" ht="21" customHeight="1" x14ac:dyDescent="0.15">
      <c r="A187" s="2" t="str">
        <f ca="1">input_384100!A$2</f>
        <v>384100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3">
        <f ca="1">IFERROR(VLOOKUP(B187,input_384100!L:R,7,FALSE),VLOOKUP(tables_384100!C187,input_384100!A:H,8,FALSE))</f>
        <v>798518.13462000003</v>
      </c>
      <c r="P187" s="44">
        <f t="shared" ca="1" si="8"/>
        <v>1.0527318127669672E-2</v>
      </c>
      <c r="Q187" s="28">
        <v>1</v>
      </c>
      <c r="R187" s="28">
        <v>0</v>
      </c>
      <c r="S187" s="28">
        <v>0</v>
      </c>
      <c r="T187" s="28">
        <v>0</v>
      </c>
      <c r="U187" s="28">
        <v>0</v>
      </c>
      <c r="V187" s="28">
        <v>1</v>
      </c>
    </row>
    <row r="188" spans="1:22" ht="21" customHeight="1" x14ac:dyDescent="0.15">
      <c r="A188" s="2" t="str">
        <f ca="1">input_384100!A$2</f>
        <v>384100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3">
        <f ca="1">IFERROR(VLOOKUP(B188,input_384100!L:R,7,FALSE),VLOOKUP(tables_384100!C188,input_384100!A:H,8,FALSE))</f>
        <v>34971.865380000003</v>
      </c>
      <c r="P188" s="44">
        <f t="shared" ca="1" si="8"/>
        <v>4.6105396535358332E-4</v>
      </c>
      <c r="Q188" s="28">
        <v>1</v>
      </c>
      <c r="R188" s="28">
        <v>0</v>
      </c>
      <c r="S188" s="28">
        <v>0</v>
      </c>
      <c r="T188" s="28">
        <v>0</v>
      </c>
      <c r="U188" s="28">
        <v>0</v>
      </c>
      <c r="V188" s="28">
        <v>1</v>
      </c>
    </row>
    <row r="189" spans="1:22" ht="21" customHeight="1" x14ac:dyDescent="0.15">
      <c r="A189" s="2" t="str">
        <f ca="1">input_384100!A$2</f>
        <v>384100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3">
        <f ca="1">IFERROR(VLOOKUP(B189,input_384100!L:R,7,FALSE),VLOOKUP(tables_384100!C189,input_384100!A:H,8,FALSE))</f>
        <v>85785</v>
      </c>
      <c r="P189" s="44">
        <f t="shared" ca="1" si="8"/>
        <v>1.1309523809523809E-3</v>
      </c>
      <c r="Q189" s="28">
        <v>1</v>
      </c>
      <c r="R189" s="28">
        <v>0</v>
      </c>
      <c r="S189" s="28">
        <v>0</v>
      </c>
      <c r="T189" s="28">
        <v>0</v>
      </c>
      <c r="U189" s="28">
        <v>0</v>
      </c>
      <c r="V189" s="28">
        <v>1</v>
      </c>
    </row>
    <row r="190" spans="1:22" s="9" customFormat="1" ht="21" customHeight="1" thickBot="1" x14ac:dyDescent="0.2">
      <c r="A190" s="2" t="str">
        <f ca="1">input_384100!A$2</f>
        <v>384100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3">
        <f ca="1">IFERROR(VLOOKUP(B190,input_384100!L:R,7,FALSE),VLOOKUP(tables_384100!C190,input_384100!A:H,8,FALSE))</f>
        <v>4515</v>
      </c>
      <c r="P190" s="44">
        <f t="shared" ca="1" si="8"/>
        <v>5.9523809523809524E-5</v>
      </c>
      <c r="Q190" s="28">
        <v>1</v>
      </c>
      <c r="R190" s="28">
        <v>0</v>
      </c>
      <c r="S190" s="28">
        <v>0</v>
      </c>
      <c r="T190" s="28">
        <v>0</v>
      </c>
      <c r="U190" s="28">
        <v>0</v>
      </c>
      <c r="V190" s="28">
        <v>1</v>
      </c>
    </row>
    <row r="191" spans="1:22" ht="21" customHeight="1" x14ac:dyDescent="0.15">
      <c r="A191" s="2" t="str">
        <f ca="1">input_384100!A$2</f>
        <v>384100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3">
        <f ca="1">IFERROR(VLOOKUP(B191,input_384100!L:R,7,FALSE),VLOOKUP(tables_384100!C191,input_384100!A:H,8,FALSE))</f>
        <v>85785</v>
      </c>
      <c r="P191" s="44">
        <f t="shared" ca="1" si="8"/>
        <v>1.1309523809523809E-3</v>
      </c>
      <c r="Q191" s="28">
        <v>1</v>
      </c>
      <c r="R191" s="28">
        <v>0</v>
      </c>
      <c r="S191" s="28">
        <v>0</v>
      </c>
      <c r="T191" s="28">
        <v>0</v>
      </c>
      <c r="U191" s="28">
        <v>0</v>
      </c>
      <c r="V191" s="28">
        <v>1</v>
      </c>
    </row>
    <row r="192" spans="1:22" ht="21" customHeight="1" x14ac:dyDescent="0.15">
      <c r="A192" s="2" t="str">
        <f ca="1">input_384100!A$2</f>
        <v>384100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3">
        <f ca="1">IFERROR(VLOOKUP(B192,input_384100!L:R,7,FALSE),VLOOKUP(tables_384100!C192,input_384100!A:H,8,FALSE))</f>
        <v>4515</v>
      </c>
      <c r="P192" s="44">
        <f t="shared" ca="1" si="8"/>
        <v>5.9523809523809524E-5</v>
      </c>
      <c r="Q192" s="28">
        <v>1</v>
      </c>
      <c r="R192" s="28">
        <v>0</v>
      </c>
      <c r="S192" s="28">
        <v>0</v>
      </c>
      <c r="T192" s="28">
        <v>0</v>
      </c>
      <c r="U192" s="28">
        <v>0</v>
      </c>
      <c r="V192" s="28">
        <v>1</v>
      </c>
    </row>
    <row r="193" spans="1:22" ht="21" customHeight="1" x14ac:dyDescent="0.15">
      <c r="A193" s="2" t="str">
        <f ca="1">input_384100!A$2</f>
        <v>384100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3">
        <f ca="1">IFERROR(VLOOKUP(B193,input_384100!L:R,7,FALSE),VLOOKUP(tables_384100!C193,input_384100!A:H,8,FALSE))</f>
        <v>0</v>
      </c>
      <c r="P193" s="44">
        <f t="shared" ca="1" si="8"/>
        <v>0</v>
      </c>
      <c r="Q193" s="28">
        <v>1</v>
      </c>
      <c r="R193" s="28">
        <v>0</v>
      </c>
      <c r="S193" s="28">
        <v>0</v>
      </c>
      <c r="T193" s="28">
        <v>0</v>
      </c>
      <c r="U193" s="28">
        <v>0</v>
      </c>
      <c r="V193" s="28">
        <v>1</v>
      </c>
    </row>
    <row r="194" spans="1:22" ht="21" customHeight="1" x14ac:dyDescent="0.15">
      <c r="A194" s="2" t="str">
        <f ca="1">input_384100!A$2</f>
        <v>384100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3">
        <f ca="1">IFERROR(VLOOKUP(B194,input_384100!L:R,7,FALSE),VLOOKUP(tables_384100!C194,input_384100!A:H,8,FALSE))</f>
        <v>798518.13462000003</v>
      </c>
      <c r="P194" s="44">
        <f t="shared" ca="1" si="8"/>
        <v>1.0527318127669672E-2</v>
      </c>
      <c r="Q194" s="28">
        <v>1</v>
      </c>
      <c r="R194" s="28">
        <v>0</v>
      </c>
      <c r="S194" s="28">
        <v>0</v>
      </c>
      <c r="T194" s="28">
        <v>0</v>
      </c>
      <c r="U194" s="28">
        <v>0</v>
      </c>
      <c r="V194" s="28">
        <v>1</v>
      </c>
    </row>
    <row r="195" spans="1:22" ht="21" customHeight="1" x14ac:dyDescent="0.15">
      <c r="A195" s="2" t="str">
        <f ca="1">input_384100!A$2</f>
        <v>384100</v>
      </c>
      <c r="B195" s="6">
        <v>471</v>
      </c>
      <c r="C195" s="7" t="str">
        <f t="shared" si="9"/>
        <v>Premium5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3">
        <f ca="1">IFERROR(VLOOKUP(B195,input_384100!L:R,7,FALSE),VLOOKUP(tables_384100!C195,input_384100!A:H,8,FALSE))</f>
        <v>34971.865380000003</v>
      </c>
      <c r="P195" s="44">
        <f t="shared" ca="1" si="8"/>
        <v>4.6105396535358332E-4</v>
      </c>
      <c r="Q195" s="28">
        <v>1</v>
      </c>
      <c r="R195" s="28">
        <v>0</v>
      </c>
      <c r="S195" s="28">
        <v>0</v>
      </c>
      <c r="T195" s="28">
        <v>0</v>
      </c>
      <c r="U195" s="28">
        <v>0</v>
      </c>
      <c r="V195" s="28">
        <v>1</v>
      </c>
    </row>
    <row r="196" spans="1:22" ht="21" customHeight="1" x14ac:dyDescent="0.15">
      <c r="A196" s="2" t="str">
        <f ca="1">input_384100!A$2</f>
        <v>384100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3">
        <f ca="1">IFERROR(VLOOKUP(B196,input_384100!L:R,7,FALSE),VLOOKUP(tables_384100!C196,input_384100!A:H,8,FALSE))</f>
        <v>85785</v>
      </c>
      <c r="P196" s="44">
        <f t="shared" ca="1" si="8"/>
        <v>1.1309523809523809E-3</v>
      </c>
      <c r="Q196" s="28">
        <v>1</v>
      </c>
      <c r="R196" s="28">
        <v>0</v>
      </c>
      <c r="S196" s="28">
        <v>0</v>
      </c>
      <c r="T196" s="28">
        <v>0</v>
      </c>
      <c r="U196" s="28">
        <v>0</v>
      </c>
      <c r="V196" s="28">
        <v>1</v>
      </c>
    </row>
    <row r="197" spans="1:22" ht="21" customHeight="1" x14ac:dyDescent="0.15">
      <c r="A197" s="2" t="str">
        <f ca="1">input_384100!A$2</f>
        <v>384100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3">
        <f ca="1">IFERROR(VLOOKUP(B197,input_384100!L:R,7,FALSE),VLOOKUP(tables_384100!C197,input_384100!A:H,8,FALSE))</f>
        <v>4515</v>
      </c>
      <c r="P197" s="44">
        <f t="shared" ca="1" si="8"/>
        <v>5.9523809523809524E-5</v>
      </c>
      <c r="Q197" s="28">
        <v>1</v>
      </c>
      <c r="R197" s="28">
        <v>0</v>
      </c>
      <c r="S197" s="28">
        <v>0</v>
      </c>
      <c r="T197" s="28">
        <v>0</v>
      </c>
      <c r="U197" s="28">
        <v>0</v>
      </c>
      <c r="V197" s="28">
        <v>1</v>
      </c>
    </row>
    <row r="198" spans="1:22" ht="21" customHeight="1" x14ac:dyDescent="0.15">
      <c r="A198" s="2" t="str">
        <f ca="1">input_384100!A$2</f>
        <v>384100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3">
        <f ca="1">IFERROR(VLOOKUP(B198,input_384100!L:R,7,FALSE),VLOOKUP(tables_384100!C198,input_384100!A:H,8,FALSE))</f>
        <v>0</v>
      </c>
      <c r="P198" s="44">
        <f t="shared" ca="1" si="8"/>
        <v>0</v>
      </c>
      <c r="Q198" s="28">
        <v>1</v>
      </c>
      <c r="R198" s="28">
        <v>0</v>
      </c>
      <c r="S198" s="28">
        <v>0</v>
      </c>
      <c r="T198" s="28">
        <v>0</v>
      </c>
      <c r="U198" s="28">
        <v>0</v>
      </c>
      <c r="V198" s="28">
        <v>1</v>
      </c>
    </row>
    <row r="199" spans="1:22" ht="21" customHeight="1" x14ac:dyDescent="0.15">
      <c r="A199" s="2" t="str">
        <f ca="1">input_384100!A$2</f>
        <v>384100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3">
        <f ca="1">IFERROR(VLOOKUP(B199,input_384100!L:R,7,FALSE),VLOOKUP(tables_384100!C199,input_384100!A:H,8,FALSE))</f>
        <v>798518.13462000003</v>
      </c>
      <c r="P199" s="44">
        <f t="shared" ca="1" si="8"/>
        <v>1.0527318127669672E-2</v>
      </c>
      <c r="Q199" s="28">
        <v>1</v>
      </c>
      <c r="R199" s="28">
        <v>0</v>
      </c>
      <c r="S199" s="28">
        <v>0</v>
      </c>
      <c r="T199" s="28">
        <v>0</v>
      </c>
      <c r="U199" s="28">
        <v>0</v>
      </c>
      <c r="V199" s="28">
        <v>1</v>
      </c>
    </row>
    <row r="200" spans="1:22" ht="21" customHeight="1" x14ac:dyDescent="0.15">
      <c r="A200" s="2" t="str">
        <f ca="1">input_384100!A$2</f>
        <v>384100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3">
        <f ca="1">IFERROR(VLOOKUP(B200,input_384100!L:R,7,FALSE),VLOOKUP(tables_384100!C200,input_384100!A:H,8,FALSE))</f>
        <v>34971.865380000003</v>
      </c>
      <c r="P200" s="44">
        <f t="shared" ca="1" si="8"/>
        <v>4.6105396535358332E-4</v>
      </c>
      <c r="Q200" s="28">
        <v>1</v>
      </c>
      <c r="R200" s="28">
        <v>0</v>
      </c>
      <c r="S200" s="28">
        <v>0</v>
      </c>
      <c r="T200" s="28">
        <v>0</v>
      </c>
      <c r="U200" s="28">
        <v>0</v>
      </c>
      <c r="V200" s="28">
        <v>1</v>
      </c>
    </row>
    <row r="201" spans="1:22" ht="21" customHeight="1" x14ac:dyDescent="0.15">
      <c r="A201" s="2" t="str">
        <f ca="1">input_384100!A$2</f>
        <v>384100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3">
        <f ca="1">IFERROR(VLOOKUP(B201,input_384100!L:R,7,FALSE),VLOOKUP(tables_384100!C201,input_384100!A:H,8,FALSE))</f>
        <v>85785</v>
      </c>
      <c r="P201" s="44">
        <f t="shared" ca="1" si="8"/>
        <v>1.1309523809523809E-3</v>
      </c>
      <c r="Q201" s="28">
        <v>1</v>
      </c>
      <c r="R201" s="28">
        <v>0</v>
      </c>
      <c r="S201" s="28">
        <v>0</v>
      </c>
      <c r="T201" s="28">
        <v>0</v>
      </c>
      <c r="U201" s="28">
        <v>0</v>
      </c>
      <c r="V201" s="28">
        <v>1</v>
      </c>
    </row>
    <row r="202" spans="1:22" ht="21" customHeight="1" x14ac:dyDescent="0.15">
      <c r="A202" s="2" t="str">
        <f ca="1">input_384100!A$2</f>
        <v>384100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3">
        <f ca="1">IFERROR(VLOOKUP(B202,input_384100!L:R,7,FALSE),VLOOKUP(tables_384100!C202,input_384100!A:H,8,FALSE))</f>
        <v>4515</v>
      </c>
      <c r="P202" s="44">
        <f t="shared" ca="1" si="8"/>
        <v>5.9523809523809524E-5</v>
      </c>
      <c r="Q202" s="28">
        <v>1</v>
      </c>
      <c r="R202" s="28">
        <v>0</v>
      </c>
      <c r="S202" s="28">
        <v>0</v>
      </c>
      <c r="T202" s="28">
        <v>0</v>
      </c>
      <c r="U202" s="28">
        <v>0</v>
      </c>
      <c r="V202" s="28">
        <v>1</v>
      </c>
    </row>
    <row r="203" spans="1:22" ht="21" customHeight="1" x14ac:dyDescent="0.15">
      <c r="A203" s="2" t="str">
        <f ca="1">input_384100!A$2</f>
        <v>384100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3">
        <f ca="1">IFERROR(VLOOKUP(B203,input_384100!L:R,7,FALSE),VLOOKUP(tables_384100!C203,input_384100!A:H,8,FALSE))</f>
        <v>0</v>
      </c>
      <c r="P203" s="44">
        <f t="shared" ca="1" si="8"/>
        <v>0</v>
      </c>
      <c r="Q203" s="28">
        <v>1</v>
      </c>
      <c r="R203" s="28">
        <v>0</v>
      </c>
      <c r="S203" s="28">
        <v>0</v>
      </c>
      <c r="T203" s="28">
        <v>0</v>
      </c>
      <c r="U203" s="28">
        <v>0</v>
      </c>
      <c r="V203" s="28">
        <v>1</v>
      </c>
    </row>
    <row r="204" spans="1:22" ht="21" customHeight="1" x14ac:dyDescent="0.15">
      <c r="A204" s="2" t="str">
        <f ca="1">input_384100!A$2</f>
        <v>384100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3">
        <f ca="1">IFERROR(VLOOKUP(B204,input_384100!L:R,7,FALSE),VLOOKUP(tables_384100!C204,input_384100!A:H,8,FALSE))</f>
        <v>798518.13462000003</v>
      </c>
      <c r="P204" s="44">
        <f t="shared" ca="1" si="8"/>
        <v>1.0527318127669672E-2</v>
      </c>
      <c r="Q204" s="28">
        <v>1</v>
      </c>
      <c r="R204" s="28">
        <v>0</v>
      </c>
      <c r="S204" s="28">
        <v>0</v>
      </c>
      <c r="T204" s="28">
        <v>0</v>
      </c>
      <c r="U204" s="28">
        <v>0</v>
      </c>
      <c r="V204" s="28">
        <v>1</v>
      </c>
    </row>
    <row r="205" spans="1:22" ht="21" customHeight="1" x14ac:dyDescent="0.15">
      <c r="A205" s="2" t="str">
        <f ca="1">input_384100!A$2</f>
        <v>384100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3">
        <f ca="1">IFERROR(VLOOKUP(B205,input_384100!L:R,7,FALSE),VLOOKUP(tables_384100!C205,input_384100!A:H,8,FALSE))</f>
        <v>34971.865380000003</v>
      </c>
      <c r="P205" s="44">
        <f t="shared" ca="1" si="8"/>
        <v>4.6105396535358332E-4</v>
      </c>
      <c r="Q205" s="28">
        <v>1</v>
      </c>
      <c r="R205" s="28">
        <v>0</v>
      </c>
      <c r="S205" s="28">
        <v>0</v>
      </c>
      <c r="T205" s="28">
        <v>0</v>
      </c>
      <c r="U205" s="28">
        <v>0</v>
      </c>
      <c r="V205" s="28">
        <v>1</v>
      </c>
    </row>
    <row r="206" spans="1:22" ht="21" customHeight="1" x14ac:dyDescent="0.15">
      <c r="A206" s="2" t="str">
        <f ca="1">input_384100!A$2</f>
        <v>384100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3">
        <f ca="1">IFERROR(VLOOKUP(B206,input_384100!L:R,7,FALSE),VLOOKUP(tables_384100!C206,input_384100!A:H,8,FALSE))</f>
        <v>85785</v>
      </c>
      <c r="P206" s="44">
        <f t="shared" ca="1" si="8"/>
        <v>1.1309523809523809E-3</v>
      </c>
      <c r="Q206" s="28">
        <v>1</v>
      </c>
      <c r="R206" s="28">
        <v>0</v>
      </c>
      <c r="S206" s="28">
        <v>0</v>
      </c>
      <c r="T206" s="28">
        <v>0</v>
      </c>
      <c r="U206" s="28">
        <v>0</v>
      </c>
      <c r="V206" s="28">
        <v>1</v>
      </c>
    </row>
    <row r="207" spans="1:22" ht="21" customHeight="1" x14ac:dyDescent="0.15">
      <c r="A207" s="2" t="str">
        <f ca="1">input_384100!A$2</f>
        <v>384100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3">
        <f ca="1">IFERROR(VLOOKUP(B207,input_384100!L:R,7,FALSE),VLOOKUP(tables_384100!C207,input_384100!A:H,8,FALSE))</f>
        <v>4515</v>
      </c>
      <c r="P207" s="44">
        <f t="shared" ref="P207:P270" ca="1" si="11">O207/SUM(O:O)</f>
        <v>5.9523809523809524E-5</v>
      </c>
      <c r="Q207" s="28">
        <v>1</v>
      </c>
      <c r="R207" s="28">
        <v>0</v>
      </c>
      <c r="S207" s="28">
        <v>0</v>
      </c>
      <c r="T207" s="28">
        <v>0</v>
      </c>
      <c r="U207" s="28">
        <v>0</v>
      </c>
      <c r="V207" s="28">
        <v>1</v>
      </c>
    </row>
    <row r="208" spans="1:22" ht="21" customHeight="1" x14ac:dyDescent="0.15">
      <c r="A208" s="2" t="str">
        <f ca="1">input_384100!A$2</f>
        <v>384100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3">
        <f ca="1">IFERROR(VLOOKUP(B208,input_384100!L:R,7,FALSE),VLOOKUP(tables_384100!C208,input_384100!A:H,8,FALSE))</f>
        <v>85785</v>
      </c>
      <c r="P208" s="44">
        <f t="shared" ca="1" si="11"/>
        <v>1.1309523809523809E-3</v>
      </c>
      <c r="Q208" s="28">
        <v>1</v>
      </c>
      <c r="R208" s="28">
        <v>0</v>
      </c>
      <c r="S208" s="28">
        <v>0</v>
      </c>
      <c r="T208" s="28">
        <v>0</v>
      </c>
      <c r="U208" s="28">
        <v>0</v>
      </c>
      <c r="V208" s="28">
        <v>1</v>
      </c>
    </row>
    <row r="209" spans="1:22" ht="21" customHeight="1" x14ac:dyDescent="0.15">
      <c r="A209" s="2" t="str">
        <f ca="1">input_384100!A$2</f>
        <v>384100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3">
        <f ca="1">IFERROR(VLOOKUP(B209,input_384100!L:R,7,FALSE),VLOOKUP(tables_384100!C209,input_384100!A:H,8,FALSE))</f>
        <v>4515</v>
      </c>
      <c r="P209" s="44">
        <f t="shared" ca="1" si="11"/>
        <v>5.9523809523809524E-5</v>
      </c>
      <c r="Q209" s="28">
        <v>1</v>
      </c>
      <c r="R209" s="28">
        <v>0</v>
      </c>
      <c r="S209" s="28">
        <v>0</v>
      </c>
      <c r="T209" s="28">
        <v>0</v>
      </c>
      <c r="U209" s="28">
        <v>0</v>
      </c>
      <c r="V209" s="28">
        <v>1</v>
      </c>
    </row>
    <row r="210" spans="1:22" ht="21" customHeight="1" x14ac:dyDescent="0.15">
      <c r="A210" s="2" t="str">
        <f ca="1">input_384100!A$2</f>
        <v>384100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3">
        <f ca="1">IFERROR(VLOOKUP(B210,input_384100!L:R,7,FALSE),VLOOKUP(tables_384100!C210,input_384100!A:H,8,FALSE))</f>
        <v>0</v>
      </c>
      <c r="P210" s="44">
        <f t="shared" ca="1" si="11"/>
        <v>0</v>
      </c>
      <c r="Q210" s="28">
        <v>1</v>
      </c>
      <c r="R210" s="28">
        <v>0</v>
      </c>
      <c r="S210" s="28">
        <v>0</v>
      </c>
      <c r="T210" s="28">
        <v>0</v>
      </c>
      <c r="U210" s="28">
        <v>0</v>
      </c>
      <c r="V210" s="28">
        <v>1</v>
      </c>
    </row>
    <row r="211" spans="1:22" ht="21" customHeight="1" x14ac:dyDescent="0.15">
      <c r="A211" s="2" t="str">
        <f ca="1">input_384100!A$2</f>
        <v>384100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3">
        <f ca="1">IFERROR(VLOOKUP(B211,input_384100!L:R,7,FALSE),VLOOKUP(tables_384100!C211,input_384100!A:H,8,FALSE))</f>
        <v>798518.13462000003</v>
      </c>
      <c r="P211" s="44">
        <f t="shared" ca="1" si="11"/>
        <v>1.0527318127669672E-2</v>
      </c>
      <c r="Q211" s="28">
        <v>1</v>
      </c>
      <c r="R211" s="28">
        <v>0</v>
      </c>
      <c r="S211" s="28">
        <v>0</v>
      </c>
      <c r="T211" s="28">
        <v>0</v>
      </c>
      <c r="U211" s="28">
        <v>0</v>
      </c>
      <c r="V211" s="28">
        <v>1</v>
      </c>
    </row>
    <row r="212" spans="1:22" ht="21" customHeight="1" x14ac:dyDescent="0.15">
      <c r="A212" s="2" t="str">
        <f ca="1">input_384100!A$2</f>
        <v>384100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3">
        <f ca="1">IFERROR(VLOOKUP(B212,input_384100!L:R,7,FALSE),VLOOKUP(tables_384100!C212,input_384100!A:H,8,FALSE))</f>
        <v>34971.865380000003</v>
      </c>
      <c r="P212" s="44">
        <f t="shared" ca="1" si="11"/>
        <v>4.6105396535358332E-4</v>
      </c>
      <c r="Q212" s="28">
        <v>1</v>
      </c>
      <c r="R212" s="28">
        <v>0</v>
      </c>
      <c r="S212" s="28">
        <v>0</v>
      </c>
      <c r="T212" s="28">
        <v>0</v>
      </c>
      <c r="U212" s="28">
        <v>0</v>
      </c>
      <c r="V212" s="28">
        <v>1</v>
      </c>
    </row>
    <row r="213" spans="1:22" ht="21" customHeight="1" x14ac:dyDescent="0.15">
      <c r="A213" s="2" t="str">
        <f ca="1">input_384100!A$2</f>
        <v>384100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3">
        <f ca="1">IFERROR(VLOOKUP(B213,input_384100!L:R,7,FALSE),VLOOKUP(tables_384100!C213,input_384100!A:H,8,FALSE))</f>
        <v>85785</v>
      </c>
      <c r="P213" s="44">
        <f t="shared" ca="1" si="11"/>
        <v>1.1309523809523809E-3</v>
      </c>
      <c r="Q213" s="28">
        <v>1</v>
      </c>
      <c r="R213" s="28">
        <v>0</v>
      </c>
      <c r="S213" s="28">
        <v>0</v>
      </c>
      <c r="T213" s="28">
        <v>0</v>
      </c>
      <c r="U213" s="28">
        <v>0</v>
      </c>
      <c r="V213" s="28">
        <v>1</v>
      </c>
    </row>
    <row r="214" spans="1:22" ht="21" customHeight="1" x14ac:dyDescent="0.15">
      <c r="A214" s="2" t="str">
        <f ca="1">input_384100!A$2</f>
        <v>384100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3">
        <f ca="1">IFERROR(VLOOKUP(B214,input_384100!L:R,7,FALSE),VLOOKUP(tables_384100!C214,input_384100!A:H,8,FALSE))</f>
        <v>4515</v>
      </c>
      <c r="P214" s="44">
        <f t="shared" ca="1" si="11"/>
        <v>5.9523809523809524E-5</v>
      </c>
      <c r="Q214" s="28">
        <v>1</v>
      </c>
      <c r="R214" s="28">
        <v>0</v>
      </c>
      <c r="S214" s="28">
        <v>0</v>
      </c>
      <c r="T214" s="28">
        <v>0</v>
      </c>
      <c r="U214" s="28">
        <v>0</v>
      </c>
      <c r="V214" s="28">
        <v>1</v>
      </c>
    </row>
    <row r="215" spans="1:22" ht="21" customHeight="1" x14ac:dyDescent="0.15">
      <c r="A215" s="2" t="str">
        <f ca="1">input_384100!A$2</f>
        <v>384100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3">
        <f ca="1">IFERROR(VLOOKUP(B215,input_384100!L:R,7,FALSE),VLOOKUP(tables_384100!C215,input_384100!A:H,8,FALSE))</f>
        <v>85785</v>
      </c>
      <c r="P215" s="44">
        <f t="shared" ca="1" si="11"/>
        <v>1.1309523809523809E-3</v>
      </c>
      <c r="Q215" s="28">
        <v>1</v>
      </c>
      <c r="R215" s="28">
        <v>0</v>
      </c>
      <c r="S215" s="28">
        <v>0</v>
      </c>
      <c r="T215" s="28">
        <v>0</v>
      </c>
      <c r="U215" s="28">
        <v>0</v>
      </c>
      <c r="V215" s="28">
        <v>1</v>
      </c>
    </row>
    <row r="216" spans="1:22" ht="21" customHeight="1" x14ac:dyDescent="0.15">
      <c r="A216" s="2" t="str">
        <f ca="1">input_384100!A$2</f>
        <v>384100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3">
        <f ca="1">IFERROR(VLOOKUP(B216,input_384100!L:R,7,FALSE),VLOOKUP(tables_384100!C216,input_384100!A:H,8,FALSE))</f>
        <v>4515</v>
      </c>
      <c r="P216" s="44">
        <f t="shared" ca="1" si="11"/>
        <v>5.9523809523809524E-5</v>
      </c>
      <c r="Q216" s="28">
        <v>1</v>
      </c>
      <c r="R216" s="28">
        <v>0</v>
      </c>
      <c r="S216" s="28">
        <v>0</v>
      </c>
      <c r="T216" s="28">
        <v>0</v>
      </c>
      <c r="U216" s="28">
        <v>0</v>
      </c>
      <c r="V216" s="28">
        <v>1</v>
      </c>
    </row>
    <row r="217" spans="1:22" ht="21" customHeight="1" x14ac:dyDescent="0.15">
      <c r="A217" s="2" t="str">
        <f ca="1">input_384100!A$2</f>
        <v>384100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3">
        <f ca="1">IFERROR(VLOOKUP(B217,input_384100!L:R,7,FALSE),VLOOKUP(tables_384100!C217,input_384100!A:H,8,FALSE))</f>
        <v>0</v>
      </c>
      <c r="P217" s="44">
        <f t="shared" ca="1" si="11"/>
        <v>0</v>
      </c>
      <c r="Q217" s="28">
        <v>1</v>
      </c>
      <c r="R217" s="28">
        <v>0</v>
      </c>
      <c r="S217" s="28">
        <v>0</v>
      </c>
      <c r="T217" s="28">
        <v>0</v>
      </c>
      <c r="U217" s="28">
        <v>0</v>
      </c>
      <c r="V217" s="28">
        <v>1</v>
      </c>
    </row>
    <row r="218" spans="1:22" ht="21" customHeight="1" x14ac:dyDescent="0.15">
      <c r="A218" s="2" t="str">
        <f ca="1">input_384100!A$2</f>
        <v>384100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3">
        <f ca="1">IFERROR(VLOOKUP(B218,input_384100!L:R,7,FALSE),VLOOKUP(tables_384100!C218,input_384100!A:H,8,FALSE))</f>
        <v>798518.13462000003</v>
      </c>
      <c r="P218" s="44">
        <f t="shared" ca="1" si="11"/>
        <v>1.0527318127669672E-2</v>
      </c>
      <c r="Q218" s="28">
        <v>1</v>
      </c>
      <c r="R218" s="28">
        <v>0</v>
      </c>
      <c r="S218" s="28">
        <v>0</v>
      </c>
      <c r="T218" s="28">
        <v>0</v>
      </c>
      <c r="U218" s="28">
        <v>0</v>
      </c>
      <c r="V218" s="28">
        <v>1</v>
      </c>
    </row>
    <row r="219" spans="1:22" ht="21" customHeight="1" x14ac:dyDescent="0.15">
      <c r="A219" s="2" t="str">
        <f ca="1">input_384100!A$2</f>
        <v>384100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3">
        <f ca="1">IFERROR(VLOOKUP(B219,input_384100!L:R,7,FALSE),VLOOKUP(tables_384100!C219,input_384100!A:H,8,FALSE))</f>
        <v>34971.865380000003</v>
      </c>
      <c r="P219" s="44">
        <f t="shared" ca="1" si="11"/>
        <v>4.6105396535358332E-4</v>
      </c>
      <c r="Q219" s="28">
        <v>1</v>
      </c>
      <c r="R219" s="28">
        <v>0</v>
      </c>
      <c r="S219" s="28">
        <v>0</v>
      </c>
      <c r="T219" s="28">
        <v>0</v>
      </c>
      <c r="U219" s="28">
        <v>0</v>
      </c>
      <c r="V219" s="28">
        <v>1</v>
      </c>
    </row>
    <row r="220" spans="1:22" ht="21" customHeight="1" x14ac:dyDescent="0.15">
      <c r="A220" s="2" t="str">
        <f ca="1">input_384100!A$2</f>
        <v>384100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3">
        <f ca="1">IFERROR(VLOOKUP(B220,input_384100!L:R,7,FALSE),VLOOKUP(tables_384100!C220,input_384100!A:H,8,FALSE))</f>
        <v>0</v>
      </c>
      <c r="P220" s="44">
        <f t="shared" ca="1" si="11"/>
        <v>0</v>
      </c>
      <c r="Q220" s="28">
        <v>1</v>
      </c>
      <c r="R220" s="28">
        <v>0</v>
      </c>
      <c r="S220" s="28">
        <v>0</v>
      </c>
      <c r="T220" s="28">
        <v>0</v>
      </c>
      <c r="U220" s="28">
        <v>0</v>
      </c>
      <c r="V220" s="28">
        <v>1</v>
      </c>
    </row>
    <row r="221" spans="1:22" ht="21" customHeight="1" x14ac:dyDescent="0.15">
      <c r="A221" s="2" t="str">
        <f ca="1">input_384100!A$2</f>
        <v>384100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3">
        <f ca="1">IFERROR(VLOOKUP(B221,input_384100!L:R,7,FALSE),VLOOKUP(tables_384100!C221,input_384100!A:H,8,FALSE))</f>
        <v>798518.13462000003</v>
      </c>
      <c r="P221" s="44">
        <f t="shared" ca="1" si="11"/>
        <v>1.0527318127669672E-2</v>
      </c>
      <c r="Q221" s="28">
        <v>1</v>
      </c>
      <c r="R221" s="28">
        <v>0</v>
      </c>
      <c r="S221" s="28">
        <v>0</v>
      </c>
      <c r="T221" s="28">
        <v>0</v>
      </c>
      <c r="U221" s="28">
        <v>0</v>
      </c>
      <c r="V221" s="28">
        <v>1</v>
      </c>
    </row>
    <row r="222" spans="1:22" ht="21" customHeight="1" x14ac:dyDescent="0.15">
      <c r="A222" s="2" t="str">
        <f ca="1">input_384100!A$2</f>
        <v>384100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3">
        <f ca="1">IFERROR(VLOOKUP(B222,input_384100!L:R,7,FALSE),VLOOKUP(tables_384100!C222,input_384100!A:H,8,FALSE))</f>
        <v>34971.865380000003</v>
      </c>
      <c r="P222" s="44">
        <f t="shared" ca="1" si="11"/>
        <v>4.6105396535358332E-4</v>
      </c>
      <c r="Q222" s="28">
        <v>1</v>
      </c>
      <c r="R222" s="28">
        <v>0</v>
      </c>
      <c r="S222" s="28">
        <v>0</v>
      </c>
      <c r="T222" s="28">
        <v>0</v>
      </c>
      <c r="U222" s="28">
        <v>0</v>
      </c>
      <c r="V222" s="28">
        <v>1</v>
      </c>
    </row>
    <row r="223" spans="1:22" ht="21" customHeight="1" x14ac:dyDescent="0.15">
      <c r="A223" s="2" t="str">
        <f ca="1">input_384100!A$2</f>
        <v>384100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3">
        <f ca="1">IFERROR(VLOOKUP(B223,input_384100!L:R,7,FALSE),VLOOKUP(tables_384100!C223,input_384100!A:H,8,FALSE))</f>
        <v>85785</v>
      </c>
      <c r="P223" s="44">
        <f t="shared" ca="1" si="11"/>
        <v>1.1309523809523809E-3</v>
      </c>
      <c r="Q223" s="28">
        <v>1</v>
      </c>
      <c r="R223" s="28">
        <v>0</v>
      </c>
      <c r="S223" s="28">
        <v>0</v>
      </c>
      <c r="T223" s="28">
        <v>0</v>
      </c>
      <c r="U223" s="28">
        <v>0</v>
      </c>
      <c r="V223" s="28">
        <v>1</v>
      </c>
    </row>
    <row r="224" spans="1:22" ht="21" customHeight="1" x14ac:dyDescent="0.15">
      <c r="A224" s="2" t="str">
        <f ca="1">input_384100!A$2</f>
        <v>384100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3">
        <f ca="1">IFERROR(VLOOKUP(B224,input_384100!L:R,7,FALSE),VLOOKUP(tables_384100!C224,input_384100!A:H,8,FALSE))</f>
        <v>4515</v>
      </c>
      <c r="P224" s="44">
        <f t="shared" ca="1" si="11"/>
        <v>5.9523809523809524E-5</v>
      </c>
      <c r="Q224" s="28">
        <v>1</v>
      </c>
      <c r="R224" s="28">
        <v>0</v>
      </c>
      <c r="S224" s="28">
        <v>0</v>
      </c>
      <c r="T224" s="28">
        <v>0</v>
      </c>
      <c r="U224" s="28">
        <v>0</v>
      </c>
      <c r="V224" s="28">
        <v>1</v>
      </c>
    </row>
    <row r="225" spans="1:22" ht="21" customHeight="1" x14ac:dyDescent="0.15">
      <c r="A225" s="2" t="str">
        <f ca="1">input_384100!A$2</f>
        <v>384100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3">
        <f ca="1">IFERROR(VLOOKUP(B225,input_384100!L:R,7,FALSE),VLOOKUP(tables_384100!C225,input_384100!A:H,8,FALSE))</f>
        <v>0</v>
      </c>
      <c r="P225" s="44">
        <f t="shared" ca="1" si="11"/>
        <v>0</v>
      </c>
      <c r="Q225" s="28">
        <v>1</v>
      </c>
      <c r="R225" s="28">
        <v>0</v>
      </c>
      <c r="S225" s="28">
        <v>0</v>
      </c>
      <c r="T225" s="28">
        <v>0</v>
      </c>
      <c r="U225" s="28">
        <v>0</v>
      </c>
      <c r="V225" s="28">
        <v>1</v>
      </c>
    </row>
    <row r="226" spans="1:22" ht="21" customHeight="1" x14ac:dyDescent="0.15">
      <c r="A226" s="2" t="str">
        <f ca="1">input_384100!A$2</f>
        <v>384100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3">
        <f ca="1">IFERROR(VLOOKUP(B226,input_384100!L:R,7,FALSE),VLOOKUP(tables_384100!C226,input_384100!A:H,8,FALSE))</f>
        <v>798518.13462000003</v>
      </c>
      <c r="P226" s="44">
        <f t="shared" ca="1" si="11"/>
        <v>1.0527318127669672E-2</v>
      </c>
      <c r="Q226" s="28">
        <v>1</v>
      </c>
      <c r="R226" s="28">
        <v>0</v>
      </c>
      <c r="S226" s="28">
        <v>0</v>
      </c>
      <c r="T226" s="28">
        <v>0</v>
      </c>
      <c r="U226" s="28">
        <v>0</v>
      </c>
      <c r="V226" s="28">
        <v>1</v>
      </c>
    </row>
    <row r="227" spans="1:22" ht="21" customHeight="1" x14ac:dyDescent="0.15">
      <c r="A227" s="2" t="str">
        <f ca="1">input_384100!A$2</f>
        <v>384100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3">
        <f ca="1">IFERROR(VLOOKUP(B227,input_384100!L:R,7,FALSE),VLOOKUP(tables_384100!C227,input_384100!A:H,8,FALSE))</f>
        <v>34971.865380000003</v>
      </c>
      <c r="P227" s="44">
        <f t="shared" ca="1" si="11"/>
        <v>4.6105396535358332E-4</v>
      </c>
      <c r="Q227" s="28">
        <v>1</v>
      </c>
      <c r="R227" s="28">
        <v>0</v>
      </c>
      <c r="S227" s="28">
        <v>0</v>
      </c>
      <c r="T227" s="28">
        <v>0</v>
      </c>
      <c r="U227" s="28">
        <v>0</v>
      </c>
      <c r="V227" s="28">
        <v>1</v>
      </c>
    </row>
    <row r="228" spans="1:22" ht="21" customHeight="1" x14ac:dyDescent="0.15">
      <c r="A228" s="2" t="str">
        <f ca="1">input_384100!A$2</f>
        <v>384100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3">
        <f ca="1">IFERROR(VLOOKUP(B228,input_384100!L:R,7,FALSE),VLOOKUP(tables_384100!C228,input_384100!A:H,8,FALSE))</f>
        <v>0</v>
      </c>
      <c r="P228" s="44">
        <f t="shared" ca="1" si="11"/>
        <v>0</v>
      </c>
      <c r="Q228" s="28">
        <v>1</v>
      </c>
      <c r="R228" s="28">
        <v>0</v>
      </c>
      <c r="S228" s="28">
        <v>0</v>
      </c>
      <c r="T228" s="28">
        <v>0</v>
      </c>
      <c r="U228" s="28">
        <v>0</v>
      </c>
      <c r="V228" s="28">
        <v>1</v>
      </c>
    </row>
    <row r="229" spans="1:22" ht="21" customHeight="1" x14ac:dyDescent="0.15">
      <c r="A229" s="2" t="str">
        <f ca="1">input_384100!A$2</f>
        <v>384100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3">
        <f ca="1">IFERROR(VLOOKUP(B229,input_384100!L:R,7,FALSE),VLOOKUP(tables_384100!C229,input_384100!A:H,8,FALSE))</f>
        <v>798518.13462000003</v>
      </c>
      <c r="P229" s="44">
        <f t="shared" ca="1" si="11"/>
        <v>1.0527318127669672E-2</v>
      </c>
      <c r="Q229" s="28">
        <v>1</v>
      </c>
      <c r="R229" s="28">
        <v>0</v>
      </c>
      <c r="S229" s="28">
        <v>0</v>
      </c>
      <c r="T229" s="28">
        <v>0</v>
      </c>
      <c r="U229" s="28">
        <v>0</v>
      </c>
      <c r="V229" s="28">
        <v>1</v>
      </c>
    </row>
    <row r="230" spans="1:22" ht="21" customHeight="1" x14ac:dyDescent="0.15">
      <c r="A230" s="2" t="str">
        <f ca="1">input_384100!A$2</f>
        <v>384100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3">
        <f ca="1">IFERROR(VLOOKUP(B230,input_384100!L:R,7,FALSE),VLOOKUP(tables_384100!C230,input_384100!A:H,8,FALSE))</f>
        <v>34971.865380000003</v>
      </c>
      <c r="P230" s="44">
        <f t="shared" ca="1" si="11"/>
        <v>4.6105396535358332E-4</v>
      </c>
      <c r="Q230" s="28">
        <v>1</v>
      </c>
      <c r="R230" s="28">
        <v>0</v>
      </c>
      <c r="S230" s="28">
        <v>0</v>
      </c>
      <c r="T230" s="28">
        <v>0</v>
      </c>
      <c r="U230" s="28">
        <v>0</v>
      </c>
      <c r="V230" s="28">
        <v>1</v>
      </c>
    </row>
    <row r="231" spans="1:22" ht="21" customHeight="1" x14ac:dyDescent="0.15">
      <c r="A231" s="2" t="str">
        <f ca="1">input_384100!A$2</f>
        <v>384100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3">
        <f ca="1">IFERROR(VLOOKUP(B231,input_384100!L:R,7,FALSE),VLOOKUP(tables_384100!C231,input_384100!A:H,8,FALSE))</f>
        <v>85785</v>
      </c>
      <c r="P231" s="44">
        <f t="shared" ca="1" si="11"/>
        <v>1.1309523809523809E-3</v>
      </c>
      <c r="Q231" s="28">
        <v>1</v>
      </c>
      <c r="R231" s="28">
        <v>0</v>
      </c>
      <c r="S231" s="28">
        <v>0</v>
      </c>
      <c r="T231" s="28">
        <v>0</v>
      </c>
      <c r="U231" s="28">
        <v>0</v>
      </c>
      <c r="V231" s="28">
        <v>1</v>
      </c>
    </row>
    <row r="232" spans="1:22" ht="21" customHeight="1" x14ac:dyDescent="0.15">
      <c r="A232" s="2" t="str">
        <f ca="1">input_384100!A$2</f>
        <v>384100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3">
        <f ca="1">IFERROR(VLOOKUP(B232,input_384100!L:R,7,FALSE),VLOOKUP(tables_384100!C232,input_384100!A:H,8,FALSE))</f>
        <v>4515</v>
      </c>
      <c r="P232" s="44">
        <f t="shared" ca="1" si="11"/>
        <v>5.9523809523809524E-5</v>
      </c>
      <c r="Q232" s="28">
        <v>1</v>
      </c>
      <c r="R232" s="28">
        <v>0</v>
      </c>
      <c r="S232" s="28">
        <v>0</v>
      </c>
      <c r="T232" s="28">
        <v>0</v>
      </c>
      <c r="U232" s="28">
        <v>0</v>
      </c>
      <c r="V232" s="28">
        <v>1</v>
      </c>
    </row>
    <row r="233" spans="1:22" ht="21" customHeight="1" x14ac:dyDescent="0.15">
      <c r="A233" s="2" t="str">
        <f ca="1">input_384100!A$2</f>
        <v>384100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3">
        <f ca="1">IFERROR(VLOOKUP(B233,input_384100!L:R,7,FALSE),VLOOKUP(tables_384100!C233,input_384100!A:H,8,FALSE))</f>
        <v>0</v>
      </c>
      <c r="P233" s="44">
        <f t="shared" ca="1" si="11"/>
        <v>0</v>
      </c>
      <c r="Q233" s="28">
        <v>1</v>
      </c>
      <c r="R233" s="28">
        <v>0</v>
      </c>
      <c r="S233" s="28">
        <v>0</v>
      </c>
      <c r="T233" s="28">
        <v>0</v>
      </c>
      <c r="U233" s="28">
        <v>0</v>
      </c>
      <c r="V233" s="28">
        <v>1</v>
      </c>
    </row>
    <row r="234" spans="1:22" ht="21" customHeight="1" x14ac:dyDescent="0.15">
      <c r="A234" s="2" t="str">
        <f ca="1">input_384100!A$2</f>
        <v>384100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3">
        <f ca="1">IFERROR(VLOOKUP(B234,input_384100!L:R,7,FALSE),VLOOKUP(tables_384100!C234,input_384100!A:H,8,FALSE))</f>
        <v>798518.13462000003</v>
      </c>
      <c r="P234" s="44">
        <f t="shared" ca="1" si="11"/>
        <v>1.0527318127669672E-2</v>
      </c>
      <c r="Q234" s="28">
        <v>1</v>
      </c>
      <c r="R234" s="28">
        <v>0</v>
      </c>
      <c r="S234" s="28">
        <v>0</v>
      </c>
      <c r="T234" s="28">
        <v>0</v>
      </c>
      <c r="U234" s="28">
        <v>0</v>
      </c>
      <c r="V234" s="28">
        <v>1</v>
      </c>
    </row>
    <row r="235" spans="1:22" ht="21" customHeight="1" x14ac:dyDescent="0.15">
      <c r="A235" s="2" t="str">
        <f ca="1">input_384100!A$2</f>
        <v>384100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3">
        <f ca="1">IFERROR(VLOOKUP(B235,input_384100!L:R,7,FALSE),VLOOKUP(tables_384100!C235,input_384100!A:H,8,FALSE))</f>
        <v>34971.865380000003</v>
      </c>
      <c r="P235" s="44">
        <f t="shared" ca="1" si="11"/>
        <v>4.6105396535358332E-4</v>
      </c>
      <c r="Q235" s="28">
        <v>1</v>
      </c>
      <c r="R235" s="28">
        <v>0</v>
      </c>
      <c r="S235" s="28">
        <v>0</v>
      </c>
      <c r="T235" s="28">
        <v>0</v>
      </c>
      <c r="U235" s="28">
        <v>0</v>
      </c>
      <c r="V235" s="28">
        <v>1</v>
      </c>
    </row>
    <row r="236" spans="1:22" ht="21" customHeight="1" x14ac:dyDescent="0.15">
      <c r="A236" s="2" t="str">
        <f ca="1">input_384100!A$2</f>
        <v>384100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3">
        <f ca="1">IFERROR(VLOOKUP(B236,input_384100!L:R,7,FALSE),VLOOKUP(tables_384100!C236,input_384100!A:H,8,FALSE))</f>
        <v>85785</v>
      </c>
      <c r="P236" s="44">
        <f t="shared" ca="1" si="11"/>
        <v>1.1309523809523809E-3</v>
      </c>
      <c r="Q236" s="28">
        <v>1</v>
      </c>
      <c r="R236" s="28">
        <v>0</v>
      </c>
      <c r="S236" s="28">
        <v>0</v>
      </c>
      <c r="T236" s="28">
        <v>0</v>
      </c>
      <c r="U236" s="28">
        <v>0</v>
      </c>
      <c r="V236" s="28">
        <v>1</v>
      </c>
    </row>
    <row r="237" spans="1:22" ht="21" customHeight="1" x14ac:dyDescent="0.15">
      <c r="A237" s="2" t="str">
        <f ca="1">input_384100!A$2</f>
        <v>384100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3">
        <f ca="1">IFERROR(VLOOKUP(B237,input_384100!L:R,7,FALSE),VLOOKUP(tables_384100!C237,input_384100!A:H,8,FALSE))</f>
        <v>4515</v>
      </c>
      <c r="P237" s="44">
        <f t="shared" ca="1" si="11"/>
        <v>5.9523809523809524E-5</v>
      </c>
      <c r="Q237" s="28">
        <v>1</v>
      </c>
      <c r="R237" s="28">
        <v>0</v>
      </c>
      <c r="S237" s="28">
        <v>0</v>
      </c>
      <c r="T237" s="28">
        <v>0</v>
      </c>
      <c r="U237" s="28">
        <v>0</v>
      </c>
      <c r="V237" s="28">
        <v>1</v>
      </c>
    </row>
    <row r="238" spans="1:22" ht="21" customHeight="1" x14ac:dyDescent="0.15">
      <c r="A238" s="2" t="str">
        <f ca="1">input_384100!A$2</f>
        <v>384100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3">
        <f ca="1">IFERROR(VLOOKUP(B238,input_384100!L:R,7,FALSE),VLOOKUP(tables_384100!C238,input_384100!A:H,8,FALSE))</f>
        <v>85785</v>
      </c>
      <c r="P238" s="44">
        <f t="shared" ca="1" si="11"/>
        <v>1.1309523809523809E-3</v>
      </c>
      <c r="Q238" s="28">
        <v>1</v>
      </c>
      <c r="R238" s="28">
        <v>0</v>
      </c>
      <c r="S238" s="28">
        <v>0</v>
      </c>
      <c r="T238" s="28">
        <v>0</v>
      </c>
      <c r="U238" s="28">
        <v>0</v>
      </c>
      <c r="V238" s="28">
        <v>1</v>
      </c>
    </row>
    <row r="239" spans="1:22" ht="21" customHeight="1" x14ac:dyDescent="0.15">
      <c r="A239" s="2" t="str">
        <f ca="1">input_384100!A$2</f>
        <v>384100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3">
        <f ca="1">IFERROR(VLOOKUP(B239,input_384100!L:R,7,FALSE),VLOOKUP(tables_384100!C239,input_384100!A:H,8,FALSE))</f>
        <v>4515</v>
      </c>
      <c r="P239" s="44">
        <f t="shared" ca="1" si="11"/>
        <v>5.9523809523809524E-5</v>
      </c>
      <c r="Q239" s="28">
        <v>1</v>
      </c>
      <c r="R239" s="28">
        <v>0</v>
      </c>
      <c r="S239" s="28">
        <v>0</v>
      </c>
      <c r="T239" s="28">
        <v>0</v>
      </c>
      <c r="U239" s="28">
        <v>0</v>
      </c>
      <c r="V239" s="28">
        <v>1</v>
      </c>
    </row>
    <row r="240" spans="1:22" ht="21" customHeight="1" x14ac:dyDescent="0.15">
      <c r="A240" s="2" t="str">
        <f ca="1">input_384100!A$2</f>
        <v>384100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3">
        <f ca="1">IFERROR(VLOOKUP(B240,input_384100!L:R,7,FALSE),VLOOKUP(tables_384100!C240,input_384100!A:H,8,FALSE))</f>
        <v>0</v>
      </c>
      <c r="P240" s="44">
        <f t="shared" ca="1" si="11"/>
        <v>0</v>
      </c>
      <c r="Q240" s="28">
        <v>1</v>
      </c>
      <c r="R240" s="28">
        <v>0</v>
      </c>
      <c r="S240" s="28">
        <v>0</v>
      </c>
      <c r="T240" s="28">
        <v>0</v>
      </c>
      <c r="U240" s="28">
        <v>0</v>
      </c>
      <c r="V240" s="28">
        <v>1</v>
      </c>
    </row>
    <row r="241" spans="1:22" ht="21" customHeight="1" x14ac:dyDescent="0.15">
      <c r="A241" s="2" t="str">
        <f ca="1">input_384100!A$2</f>
        <v>384100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3">
        <f ca="1">IFERROR(VLOOKUP(B241,input_384100!L:R,7,FALSE),VLOOKUP(tables_384100!C241,input_384100!A:H,8,FALSE))</f>
        <v>798518.13462000003</v>
      </c>
      <c r="P241" s="44">
        <f t="shared" ca="1" si="11"/>
        <v>1.0527318127669672E-2</v>
      </c>
      <c r="Q241" s="28">
        <v>1</v>
      </c>
      <c r="R241" s="28">
        <v>0</v>
      </c>
      <c r="S241" s="28">
        <v>0</v>
      </c>
      <c r="T241" s="28">
        <v>0</v>
      </c>
      <c r="U241" s="28">
        <v>0</v>
      </c>
      <c r="V241" s="28">
        <v>1</v>
      </c>
    </row>
    <row r="242" spans="1:22" ht="21" customHeight="1" x14ac:dyDescent="0.15">
      <c r="A242" s="2" t="str">
        <f ca="1">input_384100!A$2</f>
        <v>384100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3">
        <f ca="1">IFERROR(VLOOKUP(B242,input_384100!L:R,7,FALSE),VLOOKUP(tables_384100!C242,input_384100!A:H,8,FALSE))</f>
        <v>34971.865380000003</v>
      </c>
      <c r="P242" s="44">
        <f t="shared" ca="1" si="11"/>
        <v>4.6105396535358332E-4</v>
      </c>
      <c r="Q242" s="28">
        <v>1</v>
      </c>
      <c r="R242" s="28">
        <v>0</v>
      </c>
      <c r="S242" s="28">
        <v>0</v>
      </c>
      <c r="T242" s="28">
        <v>0</v>
      </c>
      <c r="U242" s="28">
        <v>0</v>
      </c>
      <c r="V242" s="28">
        <v>1</v>
      </c>
    </row>
    <row r="243" spans="1:22" ht="21" customHeight="1" x14ac:dyDescent="0.15">
      <c r="A243" s="2" t="str">
        <f ca="1">input_384100!A$2</f>
        <v>384100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3">
        <f ca="1">IFERROR(VLOOKUP(B243,input_384100!L:R,7,FALSE),VLOOKUP(tables_384100!C243,input_384100!A:H,8,FALSE))</f>
        <v>0</v>
      </c>
      <c r="P243" s="44">
        <f t="shared" ca="1" si="11"/>
        <v>0</v>
      </c>
      <c r="Q243" s="28">
        <v>1</v>
      </c>
      <c r="R243" s="28">
        <v>0</v>
      </c>
      <c r="S243" s="28">
        <v>0</v>
      </c>
      <c r="T243" s="28">
        <v>0</v>
      </c>
      <c r="U243" s="28">
        <v>0</v>
      </c>
      <c r="V243" s="28">
        <v>1</v>
      </c>
    </row>
    <row r="244" spans="1:22" ht="21" customHeight="1" x14ac:dyDescent="0.15">
      <c r="A244" s="2" t="str">
        <f ca="1">input_384100!A$2</f>
        <v>384100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3">
        <f ca="1">IFERROR(VLOOKUP(B244,input_384100!L:R,7,FALSE),VLOOKUP(tables_384100!C244,input_384100!A:H,8,FALSE))</f>
        <v>798518.13462000003</v>
      </c>
      <c r="P244" s="44">
        <f t="shared" ca="1" si="11"/>
        <v>1.0527318127669672E-2</v>
      </c>
      <c r="Q244" s="28">
        <v>1</v>
      </c>
      <c r="R244" s="28">
        <v>0</v>
      </c>
      <c r="S244" s="28">
        <v>0</v>
      </c>
      <c r="T244" s="28">
        <v>0</v>
      </c>
      <c r="U244" s="28">
        <v>0</v>
      </c>
      <c r="V244" s="28">
        <v>1</v>
      </c>
    </row>
    <row r="245" spans="1:22" ht="21" customHeight="1" x14ac:dyDescent="0.15">
      <c r="A245" s="2" t="str">
        <f ca="1">input_384100!A$2</f>
        <v>384100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3">
        <f ca="1">IFERROR(VLOOKUP(B245,input_384100!L:R,7,FALSE),VLOOKUP(tables_384100!C245,input_384100!A:H,8,FALSE))</f>
        <v>34971.865380000003</v>
      </c>
      <c r="P245" s="44">
        <f t="shared" ca="1" si="11"/>
        <v>4.6105396535358332E-4</v>
      </c>
      <c r="Q245" s="28">
        <v>1</v>
      </c>
      <c r="R245" s="28">
        <v>0</v>
      </c>
      <c r="S245" s="28">
        <v>0</v>
      </c>
      <c r="T245" s="28">
        <v>0</v>
      </c>
      <c r="U245" s="28">
        <v>0</v>
      </c>
      <c r="V245" s="28">
        <v>1</v>
      </c>
    </row>
    <row r="246" spans="1:22" ht="21" customHeight="1" x14ac:dyDescent="0.15">
      <c r="A246" s="2" t="str">
        <f ca="1">input_384100!A$2</f>
        <v>384100</v>
      </c>
      <c r="B246" s="58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3">
        <f ca="1">IFERROR(VLOOKUP(B246,input_384100!L:R,7,FALSE),VLOOKUP(tables_384100!C246,input_384100!A:H,8,FALSE))</f>
        <v>0</v>
      </c>
      <c r="P246" s="44">
        <f t="shared" ca="1" si="11"/>
        <v>0</v>
      </c>
      <c r="Q246" s="28">
        <v>1</v>
      </c>
      <c r="R246" s="28">
        <v>0</v>
      </c>
      <c r="S246" s="28">
        <v>0</v>
      </c>
      <c r="T246" s="28">
        <v>0</v>
      </c>
      <c r="U246" s="28">
        <v>0</v>
      </c>
      <c r="V246" s="28">
        <v>1</v>
      </c>
    </row>
    <row r="247" spans="1:22" ht="21" customHeight="1" x14ac:dyDescent="0.15">
      <c r="A247" s="2" t="str">
        <f ca="1">input_384100!A$2</f>
        <v>384100</v>
      </c>
      <c r="B247" s="58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3">
        <f ca="1">IFERROR(VLOOKUP(B247,input_384100!L:R,7,FALSE),VLOOKUP(tables_384100!C247,input_384100!A:H,8,FALSE))</f>
        <v>798518.13462000003</v>
      </c>
      <c r="P247" s="44">
        <f t="shared" ca="1" si="11"/>
        <v>1.0527318127669672E-2</v>
      </c>
      <c r="Q247" s="28">
        <v>1</v>
      </c>
      <c r="R247" s="28">
        <v>0</v>
      </c>
      <c r="S247" s="28">
        <v>0</v>
      </c>
      <c r="T247" s="28">
        <v>0</v>
      </c>
      <c r="U247" s="28">
        <v>0</v>
      </c>
      <c r="V247" s="28">
        <v>1</v>
      </c>
    </row>
    <row r="248" spans="1:22" ht="21" customHeight="1" x14ac:dyDescent="0.15">
      <c r="A248" s="2" t="str">
        <f ca="1">input_384100!A$2</f>
        <v>384100</v>
      </c>
      <c r="B248" s="58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3">
        <f ca="1">IFERROR(VLOOKUP(B248,input_384100!L:R,7,FALSE),VLOOKUP(tables_384100!C248,input_384100!A:H,8,FALSE))</f>
        <v>34971.865380000003</v>
      </c>
      <c r="P248" s="44">
        <f t="shared" ca="1" si="11"/>
        <v>4.6105396535358332E-4</v>
      </c>
      <c r="Q248" s="28">
        <v>1</v>
      </c>
      <c r="R248" s="28">
        <v>0</v>
      </c>
      <c r="S248" s="28">
        <v>0</v>
      </c>
      <c r="T248" s="28">
        <v>0</v>
      </c>
      <c r="U248" s="28">
        <v>0</v>
      </c>
      <c r="V248" s="28">
        <v>1</v>
      </c>
    </row>
    <row r="249" spans="1:22" ht="21" customHeight="1" x14ac:dyDescent="0.15">
      <c r="A249" s="2" t="str">
        <f ca="1">input_384100!A$2</f>
        <v>384100</v>
      </c>
      <c r="B249" s="58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3">
        <f ca="1">IFERROR(VLOOKUP(B249,input_384100!L:R,7,FALSE),VLOOKUP(tables_384100!C249,input_384100!A:H,8,FALSE))</f>
        <v>0</v>
      </c>
      <c r="P249" s="44">
        <f t="shared" ca="1" si="11"/>
        <v>0</v>
      </c>
      <c r="Q249" s="28">
        <v>1</v>
      </c>
      <c r="R249" s="28">
        <v>0</v>
      </c>
      <c r="S249" s="28">
        <v>0</v>
      </c>
      <c r="T249" s="28">
        <v>0</v>
      </c>
      <c r="U249" s="28">
        <v>0</v>
      </c>
      <c r="V249" s="28">
        <v>1</v>
      </c>
    </row>
    <row r="250" spans="1:22" ht="21" customHeight="1" x14ac:dyDescent="0.15">
      <c r="A250" s="2" t="str">
        <f ca="1">input_384100!A$2</f>
        <v>384100</v>
      </c>
      <c r="B250" s="58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3">
        <f ca="1">IFERROR(VLOOKUP(B250,input_384100!L:R,7,FALSE),VLOOKUP(tables_384100!C250,input_384100!A:H,8,FALSE))</f>
        <v>798518.13462000003</v>
      </c>
      <c r="P250" s="44">
        <f t="shared" ca="1" si="11"/>
        <v>1.0527318127669672E-2</v>
      </c>
      <c r="Q250" s="28">
        <v>1</v>
      </c>
      <c r="R250" s="28">
        <v>0</v>
      </c>
      <c r="S250" s="28">
        <v>0</v>
      </c>
      <c r="T250" s="28">
        <v>0</v>
      </c>
      <c r="U250" s="28">
        <v>0</v>
      </c>
      <c r="V250" s="28">
        <v>1</v>
      </c>
    </row>
    <row r="251" spans="1:22" ht="21" customHeight="1" x14ac:dyDescent="0.15">
      <c r="A251" s="2" t="str">
        <f ca="1">input_384100!A$2</f>
        <v>384100</v>
      </c>
      <c r="B251" s="58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3">
        <f ca="1">IFERROR(VLOOKUP(B251,input_384100!L:R,7,FALSE),VLOOKUP(tables_384100!C251,input_384100!A:H,8,FALSE))</f>
        <v>34971.865380000003</v>
      </c>
      <c r="P251" s="44">
        <f t="shared" ca="1" si="11"/>
        <v>4.6105396535358332E-4</v>
      </c>
      <c r="Q251" s="28">
        <v>1</v>
      </c>
      <c r="R251" s="28">
        <v>0</v>
      </c>
      <c r="S251" s="28">
        <v>0</v>
      </c>
      <c r="T251" s="28">
        <v>0</v>
      </c>
      <c r="U251" s="28">
        <v>0</v>
      </c>
      <c r="V251" s="28">
        <v>1</v>
      </c>
    </row>
    <row r="252" spans="1:22" ht="21" customHeight="1" x14ac:dyDescent="0.15">
      <c r="A252" s="2" t="str">
        <f ca="1">input_384100!A$2</f>
        <v>384100</v>
      </c>
      <c r="B252" s="58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3">
        <f ca="1">IFERROR(VLOOKUP(B252,input_384100!L:R,7,FALSE),VLOOKUP(tables_384100!C252,input_384100!A:H,8,FALSE))</f>
        <v>85785</v>
      </c>
      <c r="P252" s="44">
        <f t="shared" ca="1" si="11"/>
        <v>1.1309523809523809E-3</v>
      </c>
      <c r="Q252" s="28">
        <v>1</v>
      </c>
      <c r="R252" s="28">
        <v>0</v>
      </c>
      <c r="S252" s="28">
        <v>0</v>
      </c>
      <c r="T252" s="28">
        <v>0</v>
      </c>
      <c r="U252" s="28">
        <v>0</v>
      </c>
      <c r="V252" s="28">
        <v>1</v>
      </c>
    </row>
    <row r="253" spans="1:22" ht="21" customHeight="1" x14ac:dyDescent="0.15">
      <c r="A253" s="2" t="str">
        <f ca="1">input_384100!A$2</f>
        <v>384100</v>
      </c>
      <c r="B253" s="58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3">
        <f ca="1">IFERROR(VLOOKUP(B253,input_384100!L:R,7,FALSE),VLOOKUP(tables_384100!C253,input_384100!A:H,8,FALSE))</f>
        <v>4515</v>
      </c>
      <c r="P253" s="44">
        <f t="shared" ca="1" si="11"/>
        <v>5.9523809523809524E-5</v>
      </c>
      <c r="Q253" s="28">
        <v>1</v>
      </c>
      <c r="R253" s="28">
        <v>0</v>
      </c>
      <c r="S253" s="28">
        <v>0</v>
      </c>
      <c r="T253" s="28">
        <v>0</v>
      </c>
      <c r="U253" s="28">
        <v>0</v>
      </c>
      <c r="V253" s="28">
        <v>1</v>
      </c>
    </row>
    <row r="254" spans="1:22" ht="21" customHeight="1" x14ac:dyDescent="0.15">
      <c r="A254" s="2" t="str">
        <f ca="1">input_384100!A$2</f>
        <v>384100</v>
      </c>
      <c r="B254" s="58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3">
        <f ca="1">IFERROR(VLOOKUP(B254,input_384100!L:R,7,FALSE),VLOOKUP(tables_384100!C254,input_384100!A:H,8,FALSE))</f>
        <v>85785</v>
      </c>
      <c r="P254" s="44">
        <f t="shared" ca="1" si="11"/>
        <v>1.1309523809523809E-3</v>
      </c>
      <c r="Q254" s="28">
        <v>1</v>
      </c>
      <c r="R254" s="28">
        <v>0</v>
      </c>
      <c r="S254" s="28">
        <v>0</v>
      </c>
      <c r="T254" s="28">
        <v>0</v>
      </c>
      <c r="U254" s="28">
        <v>0</v>
      </c>
      <c r="V254" s="28">
        <v>1</v>
      </c>
    </row>
    <row r="255" spans="1:22" ht="21" customHeight="1" x14ac:dyDescent="0.15">
      <c r="A255" s="2" t="str">
        <f ca="1">input_384100!A$2</f>
        <v>384100</v>
      </c>
      <c r="B255" s="58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3">
        <f ca="1">IFERROR(VLOOKUP(B255,input_384100!L:R,7,FALSE),VLOOKUP(tables_384100!C255,input_384100!A:H,8,FALSE))</f>
        <v>4515</v>
      </c>
      <c r="P255" s="44">
        <f t="shared" ca="1" si="11"/>
        <v>5.9523809523809524E-5</v>
      </c>
      <c r="Q255" s="28">
        <v>1</v>
      </c>
      <c r="R255" s="28">
        <v>0</v>
      </c>
      <c r="S255" s="28">
        <v>0</v>
      </c>
      <c r="T255" s="28">
        <v>0</v>
      </c>
      <c r="U255" s="28">
        <v>0</v>
      </c>
      <c r="V255" s="28">
        <v>1</v>
      </c>
    </row>
    <row r="256" spans="1:22" ht="21" customHeight="1" x14ac:dyDescent="0.15">
      <c r="A256" s="2" t="str">
        <f ca="1">input_384100!A$2</f>
        <v>384100</v>
      </c>
      <c r="B256" s="58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3">
        <f ca="1">IFERROR(VLOOKUP(B256,input_384100!L:R,7,FALSE),VLOOKUP(tables_384100!C256,input_384100!A:H,8,FALSE))</f>
        <v>791815.5</v>
      </c>
      <c r="P256" s="44">
        <f t="shared" ca="1" si="11"/>
        <v>1.0438953488372094E-2</v>
      </c>
      <c r="Q256" s="28">
        <v>1</v>
      </c>
      <c r="R256" s="28">
        <v>0</v>
      </c>
      <c r="S256" s="28">
        <v>0</v>
      </c>
      <c r="T256" s="28">
        <v>0</v>
      </c>
      <c r="U256" s="28">
        <v>0</v>
      </c>
      <c r="V256" s="28">
        <v>1</v>
      </c>
    </row>
    <row r="257" spans="1:22" ht="21" customHeight="1" x14ac:dyDescent="0.15">
      <c r="A257" s="2" t="str">
        <f ca="1">input_384100!A$2</f>
        <v>384100</v>
      </c>
      <c r="B257" s="58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3">
        <f ca="1">IFERROR(VLOOKUP(B257,input_384100!L:R,7,FALSE),VLOOKUP(tables_384100!C257,input_384100!A:H,8,FALSE))</f>
        <v>41674.5</v>
      </c>
      <c r="P257" s="44">
        <f t="shared" ca="1" si="11"/>
        <v>5.4941860465116277E-4</v>
      </c>
      <c r="Q257" s="28">
        <v>1</v>
      </c>
      <c r="R257" s="28">
        <v>0</v>
      </c>
      <c r="S257" s="28">
        <v>0</v>
      </c>
      <c r="T257" s="28">
        <v>0</v>
      </c>
      <c r="U257" s="28">
        <v>0</v>
      </c>
      <c r="V257" s="28">
        <v>1</v>
      </c>
    </row>
    <row r="258" spans="1:22" ht="21" customHeight="1" x14ac:dyDescent="0.15">
      <c r="A258" s="2" t="str">
        <f ca="1">input_384100!A$2</f>
        <v>384100</v>
      </c>
      <c r="B258" s="58">
        <v>730</v>
      </c>
      <c r="C258" s="7" t="str">
        <f t="shared" ref="C258:C283" si="12">D258&amp;J258&amp;E258&amp;F258&amp;G258</f>
        <v>Premium4R3less</v>
      </c>
      <c r="D258" s="7" t="str">
        <f t="shared" ref="D258:D283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3">
        <f ca="1">IFERROR(VLOOKUP(B258,input_384100!L:R,7,FALSE),VLOOKUP(tables_384100!C258,input_384100!A:H,8,FALSE))</f>
        <v>791815.5</v>
      </c>
      <c r="P258" s="44">
        <f t="shared" ca="1" si="11"/>
        <v>1.0438953488372094E-2</v>
      </c>
      <c r="Q258" s="28">
        <v>1</v>
      </c>
      <c r="R258" s="28">
        <v>0</v>
      </c>
      <c r="S258" s="28">
        <v>0</v>
      </c>
      <c r="T258" s="28">
        <v>0</v>
      </c>
      <c r="U258" s="28">
        <v>0</v>
      </c>
      <c r="V258" s="28">
        <v>1</v>
      </c>
    </row>
    <row r="259" spans="1:22" ht="21" customHeight="1" x14ac:dyDescent="0.15">
      <c r="A259" s="2" t="str">
        <f ca="1">input_384100!A$2</f>
        <v>384100</v>
      </c>
      <c r="B259" s="58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3">
        <f ca="1">IFERROR(VLOOKUP(B259,input_384100!L:R,7,FALSE),VLOOKUP(tables_384100!C259,input_384100!A:H,8,FALSE))</f>
        <v>41674.5</v>
      </c>
      <c r="P259" s="44">
        <f t="shared" ca="1" si="11"/>
        <v>5.4941860465116277E-4</v>
      </c>
      <c r="Q259" s="28">
        <v>1</v>
      </c>
      <c r="R259" s="28">
        <v>0</v>
      </c>
      <c r="S259" s="28">
        <v>0</v>
      </c>
      <c r="T259" s="28">
        <v>0</v>
      </c>
      <c r="U259" s="28">
        <v>0</v>
      </c>
      <c r="V259" s="28">
        <v>1</v>
      </c>
    </row>
    <row r="260" spans="1:22" ht="21" customHeight="1" x14ac:dyDescent="0.15">
      <c r="A260" s="2" t="str">
        <f ca="1">input_384100!A$2</f>
        <v>384100</v>
      </c>
      <c r="B260" s="58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3">
        <f ca="1">IFERROR(VLOOKUP(B260,input_384100!L:R,7,FALSE),VLOOKUP(tables_384100!C260,input_384100!A:H,8,FALSE))</f>
        <v>90300</v>
      </c>
      <c r="P260" s="44">
        <f t="shared" ca="1" si="11"/>
        <v>1.1904761904761906E-3</v>
      </c>
      <c r="Q260" s="28">
        <v>1</v>
      </c>
      <c r="R260" s="28">
        <v>0</v>
      </c>
      <c r="S260" s="28">
        <v>0</v>
      </c>
      <c r="T260" s="28">
        <v>0</v>
      </c>
      <c r="U260" s="28">
        <v>0</v>
      </c>
      <c r="V260" s="28">
        <v>1</v>
      </c>
    </row>
    <row r="261" spans="1:22" ht="21" customHeight="1" x14ac:dyDescent="0.15">
      <c r="A261" s="2" t="str">
        <f ca="1">input_384100!A$2</f>
        <v>384100</v>
      </c>
      <c r="B261" s="58">
        <v>734</v>
      </c>
      <c r="C261" s="7" t="str">
        <f t="shared" si="12"/>
        <v>PremiumSS5R5only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3">
        <f ca="1">IFERROR(VLOOKUP(B261,input_384100!L:R,7,FALSE),VLOOKUP(tables_384100!C261,input_384100!A:H,8,FALSE))</f>
        <v>90300</v>
      </c>
      <c r="P261" s="44">
        <f t="shared" ca="1" si="11"/>
        <v>1.1904761904761906E-3</v>
      </c>
      <c r="Q261" s="28">
        <v>1</v>
      </c>
      <c r="R261" s="28">
        <v>0</v>
      </c>
      <c r="S261" s="28">
        <v>0</v>
      </c>
      <c r="T261" s="28">
        <v>0</v>
      </c>
      <c r="U261" s="28">
        <v>0</v>
      </c>
      <c r="V261" s="28">
        <v>1</v>
      </c>
    </row>
    <row r="262" spans="1:22" ht="21" customHeight="1" x14ac:dyDescent="0.15">
      <c r="A262" s="2" t="str">
        <f ca="1">input_384100!A$2</f>
        <v>384100</v>
      </c>
      <c r="B262" s="58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3">
        <f ca="1">IFERROR(VLOOKUP(B262,input_384100!L:R,7,FALSE),VLOOKUP(tables_384100!C262,input_384100!A:H,8,FALSE))</f>
        <v>85785</v>
      </c>
      <c r="P262" s="44">
        <f t="shared" ca="1" si="11"/>
        <v>1.1309523809523809E-3</v>
      </c>
      <c r="Q262" s="28">
        <v>1</v>
      </c>
      <c r="R262" s="28">
        <v>0</v>
      </c>
      <c r="S262" s="28">
        <v>0</v>
      </c>
      <c r="T262" s="28">
        <v>0</v>
      </c>
      <c r="U262" s="28">
        <v>0</v>
      </c>
      <c r="V262" s="28">
        <v>1</v>
      </c>
    </row>
    <row r="263" spans="1:22" ht="21" customHeight="1" x14ac:dyDescent="0.15">
      <c r="A263" s="2" t="str">
        <f ca="1">input_384100!A$2</f>
        <v>384100</v>
      </c>
      <c r="B263" s="58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3">
        <f ca="1">IFERROR(VLOOKUP(B263,input_384100!L:R,7,FALSE),VLOOKUP(tables_384100!C263,input_384100!A:H,8,FALSE))</f>
        <v>4515</v>
      </c>
      <c r="P263" s="44">
        <f t="shared" ca="1" si="11"/>
        <v>5.9523809523809524E-5</v>
      </c>
      <c r="Q263" s="28">
        <v>1</v>
      </c>
      <c r="R263" s="28">
        <v>0</v>
      </c>
      <c r="S263" s="28">
        <v>0</v>
      </c>
      <c r="T263" s="28">
        <v>0</v>
      </c>
      <c r="U263" s="28">
        <v>0</v>
      </c>
      <c r="V263" s="28">
        <v>1</v>
      </c>
    </row>
    <row r="264" spans="1:22" ht="21" customHeight="1" x14ac:dyDescent="0.15">
      <c r="A264" s="2" t="str">
        <f ca="1">input_384100!A$2</f>
        <v>384100</v>
      </c>
      <c r="B264" s="58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3">
        <f ca="1">IFERROR(VLOOKUP(B264,input_384100!L:R,7,FALSE),VLOOKUP(tables_384100!C264,input_384100!A:H,8,FALSE))</f>
        <v>85785</v>
      </c>
      <c r="P264" s="44">
        <f t="shared" ca="1" si="11"/>
        <v>1.1309523809523809E-3</v>
      </c>
      <c r="Q264" s="28">
        <v>1</v>
      </c>
      <c r="R264" s="28">
        <v>0</v>
      </c>
      <c r="S264" s="28">
        <v>0</v>
      </c>
      <c r="T264" s="28">
        <v>0</v>
      </c>
      <c r="U264" s="28">
        <v>0</v>
      </c>
      <c r="V264" s="28">
        <v>1</v>
      </c>
    </row>
    <row r="265" spans="1:22" ht="21" customHeight="1" x14ac:dyDescent="0.15">
      <c r="A265" s="2" t="str">
        <f ca="1">input_384100!A$2</f>
        <v>384100</v>
      </c>
      <c r="B265" s="58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3">
        <f ca="1">IFERROR(VLOOKUP(B265,input_384100!L:R,7,FALSE),VLOOKUP(tables_384100!C265,input_384100!A:H,8,FALSE))</f>
        <v>4515</v>
      </c>
      <c r="P265" s="44">
        <f t="shared" ca="1" si="11"/>
        <v>5.9523809523809524E-5</v>
      </c>
      <c r="Q265" s="28">
        <v>1</v>
      </c>
      <c r="R265" s="28">
        <v>0</v>
      </c>
      <c r="S265" s="28">
        <v>0</v>
      </c>
      <c r="T265" s="28">
        <v>0</v>
      </c>
      <c r="U265" s="28">
        <v>0</v>
      </c>
      <c r="V265" s="28">
        <v>1</v>
      </c>
    </row>
    <row r="266" spans="1:22" ht="21" customHeight="1" x14ac:dyDescent="0.15">
      <c r="A266" s="2" t="str">
        <f ca="1">input_384100!A$2</f>
        <v>384100</v>
      </c>
      <c r="B266" s="58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3">
        <f ca="1">IFERROR(VLOOKUP(B266,input_384100!L:R,7,FALSE),VLOOKUP(tables_384100!C266,input_384100!A:H,8,FALSE))</f>
        <v>0</v>
      </c>
      <c r="P266" s="44">
        <f t="shared" ca="1" si="11"/>
        <v>0</v>
      </c>
      <c r="Q266" s="28">
        <v>1</v>
      </c>
      <c r="R266" s="28">
        <v>0</v>
      </c>
      <c r="S266" s="28">
        <v>0</v>
      </c>
      <c r="T266" s="28">
        <v>0</v>
      </c>
      <c r="U266" s="28">
        <v>0</v>
      </c>
      <c r="V266" s="28">
        <v>1</v>
      </c>
    </row>
    <row r="267" spans="1:22" ht="21" customHeight="1" x14ac:dyDescent="0.15">
      <c r="A267" s="2" t="str">
        <f ca="1">input_384100!A$2</f>
        <v>384100</v>
      </c>
      <c r="B267" s="58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3">
        <f ca="1">IFERROR(VLOOKUP(B267,input_384100!L:R,7,FALSE),VLOOKUP(tables_384100!C267,input_384100!A:H,8,FALSE))</f>
        <v>798518.13462000003</v>
      </c>
      <c r="P267" s="44">
        <f t="shared" ca="1" si="11"/>
        <v>1.0527318127669672E-2</v>
      </c>
      <c r="Q267" s="28">
        <v>1</v>
      </c>
      <c r="R267" s="28">
        <v>0</v>
      </c>
      <c r="S267" s="28">
        <v>0</v>
      </c>
      <c r="T267" s="28">
        <v>0</v>
      </c>
      <c r="U267" s="28">
        <v>0</v>
      </c>
      <c r="V267" s="28">
        <v>1</v>
      </c>
    </row>
    <row r="268" spans="1:22" ht="21" customHeight="1" x14ac:dyDescent="0.15">
      <c r="A268" s="2" t="str">
        <f ca="1">input_384100!A$2</f>
        <v>384100</v>
      </c>
      <c r="B268" s="58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3">
        <f ca="1">IFERROR(VLOOKUP(B268,input_384100!L:R,7,FALSE),VLOOKUP(tables_384100!C268,input_384100!A:H,8,FALSE))</f>
        <v>34971.865380000003</v>
      </c>
      <c r="P268" s="44">
        <f t="shared" ca="1" si="11"/>
        <v>4.6105396535358332E-4</v>
      </c>
      <c r="Q268" s="28">
        <v>1</v>
      </c>
      <c r="R268" s="28">
        <v>0</v>
      </c>
      <c r="S268" s="28">
        <v>0</v>
      </c>
      <c r="T268" s="28">
        <v>0</v>
      </c>
      <c r="U268" s="28">
        <v>0</v>
      </c>
      <c r="V268" s="28">
        <v>1</v>
      </c>
    </row>
    <row r="269" spans="1:22" ht="21" customHeight="1" x14ac:dyDescent="0.15">
      <c r="A269" s="2" t="str">
        <f ca="1">input_384100!A$2</f>
        <v>384100</v>
      </c>
      <c r="B269" s="58">
        <v>777</v>
      </c>
      <c r="C269" s="7" t="str">
        <f t="shared" si="12"/>
        <v>Premium3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3">
        <f ca="1">IFERROR(VLOOKUP(B269,input_384100!L:R,7,FALSE),VLOOKUP(tables_384100!C269,input_384100!A:H,8,FALSE))</f>
        <v>0</v>
      </c>
      <c r="P269" s="44">
        <f t="shared" ca="1" si="11"/>
        <v>0</v>
      </c>
      <c r="Q269" s="28">
        <v>1</v>
      </c>
      <c r="R269" s="28">
        <v>0</v>
      </c>
      <c r="S269" s="28">
        <v>0</v>
      </c>
      <c r="T269" s="28">
        <v>0</v>
      </c>
      <c r="U269" s="28">
        <v>0</v>
      </c>
      <c r="V269" s="28">
        <v>1</v>
      </c>
    </row>
    <row r="270" spans="1:22" ht="21" customHeight="1" x14ac:dyDescent="0.15">
      <c r="A270" s="2" t="str">
        <f ca="1">input_384100!A$2</f>
        <v>384100</v>
      </c>
      <c r="B270" s="58">
        <v>778</v>
      </c>
      <c r="C270" s="7" t="str">
        <f t="shared" si="12"/>
        <v>Premium4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3">
        <f ca="1">IFERROR(VLOOKUP(B270,input_384100!L:R,7,FALSE),VLOOKUP(tables_384100!C270,input_384100!A:H,8,FALSE))</f>
        <v>798518.13462000003</v>
      </c>
      <c r="P270" s="44">
        <f t="shared" ca="1" si="11"/>
        <v>1.0527318127669672E-2</v>
      </c>
      <c r="Q270" s="28">
        <v>1</v>
      </c>
      <c r="R270" s="28">
        <v>0</v>
      </c>
      <c r="S270" s="28">
        <v>0</v>
      </c>
      <c r="T270" s="28">
        <v>0</v>
      </c>
      <c r="U270" s="28">
        <v>0</v>
      </c>
      <c r="V270" s="28">
        <v>1</v>
      </c>
    </row>
    <row r="271" spans="1:22" ht="21" customHeight="1" x14ac:dyDescent="0.15">
      <c r="A271" s="2" t="str">
        <f ca="1">input_384100!A$2</f>
        <v>384100</v>
      </c>
      <c r="B271" s="58">
        <v>779</v>
      </c>
      <c r="C271" s="7" t="str">
        <f t="shared" si="12"/>
        <v>Premium5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3">
        <f ca="1">IFERROR(VLOOKUP(B271,input_384100!L:R,7,FALSE),VLOOKUP(tables_384100!C271,input_384100!A:H,8,FALSE))</f>
        <v>34971.865380000003</v>
      </c>
      <c r="P271" s="44">
        <f t="shared" ref="P271:P294" ca="1" si="14">O271/SUM(O:O)</f>
        <v>4.6105396535358332E-4</v>
      </c>
      <c r="Q271" s="28">
        <v>1</v>
      </c>
      <c r="R271" s="28">
        <v>0</v>
      </c>
      <c r="S271" s="28">
        <v>0</v>
      </c>
      <c r="T271" s="28">
        <v>0</v>
      </c>
      <c r="U271" s="28">
        <v>0</v>
      </c>
      <c r="V271" s="28">
        <v>1</v>
      </c>
    </row>
    <row r="272" spans="1:22" ht="21" customHeight="1" x14ac:dyDescent="0.15">
      <c r="A272" s="2" t="str">
        <f ca="1">input_384100!A$2</f>
        <v>384100</v>
      </c>
      <c r="B272" s="75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3">
        <f ca="1">IFERROR(VLOOKUP(B272,input_384100!L:R,7,FALSE),VLOOKUP(tables_384100!C272,input_384100!A:H,8,FALSE))</f>
        <v>90300</v>
      </c>
      <c r="P272" s="44">
        <f t="shared" ca="1" si="14"/>
        <v>1.1904761904761906E-3</v>
      </c>
      <c r="Q272" s="28">
        <v>1</v>
      </c>
      <c r="R272" s="28">
        <v>0</v>
      </c>
      <c r="S272" s="28">
        <v>0</v>
      </c>
      <c r="T272" s="28">
        <v>0</v>
      </c>
      <c r="U272" s="28">
        <v>0</v>
      </c>
      <c r="V272" s="28">
        <v>1</v>
      </c>
    </row>
    <row r="273" spans="1:22" ht="21" customHeight="1" x14ac:dyDescent="0.15">
      <c r="A273" s="2" t="str">
        <f ca="1">input_384100!A$2</f>
        <v>384100</v>
      </c>
      <c r="B273" s="75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3">
        <f ca="1">IFERROR(VLOOKUP(B273,input_384100!L:R,7,FALSE),VLOOKUP(tables_384100!C273,input_384100!A:H,8,FALSE))</f>
        <v>90300</v>
      </c>
      <c r="P273" s="44">
        <f t="shared" ca="1" si="14"/>
        <v>1.1904761904761906E-3</v>
      </c>
      <c r="Q273" s="28">
        <v>1</v>
      </c>
      <c r="R273" s="28">
        <v>0</v>
      </c>
      <c r="S273" s="28">
        <v>0</v>
      </c>
      <c r="T273" s="28">
        <v>0</v>
      </c>
      <c r="U273" s="28">
        <v>0</v>
      </c>
      <c r="V273" s="28">
        <v>1</v>
      </c>
    </row>
    <row r="274" spans="1:22" ht="21" customHeight="1" x14ac:dyDescent="0.15">
      <c r="A274" s="2" t="str">
        <f ca="1">input_384100!A$2</f>
        <v>384100</v>
      </c>
      <c r="B274" s="75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3">
        <f ca="1">IFERROR(VLOOKUP(B274,input_384100!L:R,7,FALSE),VLOOKUP(tables_384100!C274,input_384100!A:H,8,FALSE))</f>
        <v>791815.5</v>
      </c>
      <c r="P274" s="44">
        <f t="shared" ca="1" si="14"/>
        <v>1.0438953488372094E-2</v>
      </c>
      <c r="Q274" s="28">
        <v>1</v>
      </c>
      <c r="R274" s="28">
        <v>0</v>
      </c>
      <c r="S274" s="28">
        <v>0</v>
      </c>
      <c r="T274" s="28">
        <v>0</v>
      </c>
      <c r="U274" s="28">
        <v>0</v>
      </c>
      <c r="V274" s="28">
        <v>1</v>
      </c>
    </row>
    <row r="275" spans="1:22" ht="21" customHeight="1" x14ac:dyDescent="0.15">
      <c r="A275" s="2" t="str">
        <f ca="1">input_384100!A$2</f>
        <v>384100</v>
      </c>
      <c r="B275" s="75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3">
        <f ca="1">IFERROR(VLOOKUP(B275,input_384100!L:R,7,FALSE),VLOOKUP(tables_384100!C275,input_384100!A:H,8,FALSE))</f>
        <v>41674.5</v>
      </c>
      <c r="P275" s="44">
        <f t="shared" ca="1" si="14"/>
        <v>5.4941860465116277E-4</v>
      </c>
      <c r="Q275" s="28">
        <v>1</v>
      </c>
      <c r="R275" s="28">
        <v>0</v>
      </c>
      <c r="S275" s="28">
        <v>0</v>
      </c>
      <c r="T275" s="28">
        <v>0</v>
      </c>
      <c r="U275" s="28">
        <v>0</v>
      </c>
      <c r="V275" s="28">
        <v>1</v>
      </c>
    </row>
    <row r="276" spans="1:22" ht="21" customHeight="1" x14ac:dyDescent="0.15">
      <c r="A276" s="2" t="str">
        <f ca="1">input_384100!A$2</f>
        <v>384100</v>
      </c>
      <c r="B276" s="75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3">
        <f ca="1">IFERROR(VLOOKUP(B276,input_384100!L:R,7,FALSE),VLOOKUP(tables_384100!C276,input_384100!A:H,8,FALSE))</f>
        <v>791815.5</v>
      </c>
      <c r="P276" s="44">
        <f t="shared" ca="1" si="14"/>
        <v>1.0438953488372094E-2</v>
      </c>
      <c r="Q276" s="28">
        <v>1</v>
      </c>
      <c r="R276" s="28">
        <v>0</v>
      </c>
      <c r="S276" s="28">
        <v>0</v>
      </c>
      <c r="T276" s="28">
        <v>0</v>
      </c>
      <c r="U276" s="28">
        <v>0</v>
      </c>
      <c r="V276" s="28">
        <v>1</v>
      </c>
    </row>
    <row r="277" spans="1:22" ht="21" customHeight="1" x14ac:dyDescent="0.15">
      <c r="A277" s="2" t="str">
        <f ca="1">input_384100!A$2</f>
        <v>384100</v>
      </c>
      <c r="B277" s="75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3">
        <f ca="1">IFERROR(VLOOKUP(B277,input_384100!L:R,7,FALSE),VLOOKUP(tables_384100!C277,input_384100!A:H,8,FALSE))</f>
        <v>41674.5</v>
      </c>
      <c r="P277" s="44">
        <f t="shared" ca="1" si="14"/>
        <v>5.4941860465116277E-4</v>
      </c>
      <c r="Q277" s="28">
        <v>1</v>
      </c>
      <c r="R277" s="28">
        <v>0</v>
      </c>
      <c r="S277" s="28">
        <v>0</v>
      </c>
      <c r="T277" s="28">
        <v>0</v>
      </c>
      <c r="U277" s="28">
        <v>0</v>
      </c>
      <c r="V277" s="28">
        <v>1</v>
      </c>
    </row>
    <row r="278" spans="1:22" ht="21" customHeight="1" x14ac:dyDescent="0.15">
      <c r="A278" s="2" t="str">
        <f ca="1">input_384100!A$2</f>
        <v>384100</v>
      </c>
      <c r="B278" s="75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3">
        <f ca="1">IFERROR(VLOOKUP(B278,input_384100!L:R,7,FALSE),VLOOKUP(tables_384100!C278,input_384100!A:H,8,FALSE))</f>
        <v>791815.5</v>
      </c>
      <c r="P278" s="44">
        <f t="shared" ca="1" si="14"/>
        <v>1.0438953488372094E-2</v>
      </c>
      <c r="Q278" s="28">
        <v>1</v>
      </c>
      <c r="R278" s="28">
        <v>0</v>
      </c>
      <c r="S278" s="28">
        <v>0</v>
      </c>
      <c r="T278" s="28">
        <v>0</v>
      </c>
      <c r="U278" s="28">
        <v>0</v>
      </c>
      <c r="V278" s="28">
        <v>1</v>
      </c>
    </row>
    <row r="279" spans="1:22" ht="21" customHeight="1" x14ac:dyDescent="0.15">
      <c r="A279" s="2" t="str">
        <f ca="1">input_384100!A$2</f>
        <v>384100</v>
      </c>
      <c r="B279" s="75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3">
        <f ca="1">IFERROR(VLOOKUP(B279,input_384100!L:R,7,FALSE),VLOOKUP(tables_384100!C279,input_384100!A:H,8,FALSE))</f>
        <v>41674.5</v>
      </c>
      <c r="P279" s="44">
        <f t="shared" ca="1" si="14"/>
        <v>5.4941860465116277E-4</v>
      </c>
      <c r="Q279" s="28">
        <v>1</v>
      </c>
      <c r="R279" s="28">
        <v>0</v>
      </c>
      <c r="S279" s="28">
        <v>0</v>
      </c>
      <c r="T279" s="28">
        <v>0</v>
      </c>
      <c r="U279" s="28">
        <v>0</v>
      </c>
      <c r="V279" s="28">
        <v>1</v>
      </c>
    </row>
    <row r="280" spans="1:22" ht="21" customHeight="1" x14ac:dyDescent="0.15">
      <c r="A280" s="2" t="str">
        <f ca="1">input_384100!A$2</f>
        <v>384100</v>
      </c>
      <c r="B280" s="75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3">
        <f ca="1">IFERROR(VLOOKUP(B280,input_384100!L:R,7,FALSE),VLOOKUP(tables_384100!C280,input_384100!A:H,8,FALSE))</f>
        <v>791815.5</v>
      </c>
      <c r="P280" s="44">
        <f t="shared" ca="1" si="14"/>
        <v>1.0438953488372094E-2</v>
      </c>
      <c r="Q280" s="28">
        <v>1</v>
      </c>
      <c r="R280" s="28">
        <v>0</v>
      </c>
      <c r="S280" s="28">
        <v>0</v>
      </c>
      <c r="T280" s="28">
        <v>0</v>
      </c>
      <c r="U280" s="28">
        <v>0</v>
      </c>
      <c r="V280" s="28">
        <v>1</v>
      </c>
    </row>
    <row r="281" spans="1:22" ht="21" customHeight="1" x14ac:dyDescent="0.15">
      <c r="A281" s="2" t="str">
        <f ca="1">input_384100!A$2</f>
        <v>384100</v>
      </c>
      <c r="B281" s="75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3">
        <f ca="1">IFERROR(VLOOKUP(B281,input_384100!L:R,7,FALSE),VLOOKUP(tables_384100!C281,input_384100!A:H,8,FALSE))</f>
        <v>41674.5</v>
      </c>
      <c r="P281" s="44">
        <f t="shared" ca="1" si="14"/>
        <v>5.4941860465116277E-4</v>
      </c>
      <c r="Q281" s="28">
        <v>1</v>
      </c>
      <c r="R281" s="28">
        <v>0</v>
      </c>
      <c r="S281" s="28">
        <v>0</v>
      </c>
      <c r="T281" s="28">
        <v>0</v>
      </c>
      <c r="U281" s="28">
        <v>0</v>
      </c>
      <c r="V281" s="28">
        <v>1</v>
      </c>
    </row>
    <row r="282" spans="1:22" ht="21" customHeight="1" x14ac:dyDescent="0.15">
      <c r="A282" s="2" t="str">
        <f ca="1">input_384100!A$2</f>
        <v>384100</v>
      </c>
      <c r="B282" s="75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3">
        <f ca="1">IFERROR(VLOOKUP(B282,input_384100!L:R,7,FALSE),VLOOKUP(tables_384100!C282,input_384100!A:H,8,FALSE))</f>
        <v>90300</v>
      </c>
      <c r="P282" s="44">
        <f t="shared" ca="1" si="14"/>
        <v>1.1904761904761906E-3</v>
      </c>
      <c r="Q282" s="28">
        <v>1</v>
      </c>
      <c r="R282" s="28">
        <v>0</v>
      </c>
      <c r="S282" s="28">
        <v>0</v>
      </c>
      <c r="T282" s="28">
        <v>0</v>
      </c>
      <c r="U282" s="28">
        <v>0</v>
      </c>
      <c r="V282" s="28">
        <v>1</v>
      </c>
    </row>
    <row r="283" spans="1:22" ht="21" customHeight="1" x14ac:dyDescent="0.15">
      <c r="A283" s="2" t="str">
        <f ca="1">input_384100!A$2</f>
        <v>384100</v>
      </c>
      <c r="B283" s="75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3">
        <f ca="1">IFERROR(VLOOKUP(B283,input_384100!L:R,7,FALSE),VLOOKUP(tables_384100!C283,input_384100!A:H,8,FALSE))</f>
        <v>90300</v>
      </c>
      <c r="P283" s="44">
        <f t="shared" ca="1" si="14"/>
        <v>1.1904761904761906E-3</v>
      </c>
      <c r="Q283" s="28">
        <v>1</v>
      </c>
      <c r="R283" s="28">
        <v>0</v>
      </c>
      <c r="S283" s="28">
        <v>0</v>
      </c>
      <c r="T283" s="28">
        <v>0</v>
      </c>
      <c r="U283" s="28">
        <v>0</v>
      </c>
      <c r="V283" s="28">
        <v>1</v>
      </c>
    </row>
    <row r="284" spans="1:22" ht="21" customHeight="1" x14ac:dyDescent="0.15">
      <c r="A284" s="2" t="str">
        <f ca="1">input_384100!A$2</f>
        <v>384100</v>
      </c>
      <c r="B284" s="82">
        <v>742</v>
      </c>
      <c r="C284" s="7" t="str">
        <f t="shared" ref="C284" si="15">D284&amp;J284&amp;E284&amp;F284&amp;G284</f>
        <v>PremiumSS5R5only</v>
      </c>
      <c r="D284" s="7" t="str">
        <f t="shared" ref="D284" si="16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3">
        <f ca="1">IFERROR(VLOOKUP(B284,input_384100!L:R,7,FALSE),VLOOKUP(tables_384100!C284,input_384100!A:H,8,FALSE))</f>
        <v>90300</v>
      </c>
      <c r="P284" s="44">
        <f t="shared" ca="1" si="14"/>
        <v>1.1904761904761906E-3</v>
      </c>
      <c r="Q284" s="28">
        <v>1</v>
      </c>
      <c r="R284" s="28">
        <v>0</v>
      </c>
      <c r="S284" s="28">
        <v>0</v>
      </c>
      <c r="T284" s="28">
        <v>0</v>
      </c>
      <c r="U284" s="28">
        <v>0</v>
      </c>
      <c r="V284" s="28">
        <v>1</v>
      </c>
    </row>
    <row r="285" spans="1:22" ht="21" customHeight="1" x14ac:dyDescent="0.15">
      <c r="A285" s="2" t="str">
        <f ca="1">input_384100!A$2</f>
        <v>384100</v>
      </c>
      <c r="B285" s="82">
        <v>744</v>
      </c>
      <c r="C285" s="7" t="str">
        <f t="shared" ref="C285:C286" si="17">D285&amp;J285&amp;E285&amp;F285&amp;G285</f>
        <v>PremiumSS5R5only</v>
      </c>
      <c r="D285" s="7" t="str">
        <f t="shared" ref="D285:D286" si="18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3">
        <f ca="1">IFERROR(VLOOKUP(B285,input_384100!L:R,7,FALSE),VLOOKUP(tables_384100!C285,input_384100!A:H,8,FALSE))</f>
        <v>90300</v>
      </c>
      <c r="P285" s="44">
        <f t="shared" ca="1" si="14"/>
        <v>1.1904761904761906E-3</v>
      </c>
      <c r="Q285" s="28">
        <v>1</v>
      </c>
      <c r="R285" s="28">
        <v>0</v>
      </c>
      <c r="S285" s="28">
        <v>0</v>
      </c>
      <c r="T285" s="28">
        <v>0</v>
      </c>
      <c r="U285" s="28">
        <v>0</v>
      </c>
      <c r="V285" s="28">
        <v>1</v>
      </c>
    </row>
    <row r="286" spans="1:22" ht="21" customHeight="1" x14ac:dyDescent="0.15">
      <c r="A286" s="2" t="str">
        <f ca="1">input_384100!A$2</f>
        <v>384100</v>
      </c>
      <c r="B286" s="82">
        <v>746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3">
        <f ca="1">IFERROR(VLOOKUP(B286,input_384100!L:R,7,FALSE),VLOOKUP(tables_384100!C286,input_384100!A:H,8,FALSE))</f>
        <v>791815.5</v>
      </c>
      <c r="P286" s="44">
        <f t="shared" ca="1" si="14"/>
        <v>1.0438953488372094E-2</v>
      </c>
      <c r="Q286" s="28">
        <v>1</v>
      </c>
      <c r="R286" s="28">
        <v>0</v>
      </c>
      <c r="S286" s="28">
        <v>0</v>
      </c>
      <c r="T286" s="28">
        <v>0</v>
      </c>
      <c r="U286" s="28">
        <v>0</v>
      </c>
      <c r="V286" s="28">
        <v>1</v>
      </c>
    </row>
    <row r="287" spans="1:22" ht="21" customHeight="1" x14ac:dyDescent="0.15">
      <c r="A287" s="2" t="str">
        <f ca="1">input_384100!A$2</f>
        <v>384100</v>
      </c>
      <c r="B287" s="82">
        <v>747</v>
      </c>
      <c r="C287" s="7" t="str">
        <f t="shared" ref="C287:C289" si="19">D287&amp;J287&amp;E287&amp;F287&amp;G287</f>
        <v>Premium5R3less</v>
      </c>
      <c r="D287" s="7" t="str">
        <f t="shared" ref="D287:D289" si="20">IF(I287="PremiumSS",I287,IF(I287="PremiumSSS",I287,IF(I287="PremiumW",I287,"Premium")))</f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3">
        <f ca="1">IFERROR(VLOOKUP(B287,input_384100!L:R,7,FALSE),VLOOKUP(tables_384100!C287,input_384100!A:H,8,FALSE))</f>
        <v>41674.5</v>
      </c>
      <c r="P287" s="44">
        <f t="shared" ca="1" si="14"/>
        <v>5.4941860465116277E-4</v>
      </c>
      <c r="Q287" s="28">
        <v>1</v>
      </c>
      <c r="R287" s="28">
        <v>0</v>
      </c>
      <c r="S287" s="28">
        <v>0</v>
      </c>
      <c r="T287" s="28">
        <v>0</v>
      </c>
      <c r="U287" s="28">
        <v>0</v>
      </c>
      <c r="V287" s="28">
        <v>1</v>
      </c>
    </row>
    <row r="288" spans="1:22" ht="21" customHeight="1" x14ac:dyDescent="0.15">
      <c r="A288" s="2" t="str">
        <f ca="1">input_384100!A$2</f>
        <v>384100</v>
      </c>
      <c r="B288" s="82">
        <v>748</v>
      </c>
      <c r="C288" s="7" t="str">
        <f t="shared" si="19"/>
        <v>Premium4R3less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3">
        <f ca="1">IFERROR(VLOOKUP(B288,input_384100!L:R,7,FALSE),VLOOKUP(tables_384100!C288,input_384100!A:H,8,FALSE))</f>
        <v>791815.5</v>
      </c>
      <c r="P288" s="44">
        <f t="shared" ca="1" si="14"/>
        <v>1.0438953488372094E-2</v>
      </c>
      <c r="Q288" s="28">
        <v>1</v>
      </c>
      <c r="R288" s="28">
        <v>0</v>
      </c>
      <c r="S288" s="28">
        <v>0</v>
      </c>
      <c r="T288" s="28">
        <v>0</v>
      </c>
      <c r="U288" s="28">
        <v>0</v>
      </c>
      <c r="V288" s="28">
        <v>1</v>
      </c>
    </row>
    <row r="289" spans="1:22" ht="21" customHeight="1" x14ac:dyDescent="0.15">
      <c r="A289" s="2" t="str">
        <f ca="1">input_384100!A$2</f>
        <v>384100</v>
      </c>
      <c r="B289" s="82">
        <v>749</v>
      </c>
      <c r="C289" s="7" t="str">
        <f t="shared" si="19"/>
        <v>Premium5R3less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3">
        <f ca="1">IFERROR(VLOOKUP(B289,input_384100!L:R,7,FALSE),VLOOKUP(tables_384100!C289,input_384100!A:H,8,FALSE))</f>
        <v>41674.5</v>
      </c>
      <c r="P289" s="44">
        <f t="shared" ca="1" si="14"/>
        <v>5.4941860465116277E-4</v>
      </c>
      <c r="Q289" s="28">
        <v>1</v>
      </c>
      <c r="R289" s="28">
        <v>0</v>
      </c>
      <c r="S289" s="28">
        <v>0</v>
      </c>
      <c r="T289" s="28">
        <v>0</v>
      </c>
      <c r="U289" s="28">
        <v>0</v>
      </c>
      <c r="V289" s="28">
        <v>1</v>
      </c>
    </row>
    <row r="290" spans="1:22" ht="21" customHeight="1" x14ac:dyDescent="0.15">
      <c r="A290" s="2" t="str">
        <f ca="1">input_384100!A$2</f>
        <v>384100</v>
      </c>
      <c r="B290" s="5">
        <v>937</v>
      </c>
      <c r="C290" s="7" t="str">
        <f t="shared" ref="C290:C294" si="21">D290&amp;J290&amp;E290&amp;F290&amp;G290</f>
        <v>PremiumSS5R5only</v>
      </c>
      <c r="D290" s="7" t="str">
        <f t="shared" ref="D290:D294" si="22">IF(I290="PremiumSS",I290,IF(I290="PremiumSSS",I290,IF(I290="PremiumW",I290,"Premium")))</f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3">
        <f ca="1">IFERROR(VLOOKUP(B290,input_384100!L:R,7,FALSE),VLOOKUP(tables_384100!C290,input_384100!A:H,8,FALSE))</f>
        <v>90300</v>
      </c>
      <c r="P290" s="44">
        <f t="shared" ca="1" si="14"/>
        <v>1.1904761904761906E-3</v>
      </c>
      <c r="Q290" s="28">
        <v>1</v>
      </c>
      <c r="R290" s="28">
        <v>0</v>
      </c>
      <c r="S290" s="28">
        <v>0</v>
      </c>
      <c r="T290" s="28">
        <v>0</v>
      </c>
      <c r="U290" s="28">
        <v>0</v>
      </c>
      <c r="V290" s="28">
        <v>1</v>
      </c>
    </row>
    <row r="291" spans="1:22" ht="21" customHeight="1" x14ac:dyDescent="0.15">
      <c r="A291" s="2" t="str">
        <f ca="1">input_384100!A$2</f>
        <v>384100</v>
      </c>
      <c r="B291" s="5">
        <v>939</v>
      </c>
      <c r="C291" s="7" t="str">
        <f t="shared" si="21"/>
        <v>Premium4R3less</v>
      </c>
      <c r="D291" s="7" t="str">
        <f t="shared" si="22"/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3">
        <f ca="1">IFERROR(VLOOKUP(B291,input_384100!L:R,7,FALSE),VLOOKUP(tables_384100!C291,input_384100!A:H,8,FALSE))</f>
        <v>791815.5</v>
      </c>
      <c r="P291" s="44">
        <f t="shared" ca="1" si="14"/>
        <v>1.0438953488372094E-2</v>
      </c>
      <c r="Q291" s="28">
        <v>1</v>
      </c>
      <c r="R291" s="28">
        <v>0</v>
      </c>
      <c r="S291" s="28">
        <v>0</v>
      </c>
      <c r="T291" s="28">
        <v>0</v>
      </c>
      <c r="U291" s="28">
        <v>0</v>
      </c>
      <c r="V291" s="28">
        <v>1</v>
      </c>
    </row>
    <row r="292" spans="1:22" ht="21" customHeight="1" x14ac:dyDescent="0.15">
      <c r="A292" s="2" t="str">
        <f ca="1">input_384100!A$2</f>
        <v>384100</v>
      </c>
      <c r="B292" s="5">
        <v>940</v>
      </c>
      <c r="C292" s="7" t="str">
        <f t="shared" si="21"/>
        <v>Premium5R3less</v>
      </c>
      <c r="D292" s="7" t="str">
        <f t="shared" si="22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3">
        <f ca="1">IFERROR(VLOOKUP(B292,input_384100!L:R,7,FALSE),VLOOKUP(tables_384100!C292,input_384100!A:H,8,FALSE))</f>
        <v>41674.5</v>
      </c>
      <c r="P292" s="44">
        <f t="shared" ca="1" si="14"/>
        <v>5.4941860465116277E-4</v>
      </c>
      <c r="Q292" s="28">
        <v>1</v>
      </c>
      <c r="R292" s="28">
        <v>0</v>
      </c>
      <c r="S292" s="28">
        <v>0</v>
      </c>
      <c r="T292" s="28">
        <v>0</v>
      </c>
      <c r="U292" s="28">
        <v>0</v>
      </c>
      <c r="V292" s="28">
        <v>1</v>
      </c>
    </row>
    <row r="293" spans="1:22" ht="21" customHeight="1" x14ac:dyDescent="0.15">
      <c r="A293" s="2" t="str">
        <f ca="1">input_384100!A$2</f>
        <v>384100</v>
      </c>
      <c r="B293" s="5">
        <v>941</v>
      </c>
      <c r="C293" s="7" t="str">
        <f t="shared" si="21"/>
        <v>PremiumSS5R5only</v>
      </c>
      <c r="D293" s="7" t="str">
        <f t="shared" si="22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3">
        <f ca="1">IFERROR(VLOOKUP(B293,input_384100!L:R,7,FALSE),VLOOKUP(tables_384100!C293,input_384100!A:H,8,FALSE))</f>
        <v>90300</v>
      </c>
      <c r="P293" s="44">
        <f t="shared" ca="1" si="14"/>
        <v>1.1904761904761906E-3</v>
      </c>
      <c r="Q293" s="28">
        <v>1</v>
      </c>
      <c r="R293" s="28">
        <v>0</v>
      </c>
      <c r="S293" s="28">
        <v>0</v>
      </c>
      <c r="T293" s="28">
        <v>0</v>
      </c>
      <c r="U293" s="28">
        <v>0</v>
      </c>
      <c r="V293" s="28">
        <v>1</v>
      </c>
    </row>
    <row r="294" spans="1:22" ht="21" customHeight="1" x14ac:dyDescent="0.15">
      <c r="A294" s="2" t="str">
        <f ca="1">input_384100!A$2</f>
        <v>384100</v>
      </c>
      <c r="B294" s="5">
        <v>943</v>
      </c>
      <c r="C294" s="7" t="str">
        <f t="shared" si="21"/>
        <v>PremiumSS5R5only</v>
      </c>
      <c r="D294" s="7" t="str">
        <f t="shared" si="22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3">
        <f ca="1">IFERROR(VLOOKUP(B294,input_384100!L:R,7,FALSE),VLOOKUP(tables_384100!C294,input_384100!A:H,8,FALSE))</f>
        <v>90300</v>
      </c>
      <c r="P294" s="44">
        <f t="shared" ca="1" si="14"/>
        <v>1.1904761904761906E-3</v>
      </c>
      <c r="Q294" s="28">
        <v>1</v>
      </c>
      <c r="R294" s="28">
        <v>0</v>
      </c>
      <c r="S294" s="28">
        <v>0</v>
      </c>
      <c r="T294" s="28">
        <v>0</v>
      </c>
      <c r="U294" s="28">
        <v>0</v>
      </c>
      <c r="V294" s="28">
        <v>1</v>
      </c>
    </row>
    <row r="295" spans="1:22" ht="21" customHeight="1" x14ac:dyDescent="0.15">
      <c r="A295" s="2" t="str">
        <f ca="1">input_384100!A$2</f>
        <v>384100</v>
      </c>
      <c r="B295" s="5">
        <v>1012</v>
      </c>
      <c r="C295" s="7" t="str">
        <f t="shared" ref="C295:C317" si="23">D295&amp;J295&amp;E295&amp;F295&amp;G295</f>
        <v>PremiumSS5R5only</v>
      </c>
      <c r="D295" s="7" t="str">
        <f t="shared" ref="D295:D317" si="24">IF(I295="PremiumSS",I295,IF(I295="PremiumSSS",I295,IF(I295="PremiumW",I295,"Premium")))</f>
        <v>PremiumSS</v>
      </c>
      <c r="E295" s="7" t="str">
        <f>IF(COUNTIF('R6追加前'!A:A,B295)=0,IF(I295="PremiumSS","R5only","R3less"),"")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3">
        <f ca="1">IFERROR(VLOOKUP(B295,input_384100!L:R,7,FALSE),VLOOKUP(tables_384100!C295,input_384100!A:H,8,FALSE))</f>
        <v>90300</v>
      </c>
      <c r="P295" s="44">
        <f t="shared" ref="P295:P317" ca="1" si="25">O295/SUM(O:O)</f>
        <v>1.1904761904761906E-3</v>
      </c>
      <c r="Q295" s="28">
        <v>1</v>
      </c>
      <c r="R295" s="28">
        <v>0</v>
      </c>
      <c r="S295" s="28">
        <v>0</v>
      </c>
      <c r="T295" s="28">
        <v>0</v>
      </c>
      <c r="U295" s="28">
        <v>0</v>
      </c>
      <c r="V295" s="28">
        <v>1</v>
      </c>
    </row>
    <row r="296" spans="1:22" ht="21" customHeight="1" x14ac:dyDescent="0.15">
      <c r="A296" s="2" t="str">
        <f ca="1">input_384100!A$2</f>
        <v>384100</v>
      </c>
      <c r="B296" s="5">
        <v>1014</v>
      </c>
      <c r="C296" s="7" t="str">
        <f t="shared" si="23"/>
        <v>PremiumSS5R5only</v>
      </c>
      <c r="D296" s="7" t="str">
        <f t="shared" si="24"/>
        <v>PremiumSS</v>
      </c>
      <c r="E296" s="7" t="str">
        <f>IF(COUNTIF('R6追加前'!A:A,B296)=0,IF(I296="PremiumSS","R5only","R3less"),"")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3">
        <f ca="1">IFERROR(VLOOKUP(B296,input_384100!L:R,7,FALSE),VLOOKUP(tables_384100!C296,input_384100!A:H,8,FALSE))</f>
        <v>90300</v>
      </c>
      <c r="P296" s="44">
        <f t="shared" ca="1" si="25"/>
        <v>1.1904761904761906E-3</v>
      </c>
      <c r="Q296" s="28">
        <v>1</v>
      </c>
      <c r="R296" s="28">
        <v>0</v>
      </c>
      <c r="S296" s="28">
        <v>0</v>
      </c>
      <c r="T296" s="28">
        <v>0</v>
      </c>
      <c r="U296" s="28">
        <v>0</v>
      </c>
      <c r="V296" s="28">
        <v>1</v>
      </c>
    </row>
    <row r="297" spans="1:22" ht="21" customHeight="1" x14ac:dyDescent="0.15">
      <c r="A297" s="2" t="str">
        <f ca="1">input_384100!A$2</f>
        <v>384100</v>
      </c>
      <c r="B297" s="5">
        <v>1016</v>
      </c>
      <c r="C297" s="7" t="str">
        <f t="shared" si="23"/>
        <v>Premium4R3less</v>
      </c>
      <c r="D297" s="7" t="str">
        <f t="shared" si="24"/>
        <v>Premium</v>
      </c>
      <c r="E297" s="7" t="str">
        <f>IF(COUNTIF('R6追加前'!A:A,B297)=0,IF(I297="PremiumSS","R5only","R3less"),"")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3">
        <f ca="1">IFERROR(VLOOKUP(B297,input_384100!L:R,7,FALSE),VLOOKUP(tables_384100!C297,input_384100!A:H,8,FALSE))</f>
        <v>791815.5</v>
      </c>
      <c r="P297" s="44">
        <f t="shared" ca="1" si="25"/>
        <v>1.0438953488372094E-2</v>
      </c>
      <c r="Q297" s="28">
        <v>1</v>
      </c>
      <c r="R297" s="28">
        <v>0</v>
      </c>
      <c r="S297" s="28">
        <v>0</v>
      </c>
      <c r="T297" s="28">
        <v>0</v>
      </c>
      <c r="U297" s="28">
        <v>0</v>
      </c>
      <c r="V297" s="28">
        <v>1</v>
      </c>
    </row>
    <row r="298" spans="1:22" ht="21" customHeight="1" x14ac:dyDescent="0.15">
      <c r="A298" s="2" t="str">
        <f ca="1">input_384100!A$2</f>
        <v>384100</v>
      </c>
      <c r="B298" s="5">
        <v>1017</v>
      </c>
      <c r="C298" s="7" t="str">
        <f t="shared" si="23"/>
        <v>Premium5R3less</v>
      </c>
      <c r="D298" s="7" t="str">
        <f t="shared" si="24"/>
        <v>Premium</v>
      </c>
      <c r="E298" s="7" t="str">
        <f>IF(COUNTIF('R6追加前'!A:A,B298)=0,IF(I298="PremiumSS","R5only","R3less"),"")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3">
        <f ca="1">IFERROR(VLOOKUP(B298,input_384100!L:R,7,FALSE),VLOOKUP(tables_384100!C298,input_384100!A:H,8,FALSE))</f>
        <v>41674.5</v>
      </c>
      <c r="P298" s="44">
        <f t="shared" ca="1" si="25"/>
        <v>5.4941860465116277E-4</v>
      </c>
      <c r="Q298" s="28">
        <v>1</v>
      </c>
      <c r="R298" s="28">
        <v>0</v>
      </c>
      <c r="S298" s="28">
        <v>0</v>
      </c>
      <c r="T298" s="28">
        <v>0</v>
      </c>
      <c r="U298" s="28">
        <v>0</v>
      </c>
      <c r="V298" s="28">
        <v>1</v>
      </c>
    </row>
    <row r="299" spans="1:22" ht="21" customHeight="1" x14ac:dyDescent="0.15">
      <c r="A299" s="2" t="str">
        <f ca="1">input_384100!A$2</f>
        <v>384100</v>
      </c>
      <c r="B299" s="5">
        <v>1018</v>
      </c>
      <c r="C299" s="7" t="str">
        <f t="shared" si="23"/>
        <v>PremiumSS5R5only</v>
      </c>
      <c r="D299" s="7" t="str">
        <f t="shared" si="24"/>
        <v>PremiumSS</v>
      </c>
      <c r="E299" s="7" t="str">
        <f>IF(COUNTIF('R6追加前'!A:A,B299)=0,IF(I299="PremiumSS","R5only","R3less"),"")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3">
        <f ca="1">IFERROR(VLOOKUP(B299,input_384100!L:R,7,FALSE),VLOOKUP(tables_384100!C299,input_384100!A:H,8,FALSE))</f>
        <v>90300</v>
      </c>
      <c r="P299" s="44">
        <f t="shared" ca="1" si="25"/>
        <v>1.1904761904761906E-3</v>
      </c>
      <c r="Q299" s="28">
        <v>1</v>
      </c>
      <c r="R299" s="28">
        <v>0</v>
      </c>
      <c r="S299" s="28">
        <v>0</v>
      </c>
      <c r="T299" s="28">
        <v>0</v>
      </c>
      <c r="U299" s="28">
        <v>0</v>
      </c>
      <c r="V299" s="28">
        <v>1</v>
      </c>
    </row>
    <row r="300" spans="1:22" ht="21" customHeight="1" x14ac:dyDescent="0.15">
      <c r="A300" s="2" t="str">
        <f ca="1">input_384100!A$2</f>
        <v>384100</v>
      </c>
      <c r="B300" s="6">
        <v>379</v>
      </c>
      <c r="C300" s="7" t="str">
        <f t="shared" si="23"/>
        <v>PremiumSSS5R3less</v>
      </c>
      <c r="D300" s="7" t="str">
        <f t="shared" si="24"/>
        <v>PremiumSSS</v>
      </c>
      <c r="E300" s="7" t="str">
        <f>IF(COUNTIF('R6追加前'!A:A,B300)=0,IF(I300="PremiumSS","R5only","R3less"),"")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幾何の機刃 オイラー</v>
      </c>
      <c r="I300" s="7" t="str">
        <f>VLOOKUP(B300,[1]characters!$A:$J,10,FALSE)</f>
        <v>PremiumSSS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balance</v>
      </c>
      <c r="M300" s="7" t="str">
        <f>VLOOKUP(B300,[1]characters!$A:$M,13,FALSE)</f>
        <v>human</v>
      </c>
      <c r="N300" s="7" t="str">
        <f>VLOOKUP(B300,[1]characters!$A:$G,7,FALSE)</f>
        <v>女性</v>
      </c>
      <c r="O300" s="43">
        <f>IFERROR(VLOOKUP(B300,input_384100!L:R,7,FALSE),VLOOKUP(tables_384100!C300,input_384100!A:H,8,FALSE))</f>
        <v>24381</v>
      </c>
      <c r="P300" s="122">
        <f t="shared" ca="1" si="25"/>
        <v>3.2142857142857141E-4</v>
      </c>
      <c r="Q300" s="28">
        <v>1</v>
      </c>
      <c r="R300" s="28">
        <v>0</v>
      </c>
      <c r="S300" s="28">
        <v>0</v>
      </c>
      <c r="T300" s="28">
        <v>0</v>
      </c>
      <c r="U300" s="28">
        <v>0</v>
      </c>
      <c r="V300" s="28">
        <v>1</v>
      </c>
    </row>
    <row r="301" spans="1:22" ht="21" customHeight="1" x14ac:dyDescent="0.15">
      <c r="A301" s="2" t="str">
        <f ca="1">input_384100!A$2</f>
        <v>384100</v>
      </c>
      <c r="B301" s="6">
        <v>411</v>
      </c>
      <c r="C301" s="7" t="str">
        <f t="shared" si="23"/>
        <v>PremiumSSS5R3less</v>
      </c>
      <c r="D301" s="7" t="str">
        <f t="shared" si="24"/>
        <v>PremiumSSS</v>
      </c>
      <c r="E301" s="7" t="str">
        <f>IF(COUNTIF('R6追加前'!A:A,B301)=0,IF(I301="PremiumSS","R5only","R3less"),"")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電隷の始祖 ファラデー</v>
      </c>
      <c r="I301" s="7" t="str">
        <f>VLOOKUP(B301,[1]characters!$A:$J,10,FALSE)</f>
        <v>PremiumSSS</v>
      </c>
      <c r="J301" s="7">
        <f>VLOOKUP(B301,[1]characters!$A:$I,9,FALSE)</f>
        <v>5</v>
      </c>
      <c r="K301" s="7" t="str">
        <f>VLOOKUP(B301,[1]characters!$A:$H,8,FALSE)</f>
        <v>yellow</v>
      </c>
      <c r="L301" s="7" t="str">
        <f>VLOOKUP(B301,[1]characters!$A:$K,11,FALSE)</f>
        <v>balance</v>
      </c>
      <c r="M301" s="7" t="str">
        <f>VLOOKUP(B301,[1]characters!$A:$M,13,FALSE)</f>
        <v>human</v>
      </c>
      <c r="N301" s="7" t="str">
        <f>VLOOKUP(B301,[1]characters!$A:$G,7,FALSE)</f>
        <v>女性</v>
      </c>
      <c r="O301" s="43">
        <f>IFERROR(VLOOKUP(B301,input_384100!L:R,7,FALSE),VLOOKUP(tables_384100!C301,input_384100!A:H,8,FALSE))</f>
        <v>24381</v>
      </c>
      <c r="P301" s="122">
        <f t="shared" ca="1" si="25"/>
        <v>3.2142857142857141E-4</v>
      </c>
      <c r="Q301" s="28">
        <v>1</v>
      </c>
      <c r="R301" s="28">
        <v>0</v>
      </c>
      <c r="S301" s="28">
        <v>0</v>
      </c>
      <c r="T301" s="28">
        <v>0</v>
      </c>
      <c r="U301" s="28">
        <v>0</v>
      </c>
      <c r="V301" s="28">
        <v>1</v>
      </c>
    </row>
    <row r="302" spans="1:22" ht="21" customHeight="1" x14ac:dyDescent="0.15">
      <c r="A302" s="2" t="str">
        <f ca="1">input_384100!A$2</f>
        <v>384100</v>
      </c>
      <c r="B302" s="6">
        <v>485</v>
      </c>
      <c r="C302" s="7" t="str">
        <f t="shared" si="23"/>
        <v>PremiumSSS5R3less</v>
      </c>
      <c r="D302" s="7" t="str">
        <f t="shared" si="24"/>
        <v>PremiumSSS</v>
      </c>
      <c r="E302" s="7" t="str">
        <f>IF(COUNTIF('R6追加前'!A:A,B302)=0,IF(I302="PremiumSS","R5only","R3less"),"")</f>
        <v>R3less</v>
      </c>
      <c r="F302" s="7" t="str">
        <f>IF(COUNTIF('R6開放'!A:A,B302)&gt;0,"R6release","")</f>
        <v/>
      </c>
      <c r="G302" s="7"/>
      <c r="H302" s="7" t="str">
        <f>VLOOKUP(B302,[1]characters!$A:$C,3,FALSE)</f>
        <v>超越自我 ラグランジュ</v>
      </c>
      <c r="I302" s="7" t="str">
        <f>VLOOKUP(B302,[1]characters!$A:$J,10,FALSE)</f>
        <v>PremiumSSS</v>
      </c>
      <c r="J302" s="7">
        <f>VLOOKUP(B302,[1]characters!$A:$I,9,FALSE)</f>
        <v>5</v>
      </c>
      <c r="K302" s="7" t="str">
        <f>VLOOKUP(B302,[1]characters!$A:$H,8,FALSE)</f>
        <v>red</v>
      </c>
      <c r="L302" s="7" t="str">
        <f>VLOOKUP(B302,[1]characters!$A:$K,11,FALSE)</f>
        <v>technical</v>
      </c>
      <c r="M302" s="7" t="str">
        <f>VLOOKUP(B302,[1]characters!$A:$M,13,FALSE)</f>
        <v>human</v>
      </c>
      <c r="N302" s="7" t="str">
        <f>VLOOKUP(B302,[1]characters!$A:$G,7,FALSE)</f>
        <v>女性</v>
      </c>
      <c r="O302" s="43">
        <f>IFERROR(VLOOKUP(B302,input_384100!L:R,7,FALSE),VLOOKUP(tables_384100!C302,input_384100!A:H,8,FALSE))</f>
        <v>24381</v>
      </c>
      <c r="P302" s="122">
        <f t="shared" ca="1" si="25"/>
        <v>3.2142857142857141E-4</v>
      </c>
      <c r="Q302" s="28">
        <v>1</v>
      </c>
      <c r="R302" s="28">
        <v>0</v>
      </c>
      <c r="S302" s="28">
        <v>0</v>
      </c>
      <c r="T302" s="28">
        <v>0</v>
      </c>
      <c r="U302" s="28">
        <v>0</v>
      </c>
      <c r="V302" s="28">
        <v>1</v>
      </c>
    </row>
    <row r="303" spans="1:22" ht="21" customHeight="1" x14ac:dyDescent="0.15">
      <c r="A303" s="2" t="str">
        <f ca="1">input_384100!A$2</f>
        <v>384100</v>
      </c>
      <c r="B303" s="6">
        <v>689</v>
      </c>
      <c r="C303" s="7" t="str">
        <f t="shared" si="23"/>
        <v>PremiumSSS5R3less</v>
      </c>
      <c r="D303" s="7" t="str">
        <f t="shared" si="24"/>
        <v>PremiumSSS</v>
      </c>
      <c r="E303" s="7" t="str">
        <f>IF(COUNTIF('R6追加前'!A:A,B303)=0,IF(I303="PremiumSS","R5only","R3less"),"")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根原論理 ユークリッド</v>
      </c>
      <c r="I303" s="7" t="str">
        <f>VLOOKUP(B303,[1]characters!$A:$J,10,FALSE)</f>
        <v>PremiumSSS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balance</v>
      </c>
      <c r="M303" s="7" t="str">
        <f>VLOOKUP(B303,[1]characters!$A:$M,13,FALSE)</f>
        <v>human</v>
      </c>
      <c r="N303" s="7" t="str">
        <f>VLOOKUP(B303,[1]characters!$A:$G,7,FALSE)</f>
        <v>女性</v>
      </c>
      <c r="O303" s="43">
        <f>IFERROR(VLOOKUP(B303,input_384100!L:R,7,FALSE),VLOOKUP(tables_384100!C303,input_384100!A:H,8,FALSE))</f>
        <v>24381</v>
      </c>
      <c r="P303" s="122">
        <f t="shared" ca="1" si="25"/>
        <v>3.2142857142857141E-4</v>
      </c>
      <c r="Q303" s="28">
        <v>1</v>
      </c>
      <c r="R303" s="28">
        <v>0</v>
      </c>
      <c r="S303" s="28">
        <v>0</v>
      </c>
      <c r="T303" s="28">
        <v>0</v>
      </c>
      <c r="U303" s="28">
        <v>0</v>
      </c>
      <c r="V303" s="28">
        <v>1</v>
      </c>
    </row>
    <row r="304" spans="1:22" ht="21" customHeight="1" x14ac:dyDescent="0.15">
      <c r="A304" s="2" t="str">
        <f ca="1">input_384100!A$2</f>
        <v>384100</v>
      </c>
      <c r="B304" s="6">
        <v>760</v>
      </c>
      <c r="C304" s="7" t="str">
        <f t="shared" si="23"/>
        <v>PremiumSSS5R3less</v>
      </c>
      <c r="D304" s="7" t="str">
        <f t="shared" si="24"/>
        <v>PremiumSSS</v>
      </c>
      <c r="E304" s="7" t="str">
        <f>IF(COUNTIF('R6追加前'!A:A,B304)=0,IF(I304="PremiumSS","R5only","R3less"),"")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限論顕現 クロネッカー</v>
      </c>
      <c r="I304" s="7" t="str">
        <f>VLOOKUP(B304,[1]characters!$A:$J,10,FALSE)</f>
        <v>PremiumSSS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balance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3">
        <f>IFERROR(VLOOKUP(B304,input_384100!L:R,7,FALSE),VLOOKUP(tables_384100!C304,input_384100!A:H,8,FALSE))</f>
        <v>27090</v>
      </c>
      <c r="P304" s="122">
        <f t="shared" ca="1" si="25"/>
        <v>3.5714285714285714E-4</v>
      </c>
      <c r="Q304" s="28">
        <v>1</v>
      </c>
      <c r="R304" s="28">
        <v>0</v>
      </c>
      <c r="S304" s="28">
        <v>0</v>
      </c>
      <c r="T304" s="28">
        <v>0</v>
      </c>
      <c r="U304" s="28">
        <v>0</v>
      </c>
      <c r="V304" s="28">
        <v>1</v>
      </c>
    </row>
    <row r="305" spans="1:22" ht="21" customHeight="1" x14ac:dyDescent="0.15">
      <c r="A305" s="2" t="str">
        <f ca="1">input_384100!A$2</f>
        <v>384100</v>
      </c>
      <c r="B305" s="6">
        <v>750</v>
      </c>
      <c r="C305" s="7" t="str">
        <f t="shared" si="23"/>
        <v>PremiumSSS5R3less</v>
      </c>
      <c r="D305" s="7" t="str">
        <f t="shared" si="24"/>
        <v>PremiumSSS</v>
      </c>
      <c r="E305" s="7" t="str">
        <f>IF(COUNTIF('R6追加前'!A:A,B305)=0,IF(I305="PremiumSS","R5only","R3less"),"")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ポアソン</v>
      </c>
      <c r="I305" s="7" t="str">
        <f>VLOOKUP(B305,[1]characters!$A:$J,10,FALSE)</f>
        <v>PremiumSSS</v>
      </c>
      <c r="J305" s="7">
        <f>VLOOKUP(B305,[1]characters!$A:$I,9,FALSE)</f>
        <v>5</v>
      </c>
      <c r="K305" s="7" t="str">
        <f>VLOOKUP(B305,[1]characters!$A:$H,8,FALSE)</f>
        <v>green</v>
      </c>
      <c r="L305" s="7" t="str">
        <f>VLOOKUP(B305,[1]characters!$A:$K,11,FALSE)</f>
        <v>balance</v>
      </c>
      <c r="M305" s="7" t="str">
        <f>VLOOKUP(B305,[1]characters!$A:$M,13,FALSE)</f>
        <v>academia</v>
      </c>
      <c r="N305" s="7" t="str">
        <f>VLOOKUP(B305,[1]characters!$A:$G,7,FALSE)</f>
        <v>男性</v>
      </c>
      <c r="O305" s="43">
        <f>IFERROR(VLOOKUP(B305,input_384100!L:R,7,FALSE),VLOOKUP(tables_384100!C305,input_384100!A:H,8,FALSE))</f>
        <v>27090</v>
      </c>
      <c r="P305" s="122">
        <f t="shared" ca="1" si="25"/>
        <v>3.5714285714285714E-4</v>
      </c>
      <c r="Q305" s="28">
        <v>1</v>
      </c>
      <c r="R305" s="28">
        <v>0</v>
      </c>
      <c r="S305" s="28">
        <v>0</v>
      </c>
      <c r="T305" s="28">
        <v>0</v>
      </c>
      <c r="U305" s="28">
        <v>0</v>
      </c>
      <c r="V305" s="28">
        <v>1</v>
      </c>
    </row>
    <row r="306" spans="1:22" ht="21" customHeight="1" x14ac:dyDescent="0.15">
      <c r="A306" s="2" t="str">
        <f ca="1">input_384100!A$2</f>
        <v>384100</v>
      </c>
      <c r="B306" s="8">
        <v>870</v>
      </c>
      <c r="C306" s="7" t="str">
        <f t="shared" si="23"/>
        <v>PremiumSSS5R3less</v>
      </c>
      <c r="D306" s="7" t="str">
        <f t="shared" si="24"/>
        <v>PremiumSSS</v>
      </c>
      <c r="E306" s="7" t="str">
        <f>IF(COUNTIF('R6追加前'!A:A,B306)=0,IF(I306="PremiumSS","R5only","R3less"),"")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フロイト</v>
      </c>
      <c r="I306" s="7" t="str">
        <f>VLOOKUP(B306,[1]characters!$A:$J,10,FALSE)</f>
        <v>PremiumSSS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academia</v>
      </c>
      <c r="N306" s="7" t="str">
        <f>VLOOKUP(B306,[1]characters!$A:$G,7,FALSE)</f>
        <v>男性</v>
      </c>
      <c r="O306" s="43">
        <f>IFERROR(VLOOKUP(B306,input_384100!L:R,7,FALSE),VLOOKUP(tables_384100!C306,input_384100!A:H,8,FALSE))</f>
        <v>27090</v>
      </c>
      <c r="P306" s="122">
        <f t="shared" ca="1" si="25"/>
        <v>3.5714285714285714E-4</v>
      </c>
      <c r="Q306" s="28">
        <v>1</v>
      </c>
      <c r="R306" s="28">
        <v>0</v>
      </c>
      <c r="S306" s="28">
        <v>0</v>
      </c>
      <c r="T306" s="28">
        <v>0</v>
      </c>
      <c r="U306" s="28">
        <v>0</v>
      </c>
      <c r="V306" s="28">
        <v>1</v>
      </c>
    </row>
    <row r="307" spans="1:22" ht="21" customHeight="1" x14ac:dyDescent="0.15">
      <c r="A307" s="2" t="str">
        <f ca="1">input_384100!A$2</f>
        <v>384100</v>
      </c>
      <c r="B307" s="8">
        <v>486</v>
      </c>
      <c r="C307" s="7" t="str">
        <f t="shared" si="23"/>
        <v>PremiumSSS5R3less</v>
      </c>
      <c r="D307" s="7" t="str">
        <f t="shared" si="24"/>
        <v>PremiumSSS</v>
      </c>
      <c r="E307" s="7" t="str">
        <f>IF(COUNTIF('R6追加前'!A:A,B307)=0,IF(I307="PremiumSS","R5only","R3less"),"")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重なる世解 シュレディンガー</v>
      </c>
      <c r="I307" s="7" t="str">
        <f>VLOOKUP(B307,[1]characters!$A:$J,10,FALSE)</f>
        <v>PremiumSSS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balance</v>
      </c>
      <c r="M307" s="7" t="str">
        <f>VLOOKUP(B307,[1]characters!$A:$M,13,FALSE)</f>
        <v>animal</v>
      </c>
      <c r="N307" s="7" t="str">
        <f>VLOOKUP(B307,[1]characters!$A:$G,7,FALSE)</f>
        <v>男性</v>
      </c>
      <c r="O307" s="43">
        <f>IFERROR(VLOOKUP(B307,input_384100!L:R,7,FALSE),VLOOKUP(tables_384100!C307,input_384100!A:H,8,FALSE))</f>
        <v>27090</v>
      </c>
      <c r="P307" s="122">
        <f t="shared" ca="1" si="25"/>
        <v>3.5714285714285714E-4</v>
      </c>
      <c r="Q307" s="28">
        <v>1</v>
      </c>
      <c r="R307" s="28">
        <v>0</v>
      </c>
      <c r="S307" s="28">
        <v>0</v>
      </c>
      <c r="T307" s="28">
        <v>0</v>
      </c>
      <c r="U307" s="28">
        <v>0</v>
      </c>
      <c r="V307" s="28">
        <v>1</v>
      </c>
    </row>
    <row r="308" spans="1:22" ht="21" customHeight="1" x14ac:dyDescent="0.15">
      <c r="A308" s="2" t="str">
        <f ca="1">input_384100!A$2</f>
        <v>384100</v>
      </c>
      <c r="B308" s="6">
        <v>488</v>
      </c>
      <c r="C308" s="7" t="str">
        <f t="shared" si="23"/>
        <v>PremiumSSS5R3less</v>
      </c>
      <c r="D308" s="7" t="str">
        <f t="shared" si="24"/>
        <v>PremiumSSS</v>
      </c>
      <c r="E308" s="7" t="str">
        <f>IF(COUNTIF('R6追加前'!A:A,B308)=0,IF(I308="PremiumSS","R5only","R3less"),"")</f>
        <v>R3less</v>
      </c>
      <c r="F308" s="7" t="str">
        <f>IF(COUNTIF('R6開放'!A:A,B308)&gt;0,"R6release","")</f>
        <v/>
      </c>
      <c r="G308" s="7"/>
      <c r="H308" s="7" t="str">
        <f>VLOOKUP(B308,[1]characters!$A:$C,3,FALSE)</f>
        <v>直観の異論 ヘンペル</v>
      </c>
      <c r="I308" s="7" t="str">
        <f>VLOOKUP(B308,[1]characters!$A:$J,10,FALSE)</f>
        <v>PremiumSSS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technical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3">
        <f>IFERROR(VLOOKUP(B308,input_384100!L:R,7,FALSE),VLOOKUP(tables_384100!C308,input_384100!A:H,8,FALSE))</f>
        <v>27090</v>
      </c>
      <c r="P308" s="122">
        <f t="shared" ca="1" si="25"/>
        <v>3.5714285714285714E-4</v>
      </c>
      <c r="Q308" s="28">
        <v>1</v>
      </c>
      <c r="R308" s="28">
        <v>0</v>
      </c>
      <c r="S308" s="28">
        <v>0</v>
      </c>
      <c r="T308" s="28">
        <v>0</v>
      </c>
      <c r="U308" s="28">
        <v>0</v>
      </c>
      <c r="V308" s="28">
        <v>1</v>
      </c>
    </row>
    <row r="309" spans="1:22" ht="21" customHeight="1" x14ac:dyDescent="0.15">
      <c r="A309" s="2" t="str">
        <f ca="1">input_384100!A$2</f>
        <v>384100</v>
      </c>
      <c r="B309" s="6">
        <v>489</v>
      </c>
      <c r="C309" s="7" t="str">
        <f t="shared" si="23"/>
        <v>PremiumSSS5R3less</v>
      </c>
      <c r="D309" s="7" t="str">
        <f t="shared" si="24"/>
        <v>PremiumSSS</v>
      </c>
      <c r="E309" s="7" t="str">
        <f>IF(COUNTIF('R6追加前'!A:A,B309)=0,IF(I309="PremiumSS","R5only","R3less"),"")</f>
        <v>R3less</v>
      </c>
      <c r="F309" s="7" t="str">
        <f>IF(COUNTIF('R6開放'!A:A,B309)&gt;0,"R6release","")</f>
        <v/>
      </c>
      <c r="G309" s="7"/>
      <c r="H309" s="7" t="str">
        <f>VLOOKUP(B309,[1]characters!$A:$C,3,FALSE)</f>
        <v>宇宙の拡超 ハップル</v>
      </c>
      <c r="I309" s="7" t="str">
        <f>VLOOKUP(B309,[1]characters!$A:$J,10,FALSE)</f>
        <v>PremiumSSS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女性</v>
      </c>
      <c r="O309" s="43">
        <f>IFERROR(VLOOKUP(B309,input_384100!L:R,7,FALSE),VLOOKUP(tables_384100!C309,input_384100!A:H,8,FALSE))</f>
        <v>27090</v>
      </c>
      <c r="P309" s="122">
        <f t="shared" ca="1" si="25"/>
        <v>3.5714285714285714E-4</v>
      </c>
      <c r="Q309" s="28">
        <v>1</v>
      </c>
      <c r="R309" s="28">
        <v>0</v>
      </c>
      <c r="S309" s="28">
        <v>0</v>
      </c>
      <c r="T309" s="28">
        <v>0</v>
      </c>
      <c r="U309" s="28">
        <v>0</v>
      </c>
      <c r="V309" s="28">
        <v>1</v>
      </c>
    </row>
    <row r="310" spans="1:22" ht="21" customHeight="1" x14ac:dyDescent="0.15">
      <c r="A310" s="2" t="str">
        <f ca="1">input_384100!A$2</f>
        <v>384100</v>
      </c>
      <c r="B310" s="6">
        <v>762</v>
      </c>
      <c r="C310" s="7" t="str">
        <f t="shared" si="23"/>
        <v>PremiumSSS5R3less</v>
      </c>
      <c r="D310" s="7" t="str">
        <f t="shared" si="24"/>
        <v>PremiumSSS</v>
      </c>
      <c r="E310" s="7" t="str">
        <f>IF(COUNTIF('R6追加前'!A:A,B310)=0,IF(I310="PremiumSS","R5only","R3less"),"")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フィボナッチ</v>
      </c>
      <c r="I310" s="7" t="str">
        <f>VLOOKUP(B310,[1]characters!$A:$J,10,FALSE)</f>
        <v>PremiumSSS</v>
      </c>
      <c r="J310" s="7">
        <f>VLOOKUP(B310,[1]characters!$A:$I,9,FALSE)</f>
        <v>5</v>
      </c>
      <c r="K310" s="7" t="str">
        <f>VLOOKUP(B310,[1]characters!$A:$H,8,FALSE)</f>
        <v>blue</v>
      </c>
      <c r="L310" s="7" t="str">
        <f>VLOOKUP(B310,[1]characters!$A:$K,11,FALSE)</f>
        <v>balance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3">
        <f>IFERROR(VLOOKUP(B310,input_384100!L:R,7,FALSE),VLOOKUP(tables_384100!C310,input_384100!A:H,8,FALSE))</f>
        <v>27090</v>
      </c>
      <c r="P310" s="122">
        <f t="shared" ca="1" si="25"/>
        <v>3.5714285714285714E-4</v>
      </c>
      <c r="Q310" s="28">
        <v>1</v>
      </c>
      <c r="R310" s="28">
        <v>0</v>
      </c>
      <c r="S310" s="28">
        <v>0</v>
      </c>
      <c r="T310" s="28">
        <v>0</v>
      </c>
      <c r="U310" s="28">
        <v>0</v>
      </c>
      <c r="V310" s="28">
        <v>1</v>
      </c>
    </row>
    <row r="311" spans="1:22" ht="21" customHeight="1" x14ac:dyDescent="0.15">
      <c r="A311" s="2" t="str">
        <f ca="1">input_384100!A$2</f>
        <v>384100</v>
      </c>
      <c r="B311" s="5">
        <v>487</v>
      </c>
      <c r="C311" s="7" t="str">
        <f t="shared" si="23"/>
        <v>PremiumSSS5R3less</v>
      </c>
      <c r="D311" s="7" t="str">
        <f t="shared" si="24"/>
        <v>PremiumSSS</v>
      </c>
      <c r="E311" s="7" t="str">
        <f>IF(COUNTIF('R6追加前'!A:A,B311)=0,IF(I311="PremiumSS","R5only","R3less"),"")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暴創の造物 チューリング</v>
      </c>
      <c r="I311" s="7" t="str">
        <f>VLOOKUP(B311,[1]characters!$A:$J,10,FALSE)</f>
        <v>PremiumSSS</v>
      </c>
      <c r="J311" s="7">
        <f>VLOOKUP(B311,[1]characters!$A:$I,9,FALSE)</f>
        <v>5</v>
      </c>
      <c r="K311" s="7" t="str">
        <f>VLOOKUP(B311,[1]characters!$A:$H,8,FALSE)</f>
        <v>green</v>
      </c>
      <c r="L311" s="7" t="str">
        <f>VLOOKUP(B311,[1]characters!$A:$K,11,FALSE)</f>
        <v>hp</v>
      </c>
      <c r="M311" s="7" t="str">
        <f>VLOOKUP(B311,[1]characters!$A:$M,13,FALSE)</f>
        <v>human</v>
      </c>
      <c r="N311" s="7" t="str">
        <f>VLOOKUP(B311,[1]characters!$A:$G,7,FALSE)</f>
        <v>女性</v>
      </c>
      <c r="O311" s="43">
        <f>IFERROR(VLOOKUP(B311,input_384100!L:R,7,FALSE),VLOOKUP(tables_384100!C311,input_384100!A:H,8,FALSE))</f>
        <v>27090</v>
      </c>
      <c r="P311" s="122">
        <f t="shared" ca="1" si="25"/>
        <v>3.5714285714285714E-4</v>
      </c>
      <c r="Q311" s="28">
        <v>1</v>
      </c>
      <c r="R311" s="28">
        <v>0</v>
      </c>
      <c r="S311" s="28">
        <v>0</v>
      </c>
      <c r="T311" s="28">
        <v>0</v>
      </c>
      <c r="U311" s="28">
        <v>0</v>
      </c>
      <c r="V311" s="28">
        <v>1</v>
      </c>
    </row>
    <row r="312" spans="1:22" ht="21" customHeight="1" x14ac:dyDescent="0.15">
      <c r="A312" s="2" t="str">
        <f ca="1">input_384100!A$2</f>
        <v>384100</v>
      </c>
      <c r="B312" s="5">
        <v>790</v>
      </c>
      <c r="C312" s="7" t="str">
        <f t="shared" si="23"/>
        <v>PremiumSSS5R3less</v>
      </c>
      <c r="D312" s="7" t="str">
        <f t="shared" si="24"/>
        <v>PremiumSSS</v>
      </c>
      <c r="E312" s="7" t="str">
        <f>IF(COUNTIF('R6追加前'!A:A,B312)=0,IF(I312="PremiumSS","R5only","R3less"),"")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戦略級の才脳 ノイマン</v>
      </c>
      <c r="I312" s="7" t="str">
        <f>VLOOKUP(B312,[1]characters!$A:$J,10,FALSE)</f>
        <v>PremiumSSS</v>
      </c>
      <c r="J312" s="7">
        <f>VLOOKUP(B312,[1]characters!$A:$I,9,FALSE)</f>
        <v>5</v>
      </c>
      <c r="K312" s="7" t="str">
        <f>VLOOKUP(B312,[1]characters!$A:$H,8,FALSE)</f>
        <v>blue</v>
      </c>
      <c r="L312" s="7" t="str">
        <f>VLOOKUP(B312,[1]characters!$A:$K,11,FALSE)</f>
        <v>attack</v>
      </c>
      <c r="M312" s="7" t="str">
        <f>VLOOKUP(B312,[1]characters!$A:$M,13,FALSE)</f>
        <v>machine</v>
      </c>
      <c r="N312" s="7" t="str">
        <f>VLOOKUP(B312,[1]characters!$A:$G,7,FALSE)</f>
        <v>女性</v>
      </c>
      <c r="O312" s="43">
        <f>IFERROR(VLOOKUP(B312,input_384100!L:R,7,FALSE),VLOOKUP(tables_384100!C312,input_384100!A:H,8,FALSE))</f>
        <v>27090</v>
      </c>
      <c r="P312" s="122">
        <f t="shared" ca="1" si="25"/>
        <v>3.5714285714285714E-4</v>
      </c>
      <c r="Q312" s="28">
        <v>1</v>
      </c>
      <c r="R312" s="28">
        <v>0</v>
      </c>
      <c r="S312" s="28">
        <v>0</v>
      </c>
      <c r="T312" s="28">
        <v>0</v>
      </c>
      <c r="U312" s="28">
        <v>0</v>
      </c>
      <c r="V312" s="28">
        <v>1</v>
      </c>
    </row>
    <row r="313" spans="1:22" ht="21" customHeight="1" x14ac:dyDescent="0.15">
      <c r="A313" s="2" t="str">
        <f ca="1">input_384100!A$2</f>
        <v>384100</v>
      </c>
      <c r="B313" s="5">
        <v>792</v>
      </c>
      <c r="C313" s="7" t="str">
        <f t="shared" si="23"/>
        <v>PremiumSSS5R3less</v>
      </c>
      <c r="D313" s="7" t="str">
        <f t="shared" si="24"/>
        <v>PremiumSSS</v>
      </c>
      <c r="E313" s="7" t="str">
        <f>IF(COUNTIF('R6追加前'!A:A,B313)=0,IF(I313="PremiumSS","R5only","R3less"),"")</f>
        <v>R3less</v>
      </c>
      <c r="F313" s="7" t="str">
        <f>IF(COUNTIF('R6開放'!A:A,B313)&gt;0,"R6release","")</f>
        <v/>
      </c>
      <c r="G313" s="7"/>
      <c r="H313" s="7" t="str">
        <f>VLOOKUP(B313,[1]characters!$A:$C,3,FALSE)</f>
        <v>片還の収波 フーリエ</v>
      </c>
      <c r="I313" s="7" t="str">
        <f>VLOOKUP(B313,[1]characters!$A:$J,10,FALSE)</f>
        <v>PremiumSSS</v>
      </c>
      <c r="J313" s="7">
        <f>VLOOKUP(B313,[1]characters!$A:$I,9,FALSE)</f>
        <v>5</v>
      </c>
      <c r="K313" s="7" t="str">
        <f>VLOOKUP(B313,[1]characters!$A:$H,8,FALSE)</f>
        <v>yellow</v>
      </c>
      <c r="L313" s="7" t="str">
        <f>VLOOKUP(B313,[1]characters!$A:$K,11,FALSE)</f>
        <v>technical</v>
      </c>
      <c r="M313" s="7" t="str">
        <f>VLOOKUP(B313,[1]characters!$A:$M,13,FALSE)</f>
        <v>human</v>
      </c>
      <c r="N313" s="7" t="str">
        <f>VLOOKUP(B313,[1]characters!$A:$G,7,FALSE)</f>
        <v>男性</v>
      </c>
      <c r="O313" s="43">
        <f>IFERROR(VLOOKUP(B313,input_384100!L:R,7,FALSE),VLOOKUP(tables_384100!C313,input_384100!A:H,8,FALSE))</f>
        <v>27090</v>
      </c>
      <c r="P313" s="122">
        <f t="shared" ca="1" si="25"/>
        <v>3.5714285714285714E-4</v>
      </c>
      <c r="Q313" s="28">
        <v>1</v>
      </c>
      <c r="R313" s="28">
        <v>0</v>
      </c>
      <c r="S313" s="28">
        <v>0</v>
      </c>
      <c r="T313" s="28">
        <v>0</v>
      </c>
      <c r="U313" s="28">
        <v>0</v>
      </c>
      <c r="V313" s="28">
        <v>1</v>
      </c>
    </row>
    <row r="314" spans="1:22" ht="21" customHeight="1" x14ac:dyDescent="0.15">
      <c r="A314" s="2" t="str">
        <f ca="1">input_384100!A$2</f>
        <v>384100</v>
      </c>
      <c r="B314" s="120">
        <v>378</v>
      </c>
      <c r="C314" s="7" t="str">
        <f t="shared" si="23"/>
        <v>PremiumSSS4R3less</v>
      </c>
      <c r="D314" s="7" t="str">
        <f t="shared" si="24"/>
        <v>PremiumSSS</v>
      </c>
      <c r="E314" s="7" t="str">
        <f>IF(COUNTIF('R6追加前'!A:A,B314)=0,IF(I314="PremiumSS","R5only","R3less"),"")</f>
        <v>R3less</v>
      </c>
      <c r="F314" s="7" t="str">
        <f>IF(COUNTIF('R6開放'!A:A,B314)&gt;0,"R6release","")</f>
        <v/>
      </c>
      <c r="G314" s="7"/>
      <c r="H314" s="7" t="str">
        <f>VLOOKUP(B314,[1]characters!$A:$C,3,FALSE)</f>
        <v>オイラー</v>
      </c>
      <c r="I314" s="7" t="str">
        <f>VLOOKUP(B314,[1]characters!$A:$J,10,FALSE)</f>
        <v>PremiumSSS</v>
      </c>
      <c r="J314" s="7">
        <f>VLOOKUP(B314,[1]characters!$A:$I,9,FALSE)</f>
        <v>4</v>
      </c>
      <c r="K314" s="7" t="str">
        <f>VLOOKUP(B314,[1]characters!$A:$H,8,FALSE)</f>
        <v>green</v>
      </c>
      <c r="L314" s="7" t="str">
        <f>VLOOKUP(B314,[1]characters!$A:$K,11,FALSE)</f>
        <v>balance</v>
      </c>
      <c r="M314" s="7" t="str">
        <f>VLOOKUP(B314,[1]characters!$A:$M,13,FALSE)</f>
        <v>human</v>
      </c>
      <c r="N314" s="7" t="str">
        <f>VLOOKUP(B314,[1]characters!$A:$G,7,FALSE)</f>
        <v>女性</v>
      </c>
      <c r="O314" s="43">
        <f>IFERROR(VLOOKUP(B314,input_384100!L:R,7,FALSE),VLOOKUP(tables_384100!C314,input_384100!A:H,8,FALSE))</f>
        <v>2709</v>
      </c>
      <c r="P314" s="122">
        <f t="shared" ca="1" si="25"/>
        <v>3.5714285714285717E-5</v>
      </c>
      <c r="Q314" s="28">
        <v>1</v>
      </c>
      <c r="R314" s="28">
        <v>0</v>
      </c>
      <c r="S314" s="28">
        <v>0</v>
      </c>
      <c r="T314" s="28">
        <v>0</v>
      </c>
      <c r="U314" s="28">
        <v>0</v>
      </c>
      <c r="V314" s="28">
        <v>1</v>
      </c>
    </row>
    <row r="315" spans="1:22" ht="21" customHeight="1" x14ac:dyDescent="0.15">
      <c r="A315" s="2" t="str">
        <f ca="1">input_384100!A$2</f>
        <v>384100</v>
      </c>
      <c r="B315" s="120">
        <v>410</v>
      </c>
      <c r="C315" s="7" t="str">
        <f t="shared" si="23"/>
        <v>PremiumSSS4R3less</v>
      </c>
      <c r="D315" s="7" t="str">
        <f t="shared" si="24"/>
        <v>PremiumSSS</v>
      </c>
      <c r="E315" s="7" t="str">
        <f>IF(COUNTIF('R6追加前'!A:A,B315)=0,IF(I315="PremiumSS","R5only","R3less"),"")</f>
        <v>R3less</v>
      </c>
      <c r="F315" s="7" t="str">
        <f>IF(COUNTIF('R6開放'!A:A,B315)&gt;0,"R6release","")</f>
        <v/>
      </c>
      <c r="G315" s="7"/>
      <c r="H315" s="7" t="str">
        <f>VLOOKUP(B315,[1]characters!$A:$C,3,FALSE)</f>
        <v>ファラデー</v>
      </c>
      <c r="I315" s="7" t="str">
        <f>VLOOKUP(B315,[1]characters!$A:$J,10,FALSE)</f>
        <v>PremiumSSS</v>
      </c>
      <c r="J315" s="7">
        <f>VLOOKUP(B315,[1]characters!$A:$I,9,FALSE)</f>
        <v>4</v>
      </c>
      <c r="K315" s="7" t="str">
        <f>VLOOKUP(B315,[1]characters!$A:$H,8,FALSE)</f>
        <v>yellow</v>
      </c>
      <c r="L315" s="7" t="str">
        <f>VLOOKUP(B315,[1]characters!$A:$K,11,FALSE)</f>
        <v>balance</v>
      </c>
      <c r="M315" s="7" t="str">
        <f>VLOOKUP(B315,[1]characters!$A:$M,13,FALSE)</f>
        <v>human</v>
      </c>
      <c r="N315" s="7" t="str">
        <f>VLOOKUP(B315,[1]characters!$A:$G,7,FALSE)</f>
        <v>女性</v>
      </c>
      <c r="O315" s="43">
        <f>IFERROR(VLOOKUP(B315,input_384100!L:R,7,FALSE),VLOOKUP(tables_384100!C315,input_384100!A:H,8,FALSE))</f>
        <v>2709</v>
      </c>
      <c r="P315" s="122">
        <f t="shared" ca="1" si="25"/>
        <v>3.5714285714285717E-5</v>
      </c>
      <c r="Q315" s="28">
        <v>1</v>
      </c>
      <c r="R315" s="28">
        <v>0</v>
      </c>
      <c r="S315" s="28">
        <v>0</v>
      </c>
      <c r="T315" s="28">
        <v>0</v>
      </c>
      <c r="U315" s="28">
        <v>0</v>
      </c>
      <c r="V315" s="28">
        <v>1</v>
      </c>
    </row>
    <row r="316" spans="1:22" ht="21" customHeight="1" x14ac:dyDescent="0.15">
      <c r="A316" s="2" t="str">
        <f ca="1">input_384100!A$2</f>
        <v>384100</v>
      </c>
      <c r="B316" s="120">
        <v>484</v>
      </c>
      <c r="C316" s="7" t="str">
        <f t="shared" si="23"/>
        <v>PremiumSSS4R3less</v>
      </c>
      <c r="D316" s="7" t="str">
        <f t="shared" si="24"/>
        <v>PremiumSSS</v>
      </c>
      <c r="E316" s="7" t="str">
        <f>IF(COUNTIF('R6追加前'!A:A,B316)=0,IF(I316="PremiumSS","R5only","R3less"),"")</f>
        <v>R3less</v>
      </c>
      <c r="F316" s="7" t="str">
        <f>IF(COUNTIF('R6開放'!A:A,B316)&gt;0,"R6release","")</f>
        <v/>
      </c>
      <c r="G316" s="7"/>
      <c r="H316" s="7" t="str">
        <f>VLOOKUP(B316,[1]characters!$A:$C,3,FALSE)</f>
        <v>ラグランジュ</v>
      </c>
      <c r="I316" s="7" t="str">
        <f>VLOOKUP(B316,[1]characters!$A:$J,10,FALSE)</f>
        <v>PremiumSSS</v>
      </c>
      <c r="J316" s="7">
        <f>VLOOKUP(B316,[1]characters!$A:$I,9,FALSE)</f>
        <v>4</v>
      </c>
      <c r="K316" s="7" t="str">
        <f>VLOOKUP(B316,[1]characters!$A:$H,8,FALSE)</f>
        <v>red</v>
      </c>
      <c r="L316" s="7" t="str">
        <f>VLOOKUP(B316,[1]characters!$A:$K,11,FALSE)</f>
        <v>technical</v>
      </c>
      <c r="M316" s="7" t="str">
        <f>VLOOKUP(B316,[1]characters!$A:$M,13,FALSE)</f>
        <v>human</v>
      </c>
      <c r="N316" s="7" t="str">
        <f>VLOOKUP(B316,[1]characters!$A:$G,7,FALSE)</f>
        <v>女性</v>
      </c>
      <c r="O316" s="43">
        <f>IFERROR(VLOOKUP(B316,input_384100!L:R,7,FALSE),VLOOKUP(tables_384100!C316,input_384100!A:H,8,FALSE))</f>
        <v>2709</v>
      </c>
      <c r="P316" s="122">
        <f t="shared" ca="1" si="25"/>
        <v>3.5714285714285717E-5</v>
      </c>
      <c r="Q316" s="28">
        <v>1</v>
      </c>
      <c r="R316" s="28">
        <v>0</v>
      </c>
      <c r="S316" s="28">
        <v>0</v>
      </c>
      <c r="T316" s="28">
        <v>0</v>
      </c>
      <c r="U316" s="28">
        <v>0</v>
      </c>
      <c r="V316" s="28">
        <v>1</v>
      </c>
    </row>
    <row r="317" spans="1:22" ht="21" customHeight="1" x14ac:dyDescent="0.15">
      <c r="A317" s="2" t="str">
        <f ca="1">input_384100!A$2</f>
        <v>384100</v>
      </c>
      <c r="B317" s="120">
        <v>688</v>
      </c>
      <c r="C317" s="7" t="str">
        <f t="shared" si="23"/>
        <v>PremiumSSS4R3less</v>
      </c>
      <c r="D317" s="7" t="str">
        <f t="shared" si="24"/>
        <v>PremiumSSS</v>
      </c>
      <c r="E317" s="7" t="str">
        <f>IF(COUNTIF('R6追加前'!A:A,B317)=0,IF(I317="PremiumSS","R5only","R3less"),"")</f>
        <v>R3less</v>
      </c>
      <c r="F317" s="7" t="str">
        <f>IF(COUNTIF('R6開放'!A:A,B317)&gt;0,"R6release","")</f>
        <v/>
      </c>
      <c r="G317" s="7"/>
      <c r="H317" s="7" t="str">
        <f>VLOOKUP(B317,[1]characters!$A:$C,3,FALSE)</f>
        <v>ユークリッド</v>
      </c>
      <c r="I317" s="7" t="str">
        <f>VLOOKUP(B317,[1]characters!$A:$J,10,FALSE)</f>
        <v>PremiumSSS</v>
      </c>
      <c r="J317" s="7">
        <f>VLOOKUP(B317,[1]characters!$A:$I,9,FALSE)</f>
        <v>4</v>
      </c>
      <c r="K317" s="7" t="str">
        <f>VLOOKUP(B317,[1]characters!$A:$H,8,FALSE)</f>
        <v>blue</v>
      </c>
      <c r="L317" s="7" t="str">
        <f>VLOOKUP(B317,[1]characters!$A:$K,11,FALSE)</f>
        <v>balance</v>
      </c>
      <c r="M317" s="7" t="str">
        <f>VLOOKUP(B317,[1]characters!$A:$M,13,FALSE)</f>
        <v>human</v>
      </c>
      <c r="N317" s="7" t="str">
        <f>VLOOKUP(B317,[1]characters!$A:$G,7,FALSE)</f>
        <v>女性</v>
      </c>
      <c r="O317" s="43">
        <f>IFERROR(VLOOKUP(B317,input_384100!L:R,7,FALSE),VLOOKUP(tables_384100!C317,input_384100!A:H,8,FALSE))</f>
        <v>2709</v>
      </c>
      <c r="P317" s="122">
        <f t="shared" ca="1" si="25"/>
        <v>3.5714285714285717E-5</v>
      </c>
      <c r="Q317" s="28">
        <v>1</v>
      </c>
      <c r="R317" s="28">
        <v>0</v>
      </c>
      <c r="S317" s="28">
        <v>0</v>
      </c>
      <c r="T317" s="28">
        <v>0</v>
      </c>
      <c r="U317" s="28">
        <v>0</v>
      </c>
      <c r="V317" s="28">
        <v>1</v>
      </c>
    </row>
  </sheetData>
  <autoFilter ref="A1:V294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63"/>
  <sheetViews>
    <sheetView showGridLines="0" zoomScale="75" zoomScaleNormal="75" zoomScalePageLayoutView="75" workbookViewId="0">
      <pane ySplit="1" topLeftCell="A2" activePane="bottomLeft" state="frozen"/>
      <selection activeCell="E6" sqref="E6"/>
      <selection pane="bottomLeft" activeCell="L18" sqref="L18"/>
    </sheetView>
  </sheetViews>
  <sheetFormatPr baseColWidth="12" defaultRowHeight="21" customHeight="1" outlineLevelCol="1" x14ac:dyDescent="0.15"/>
  <cols>
    <col min="1" max="1" width="12.59765625" style="111" bestFit="1" customWidth="1"/>
    <col min="2" max="2" width="10.3984375" style="111" customWidth="1"/>
    <col min="3" max="3" width="17.59765625" style="111" bestFit="1" customWidth="1" outlineLevel="1"/>
    <col min="4" max="7" width="17.59765625" style="111" customWidth="1" outlineLevel="1"/>
    <col min="8" max="8" width="23.3984375" style="111" customWidth="1" outlineLevel="1"/>
    <col min="9" max="9" width="13.59765625" style="111" customWidth="1" outlineLevel="1"/>
    <col min="10" max="10" width="9.59765625" style="111" customWidth="1" outlineLevel="1"/>
    <col min="11" max="11" width="10.3984375" style="115" customWidth="1" outlineLevel="1"/>
    <col min="12" max="12" width="18.796875" style="111" customWidth="1" outlineLevel="1"/>
    <col min="13" max="14" width="19" style="111" customWidth="1" outlineLevel="1"/>
    <col min="15" max="15" width="17" style="111" bestFit="1" customWidth="1"/>
    <col min="16" max="16" width="11.3984375" style="111" customWidth="1"/>
    <col min="17" max="17" width="13.19921875" style="111" bestFit="1" customWidth="1"/>
    <col min="18" max="16384" width="13" style="111"/>
  </cols>
  <sheetData>
    <row r="1" spans="1:22" ht="21" customHeight="1" x14ac:dyDescent="0.15">
      <c r="A1" s="108" t="s">
        <v>235</v>
      </c>
      <c r="B1" s="109" t="s">
        <v>1</v>
      </c>
      <c r="C1" s="110" t="s">
        <v>30</v>
      </c>
      <c r="D1" s="110" t="s">
        <v>93</v>
      </c>
      <c r="E1" s="110" t="s">
        <v>162</v>
      </c>
      <c r="F1" s="110" t="s">
        <v>163</v>
      </c>
      <c r="G1" s="110" t="s">
        <v>100</v>
      </c>
      <c r="H1" s="110" t="s">
        <v>32</v>
      </c>
      <c r="I1" s="110" t="s">
        <v>33</v>
      </c>
      <c r="J1" s="110" t="s">
        <v>236</v>
      </c>
      <c r="K1" s="110" t="s">
        <v>50</v>
      </c>
      <c r="L1" s="110" t="s">
        <v>237</v>
      </c>
      <c r="M1" s="110" t="s">
        <v>36</v>
      </c>
      <c r="N1" s="110" t="s">
        <v>56</v>
      </c>
      <c r="O1" s="109" t="s">
        <v>238</v>
      </c>
      <c r="P1" s="110" t="s">
        <v>61</v>
      </c>
      <c r="Q1" s="109" t="s">
        <v>239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112">
        <v>384104</v>
      </c>
      <c r="B2" s="58">
        <v>732</v>
      </c>
      <c r="C2" s="113" t="str">
        <f t="shared" ref="C2:C31" si="0">D2&amp;J2&amp;E2&amp;F2&amp;G2</f>
        <v>PremiumSS5R5only</v>
      </c>
      <c r="D2" s="113" t="str">
        <f t="shared" ref="D2:D31" si="1">IF(I2="PremiumSS",I2,IF(I2="PremiumSSS",I2,IF(I2="PremiumW",I2,"Premium")))</f>
        <v>PremiumSS</v>
      </c>
      <c r="E2" s="113" t="str">
        <f>IF(COUNTIF('R6追加前'!A:A,B2)=0,IF(I2="PremiumSS","R5only","R3less"),"")</f>
        <v>R5only</v>
      </c>
      <c r="F2" s="113" t="str">
        <f>IF(COUNTIF([2]R6開放!A:A,B2)&gt;0,"R6release","")</f>
        <v/>
      </c>
      <c r="G2" s="113"/>
      <c r="H2" s="113" t="str">
        <f>VLOOKUP(B2,[1]characters!$A:$C,3,FALSE)</f>
        <v>上杉謙信</v>
      </c>
      <c r="I2" s="113" t="str">
        <f>VLOOKUP(B2,[1]characters!$A:$J,10,FALSE)</f>
        <v>PremiumSS</v>
      </c>
      <c r="J2" s="113">
        <f>VLOOKUP(B2,[1]characters!$A:$I,9,FALSE)</f>
        <v>5</v>
      </c>
      <c r="K2" s="113" t="str">
        <f>VLOOKUP(B2,[1]characters!$A:$H,8,FALSE)</f>
        <v>blue</v>
      </c>
      <c r="L2" s="113" t="str">
        <f>VLOOKUP(B2,[1]characters!$A:$K,11,FALSE)</f>
        <v>attack</v>
      </c>
      <c r="M2" s="113" t="str">
        <f>VLOOKUP(B2,[1]characters!$A:$M,13,FALSE)</f>
        <v>human</v>
      </c>
      <c r="N2" s="113" t="str">
        <f>VLOOKUP(B2,[1]characters!$A:$G,7,FALSE)</f>
        <v>女性</v>
      </c>
      <c r="O2" s="124">
        <v>10</v>
      </c>
      <c r="P2" s="123">
        <f>O2/SUM(O:O)</f>
        <v>3.3333333333333333E-2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112">
        <v>384104</v>
      </c>
      <c r="B3" s="58">
        <v>734</v>
      </c>
      <c r="C3" s="113" t="str">
        <f t="shared" si="0"/>
        <v>PremiumSS5R5only</v>
      </c>
      <c r="D3" s="113" t="str">
        <f t="shared" si="1"/>
        <v>PremiumSS</v>
      </c>
      <c r="E3" s="113" t="str">
        <f>IF(COUNTIF('R6追加前'!A:A,B3)=0,IF(I3="PremiumSS","R5only","R3less"),"")</f>
        <v>R5only</v>
      </c>
      <c r="F3" s="113" t="str">
        <f>IF(COUNTIF([2]R6開放!A:A,B3)&gt;0,"R6release","")</f>
        <v/>
      </c>
      <c r="G3" s="113"/>
      <c r="H3" s="113" t="str">
        <f>VLOOKUP(B3,[1]characters!$A:$C,3,FALSE)</f>
        <v>伊達政宗</v>
      </c>
      <c r="I3" s="113" t="str">
        <f>VLOOKUP(B3,[1]characters!$A:$J,10,FALSE)</f>
        <v>PremiumSS</v>
      </c>
      <c r="J3" s="113">
        <f>VLOOKUP(B3,[1]characters!$A:$I,9,FALSE)</f>
        <v>5</v>
      </c>
      <c r="K3" s="113" t="str">
        <f>VLOOKUP(B3,[1]characters!$A:$H,8,FALSE)</f>
        <v>yellow</v>
      </c>
      <c r="L3" s="113" t="str">
        <f>VLOOKUP(B3,[1]characters!$A:$K,11,FALSE)</f>
        <v>balance</v>
      </c>
      <c r="M3" s="113" t="str">
        <f>VLOOKUP(B3,[1]characters!$A:$M,13,FALSE)</f>
        <v>human</v>
      </c>
      <c r="N3" s="113" t="str">
        <f>VLOOKUP(B3,[1]characters!$A:$G,7,FALSE)</f>
        <v>男性</v>
      </c>
      <c r="O3" s="124">
        <v>10</v>
      </c>
      <c r="P3" s="123">
        <f t="shared" ref="P3:P31" si="2">O3/SUM(O:O)</f>
        <v>3.3333333333333333E-2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112">
        <v>384104</v>
      </c>
      <c r="B4" s="58">
        <v>325</v>
      </c>
      <c r="C4" s="113" t="str">
        <f t="shared" si="0"/>
        <v>PremiumSS5</v>
      </c>
      <c r="D4" s="113" t="str">
        <f t="shared" si="1"/>
        <v>PremiumSS</v>
      </c>
      <c r="E4" s="113" t="str">
        <f>IF(COUNTIF('R6追加前'!A:A,B4)=0,IF(I4="PremiumSS","R5only","R3less"),"")</f>
        <v/>
      </c>
      <c r="F4" s="113" t="str">
        <f>IF(COUNTIF([2]R6開放!A:A,B4)&gt;0,"R6release","")</f>
        <v/>
      </c>
      <c r="G4" s="113"/>
      <c r="H4" s="113" t="str">
        <f>VLOOKUP(B4,[1]characters!$A:$C,3,FALSE)</f>
        <v>天賦の凛志士 沖田総司</v>
      </c>
      <c r="I4" s="113" t="str">
        <f>VLOOKUP(B4,[1]characters!$A:$J,10,FALSE)</f>
        <v>PremiumSS</v>
      </c>
      <c r="J4" s="113">
        <f>VLOOKUP(B4,[1]characters!$A:$I,9,FALSE)</f>
        <v>5</v>
      </c>
      <c r="K4" s="113" t="str">
        <f>VLOOKUP(B4,[1]characters!$A:$H,8,FALSE)</f>
        <v>blue</v>
      </c>
      <c r="L4" s="113" t="str">
        <f>VLOOKUP(B4,[1]characters!$A:$K,11,FALSE)</f>
        <v>balance</v>
      </c>
      <c r="M4" s="113" t="str">
        <f>VLOOKUP(B4,[1]characters!$A:$M,13,FALSE)</f>
        <v>human</v>
      </c>
      <c r="N4" s="113" t="str">
        <f>VLOOKUP(B4,[1]characters!$A:$G,7,FALSE)</f>
        <v>女性</v>
      </c>
      <c r="O4" s="124">
        <v>10</v>
      </c>
      <c r="P4" s="123">
        <f t="shared" si="2"/>
        <v>3.3333333333333333E-2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112">
        <v>384104</v>
      </c>
      <c r="B5" s="58">
        <v>391</v>
      </c>
      <c r="C5" s="113" t="str">
        <f t="shared" si="0"/>
        <v>PremiumSS5</v>
      </c>
      <c r="D5" s="113" t="str">
        <f t="shared" si="1"/>
        <v>PremiumSS</v>
      </c>
      <c r="E5" s="113" t="str">
        <f>IF(COUNTIF('R6追加前'!A:A,B5)=0,IF(I5="PremiumSS","R5only","R3less"),"")</f>
        <v/>
      </c>
      <c r="F5" s="113" t="str">
        <f>IF(COUNTIF([2]R6開放!A:A,B5)&gt;0,"R6release","")</f>
        <v/>
      </c>
      <c r="G5" s="113"/>
      <c r="H5" s="113" t="str">
        <f>VLOOKUP(B5,[1]characters!$A:$C,3,FALSE)</f>
        <v>燕翼の旅人 親指姫</v>
      </c>
      <c r="I5" s="113" t="str">
        <f>VLOOKUP(B5,[1]characters!$A:$J,10,FALSE)</f>
        <v>PremiumSS</v>
      </c>
      <c r="J5" s="113">
        <f>VLOOKUP(B5,[1]characters!$A:$I,9,FALSE)</f>
        <v>5</v>
      </c>
      <c r="K5" s="113" t="str">
        <f>VLOOKUP(B5,[1]characters!$A:$H,8,FALSE)</f>
        <v>red</v>
      </c>
      <c r="L5" s="113" t="str">
        <f>VLOOKUP(B5,[1]characters!$A:$K,11,FALSE)</f>
        <v>heal</v>
      </c>
      <c r="M5" s="113" t="str">
        <f>VLOOKUP(B5,[1]characters!$A:$M,13,FALSE)</f>
        <v>human</v>
      </c>
      <c r="N5" s="113" t="str">
        <f>VLOOKUP(B5,[1]characters!$A:$G,7,FALSE)</f>
        <v>女性</v>
      </c>
      <c r="O5" s="124">
        <v>10</v>
      </c>
      <c r="P5" s="123">
        <f t="shared" si="2"/>
        <v>3.3333333333333333E-2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112">
        <v>384104</v>
      </c>
      <c r="B6" s="58">
        <v>848</v>
      </c>
      <c r="C6" s="113" t="str">
        <f t="shared" si="0"/>
        <v>PremiumSS5R5only</v>
      </c>
      <c r="D6" s="113" t="str">
        <f t="shared" si="1"/>
        <v>PremiumSS</v>
      </c>
      <c r="E6" s="113" t="str">
        <f>IF(COUNTIF('R6追加前'!A:A,B6)=0,IF(I6="PremiumSS","R5only","R3less"),"")</f>
        <v>R5only</v>
      </c>
      <c r="F6" s="113" t="str">
        <f>IF(COUNTIF([2]R6開放!A:A,B6)&gt;0,"R6release","")</f>
        <v/>
      </c>
      <c r="G6" s="113"/>
      <c r="H6" s="113" t="str">
        <f>VLOOKUP(B6,[1]characters!$A:$C,3,FALSE)</f>
        <v>メタトロン</v>
      </c>
      <c r="I6" s="113" t="str">
        <f>VLOOKUP(B6,[1]characters!$A:$J,10,FALSE)</f>
        <v>PremiumSS</v>
      </c>
      <c r="J6" s="113">
        <f>VLOOKUP(B6,[1]characters!$A:$I,9,FALSE)</f>
        <v>5</v>
      </c>
      <c r="K6" s="113" t="str">
        <f>VLOOKUP(B6,[1]characters!$A:$H,8,FALSE)</f>
        <v>red</v>
      </c>
      <c r="L6" s="113" t="str">
        <f>VLOOKUP(B6,[1]characters!$A:$K,11,FALSE)</f>
        <v>balance</v>
      </c>
      <c r="M6" s="113" t="str">
        <f>VLOOKUP(B6,[1]characters!$A:$M,13,FALSE)</f>
        <v>god</v>
      </c>
      <c r="N6" s="113" t="str">
        <f>VLOOKUP(B6,[1]characters!$A:$G,7,FALSE)</f>
        <v>男性</v>
      </c>
      <c r="O6" s="124">
        <v>10</v>
      </c>
      <c r="P6" s="123">
        <f t="shared" si="2"/>
        <v>3.3333333333333333E-2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112">
        <v>384104</v>
      </c>
      <c r="B7" s="58">
        <v>850</v>
      </c>
      <c r="C7" s="113" t="str">
        <f t="shared" si="0"/>
        <v>PremiumSS5R5only</v>
      </c>
      <c r="D7" s="113" t="str">
        <f t="shared" si="1"/>
        <v>PremiumSS</v>
      </c>
      <c r="E7" s="113" t="str">
        <f>IF(COUNTIF('R6追加前'!A:A,B7)=0,IF(I7="PremiumSS","R5only","R3less"),"")</f>
        <v>R5only</v>
      </c>
      <c r="F7" s="113" t="str">
        <f>IF(COUNTIF([2]R6開放!A:A,B7)&gt;0,"R6release","")</f>
        <v/>
      </c>
      <c r="G7" s="113"/>
      <c r="H7" s="113" t="str">
        <f>VLOOKUP(B7,[1]characters!$A:$C,3,FALSE)</f>
        <v>バアル</v>
      </c>
      <c r="I7" s="113" t="str">
        <f>VLOOKUP(B7,[1]characters!$A:$J,10,FALSE)</f>
        <v>PremiumSS</v>
      </c>
      <c r="J7" s="113">
        <f>VLOOKUP(B7,[1]characters!$A:$I,9,FALSE)</f>
        <v>5</v>
      </c>
      <c r="K7" s="113" t="str">
        <f>VLOOKUP(B7,[1]characters!$A:$H,8,FALSE)</f>
        <v>green</v>
      </c>
      <c r="L7" s="113" t="str">
        <f>VLOOKUP(B7,[1]characters!$A:$K,11,FALSE)</f>
        <v>technical</v>
      </c>
      <c r="M7" s="113" t="str">
        <f>VLOOKUP(B7,[1]characters!$A:$M,13,FALSE)</f>
        <v>god</v>
      </c>
      <c r="N7" s="113" t="str">
        <f>VLOOKUP(B7,[1]characters!$A:$G,7,FALSE)</f>
        <v>男性</v>
      </c>
      <c r="O7" s="124">
        <v>10</v>
      </c>
      <c r="P7" s="123">
        <f t="shared" si="2"/>
        <v>3.3333333333333333E-2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112">
        <v>384104</v>
      </c>
      <c r="B8" s="58">
        <v>404</v>
      </c>
      <c r="C8" s="113" t="str">
        <f t="shared" si="0"/>
        <v>PremiumSS5</v>
      </c>
      <c r="D8" s="113" t="str">
        <f t="shared" si="1"/>
        <v>PremiumSS</v>
      </c>
      <c r="E8" s="113" t="str">
        <f>IF(COUNTIF('R6追加前'!A:A,B8)=0,IF(I8="PremiumSS","R5only","R3less"),"")</f>
        <v/>
      </c>
      <c r="F8" s="113" t="str">
        <f>IF(COUNTIF([2]R6開放!A:A,B8)&gt;0,"R6release","")</f>
        <v/>
      </c>
      <c r="G8" s="113"/>
      <c r="H8" s="113" t="str">
        <f>VLOOKUP(B8,[1]characters!$A:$C,3,FALSE)</f>
        <v>空襲の神眼 八咫烏</v>
      </c>
      <c r="I8" s="113" t="str">
        <f>VLOOKUP(B8,[1]characters!$A:$J,10,FALSE)</f>
        <v>PremiumSS</v>
      </c>
      <c r="J8" s="113">
        <f>VLOOKUP(B8,[1]characters!$A:$I,9,FALSE)</f>
        <v>5</v>
      </c>
      <c r="K8" s="113" t="str">
        <f>VLOOKUP(B8,[1]characters!$A:$H,8,FALSE)</f>
        <v>green</v>
      </c>
      <c r="L8" s="113" t="str">
        <f>VLOOKUP(B8,[1]characters!$A:$K,11,FALSE)</f>
        <v>balance</v>
      </c>
      <c r="M8" s="113" t="str">
        <f>VLOOKUP(B8,[1]characters!$A:$M,13,FALSE)</f>
        <v>animal</v>
      </c>
      <c r="N8" s="113" t="str">
        <f>VLOOKUP(B8,[1]characters!$A:$G,7,FALSE)</f>
        <v>女性</v>
      </c>
      <c r="O8" s="124">
        <v>10</v>
      </c>
      <c r="P8" s="123">
        <f t="shared" si="2"/>
        <v>3.3333333333333333E-2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112">
        <v>384104</v>
      </c>
      <c r="B9" s="58">
        <v>399</v>
      </c>
      <c r="C9" s="113" t="str">
        <f t="shared" si="0"/>
        <v>PremiumSS5</v>
      </c>
      <c r="D9" s="113" t="str">
        <f t="shared" si="1"/>
        <v>PremiumSS</v>
      </c>
      <c r="E9" s="113" t="str">
        <f>IF(COUNTIF('R6追加前'!A:A,B9)=0,IF(I9="PremiumSS","R5only","R3less"),"")</f>
        <v/>
      </c>
      <c r="F9" s="113" t="str">
        <f>IF(COUNTIF([2]R6開放!A:A,B9)&gt;0,"R6release","")</f>
        <v/>
      </c>
      <c r="G9" s="113"/>
      <c r="H9" s="113" t="str">
        <f>VLOOKUP(B9,[1]characters!$A:$C,3,FALSE)</f>
        <v>信愛の兄妹 ヘンゼル＆グレーテル</v>
      </c>
      <c r="I9" s="113" t="str">
        <f>VLOOKUP(B9,[1]characters!$A:$J,10,FALSE)</f>
        <v>PremiumSS</v>
      </c>
      <c r="J9" s="113">
        <f>VLOOKUP(B9,[1]characters!$A:$I,9,FALSE)</f>
        <v>5</v>
      </c>
      <c r="K9" s="113" t="str">
        <f>VLOOKUP(B9,[1]characters!$A:$H,8,FALSE)</f>
        <v>yellow</v>
      </c>
      <c r="L9" s="113" t="str">
        <f>VLOOKUP(B9,[1]characters!$A:$K,11,FALSE)</f>
        <v>balance</v>
      </c>
      <c r="M9" s="113" t="str">
        <f>VLOOKUP(B9,[1]characters!$A:$M,13,FALSE)</f>
        <v>human</v>
      </c>
      <c r="N9" s="113" t="str">
        <f>VLOOKUP(B9,[1]characters!$A:$G,7,FALSE)</f>
        <v>女性</v>
      </c>
      <c r="O9" s="124">
        <v>10</v>
      </c>
      <c r="P9" s="123">
        <f t="shared" si="2"/>
        <v>3.3333333333333333E-2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112">
        <v>384104</v>
      </c>
      <c r="B10" s="58">
        <v>866</v>
      </c>
      <c r="C10" s="113" t="str">
        <f t="shared" si="0"/>
        <v>PremiumSS5R5only</v>
      </c>
      <c r="D10" s="113" t="str">
        <f t="shared" si="1"/>
        <v>PremiumSS</v>
      </c>
      <c r="E10" s="113" t="str">
        <f>IF(COUNTIF('R6追加前'!A:A,B10)=0,IF(I10="PremiumSS","R5only","R3less"),"")</f>
        <v>R5only</v>
      </c>
      <c r="F10" s="113" t="str">
        <f>IF(COUNTIF([2]R6開放!A:A,B10)&gt;0,"R6release","")</f>
        <v/>
      </c>
      <c r="G10" s="113"/>
      <c r="H10" s="113" t="str">
        <f>VLOOKUP(B10,[1]characters!$A:$C,3,FALSE)</f>
        <v>無敗の司令姫 白雪姫</v>
      </c>
      <c r="I10" s="113" t="str">
        <f>VLOOKUP(B10,[1]characters!$A:$J,10,FALSE)</f>
        <v>PremiumSS</v>
      </c>
      <c r="J10" s="113">
        <f>VLOOKUP(B10,[1]characters!$A:$I,9,FALSE)</f>
        <v>5</v>
      </c>
      <c r="K10" s="113" t="str">
        <f>VLOOKUP(B10,[1]characters!$A:$H,8,FALSE)</f>
        <v>blue</v>
      </c>
      <c r="L10" s="113" t="str">
        <f>VLOOKUP(B10,[1]characters!$A:$K,11,FALSE)</f>
        <v>balance</v>
      </c>
      <c r="M10" s="113" t="str">
        <f>VLOOKUP(B10,[1]characters!$A:$M,13,FALSE)</f>
        <v>human</v>
      </c>
      <c r="N10" s="113" t="str">
        <f>VLOOKUP(B10,[1]characters!$A:$G,7,FALSE)</f>
        <v>男性</v>
      </c>
      <c r="O10" s="124">
        <v>10</v>
      </c>
      <c r="P10" s="123">
        <f t="shared" si="2"/>
        <v>3.3333333333333333E-2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112">
        <v>384104</v>
      </c>
      <c r="B11" s="58">
        <v>868</v>
      </c>
      <c r="C11" s="113" t="str">
        <f t="shared" si="0"/>
        <v>PremiumSS5R5only</v>
      </c>
      <c r="D11" s="113" t="str">
        <f t="shared" si="1"/>
        <v>PremiumSS</v>
      </c>
      <c r="E11" s="113" t="str">
        <f>IF(COUNTIF('R6追加前'!A:A,B11)=0,IF(I11="PremiumSS","R5only","R3less"),"")</f>
        <v>R5only</v>
      </c>
      <c r="F11" s="113" t="str">
        <f>IF(COUNTIF([2]R6開放!A:A,B11)&gt;0,"R6release","")</f>
        <v/>
      </c>
      <c r="G11" s="113"/>
      <c r="H11" s="113" t="str">
        <f>VLOOKUP(B11,[1]characters!$A:$C,3,FALSE)</f>
        <v>アラジンと殲滅機兵LAMP</v>
      </c>
      <c r="I11" s="113" t="str">
        <f>VLOOKUP(B11,[1]characters!$A:$J,10,FALSE)</f>
        <v>PremiumSS</v>
      </c>
      <c r="J11" s="113">
        <f>VLOOKUP(B11,[1]characters!$A:$I,9,FALSE)</f>
        <v>5</v>
      </c>
      <c r="K11" s="113" t="str">
        <f>VLOOKUP(B11,[1]characters!$A:$H,8,FALSE)</f>
        <v>yellow</v>
      </c>
      <c r="L11" s="113" t="str">
        <f>VLOOKUP(B11,[1]characters!$A:$K,11,FALSE)</f>
        <v>hp</v>
      </c>
      <c r="M11" s="113" t="str">
        <f>VLOOKUP(B11,[1]characters!$A:$M,13,FALSE)</f>
        <v>human</v>
      </c>
      <c r="N11" s="113" t="str">
        <f>VLOOKUP(B11,[1]characters!$A:$G,7,FALSE)</f>
        <v>男性</v>
      </c>
      <c r="O11" s="124">
        <v>10</v>
      </c>
      <c r="P11" s="123">
        <f t="shared" si="2"/>
        <v>3.3333333333333333E-2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112">
        <v>384104</v>
      </c>
      <c r="B12" s="114">
        <v>435</v>
      </c>
      <c r="C12" s="113" t="str">
        <f t="shared" si="0"/>
        <v>PremiumSS5</v>
      </c>
      <c r="D12" s="113" t="str">
        <f t="shared" si="1"/>
        <v>PremiumSS</v>
      </c>
      <c r="E12" s="113" t="str">
        <f>IF(COUNTIF('R6追加前'!A:A,B12)=0,IF(I12="PremiumSS","R5only","R3less"),"")</f>
        <v/>
      </c>
      <c r="F12" s="113" t="str">
        <f>IF(COUNTIF([2]R6開放!A:A,B12)&gt;0,"R6release","")</f>
        <v/>
      </c>
      <c r="G12" s="113"/>
      <c r="H12" s="113" t="str">
        <f>VLOOKUP(B12,[1]characters!$A:$C,3,FALSE)</f>
        <v>曝弾の密偵 D.R.T.H.</v>
      </c>
      <c r="I12" s="113" t="str">
        <f>VLOOKUP(B12,[1]characters!$A:$J,10,FALSE)</f>
        <v>PremiumSS</v>
      </c>
      <c r="J12" s="113">
        <f>VLOOKUP(B12,[1]characters!$A:$I,9,FALSE)</f>
        <v>5</v>
      </c>
      <c r="K12" s="113" t="str">
        <f>VLOOKUP(B12,[1]characters!$A:$H,8,FALSE)</f>
        <v>red</v>
      </c>
      <c r="L12" s="113" t="str">
        <f>VLOOKUP(B12,[1]characters!$A:$K,11,FALSE)</f>
        <v>balance</v>
      </c>
      <c r="M12" s="113" t="str">
        <f>VLOOKUP(B12,[1]characters!$A:$M,13,FALSE)</f>
        <v>human</v>
      </c>
      <c r="N12" s="113" t="str">
        <f>VLOOKUP(B12,[1]characters!$A:$G,7,FALSE)</f>
        <v>女性</v>
      </c>
      <c r="O12" s="124">
        <v>10</v>
      </c>
      <c r="P12" s="123">
        <f t="shared" si="2"/>
        <v>3.3333333333333333E-2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112">
        <v>384104</v>
      </c>
      <c r="B13" s="114">
        <v>468</v>
      </c>
      <c r="C13" s="113" t="str">
        <f t="shared" si="0"/>
        <v>PremiumSS5</v>
      </c>
      <c r="D13" s="113" t="str">
        <f t="shared" si="1"/>
        <v>PremiumSS</v>
      </c>
      <c r="E13" s="113" t="str">
        <f>IF(COUNTIF('R6追加前'!A:A,B13)=0,IF(I13="PremiumSS","R5only","R3less"),"")</f>
        <v/>
      </c>
      <c r="F13" s="113" t="str">
        <f>IF(COUNTIF([2]R6開放!A:A,B13)&gt;0,"R6release","")</f>
        <v/>
      </c>
      <c r="G13" s="113"/>
      <c r="H13" s="113" t="str">
        <f>VLOOKUP(B13,[1]characters!$A:$C,3,FALSE)</f>
        <v>憎愛の尖鋒 モルドレッド</v>
      </c>
      <c r="I13" s="113" t="str">
        <f>VLOOKUP(B13,[1]characters!$A:$J,10,FALSE)</f>
        <v>PremiumSS</v>
      </c>
      <c r="J13" s="113">
        <f>VLOOKUP(B13,[1]characters!$A:$I,9,FALSE)</f>
        <v>5</v>
      </c>
      <c r="K13" s="113" t="str">
        <f>VLOOKUP(B13,[1]characters!$A:$H,8,FALSE)</f>
        <v>blue</v>
      </c>
      <c r="L13" s="113" t="str">
        <f>VLOOKUP(B13,[1]characters!$A:$K,11,FALSE)</f>
        <v>technical</v>
      </c>
      <c r="M13" s="113" t="str">
        <f>VLOOKUP(B13,[1]characters!$A:$M,13,FALSE)</f>
        <v>human</v>
      </c>
      <c r="N13" s="113" t="str">
        <f>VLOOKUP(B13,[1]characters!$A:$G,7,FALSE)</f>
        <v>女性</v>
      </c>
      <c r="O13" s="124">
        <v>10</v>
      </c>
      <c r="P13" s="123">
        <f t="shared" si="2"/>
        <v>3.3333333333333333E-2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112">
        <v>384104</v>
      </c>
      <c r="B14" s="114">
        <v>493</v>
      </c>
      <c r="C14" s="113" t="str">
        <f t="shared" si="0"/>
        <v>PremiumSS5</v>
      </c>
      <c r="D14" s="113" t="str">
        <f t="shared" si="1"/>
        <v>PremiumSS</v>
      </c>
      <c r="E14" s="113" t="str">
        <f>IF(COUNTIF('R6追加前'!A:A,B14)=0,IF(I14="PremiumSS","R5only","R3less"),"")</f>
        <v/>
      </c>
      <c r="F14" s="113" t="str">
        <f>IF(COUNTIF([2]R6開放!A:A,B14)&gt;0,"R6release","")</f>
        <v/>
      </c>
      <c r="G14" s="113"/>
      <c r="H14" s="113" t="str">
        <f>VLOOKUP(B14,[1]characters!$A:$C,3,FALSE)</f>
        <v>跋扈の機脚 ブートレグ・ペロー</v>
      </c>
      <c r="I14" s="113" t="str">
        <f>VLOOKUP(B14,[1]characters!$A:$J,10,FALSE)</f>
        <v>PremiumSS</v>
      </c>
      <c r="J14" s="113">
        <f>VLOOKUP(B14,[1]characters!$A:$I,9,FALSE)</f>
        <v>5</v>
      </c>
      <c r="K14" s="113" t="str">
        <f>VLOOKUP(B14,[1]characters!$A:$H,8,FALSE)</f>
        <v>red</v>
      </c>
      <c r="L14" s="113" t="str">
        <f>VLOOKUP(B14,[1]characters!$A:$K,11,FALSE)</f>
        <v>hp</v>
      </c>
      <c r="M14" s="113" t="str">
        <f>VLOOKUP(B14,[1]characters!$A:$M,13,FALSE)</f>
        <v>animal</v>
      </c>
      <c r="N14" s="113" t="str">
        <f>VLOOKUP(B14,[1]characters!$A:$G,7,FALSE)</f>
        <v>不明</v>
      </c>
      <c r="O14" s="124">
        <v>10</v>
      </c>
      <c r="P14" s="123">
        <f t="shared" si="2"/>
        <v>3.3333333333333333E-2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112">
        <v>384104</v>
      </c>
      <c r="B15" s="114">
        <v>495</v>
      </c>
      <c r="C15" s="113" t="str">
        <f t="shared" si="0"/>
        <v>PremiumSS5</v>
      </c>
      <c r="D15" s="113" t="str">
        <f t="shared" si="1"/>
        <v>PremiumSS</v>
      </c>
      <c r="E15" s="113" t="str">
        <f>IF(COUNTIF('R6追加前'!A:A,B15)=0,IF(I15="PremiumSS","R5only","R3less"),"")</f>
        <v/>
      </c>
      <c r="F15" s="113" t="str">
        <f>IF(COUNTIF([2]R6開放!A:A,B15)&gt;0,"R6release","")</f>
        <v/>
      </c>
      <c r="G15" s="113"/>
      <c r="H15" s="113" t="str">
        <f>VLOOKUP(B15,[1]characters!$A:$C,3,FALSE)</f>
        <v>鼠災呼ぶ笛音 ハーメルン</v>
      </c>
      <c r="I15" s="113" t="str">
        <f>VLOOKUP(B15,[1]characters!$A:$J,10,FALSE)</f>
        <v>PremiumSS</v>
      </c>
      <c r="J15" s="113">
        <f>VLOOKUP(B15,[1]characters!$A:$I,9,FALSE)</f>
        <v>5</v>
      </c>
      <c r="K15" s="113" t="str">
        <f>VLOOKUP(B15,[1]characters!$A:$H,8,FALSE)</f>
        <v>green</v>
      </c>
      <c r="L15" s="113" t="str">
        <f>VLOOKUP(B15,[1]characters!$A:$K,11,FALSE)</f>
        <v>technical</v>
      </c>
      <c r="M15" s="113" t="str">
        <f>VLOOKUP(B15,[1]characters!$A:$M,13,FALSE)</f>
        <v>human</v>
      </c>
      <c r="N15" s="113" t="str">
        <f>VLOOKUP(B15,[1]characters!$A:$G,7,FALSE)</f>
        <v>男性</v>
      </c>
      <c r="O15" s="124">
        <v>10</v>
      </c>
      <c r="P15" s="123">
        <f t="shared" si="2"/>
        <v>3.3333333333333333E-2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  <row r="16" spans="1:22" ht="21" customHeight="1" x14ac:dyDescent="0.15">
      <c r="A16" s="112">
        <v>384104</v>
      </c>
      <c r="B16" s="114">
        <v>659</v>
      </c>
      <c r="C16" s="113" t="str">
        <f t="shared" si="0"/>
        <v>PremiumSS5</v>
      </c>
      <c r="D16" s="113" t="str">
        <f t="shared" si="1"/>
        <v>PremiumSS</v>
      </c>
      <c r="E16" s="113" t="str">
        <f>IF(COUNTIF('R6追加前'!A:A,B16)=0,IF(I16="PremiumSS","R5only","R3less"),"")</f>
        <v/>
      </c>
      <c r="F16" s="113" t="str">
        <f>IF(COUNTIF([2]R6開放!A:A,B16)&gt;0,"R6release","")</f>
        <v/>
      </c>
      <c r="G16" s="113"/>
      <c r="H16" s="113" t="str">
        <f>VLOOKUP(B16,[1]characters!$A:$C,3,FALSE)</f>
        <v>跳梁する化猫 クルミ</v>
      </c>
      <c r="I16" s="113" t="str">
        <f>VLOOKUP(B16,[1]characters!$A:$J,10,FALSE)</f>
        <v>PremiumSS</v>
      </c>
      <c r="J16" s="113">
        <f>VLOOKUP(B16,[1]characters!$A:$I,9,FALSE)</f>
        <v>5</v>
      </c>
      <c r="K16" s="113" t="str">
        <f>VLOOKUP(B16,[1]characters!$A:$H,8,FALSE)</f>
        <v>red</v>
      </c>
      <c r="L16" s="113" t="str">
        <f>VLOOKUP(B16,[1]characters!$A:$K,11,FALSE)</f>
        <v>attack</v>
      </c>
      <c r="M16" s="113" t="str">
        <f>VLOOKUP(B16,[1]characters!$A:$M,13,FALSE)</f>
        <v>animal</v>
      </c>
      <c r="N16" s="113" t="str">
        <f>VLOOKUP(B16,[1]characters!$A:$G,7,FALSE)</f>
        <v>女性</v>
      </c>
      <c r="O16" s="124">
        <v>10</v>
      </c>
      <c r="P16" s="123">
        <f t="shared" si="2"/>
        <v>3.3333333333333333E-2</v>
      </c>
      <c r="Q16" s="28">
        <v>1</v>
      </c>
      <c r="R16" s="28">
        <v>0</v>
      </c>
      <c r="S16" s="28">
        <v>0</v>
      </c>
      <c r="T16" s="28">
        <v>0</v>
      </c>
      <c r="U16" s="28">
        <v>0</v>
      </c>
      <c r="V16" s="28">
        <v>1</v>
      </c>
    </row>
    <row r="17" spans="1:22" ht="21" customHeight="1" x14ac:dyDescent="0.15">
      <c r="A17" s="112">
        <v>384104</v>
      </c>
      <c r="B17" s="114">
        <v>661</v>
      </c>
      <c r="C17" s="113" t="str">
        <f t="shared" si="0"/>
        <v>PremiumSS5</v>
      </c>
      <c r="D17" s="113" t="str">
        <f t="shared" si="1"/>
        <v>PremiumSS</v>
      </c>
      <c r="E17" s="113" t="str">
        <f>IF(COUNTIF('R6追加前'!A:A,B17)=0,IF(I17="PremiumSS","R5only","R3less"),"")</f>
        <v/>
      </c>
      <c r="F17" s="113" t="str">
        <f>IF(COUNTIF([2]R6開放!A:A,B17)&gt;0,"R6release","")</f>
        <v/>
      </c>
      <c r="G17" s="113"/>
      <c r="H17" s="113" t="str">
        <f>VLOOKUP(B17,[1]characters!$A:$C,3,FALSE)</f>
        <v>疾風の天狗礫 フウガ</v>
      </c>
      <c r="I17" s="113" t="str">
        <f>VLOOKUP(B17,[1]characters!$A:$J,10,FALSE)</f>
        <v>PremiumSS</v>
      </c>
      <c r="J17" s="113">
        <f>VLOOKUP(B17,[1]characters!$A:$I,9,FALSE)</f>
        <v>5</v>
      </c>
      <c r="K17" s="113" t="str">
        <f>VLOOKUP(B17,[1]characters!$A:$H,8,FALSE)</f>
        <v>green</v>
      </c>
      <c r="L17" s="113" t="str">
        <f>VLOOKUP(B17,[1]characters!$A:$K,11,FALSE)</f>
        <v>balance</v>
      </c>
      <c r="M17" s="113" t="str">
        <f>VLOOKUP(B17,[1]characters!$A:$M,13,FALSE)</f>
        <v>animal</v>
      </c>
      <c r="N17" s="113" t="str">
        <f>VLOOKUP(B17,[1]characters!$A:$G,7,FALSE)</f>
        <v>男性</v>
      </c>
      <c r="O17" s="124">
        <v>10</v>
      </c>
      <c r="P17" s="123">
        <f t="shared" si="2"/>
        <v>3.3333333333333333E-2</v>
      </c>
      <c r="Q17" s="28">
        <v>1</v>
      </c>
      <c r="R17" s="28">
        <v>0</v>
      </c>
      <c r="S17" s="28">
        <v>0</v>
      </c>
      <c r="T17" s="28">
        <v>0</v>
      </c>
      <c r="U17" s="28">
        <v>0</v>
      </c>
      <c r="V17" s="28">
        <v>1</v>
      </c>
    </row>
    <row r="18" spans="1:22" ht="21" customHeight="1" x14ac:dyDescent="0.15">
      <c r="A18" s="112">
        <v>384104</v>
      </c>
      <c r="B18" s="114">
        <v>500</v>
      </c>
      <c r="C18" s="113" t="str">
        <f t="shared" si="0"/>
        <v>PremiumSS5</v>
      </c>
      <c r="D18" s="113" t="str">
        <f t="shared" si="1"/>
        <v>PremiumSS</v>
      </c>
      <c r="E18" s="113" t="str">
        <f>IF(COUNTIF('R6追加前'!A:A,B18)=0,IF(I18="PremiumSS","R5only","R3less"),"")</f>
        <v/>
      </c>
      <c r="F18" s="113" t="str">
        <f>IF(COUNTIF([2]R6開放!A:A,B18)&gt;0,"R6release","")</f>
        <v/>
      </c>
      <c r="G18" s="113"/>
      <c r="H18" s="113" t="str">
        <f>VLOOKUP(B18,[1]characters!$A:$C,3,FALSE)</f>
        <v>脈動の禁髪 ラプンツェル</v>
      </c>
      <c r="I18" s="113" t="str">
        <f>VLOOKUP(B18,[1]characters!$A:$J,10,FALSE)</f>
        <v>PremiumSS</v>
      </c>
      <c r="J18" s="113">
        <f>VLOOKUP(B18,[1]characters!$A:$I,9,FALSE)</f>
        <v>5</v>
      </c>
      <c r="K18" s="113" t="str">
        <f>VLOOKUP(B18,[1]characters!$A:$H,8,FALSE)</f>
        <v>yellow</v>
      </c>
      <c r="L18" s="113" t="str">
        <f>VLOOKUP(B18,[1]characters!$A:$K,11,FALSE)</f>
        <v>balance</v>
      </c>
      <c r="M18" s="113" t="str">
        <f>VLOOKUP(B18,[1]characters!$A:$M,13,FALSE)</f>
        <v>human</v>
      </c>
      <c r="N18" s="113" t="str">
        <f>VLOOKUP(B18,[1]characters!$A:$G,7,FALSE)</f>
        <v>女性</v>
      </c>
      <c r="O18" s="124">
        <v>10</v>
      </c>
      <c r="P18" s="123">
        <f t="shared" si="2"/>
        <v>3.3333333333333333E-2</v>
      </c>
      <c r="Q18" s="28">
        <v>1</v>
      </c>
      <c r="R18" s="28">
        <v>0</v>
      </c>
      <c r="S18" s="28">
        <v>0</v>
      </c>
      <c r="T18" s="28">
        <v>0</v>
      </c>
      <c r="U18" s="28">
        <v>0</v>
      </c>
      <c r="V18" s="28">
        <v>1</v>
      </c>
    </row>
    <row r="19" spans="1:22" ht="21" customHeight="1" x14ac:dyDescent="0.15">
      <c r="A19" s="112">
        <v>384104</v>
      </c>
      <c r="B19" s="114">
        <v>603</v>
      </c>
      <c r="C19" s="113" t="str">
        <f t="shared" si="0"/>
        <v>PremiumSS5</v>
      </c>
      <c r="D19" s="113" t="str">
        <f t="shared" si="1"/>
        <v>PremiumSS</v>
      </c>
      <c r="E19" s="113" t="str">
        <f>IF(COUNTIF('R6追加前'!A:A,B19)=0,IF(I19="PremiumSS","R5only","R3less"),"")</f>
        <v/>
      </c>
      <c r="F19" s="113" t="str">
        <f>IF(COUNTIF([2]R6開放!A:A,B19)&gt;0,"R6release","")</f>
        <v/>
      </c>
      <c r="G19" s="113"/>
      <c r="H19" s="113" t="str">
        <f>VLOOKUP(B19,[1]characters!$A:$C,3,FALSE)</f>
        <v>掌愛の豊穣女神 フレイヤ</v>
      </c>
      <c r="I19" s="113" t="str">
        <f>VLOOKUP(B19,[1]characters!$A:$J,10,FALSE)</f>
        <v>PremiumSS</v>
      </c>
      <c r="J19" s="113">
        <f>VLOOKUP(B19,[1]characters!$A:$I,9,FALSE)</f>
        <v>5</v>
      </c>
      <c r="K19" s="113" t="str">
        <f>VLOOKUP(B19,[1]characters!$A:$H,8,FALSE)</f>
        <v>blue</v>
      </c>
      <c r="L19" s="113" t="str">
        <f>VLOOKUP(B19,[1]characters!$A:$K,11,FALSE)</f>
        <v>heal</v>
      </c>
      <c r="M19" s="113" t="str">
        <f>VLOOKUP(B19,[1]characters!$A:$M,13,FALSE)</f>
        <v>animal</v>
      </c>
      <c r="N19" s="113" t="str">
        <f>VLOOKUP(B19,[1]characters!$A:$G,7,FALSE)</f>
        <v>女性</v>
      </c>
      <c r="O19" s="124">
        <v>10</v>
      </c>
      <c r="P19" s="123">
        <f t="shared" si="2"/>
        <v>3.3333333333333333E-2</v>
      </c>
      <c r="Q19" s="28">
        <v>1</v>
      </c>
      <c r="R19" s="28">
        <v>0</v>
      </c>
      <c r="S19" s="28">
        <v>0</v>
      </c>
      <c r="T19" s="28">
        <v>0</v>
      </c>
      <c r="U19" s="28">
        <v>0</v>
      </c>
      <c r="V19" s="28">
        <v>1</v>
      </c>
    </row>
    <row r="20" spans="1:22" ht="21" customHeight="1" x14ac:dyDescent="0.15">
      <c r="A20" s="112">
        <v>384104</v>
      </c>
      <c r="B20" s="114">
        <v>742</v>
      </c>
      <c r="C20" s="113" t="str">
        <f t="shared" si="0"/>
        <v>PremiumSS5R5only</v>
      </c>
      <c r="D20" s="113" t="str">
        <f t="shared" si="1"/>
        <v>PremiumSS</v>
      </c>
      <c r="E20" s="113" t="str">
        <f>IF(COUNTIF('R6追加前'!A:A,B20)=0,IF(I20="PremiumSS","R5only","R3less"),"")</f>
        <v>R5only</v>
      </c>
      <c r="F20" s="113" t="str">
        <f>IF(COUNTIF([2]R6開放!A:A,B20)&gt;0,"R6release","")</f>
        <v/>
      </c>
      <c r="G20" s="113"/>
      <c r="H20" s="113" t="str">
        <f>VLOOKUP(B20,[1]characters!$A:$C,3,FALSE)</f>
        <v>アポロン</v>
      </c>
      <c r="I20" s="113" t="str">
        <f>VLOOKUP(B20,[1]characters!$A:$J,10,FALSE)</f>
        <v>PremiumSS</v>
      </c>
      <c r="J20" s="113">
        <f>VLOOKUP(B20,[1]characters!$A:$I,9,FALSE)</f>
        <v>5</v>
      </c>
      <c r="K20" s="113" t="str">
        <f>VLOOKUP(B20,[1]characters!$A:$H,8,FALSE)</f>
        <v>red</v>
      </c>
      <c r="L20" s="113" t="str">
        <f>VLOOKUP(B20,[1]characters!$A:$K,11,FALSE)</f>
        <v>attack</v>
      </c>
      <c r="M20" s="113" t="str">
        <f>VLOOKUP(B20,[1]characters!$A:$M,13,FALSE)</f>
        <v>god</v>
      </c>
      <c r="N20" s="113" t="str">
        <f>VLOOKUP(B20,[1]characters!$A:$G,7,FALSE)</f>
        <v>男性</v>
      </c>
      <c r="O20" s="124">
        <v>10</v>
      </c>
      <c r="P20" s="123">
        <f t="shared" si="2"/>
        <v>3.3333333333333333E-2</v>
      </c>
      <c r="Q20" s="28">
        <v>1</v>
      </c>
      <c r="R20" s="28">
        <v>0</v>
      </c>
      <c r="S20" s="28">
        <v>0</v>
      </c>
      <c r="T20" s="28">
        <v>0</v>
      </c>
      <c r="U20" s="28">
        <v>0</v>
      </c>
      <c r="V20" s="28">
        <v>1</v>
      </c>
    </row>
    <row r="21" spans="1:22" ht="21" customHeight="1" x14ac:dyDescent="0.15">
      <c r="A21" s="112">
        <v>384104</v>
      </c>
      <c r="B21" s="114">
        <v>744</v>
      </c>
      <c r="C21" s="113" t="str">
        <f t="shared" si="0"/>
        <v>PremiumSS5R5only</v>
      </c>
      <c r="D21" s="113" t="str">
        <f t="shared" si="1"/>
        <v>PremiumSS</v>
      </c>
      <c r="E21" s="113" t="str">
        <f>IF(COUNTIF('R6追加前'!A:A,B21)=0,IF(I21="PremiumSS","R5only","R3less"),"")</f>
        <v>R5only</v>
      </c>
      <c r="F21" s="113" t="str">
        <f>IF(COUNTIF([2]R6開放!A:A,B21)&gt;0,"R6release","")</f>
        <v/>
      </c>
      <c r="G21" s="113"/>
      <c r="H21" s="113" t="str">
        <f>VLOOKUP(B21,[1]characters!$A:$C,3,FALSE)</f>
        <v>ヘルメス</v>
      </c>
      <c r="I21" s="113" t="str">
        <f>VLOOKUP(B21,[1]characters!$A:$J,10,FALSE)</f>
        <v>PremiumSS</v>
      </c>
      <c r="J21" s="113">
        <f>VLOOKUP(B21,[1]characters!$A:$I,9,FALSE)</f>
        <v>5</v>
      </c>
      <c r="K21" s="113" t="str">
        <f>VLOOKUP(B21,[1]characters!$A:$H,8,FALSE)</f>
        <v>green</v>
      </c>
      <c r="L21" s="113" t="str">
        <f>VLOOKUP(B21,[1]characters!$A:$K,11,FALSE)</f>
        <v>technical</v>
      </c>
      <c r="M21" s="113" t="str">
        <f>VLOOKUP(B21,[1]characters!$A:$M,13,FALSE)</f>
        <v>god</v>
      </c>
      <c r="N21" s="113" t="str">
        <f>VLOOKUP(B21,[1]characters!$A:$G,7,FALSE)</f>
        <v>男性</v>
      </c>
      <c r="O21" s="124">
        <v>10</v>
      </c>
      <c r="P21" s="123">
        <f t="shared" si="2"/>
        <v>3.3333333333333333E-2</v>
      </c>
      <c r="Q21" s="28">
        <v>1</v>
      </c>
      <c r="R21" s="28">
        <v>0</v>
      </c>
      <c r="S21" s="28">
        <v>0</v>
      </c>
      <c r="T21" s="28">
        <v>0</v>
      </c>
      <c r="U21" s="28">
        <v>0</v>
      </c>
      <c r="V21" s="28">
        <v>1</v>
      </c>
    </row>
    <row r="22" spans="1:22" ht="21" customHeight="1" x14ac:dyDescent="0.15">
      <c r="A22" s="112">
        <v>384104</v>
      </c>
      <c r="B22" s="114">
        <v>937</v>
      </c>
      <c r="C22" s="113" t="str">
        <f t="shared" si="0"/>
        <v>PremiumSS5R5only</v>
      </c>
      <c r="D22" s="113" t="str">
        <f t="shared" si="1"/>
        <v>PremiumSS</v>
      </c>
      <c r="E22" s="113" t="str">
        <f>IF(COUNTIF('R6追加前'!A:A,B22)=0,IF(I22="PremiumSS","R5only","R3less"),"")</f>
        <v>R5only</v>
      </c>
      <c r="F22" s="113" t="str">
        <f>IF(COUNTIF([2]R6開放!A:A,B22)&gt;0,"R6release","")</f>
        <v/>
      </c>
      <c r="G22" s="113"/>
      <c r="H22" s="113" t="str">
        <f>VLOOKUP(B22,[1]characters!$A:$C,3,FALSE)</f>
        <v>ナポレオン</v>
      </c>
      <c r="I22" s="113" t="str">
        <f>VLOOKUP(B22,[1]characters!$A:$J,10,FALSE)</f>
        <v>PremiumSS</v>
      </c>
      <c r="J22" s="113">
        <f>VLOOKUP(B22,[1]characters!$A:$I,9,FALSE)</f>
        <v>5</v>
      </c>
      <c r="K22" s="113" t="str">
        <f>VLOOKUP(B22,[1]characters!$A:$H,8,FALSE)</f>
        <v>red</v>
      </c>
      <c r="L22" s="113" t="str">
        <f>VLOOKUP(B22,[1]characters!$A:$K,11,FALSE)</f>
        <v>balance</v>
      </c>
      <c r="M22" s="113" t="str">
        <f>VLOOKUP(B22,[1]characters!$A:$M,13,FALSE)</f>
        <v>human</v>
      </c>
      <c r="N22" s="113" t="str">
        <f>VLOOKUP(B22,[1]characters!$A:$G,7,FALSE)</f>
        <v>男性</v>
      </c>
      <c r="O22" s="124">
        <v>10</v>
      </c>
      <c r="P22" s="123">
        <f t="shared" si="2"/>
        <v>3.3333333333333333E-2</v>
      </c>
      <c r="Q22" s="28">
        <v>1</v>
      </c>
      <c r="R22" s="28">
        <v>0</v>
      </c>
      <c r="S22" s="28">
        <v>0</v>
      </c>
      <c r="T22" s="28">
        <v>0</v>
      </c>
      <c r="U22" s="28">
        <v>0</v>
      </c>
      <c r="V22" s="28">
        <v>1</v>
      </c>
    </row>
    <row r="23" spans="1:22" ht="21" customHeight="1" x14ac:dyDescent="0.15">
      <c r="A23" s="112">
        <v>384104</v>
      </c>
      <c r="B23" s="114">
        <v>941</v>
      </c>
      <c r="C23" s="113" t="str">
        <f t="shared" si="0"/>
        <v>PremiumSS5R5only</v>
      </c>
      <c r="D23" s="113" t="str">
        <f t="shared" si="1"/>
        <v>PremiumSS</v>
      </c>
      <c r="E23" s="113" t="str">
        <f>IF(COUNTIF('R6追加前'!A:A,B23)=0,IF(I23="PremiumSS","R5only","R3less"),"")</f>
        <v>R5only</v>
      </c>
      <c r="F23" s="113" t="str">
        <f>IF(COUNTIF([2]R6開放!A:A,B23)&gt;0,"R6release","")</f>
        <v/>
      </c>
      <c r="G23" s="113"/>
      <c r="H23" s="113" t="str">
        <f>VLOOKUP(B23,[1]characters!$A:$C,3,FALSE)</f>
        <v>アントワネット</v>
      </c>
      <c r="I23" s="113" t="str">
        <f>VLOOKUP(B23,[1]characters!$A:$J,10,FALSE)</f>
        <v>PremiumSS</v>
      </c>
      <c r="J23" s="113">
        <f>VLOOKUP(B23,[1]characters!$A:$I,9,FALSE)</f>
        <v>5</v>
      </c>
      <c r="K23" s="113" t="str">
        <f>VLOOKUP(B23,[1]characters!$A:$H,8,FALSE)</f>
        <v>blue</v>
      </c>
      <c r="L23" s="113" t="str">
        <f>VLOOKUP(B23,[1]characters!$A:$K,11,FALSE)</f>
        <v>technical</v>
      </c>
      <c r="M23" s="113" t="str">
        <f>VLOOKUP(B23,[1]characters!$A:$M,13,FALSE)</f>
        <v>human</v>
      </c>
      <c r="N23" s="113" t="str">
        <f>VLOOKUP(B23,[1]characters!$A:$G,7,FALSE)</f>
        <v>男性</v>
      </c>
      <c r="O23" s="124">
        <v>10</v>
      </c>
      <c r="P23" s="123">
        <f t="shared" si="2"/>
        <v>3.3333333333333333E-2</v>
      </c>
      <c r="Q23" s="28">
        <v>1</v>
      </c>
      <c r="R23" s="28">
        <v>0</v>
      </c>
      <c r="S23" s="28">
        <v>0</v>
      </c>
      <c r="T23" s="28">
        <v>0</v>
      </c>
      <c r="U23" s="28">
        <v>0</v>
      </c>
      <c r="V23" s="28">
        <v>1</v>
      </c>
    </row>
    <row r="24" spans="1:22" ht="21" customHeight="1" x14ac:dyDescent="0.15">
      <c r="A24" s="112">
        <v>384104</v>
      </c>
      <c r="B24" s="114">
        <v>943</v>
      </c>
      <c r="C24" s="113" t="str">
        <f t="shared" si="0"/>
        <v>PremiumSS5R5only</v>
      </c>
      <c r="D24" s="113" t="str">
        <f t="shared" si="1"/>
        <v>PremiumSS</v>
      </c>
      <c r="E24" s="113" t="str">
        <f>IF(COUNTIF('R6追加前'!A:A,B24)=0,IF(I24="PremiumSS","R5only","R3less"),"")</f>
        <v>R5only</v>
      </c>
      <c r="F24" s="113" t="str">
        <f>IF(COUNTIF([2]R6開放!A:A,B24)&gt;0,"R6release","")</f>
        <v/>
      </c>
      <c r="G24" s="113"/>
      <c r="H24" s="113" t="str">
        <f>VLOOKUP(B24,[1]characters!$A:$C,3,FALSE)</f>
        <v>サンソン</v>
      </c>
      <c r="I24" s="113" t="str">
        <f>VLOOKUP(B24,[1]characters!$A:$J,10,FALSE)</f>
        <v>PremiumSS</v>
      </c>
      <c r="J24" s="113">
        <f>VLOOKUP(B24,[1]characters!$A:$I,9,FALSE)</f>
        <v>5</v>
      </c>
      <c r="K24" s="113" t="str">
        <f>VLOOKUP(B24,[1]characters!$A:$H,8,FALSE)</f>
        <v>yellow</v>
      </c>
      <c r="L24" s="113" t="str">
        <f>VLOOKUP(B24,[1]characters!$A:$K,11,FALSE)</f>
        <v>attack</v>
      </c>
      <c r="M24" s="113" t="str">
        <f>VLOOKUP(B24,[1]characters!$A:$M,13,FALSE)</f>
        <v>human</v>
      </c>
      <c r="N24" s="113" t="str">
        <f>VLOOKUP(B24,[1]characters!$A:$G,7,FALSE)</f>
        <v>男性</v>
      </c>
      <c r="O24" s="124">
        <v>10</v>
      </c>
      <c r="P24" s="123">
        <f t="shared" si="2"/>
        <v>3.3333333333333333E-2</v>
      </c>
      <c r="Q24" s="28">
        <v>1</v>
      </c>
      <c r="R24" s="28">
        <v>0</v>
      </c>
      <c r="S24" s="28">
        <v>0</v>
      </c>
      <c r="T24" s="28">
        <v>0</v>
      </c>
      <c r="U24" s="28">
        <v>0</v>
      </c>
      <c r="V24" s="28">
        <v>1</v>
      </c>
    </row>
    <row r="25" spans="1:22" ht="21" customHeight="1" x14ac:dyDescent="0.15">
      <c r="A25" s="112">
        <v>384104</v>
      </c>
      <c r="B25" s="114">
        <v>321</v>
      </c>
      <c r="C25" s="113" t="str">
        <f t="shared" si="0"/>
        <v>PremiumSS5</v>
      </c>
      <c r="D25" s="113" t="str">
        <f t="shared" si="1"/>
        <v>PremiumSS</v>
      </c>
      <c r="E25" s="113" t="str">
        <f>IF(COUNTIF('R6追加前'!A:A,B25)=0,IF(I25="PremiumSS","R5only","R3less"),"")</f>
        <v/>
      </c>
      <c r="F25" s="113" t="str">
        <f>IF(COUNTIF([2]R6開放!A:A,B25)&gt;0,"R6release","")</f>
        <v/>
      </c>
      <c r="G25" s="113"/>
      <c r="H25" s="113" t="str">
        <f>VLOOKUP(B25,[1]characters!$A:$C,3,FALSE)</f>
        <v>巌鉄の烈志士 近藤勇</v>
      </c>
      <c r="I25" s="113" t="str">
        <f>VLOOKUP(B25,[1]characters!$A:$J,10,FALSE)</f>
        <v>PremiumSS</v>
      </c>
      <c r="J25" s="113">
        <f>VLOOKUP(B25,[1]characters!$A:$I,9,FALSE)</f>
        <v>5</v>
      </c>
      <c r="K25" s="113" t="str">
        <f>VLOOKUP(B25,[1]characters!$A:$H,8,FALSE)</f>
        <v>red</v>
      </c>
      <c r="L25" s="113" t="str">
        <f>VLOOKUP(B25,[1]characters!$A:$K,11,FALSE)</f>
        <v>hp</v>
      </c>
      <c r="M25" s="113" t="str">
        <f>VLOOKUP(B25,[1]characters!$A:$M,13,FALSE)</f>
        <v>human</v>
      </c>
      <c r="N25" s="113" t="str">
        <f>VLOOKUP(B25,[1]characters!$A:$G,7,FALSE)</f>
        <v>男性</v>
      </c>
      <c r="O25" s="124">
        <v>10</v>
      </c>
      <c r="P25" s="123">
        <f t="shared" si="2"/>
        <v>3.3333333333333333E-2</v>
      </c>
      <c r="Q25" s="28">
        <v>1</v>
      </c>
      <c r="R25" s="28">
        <v>0</v>
      </c>
      <c r="S25" s="28">
        <v>0</v>
      </c>
      <c r="T25" s="28">
        <v>0</v>
      </c>
      <c r="U25" s="28">
        <v>0</v>
      </c>
      <c r="V25" s="28">
        <v>1</v>
      </c>
    </row>
    <row r="26" spans="1:22" ht="21" customHeight="1" x14ac:dyDescent="0.15">
      <c r="A26" s="112">
        <v>384104</v>
      </c>
      <c r="B26" s="114">
        <v>466</v>
      </c>
      <c r="C26" s="113" t="str">
        <f t="shared" si="0"/>
        <v>PremiumSS5</v>
      </c>
      <c r="D26" s="113" t="str">
        <f t="shared" si="1"/>
        <v>PremiumSS</v>
      </c>
      <c r="E26" s="113" t="str">
        <f>IF(COUNTIF('R6追加前'!A:A,B26)=0,IF(I26="PremiumSS","R5only","R3less"),"")</f>
        <v/>
      </c>
      <c r="F26" s="113" t="str">
        <f>IF(COUNTIF([2]R6開放!A:A,B26)&gt;0,"R6release","")</f>
        <v/>
      </c>
      <c r="G26" s="113"/>
      <c r="H26" s="113" t="str">
        <f>VLOOKUP(B26,[1]characters!$A:$C,3,FALSE)</f>
        <v>真断の勇覇 ランスロット</v>
      </c>
      <c r="I26" s="113" t="str">
        <f>VLOOKUP(B26,[1]characters!$A:$J,10,FALSE)</f>
        <v>PremiumSS</v>
      </c>
      <c r="J26" s="113">
        <f>VLOOKUP(B26,[1]characters!$A:$I,9,FALSE)</f>
        <v>5</v>
      </c>
      <c r="K26" s="113" t="str">
        <f>VLOOKUP(B26,[1]characters!$A:$H,8,FALSE)</f>
        <v>green</v>
      </c>
      <c r="L26" s="113" t="str">
        <f>VLOOKUP(B26,[1]characters!$A:$K,11,FALSE)</f>
        <v>balance</v>
      </c>
      <c r="M26" s="113" t="str">
        <f>VLOOKUP(B26,[1]characters!$A:$M,13,FALSE)</f>
        <v>human</v>
      </c>
      <c r="N26" s="113" t="str">
        <f>VLOOKUP(B26,[1]characters!$A:$G,7,FALSE)</f>
        <v>男性</v>
      </c>
      <c r="O26" s="124">
        <v>10</v>
      </c>
      <c r="P26" s="123">
        <f t="shared" si="2"/>
        <v>3.3333333333333333E-2</v>
      </c>
      <c r="Q26" s="28">
        <v>1</v>
      </c>
      <c r="R26" s="28">
        <v>0</v>
      </c>
      <c r="S26" s="28">
        <v>0</v>
      </c>
      <c r="T26" s="28">
        <v>0</v>
      </c>
      <c r="U26" s="28">
        <v>0</v>
      </c>
      <c r="V26" s="28">
        <v>1</v>
      </c>
    </row>
    <row r="27" spans="1:22" ht="21" customHeight="1" x14ac:dyDescent="0.15">
      <c r="A27" s="112">
        <v>384104</v>
      </c>
      <c r="B27" s="114">
        <v>1012</v>
      </c>
      <c r="C27" s="113" t="str">
        <f t="shared" si="0"/>
        <v>PremiumSS5R5only</v>
      </c>
      <c r="D27" s="113" t="str">
        <f t="shared" si="1"/>
        <v>PremiumSS</v>
      </c>
      <c r="E27" s="113" t="str">
        <f>IF(COUNTIF('R6追加前'!A:A,B27)=0,IF(I27="PremiumSS","R5only","R3less"),"")</f>
        <v>R5only</v>
      </c>
      <c r="F27" s="113" t="str">
        <f>IF(COUNTIF([2]R6開放!A:A,B27)&gt;0,"R6release","")</f>
        <v/>
      </c>
      <c r="G27" s="113"/>
      <c r="H27" s="113" t="str">
        <f>VLOOKUP(B27,[1]characters!$A:$C,3,FALSE)</f>
        <v>ラー</v>
      </c>
      <c r="I27" s="113" t="str">
        <f>VLOOKUP(B27,[1]characters!$A:$J,10,FALSE)</f>
        <v>PremiumSS</v>
      </c>
      <c r="J27" s="113">
        <f>VLOOKUP(B27,[1]characters!$A:$I,9,FALSE)</f>
        <v>5</v>
      </c>
      <c r="K27" s="113" t="str">
        <f>VLOOKUP(B27,[1]characters!$A:$H,8,FALSE)</f>
        <v>red</v>
      </c>
      <c r="L27" s="113" t="str">
        <f>VLOOKUP(B27,[1]characters!$A:$K,11,FALSE)</f>
        <v>balance</v>
      </c>
      <c r="M27" s="113" t="str">
        <f>VLOOKUP(B27,[1]characters!$A:$M,13,FALSE)</f>
        <v>god</v>
      </c>
      <c r="N27" s="113" t="str">
        <f>VLOOKUP(B27,[1]characters!$A:$G,7,FALSE)</f>
        <v>男性</v>
      </c>
      <c r="O27" s="124">
        <v>10</v>
      </c>
      <c r="P27" s="123">
        <f t="shared" si="2"/>
        <v>3.3333333333333333E-2</v>
      </c>
      <c r="Q27" s="28">
        <v>1</v>
      </c>
      <c r="R27" s="28">
        <v>0</v>
      </c>
      <c r="S27" s="28">
        <v>0</v>
      </c>
      <c r="T27" s="28">
        <v>0</v>
      </c>
      <c r="U27" s="28">
        <v>0</v>
      </c>
      <c r="V27" s="28">
        <v>1</v>
      </c>
    </row>
    <row r="28" spans="1:22" ht="21" customHeight="1" x14ac:dyDescent="0.15">
      <c r="A28" s="112">
        <v>384104</v>
      </c>
      <c r="B28" s="114">
        <v>1014</v>
      </c>
      <c r="C28" s="113" t="str">
        <f t="shared" si="0"/>
        <v>PremiumSS5R5only</v>
      </c>
      <c r="D28" s="113" t="str">
        <f t="shared" si="1"/>
        <v>PremiumSS</v>
      </c>
      <c r="E28" s="113" t="str">
        <f>IF(COUNTIF('R6追加前'!A:A,B28)=0,IF(I28="PremiumSS","R5only","R3less"),"")</f>
        <v>R5only</v>
      </c>
      <c r="F28" s="113" t="str">
        <f>IF(COUNTIF([2]R6開放!A:A,B28)&gt;0,"R6release","")</f>
        <v/>
      </c>
      <c r="G28" s="113"/>
      <c r="H28" s="113" t="str">
        <f>VLOOKUP(B28,[1]characters!$A:$C,3,FALSE)</f>
        <v>イシス</v>
      </c>
      <c r="I28" s="113" t="str">
        <f>VLOOKUP(B28,[1]characters!$A:$J,10,FALSE)</f>
        <v>PremiumSS</v>
      </c>
      <c r="J28" s="113">
        <f>VLOOKUP(B28,[1]characters!$A:$I,9,FALSE)</f>
        <v>5</v>
      </c>
      <c r="K28" s="113" t="str">
        <f>VLOOKUP(B28,[1]characters!$A:$H,8,FALSE)</f>
        <v>green</v>
      </c>
      <c r="L28" s="113" t="str">
        <f>VLOOKUP(B28,[1]characters!$A:$K,11,FALSE)</f>
        <v>hp</v>
      </c>
      <c r="M28" s="113" t="str">
        <f>VLOOKUP(B28,[1]characters!$A:$M,13,FALSE)</f>
        <v>god</v>
      </c>
      <c r="N28" s="113" t="str">
        <f>VLOOKUP(B28,[1]characters!$A:$G,7,FALSE)</f>
        <v>男性</v>
      </c>
      <c r="O28" s="124">
        <v>10</v>
      </c>
      <c r="P28" s="123">
        <f t="shared" si="2"/>
        <v>3.3333333333333333E-2</v>
      </c>
      <c r="Q28" s="28">
        <v>1</v>
      </c>
      <c r="R28" s="28">
        <v>0</v>
      </c>
      <c r="S28" s="28">
        <v>0</v>
      </c>
      <c r="T28" s="28">
        <v>0</v>
      </c>
      <c r="U28" s="28">
        <v>0</v>
      </c>
      <c r="V28" s="28">
        <v>1</v>
      </c>
    </row>
    <row r="29" spans="1:22" ht="21" customHeight="1" x14ac:dyDescent="0.15">
      <c r="A29" s="112">
        <v>384104</v>
      </c>
      <c r="B29" s="114">
        <v>1018</v>
      </c>
      <c r="C29" s="113" t="str">
        <f t="shared" si="0"/>
        <v>PremiumSS5R5only</v>
      </c>
      <c r="D29" s="113" t="str">
        <f t="shared" si="1"/>
        <v>PremiumSS</v>
      </c>
      <c r="E29" s="113" t="str">
        <f>IF(COUNTIF('R6追加前'!A:A,B29)=0,IF(I29="PremiumSS","R5only","R3less"),"")</f>
        <v>R5only</v>
      </c>
      <c r="F29" s="113" t="str">
        <f>IF(COUNTIF([2]R6開放!A:A,B29)&gt;0,"R6release","")</f>
        <v/>
      </c>
      <c r="G29" s="113"/>
      <c r="H29" s="113" t="str">
        <f>VLOOKUP(B29,[1]characters!$A:$C,3,FALSE)</f>
        <v>バステト</v>
      </c>
      <c r="I29" s="113" t="str">
        <f>VLOOKUP(B29,[1]characters!$A:$J,10,FALSE)</f>
        <v>PremiumSS</v>
      </c>
      <c r="J29" s="113">
        <f>VLOOKUP(B29,[1]characters!$A:$I,9,FALSE)</f>
        <v>5</v>
      </c>
      <c r="K29" s="113" t="str">
        <f>VLOOKUP(B29,[1]characters!$A:$H,8,FALSE)</f>
        <v>yellow</v>
      </c>
      <c r="L29" s="113" t="str">
        <f>VLOOKUP(B29,[1]characters!$A:$K,11,FALSE)</f>
        <v>attack</v>
      </c>
      <c r="M29" s="113" t="str">
        <f>VLOOKUP(B29,[1]characters!$A:$M,13,FALSE)</f>
        <v>god</v>
      </c>
      <c r="N29" s="113" t="str">
        <f>VLOOKUP(B29,[1]characters!$A:$G,7,FALSE)</f>
        <v>男性</v>
      </c>
      <c r="O29" s="124">
        <v>10</v>
      </c>
      <c r="P29" s="123">
        <f t="shared" si="2"/>
        <v>3.3333333333333333E-2</v>
      </c>
      <c r="Q29" s="28">
        <v>1</v>
      </c>
      <c r="R29" s="28">
        <v>0</v>
      </c>
      <c r="S29" s="28">
        <v>0</v>
      </c>
      <c r="T29" s="28">
        <v>0</v>
      </c>
      <c r="U29" s="28">
        <v>0</v>
      </c>
      <c r="V29" s="28">
        <v>1</v>
      </c>
    </row>
    <row r="30" spans="1:22" ht="21" customHeight="1" x14ac:dyDescent="0.15">
      <c r="A30" s="112">
        <v>384104</v>
      </c>
      <c r="B30" s="114">
        <v>677</v>
      </c>
      <c r="C30" s="113" t="str">
        <f t="shared" si="0"/>
        <v>PremiumSS5</v>
      </c>
      <c r="D30" s="113" t="str">
        <f t="shared" si="1"/>
        <v>PremiumSS</v>
      </c>
      <c r="E30" s="113" t="str">
        <f>IF(COUNTIF('R6追加前'!A:A,B30)=0,IF(I30="PremiumSS","R5only","R3less"),"")</f>
        <v/>
      </c>
      <c r="F30" s="113" t="str">
        <f>IF(COUNTIF([2]R6開放!A:A,B30)&gt;0,"R6release","")</f>
        <v/>
      </c>
      <c r="G30" s="113"/>
      <c r="H30" s="113" t="str">
        <f>VLOOKUP(B30,[1]characters!$A:$C,3,FALSE)</f>
        <v>武遊闊歩 ヴィシュヌ</v>
      </c>
      <c r="I30" s="113" t="str">
        <f>VLOOKUP(B30,[1]characters!$A:$J,10,FALSE)</f>
        <v>PremiumSS</v>
      </c>
      <c r="J30" s="113">
        <f>VLOOKUP(B30,[1]characters!$A:$I,9,FALSE)</f>
        <v>5</v>
      </c>
      <c r="K30" s="113" t="str">
        <f>VLOOKUP(B30,[1]characters!$A:$H,8,FALSE)</f>
        <v>yellow</v>
      </c>
      <c r="L30" s="113" t="str">
        <f>VLOOKUP(B30,[1]characters!$A:$K,11,FALSE)</f>
        <v>attack</v>
      </c>
      <c r="M30" s="113" t="str">
        <f>VLOOKUP(B30,[1]characters!$A:$M,13,FALSE)</f>
        <v>god</v>
      </c>
      <c r="N30" s="113" t="str">
        <f>VLOOKUP(B30,[1]characters!$A:$G,7,FALSE)</f>
        <v>女性</v>
      </c>
      <c r="O30" s="124">
        <v>10</v>
      </c>
      <c r="P30" s="123">
        <f t="shared" si="2"/>
        <v>3.3333333333333333E-2</v>
      </c>
      <c r="Q30" s="28">
        <v>1</v>
      </c>
      <c r="R30" s="28">
        <v>0</v>
      </c>
      <c r="S30" s="28">
        <v>0</v>
      </c>
      <c r="T30" s="28">
        <v>0</v>
      </c>
      <c r="U30" s="28">
        <v>0</v>
      </c>
      <c r="V30" s="28">
        <v>1</v>
      </c>
    </row>
    <row r="31" spans="1:22" ht="21" customHeight="1" x14ac:dyDescent="0.15">
      <c r="A31" s="112">
        <v>384104</v>
      </c>
      <c r="B31" s="114">
        <v>675</v>
      </c>
      <c r="C31" s="113" t="str">
        <f t="shared" si="0"/>
        <v>PremiumSS5</v>
      </c>
      <c r="D31" s="113" t="str">
        <f t="shared" si="1"/>
        <v>PremiumSS</v>
      </c>
      <c r="E31" s="113" t="str">
        <f>IF(COUNTIF('R6追加前'!A:A,B31)=0,IF(I31="PremiumSS","R5only","R3less"),"")</f>
        <v/>
      </c>
      <c r="F31" s="113" t="str">
        <f>IF(COUNTIF('R6開放'!A:A,B31)&gt;0,"R6release","")</f>
        <v/>
      </c>
      <c r="G31" s="113"/>
      <c r="H31" s="113" t="str">
        <f>VLOOKUP(B31,[1]characters!$A:$C,3,FALSE)</f>
        <v>芸楽の奔流 サラスヴァティ</v>
      </c>
      <c r="I31" s="113" t="str">
        <f>VLOOKUP(B31,[1]characters!$A:$J,10,FALSE)</f>
        <v>PremiumSS</v>
      </c>
      <c r="J31" s="113">
        <f>VLOOKUP(B31,[1]characters!$A:$I,9,FALSE)</f>
        <v>5</v>
      </c>
      <c r="K31" s="113" t="str">
        <f>VLOOKUP(B31,[1]characters!$A:$H,8,FALSE)</f>
        <v>blue</v>
      </c>
      <c r="L31" s="113" t="str">
        <f>VLOOKUP(B31,[1]characters!$A:$K,11,FALSE)</f>
        <v>balance</v>
      </c>
      <c r="M31" s="113" t="str">
        <f>VLOOKUP(B31,[1]characters!$A:$M,13,FALSE)</f>
        <v>god</v>
      </c>
      <c r="N31" s="113" t="str">
        <f>VLOOKUP(B31,[1]characters!$A:$G,7,FALSE)</f>
        <v>女性</v>
      </c>
      <c r="O31" s="124">
        <v>10</v>
      </c>
      <c r="P31" s="123">
        <f t="shared" si="2"/>
        <v>3.3333333333333333E-2</v>
      </c>
      <c r="Q31" s="28">
        <v>1</v>
      </c>
      <c r="R31" s="28">
        <v>0</v>
      </c>
      <c r="S31" s="28">
        <v>0</v>
      </c>
      <c r="T31" s="28">
        <v>0</v>
      </c>
      <c r="U31" s="28">
        <v>0</v>
      </c>
      <c r="V31" s="28">
        <v>1</v>
      </c>
    </row>
    <row r="32" spans="1:22" ht="21" customHeight="1" x14ac:dyDescent="0.15">
      <c r="K32" s="111"/>
    </row>
    <row r="33" spans="11:11" ht="21" customHeight="1" x14ac:dyDescent="0.15">
      <c r="K33" s="111"/>
    </row>
    <row r="34" spans="11:11" ht="21" customHeight="1" x14ac:dyDescent="0.15">
      <c r="K34" s="111"/>
    </row>
    <row r="35" spans="11:11" ht="21" customHeight="1" x14ac:dyDescent="0.15">
      <c r="K35" s="111"/>
    </row>
    <row r="36" spans="11:11" ht="21" customHeight="1" x14ac:dyDescent="0.15">
      <c r="K36" s="111"/>
    </row>
    <row r="37" spans="11:11" ht="21" customHeight="1" x14ac:dyDescent="0.15">
      <c r="K37" s="111"/>
    </row>
    <row r="38" spans="11:11" ht="21" customHeight="1" x14ac:dyDescent="0.15">
      <c r="K38" s="111"/>
    </row>
    <row r="39" spans="11:11" ht="21" customHeight="1" x14ac:dyDescent="0.15">
      <c r="K39" s="111"/>
    </row>
    <row r="40" spans="11:11" ht="21" customHeight="1" x14ac:dyDescent="0.15">
      <c r="K40" s="111"/>
    </row>
    <row r="41" spans="11:11" ht="21" customHeight="1" x14ac:dyDescent="0.15">
      <c r="K41" s="111"/>
    </row>
    <row r="42" spans="11:11" ht="21" customHeight="1" x14ac:dyDescent="0.15">
      <c r="K42" s="111"/>
    </row>
    <row r="43" spans="11:11" ht="21" customHeight="1" x14ac:dyDescent="0.15">
      <c r="K43" s="111"/>
    </row>
    <row r="44" spans="11:11" ht="21" customHeight="1" x14ac:dyDescent="0.15">
      <c r="K44" s="111"/>
    </row>
    <row r="45" spans="11:11" ht="21" customHeight="1" x14ac:dyDescent="0.15">
      <c r="K45" s="111"/>
    </row>
    <row r="46" spans="11:11" ht="21" customHeight="1" x14ac:dyDescent="0.15">
      <c r="K46" s="111"/>
    </row>
    <row r="47" spans="11:11" ht="21" customHeight="1" x14ac:dyDescent="0.15">
      <c r="K47" s="111"/>
    </row>
    <row r="48" spans="11:11" ht="21" customHeight="1" x14ac:dyDescent="0.15">
      <c r="K48" s="111"/>
    </row>
    <row r="49" spans="11:11" ht="21" customHeight="1" x14ac:dyDescent="0.15">
      <c r="K49" s="111"/>
    </row>
    <row r="50" spans="11:11" ht="21" customHeight="1" x14ac:dyDescent="0.15">
      <c r="K50" s="111"/>
    </row>
    <row r="51" spans="11:11" ht="21" customHeight="1" x14ac:dyDescent="0.15">
      <c r="K51" s="111"/>
    </row>
    <row r="52" spans="11:11" ht="21" customHeight="1" x14ac:dyDescent="0.15">
      <c r="K52" s="111"/>
    </row>
    <row r="53" spans="11:11" ht="21" customHeight="1" x14ac:dyDescent="0.15">
      <c r="K53" s="111"/>
    </row>
    <row r="54" spans="11:11" ht="21" customHeight="1" x14ac:dyDescent="0.15">
      <c r="K54" s="111"/>
    </row>
    <row r="55" spans="11:11" ht="21" customHeight="1" x14ac:dyDescent="0.15">
      <c r="K55" s="111"/>
    </row>
    <row r="56" spans="11:11" ht="21" customHeight="1" x14ac:dyDescent="0.15">
      <c r="K56" s="111"/>
    </row>
    <row r="57" spans="11:11" ht="21" customHeight="1" x14ac:dyDescent="0.15">
      <c r="K57" s="111"/>
    </row>
    <row r="58" spans="11:11" ht="21" customHeight="1" x14ac:dyDescent="0.15">
      <c r="K58" s="111"/>
    </row>
    <row r="59" spans="11:11" ht="21" customHeight="1" x14ac:dyDescent="0.15">
      <c r="K59" s="111"/>
    </row>
    <row r="60" spans="11:11" ht="21" customHeight="1" x14ac:dyDescent="0.15">
      <c r="K60" s="111"/>
    </row>
    <row r="61" spans="11:11" ht="21" customHeight="1" x14ac:dyDescent="0.15">
      <c r="K61" s="111"/>
    </row>
    <row r="62" spans="11:11" ht="21" customHeight="1" x14ac:dyDescent="0.15">
      <c r="K62" s="111"/>
    </row>
    <row r="63" spans="11:11" ht="21" customHeight="1" x14ac:dyDescent="0.15">
      <c r="K63" s="111"/>
    </row>
    <row r="64" spans="11:11" ht="21" customHeight="1" x14ac:dyDescent="0.15">
      <c r="K64" s="111"/>
    </row>
    <row r="65" spans="11:11" ht="21" customHeight="1" x14ac:dyDescent="0.15">
      <c r="K65" s="111"/>
    </row>
    <row r="66" spans="11:11" ht="21" customHeight="1" x14ac:dyDescent="0.15">
      <c r="K66" s="111"/>
    </row>
    <row r="67" spans="11:11" ht="21" customHeight="1" x14ac:dyDescent="0.15">
      <c r="K67" s="111"/>
    </row>
    <row r="68" spans="11:11" ht="21" customHeight="1" x14ac:dyDescent="0.15">
      <c r="K68" s="111"/>
    </row>
    <row r="69" spans="11:11" ht="21" customHeight="1" x14ac:dyDescent="0.15">
      <c r="K69" s="111"/>
    </row>
    <row r="70" spans="11:11" ht="21" customHeight="1" x14ac:dyDescent="0.15">
      <c r="K70" s="111"/>
    </row>
    <row r="71" spans="11:11" ht="21" customHeight="1" x14ac:dyDescent="0.15">
      <c r="K71" s="111"/>
    </row>
    <row r="72" spans="11:11" ht="21" customHeight="1" x14ac:dyDescent="0.15">
      <c r="K72" s="111"/>
    </row>
    <row r="73" spans="11:11" ht="21" customHeight="1" x14ac:dyDescent="0.15">
      <c r="K73" s="111"/>
    </row>
    <row r="74" spans="11:11" ht="21" customHeight="1" x14ac:dyDescent="0.15">
      <c r="K74" s="111"/>
    </row>
    <row r="75" spans="11:11" ht="21" customHeight="1" x14ac:dyDescent="0.15">
      <c r="K75" s="111"/>
    </row>
    <row r="76" spans="11:11" ht="21" customHeight="1" x14ac:dyDescent="0.15">
      <c r="K76" s="111"/>
    </row>
    <row r="77" spans="11:11" ht="21" customHeight="1" x14ac:dyDescent="0.15">
      <c r="K77" s="111"/>
    </row>
    <row r="78" spans="11:11" ht="21" customHeight="1" x14ac:dyDescent="0.15">
      <c r="K78" s="111"/>
    </row>
    <row r="79" spans="11:11" ht="21" customHeight="1" x14ac:dyDescent="0.15">
      <c r="K79" s="111"/>
    </row>
    <row r="80" spans="11:11" ht="21" customHeight="1" x14ac:dyDescent="0.15">
      <c r="K80" s="111"/>
    </row>
    <row r="81" spans="11:11" ht="21" customHeight="1" x14ac:dyDescent="0.15">
      <c r="K81" s="111"/>
    </row>
    <row r="82" spans="11:11" ht="21" customHeight="1" x14ac:dyDescent="0.15">
      <c r="K82" s="111"/>
    </row>
    <row r="83" spans="11:11" ht="21" customHeight="1" x14ac:dyDescent="0.15">
      <c r="K83" s="111"/>
    </row>
    <row r="84" spans="11:11" ht="21" customHeight="1" x14ac:dyDescent="0.15">
      <c r="K84" s="111"/>
    </row>
    <row r="85" spans="11:11" ht="21" customHeight="1" x14ac:dyDescent="0.15">
      <c r="K85" s="111"/>
    </row>
    <row r="86" spans="11:11" ht="21" customHeight="1" x14ac:dyDescent="0.15">
      <c r="K86" s="111"/>
    </row>
    <row r="87" spans="11:11" ht="21" customHeight="1" x14ac:dyDescent="0.15">
      <c r="K87" s="111"/>
    </row>
    <row r="88" spans="11:11" ht="21" customHeight="1" x14ac:dyDescent="0.15">
      <c r="K88" s="111"/>
    </row>
    <row r="89" spans="11:11" ht="21" customHeight="1" x14ac:dyDescent="0.15">
      <c r="K89" s="111"/>
    </row>
    <row r="90" spans="11:11" ht="21" customHeight="1" x14ac:dyDescent="0.15">
      <c r="K90" s="111"/>
    </row>
    <row r="91" spans="11:11" ht="21" customHeight="1" x14ac:dyDescent="0.15">
      <c r="K91" s="111"/>
    </row>
    <row r="92" spans="11:11" ht="21" customHeight="1" x14ac:dyDescent="0.15">
      <c r="K92" s="111"/>
    </row>
    <row r="93" spans="11:11" ht="21" customHeight="1" x14ac:dyDescent="0.15">
      <c r="K93" s="111"/>
    </row>
    <row r="94" spans="11:11" ht="21" customHeight="1" x14ac:dyDescent="0.15">
      <c r="K94" s="111"/>
    </row>
    <row r="95" spans="11:11" ht="21" customHeight="1" x14ac:dyDescent="0.15">
      <c r="K95" s="111"/>
    </row>
    <row r="96" spans="11:11" ht="21" customHeight="1" x14ac:dyDescent="0.15">
      <c r="K96" s="111"/>
    </row>
    <row r="97" spans="11:11" ht="21" customHeight="1" x14ac:dyDescent="0.15">
      <c r="K97" s="111"/>
    </row>
    <row r="98" spans="11:11" ht="21" customHeight="1" x14ac:dyDescent="0.15">
      <c r="K98" s="111"/>
    </row>
    <row r="99" spans="11:11" ht="21" customHeight="1" x14ac:dyDescent="0.15">
      <c r="K99" s="111"/>
    </row>
    <row r="100" spans="11:11" ht="21" customHeight="1" x14ac:dyDescent="0.15">
      <c r="K100" s="111"/>
    </row>
    <row r="101" spans="11:11" ht="21" customHeight="1" x14ac:dyDescent="0.15">
      <c r="K101" s="111"/>
    </row>
    <row r="102" spans="11:11" ht="21" customHeight="1" x14ac:dyDescent="0.15">
      <c r="K102" s="111"/>
    </row>
    <row r="103" spans="11:11" ht="21" customHeight="1" x14ac:dyDescent="0.15">
      <c r="K103" s="111"/>
    </row>
    <row r="104" spans="11:11" ht="21" customHeight="1" x14ac:dyDescent="0.15">
      <c r="K104" s="111"/>
    </row>
    <row r="105" spans="11:11" ht="21" customHeight="1" x14ac:dyDescent="0.15">
      <c r="K105" s="111"/>
    </row>
    <row r="106" spans="11:11" ht="21" customHeight="1" x14ac:dyDescent="0.15">
      <c r="K106" s="111"/>
    </row>
    <row r="107" spans="11:11" ht="21" customHeight="1" x14ac:dyDescent="0.15">
      <c r="K107" s="111"/>
    </row>
    <row r="108" spans="11:11" ht="21" customHeight="1" x14ac:dyDescent="0.15">
      <c r="K108" s="111"/>
    </row>
    <row r="109" spans="11:11" ht="21" customHeight="1" x14ac:dyDescent="0.15">
      <c r="K109" s="111"/>
    </row>
    <row r="110" spans="11:11" ht="21" customHeight="1" x14ac:dyDescent="0.15">
      <c r="K110" s="111"/>
    </row>
    <row r="111" spans="11:11" ht="21" customHeight="1" x14ac:dyDescent="0.15">
      <c r="K111" s="111"/>
    </row>
    <row r="112" spans="11:11" ht="21" customHeight="1" x14ac:dyDescent="0.15">
      <c r="K112" s="111"/>
    </row>
    <row r="113" spans="11:11" ht="21" customHeight="1" x14ac:dyDescent="0.15">
      <c r="K113" s="111"/>
    </row>
    <row r="114" spans="11:11" ht="21" customHeight="1" x14ac:dyDescent="0.15">
      <c r="K114" s="111"/>
    </row>
    <row r="115" spans="11:11" ht="21" customHeight="1" x14ac:dyDescent="0.15">
      <c r="K115" s="111"/>
    </row>
    <row r="116" spans="11:11" ht="21" customHeight="1" x14ac:dyDescent="0.15">
      <c r="K116" s="111"/>
    </row>
    <row r="117" spans="11:11" ht="21" customHeight="1" x14ac:dyDescent="0.15">
      <c r="K117" s="111"/>
    </row>
    <row r="118" spans="11:11" ht="21" customHeight="1" x14ac:dyDescent="0.15">
      <c r="K118" s="111"/>
    </row>
    <row r="119" spans="11:11" ht="21" customHeight="1" x14ac:dyDescent="0.15">
      <c r="K119" s="111"/>
    </row>
    <row r="120" spans="11:11" ht="21" customHeight="1" x14ac:dyDescent="0.15">
      <c r="K120" s="111"/>
    </row>
    <row r="121" spans="11:11" ht="21" customHeight="1" x14ac:dyDescent="0.15">
      <c r="K121" s="111"/>
    </row>
    <row r="122" spans="11:11" ht="21" customHeight="1" x14ac:dyDescent="0.15">
      <c r="K122" s="111"/>
    </row>
    <row r="123" spans="11:11" ht="21" customHeight="1" x14ac:dyDescent="0.15">
      <c r="K123" s="111"/>
    </row>
    <row r="124" spans="11:11" ht="21" customHeight="1" x14ac:dyDescent="0.15">
      <c r="K124" s="111"/>
    </row>
    <row r="125" spans="11:11" ht="21" customHeight="1" x14ac:dyDescent="0.15">
      <c r="K125" s="111"/>
    </row>
    <row r="126" spans="11:11" ht="21" customHeight="1" x14ac:dyDescent="0.15">
      <c r="K126" s="111"/>
    </row>
    <row r="127" spans="11:11" ht="21" customHeight="1" x14ac:dyDescent="0.15">
      <c r="K127" s="111"/>
    </row>
    <row r="128" spans="11:11" ht="21" customHeight="1" x14ac:dyDescent="0.15">
      <c r="K128" s="111"/>
    </row>
    <row r="129" spans="11:11" ht="21" customHeight="1" x14ac:dyDescent="0.15">
      <c r="K129" s="111"/>
    </row>
    <row r="130" spans="11:11" ht="21" customHeight="1" x14ac:dyDescent="0.15">
      <c r="K130" s="111"/>
    </row>
    <row r="131" spans="11:11" ht="21" customHeight="1" x14ac:dyDescent="0.15">
      <c r="K131" s="111"/>
    </row>
    <row r="132" spans="11:11" ht="21" customHeight="1" x14ac:dyDescent="0.15">
      <c r="K132" s="111"/>
    </row>
    <row r="133" spans="11:11" ht="21" customHeight="1" x14ac:dyDescent="0.15">
      <c r="K133" s="111"/>
    </row>
    <row r="134" spans="11:11" ht="21" customHeight="1" x14ac:dyDescent="0.15">
      <c r="K134" s="111"/>
    </row>
    <row r="135" spans="11:11" ht="21" customHeight="1" x14ac:dyDescent="0.15">
      <c r="K135" s="111"/>
    </row>
    <row r="136" spans="11:11" ht="21" customHeight="1" x14ac:dyDescent="0.15">
      <c r="K136" s="111"/>
    </row>
    <row r="137" spans="11:11" ht="21" customHeight="1" x14ac:dyDescent="0.15">
      <c r="K137" s="111"/>
    </row>
    <row r="138" spans="11:11" ht="21" customHeight="1" x14ac:dyDescent="0.15">
      <c r="K138" s="111"/>
    </row>
    <row r="139" spans="11:11" ht="21" customHeight="1" x14ac:dyDescent="0.15">
      <c r="K139" s="111"/>
    </row>
    <row r="140" spans="11:11" ht="21" customHeight="1" x14ac:dyDescent="0.15">
      <c r="K140" s="111"/>
    </row>
    <row r="141" spans="11:11" ht="21" customHeight="1" x14ac:dyDescent="0.15">
      <c r="K141" s="111"/>
    </row>
    <row r="142" spans="11:11" ht="21" customHeight="1" x14ac:dyDescent="0.15">
      <c r="K142" s="111"/>
    </row>
    <row r="143" spans="11:11" ht="21" customHeight="1" x14ac:dyDescent="0.15">
      <c r="K143" s="111"/>
    </row>
    <row r="144" spans="11:11" ht="21" customHeight="1" x14ac:dyDescent="0.15">
      <c r="K144" s="111"/>
    </row>
    <row r="145" spans="11:11" ht="21" customHeight="1" x14ac:dyDescent="0.15">
      <c r="K145" s="111"/>
    </row>
    <row r="146" spans="11:11" ht="21" customHeight="1" x14ac:dyDescent="0.15">
      <c r="K146" s="111"/>
    </row>
    <row r="147" spans="11:11" ht="21" customHeight="1" x14ac:dyDescent="0.15">
      <c r="K147" s="111"/>
    </row>
    <row r="148" spans="11:11" ht="21" customHeight="1" x14ac:dyDescent="0.15">
      <c r="K148" s="111"/>
    </row>
    <row r="149" spans="11:11" ht="21" customHeight="1" x14ac:dyDescent="0.15">
      <c r="K149" s="111"/>
    </row>
    <row r="150" spans="11:11" ht="21" customHeight="1" x14ac:dyDescent="0.15">
      <c r="K150" s="111"/>
    </row>
    <row r="151" spans="11:11" ht="21" customHeight="1" x14ac:dyDescent="0.15">
      <c r="K151" s="111"/>
    </row>
    <row r="152" spans="11:11" ht="21" customHeight="1" x14ac:dyDescent="0.15">
      <c r="K152" s="111"/>
    </row>
    <row r="153" spans="11:11" ht="21" customHeight="1" x14ac:dyDescent="0.15">
      <c r="K153" s="111"/>
    </row>
    <row r="154" spans="11:11" ht="21" customHeight="1" x14ac:dyDescent="0.15">
      <c r="K154" s="111"/>
    </row>
    <row r="155" spans="11:11" ht="21" customHeight="1" x14ac:dyDescent="0.15">
      <c r="K155" s="111"/>
    </row>
    <row r="156" spans="11:11" ht="21" customHeight="1" x14ac:dyDescent="0.15">
      <c r="K156" s="111"/>
    </row>
    <row r="157" spans="11:11" ht="21" customHeight="1" x14ac:dyDescent="0.15">
      <c r="K157" s="111"/>
    </row>
    <row r="158" spans="11:11" ht="21" customHeight="1" x14ac:dyDescent="0.15">
      <c r="K158" s="111"/>
    </row>
    <row r="159" spans="11:11" ht="21" customHeight="1" x14ac:dyDescent="0.15">
      <c r="K159" s="111"/>
    </row>
    <row r="160" spans="11:11" ht="21" customHeight="1" x14ac:dyDescent="0.15">
      <c r="K160" s="111"/>
    </row>
    <row r="161" spans="11:11" ht="21" customHeight="1" x14ac:dyDescent="0.15">
      <c r="K161" s="111"/>
    </row>
    <row r="162" spans="11:11" ht="21" customHeight="1" x14ac:dyDescent="0.15">
      <c r="K162" s="111"/>
    </row>
    <row r="163" spans="11:11" ht="21" customHeight="1" x14ac:dyDescent="0.15">
      <c r="K163" s="111"/>
    </row>
    <row r="164" spans="11:11" ht="21" customHeight="1" x14ac:dyDescent="0.15">
      <c r="K164" s="111"/>
    </row>
    <row r="165" spans="11:11" ht="21" customHeight="1" x14ac:dyDescent="0.15">
      <c r="K165" s="111"/>
    </row>
    <row r="166" spans="11:11" ht="21" customHeight="1" x14ac:dyDescent="0.15">
      <c r="K166" s="111"/>
    </row>
    <row r="167" spans="11:11" ht="21" customHeight="1" x14ac:dyDescent="0.15">
      <c r="K167" s="111"/>
    </row>
    <row r="168" spans="11:11" ht="21" customHeight="1" x14ac:dyDescent="0.15">
      <c r="K168" s="111"/>
    </row>
    <row r="169" spans="11:11" ht="21" customHeight="1" x14ac:dyDescent="0.15">
      <c r="K169" s="111"/>
    </row>
    <row r="170" spans="11:11" ht="21" customHeight="1" x14ac:dyDescent="0.15">
      <c r="K170" s="111"/>
    </row>
    <row r="171" spans="11:11" ht="21" customHeight="1" x14ac:dyDescent="0.15">
      <c r="K171" s="111"/>
    </row>
    <row r="172" spans="11:11" ht="21" customHeight="1" x14ac:dyDescent="0.15">
      <c r="K172" s="111"/>
    </row>
    <row r="173" spans="11:11" ht="21" customHeight="1" x14ac:dyDescent="0.15">
      <c r="K173" s="111"/>
    </row>
    <row r="174" spans="11:11" ht="21" customHeight="1" x14ac:dyDescent="0.15">
      <c r="K174" s="111"/>
    </row>
    <row r="175" spans="11:11" ht="21" customHeight="1" x14ac:dyDescent="0.15">
      <c r="K175" s="111"/>
    </row>
    <row r="176" spans="11:11" ht="21" customHeight="1" x14ac:dyDescent="0.15">
      <c r="K176" s="111"/>
    </row>
    <row r="177" spans="11:11" ht="21" customHeight="1" x14ac:dyDescent="0.15">
      <c r="K177" s="111"/>
    </row>
    <row r="178" spans="11:11" ht="21" customHeight="1" x14ac:dyDescent="0.15">
      <c r="K178" s="111"/>
    </row>
    <row r="179" spans="11:11" ht="21" customHeight="1" x14ac:dyDescent="0.15">
      <c r="K179" s="111"/>
    </row>
    <row r="180" spans="11:11" ht="21" customHeight="1" x14ac:dyDescent="0.15">
      <c r="K180" s="111"/>
    </row>
    <row r="181" spans="11:11" ht="21" customHeight="1" x14ac:dyDescent="0.15">
      <c r="K181" s="111"/>
    </row>
    <row r="182" spans="11:11" ht="21" customHeight="1" x14ac:dyDescent="0.15">
      <c r="K182" s="111"/>
    </row>
    <row r="183" spans="11:11" ht="21" customHeight="1" x14ac:dyDescent="0.15">
      <c r="K183" s="111"/>
    </row>
    <row r="184" spans="11:11" ht="21" customHeight="1" x14ac:dyDescent="0.15">
      <c r="K184" s="111"/>
    </row>
    <row r="185" spans="11:11" ht="21" customHeight="1" x14ac:dyDescent="0.15">
      <c r="K185" s="111"/>
    </row>
    <row r="186" spans="11:11" ht="21" customHeight="1" x14ac:dyDescent="0.15">
      <c r="K186" s="111"/>
    </row>
    <row r="187" spans="11:11" ht="21" customHeight="1" x14ac:dyDescent="0.15">
      <c r="K187" s="111"/>
    </row>
    <row r="188" spans="11:11" ht="21" customHeight="1" x14ac:dyDescent="0.15">
      <c r="K188" s="111"/>
    </row>
    <row r="189" spans="11:11" ht="21" customHeight="1" x14ac:dyDescent="0.15">
      <c r="K189" s="111"/>
    </row>
    <row r="190" spans="11:11" ht="21" customHeight="1" x14ac:dyDescent="0.15">
      <c r="K190" s="111"/>
    </row>
    <row r="191" spans="11:11" ht="21" customHeight="1" x14ac:dyDescent="0.15">
      <c r="K191" s="111"/>
    </row>
    <row r="192" spans="11:11" ht="21" customHeight="1" x14ac:dyDescent="0.15">
      <c r="K192" s="111"/>
    </row>
    <row r="193" spans="11:11" ht="21" customHeight="1" x14ac:dyDescent="0.15">
      <c r="K193" s="111"/>
    </row>
    <row r="194" spans="11:11" ht="21" customHeight="1" x14ac:dyDescent="0.15">
      <c r="K194" s="111"/>
    </row>
    <row r="195" spans="11:11" ht="21" customHeight="1" x14ac:dyDescent="0.15">
      <c r="K195" s="111"/>
    </row>
    <row r="196" spans="11:11" ht="21" customHeight="1" x14ac:dyDescent="0.15">
      <c r="K196" s="111"/>
    </row>
    <row r="197" spans="11:11" ht="21" customHeight="1" x14ac:dyDescent="0.15">
      <c r="K197" s="111"/>
    </row>
    <row r="198" spans="11:11" ht="21" customHeight="1" x14ac:dyDescent="0.15">
      <c r="K198" s="111"/>
    </row>
    <row r="199" spans="11:11" ht="21" customHeight="1" x14ac:dyDescent="0.15">
      <c r="K199" s="111"/>
    </row>
    <row r="200" spans="11:11" ht="21" customHeight="1" x14ac:dyDescent="0.15">
      <c r="K200" s="111"/>
    </row>
    <row r="201" spans="11:11" ht="21" customHeight="1" x14ac:dyDescent="0.15">
      <c r="K201" s="111"/>
    </row>
    <row r="202" spans="11:11" ht="21" customHeight="1" x14ac:dyDescent="0.15">
      <c r="K202" s="111"/>
    </row>
    <row r="203" spans="11:11" ht="21" customHeight="1" x14ac:dyDescent="0.15">
      <c r="K203" s="111"/>
    </row>
    <row r="204" spans="11:11" ht="21" customHeight="1" x14ac:dyDescent="0.15">
      <c r="K204" s="111"/>
    </row>
    <row r="205" spans="11:11" ht="21" customHeight="1" x14ac:dyDescent="0.15">
      <c r="K205" s="111"/>
    </row>
    <row r="206" spans="11:11" ht="21" customHeight="1" x14ac:dyDescent="0.15">
      <c r="K206" s="111"/>
    </row>
    <row r="207" spans="11:11" ht="21" customHeight="1" x14ac:dyDescent="0.15">
      <c r="K207" s="111"/>
    </row>
    <row r="208" spans="11:11" ht="21" customHeight="1" x14ac:dyDescent="0.15">
      <c r="K208" s="111"/>
    </row>
    <row r="209" spans="11:11" ht="21" customHeight="1" x14ac:dyDescent="0.15">
      <c r="K209" s="111"/>
    </row>
    <row r="210" spans="11:11" ht="21" customHeight="1" x14ac:dyDescent="0.15">
      <c r="K210" s="111"/>
    </row>
    <row r="211" spans="11:11" ht="21" customHeight="1" x14ac:dyDescent="0.15">
      <c r="K211" s="111"/>
    </row>
    <row r="212" spans="11:11" ht="21" customHeight="1" x14ac:dyDescent="0.15">
      <c r="K212" s="111"/>
    </row>
    <row r="213" spans="11:11" ht="21" customHeight="1" x14ac:dyDescent="0.15">
      <c r="K213" s="111"/>
    </row>
    <row r="214" spans="11:11" ht="21" customHeight="1" x14ac:dyDescent="0.15">
      <c r="K214" s="111"/>
    </row>
    <row r="215" spans="11:11" ht="21" customHeight="1" x14ac:dyDescent="0.15">
      <c r="K215" s="111"/>
    </row>
    <row r="216" spans="11:11" ht="21" customHeight="1" x14ac:dyDescent="0.15">
      <c r="K216" s="111"/>
    </row>
    <row r="217" spans="11:11" ht="21" customHeight="1" x14ac:dyDescent="0.15">
      <c r="K217" s="111"/>
    </row>
    <row r="218" spans="11:11" ht="21" customHeight="1" x14ac:dyDescent="0.15">
      <c r="K218" s="111"/>
    </row>
    <row r="219" spans="11:11" ht="21" customHeight="1" x14ac:dyDescent="0.15">
      <c r="K219" s="111"/>
    </row>
    <row r="220" spans="11:11" ht="21" customHeight="1" x14ac:dyDescent="0.15">
      <c r="K220" s="111"/>
    </row>
    <row r="221" spans="11:11" ht="21" customHeight="1" x14ac:dyDescent="0.15">
      <c r="K221" s="111"/>
    </row>
    <row r="222" spans="11:11" ht="21" customHeight="1" x14ac:dyDescent="0.15">
      <c r="K222" s="111"/>
    </row>
    <row r="223" spans="11:11" ht="21" customHeight="1" x14ac:dyDescent="0.15">
      <c r="K223" s="111"/>
    </row>
    <row r="224" spans="11:11" ht="21" customHeight="1" x14ac:dyDescent="0.15">
      <c r="K224" s="111"/>
    </row>
    <row r="225" spans="11:11" ht="21" customHeight="1" x14ac:dyDescent="0.15">
      <c r="K225" s="111"/>
    </row>
    <row r="226" spans="11:11" ht="21" customHeight="1" x14ac:dyDescent="0.15">
      <c r="K226" s="111"/>
    </row>
    <row r="227" spans="11:11" ht="21" customHeight="1" x14ac:dyDescent="0.15">
      <c r="K227" s="111"/>
    </row>
    <row r="228" spans="11:11" ht="21" customHeight="1" x14ac:dyDescent="0.15">
      <c r="K228" s="111"/>
    </row>
    <row r="229" spans="11:11" ht="21" customHeight="1" x14ac:dyDescent="0.15">
      <c r="K229" s="111"/>
    </row>
    <row r="230" spans="11:11" ht="21" customHeight="1" x14ac:dyDescent="0.15">
      <c r="K230" s="111"/>
    </row>
    <row r="231" spans="11:11" ht="21" customHeight="1" x14ac:dyDescent="0.15">
      <c r="K231" s="111"/>
    </row>
    <row r="232" spans="11:11" ht="21" customHeight="1" x14ac:dyDescent="0.15">
      <c r="K232" s="111"/>
    </row>
    <row r="233" spans="11:11" ht="21" customHeight="1" x14ac:dyDescent="0.15">
      <c r="K233" s="111"/>
    </row>
    <row r="234" spans="11:11" ht="21" customHeight="1" x14ac:dyDescent="0.15">
      <c r="K234" s="111"/>
    </row>
    <row r="235" spans="11:11" ht="21" customHeight="1" x14ac:dyDescent="0.15">
      <c r="K235" s="111"/>
    </row>
    <row r="236" spans="11:11" ht="21" customHeight="1" x14ac:dyDescent="0.15">
      <c r="K236" s="111"/>
    </row>
    <row r="237" spans="11:11" ht="21" customHeight="1" x14ac:dyDescent="0.15">
      <c r="K237" s="111"/>
    </row>
    <row r="238" spans="11:11" ht="21" customHeight="1" x14ac:dyDescent="0.15">
      <c r="K238" s="111"/>
    </row>
    <row r="239" spans="11:11" ht="21" customHeight="1" x14ac:dyDescent="0.15">
      <c r="K239" s="111"/>
    </row>
    <row r="240" spans="11:11" ht="21" customHeight="1" x14ac:dyDescent="0.15">
      <c r="K240" s="111"/>
    </row>
    <row r="241" spans="11:11" ht="21" customHeight="1" x14ac:dyDescent="0.15">
      <c r="K241" s="111"/>
    </row>
    <row r="242" spans="11:11" ht="21" customHeight="1" x14ac:dyDescent="0.15">
      <c r="K242" s="111"/>
    </row>
    <row r="243" spans="11:11" ht="21" customHeight="1" x14ac:dyDescent="0.15">
      <c r="K243" s="111"/>
    </row>
    <row r="244" spans="11:11" ht="21" customHeight="1" x14ac:dyDescent="0.15">
      <c r="K244" s="111"/>
    </row>
    <row r="245" spans="11:11" ht="21" customHeight="1" x14ac:dyDescent="0.15">
      <c r="K245" s="111"/>
    </row>
    <row r="246" spans="11:11" ht="21" customHeight="1" x14ac:dyDescent="0.15">
      <c r="K246" s="111"/>
    </row>
    <row r="247" spans="11:11" ht="21" customHeight="1" x14ac:dyDescent="0.15">
      <c r="K247" s="111"/>
    </row>
    <row r="248" spans="11:11" ht="21" customHeight="1" x14ac:dyDescent="0.15">
      <c r="K248" s="111"/>
    </row>
    <row r="249" spans="11:11" ht="21" customHeight="1" x14ac:dyDescent="0.15">
      <c r="K249" s="111"/>
    </row>
    <row r="250" spans="11:11" ht="21" customHeight="1" x14ac:dyDescent="0.15">
      <c r="K250" s="111"/>
    </row>
    <row r="251" spans="11:11" ht="21" customHeight="1" x14ac:dyDescent="0.15">
      <c r="K251" s="111"/>
    </row>
    <row r="252" spans="11:11" ht="21" customHeight="1" x14ac:dyDescent="0.15">
      <c r="K252" s="111"/>
    </row>
    <row r="253" spans="11:11" ht="21" customHeight="1" x14ac:dyDescent="0.15">
      <c r="K253" s="111"/>
    </row>
    <row r="254" spans="11:11" ht="21" customHeight="1" x14ac:dyDescent="0.15">
      <c r="K254" s="111"/>
    </row>
    <row r="255" spans="11:11" ht="21" customHeight="1" x14ac:dyDescent="0.15">
      <c r="K255" s="111"/>
    </row>
    <row r="256" spans="11:11" ht="21" customHeight="1" x14ac:dyDescent="0.15">
      <c r="K256" s="111"/>
    </row>
    <row r="257" spans="11:11" ht="21" customHeight="1" x14ac:dyDescent="0.15">
      <c r="K257" s="111"/>
    </row>
    <row r="258" spans="11:11" ht="21" customHeight="1" x14ac:dyDescent="0.15">
      <c r="K258" s="111"/>
    </row>
    <row r="259" spans="11:11" ht="21" customHeight="1" x14ac:dyDescent="0.15">
      <c r="K259" s="111"/>
    </row>
    <row r="260" spans="11:11" ht="21" customHeight="1" x14ac:dyDescent="0.15">
      <c r="K260" s="111"/>
    </row>
    <row r="261" spans="11:11" ht="21" customHeight="1" x14ac:dyDescent="0.15">
      <c r="K261" s="111"/>
    </row>
    <row r="262" spans="11:11" ht="21" customHeight="1" x14ac:dyDescent="0.15">
      <c r="K262" s="111"/>
    </row>
    <row r="263" spans="11:11" ht="21" customHeight="1" x14ac:dyDescent="0.15">
      <c r="K263" s="11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5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A15" sqref="A15:F1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82</v>
      </c>
      <c r="B1" s="15" t="s">
        <v>1</v>
      </c>
      <c r="C1" s="3" t="s">
        <v>30</v>
      </c>
      <c r="D1" s="3" t="s">
        <v>93</v>
      </c>
      <c r="E1" s="3" t="s">
        <v>162</v>
      </c>
      <c r="F1" s="3" t="s">
        <v>163</v>
      </c>
      <c r="G1" s="3" t="s">
        <v>100</v>
      </c>
      <c r="H1" s="3" t="s">
        <v>32</v>
      </c>
      <c r="I1" s="3" t="s">
        <v>33</v>
      </c>
      <c r="J1" s="3" t="s">
        <v>34</v>
      </c>
      <c r="K1" s="3" t="s">
        <v>50</v>
      </c>
      <c r="L1" s="3" t="s">
        <v>35</v>
      </c>
      <c r="M1" s="3" t="s">
        <v>36</v>
      </c>
      <c r="N1" s="3" t="s">
        <v>56</v>
      </c>
      <c r="O1" s="15" t="s">
        <v>2</v>
      </c>
      <c r="P1" s="3" t="s">
        <v>61</v>
      </c>
      <c r="Q1" s="15" t="s">
        <v>37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80" t="s">
        <v>261</v>
      </c>
      <c r="B2" s="6">
        <v>379</v>
      </c>
      <c r="C2" s="7" t="str">
        <f t="shared" ref="C2:C3" si="0">D2&amp;J2&amp;E2&amp;F2&amp;G2</f>
        <v>PremiumSSS5R3less</v>
      </c>
      <c r="D2" s="7" t="str">
        <f t="shared" ref="D2:D3" si="1">IF(I2="PremiumSS",I2,IF(I2="PremiumSSS",I2,IF(I2="PremiumW",I2,"Premium")))</f>
        <v>PremiumSSS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幾何の機刃 オイラー</v>
      </c>
      <c r="I2" s="7" t="str">
        <f>VLOOKUP(B2,[1]characters!$A:$J,10,FALSE)</f>
        <v>PremiumSSS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balance</v>
      </c>
      <c r="M2" s="7" t="str">
        <f>VLOOKUP(B2,[1]characters!$A:$M,13,FALSE)</f>
        <v>human</v>
      </c>
      <c r="N2" s="7" t="str">
        <f>VLOOKUP(B2,[1]characters!$A:$G,7,FALSE)</f>
        <v>女性</v>
      </c>
      <c r="O2" s="43">
        <v>10</v>
      </c>
      <c r="P2" s="44">
        <f t="shared" ref="P2:P15" si="2">O2/SUM(O:O)</f>
        <v>7.1428571428571425E-2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1</v>
      </c>
    </row>
    <row r="3" spans="1:22" ht="21" customHeight="1" x14ac:dyDescent="0.15">
      <c r="A3" s="80" t="s">
        <v>261</v>
      </c>
      <c r="B3" s="6">
        <v>411</v>
      </c>
      <c r="C3" s="7" t="str">
        <f t="shared" si="0"/>
        <v>PremiumSSS5R3less</v>
      </c>
      <c r="D3" s="7" t="str">
        <f t="shared" si="1"/>
        <v>PremiumSSS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電隷の始祖 ファラデー</v>
      </c>
      <c r="I3" s="7" t="str">
        <f>VLOOKUP(B3,[1]characters!$A:$J,10,FALSE)</f>
        <v>PremiumSSS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3">
        <v>10</v>
      </c>
      <c r="P3" s="44">
        <f t="shared" si="2"/>
        <v>7.1428571428571425E-2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1</v>
      </c>
    </row>
    <row r="4" spans="1:22" ht="21" customHeight="1" x14ac:dyDescent="0.15">
      <c r="A4" s="80" t="s">
        <v>261</v>
      </c>
      <c r="B4" s="6">
        <v>485</v>
      </c>
      <c r="C4" s="7" t="str">
        <f t="shared" ref="C4:C6" si="3">D4&amp;J4&amp;E4&amp;F4&amp;G4</f>
        <v>PremiumSSS5R3less</v>
      </c>
      <c r="D4" s="7" t="str">
        <f t="shared" ref="D4:D6" si="4">IF(I4="PremiumSS",I4,IF(I4="PremiumSSS",I4,IF(I4="PremiumW",I4,"Premium")))</f>
        <v>PremiumSSS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超越自我 ラグランジュ</v>
      </c>
      <c r="I4" s="7" t="str">
        <f>VLOOKUP(B4,[1]characters!$A:$J,10,FALSE)</f>
        <v>PremiumSSS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technical</v>
      </c>
      <c r="M4" s="7" t="str">
        <f>VLOOKUP(B4,[1]characters!$A:$M,13,FALSE)</f>
        <v>human</v>
      </c>
      <c r="N4" s="7" t="str">
        <f>VLOOKUP(B4,[1]characters!$A:$G,7,FALSE)</f>
        <v>女性</v>
      </c>
      <c r="O4" s="43">
        <v>10</v>
      </c>
      <c r="P4" s="44">
        <f t="shared" si="2"/>
        <v>7.1428571428571425E-2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1</v>
      </c>
    </row>
    <row r="5" spans="1:22" ht="21" customHeight="1" x14ac:dyDescent="0.15">
      <c r="A5" s="80" t="s">
        <v>261</v>
      </c>
      <c r="B5" s="6">
        <v>689</v>
      </c>
      <c r="C5" s="7" t="str">
        <f t="shared" si="3"/>
        <v>PremiumSSS5R3less</v>
      </c>
      <c r="D5" s="7" t="str">
        <f t="shared" si="4"/>
        <v>PremiumSSS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根原論理 ユークリッド</v>
      </c>
      <c r="I5" s="7" t="str">
        <f>VLOOKUP(B5,[1]characters!$A:$J,10,FALSE)</f>
        <v>PremiumSSS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43">
        <v>10</v>
      </c>
      <c r="P5" s="44">
        <f t="shared" si="2"/>
        <v>7.1428571428571425E-2</v>
      </c>
      <c r="Q5" s="28">
        <v>1</v>
      </c>
      <c r="R5" s="28">
        <v>0</v>
      </c>
      <c r="S5" s="28">
        <v>0</v>
      </c>
      <c r="T5" s="28">
        <v>0</v>
      </c>
      <c r="U5" s="28">
        <v>0</v>
      </c>
      <c r="V5" s="28">
        <v>1</v>
      </c>
    </row>
    <row r="6" spans="1:22" ht="21" customHeight="1" x14ac:dyDescent="0.15">
      <c r="A6" s="80" t="s">
        <v>261</v>
      </c>
      <c r="B6" s="6">
        <v>760</v>
      </c>
      <c r="C6" s="7" t="str">
        <f t="shared" si="3"/>
        <v>PremiumSSS5R3less</v>
      </c>
      <c r="D6" s="7" t="str">
        <f t="shared" si="4"/>
        <v>PremiumSSS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限論顕現 クロネッカー</v>
      </c>
      <c r="I6" s="7" t="str">
        <f>VLOOKUP(B6,[1]characters!$A:$J,10,FALSE)</f>
        <v>PremiumSSS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43">
        <v>10</v>
      </c>
      <c r="P6" s="44">
        <f t="shared" si="2"/>
        <v>7.1428571428571425E-2</v>
      </c>
      <c r="Q6" s="28">
        <v>1</v>
      </c>
      <c r="R6" s="28">
        <v>0</v>
      </c>
      <c r="S6" s="28">
        <v>0</v>
      </c>
      <c r="T6" s="28">
        <v>0</v>
      </c>
      <c r="U6" s="28">
        <v>0</v>
      </c>
      <c r="V6" s="28">
        <v>1</v>
      </c>
    </row>
    <row r="7" spans="1:22" ht="21" customHeight="1" x14ac:dyDescent="0.15">
      <c r="A7" s="80" t="s">
        <v>261</v>
      </c>
      <c r="B7" s="6">
        <v>750</v>
      </c>
      <c r="C7" s="7" t="str">
        <f t="shared" ref="C7:C15" si="5">D7&amp;J7&amp;E7&amp;F7&amp;G7</f>
        <v>PremiumSSS5R3less</v>
      </c>
      <c r="D7" s="7" t="str">
        <f t="shared" ref="D7:D15" si="6">IF(I7="PremiumSS",I7,IF(I7="PremiumSSS",I7,IF(I7="PremiumW",I7,"Premium")))</f>
        <v>PremiumSSS</v>
      </c>
      <c r="E7" s="7" t="str">
        <f>IF(COUNTIF('R6追加前'!A:A,B7)=0,IF(I7="PremiumSS","R5only","R3less"),"")</f>
        <v>R3less</v>
      </c>
      <c r="F7" s="7" t="str">
        <f>IF(COUNTIF('R6開放'!A:A,B7)&gt;0,"R6release","")</f>
        <v/>
      </c>
      <c r="G7" s="7"/>
      <c r="H7" s="7" t="str">
        <f>VLOOKUP(B7,[1]characters!$A:$C,3,FALSE)</f>
        <v>ポアソン</v>
      </c>
      <c r="I7" s="7" t="str">
        <f>VLOOKUP(B7,[1]characters!$A:$J,10,FALSE)</f>
        <v>PremiumSSS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balance</v>
      </c>
      <c r="M7" s="7" t="str">
        <f>VLOOKUP(B7,[1]characters!$A:$M,13,FALSE)</f>
        <v>academia</v>
      </c>
      <c r="N7" s="7" t="str">
        <f>VLOOKUP(B7,[1]characters!$A:$G,7,FALSE)</f>
        <v>男性</v>
      </c>
      <c r="O7" s="43">
        <v>10</v>
      </c>
      <c r="P7" s="44">
        <f t="shared" si="2"/>
        <v>7.1428571428571425E-2</v>
      </c>
      <c r="Q7" s="28">
        <v>1</v>
      </c>
      <c r="R7" s="28">
        <v>0</v>
      </c>
      <c r="S7" s="28">
        <v>0</v>
      </c>
      <c r="T7" s="28">
        <v>0</v>
      </c>
      <c r="U7" s="28">
        <v>0</v>
      </c>
      <c r="V7" s="28">
        <v>1</v>
      </c>
    </row>
    <row r="8" spans="1:22" ht="21" customHeight="1" x14ac:dyDescent="0.15">
      <c r="A8" s="80" t="s">
        <v>261</v>
      </c>
      <c r="B8" s="8">
        <v>870</v>
      </c>
      <c r="C8" s="7" t="str">
        <f t="shared" si="5"/>
        <v>PremiumSSS5R3less</v>
      </c>
      <c r="D8" s="7" t="str">
        <f t="shared" si="6"/>
        <v>PremiumSSS</v>
      </c>
      <c r="E8" s="7" t="str">
        <f>IF(COUNTIF('R6追加前'!A:A,B8)=0,IF(I8="PremiumSS","R5only","R3less"),"")</f>
        <v>R3less</v>
      </c>
      <c r="F8" s="7" t="str">
        <f>IF(COUNTIF('R6開放'!A:A,B8)&gt;0,"R6release","")</f>
        <v/>
      </c>
      <c r="G8" s="7"/>
      <c r="H8" s="7" t="str">
        <f>VLOOKUP(B8,[1]characters!$A:$C,3,FALSE)</f>
        <v>フロイト</v>
      </c>
      <c r="I8" s="7" t="str">
        <f>VLOOKUP(B8,[1]characters!$A:$J,10,FALSE)</f>
        <v>PremiumSSS</v>
      </c>
      <c r="J8" s="7">
        <f>VLOOKUP(B8,[1]characters!$A:$I,9,FALSE)</f>
        <v>5</v>
      </c>
      <c r="K8" s="7" t="str">
        <f>VLOOKUP(B8,[1]characters!$A:$H,8,FALSE)</f>
        <v>red</v>
      </c>
      <c r="L8" s="7" t="str">
        <f>VLOOKUP(B8,[1]characters!$A:$K,11,FALSE)</f>
        <v>balance</v>
      </c>
      <c r="M8" s="7" t="str">
        <f>VLOOKUP(B8,[1]characters!$A:$M,13,FALSE)</f>
        <v>academia</v>
      </c>
      <c r="N8" s="7" t="str">
        <f>VLOOKUP(B8,[1]characters!$A:$G,7,FALSE)</f>
        <v>男性</v>
      </c>
      <c r="O8" s="43">
        <v>10</v>
      </c>
      <c r="P8" s="44">
        <f t="shared" si="2"/>
        <v>7.1428571428571425E-2</v>
      </c>
      <c r="Q8" s="28">
        <v>1</v>
      </c>
      <c r="R8" s="28">
        <v>0</v>
      </c>
      <c r="S8" s="28">
        <v>0</v>
      </c>
      <c r="T8" s="28">
        <v>0</v>
      </c>
      <c r="U8" s="28">
        <v>0</v>
      </c>
      <c r="V8" s="28">
        <v>1</v>
      </c>
    </row>
    <row r="9" spans="1:22" ht="21" customHeight="1" x14ac:dyDescent="0.15">
      <c r="A9" s="80" t="s">
        <v>261</v>
      </c>
      <c r="B9" s="8">
        <v>486</v>
      </c>
      <c r="C9" s="7" t="str">
        <f t="shared" si="5"/>
        <v>PremiumSSS5R3less</v>
      </c>
      <c r="D9" s="7" t="str">
        <f t="shared" si="6"/>
        <v>PremiumSSS</v>
      </c>
      <c r="E9" s="7" t="str">
        <f>IF(COUNTIF('R6追加前'!A:A,B9)=0,IF(I9="PremiumSS","R5only","R3less"),"")</f>
        <v>R3less</v>
      </c>
      <c r="F9" s="7" t="str">
        <f>IF(COUNTIF('R6開放'!A:A,B9)&gt;0,"R6release","")</f>
        <v/>
      </c>
      <c r="G9" s="7"/>
      <c r="H9" s="7" t="str">
        <f>VLOOKUP(B9,[1]characters!$A:$C,3,FALSE)</f>
        <v>重なる世解 シュレディンガー</v>
      </c>
      <c r="I9" s="7" t="str">
        <f>VLOOKUP(B9,[1]characters!$A:$J,10,FALSE)</f>
        <v>PremiumSSS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balance</v>
      </c>
      <c r="M9" s="7" t="str">
        <f>VLOOKUP(B9,[1]characters!$A:$M,13,FALSE)</f>
        <v>animal</v>
      </c>
      <c r="N9" s="7" t="str">
        <f>VLOOKUP(B9,[1]characters!$A:$G,7,FALSE)</f>
        <v>男性</v>
      </c>
      <c r="O9" s="43">
        <v>10</v>
      </c>
      <c r="P9" s="44">
        <f t="shared" si="2"/>
        <v>7.1428571428571425E-2</v>
      </c>
      <c r="Q9" s="28">
        <v>1</v>
      </c>
      <c r="R9" s="28">
        <v>0</v>
      </c>
      <c r="S9" s="28">
        <v>0</v>
      </c>
      <c r="T9" s="28">
        <v>0</v>
      </c>
      <c r="U9" s="28">
        <v>0</v>
      </c>
      <c r="V9" s="28">
        <v>1</v>
      </c>
    </row>
    <row r="10" spans="1:22" ht="21" customHeight="1" x14ac:dyDescent="0.15">
      <c r="A10" s="80" t="s">
        <v>261</v>
      </c>
      <c r="B10" s="6">
        <v>488</v>
      </c>
      <c r="C10" s="7" t="str">
        <f t="shared" si="5"/>
        <v>PremiumSSS5R3less</v>
      </c>
      <c r="D10" s="7" t="str">
        <f t="shared" si="6"/>
        <v>PremiumSSS</v>
      </c>
      <c r="E10" s="7" t="str">
        <f>IF(COUNTIF('R6追加前'!A:A,B10)=0,IF(I10="PremiumSS","R5only","R3less"),"")</f>
        <v>R3less</v>
      </c>
      <c r="F10" s="7" t="str">
        <f>IF(COUNTIF('R6開放'!A:A,B10)&gt;0,"R6release","")</f>
        <v/>
      </c>
      <c r="G10" s="7"/>
      <c r="H10" s="7" t="str">
        <f>VLOOKUP(B10,[1]characters!$A:$C,3,FALSE)</f>
        <v>直観の異論 ヘンペル</v>
      </c>
      <c r="I10" s="7" t="str">
        <f>VLOOKUP(B10,[1]characters!$A:$J,10,FALSE)</f>
        <v>PremiumSSS</v>
      </c>
      <c r="J10" s="7">
        <f>VLOOKUP(B10,[1]characters!$A:$I,9,FALSE)</f>
        <v>5</v>
      </c>
      <c r="K10" s="7" t="str">
        <f>VLOOKUP(B10,[1]characters!$A:$H,8,FALSE)</f>
        <v>blue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男性</v>
      </c>
      <c r="O10" s="43">
        <v>10</v>
      </c>
      <c r="P10" s="44">
        <f t="shared" si="2"/>
        <v>7.1428571428571425E-2</v>
      </c>
      <c r="Q10" s="28">
        <v>1</v>
      </c>
      <c r="R10" s="28">
        <v>0</v>
      </c>
      <c r="S10" s="28">
        <v>0</v>
      </c>
      <c r="T10" s="28">
        <v>0</v>
      </c>
      <c r="U10" s="28">
        <v>0</v>
      </c>
      <c r="V10" s="28">
        <v>1</v>
      </c>
    </row>
    <row r="11" spans="1:22" ht="21" customHeight="1" x14ac:dyDescent="0.15">
      <c r="A11" s="80" t="s">
        <v>261</v>
      </c>
      <c r="B11" s="6">
        <v>489</v>
      </c>
      <c r="C11" s="7" t="str">
        <f t="shared" si="5"/>
        <v>PremiumSSS5R3less</v>
      </c>
      <c r="D11" s="7" t="str">
        <f t="shared" si="6"/>
        <v>PremiumSSS</v>
      </c>
      <c r="E11" s="7" t="str">
        <f>IF(COUNTIF('R6追加前'!A:A,B11)=0,IF(I11="PremiumSS","R5only","R3less"),"")</f>
        <v>R3less</v>
      </c>
      <c r="F11" s="7" t="str">
        <f>IF(COUNTIF('R6開放'!A:A,B11)&gt;0,"R6release","")</f>
        <v/>
      </c>
      <c r="G11" s="7"/>
      <c r="H11" s="7" t="str">
        <f>VLOOKUP(B11,[1]characters!$A:$C,3,FALSE)</f>
        <v>宇宙の拡超 ハップル</v>
      </c>
      <c r="I11" s="7" t="str">
        <f>VLOOKUP(B11,[1]characters!$A:$J,10,FALSE)</f>
        <v>PremiumSSS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technical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43">
        <v>10</v>
      </c>
      <c r="P11" s="44">
        <f t="shared" si="2"/>
        <v>7.1428571428571425E-2</v>
      </c>
      <c r="Q11" s="28">
        <v>1</v>
      </c>
      <c r="R11" s="28">
        <v>0</v>
      </c>
      <c r="S11" s="28">
        <v>0</v>
      </c>
      <c r="T11" s="28">
        <v>0</v>
      </c>
      <c r="U11" s="28">
        <v>0</v>
      </c>
      <c r="V11" s="28">
        <v>1</v>
      </c>
    </row>
    <row r="12" spans="1:22" ht="21" customHeight="1" x14ac:dyDescent="0.15">
      <c r="A12" s="80" t="s">
        <v>261</v>
      </c>
      <c r="B12" s="6">
        <v>762</v>
      </c>
      <c r="C12" s="7" t="str">
        <f t="shared" si="5"/>
        <v>PremiumSSS5R3less</v>
      </c>
      <c r="D12" s="7" t="str">
        <f t="shared" si="6"/>
        <v>PremiumSSS</v>
      </c>
      <c r="E12" s="7" t="str">
        <f>IF(COUNTIF('R6追加前'!A:A,B12)=0,IF(I12="PremiumSS","R5only","R3less"),"")</f>
        <v>R3less</v>
      </c>
      <c r="F12" s="7" t="str">
        <f>IF(COUNTIF('R6開放'!A:A,B12)&gt;0,"R6release","")</f>
        <v/>
      </c>
      <c r="G12" s="7"/>
      <c r="H12" s="7" t="str">
        <f>VLOOKUP(B12,[1]characters!$A:$C,3,FALSE)</f>
        <v>フィボナッチ</v>
      </c>
      <c r="I12" s="7" t="str">
        <f>VLOOKUP(B12,[1]characters!$A:$J,10,FALSE)</f>
        <v>PremiumSSS</v>
      </c>
      <c r="J12" s="7">
        <f>VLOOKUP(B12,[1]characters!$A:$I,9,FALSE)</f>
        <v>5</v>
      </c>
      <c r="K12" s="7" t="str">
        <f>VLOOKUP(B12,[1]characters!$A:$H,8,FALSE)</f>
        <v>blue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男性</v>
      </c>
      <c r="O12" s="43">
        <v>10</v>
      </c>
      <c r="P12" s="44">
        <f t="shared" si="2"/>
        <v>7.1428571428571425E-2</v>
      </c>
      <c r="Q12" s="28">
        <v>1</v>
      </c>
      <c r="R12" s="28">
        <v>0</v>
      </c>
      <c r="S12" s="28">
        <v>0</v>
      </c>
      <c r="T12" s="28">
        <v>0</v>
      </c>
      <c r="U12" s="28">
        <v>0</v>
      </c>
      <c r="V12" s="28">
        <v>1</v>
      </c>
    </row>
    <row r="13" spans="1:22" ht="21" customHeight="1" x14ac:dyDescent="0.15">
      <c r="A13" s="80" t="s">
        <v>261</v>
      </c>
      <c r="B13" s="5">
        <v>487</v>
      </c>
      <c r="C13" s="7" t="str">
        <f t="shared" si="5"/>
        <v>PremiumSSS5R3less</v>
      </c>
      <c r="D13" s="7" t="str">
        <f t="shared" si="6"/>
        <v>PremiumSSS</v>
      </c>
      <c r="E13" s="7" t="str">
        <f>IF(COUNTIF('R6追加前'!A:A,B13)=0,IF(I13="PremiumSS","R5only","R3less"),"")</f>
        <v>R3less</v>
      </c>
      <c r="F13" s="7" t="str">
        <f>IF(COUNTIF('R6開放'!A:A,B13)&gt;0,"R6release","")</f>
        <v/>
      </c>
      <c r="G13" s="7"/>
      <c r="H13" s="7" t="str">
        <f>VLOOKUP(B13,[1]characters!$A:$C,3,FALSE)</f>
        <v>暴創の造物 チューリング</v>
      </c>
      <c r="I13" s="7" t="str">
        <f>VLOOKUP(B13,[1]characters!$A:$J,10,FALSE)</f>
        <v>PremiumSSS</v>
      </c>
      <c r="J13" s="7">
        <f>VLOOKUP(B13,[1]characters!$A:$I,9,FALSE)</f>
        <v>5</v>
      </c>
      <c r="K13" s="7" t="str">
        <f>VLOOKUP(B13,[1]characters!$A:$H,8,FALSE)</f>
        <v>green</v>
      </c>
      <c r="L13" s="7" t="str">
        <f>VLOOKUP(B13,[1]characters!$A:$K,11,FALSE)</f>
        <v>hp</v>
      </c>
      <c r="M13" s="7" t="str">
        <f>VLOOKUP(B13,[1]characters!$A:$M,13,FALSE)</f>
        <v>human</v>
      </c>
      <c r="N13" s="7" t="str">
        <f>VLOOKUP(B13,[1]characters!$A:$G,7,FALSE)</f>
        <v>女性</v>
      </c>
      <c r="O13" s="43">
        <v>10</v>
      </c>
      <c r="P13" s="44">
        <f t="shared" si="2"/>
        <v>7.1428571428571425E-2</v>
      </c>
      <c r="Q13" s="28">
        <v>1</v>
      </c>
      <c r="R13" s="28">
        <v>0</v>
      </c>
      <c r="S13" s="28">
        <v>0</v>
      </c>
      <c r="T13" s="28">
        <v>0</v>
      </c>
      <c r="U13" s="28">
        <v>0</v>
      </c>
      <c r="V13" s="28">
        <v>1</v>
      </c>
    </row>
    <row r="14" spans="1:22" ht="21" customHeight="1" x14ac:dyDescent="0.15">
      <c r="A14" s="80" t="s">
        <v>261</v>
      </c>
      <c r="B14" s="5">
        <v>790</v>
      </c>
      <c r="C14" s="7" t="str">
        <f t="shared" si="5"/>
        <v>PremiumSSS5R3less</v>
      </c>
      <c r="D14" s="7" t="str">
        <f t="shared" si="6"/>
        <v>PremiumSSS</v>
      </c>
      <c r="E14" s="7" t="str">
        <f>IF(COUNTIF('R6追加前'!A:A,B14)=0,IF(I14="PremiumSS","R5only","R3less"),"")</f>
        <v>R3less</v>
      </c>
      <c r="F14" s="7" t="str">
        <f>IF(COUNTIF('R6開放'!A:A,B14)&gt;0,"R6release","")</f>
        <v/>
      </c>
      <c r="G14" s="7"/>
      <c r="H14" s="7" t="str">
        <f>VLOOKUP(B14,[1]characters!$A:$C,3,FALSE)</f>
        <v>戦略級の才脳 ノイマン</v>
      </c>
      <c r="I14" s="7" t="str">
        <f>VLOOKUP(B14,[1]characters!$A:$J,10,FALSE)</f>
        <v>PremiumSSS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attack</v>
      </c>
      <c r="M14" s="7" t="str">
        <f>VLOOKUP(B14,[1]characters!$A:$M,13,FALSE)</f>
        <v>machine</v>
      </c>
      <c r="N14" s="7" t="str">
        <f>VLOOKUP(B14,[1]characters!$A:$G,7,FALSE)</f>
        <v>女性</v>
      </c>
      <c r="O14" s="43">
        <v>10</v>
      </c>
      <c r="P14" s="44">
        <f t="shared" si="2"/>
        <v>7.1428571428571425E-2</v>
      </c>
      <c r="Q14" s="28">
        <v>1</v>
      </c>
      <c r="R14" s="28">
        <v>0</v>
      </c>
      <c r="S14" s="28">
        <v>0</v>
      </c>
      <c r="T14" s="28">
        <v>0</v>
      </c>
      <c r="U14" s="28">
        <v>0</v>
      </c>
      <c r="V14" s="28">
        <v>1</v>
      </c>
    </row>
    <row r="15" spans="1:22" ht="21" customHeight="1" x14ac:dyDescent="0.15">
      <c r="A15" s="80" t="s">
        <v>261</v>
      </c>
      <c r="B15" s="5">
        <v>792</v>
      </c>
      <c r="C15" s="7" t="str">
        <f t="shared" si="5"/>
        <v>PremiumSSS5R3less</v>
      </c>
      <c r="D15" s="7" t="str">
        <f t="shared" si="6"/>
        <v>PremiumSSS</v>
      </c>
      <c r="E15" s="7" t="str">
        <f>IF(COUNTIF('R6追加前'!A:A,B15)=0,IF(I15="PremiumSS","R5only","R3less"),"")</f>
        <v>R3less</v>
      </c>
      <c r="F15" s="7" t="str">
        <f>IF(COUNTIF('R6開放'!A:A,B15)&gt;0,"R6release","")</f>
        <v/>
      </c>
      <c r="G15" s="7"/>
      <c r="H15" s="7" t="str">
        <f>VLOOKUP(B15,[1]characters!$A:$C,3,FALSE)</f>
        <v>片還の収波 フーリエ</v>
      </c>
      <c r="I15" s="7" t="str">
        <f>VLOOKUP(B15,[1]characters!$A:$J,10,FALSE)</f>
        <v>PremiumSSS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technical</v>
      </c>
      <c r="M15" s="7" t="str">
        <f>VLOOKUP(B15,[1]characters!$A:$M,13,FALSE)</f>
        <v>human</v>
      </c>
      <c r="N15" s="7" t="str">
        <f>VLOOKUP(B15,[1]characters!$A:$G,7,FALSE)</f>
        <v>男性</v>
      </c>
      <c r="O15" s="43">
        <v>10</v>
      </c>
      <c r="P15" s="44">
        <f t="shared" si="2"/>
        <v>7.1428571428571425E-2</v>
      </c>
      <c r="Q15" s="28">
        <v>1</v>
      </c>
      <c r="R15" s="28">
        <v>0</v>
      </c>
      <c r="S15" s="28">
        <v>0</v>
      </c>
      <c r="T15" s="28">
        <v>0</v>
      </c>
      <c r="U15" s="28">
        <v>0</v>
      </c>
      <c r="V15" s="28">
        <v>1</v>
      </c>
    </row>
  </sheetData>
  <autoFilter ref="A1:V15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L20" sqref="L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2" t="s">
        <v>12</v>
      </c>
      <c r="C1" s="14" t="s">
        <v>14</v>
      </c>
      <c r="D1" s="14" t="s">
        <v>15</v>
      </c>
      <c r="E1" s="14" t="s">
        <v>16</v>
      </c>
      <c r="F1" s="13" t="s">
        <v>2</v>
      </c>
      <c r="G1" s="50" t="s">
        <v>86</v>
      </c>
      <c r="H1" s="50" t="s">
        <v>87</v>
      </c>
      <c r="I1" s="51" t="s">
        <v>88</v>
      </c>
      <c r="J1" s="51" t="s">
        <v>89</v>
      </c>
      <c r="K1" s="51" t="s">
        <v>90</v>
      </c>
      <c r="L1" s="51" t="s">
        <v>91</v>
      </c>
      <c r="M1" s="51" t="s">
        <v>92</v>
      </c>
      <c r="N1" s="13" t="s">
        <v>17</v>
      </c>
      <c r="O1" s="13" t="s">
        <v>18</v>
      </c>
      <c r="P1" s="13" t="s">
        <v>19</v>
      </c>
      <c r="Q1" s="13" t="s">
        <v>20</v>
      </c>
    </row>
    <row r="2" spans="1:17" ht="21" customHeight="1" x14ac:dyDescent="0.15">
      <c r="A2" s="72" t="s">
        <v>254</v>
      </c>
      <c r="B2" s="72" t="str">
        <f>A2&amp;1</f>
        <v>3841021</v>
      </c>
      <c r="C2" s="73" t="s">
        <v>242</v>
      </c>
      <c r="D2" s="73">
        <v>1</v>
      </c>
      <c r="E2" s="73">
        <v>3</v>
      </c>
      <c r="F2" s="73">
        <v>1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2">
        <v>1</v>
      </c>
      <c r="M2" s="2">
        <v>1</v>
      </c>
      <c r="N2" s="73" t="s">
        <v>188</v>
      </c>
      <c r="O2" s="73" t="s">
        <v>244</v>
      </c>
      <c r="P2" s="73" t="s">
        <v>247</v>
      </c>
      <c r="Q2" s="74" t="s">
        <v>248</v>
      </c>
    </row>
    <row r="3" spans="1:17" ht="21" customHeight="1" x14ac:dyDescent="0.15">
      <c r="A3" s="72" t="s">
        <v>255</v>
      </c>
      <c r="B3" s="72" t="str">
        <f>A3&amp;1</f>
        <v>3841031</v>
      </c>
      <c r="C3" s="2" t="s">
        <v>208</v>
      </c>
      <c r="D3" s="2">
        <v>837</v>
      </c>
      <c r="E3" s="2">
        <v>1</v>
      </c>
      <c r="F3" s="2">
        <v>1</v>
      </c>
      <c r="G3" s="116">
        <v>0</v>
      </c>
      <c r="H3" s="116">
        <v>0</v>
      </c>
      <c r="I3" s="116">
        <v>0</v>
      </c>
      <c r="J3" s="116">
        <v>0</v>
      </c>
      <c r="K3" s="116">
        <v>1</v>
      </c>
      <c r="L3" s="116">
        <v>1</v>
      </c>
      <c r="M3" s="116">
        <v>1</v>
      </c>
      <c r="N3" s="73" t="s">
        <v>188</v>
      </c>
      <c r="O3" s="73" t="s">
        <v>243</v>
      </c>
      <c r="P3" s="73" t="s">
        <v>247</v>
      </c>
      <c r="Q3" s="74" t="s">
        <v>249</v>
      </c>
    </row>
    <row r="4" spans="1:17" ht="21" customHeight="1" x14ac:dyDescent="0.15">
      <c r="A4" s="72" t="s">
        <v>256</v>
      </c>
      <c r="B4" s="72" t="str">
        <f t="shared" ref="B4:B5" si="0">A4&amp;1</f>
        <v>3841051</v>
      </c>
      <c r="C4" s="2" t="s">
        <v>245</v>
      </c>
      <c r="D4" s="2">
        <v>614</v>
      </c>
      <c r="E4" s="2">
        <v>1</v>
      </c>
      <c r="F4" s="2">
        <v>1</v>
      </c>
      <c r="G4" s="116">
        <v>0</v>
      </c>
      <c r="H4" s="116">
        <v>0</v>
      </c>
      <c r="I4" s="116">
        <v>0</v>
      </c>
      <c r="J4" s="116">
        <v>0</v>
      </c>
      <c r="K4" s="116">
        <v>1</v>
      </c>
      <c r="L4" s="116">
        <v>1</v>
      </c>
      <c r="M4" s="116">
        <v>1</v>
      </c>
      <c r="N4" s="73" t="s">
        <v>188</v>
      </c>
      <c r="O4" s="73" t="s">
        <v>253</v>
      </c>
      <c r="P4" s="73" t="s">
        <v>247</v>
      </c>
      <c r="Q4" s="74" t="s">
        <v>250</v>
      </c>
    </row>
    <row r="5" spans="1:17" ht="21" customHeight="1" x14ac:dyDescent="0.15">
      <c r="A5" s="72" t="s">
        <v>257</v>
      </c>
      <c r="B5" s="72" t="str">
        <f t="shared" si="0"/>
        <v>3841061</v>
      </c>
      <c r="C5" s="2" t="s">
        <v>246</v>
      </c>
      <c r="D5" s="2">
        <v>837</v>
      </c>
      <c r="E5" s="2">
        <v>2</v>
      </c>
      <c r="F5" s="2">
        <v>1</v>
      </c>
      <c r="G5" s="116">
        <v>0</v>
      </c>
      <c r="H5" s="116">
        <v>0</v>
      </c>
      <c r="I5" s="116">
        <v>0</v>
      </c>
      <c r="J5" s="116">
        <v>0</v>
      </c>
      <c r="K5" s="116">
        <v>1</v>
      </c>
      <c r="L5" s="116">
        <v>1</v>
      </c>
      <c r="M5" s="116">
        <v>1</v>
      </c>
      <c r="N5" s="73" t="s">
        <v>188</v>
      </c>
      <c r="O5" s="73" t="s">
        <v>252</v>
      </c>
      <c r="P5" s="73" t="s">
        <v>247</v>
      </c>
      <c r="Q5" s="74" t="s">
        <v>251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68" workbookViewId="0">
      <selection activeCell="I83" sqref="I83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31</v>
      </c>
      <c r="B1" s="3" t="s">
        <v>32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8">
        <v>668</v>
      </c>
      <c r="B246" s="7" t="str">
        <f>VLOOKUP(A246,[1]characters!$A:$C,3,FALSE)</f>
        <v>アグニ</v>
      </c>
    </row>
    <row r="247" spans="1:2" x14ac:dyDescent="0.15">
      <c r="A247" s="58">
        <v>669</v>
      </c>
      <c r="B247" s="7" t="str">
        <f>VLOOKUP(A247,[1]characters!$A:$C,3,FALSE)</f>
        <v>天地の仲界 アグニ</v>
      </c>
    </row>
    <row r="248" spans="1:2" x14ac:dyDescent="0.15">
      <c r="A248" s="58">
        <v>670</v>
      </c>
      <c r="B248" s="7" t="str">
        <f>VLOOKUP(A248,[1]characters!$A:$C,3,FALSE)</f>
        <v>陽天の噴煙 アグニ</v>
      </c>
    </row>
    <row r="249" spans="1:2" x14ac:dyDescent="0.15">
      <c r="A249" s="58">
        <v>671</v>
      </c>
      <c r="B249" s="7" t="str">
        <f>VLOOKUP(A249,[1]characters!$A:$C,3,FALSE)</f>
        <v>ハヌマーン</v>
      </c>
    </row>
    <row r="250" spans="1:2" x14ac:dyDescent="0.15">
      <c r="A250" s="58">
        <v>672</v>
      </c>
      <c r="B250" s="7" t="str">
        <f>VLOOKUP(A250,[1]characters!$A:$C,3,FALSE)</f>
        <v>西遊韋駄天 ハヌマーン</v>
      </c>
    </row>
    <row r="251" spans="1:2" x14ac:dyDescent="0.15">
      <c r="A251" s="58">
        <v>673</v>
      </c>
      <c r="B251" s="7" t="str">
        <f>VLOOKUP(A251,[1]characters!$A:$C,3,FALSE)</f>
        <v>変幻自在の猿王 ハヌマーン</v>
      </c>
    </row>
    <row r="252" spans="1:2" x14ac:dyDescent="0.15">
      <c r="A252" s="58">
        <v>674</v>
      </c>
      <c r="B252" s="7" t="str">
        <f>VLOOKUP(A252,[1]characters!$A:$C,3,FALSE)</f>
        <v>サラスヴァティ</v>
      </c>
    </row>
    <row r="253" spans="1:2" x14ac:dyDescent="0.15">
      <c r="A253" s="58">
        <v>675</v>
      </c>
      <c r="B253" s="7" t="str">
        <f>VLOOKUP(A253,[1]characters!$A:$C,3,FALSE)</f>
        <v>芸楽の奔流 サラスヴァティ</v>
      </c>
    </row>
    <row r="254" spans="1:2" x14ac:dyDescent="0.15">
      <c r="A254" s="58">
        <v>676</v>
      </c>
      <c r="B254" s="7" t="str">
        <f>VLOOKUP(A254,[1]characters!$A:$C,3,FALSE)</f>
        <v>ヴィシュヌ</v>
      </c>
    </row>
    <row r="255" spans="1:2" x14ac:dyDescent="0.15">
      <c r="A255" s="58">
        <v>677</v>
      </c>
      <c r="B255" s="7" t="str">
        <f>VLOOKUP(A255,[1]characters!$A:$C,3,FALSE)</f>
        <v>武遊闊歩 ヴィシュヌ</v>
      </c>
    </row>
    <row r="256" spans="1:2" x14ac:dyDescent="0.15">
      <c r="A256" s="58">
        <v>770</v>
      </c>
      <c r="B256" s="7" t="str">
        <f>VLOOKUP(A256,[1]characters!$A:$C,3,FALSE)</f>
        <v>ハヅル</v>
      </c>
    </row>
    <row r="257" spans="1:2" x14ac:dyDescent="0.15">
      <c r="A257" s="58">
        <v>771</v>
      </c>
      <c r="B257" s="7" t="str">
        <f>VLOOKUP(A257,[1]characters!$A:$C,3,FALSE)</f>
        <v>天織羽鶴 ハヅル</v>
      </c>
    </row>
    <row r="258" spans="1:2" x14ac:dyDescent="0.15">
      <c r="A258" s="58">
        <v>772</v>
      </c>
      <c r="B258" s="7" t="str">
        <f>VLOOKUP(A258,[1]characters!$A:$C,3,FALSE)</f>
        <v>イナバ</v>
      </c>
    </row>
    <row r="259" spans="1:2" x14ac:dyDescent="0.15">
      <c r="A259" s="58">
        <v>773</v>
      </c>
      <c r="B259" s="7" t="str">
        <f>VLOOKUP(A259,[1]characters!$A:$C,3,FALSE)</f>
        <v>浮跳天兎 イナバ</v>
      </c>
    </row>
    <row r="260" spans="1:2" x14ac:dyDescent="0.15">
      <c r="A260" s="58">
        <v>774</v>
      </c>
      <c r="B260" s="7" t="str">
        <f>VLOOKUP(A260,[1]characters!$A:$C,3,FALSE)</f>
        <v>ミズチ</v>
      </c>
    </row>
    <row r="261" spans="1:2" x14ac:dyDescent="0.15">
      <c r="A261" s="58">
        <v>775</v>
      </c>
      <c r="B261" s="7" t="str">
        <f>VLOOKUP(A261,[1]characters!$A:$C,3,FALSE)</f>
        <v>水底霊竜 ミズチ</v>
      </c>
    </row>
    <row r="262" spans="1:2" x14ac:dyDescent="0.15">
      <c r="A262" s="58">
        <v>776</v>
      </c>
      <c r="B262" s="7" t="str">
        <f>VLOOKUP(A262,[1]characters!$A:$C,3,FALSE)</f>
        <v>水竜底主 ミズチ</v>
      </c>
    </row>
    <row r="263" spans="1:2" x14ac:dyDescent="0.15">
      <c r="A263" s="58">
        <v>777</v>
      </c>
      <c r="B263" s="7" t="str">
        <f>VLOOKUP(A263,[1]characters!$A:$C,3,FALSE)</f>
        <v>ガメック</v>
      </c>
    </row>
    <row r="264" spans="1:2" x14ac:dyDescent="0.15">
      <c r="A264" s="58">
        <v>778</v>
      </c>
      <c r="B264" s="7" t="str">
        <f>VLOOKUP(A264,[1]characters!$A:$C,3,FALSE)</f>
        <v>一亀懸明 ガメック</v>
      </c>
    </row>
    <row r="265" spans="1:2" x14ac:dyDescent="0.15">
      <c r="A265" s="58">
        <v>779</v>
      </c>
      <c r="B265" s="7" t="str">
        <f>VLOOKUP(A265,[1]characters!$A:$C,3,FALSE)</f>
        <v>頑堅咬亀 ガメック</v>
      </c>
    </row>
    <row r="266" spans="1:2" x14ac:dyDescent="0.15">
      <c r="A266" s="58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F28" sqref="F28"/>
    </sheetView>
  </sheetViews>
  <sheetFormatPr baseColWidth="12" defaultRowHeight="14" x14ac:dyDescent="0.15"/>
  <sheetData>
    <row r="1" spans="1:2" x14ac:dyDescent="0.15">
      <c r="A1" s="36" t="s">
        <v>59</v>
      </c>
      <c r="B1" s="36"/>
    </row>
    <row r="2" spans="1:2" x14ac:dyDescent="0.15">
      <c r="A2" s="31" t="s">
        <v>1</v>
      </c>
      <c r="B2" s="35" t="s">
        <v>63</v>
      </c>
    </row>
    <row r="3" spans="1:2" x14ac:dyDescent="0.15">
      <c r="A3" s="6">
        <v>166</v>
      </c>
      <c r="B3" s="35" t="str">
        <f>VLOOKUP(A3,[1]characters!$A:$C,3,FALSE)</f>
        <v>ベリアル</v>
      </c>
    </row>
    <row r="4" spans="1:2" x14ac:dyDescent="0.15">
      <c r="A4" s="6">
        <v>167</v>
      </c>
      <c r="B4" s="35" t="str">
        <f>VLOOKUP(A4,[1]characters!$A:$C,3,FALSE)</f>
        <v>逆徒 ベリアル</v>
      </c>
    </row>
    <row r="5" spans="1:2" x14ac:dyDescent="0.15">
      <c r="A5" s="6">
        <v>168</v>
      </c>
      <c r="B5" s="35" t="str">
        <f>VLOOKUP(A5,[1]characters!$A:$C,3,FALSE)</f>
        <v>猛進の大逆者 ベリアル</v>
      </c>
    </row>
    <row r="6" spans="1:2" x14ac:dyDescent="0.15">
      <c r="A6" s="31">
        <v>169</v>
      </c>
      <c r="B6" s="35" t="str">
        <f>VLOOKUP(A6,[1]characters!$A:$C,3,FALSE)</f>
        <v>オセ</v>
      </c>
    </row>
    <row r="7" spans="1:2" x14ac:dyDescent="0.15">
      <c r="A7" s="31">
        <v>170</v>
      </c>
      <c r="B7" s="35" t="str">
        <f>VLOOKUP(A7,[1]characters!$A:$C,3,FALSE)</f>
        <v>識徒 オセ</v>
      </c>
    </row>
    <row r="8" spans="1:2" x14ac:dyDescent="0.15">
      <c r="A8" s="31">
        <v>171</v>
      </c>
      <c r="B8" s="35" t="str">
        <f>VLOOKUP(A8,[1]characters!$A:$C,3,FALSE)</f>
        <v>精解の預知者 オセ</v>
      </c>
    </row>
    <row r="9" spans="1:2" x14ac:dyDescent="0.15">
      <c r="A9" s="31">
        <v>172</v>
      </c>
      <c r="B9" s="35" t="str">
        <f>VLOOKUP(A9,[1]characters!$A:$C,3,FALSE)</f>
        <v>フォルネウス</v>
      </c>
    </row>
    <row r="10" spans="1:2" x14ac:dyDescent="0.15">
      <c r="A10" s="31">
        <v>173</v>
      </c>
      <c r="B10" s="35" t="str">
        <f>VLOOKUP(A10,[1]characters!$A:$C,3,FALSE)</f>
        <v>公爵 フォルネウス</v>
      </c>
    </row>
    <row r="11" spans="1:2" x14ac:dyDescent="0.15">
      <c r="A11" s="31">
        <v>174</v>
      </c>
      <c r="B11" s="35" t="str">
        <f>VLOOKUP(A11,[1]characters!$A:$C,3,FALSE)</f>
        <v>偽愛の大公爵 フォルネウス</v>
      </c>
    </row>
    <row r="12" spans="1:2" x14ac:dyDescent="0.15">
      <c r="A12" s="31">
        <v>235</v>
      </c>
      <c r="B12" s="35" t="str">
        <f>VLOOKUP(A12,[1]characters!$A:$C,3,FALSE)</f>
        <v>イザナミ</v>
      </c>
    </row>
    <row r="13" spans="1:2" x14ac:dyDescent="0.15">
      <c r="A13" s="31">
        <v>236</v>
      </c>
      <c r="B13" s="35" t="str">
        <f>VLOOKUP(A13,[1]characters!$A:$C,3,FALSE)</f>
        <v>神産 イザナミ</v>
      </c>
    </row>
    <row r="14" spans="1:2" x14ac:dyDescent="0.15">
      <c r="A14" s="31">
        <v>237</v>
      </c>
      <c r="B14" s="35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input_384010</vt:lpstr>
      <vt:lpstr>tables_384010</vt:lpstr>
      <vt:lpstr>input_384100</vt:lpstr>
      <vt:lpstr>tables_384100</vt:lpstr>
      <vt:lpstr>tables_settle_384104</vt:lpstr>
      <vt:lpstr>tables_settle_384107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2016-08-09T15:10:16Z</dcterms:modified>
</cp:coreProperties>
</file>