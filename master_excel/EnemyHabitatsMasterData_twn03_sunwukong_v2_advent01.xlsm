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1100" yWindow="460" windowWidth="37300" windowHeight="2106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enemy_habitat_S!$B$1:$AA$5</definedName>
    <definedName name="_xlnm._FilterDatabase" localSheetId="2" hidden="1">enemy_habitats!$B$1:$AJ$6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2" i="11" l="1"/>
  <c r="J23" i="11"/>
  <c r="J24" i="11"/>
  <c r="J25" i="11"/>
  <c r="J26" i="11"/>
  <c r="O24" i="9"/>
  <c r="N24" i="9"/>
  <c r="M24" i="9"/>
  <c r="L24" i="9"/>
  <c r="K24" i="9"/>
  <c r="J24" i="9"/>
  <c r="I24" i="9"/>
  <c r="H24" i="9"/>
  <c r="G24" i="9"/>
  <c r="E24" i="9"/>
  <c r="D24" i="9"/>
  <c r="A24" i="9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A22" i="9"/>
  <c r="D22" i="9"/>
  <c r="E22" i="9"/>
  <c r="G22" i="9"/>
  <c r="H22" i="9"/>
  <c r="I22" i="9"/>
  <c r="J22" i="9"/>
  <c r="K22" i="9"/>
  <c r="L22" i="9"/>
  <c r="M22" i="9"/>
  <c r="N22" i="9"/>
  <c r="O22" i="9"/>
  <c r="A23" i="9"/>
  <c r="D23" i="9"/>
  <c r="E23" i="9"/>
  <c r="G23" i="9"/>
  <c r="H23" i="9"/>
  <c r="I23" i="9"/>
  <c r="J23" i="9"/>
  <c r="K23" i="9"/>
  <c r="L23" i="9"/>
  <c r="M23" i="9"/>
  <c r="N23" i="9"/>
  <c r="O23" i="9"/>
  <c r="I14" i="21"/>
  <c r="J14" i="21"/>
  <c r="I15" i="21"/>
  <c r="J15" i="21"/>
  <c r="I16" i="21"/>
  <c r="J16" i="21"/>
  <c r="I17" i="21"/>
  <c r="J17" i="21"/>
  <c r="I18" i="21"/>
  <c r="J18" i="21"/>
  <c r="I19" i="21"/>
  <c r="J19" i="21"/>
  <c r="I20" i="21"/>
  <c r="J20" i="21"/>
  <c r="I21" i="21"/>
  <c r="J21" i="21"/>
  <c r="C15" i="21"/>
  <c r="D15" i="21"/>
  <c r="F15" i="21"/>
  <c r="G15" i="21"/>
  <c r="C16" i="21"/>
  <c r="D16" i="21"/>
  <c r="F16" i="21"/>
  <c r="G16" i="21"/>
  <c r="C17" i="21"/>
  <c r="D17" i="21"/>
  <c r="F17" i="21"/>
  <c r="G17" i="21"/>
  <c r="C18" i="21"/>
  <c r="D18" i="21"/>
  <c r="F18" i="21"/>
  <c r="G18" i="21"/>
  <c r="C19" i="21"/>
  <c r="D19" i="21"/>
  <c r="F19" i="21"/>
  <c r="G19" i="21"/>
  <c r="C20" i="21"/>
  <c r="D20" i="21"/>
  <c r="F20" i="21"/>
  <c r="G20" i="21"/>
  <c r="C21" i="21"/>
  <c r="D21" i="21"/>
  <c r="F21" i="21"/>
  <c r="G21" i="21"/>
  <c r="G14" i="21"/>
  <c r="F14" i="21"/>
  <c r="D14" i="21"/>
  <c r="C14" i="21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G12" i="9"/>
  <c r="H12" i="9"/>
  <c r="I12" i="9"/>
  <c r="J12" i="9"/>
  <c r="K12" i="9"/>
  <c r="L12" i="9"/>
  <c r="M12" i="9"/>
  <c r="N12" i="9"/>
  <c r="O12" i="9"/>
  <c r="G13" i="9"/>
  <c r="H13" i="9"/>
  <c r="I13" i="9"/>
  <c r="J13" i="9"/>
  <c r="K13" i="9"/>
  <c r="L13" i="9"/>
  <c r="M13" i="9"/>
  <c r="N13" i="9"/>
  <c r="O13" i="9"/>
  <c r="G14" i="9"/>
  <c r="H14" i="9"/>
  <c r="I14" i="9"/>
  <c r="J14" i="9"/>
  <c r="K14" i="9"/>
  <c r="L14" i="9"/>
  <c r="M14" i="9"/>
  <c r="N14" i="9"/>
  <c r="O14" i="9"/>
  <c r="E13" i="9"/>
  <c r="D13" i="9"/>
  <c r="A13" i="9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G6" i="2"/>
  <c r="A6" i="2"/>
  <c r="E2" i="9"/>
  <c r="X6" i="1"/>
  <c r="E6" i="9"/>
  <c r="X8" i="1"/>
  <c r="E10" i="9"/>
  <c r="X9" i="1"/>
  <c r="X2" i="1"/>
  <c r="E5" i="9"/>
  <c r="X3" i="1"/>
  <c r="X4" i="1"/>
  <c r="X5" i="1"/>
  <c r="N2" i="22"/>
  <c r="G2" i="22"/>
  <c r="F2" i="22"/>
  <c r="D2" i="22"/>
  <c r="C2" i="22"/>
  <c r="A2" i="22"/>
  <c r="I13" i="21"/>
  <c r="J13" i="21"/>
  <c r="G13" i="21"/>
  <c r="F13" i="21"/>
  <c r="D13" i="21"/>
  <c r="C13" i="21"/>
  <c r="I12" i="21"/>
  <c r="J12" i="21"/>
  <c r="G12" i="21"/>
  <c r="F12" i="21"/>
  <c r="D12" i="21"/>
  <c r="C12" i="21"/>
  <c r="I11" i="21"/>
  <c r="J11" i="21"/>
  <c r="G11" i="21"/>
  <c r="F11" i="21"/>
  <c r="D11" i="21"/>
  <c r="C11" i="21"/>
  <c r="I10" i="21"/>
  <c r="J10" i="21"/>
  <c r="G10" i="21"/>
  <c r="F10" i="21"/>
  <c r="D10" i="21"/>
  <c r="C10" i="21"/>
  <c r="I9" i="21"/>
  <c r="J9" i="21"/>
  <c r="G9" i="21"/>
  <c r="F9" i="21"/>
  <c r="D9" i="21"/>
  <c r="C9" i="21"/>
  <c r="I8" i="21"/>
  <c r="J8" i="21"/>
  <c r="G8" i="21"/>
  <c r="F8" i="21"/>
  <c r="D8" i="21"/>
  <c r="C8" i="21"/>
  <c r="I7" i="21"/>
  <c r="J7" i="21"/>
  <c r="G7" i="21"/>
  <c r="F7" i="21"/>
  <c r="D7" i="21"/>
  <c r="C7" i="21"/>
  <c r="I6" i="21"/>
  <c r="J6" i="21"/>
  <c r="G6" i="21"/>
  <c r="F6" i="21"/>
  <c r="D6" i="21"/>
  <c r="C6" i="21"/>
  <c r="I5" i="21"/>
  <c r="J5" i="21"/>
  <c r="G5" i="21"/>
  <c r="F5" i="21"/>
  <c r="D5" i="21"/>
  <c r="C5" i="21"/>
  <c r="I4" i="21"/>
  <c r="J4" i="21"/>
  <c r="G4" i="21"/>
  <c r="F4" i="21"/>
  <c r="D4" i="21"/>
  <c r="C4" i="21"/>
  <c r="I3" i="21"/>
  <c r="J3" i="21"/>
  <c r="G3" i="21"/>
  <c r="F3" i="21"/>
  <c r="D3" i="21"/>
  <c r="C3" i="21"/>
  <c r="I2" i="21"/>
  <c r="J2" i="21"/>
  <c r="G2" i="21"/>
  <c r="F2" i="21"/>
  <c r="D2" i="21"/>
  <c r="C2" i="2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L3" i="10"/>
  <c r="M3" i="10"/>
  <c r="M13" i="10"/>
  <c r="N13" i="10"/>
  <c r="Q13" i="10"/>
  <c r="P13" i="10"/>
  <c r="R13" i="10"/>
  <c r="O13" i="10"/>
  <c r="S13" i="10"/>
  <c r="N3" i="10"/>
  <c r="O3" i="10"/>
  <c r="P3" i="10"/>
  <c r="Q3" i="10"/>
  <c r="R3" i="10"/>
  <c r="S3" i="10"/>
  <c r="T3" i="10"/>
  <c r="U3" i="10"/>
  <c r="V3" i="10"/>
  <c r="W3" i="10"/>
  <c r="X3" i="10"/>
  <c r="Y3" i="10"/>
  <c r="L4" i="10"/>
  <c r="M4" i="10"/>
  <c r="M14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L5" i="10"/>
  <c r="M5" i="10"/>
  <c r="M15" i="10"/>
  <c r="N15" i="10"/>
  <c r="Q15" i="10"/>
  <c r="P15" i="10"/>
  <c r="R15" i="10"/>
  <c r="O15" i="10"/>
  <c r="S15" i="10"/>
  <c r="N5" i="10"/>
  <c r="O5" i="10"/>
  <c r="P5" i="10"/>
  <c r="Q5" i="10"/>
  <c r="R5" i="10"/>
  <c r="S5" i="10"/>
  <c r="T5" i="10"/>
  <c r="U5" i="10"/>
  <c r="V5" i="10"/>
  <c r="W5" i="10"/>
  <c r="X5" i="10"/>
  <c r="Y5" i="10"/>
  <c r="L6" i="10"/>
  <c r="M6" i="10"/>
  <c r="M16" i="10"/>
  <c r="N16" i="10"/>
  <c r="Q16" i="10"/>
  <c r="P16" i="10"/>
  <c r="R16" i="10"/>
  <c r="O16" i="10"/>
  <c r="S16" i="10"/>
  <c r="N6" i="10"/>
  <c r="O6" i="10"/>
  <c r="P6" i="10"/>
  <c r="Q6" i="10"/>
  <c r="R6" i="10"/>
  <c r="S6" i="10"/>
  <c r="T6" i="10"/>
  <c r="U6" i="10"/>
  <c r="V6" i="10"/>
  <c r="W6" i="10"/>
  <c r="X6" i="10"/>
  <c r="Y6" i="10"/>
  <c r="L7" i="10"/>
  <c r="M7" i="10"/>
  <c r="M17" i="10"/>
  <c r="N17" i="10"/>
  <c r="Q17" i="10"/>
  <c r="P17" i="10"/>
  <c r="R17" i="10"/>
  <c r="O17" i="10"/>
  <c r="S17" i="10"/>
  <c r="N7" i="10"/>
  <c r="O7" i="10"/>
  <c r="P7" i="10"/>
  <c r="Q7" i="10"/>
  <c r="R7" i="10"/>
  <c r="S7" i="10"/>
  <c r="T7" i="10"/>
  <c r="U7" i="10"/>
  <c r="V7" i="10"/>
  <c r="W7" i="10"/>
  <c r="X7" i="10"/>
  <c r="Y7" i="10"/>
  <c r="L8" i="10"/>
  <c r="M8" i="10"/>
  <c r="M18" i="10"/>
  <c r="N18" i="10"/>
  <c r="Q18" i="10"/>
  <c r="P18" i="10"/>
  <c r="R18" i="10"/>
  <c r="O18" i="10"/>
  <c r="S18" i="10"/>
  <c r="N8" i="10"/>
  <c r="O8" i="10"/>
  <c r="P8" i="10"/>
  <c r="Q8" i="10"/>
  <c r="R8" i="10"/>
  <c r="S8" i="10"/>
  <c r="T8" i="10"/>
  <c r="U8" i="10"/>
  <c r="V8" i="10"/>
  <c r="W8" i="10"/>
  <c r="X8" i="10"/>
  <c r="Y8" i="10"/>
  <c r="L9" i="10"/>
  <c r="M9" i="10"/>
  <c r="M19" i="10"/>
  <c r="N19" i="10"/>
  <c r="Q19" i="10"/>
  <c r="P19" i="10"/>
  <c r="R19" i="10"/>
  <c r="O19" i="10"/>
  <c r="S19" i="10"/>
  <c r="N9" i="10"/>
  <c r="O9" i="10"/>
  <c r="P9" i="10"/>
  <c r="Q9" i="10"/>
  <c r="R9" i="10"/>
  <c r="S9" i="10"/>
  <c r="T9" i="10"/>
  <c r="U9" i="10"/>
  <c r="V9" i="10"/>
  <c r="W9" i="10"/>
  <c r="X9" i="10"/>
  <c r="Y9" i="10"/>
  <c r="L10" i="10"/>
  <c r="M10" i="10"/>
  <c r="M20" i="10"/>
  <c r="N20" i="10"/>
  <c r="Q20" i="10"/>
  <c r="P20" i="10"/>
  <c r="R20" i="10"/>
  <c r="O20" i="10"/>
  <c r="S2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L13" i="10"/>
  <c r="T13" i="10"/>
  <c r="U13" i="10"/>
  <c r="V13" i="10"/>
  <c r="W13" i="10"/>
  <c r="X13" i="10"/>
  <c r="Y13" i="10"/>
  <c r="L14" i="10"/>
  <c r="T14" i="10"/>
  <c r="U14" i="10"/>
  <c r="V14" i="10"/>
  <c r="W14" i="10"/>
  <c r="X14" i="10"/>
  <c r="Y14" i="10"/>
  <c r="L15" i="10"/>
  <c r="T15" i="10"/>
  <c r="U15" i="10"/>
  <c r="V15" i="10"/>
  <c r="W15" i="10"/>
  <c r="X15" i="10"/>
  <c r="Y15" i="10"/>
  <c r="L16" i="10"/>
  <c r="T16" i="10"/>
  <c r="U16" i="10"/>
  <c r="V16" i="10"/>
  <c r="W16" i="10"/>
  <c r="X16" i="10"/>
  <c r="Y16" i="10"/>
  <c r="L17" i="10"/>
  <c r="T17" i="10"/>
  <c r="U17" i="10"/>
  <c r="V17" i="10"/>
  <c r="W17" i="10"/>
  <c r="X17" i="10"/>
  <c r="Y17" i="10"/>
  <c r="L18" i="10"/>
  <c r="T18" i="10"/>
  <c r="U18" i="10"/>
  <c r="V18" i="10"/>
  <c r="W18" i="10"/>
  <c r="X18" i="10"/>
  <c r="Y18" i="10"/>
  <c r="L19" i="10"/>
  <c r="T19" i="10"/>
  <c r="U19" i="10"/>
  <c r="V19" i="10"/>
  <c r="W19" i="10"/>
  <c r="X19" i="10"/>
  <c r="Y19" i="10"/>
  <c r="L20" i="10"/>
  <c r="T20" i="10"/>
  <c r="U20" i="10"/>
  <c r="V20" i="10"/>
  <c r="W20" i="10"/>
  <c r="X20" i="10"/>
  <c r="Y20" i="10"/>
  <c r="A3" i="9"/>
  <c r="D3" i="9"/>
  <c r="E3" i="9"/>
  <c r="G3" i="9"/>
  <c r="H3" i="9"/>
  <c r="I3" i="9"/>
  <c r="J3" i="9"/>
  <c r="K3" i="9"/>
  <c r="L3" i="9"/>
  <c r="M3" i="9"/>
  <c r="N3" i="9"/>
  <c r="O3" i="9"/>
  <c r="A4" i="9"/>
  <c r="D4" i="9"/>
  <c r="E4" i="9"/>
  <c r="G4" i="9"/>
  <c r="H4" i="9"/>
  <c r="I4" i="9"/>
  <c r="J4" i="9"/>
  <c r="K4" i="9"/>
  <c r="L4" i="9"/>
  <c r="M4" i="9"/>
  <c r="N4" i="9"/>
  <c r="O4" i="9"/>
  <c r="A5" i="9"/>
  <c r="D5" i="9"/>
  <c r="G5" i="9"/>
  <c r="H5" i="9"/>
  <c r="I5" i="9"/>
  <c r="J5" i="9"/>
  <c r="K5" i="9"/>
  <c r="L5" i="9"/>
  <c r="M5" i="9"/>
  <c r="N5" i="9"/>
  <c r="O5" i="9"/>
  <c r="A6" i="9"/>
  <c r="D6" i="9"/>
  <c r="G6" i="9"/>
  <c r="H6" i="9"/>
  <c r="I6" i="9"/>
  <c r="J6" i="9"/>
  <c r="K6" i="9"/>
  <c r="L6" i="9"/>
  <c r="M6" i="9"/>
  <c r="N6" i="9"/>
  <c r="O6" i="9"/>
  <c r="A7" i="9"/>
  <c r="D7" i="9"/>
  <c r="E7" i="9"/>
  <c r="G7" i="9"/>
  <c r="H7" i="9"/>
  <c r="I7" i="9"/>
  <c r="J7" i="9"/>
  <c r="K7" i="9"/>
  <c r="L7" i="9"/>
  <c r="M7" i="9"/>
  <c r="N7" i="9"/>
  <c r="O7" i="9"/>
  <c r="A8" i="9"/>
  <c r="D8" i="9"/>
  <c r="E8" i="9"/>
  <c r="G8" i="9"/>
  <c r="H8" i="9"/>
  <c r="I8" i="9"/>
  <c r="J8" i="9"/>
  <c r="K8" i="9"/>
  <c r="L8" i="9"/>
  <c r="M8" i="9"/>
  <c r="N8" i="9"/>
  <c r="O8" i="9"/>
  <c r="A9" i="9"/>
  <c r="D9" i="9"/>
  <c r="E9" i="9"/>
  <c r="G9" i="9"/>
  <c r="H9" i="9"/>
  <c r="I9" i="9"/>
  <c r="J9" i="9"/>
  <c r="K9" i="9"/>
  <c r="L9" i="9"/>
  <c r="M9" i="9"/>
  <c r="N9" i="9"/>
  <c r="O9" i="9"/>
  <c r="A10" i="9"/>
  <c r="D10" i="9"/>
  <c r="G10" i="9"/>
  <c r="H10" i="9"/>
  <c r="I10" i="9"/>
  <c r="J10" i="9"/>
  <c r="K10" i="9"/>
  <c r="L10" i="9"/>
  <c r="M10" i="9"/>
  <c r="N10" i="9"/>
  <c r="O10" i="9"/>
  <c r="A11" i="9"/>
  <c r="D11" i="9"/>
  <c r="E11" i="9"/>
  <c r="G11" i="9"/>
  <c r="H11" i="9"/>
  <c r="I11" i="9"/>
  <c r="J11" i="9"/>
  <c r="K11" i="9"/>
  <c r="L11" i="9"/>
  <c r="M11" i="9"/>
  <c r="N11" i="9"/>
  <c r="O11" i="9"/>
  <c r="A12" i="9"/>
  <c r="D12" i="9"/>
  <c r="E12" i="9"/>
  <c r="A14" i="9"/>
  <c r="D14" i="9"/>
  <c r="E14" i="9"/>
  <c r="A15" i="9"/>
  <c r="D15" i="9"/>
  <c r="E15" i="9"/>
  <c r="G15" i="9"/>
  <c r="H15" i="9"/>
  <c r="I15" i="9"/>
  <c r="J15" i="9"/>
  <c r="K15" i="9"/>
  <c r="L15" i="9"/>
  <c r="M15" i="9"/>
  <c r="N15" i="9"/>
  <c r="O15" i="9"/>
  <c r="A16" i="9"/>
  <c r="D16" i="9"/>
  <c r="E16" i="9"/>
  <c r="G16" i="9"/>
  <c r="H16" i="9"/>
  <c r="I16" i="9"/>
  <c r="J16" i="9"/>
  <c r="K16" i="9"/>
  <c r="L16" i="9"/>
  <c r="M16" i="9"/>
  <c r="N16" i="9"/>
  <c r="O16" i="9"/>
  <c r="A17" i="9"/>
  <c r="D17" i="9"/>
  <c r="E17" i="9"/>
  <c r="G17" i="9"/>
  <c r="H17" i="9"/>
  <c r="I17" i="9"/>
  <c r="J17" i="9"/>
  <c r="K17" i="9"/>
  <c r="L17" i="9"/>
  <c r="M17" i="9"/>
  <c r="N17" i="9"/>
  <c r="O17" i="9"/>
  <c r="A18" i="9"/>
  <c r="D18" i="9"/>
  <c r="E18" i="9"/>
  <c r="G18" i="9"/>
  <c r="H18" i="9"/>
  <c r="I18" i="9"/>
  <c r="J18" i="9"/>
  <c r="K18" i="9"/>
  <c r="L18" i="9"/>
  <c r="M18" i="9"/>
  <c r="N18" i="9"/>
  <c r="O18" i="9"/>
  <c r="A19" i="9"/>
  <c r="D19" i="9"/>
  <c r="E19" i="9"/>
  <c r="G19" i="9"/>
  <c r="H19" i="9"/>
  <c r="I19" i="9"/>
  <c r="J19" i="9"/>
  <c r="K19" i="9"/>
  <c r="L19" i="9"/>
  <c r="M19" i="9"/>
  <c r="N19" i="9"/>
  <c r="O19" i="9"/>
  <c r="A20" i="9"/>
  <c r="D20" i="9"/>
  <c r="E20" i="9"/>
  <c r="G20" i="9"/>
  <c r="H20" i="9"/>
  <c r="I20" i="9"/>
  <c r="J20" i="9"/>
  <c r="K20" i="9"/>
  <c r="L20" i="9"/>
  <c r="M20" i="9"/>
  <c r="N20" i="9"/>
  <c r="O20" i="9"/>
  <c r="A21" i="9"/>
  <c r="D21" i="9"/>
  <c r="E21" i="9"/>
  <c r="G21" i="9"/>
  <c r="H21" i="9"/>
  <c r="I21" i="9"/>
  <c r="J21" i="9"/>
  <c r="K21" i="9"/>
  <c r="L21" i="9"/>
  <c r="M21" i="9"/>
  <c r="N21" i="9"/>
  <c r="O21" i="9"/>
  <c r="A6" i="7"/>
  <c r="D6" i="7"/>
  <c r="E6" i="7"/>
  <c r="F6" i="7"/>
  <c r="H6" i="7"/>
  <c r="G2" i="2"/>
  <c r="A2" i="2"/>
  <c r="G3" i="2"/>
  <c r="A3" i="2"/>
  <c r="G4" i="2"/>
  <c r="A4" i="2"/>
  <c r="G5" i="2"/>
  <c r="A5" i="2"/>
  <c r="G7" i="2"/>
  <c r="A7" i="2"/>
  <c r="G8" i="2"/>
  <c r="A8" i="2"/>
  <c r="G9" i="2"/>
  <c r="A9" i="2"/>
  <c r="I6" i="7"/>
  <c r="J6" i="7"/>
  <c r="N6" i="7"/>
  <c r="O6" i="7"/>
  <c r="P6" i="7"/>
  <c r="Q6" i="7"/>
  <c r="R6" i="7"/>
  <c r="U6" i="7"/>
  <c r="W6" i="7"/>
  <c r="Y6" i="7"/>
  <c r="AA6" i="7"/>
  <c r="A7" i="7"/>
  <c r="D7" i="7"/>
  <c r="E7" i="7"/>
  <c r="F7" i="7"/>
  <c r="H7" i="7"/>
  <c r="I7" i="7"/>
  <c r="J7" i="7"/>
  <c r="N7" i="7"/>
  <c r="O7" i="7"/>
  <c r="P7" i="7"/>
  <c r="Q7" i="7"/>
  <c r="R7" i="7"/>
  <c r="U7" i="7"/>
  <c r="W7" i="7"/>
  <c r="Y7" i="7"/>
  <c r="AA7" i="7"/>
  <c r="A2" i="7"/>
  <c r="D2" i="7"/>
  <c r="E2" i="7"/>
  <c r="F2" i="7"/>
  <c r="H2" i="7"/>
  <c r="I2" i="7"/>
  <c r="J2" i="7"/>
  <c r="N2" i="7"/>
  <c r="O2" i="7"/>
  <c r="P2" i="7"/>
  <c r="Q2" i="7"/>
  <c r="R2" i="7"/>
  <c r="U2" i="7"/>
  <c r="W2" i="7"/>
  <c r="Y2" i="7"/>
  <c r="AA2" i="7"/>
  <c r="A3" i="7"/>
  <c r="D3" i="7"/>
  <c r="E3" i="7"/>
  <c r="F3" i="7"/>
  <c r="H3" i="7"/>
  <c r="I3" i="7"/>
  <c r="J3" i="7"/>
  <c r="N3" i="7"/>
  <c r="O3" i="7"/>
  <c r="P3" i="7"/>
  <c r="Q3" i="7"/>
  <c r="R3" i="7"/>
  <c r="U3" i="7"/>
  <c r="W3" i="7"/>
  <c r="Y3" i="7"/>
  <c r="AA3" i="7"/>
  <c r="A4" i="7"/>
  <c r="D4" i="7"/>
  <c r="E4" i="7"/>
  <c r="F4" i="7"/>
  <c r="H4" i="7"/>
  <c r="I4" i="7"/>
  <c r="J4" i="7"/>
  <c r="N4" i="7"/>
  <c r="O4" i="7"/>
  <c r="P4" i="7"/>
  <c r="Q4" i="7"/>
  <c r="R4" i="7"/>
  <c r="U4" i="7"/>
  <c r="W4" i="7"/>
  <c r="Y4" i="7"/>
  <c r="AA4" i="7"/>
  <c r="AC8" i="1"/>
  <c r="A8" i="1"/>
  <c r="D8" i="1"/>
  <c r="E8" i="1"/>
  <c r="F8" i="1"/>
  <c r="H8" i="1"/>
  <c r="I8" i="1"/>
  <c r="J8" i="1"/>
  <c r="M8" i="1"/>
  <c r="N8" i="1"/>
  <c r="O8" i="1"/>
  <c r="P8" i="1"/>
  <c r="Q8" i="1"/>
  <c r="T8" i="1"/>
  <c r="V8" i="1"/>
  <c r="AD8" i="1"/>
  <c r="AE8" i="1"/>
  <c r="AF8" i="1"/>
  <c r="AG8" i="1"/>
  <c r="AI8" i="1"/>
  <c r="AC9" i="1"/>
  <c r="A9" i="1"/>
  <c r="D9" i="1"/>
  <c r="E9" i="1"/>
  <c r="F9" i="1"/>
  <c r="H9" i="1"/>
  <c r="I9" i="1"/>
  <c r="J9" i="1"/>
  <c r="M9" i="1"/>
  <c r="N9" i="1"/>
  <c r="O9" i="1"/>
  <c r="P9" i="1"/>
  <c r="Q9" i="1"/>
  <c r="T9" i="1"/>
  <c r="V9" i="1"/>
  <c r="AD9" i="1"/>
  <c r="AE9" i="1"/>
  <c r="AF9" i="1"/>
  <c r="AG9" i="1"/>
  <c r="AI9" i="1"/>
  <c r="AC2" i="1"/>
  <c r="A2" i="1"/>
  <c r="D2" i="1"/>
  <c r="E2" i="1"/>
  <c r="F2" i="1"/>
  <c r="H2" i="1"/>
  <c r="I2" i="1"/>
  <c r="J2" i="1"/>
  <c r="M2" i="1"/>
  <c r="N2" i="1"/>
  <c r="O2" i="1"/>
  <c r="P2" i="1"/>
  <c r="Q2" i="1"/>
  <c r="T2" i="1"/>
  <c r="V2" i="1"/>
  <c r="AD2" i="1"/>
  <c r="AE2" i="1"/>
  <c r="AF2" i="1"/>
  <c r="AG2" i="1"/>
  <c r="AI2" i="1"/>
  <c r="AC3" i="1"/>
  <c r="A3" i="1"/>
  <c r="D3" i="1"/>
  <c r="E3" i="1"/>
  <c r="F3" i="1"/>
  <c r="H3" i="1"/>
  <c r="I3" i="1"/>
  <c r="J3" i="1"/>
  <c r="M3" i="1"/>
  <c r="N3" i="1"/>
  <c r="O3" i="1"/>
  <c r="P3" i="1"/>
  <c r="Q3" i="1"/>
  <c r="T3" i="1"/>
  <c r="V3" i="1"/>
  <c r="AD3" i="1"/>
  <c r="AE3" i="1"/>
  <c r="AF3" i="1"/>
  <c r="AG3" i="1"/>
  <c r="AI3" i="1"/>
  <c r="AC4" i="1"/>
  <c r="A4" i="1"/>
  <c r="D4" i="1"/>
  <c r="E4" i="1"/>
  <c r="F4" i="1"/>
  <c r="H4" i="1"/>
  <c r="I4" i="1"/>
  <c r="J4" i="1"/>
  <c r="M4" i="1"/>
  <c r="N4" i="1"/>
  <c r="O4" i="1"/>
  <c r="P4" i="1"/>
  <c r="Q4" i="1"/>
  <c r="T4" i="1"/>
  <c r="V4" i="1"/>
  <c r="AD4" i="1"/>
  <c r="AE4" i="1"/>
  <c r="AF4" i="1"/>
  <c r="AG4" i="1"/>
  <c r="AI4" i="1"/>
  <c r="AC5" i="1"/>
  <c r="A5" i="1"/>
  <c r="D5" i="1"/>
  <c r="E5" i="1"/>
  <c r="F5" i="1"/>
  <c r="H5" i="1"/>
  <c r="I5" i="1"/>
  <c r="J5" i="1"/>
  <c r="M5" i="1"/>
  <c r="N5" i="1"/>
  <c r="O5" i="1"/>
  <c r="P5" i="1"/>
  <c r="Q5" i="1"/>
  <c r="T5" i="1"/>
  <c r="V5" i="1"/>
  <c r="AD5" i="1"/>
  <c r="AE5" i="1"/>
  <c r="AF5" i="1"/>
  <c r="AG5" i="1"/>
  <c r="AI5" i="1"/>
  <c r="AC6" i="1"/>
  <c r="A6" i="1"/>
  <c r="D6" i="1"/>
  <c r="E6" i="1"/>
  <c r="F6" i="1"/>
  <c r="H6" i="1"/>
  <c r="I6" i="1"/>
  <c r="J6" i="1"/>
  <c r="M6" i="1"/>
  <c r="N6" i="1"/>
  <c r="O6" i="1"/>
  <c r="P6" i="1"/>
  <c r="Q6" i="1"/>
  <c r="T6" i="1"/>
  <c r="V6" i="1"/>
  <c r="AD6" i="1"/>
  <c r="AE6" i="1"/>
  <c r="AF6" i="1"/>
  <c r="AG6" i="1"/>
  <c r="AI6" i="1"/>
  <c r="AC7" i="1"/>
  <c r="A7" i="1"/>
  <c r="D7" i="1"/>
  <c r="E7" i="1"/>
  <c r="F7" i="1"/>
  <c r="H7" i="1"/>
  <c r="I7" i="1"/>
  <c r="J7" i="1"/>
  <c r="M7" i="1"/>
  <c r="N7" i="1"/>
  <c r="O7" i="1"/>
  <c r="P7" i="1"/>
  <c r="Q7" i="1"/>
  <c r="T7" i="1"/>
  <c r="V7" i="1"/>
  <c r="X7" i="1"/>
  <c r="AD7" i="1"/>
  <c r="AE7" i="1"/>
  <c r="AF7" i="1"/>
  <c r="AG7" i="1"/>
  <c r="AI7" i="1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B7" i="2"/>
  <c r="D7" i="2"/>
  <c r="E7" i="2"/>
  <c r="H7" i="2"/>
  <c r="B8" i="2"/>
  <c r="D8" i="2"/>
  <c r="E8" i="2"/>
  <c r="H8" i="2"/>
  <c r="B9" i="2"/>
  <c r="D9" i="2"/>
  <c r="E9" i="2"/>
  <c r="H9" i="2"/>
  <c r="W5" i="7"/>
  <c r="U5" i="7"/>
  <c r="C13" i="16"/>
  <c r="E13" i="16"/>
  <c r="C12" i="16"/>
  <c r="E12" i="16"/>
  <c r="C10" i="16"/>
  <c r="C11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AA5" i="7"/>
  <c r="C4" i="16"/>
  <c r="C5" i="16"/>
  <c r="C6" i="16"/>
  <c r="C7" i="16"/>
  <c r="C8" i="16"/>
  <c r="C9" i="16"/>
  <c r="C3" i="16"/>
  <c r="E9" i="16"/>
  <c r="Y5" i="7"/>
  <c r="R5" i="7"/>
  <c r="Q5" i="7"/>
  <c r="P5" i="7"/>
  <c r="O5" i="7"/>
  <c r="N5" i="7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5" i="7"/>
  <c r="J5" i="7"/>
  <c r="E8" i="16"/>
  <c r="E7" i="16"/>
  <c r="E6" i="16"/>
  <c r="E5" i="16"/>
  <c r="E4" i="16"/>
  <c r="E3" i="16"/>
  <c r="E2" i="16"/>
  <c r="A2" i="9"/>
  <c r="A5" i="7"/>
  <c r="I5" i="7"/>
  <c r="D5" i="7"/>
  <c r="F5" i="7"/>
  <c r="E5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<sst xmlns="http://schemas.openxmlformats.org/spreadsheetml/2006/main" count="708" uniqueCount="342">
  <si>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</si>
  <si>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</si>
  <si>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</si>
  <si>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</si>
  <si>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</si>
  <si>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</si>
  <si>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</si>
  <si>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</si>
  <si>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</si>
  <si>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</si>
  <si>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</si>
  <si>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</si>
  <si>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</si>
  <si>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</si>
  <si>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</si>
  <si>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</si>
  <si>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</si>
  <si>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</si>
  <si>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</si>
  <si>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</si>
  <si>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</si>
  <si>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</si>
  <si>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</si>
  <si>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</si>
  <si>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</si>
  <si>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</si>
  <si>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</si>
  <si>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</si>
  <si>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</si>
  <si>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</si>
  <si>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</si>
  <si>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</si>
  <si>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</si>
  <si>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</si>
  <si>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</si>
  <si>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</si>
  <si>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</si>
  <si>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</si>
  <si>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</si>
  <si>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</si>
  <si>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</si>
  <si>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</si>
  <si>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</si>
  <si>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</si>
  <si>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</si>
  <si>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</si>
  <si>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</si>
  <si>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</si>
  <si>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</si>
  <si>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</si>
  <si>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</si>
  <si>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</si>
  <si>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</si>
  <si>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</si>
  <si>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</si>
  <si>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</si>
  <si>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</si>
  <si>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</si>
  <si>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</si>
  <si>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</si>
  <si>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</si>
  <si>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</si>
  <si>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</si>
  <si>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</si>
  <si>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</si>
  <si>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</si>
  <si>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</si>
  <si>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</si>
  <si>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</si>
  <si>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</si>
  <si>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</si>
  <si>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</si>
  <si>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</si>
  <si>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</si>
  <si>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</si>
  <si>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</si>
  <si>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</si>
  <si>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</si>
  <si>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</si>
  <si>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</si>
  <si>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</si>
  <si>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</si>
  <si>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</si>
  <si>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</si>
  <si>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</si>
  <si>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</si>
  <si>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</si>
  <si>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</si>
  <si>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</si>
  <si>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</si>
  <si>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</si>
  <si>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</si>
  <si>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</si>
  <si>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</si>
  <si>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</si>
  <si>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</si>
  <si>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</si>
  <si>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</si>
  <si>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</si>
  <si>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</si>
  <si>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</si>
  <si>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</si>
  <si>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</si>
  <si>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</si>
  <si>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</si>
  <si>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</si>
  <si>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</si>
  <si>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</si>
  <si>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</si>
  <si>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</si>
  <si>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</si>
  <si>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</si>
  <si>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</si>
  <si>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</si>
  <si>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</si>
  <si>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</si>
  <si>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</si>
  <si>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</si>
  <si>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</si>
  <si>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</si>
  <si>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</si>
  <si>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</si>
  <si>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</si>
  <si>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</si>
  <si>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</si>
  <si>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</si>
  <si>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</si>
  <si>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</si>
  <si>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</si>
  <si>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</si>
  <si>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</si>
  <si>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</si>
  <si>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</si>
  <si>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</si>
  <si>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</si>
  <si>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</si>
  <si>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</si>
  <si>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</si>
  <si>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</si>
  <si>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</si>
  <si>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</si>
  <si>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</si>
  <si>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</si>
  <si>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</si>
  <si>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</si>
  <si>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</si>
  <si>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</si>
  <si>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</si>
  <si>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</si>
  <si>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</si>
  <si>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</si>
  <si>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</si>
  <si>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</si>
  <si>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</si>
  <si>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</si>
  <si>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</si>
  <si>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</si>
  <si>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</si>
  <si>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</si>
  <si>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</si>
  <si>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</si>
  <si>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</si>
  <si>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</si>
  <si>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</si>
  <si>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</si>
  <si>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</si>
  <si>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</si>
  <si>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</si>
  <si>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</si>
  <si>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</si>
  <si>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</si>
  <si>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</si>
  <si>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</si>
  <si>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</si>
  <si>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</si>
  <si>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</si>
  <si>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</si>
  <si>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</si>
  <si>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</si>
  <si>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</si>
  <si>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</si>
  <si>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</si>
  <si>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</si>
  <si>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</si>
  <si>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</si>
  <si>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</si>
  <si>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</si>
  <si>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</si>
  <si>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</si>
  <si>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</si>
  <si>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</si>
  <si>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</si>
  <si>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</si>
  <si>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</si>
  <si>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</si>
  <si>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</si>
  <si>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</si>
  <si>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</si>
  <si>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</si>
  <si>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</si>
  <si>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</si>
  <si>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</si>
  <si>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</si>
  <si>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</si>
  <si>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</si>
  <si>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</si>
  <si>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</si>
  <si>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</si>
  <si>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</si>
  <si>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</si>
  <si>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</si>
  <si>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</si>
  <si>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</si>
  <si>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</si>
  <si>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</si>
  <si>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</si>
  <si>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</si>
  <si>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</si>
  <si>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</si>
  <si>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</si>
  <si>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</si>
  <si>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</si>
  <si>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</si>
  <si>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</si>
  <si>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</si>
  <si>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</si>
  <si>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</si>
  <si>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</si>
  <si>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</si>
  <si>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</si>
  <si>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</si>
  <si>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</si>
  <si>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</si>
  <si>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</si>
  <si>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</si>
  <si>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</si>
  <si>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</si>
  <si>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</si>
  <si>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</si>
  <si>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</si>
  <si>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</si>
  <si>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</si>
  <si>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</si>
  <si>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</si>
  <si>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</si>
  <si>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</si>
  <si>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</si>
  <si>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</si>
  <si>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</si>
  <si>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</si>
  <si>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</si>
  <si>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</si>
  <si>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</si>
  <si>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</si>
  <si>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  <phoneticPr fontId="5"/>
  </si>
  <si>
    <t>ja</t>
    <phoneticPr fontId="5"/>
  </si>
  <si>
    <t>薙ぎ払い</t>
    <rPh sb="0" eb="1">
      <t>ナギハラッタ</t>
    </rPh>
    <phoneticPr fontId="5"/>
  </si>
  <si>
    <t>全体攻撃</t>
    <rPh sb="0" eb="4">
      <t>ゼンタイコウゲキ</t>
    </rPh>
    <phoneticPr fontId="5"/>
  </si>
  <si>
    <t>如意金箍棒・破金</t>
    <rPh sb="0" eb="5">
      <t>ニョイキンコボウ</t>
    </rPh>
    <rPh sb="6" eb="7">
      <t>ハ</t>
    </rPh>
    <rPh sb="7" eb="8">
      <t>キｎ</t>
    </rPh>
    <phoneticPr fontId="5"/>
  </si>
  <si>
    <t>如意金箍棒・破神</t>
    <rPh sb="0" eb="5">
      <t>ニョイキンコボウ</t>
    </rPh>
    <rPh sb="6" eb="7">
      <t>ハ</t>
    </rPh>
    <phoneticPr fontId="5"/>
  </si>
  <si>
    <t>斉天大聖撃</t>
    <rPh sb="4" eb="5">
      <t>ゲキ</t>
    </rPh>
    <phoneticPr fontId="5"/>
  </si>
  <si>
    <t>null</t>
    <phoneticPr fontId="5"/>
  </si>
  <si>
    <t>ゴクウは仲間が撃破されると
攻撃力上昇のスキルを使用します
最後の一体には十分に注意しましょう</t>
    <rPh sb="4" eb="6">
      <t>ナカマ</t>
    </rPh>
    <rPh sb="7" eb="9">
      <t>ゲキハ</t>
    </rPh>
    <rPh sb="14" eb="17">
      <t>コウゲキリョク</t>
    </rPh>
    <rPh sb="17" eb="19">
      <t>ジョウショウ</t>
    </rPh>
    <rPh sb="24" eb="26">
      <t>シヨウ</t>
    </rPh>
    <rPh sb="30" eb="32">
      <t>サイゴノイッタイ</t>
    </rPh>
    <rPh sb="37" eb="39">
      <t>ジュウブンニチュウイ</t>
    </rPh>
    <phoneticPr fontId="5"/>
  </si>
  <si>
    <t>ja</t>
    <phoneticPr fontId="5"/>
  </si>
  <si>
    <t>ハヌマーンは体力が減ると強力な
連続攻撃スキルを使用し始めますので
優勢でも油断禁物です</t>
    <rPh sb="6" eb="8">
      <t>タイリョク</t>
    </rPh>
    <rPh sb="9" eb="10">
      <t>ヘルト</t>
    </rPh>
    <rPh sb="12" eb="14">
      <t>kyouryoku</t>
    </rPh>
    <rPh sb="16" eb="18">
      <t>レンゾク</t>
    </rPh>
    <rPh sb="18" eb="20">
      <t>コウゲキ</t>
    </rPh>
    <rPh sb="24" eb="26">
      <t>シヨウシマス</t>
    </rPh>
    <rPh sb="27" eb="28">
      <t>カイシ</t>
    </rPh>
    <rPh sb="34" eb="36">
      <t>yuusei</t>
    </rPh>
    <rPh sb="38" eb="42">
      <t>ユダンキンモツ</t>
    </rPh>
    <phoneticPr fontId="5"/>
  </si>
  <si>
    <t>NULL</t>
    <phoneticPr fontId="5"/>
  </si>
  <si>
    <t>孫悟空は黄属性に対して大ダメージの
全体攻撃スキルを使用します
ユニットの編成に注意しましょう</t>
    <rPh sb="0" eb="3">
      <t>ソンゴクウ</t>
    </rPh>
    <rPh sb="4" eb="7">
      <t>キゾクセイ</t>
    </rPh>
    <rPh sb="11" eb="12">
      <t>ダイダメージ</t>
    </rPh>
    <rPh sb="37" eb="39">
      <t>ヘンセイ</t>
    </rPh>
    <rPh sb="40" eb="42">
      <t>チュウイ</t>
    </rPh>
    <phoneticPr fontId="5"/>
  </si>
  <si>
    <t>孫悟空は種族ゴッドに対して大ダメージの
全体攻撃スキルを使用します
ユニットの編成に注意しましょう</t>
    <rPh sb="0" eb="3">
      <t>ソンゴクウ</t>
    </rPh>
    <rPh sb="4" eb="6">
      <t>シュゾク</t>
    </rPh>
    <rPh sb="13" eb="14">
      <t>ダイダメージ</t>
    </rPh>
    <rPh sb="39" eb="41">
      <t>ヘンセイ</t>
    </rPh>
    <rPh sb="42" eb="44">
      <t>チュウイ</t>
    </rPh>
    <phoneticPr fontId="5"/>
  </si>
  <si>
    <t>孫悟空は黄属性に対して大ダメージの
全体攻撃スキルを使用します
ユニットの編成に注意しましょう</t>
    <rPh sb="0" eb="3">
      <t>ソンゴクウ</t>
    </rPh>
    <rPh sb="4" eb="7">
      <t>キゾクセイ</t>
    </rPh>
    <rPh sb="11" eb="12">
      <t>ダイダメージ</t>
    </rPh>
    <rPh sb="18" eb="22">
      <t>ゼンタイコウゲキ</t>
    </rPh>
    <rPh sb="26" eb="28">
      <t>シヨウ</t>
    </rPh>
    <rPh sb="37" eb="39">
      <t>ヘンセイ</t>
    </rPh>
    <rPh sb="40" eb="42">
      <t>チュウイ</t>
    </rPh>
    <phoneticPr fontId="5"/>
  </si>
  <si>
    <t>old</t>
  </si>
  <si>
    <t>お？新しい挑戦者かい？</t>
    <rPh sb="2" eb="3">
      <t>アタラシイ</t>
    </rPh>
    <rPh sb="5" eb="8">
      <t>チョウセンシャ</t>
    </rPh>
    <phoneticPr fontId="5"/>
  </si>
  <si>
    <t>強い奴なら大歓迎だぜ！</t>
    <rPh sb="0" eb="1">
      <t>ツヨイ</t>
    </rPh>
    <rPh sb="2" eb="3">
      <t>ヤツ</t>
    </rPh>
    <rPh sb="5" eb="8">
      <t>ダイカンゲイ</t>
    </rPh>
    <phoneticPr fontId="5"/>
  </si>
  <si>
    <t>スマンがまだやり残した事があるんだ</t>
    <rPh sb="11" eb="12">
      <t>コト</t>
    </rPh>
    <phoneticPr fontId="5"/>
  </si>
  <si>
    <t>三蔵？俺を連れ戻しに来たか</t>
    <rPh sb="0" eb="2">
      <t>サンゾウ</t>
    </rPh>
    <rPh sb="3" eb="4">
      <t>オレヲ</t>
    </rPh>
    <rPh sb="5" eb="6">
      <t>ツレモドシニ</t>
    </rPh>
    <rPh sb="10" eb="11">
      <t>キタカ</t>
    </rPh>
    <phoneticPr fontId="5"/>
  </si>
  <si>
    <t>オレの分身を突破してみな！</t>
    <rPh sb="3" eb="5">
      <t>ブンシｎ</t>
    </rPh>
    <rPh sb="6" eb="8">
      <t>トッパ</t>
    </rPh>
    <phoneticPr fontId="5"/>
  </si>
  <si>
    <t>一番奥で待ってるぜ！</t>
    <rPh sb="0" eb="2">
      <t>イチバン</t>
    </rPh>
    <rPh sb="2" eb="3">
      <t>オク</t>
    </rPh>
    <rPh sb="4" eb="5">
      <t>マッテルゼ！</t>
    </rPh>
    <phoneticPr fontId="5"/>
  </si>
  <si>
    <t>来たか、それじゃ勝負だぜ！</t>
    <rPh sb="0" eb="1">
      <t>キタカ</t>
    </rPh>
    <rPh sb="8" eb="10">
      <t>ショウブ</t>
    </rPh>
    <phoneticPr fontId="5"/>
  </si>
  <si>
    <t>全力でお相手するぜ、三蔵！</t>
    <rPh sb="0" eb="2">
      <t>ゼンリョク</t>
    </rPh>
    <rPh sb="4" eb="6">
      <t>アイテスル</t>
    </rPh>
    <rPh sb="10" eb="12">
      <t>サンゾウ</t>
    </rPh>
    <phoneticPr fontId="5"/>
  </si>
  <si>
    <t>はあああああああっ！</t>
    <phoneticPr fontId="5"/>
  </si>
  <si>
    <t>そいつは阻止させてもらうよ！</t>
    <rPh sb="4" eb="6">
      <t>ソシ</t>
    </rPh>
    <phoneticPr fontId="5"/>
  </si>
  <si>
    <t>こういう戦い方もあるのさっ！</t>
    <rPh sb="4" eb="5">
      <t>タタカイ</t>
    </rPh>
    <rPh sb="6" eb="7">
      <t>カタ</t>
    </rPh>
    <phoneticPr fontId="5"/>
  </si>
  <si>
    <t>同行してみるのも面白そうだ！</t>
    <rPh sb="0" eb="2">
      <t>ドウコウ</t>
    </rPh>
    <phoneticPr fontId="5"/>
  </si>
  <si>
    <t>【表示なし】</t>
    <phoneticPr fontId="5"/>
  </si>
  <si>
    <t>喰らえーーっ！</t>
    <phoneticPr fontId="5"/>
  </si>
  <si>
    <t>クリティカル！</t>
    <phoneticPr fontId="5"/>
  </si>
  <si>
    <t>null</t>
  </si>
  <si>
    <t>null</t>
    <phoneticPr fontId="5"/>
  </si>
  <si>
    <t>link</t>
  </si>
  <si>
    <t>unit</t>
  </si>
  <si>
    <t>unit</t>
    <phoneticPr fontId="5"/>
  </si>
  <si>
    <t>4回連続攻撃</t>
    <rPh sb="1" eb="2">
      <t>カイ</t>
    </rPh>
    <rPh sb="4" eb="6">
      <t>コウゲキ</t>
    </rPh>
    <phoneticPr fontId="5"/>
  </si>
  <si>
    <t>3回連続攻撃</t>
    <rPh sb="1" eb="2">
      <t>カイ</t>
    </rPh>
    <rPh sb="2" eb="6">
      <t>サンカイコウゲキ</t>
    </rPh>
    <phoneticPr fontId="5"/>
  </si>
  <si>
    <t>2回連続攻撃</t>
    <rPh sb="1" eb="2">
      <t>カイ</t>
    </rPh>
    <rPh sb="2" eb="6">
      <t>レンゾクコウゲキ</t>
    </rPh>
    <phoneticPr fontId="5"/>
  </si>
  <si>
    <t>自身の攻撃力UP</t>
    <rPh sb="0" eb="2">
      <t>jisin</t>
    </rPh>
    <rPh sb="3" eb="6">
      <t>ゼンタイコウゲキリョク</t>
    </rPh>
    <phoneticPr fontId="5"/>
  </si>
  <si>
    <t>黄属性のユニットに大ダメージの全体攻撃</t>
    <rPh sb="0" eb="1">
      <t>キイロ</t>
    </rPh>
    <rPh sb="1" eb="3">
      <t>ゾクセイ</t>
    </rPh>
    <rPh sb="9" eb="10">
      <t>ダイダメージ</t>
    </rPh>
    <rPh sb="15" eb="17">
      <t>ゼンタイ</t>
    </rPh>
    <rPh sb="17" eb="19">
      <t>レンゾクコウゲキ</t>
    </rPh>
    <phoneticPr fontId="5"/>
  </si>
  <si>
    <t>種族ゴッドのユニットに大ダメージの全体攻撃</t>
    <rPh sb="0" eb="2">
      <t>シュゾク</t>
    </rPh>
    <rPh sb="11" eb="12">
      <t>ダイダメージ</t>
    </rPh>
    <rPh sb="17" eb="21">
      <t>ゼンタイコウゲキ</t>
    </rPh>
    <phoneticPr fontId="5"/>
  </si>
  <si>
    <t>孫悟空</t>
    <rPh sb="0" eb="3">
      <t>ソンゴクウ</t>
    </rPh>
    <phoneticPr fontId="5"/>
  </si>
  <si>
    <t>孫悟空の脱獄</t>
    <rPh sb="0" eb="3">
      <t>ソンゴクウ</t>
    </rPh>
    <rPh sb="4" eb="6">
      <t>ダツゴク</t>
    </rPh>
    <phoneticPr fontId="5"/>
  </si>
  <si>
    <t>管理AIを相手に単身で
システムを制圧可能な
凄腕のハッカーです
ハッキング成功を目的とし
スポーツ感覚で楽しんでいるようです</t>
    <rPh sb="5" eb="7">
      <t>アイテニ</t>
    </rPh>
    <rPh sb="8" eb="10">
      <t>タンシｎ</t>
    </rPh>
    <rPh sb="17" eb="19">
      <t>セイアツ</t>
    </rPh>
    <rPh sb="19" eb="21">
      <t>カノウナ</t>
    </rPh>
    <rPh sb="23" eb="25">
      <t>スゴウデ</t>
    </rPh>
    <rPh sb="38" eb="40">
      <t>セイコウ</t>
    </rPh>
    <rPh sb="41" eb="43">
      <t>モクテキ</t>
    </rPh>
    <rPh sb="53" eb="54">
      <t>タノシンデイマス</t>
    </rPh>
    <phoneticPr fontId="5"/>
  </si>
  <si>
    <t>かつて侵入に成功したシステムは
罠であり彼を閉じ込める牢獄でした
女王による一連の混乱に乗じ
リベンジを決めるべく脱獄しました</t>
    <rPh sb="6" eb="8">
      <t>セイコウ</t>
    </rPh>
    <rPh sb="20" eb="21">
      <t>カレヲ</t>
    </rPh>
    <rPh sb="22" eb="23">
      <t>トジコメル</t>
    </rPh>
    <rPh sb="38" eb="40">
      <t>イチレｎ</t>
    </rPh>
    <rPh sb="52" eb="53">
      <t>キメル</t>
    </rPh>
    <phoneticPr fontId="5"/>
  </si>
  <si>
    <t>オマエたち……強いなァ……</t>
    <rPh sb="7" eb="8">
      <t>ツヨイナ</t>
    </rPh>
    <phoneticPr fontId="5"/>
  </si>
  <si>
    <t>うーむ……降参だ三蔵！</t>
    <rPh sb="5" eb="7">
      <t>コウサｎ</t>
    </rPh>
    <rPh sb="8" eb="10">
      <t>サンゾウ</t>
    </rPh>
    <phoneticPr fontId="5"/>
  </si>
  <si>
    <t>俺は結局、お前と一緒に過ごした
あの時間を失いたくないみたいだ</t>
    <rPh sb="0" eb="1">
      <t>オレモ</t>
    </rPh>
    <rPh sb="2" eb="4">
      <t>ケッキョク</t>
    </rPh>
    <rPh sb="8" eb="10">
      <t>イッショニ</t>
    </rPh>
    <rPh sb="11" eb="12">
      <t>スゴシタジカｎ</t>
    </rPh>
    <rPh sb="21" eb="22">
      <t>ウシナイタク</t>
    </rPh>
    <phoneticPr fontId="5"/>
  </si>
  <si>
    <t>null</t>
    <phoneticPr fontId="5"/>
  </si>
  <si>
    <t>状態異常耐性</t>
    <rPh sb="0" eb="4">
      <t>ジョウタイイジョウ</t>
    </rPh>
    <rPh sb="4" eb="6">
      <t>タイセイ</t>
    </rPh>
    <phoneticPr fontId="5"/>
  </si>
  <si>
    <t>5ターン自身の攻撃力UP+
状態異常耐性</t>
    <rPh sb="4" eb="6">
      <t>ジシｎ</t>
    </rPh>
    <rPh sb="7" eb="10">
      <t>コウゲキリョク</t>
    </rPh>
    <rPh sb="14" eb="18">
      <t>ジョウタイイジョウ</t>
    </rPh>
    <rPh sb="18" eb="20">
      <t>タイセイ</t>
    </rPh>
    <phoneticPr fontId="5"/>
  </si>
  <si>
    <t>行くぜっ！ついてこられるか？</t>
    <rPh sb="0" eb="1">
      <t>イクゼ、</t>
    </rPh>
    <phoneticPr fontId="5"/>
  </si>
  <si>
    <t>ウッキョーッ！</t>
    <phoneticPr fontId="5"/>
  </si>
  <si>
    <t>緊箍児は三蔵法師が孫悟空の額に
取り付けた脱獄防止装置です
女王反乱の余波で機能を停止しましたが
なぜか消滅せずに残っています</t>
    <rPh sb="4" eb="8">
      <t>サンゾウホウシ</t>
    </rPh>
    <rPh sb="9" eb="12">
      <t>ソンゴクウ</t>
    </rPh>
    <rPh sb="13" eb="14">
      <t>ヒタイ</t>
    </rPh>
    <rPh sb="16" eb="17">
      <t>tori</t>
    </rPh>
    <rPh sb="21" eb="25">
      <t>ダツゴクボウシ</t>
    </rPh>
    <rPh sb="25" eb="27">
      <t>ソウチ</t>
    </rPh>
    <rPh sb="30" eb="32">
      <t>ジョオウ</t>
    </rPh>
    <rPh sb="32" eb="34">
      <t>hannran</t>
    </rPh>
    <rPh sb="35" eb="37">
      <t>ヨハ</t>
    </rPh>
    <rPh sb="38" eb="40">
      <t>キノウヲテイシ</t>
    </rPh>
    <rPh sb="52" eb="54">
      <t>ショウメツ</t>
    </rPh>
    <rPh sb="57" eb="58">
      <t>ザンゾンシテイマス</t>
    </rPh>
    <phoneticPr fontId="5"/>
  </si>
  <si>
    <t>(呼吸を整えている)</t>
    <rPh sb="1" eb="3">
      <t>コキュウ</t>
    </rPh>
    <rPh sb="4" eb="5">
      <t>トトノエテイル</t>
    </rPh>
    <phoneticPr fontId="5"/>
  </si>
  <si>
    <t>(小さくなり後背に回り込んだ！)</t>
    <rPh sb="1" eb="2">
      <t>チイサク</t>
    </rPh>
    <rPh sb="6" eb="8">
      <t>kouhai</t>
    </rPh>
    <rPh sb="9" eb="10">
      <t>マワリコム</t>
    </rPh>
    <phoneticPr fontId="5"/>
  </si>
  <si>
    <t>(巨大化して連続攻撃！)</t>
    <rPh sb="1" eb="4">
      <t>キョダイカ</t>
    </rPh>
    <rPh sb="6" eb="10">
      <t>レンゾクコウゲキ</t>
    </rPh>
    <phoneticPr fontId="5"/>
  </si>
  <si>
    <t>(隙のない構えだ！)</t>
    <rPh sb="1" eb="2">
      <t>スキノナイ</t>
    </rPh>
    <rPh sb="5" eb="6">
      <t>カマエ</t>
    </rPh>
    <phoneticPr fontId="5"/>
  </si>
  <si>
    <t>緊箍児(きんこじ)</t>
    <phoneticPr fontId="5"/>
  </si>
  <si>
    <t>種族ゴッド以外の有利属性ユニットで
パーティを編成してみましょう</t>
    <rPh sb="0" eb="2">
      <t>シュゾク</t>
    </rPh>
    <rPh sb="5" eb="7">
      <t>イガイ</t>
    </rPh>
    <rPh sb="23" eb="25">
      <t>ヘンセイ</t>
    </rPh>
    <phoneticPr fontId="5"/>
  </si>
  <si>
    <t>孫悟空のお邪魔パネル吸収攻撃は
威力が高いため使用前に倒してしまうか
フィーバータイムやスキルで処理しましょう</t>
    <rPh sb="0" eb="3">
      <t>ソンゴクウ</t>
    </rPh>
    <rPh sb="10" eb="12">
      <t>キュウシュウ</t>
    </rPh>
    <rPh sb="12" eb="14">
      <t>コウゲキ</t>
    </rPh>
    <rPh sb="16" eb="18">
      <t>イリョク</t>
    </rPh>
    <rPh sb="19" eb="20">
      <t>タカイ</t>
    </rPh>
    <rPh sb="23" eb="25">
      <t>シヨウ</t>
    </rPh>
    <rPh sb="25" eb="26">
      <t>シヨウマエ</t>
    </rPh>
    <rPh sb="27" eb="28">
      <t>タオシキル</t>
    </rPh>
    <rPh sb="48" eb="50">
      <t>ショリ</t>
    </rPh>
    <phoneticPr fontId="5"/>
  </si>
  <si>
    <t>三蔵法師</t>
    <rPh sb="0" eb="4">
      <t>サンゾウホウシ</t>
    </rPh>
    <phoneticPr fontId="5"/>
  </si>
  <si>
    <t>管理AIの罠に閉じ込められてしまった
孫悟空の世話をしていましたが
悟空の脱出成功を知り
改めて彼の行方を追っているようです</t>
    <rPh sb="0" eb="2">
      <t>カンリ</t>
    </rPh>
    <rPh sb="5" eb="6">
      <t>ワナ</t>
    </rPh>
    <rPh sb="7" eb="8">
      <t>トジコメラレタ</t>
    </rPh>
    <rPh sb="23" eb="25">
      <t>セワヲヤイテイタ</t>
    </rPh>
    <rPh sb="34" eb="36">
      <t>ゴクウ</t>
    </rPh>
    <rPh sb="37" eb="39">
      <t>ダッシュツ</t>
    </rPh>
    <rPh sb="39" eb="41">
      <t>セイコウ</t>
    </rPh>
    <rPh sb="42" eb="43">
      <t>シリ</t>
    </rPh>
    <rPh sb="45" eb="46">
      <t>アラタメテ</t>
    </rPh>
    <rPh sb="48" eb="49">
      <t>カレ</t>
    </rPh>
    <rPh sb="50" eb="52">
      <t>ユクエ</t>
    </rPh>
    <rPh sb="53" eb="54">
      <t>オイカケテイマス</t>
    </rPh>
    <phoneticPr fontId="5"/>
  </si>
  <si>
    <t>状態異常耐性</t>
    <rPh sb="0" eb="2">
      <t>ジョウタイ</t>
    </rPh>
    <rPh sb="2" eb="4">
      <t>ijou</t>
    </rPh>
    <rPh sb="4" eb="6">
      <t>タイセイ</t>
    </rPh>
    <phoneticPr fontId="5"/>
  </si>
  <si>
    <t xml:space="preserve">[effect:enemy_message, val1:1.2, val2:1.2],[effect:fix_speed, target:myself, turn:2]    </t>
    <phoneticPr fontId="5"/>
  </si>
  <si>
    <t xml:space="preserve">[effect:enemy_message, val1:1.3, val2:1.7],[effect:fix_speed, target:myself, turn:2]    </t>
    <phoneticPr fontId="5"/>
  </si>
  <si>
    <t xml:space="preserve">[effect:enemy_message, val1:1.2, val2:1.2],[effect:enhance_enemy, target:myself, turn:-1, status:attack, val:1000, calc:add, animation:enemy_enhance_attack]    </t>
    <phoneticPr fontId="5"/>
  </si>
  <si>
    <t xml:space="preserve">[effect:enemy_message, val1:1.2, val2:1.2],[effect:spread, val:0.3]    </t>
    <phoneticPr fontId="5"/>
  </si>
  <si>
    <t xml:space="preserve">[effect:enemy_message, val1:1.6, val2:1.2],[effect:rush, count:2, val:0.4]    </t>
    <phoneticPr fontId="5"/>
  </si>
  <si>
    <t xml:space="preserve">[effect:enemy_message, val1:1.2, val2:1.2],[effect:rush, count:3, val:0.5]    </t>
    <phoneticPr fontId="5"/>
  </si>
  <si>
    <t>[effect:enemy_message, val1:1.3, val2:1.2],[effect:fix_speed, target:myself, turn:2],[effect:tolerance, target:myself, turn:-1, tolerance_effect:all, count:-1, animation:enemy_tolerance]</t>
    <phoneticPr fontId="5"/>
  </si>
  <si>
    <t>[effect:enemy_message, val1:1.2, val2:3.0],[effect:enemy_counter, target:myself, invoke_condition:unit_all, counter_target:attacker, turn:2, val:0.7, animation:enemy_counter]</t>
    <phoneticPr fontId="5"/>
  </si>
  <si>
    <t>次のターンに強力な攻撃+
2ターン全ユニットの攻撃をカウンター</t>
    <rPh sb="17" eb="18">
      <t>ゼンユニット</t>
    </rPh>
    <rPh sb="23" eb="25">
      <t>コウゲキヲ</t>
    </rPh>
    <phoneticPr fontId="5"/>
  </si>
  <si>
    <t xml:space="preserve">[effect:enemy_message, val1:1.2, val2:1.9],[effect:enhance_enemy, target:myself, turn:5, status:attack, val:2000, calc:add, animation:enemy_enhance_attack], [effect:tolerance, target:myself, turn:-1, tolerance_effect:all, count:-1, animation:enemy_tolerance]   </t>
    <phoneticPr fontId="5"/>
  </si>
  <si>
    <t xml:space="preserve">[effect:enemy_message, val1:1.2, val2:1.9],[effect:damage_anti_color, target:unit_all, color:yellow, val1:1, val2:0.25]    </t>
    <phoneticPr fontId="5"/>
  </si>
  <si>
    <t>[effect:enemy_message, val1:1.4, val2:3.9],[effect:force_change_block, new_block:time_bomb, target:block_red, count:6, val:0.2, min_time_count:2, max_time_count:4, animation:change_block],[effect:force_change_block, new_block:jammer, target:block_blue, count:6, val:0, animation:change_block]</t>
    <phoneticPr fontId="5"/>
  </si>
  <si>
    <t>赤パネルを赤の時限式ダメージパネルに6個変換+
青パネルをお邪魔パネルに6個変換</t>
    <rPh sb="0" eb="1">
      <t>アカ</t>
    </rPh>
    <rPh sb="5" eb="6">
      <t>アカノ</t>
    </rPh>
    <rPh sb="7" eb="10">
      <t>ジゲンシキ</t>
    </rPh>
    <rPh sb="19" eb="20">
      <t>コ</t>
    </rPh>
    <rPh sb="20" eb="22">
      <t>ヘンカｎ</t>
    </rPh>
    <rPh sb="37" eb="38">
      <t>コ</t>
    </rPh>
    <phoneticPr fontId="5"/>
  </si>
  <si>
    <t>[effect:enemy_message, val1:1.4, val2:1.5],[effect:break_attack_fix, val:800, lowest_val:1000, count:-1, block:jammer, target:unit_all]</t>
    <phoneticPr fontId="5"/>
  </si>
  <si>
    <t>お邪魔パネルを吸収して全体攻撃</t>
    <rPh sb="11" eb="13">
      <t>ゼンタイ</t>
    </rPh>
    <phoneticPr fontId="5"/>
  </si>
  <si>
    <t xml:space="preserve">[effect:enemy_message, val1:1.4, val2:1.2],[effect:fix_speed, target:myself, turn:1],[effect:tolerance, target:myself, turn:-1, tolerance_effect:all, count:-1, animation:enemy_tolerance]    </t>
    <phoneticPr fontId="5"/>
  </si>
  <si>
    <t xml:space="preserve">[effect:enemy_message, val1:1.2, val2:2.1],[effect:damage_anti_tribe, target:unit_all, tribe:god, val1:1, val2:0.3]    </t>
    <phoneticPr fontId="5"/>
  </si>
  <si>
    <t xml:space="preserve">[effect:enemy_message, val1:1.2, val2:1.2],[effect:rush, count:4, val:0.65]    </t>
    <phoneticPr fontId="5"/>
  </si>
  <si>
    <t xml:space="preserve">[effect:enemy_message, val1:1.8, val2:1.9]    </t>
    <phoneticPr fontId="5"/>
  </si>
  <si>
    <t xml:space="preserve">[effect:enemy_message, val1:1.7, val2:3.5]    </t>
    <phoneticPr fontId="5"/>
  </si>
  <si>
    <t xml:space="preserve">[effect:enemy_message, val1:1.2, val2:0]    </t>
    <phoneticPr fontId="5"/>
  </si>
  <si>
    <t xml:space="preserve">[effect:enemy_message, val1:1.3, val2:1.2]    </t>
    <phoneticPr fontId="5"/>
  </si>
  <si>
    <t xml:space="preserve">[effect:enemy_message, val1:1.2, val2:1.2],[effect:critical, val:2]    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</si>
</sst>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7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6" fillId="0" borderId="12" xfId="0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16" fillId="0" borderId="25" xfId="0" applyFont="1" applyFill="1" applyBorder="1" applyAlignment="1">
      <alignment vertical="center"/>
    </xf>
    <xf numFmtId="0" fontId="16" fillId="0" borderId="26" xfId="0" applyFont="1" applyFill="1" applyBorder="1" applyAlignment="1">
      <alignment vertical="center"/>
    </xf>
    <xf numFmtId="0" fontId="16" fillId="0" borderId="27" xfId="0" applyFont="1" applyFill="1" applyBorder="1" applyAlignment="1">
      <alignment vertical="center"/>
    </xf>
    <xf numFmtId="0" fontId="16" fillId="0" borderId="28" xfId="0" applyFont="1" applyFill="1" applyBorder="1" applyAlignment="1">
      <alignment vertical="center"/>
    </xf>
    <xf numFmtId="0" fontId="16" fillId="0" borderId="29" xfId="0" applyFont="1" applyFill="1" applyBorder="1" applyAlignment="1">
      <alignment vertical="center"/>
    </xf>
    <xf numFmtId="0" fontId="16" fillId="0" borderId="30" xfId="0" applyFont="1" applyFill="1" applyBorder="1" applyAlignment="1">
      <alignment vertical="center"/>
    </xf>
    <xf numFmtId="0" fontId="16" fillId="0" borderId="31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4" fillId="0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33" xfId="0" applyFont="1" applyBorder="1" applyAlignment="1">
      <alignment vertical="center"/>
    </xf>
    <xf numFmtId="177" fontId="8" fillId="0" borderId="33" xfId="0" applyNumberFormat="1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4" fillId="0" borderId="34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12" fillId="7" borderId="32" xfId="0" applyFont="1" applyFill="1" applyBorder="1" applyAlignment="1">
      <alignment vertical="center"/>
    </xf>
    <xf numFmtId="176" fontId="4" fillId="0" borderId="35" xfId="0" applyNumberFormat="1" applyFont="1" applyFill="1" applyBorder="1" applyAlignment="1">
      <alignment horizontal="center" vertical="center"/>
    </xf>
    <xf numFmtId="0" fontId="4" fillId="0" borderId="36" xfId="0" applyFont="1" applyFill="1" applyBorder="1" applyAlignment="1">
      <alignment horizontal="center" vertical="center"/>
    </xf>
    <xf numFmtId="0" fontId="4" fillId="3" borderId="36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vertical="center"/>
    </xf>
    <xf numFmtId="0" fontId="6" fillId="0" borderId="36" xfId="0" applyFont="1" applyFill="1" applyBorder="1" applyAlignment="1">
      <alignment vertical="center"/>
    </xf>
    <xf numFmtId="0" fontId="4" fillId="0" borderId="36" xfId="0" applyFont="1" applyBorder="1" applyAlignment="1">
      <alignment horizontal="center" vertical="center"/>
    </xf>
    <xf numFmtId="0" fontId="6" fillId="5" borderId="37" xfId="0" applyFont="1" applyFill="1" applyBorder="1" applyAlignment="1">
      <alignment vertical="center"/>
    </xf>
    <xf numFmtId="0" fontId="8" fillId="0" borderId="38" xfId="0" applyFont="1" applyBorder="1" applyAlignment="1">
      <alignment vertical="center"/>
    </xf>
    <xf numFmtId="177" fontId="8" fillId="0" borderId="38" xfId="0" applyNumberFormat="1" applyFont="1" applyBorder="1" applyAlignment="1">
      <alignment vertical="center"/>
    </xf>
    <xf numFmtId="1" fontId="32" fillId="31" borderId="36" xfId="0" applyNumberFormat="1" applyFont="1" applyFill="1" applyBorder="1" applyAlignment="1">
      <alignment vertical="center"/>
    </xf>
    <xf numFmtId="0" fontId="6" fillId="0" borderId="35" xfId="0" applyFont="1" applyFill="1" applyBorder="1" applyAlignment="1">
      <alignment vertical="center"/>
    </xf>
    <xf numFmtId="0" fontId="4" fillId="0" borderId="39" xfId="0" applyFont="1" applyBorder="1" applyAlignment="1">
      <alignment vertical="center"/>
    </xf>
    <xf numFmtId="0" fontId="4" fillId="3" borderId="36" xfId="0" applyFont="1" applyFill="1" applyBorder="1" applyAlignment="1">
      <alignment vertical="center"/>
    </xf>
    <xf numFmtId="0" fontId="4" fillId="0" borderId="36" xfId="0" applyFont="1" applyFill="1" applyBorder="1" applyAlignment="1">
      <alignment vertical="center"/>
    </xf>
    <xf numFmtId="0" fontId="4" fillId="0" borderId="40" xfId="0" applyFont="1" applyBorder="1" applyAlignment="1">
      <alignment vertical="center"/>
    </xf>
    <xf numFmtId="0" fontId="4" fillId="0" borderId="36" xfId="0" applyFont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0" fontId="16" fillId="3" borderId="2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vertical="center"/>
    </xf>
    <xf numFmtId="0" fontId="16" fillId="0" borderId="7" xfId="0" applyFont="1" applyBorder="1" applyAlignment="1">
      <alignment vertical="center"/>
    </xf>
    <xf numFmtId="0" fontId="16" fillId="0" borderId="41" xfId="0" applyFont="1" applyFill="1" applyBorder="1" applyAlignment="1">
      <alignment vertical="center"/>
    </xf>
    <xf numFmtId="0" fontId="0" fillId="0" borderId="2" xfId="0" applyBorder="1"/>
    <xf numFmtId="0" fontId="0" fillId="3" borderId="2" xfId="0" applyFill="1" applyBorder="1"/>
    <xf numFmtId="0" fontId="6" fillId="5" borderId="2" xfId="0" applyFont="1" applyFill="1" applyBorder="1" applyAlignment="1">
      <alignment vertical="center"/>
    </xf>
    <xf numFmtId="0" fontId="0" fillId="0" borderId="26" xfId="0" applyBorder="1"/>
    <xf numFmtId="0" fontId="0" fillId="3" borderId="26" xfId="0" applyFill="1" applyBorder="1"/>
    <xf numFmtId="0" fontId="6" fillId="5" borderId="26" xfId="0" applyFont="1" applyFill="1" applyBorder="1" applyAlignment="1">
      <alignment vertical="center"/>
    </xf>
    <xf numFmtId="0" fontId="27" fillId="0" borderId="26" xfId="0" applyFont="1" applyFill="1" applyBorder="1"/>
    <xf numFmtId="0" fontId="0" fillId="0" borderId="42" xfId="0" applyBorder="1"/>
    <xf numFmtId="0" fontId="0" fillId="0" borderId="43" xfId="0" applyBorder="1"/>
    <xf numFmtId="0" fontId="0" fillId="0" borderId="23" xfId="0" applyBorder="1"/>
    <xf numFmtId="0" fontId="0" fillId="3" borderId="23" xfId="0" applyFill="1" applyBorder="1"/>
    <xf numFmtId="0" fontId="6" fillId="5" borderId="23" xfId="0" applyFont="1" applyFill="1" applyBorder="1" applyAlignment="1">
      <alignment vertical="center"/>
    </xf>
    <xf numFmtId="0" fontId="27" fillId="0" borderId="23" xfId="0" applyFont="1" applyFill="1" applyBorder="1"/>
    <xf numFmtId="0" fontId="0" fillId="0" borderId="44" xfId="0" applyBorder="1"/>
    <xf numFmtId="38" fontId="16" fillId="14" borderId="7" xfId="628" applyFont="1" applyFill="1" applyBorder="1" applyAlignment="1">
      <alignment wrapText="1"/>
    </xf>
    <xf numFmtId="0" fontId="16" fillId="0" borderId="8" xfId="0" applyFont="1" applyFill="1" applyBorder="1"/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48501</v>
          </cell>
        </row>
        <row r="257">
          <cell r="A257">
            <v>48502</v>
          </cell>
        </row>
        <row r="258">
          <cell r="A258">
            <v>48503</v>
          </cell>
        </row>
        <row r="259">
          <cell r="A259">
            <v>48701</v>
          </cell>
        </row>
        <row r="260">
          <cell r="A260">
            <v>48702</v>
          </cell>
        </row>
        <row r="261">
          <cell r="A261">
            <v>41001</v>
          </cell>
        </row>
        <row r="262">
          <cell r="A262">
            <v>41002</v>
          </cell>
        </row>
        <row r="263">
          <cell r="A263">
            <v>41003</v>
          </cell>
        </row>
        <row r="264">
          <cell r="A264">
            <v>41004</v>
          </cell>
        </row>
        <row r="265">
          <cell r="A265">
            <v>41005</v>
          </cell>
        </row>
        <row r="266">
          <cell r="A266">
            <v>41006</v>
          </cell>
        </row>
        <row r="267">
          <cell r="A267">
            <v>41007</v>
          </cell>
        </row>
        <row r="268">
          <cell r="A268">
            <v>41008</v>
          </cell>
        </row>
        <row r="269">
          <cell r="A269">
            <v>41009</v>
          </cell>
        </row>
        <row r="270">
          <cell r="A270">
            <v>41010</v>
          </cell>
        </row>
        <row r="271">
          <cell r="A271">
            <v>41011</v>
          </cell>
        </row>
        <row r="272">
          <cell r="A272">
            <v>41012</v>
          </cell>
        </row>
        <row r="273">
          <cell r="A273">
            <v>41013</v>
          </cell>
        </row>
        <row r="274">
          <cell r="A274">
            <v>41014</v>
          </cell>
        </row>
        <row r="275">
          <cell r="A275">
            <v>41015</v>
          </cell>
        </row>
        <row r="276">
          <cell r="A276">
            <v>47001</v>
          </cell>
        </row>
        <row r="277">
          <cell r="A277">
            <v>47002</v>
          </cell>
        </row>
        <row r="278">
          <cell r="A278">
            <v>47003</v>
          </cell>
        </row>
        <row r="279">
          <cell r="A279">
            <v>47004</v>
          </cell>
        </row>
        <row r="280">
          <cell r="A280">
            <v>47005</v>
          </cell>
        </row>
        <row r="281">
          <cell r="A281">
            <v>47006</v>
          </cell>
        </row>
        <row r="282">
          <cell r="A282">
            <v>47007</v>
          </cell>
        </row>
        <row r="283">
          <cell r="A283">
            <v>47008</v>
          </cell>
        </row>
        <row r="284">
          <cell r="A284">
            <v>47009</v>
          </cell>
        </row>
        <row r="285">
          <cell r="A285">
            <v>47010</v>
          </cell>
        </row>
        <row r="286">
          <cell r="A286">
            <v>47011</v>
          </cell>
        </row>
        <row r="287">
          <cell r="A287">
            <v>47012</v>
          </cell>
        </row>
        <row r="288">
          <cell r="A288">
            <v>47013</v>
          </cell>
        </row>
        <row r="289">
          <cell r="A289">
            <v>49001</v>
          </cell>
        </row>
        <row r="290">
          <cell r="A290">
            <v>49002</v>
          </cell>
        </row>
        <row r="291">
          <cell r="A291">
            <v>49003</v>
          </cell>
        </row>
        <row r="292">
          <cell r="A292">
            <v>49004</v>
          </cell>
        </row>
        <row r="293">
          <cell r="A293">
            <v>49005</v>
          </cell>
        </row>
        <row r="294">
          <cell r="A294">
            <v>49006</v>
          </cell>
        </row>
        <row r="295">
          <cell r="A295">
            <v>49007</v>
          </cell>
        </row>
        <row r="296">
          <cell r="A296">
            <v>49008</v>
          </cell>
        </row>
        <row r="297">
          <cell r="A297">
            <v>49009</v>
          </cell>
        </row>
        <row r="298">
          <cell r="A298">
            <v>49010</v>
          </cell>
        </row>
        <row r="299">
          <cell r="A299">
            <v>49011</v>
          </cell>
        </row>
        <row r="300">
          <cell r="A300">
            <v>49012</v>
          </cell>
        </row>
        <row r="301">
          <cell r="A301">
            <v>49013</v>
          </cell>
        </row>
        <row r="302">
          <cell r="A302">
            <v>49014</v>
          </cell>
        </row>
        <row r="303">
          <cell r="A303">
            <v>49015</v>
          </cell>
        </row>
        <row r="304">
          <cell r="A304">
            <v>49016</v>
          </cell>
        </row>
        <row r="305">
          <cell r="A305">
            <v>50001</v>
          </cell>
        </row>
        <row r="306">
          <cell r="A306">
            <v>50002</v>
          </cell>
        </row>
        <row r="307">
          <cell r="A307">
            <v>50003</v>
          </cell>
        </row>
        <row r="308">
          <cell r="A308">
            <v>50004</v>
          </cell>
        </row>
        <row r="309">
          <cell r="A309">
            <v>50005</v>
          </cell>
        </row>
        <row r="310">
          <cell r="A310">
            <v>50006</v>
          </cell>
        </row>
        <row r="311">
          <cell r="A311">
            <v>50007</v>
          </cell>
        </row>
        <row r="312">
          <cell r="A312">
            <v>50008</v>
          </cell>
        </row>
        <row r="313">
          <cell r="A313">
            <v>50009</v>
          </cell>
        </row>
        <row r="314">
          <cell r="A314">
            <v>50010</v>
          </cell>
        </row>
        <row r="315">
          <cell r="A315">
            <v>50011</v>
          </cell>
        </row>
        <row r="316">
          <cell r="A316">
            <v>50012</v>
          </cell>
        </row>
        <row r="317">
          <cell r="A317">
            <v>50013</v>
          </cell>
        </row>
        <row r="318">
          <cell r="A318">
            <v>50014</v>
          </cell>
        </row>
        <row r="319">
          <cell r="A319">
            <v>50015</v>
          </cell>
        </row>
        <row r="320">
          <cell r="A320">
            <v>50016</v>
          </cell>
        </row>
        <row r="321">
          <cell r="A321">
            <v>51001</v>
          </cell>
        </row>
        <row r="322">
          <cell r="A322">
            <v>51002</v>
          </cell>
        </row>
        <row r="323">
          <cell r="A323">
            <v>58001</v>
          </cell>
        </row>
        <row r="324">
          <cell r="A324">
            <v>58002</v>
          </cell>
        </row>
        <row r="325">
          <cell r="A325">
            <v>59001</v>
          </cell>
        </row>
        <row r="326">
          <cell r="A326">
            <v>59002</v>
          </cell>
        </row>
        <row r="327">
          <cell r="A327">
            <v>59003</v>
          </cell>
        </row>
        <row r="328">
          <cell r="A328">
            <v>60001</v>
          </cell>
        </row>
        <row r="329">
          <cell r="A329">
            <v>60002</v>
          </cell>
        </row>
        <row r="330">
          <cell r="A330">
            <v>60003</v>
          </cell>
        </row>
        <row r="331">
          <cell r="A331">
            <v>60004</v>
          </cell>
        </row>
        <row r="332">
          <cell r="A332">
            <v>60005</v>
          </cell>
        </row>
        <row r="333">
          <cell r="A333">
            <v>60006</v>
          </cell>
        </row>
        <row r="334">
          <cell r="A334">
            <v>60007</v>
          </cell>
        </row>
        <row r="335">
          <cell r="A335">
            <v>60010</v>
          </cell>
        </row>
        <row r="336">
          <cell r="A336">
            <v>60011</v>
          </cell>
        </row>
        <row r="337">
          <cell r="A337">
            <v>61011</v>
          </cell>
        </row>
        <row r="338">
          <cell r="A338">
            <v>60012</v>
          </cell>
        </row>
        <row r="339">
          <cell r="A339">
            <v>60013</v>
          </cell>
        </row>
        <row r="340">
          <cell r="A340">
            <v>60014</v>
          </cell>
        </row>
        <row r="341">
          <cell r="A341">
            <v>60015</v>
          </cell>
        </row>
        <row r="342">
          <cell r="A342">
            <v>60016</v>
          </cell>
        </row>
        <row r="343">
          <cell r="A343">
            <v>60017</v>
          </cell>
        </row>
        <row r="344">
          <cell r="A344">
            <v>60018</v>
          </cell>
        </row>
        <row r="345">
          <cell r="A345">
            <v>60019</v>
          </cell>
        </row>
        <row r="346">
          <cell r="A346">
            <v>60020</v>
          </cell>
        </row>
        <row r="347">
          <cell r="A347">
            <v>60025</v>
          </cell>
        </row>
        <row r="348">
          <cell r="A348">
            <v>60026</v>
          </cell>
        </row>
        <row r="349">
          <cell r="A349">
            <v>60027</v>
          </cell>
        </row>
        <row r="350">
          <cell r="A350">
            <v>60028</v>
          </cell>
        </row>
        <row r="351">
          <cell r="A351">
            <v>60029</v>
          </cell>
        </row>
        <row r="352">
          <cell r="A352">
            <v>60030</v>
          </cell>
        </row>
        <row r="353">
          <cell r="A353">
            <v>65523</v>
          </cell>
        </row>
        <row r="354">
          <cell r="A354">
            <v>65524</v>
          </cell>
        </row>
        <row r="355">
          <cell r="A355">
            <v>65525</v>
          </cell>
        </row>
        <row r="356">
          <cell r="A356">
            <v>65526</v>
          </cell>
        </row>
        <row r="357">
          <cell r="A357">
            <v>65527</v>
          </cell>
        </row>
        <row r="358">
          <cell r="A358">
            <v>65528</v>
          </cell>
        </row>
        <row r="359">
          <cell r="A359">
            <v>65529</v>
          </cell>
        </row>
        <row r="360">
          <cell r="A360">
            <v>65530</v>
          </cell>
        </row>
        <row r="361">
          <cell r="A361">
            <v>65531</v>
          </cell>
        </row>
        <row r="362">
          <cell r="A362">
            <v>65532</v>
          </cell>
        </row>
        <row r="363">
          <cell r="A363">
            <v>65533</v>
          </cell>
        </row>
        <row r="364">
          <cell r="A364">
            <v>65534</v>
          </cell>
        </row>
        <row r="365">
          <cell r="A365">
            <v>65535</v>
          </cell>
        </row>
        <row r="366">
          <cell r="A366">
            <v>60021</v>
          </cell>
        </row>
        <row r="367">
          <cell r="A367">
            <v>60022</v>
          </cell>
        </row>
        <row r="368">
          <cell r="A368">
            <v>60023</v>
          </cell>
        </row>
        <row r="369">
          <cell r="A369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40001_1</v>
          </cell>
        </row>
        <row r="726">
          <cell r="A726" t="str">
            <v>40002_1</v>
          </cell>
        </row>
        <row r="727">
          <cell r="A727" t="str">
            <v>40002_2</v>
          </cell>
        </row>
        <row r="728">
          <cell r="A728" t="str">
            <v>40002_3</v>
          </cell>
        </row>
        <row r="729">
          <cell r="A729" t="str">
            <v>40003_1</v>
          </cell>
        </row>
        <row r="730">
          <cell r="A730" t="str">
            <v>40004_1</v>
          </cell>
        </row>
        <row r="731">
          <cell r="A731" t="str">
            <v>40005_1</v>
          </cell>
        </row>
        <row r="732">
          <cell r="A732" t="str">
            <v>40006_1</v>
          </cell>
        </row>
        <row r="733">
          <cell r="A733" t="str">
            <v>40007_1</v>
          </cell>
        </row>
        <row r="734">
          <cell r="A734" t="str">
            <v>40008_1</v>
          </cell>
        </row>
        <row r="735">
          <cell r="A735" t="str">
            <v>40009_1</v>
          </cell>
        </row>
        <row r="736">
          <cell r="A736" t="str">
            <v>40010_1</v>
          </cell>
        </row>
        <row r="737">
          <cell r="A737" t="str">
            <v>40011_1</v>
          </cell>
        </row>
        <row r="738">
          <cell r="A738" t="str">
            <v>40012_1</v>
          </cell>
        </row>
        <row r="739">
          <cell r="A739" t="str">
            <v>40013_1</v>
          </cell>
        </row>
        <row r="740">
          <cell r="A740" t="str">
            <v>40014_1</v>
          </cell>
        </row>
        <row r="741">
          <cell r="A741" t="str">
            <v>40015_1</v>
          </cell>
        </row>
        <row r="742">
          <cell r="A742" t="str">
            <v>40016_1</v>
          </cell>
        </row>
        <row r="743">
          <cell r="A743" t="str">
            <v>40016_2</v>
          </cell>
        </row>
        <row r="744">
          <cell r="A744" t="str">
            <v>40017_1</v>
          </cell>
        </row>
        <row r="745">
          <cell r="A745" t="str">
            <v>40017_2</v>
          </cell>
        </row>
        <row r="746">
          <cell r="A746" t="str">
            <v>40017_3</v>
          </cell>
        </row>
        <row r="747">
          <cell r="A747" t="str">
            <v>40018_1</v>
          </cell>
        </row>
        <row r="748">
          <cell r="A748" t="str">
            <v>40018_2</v>
          </cell>
        </row>
        <row r="749">
          <cell r="A749" t="str">
            <v>40018_3</v>
          </cell>
        </row>
        <row r="750">
          <cell r="A750" t="str">
            <v>40019_1</v>
          </cell>
        </row>
        <row r="751">
          <cell r="A751" t="str">
            <v>40019_2</v>
          </cell>
        </row>
        <row r="752">
          <cell r="A752" t="str">
            <v>40019_3</v>
          </cell>
        </row>
        <row r="753">
          <cell r="A753" t="str">
            <v>40021_1</v>
          </cell>
        </row>
        <row r="754">
          <cell r="A754" t="str">
            <v>40021_2</v>
          </cell>
        </row>
        <row r="755">
          <cell r="A755" t="str">
            <v>40022_1</v>
          </cell>
        </row>
        <row r="756">
          <cell r="A756" t="str">
            <v>40022_2</v>
          </cell>
        </row>
        <row r="757">
          <cell r="A757" t="str">
            <v>40023_1</v>
          </cell>
        </row>
        <row r="758">
          <cell r="A758" t="str">
            <v>40023_2</v>
          </cell>
        </row>
        <row r="759">
          <cell r="A759" t="str">
            <v>40024_1</v>
          </cell>
        </row>
        <row r="760">
          <cell r="A760" t="str">
            <v>40024_2</v>
          </cell>
        </row>
        <row r="761">
          <cell r="A761" t="str">
            <v>40025_1</v>
          </cell>
        </row>
        <row r="762">
          <cell r="A762" t="str">
            <v>40025_2</v>
          </cell>
        </row>
        <row r="763">
          <cell r="A763" t="str">
            <v>40026_1</v>
          </cell>
        </row>
        <row r="764">
          <cell r="A764" t="str">
            <v>40026_2</v>
          </cell>
        </row>
        <row r="765">
          <cell r="A765" t="str">
            <v>40027_1</v>
          </cell>
        </row>
        <row r="766">
          <cell r="A766" t="str">
            <v>40027_2</v>
          </cell>
        </row>
        <row r="767">
          <cell r="A767" t="str">
            <v>40028_1</v>
          </cell>
        </row>
        <row r="768">
          <cell r="A768" t="str">
            <v>40028_2</v>
          </cell>
        </row>
        <row r="769">
          <cell r="A769" t="str">
            <v>40029_1</v>
          </cell>
        </row>
        <row r="770">
          <cell r="A770" t="str">
            <v>40029_2</v>
          </cell>
        </row>
        <row r="771">
          <cell r="A771" t="str">
            <v>40030_1</v>
          </cell>
        </row>
        <row r="772">
          <cell r="A772" t="str">
            <v>40030_2</v>
          </cell>
        </row>
        <row r="773">
          <cell r="A773" t="str">
            <v>40031_1</v>
          </cell>
        </row>
        <row r="774">
          <cell r="A774" t="str">
            <v>40031_2</v>
          </cell>
        </row>
        <row r="775">
          <cell r="A775" t="str">
            <v>40032_1</v>
          </cell>
        </row>
        <row r="776">
          <cell r="A776" t="str">
            <v>40032_2</v>
          </cell>
        </row>
        <row r="777">
          <cell r="A777" t="str">
            <v>40033_1</v>
          </cell>
        </row>
        <row r="778">
          <cell r="A778" t="str">
            <v>40033_2</v>
          </cell>
        </row>
        <row r="779">
          <cell r="A779" t="str">
            <v>40034_1</v>
          </cell>
        </row>
        <row r="780">
          <cell r="A780" t="str">
            <v>40034_2</v>
          </cell>
        </row>
        <row r="781">
          <cell r="A781" t="str">
            <v>40035_1</v>
          </cell>
        </row>
        <row r="782">
          <cell r="A782" t="str">
            <v>40035_2</v>
          </cell>
        </row>
        <row r="783">
          <cell r="A783" t="str">
            <v>40036_1</v>
          </cell>
        </row>
        <row r="784">
          <cell r="A784" t="str">
            <v>40036_2</v>
          </cell>
        </row>
        <row r="785">
          <cell r="A785" t="str">
            <v>40037_1</v>
          </cell>
        </row>
        <row r="786">
          <cell r="A786" t="str">
            <v>40037_2</v>
          </cell>
        </row>
        <row r="787">
          <cell r="A787" t="str">
            <v>40038_1</v>
          </cell>
        </row>
        <row r="788">
          <cell r="A788" t="str">
            <v>40038_2</v>
          </cell>
        </row>
        <row r="789">
          <cell r="A789" t="str">
            <v>40039_1</v>
          </cell>
        </row>
        <row r="790">
          <cell r="A790" t="str">
            <v>40039_2</v>
          </cell>
        </row>
        <row r="791">
          <cell r="A791" t="str">
            <v>40040_1</v>
          </cell>
        </row>
        <row r="792">
          <cell r="A792" t="str">
            <v>40040_2</v>
          </cell>
        </row>
        <row r="793">
          <cell r="A793" t="str">
            <v>40041_1</v>
          </cell>
        </row>
        <row r="794">
          <cell r="A794" t="str">
            <v>40041_2</v>
          </cell>
        </row>
        <row r="795">
          <cell r="A795" t="str">
            <v>40042_1</v>
          </cell>
        </row>
        <row r="796">
          <cell r="A796" t="str">
            <v>40042_2</v>
          </cell>
        </row>
        <row r="797">
          <cell r="A797" t="str">
            <v>40043_1</v>
          </cell>
        </row>
        <row r="798">
          <cell r="A798" t="str">
            <v>40043_2</v>
          </cell>
        </row>
        <row r="799">
          <cell r="A799" t="str">
            <v>40044_1</v>
          </cell>
        </row>
        <row r="800">
          <cell r="A800" t="str">
            <v>40044_2</v>
          </cell>
        </row>
        <row r="801">
          <cell r="A801" t="str">
            <v>40045_1</v>
          </cell>
        </row>
        <row r="802">
          <cell r="A802" t="str">
            <v>40045_2</v>
          </cell>
        </row>
        <row r="803">
          <cell r="A803" t="str">
            <v>40046_1</v>
          </cell>
        </row>
        <row r="804">
          <cell r="A804" t="str">
            <v>40046_2</v>
          </cell>
        </row>
        <row r="805">
          <cell r="A805" t="str">
            <v>41001_1</v>
          </cell>
        </row>
        <row r="806">
          <cell r="A806" t="str">
            <v>41001_2</v>
          </cell>
        </row>
        <row r="807">
          <cell r="A807" t="str">
            <v>41001_3</v>
          </cell>
        </row>
        <row r="808">
          <cell r="A808" t="str">
            <v>41002_1</v>
          </cell>
        </row>
        <row r="809">
          <cell r="A809" t="str">
            <v>41002_2</v>
          </cell>
        </row>
        <row r="810">
          <cell r="A810" t="str">
            <v>41002_3</v>
          </cell>
        </row>
        <row r="811">
          <cell r="A811" t="str">
            <v>41003_1</v>
          </cell>
        </row>
        <row r="812">
          <cell r="A812" t="str">
            <v>41003_2</v>
          </cell>
        </row>
        <row r="813">
          <cell r="A813" t="str">
            <v>41003_3</v>
          </cell>
        </row>
        <row r="814">
          <cell r="A814" t="str">
            <v>41004_1</v>
          </cell>
        </row>
        <row r="815">
          <cell r="A815" t="str">
            <v>41004_2</v>
          </cell>
        </row>
        <row r="816">
          <cell r="A816" t="str">
            <v>41004_3</v>
          </cell>
        </row>
        <row r="817">
          <cell r="A817" t="str">
            <v>41005_1</v>
          </cell>
        </row>
        <row r="818">
          <cell r="A818" t="str">
            <v>41005_2</v>
          </cell>
        </row>
        <row r="819">
          <cell r="A819" t="str">
            <v>41005_3</v>
          </cell>
        </row>
        <row r="820">
          <cell r="A820" t="str">
            <v>41006_1</v>
          </cell>
        </row>
        <row r="821">
          <cell r="A821" t="str">
            <v>41006_2</v>
          </cell>
        </row>
        <row r="822">
          <cell r="A822" t="str">
            <v>41006_3</v>
          </cell>
        </row>
        <row r="823">
          <cell r="A823" t="str">
            <v>41007_1</v>
          </cell>
        </row>
        <row r="824">
          <cell r="A824" t="str">
            <v>41007_2</v>
          </cell>
        </row>
        <row r="825">
          <cell r="A825" t="str">
            <v>41007_3</v>
          </cell>
        </row>
        <row r="826">
          <cell r="A826" t="str">
            <v>41008_1</v>
          </cell>
        </row>
        <row r="827">
          <cell r="A827" t="str">
            <v>41008_2</v>
          </cell>
        </row>
        <row r="828">
          <cell r="A828" t="str">
            <v>41008_3</v>
          </cell>
        </row>
        <row r="829">
          <cell r="A829" t="str">
            <v>41009_1</v>
          </cell>
        </row>
        <row r="830">
          <cell r="A830" t="str">
            <v>41009_2</v>
          </cell>
        </row>
        <row r="831">
          <cell r="A831" t="str">
            <v>41009_3</v>
          </cell>
        </row>
        <row r="832">
          <cell r="A832" t="str">
            <v>41010_1</v>
          </cell>
        </row>
        <row r="833">
          <cell r="A833" t="str">
            <v>41010_2</v>
          </cell>
        </row>
        <row r="834">
          <cell r="A834" t="str">
            <v>41010_3</v>
          </cell>
        </row>
        <row r="835">
          <cell r="A835" t="str">
            <v>41011_1</v>
          </cell>
        </row>
        <row r="836">
          <cell r="A836" t="str">
            <v>41011_2</v>
          </cell>
        </row>
        <row r="837">
          <cell r="A837" t="str">
            <v>41012_1</v>
          </cell>
        </row>
        <row r="838">
          <cell r="A838" t="str">
            <v>41012_2</v>
          </cell>
        </row>
        <row r="839">
          <cell r="A839" t="str">
            <v>41013_1</v>
          </cell>
        </row>
        <row r="840">
          <cell r="A840" t="str">
            <v>41013_2</v>
          </cell>
        </row>
        <row r="841">
          <cell r="A841" t="str">
            <v>41014_1</v>
          </cell>
        </row>
        <row r="842">
          <cell r="A842" t="str">
            <v>41014_2</v>
          </cell>
        </row>
        <row r="843">
          <cell r="A843" t="str">
            <v>41015_1</v>
          </cell>
        </row>
        <row r="844">
          <cell r="A844" t="str">
            <v>41015_2</v>
          </cell>
        </row>
        <row r="845">
          <cell r="A845" t="str">
            <v>47001_1</v>
          </cell>
        </row>
        <row r="846">
          <cell r="A846" t="str">
            <v>47001_2</v>
          </cell>
        </row>
        <row r="847">
          <cell r="A847" t="str">
            <v>47002_1</v>
          </cell>
        </row>
        <row r="848">
          <cell r="A848" t="str">
            <v>47002_2</v>
          </cell>
        </row>
        <row r="849">
          <cell r="A849" t="str">
            <v>47003_1</v>
          </cell>
        </row>
        <row r="850">
          <cell r="A850" t="str">
            <v>47003_2</v>
          </cell>
        </row>
        <row r="851">
          <cell r="A851" t="str">
            <v>47003_3</v>
          </cell>
        </row>
        <row r="852">
          <cell r="A852" t="str">
            <v>47003_4</v>
          </cell>
        </row>
        <row r="853">
          <cell r="A853" t="str">
            <v>47004_1</v>
          </cell>
        </row>
        <row r="854">
          <cell r="A854" t="str">
            <v>47004_2</v>
          </cell>
        </row>
        <row r="855">
          <cell r="A855" t="str">
            <v>47004_3</v>
          </cell>
        </row>
        <row r="856">
          <cell r="A856" t="str">
            <v>47004_4</v>
          </cell>
        </row>
        <row r="857">
          <cell r="A857" t="str">
            <v>47005_1</v>
          </cell>
        </row>
        <row r="858">
          <cell r="A858" t="str">
            <v>47006_1</v>
          </cell>
        </row>
        <row r="859">
          <cell r="A859" t="str">
            <v>47006_2</v>
          </cell>
        </row>
        <row r="860">
          <cell r="A860" t="str">
            <v>47007_1</v>
          </cell>
        </row>
        <row r="861">
          <cell r="A861" t="str">
            <v>47007_2</v>
          </cell>
        </row>
        <row r="862">
          <cell r="A862" t="str">
            <v>47008_1</v>
          </cell>
        </row>
        <row r="863">
          <cell r="A863" t="str">
            <v>47008_2</v>
          </cell>
        </row>
        <row r="864">
          <cell r="A864" t="str">
            <v>47009_1</v>
          </cell>
        </row>
        <row r="865">
          <cell r="A865" t="str">
            <v>47009_2</v>
          </cell>
        </row>
        <row r="866">
          <cell r="A866" t="str">
            <v>47010_1</v>
          </cell>
        </row>
        <row r="867">
          <cell r="A867" t="str">
            <v>47010_2</v>
          </cell>
        </row>
        <row r="868">
          <cell r="A868" t="str">
            <v>47011_1</v>
          </cell>
        </row>
        <row r="869">
          <cell r="A869" t="str">
            <v>47012_1</v>
          </cell>
        </row>
        <row r="870">
          <cell r="A870" t="str">
            <v>47012_2</v>
          </cell>
        </row>
        <row r="871">
          <cell r="A871" t="str">
            <v>47013_1</v>
          </cell>
        </row>
        <row r="872">
          <cell r="A872" t="str">
            <v>47013_2</v>
          </cell>
        </row>
        <row r="873">
          <cell r="A873" t="str">
            <v>48001_1</v>
          </cell>
        </row>
        <row r="874">
          <cell r="A874" t="str">
            <v>48002_1</v>
          </cell>
        </row>
        <row r="875">
          <cell r="A875" t="str">
            <v>48002_2</v>
          </cell>
        </row>
        <row r="876">
          <cell r="A876" t="str">
            <v>48002_3</v>
          </cell>
        </row>
        <row r="877">
          <cell r="A877" t="str">
            <v>48003_1</v>
          </cell>
        </row>
        <row r="878">
          <cell r="A878" t="str">
            <v>48003_2</v>
          </cell>
        </row>
        <row r="879">
          <cell r="A879" t="str">
            <v>48004_1</v>
          </cell>
        </row>
        <row r="880">
          <cell r="A880" t="str">
            <v>48004_2</v>
          </cell>
        </row>
        <row r="881">
          <cell r="A881" t="str">
            <v>48005_1</v>
          </cell>
        </row>
        <row r="882">
          <cell r="A882" t="str">
            <v>48005_2</v>
          </cell>
        </row>
        <row r="883">
          <cell r="A883" t="str">
            <v>48006_1</v>
          </cell>
        </row>
        <row r="884">
          <cell r="A884" t="str">
            <v>48006_2</v>
          </cell>
        </row>
        <row r="885">
          <cell r="A885" t="str">
            <v>48007_1</v>
          </cell>
        </row>
        <row r="886">
          <cell r="A886" t="str">
            <v>48007_2</v>
          </cell>
        </row>
        <row r="887">
          <cell r="A887" t="str">
            <v>48008_1</v>
          </cell>
        </row>
        <row r="888">
          <cell r="A888" t="str">
            <v>48008_2</v>
          </cell>
        </row>
        <row r="889">
          <cell r="A889" t="str">
            <v>48009_1</v>
          </cell>
        </row>
        <row r="890">
          <cell r="A890" t="str">
            <v>48009_2</v>
          </cell>
        </row>
        <row r="891">
          <cell r="A891" t="str">
            <v>48010_1</v>
          </cell>
        </row>
        <row r="892">
          <cell r="A892" t="str">
            <v>48011_1</v>
          </cell>
        </row>
        <row r="893">
          <cell r="A893" t="str">
            <v>48011_2</v>
          </cell>
        </row>
        <row r="894">
          <cell r="A894" t="str">
            <v>48012_1</v>
          </cell>
        </row>
        <row r="895">
          <cell r="A895" t="str">
            <v>48012_2</v>
          </cell>
        </row>
        <row r="896">
          <cell r="A896" t="str">
            <v>48013_1</v>
          </cell>
        </row>
        <row r="897">
          <cell r="A897" t="str">
            <v>48013_2</v>
          </cell>
        </row>
        <row r="898">
          <cell r="A898" t="str">
            <v>48014_1</v>
          </cell>
        </row>
        <row r="899">
          <cell r="A899" t="str">
            <v>48014_2</v>
          </cell>
        </row>
        <row r="900">
          <cell r="A900" t="str">
            <v>48501_1</v>
          </cell>
        </row>
        <row r="901">
          <cell r="A901" t="str">
            <v>48501_2</v>
          </cell>
        </row>
        <row r="902">
          <cell r="A902" t="str">
            <v>48502_1</v>
          </cell>
        </row>
        <row r="903">
          <cell r="A903" t="str">
            <v>48502_2</v>
          </cell>
        </row>
        <row r="904">
          <cell r="A904" t="str">
            <v>48503_1</v>
          </cell>
        </row>
        <row r="905">
          <cell r="A905" t="str">
            <v>48503_2</v>
          </cell>
        </row>
        <row r="906">
          <cell r="A906" t="str">
            <v>48701_1</v>
          </cell>
        </row>
        <row r="907">
          <cell r="A907" t="str">
            <v>48701_2</v>
          </cell>
        </row>
        <row r="908">
          <cell r="A908" t="str">
            <v>48702_1</v>
          </cell>
        </row>
        <row r="909">
          <cell r="A909" t="str">
            <v>48702_2</v>
          </cell>
        </row>
        <row r="910">
          <cell r="A910" t="str">
            <v>49001_1</v>
          </cell>
        </row>
        <row r="911">
          <cell r="A911" t="str">
            <v>49002_1</v>
          </cell>
        </row>
        <row r="912">
          <cell r="A912" t="str">
            <v>49002_2</v>
          </cell>
        </row>
        <row r="913">
          <cell r="A913" t="str">
            <v>49003_1</v>
          </cell>
        </row>
        <row r="914">
          <cell r="A914" t="str">
            <v>49003_2</v>
          </cell>
        </row>
        <row r="915">
          <cell r="A915" t="str">
            <v>49004_1</v>
          </cell>
        </row>
        <row r="916">
          <cell r="A916" t="str">
            <v>49004_2</v>
          </cell>
        </row>
        <row r="917">
          <cell r="A917" t="str">
            <v>49004_3</v>
          </cell>
        </row>
        <row r="918">
          <cell r="A918" t="str">
            <v>49005_1</v>
          </cell>
        </row>
        <row r="919">
          <cell r="A919" t="str">
            <v>49006_1</v>
          </cell>
        </row>
        <row r="920">
          <cell r="A920" t="str">
            <v>49006_2</v>
          </cell>
        </row>
        <row r="921">
          <cell r="A921" t="str">
            <v>49007_1</v>
          </cell>
        </row>
        <row r="922">
          <cell r="A922" t="str">
            <v>49007_2</v>
          </cell>
        </row>
        <row r="923">
          <cell r="A923" t="str">
            <v>49007_3</v>
          </cell>
        </row>
        <row r="924">
          <cell r="A924" t="str">
            <v>49008_1</v>
          </cell>
        </row>
        <row r="925">
          <cell r="A925" t="str">
            <v>49009_1</v>
          </cell>
        </row>
        <row r="926">
          <cell r="A926" t="str">
            <v>49010_1</v>
          </cell>
        </row>
        <row r="927">
          <cell r="A927" t="str">
            <v>49011_1</v>
          </cell>
        </row>
        <row r="928">
          <cell r="A928" t="str">
            <v>49012_1</v>
          </cell>
        </row>
        <row r="929">
          <cell r="A929" t="str">
            <v>49013_1</v>
          </cell>
        </row>
        <row r="930">
          <cell r="A930" t="str">
            <v>49014_1</v>
          </cell>
        </row>
        <row r="931">
          <cell r="A931" t="str">
            <v>49014_2</v>
          </cell>
        </row>
        <row r="932">
          <cell r="A932" t="str">
            <v>49015_1</v>
          </cell>
        </row>
        <row r="933">
          <cell r="A933" t="str">
            <v>49015_2</v>
          </cell>
        </row>
        <row r="934">
          <cell r="A934" t="str">
            <v>49015_3</v>
          </cell>
        </row>
        <row r="935">
          <cell r="A935" t="str">
            <v>49016_1</v>
          </cell>
        </row>
        <row r="936">
          <cell r="A936" t="str">
            <v>49016_2</v>
          </cell>
        </row>
        <row r="937">
          <cell r="A937" t="str">
            <v>50001_1</v>
          </cell>
        </row>
        <row r="938">
          <cell r="A938" t="str">
            <v>50002_1</v>
          </cell>
        </row>
        <row r="939">
          <cell r="A939" t="str">
            <v>50003_1</v>
          </cell>
        </row>
        <row r="940">
          <cell r="A940" t="str">
            <v>50004_1</v>
          </cell>
        </row>
        <row r="941">
          <cell r="A941" t="str">
            <v>50005_1</v>
          </cell>
        </row>
        <row r="942">
          <cell r="A942" t="str">
            <v>50006_1</v>
          </cell>
        </row>
        <row r="943">
          <cell r="A943" t="str">
            <v>50007_1</v>
          </cell>
        </row>
        <row r="944">
          <cell r="A944" t="str">
            <v>50008_1</v>
          </cell>
        </row>
        <row r="945">
          <cell r="A945" t="str">
            <v>50009_1</v>
          </cell>
        </row>
        <row r="946">
          <cell r="A946" t="str">
            <v>50010_1</v>
          </cell>
        </row>
        <row r="947">
          <cell r="A947" t="str">
            <v>50011_1</v>
          </cell>
        </row>
        <row r="948">
          <cell r="A948" t="str">
            <v>50012_1</v>
          </cell>
        </row>
        <row r="949">
          <cell r="A949" t="str">
            <v>50013_1</v>
          </cell>
        </row>
        <row r="950">
          <cell r="A950" t="str">
            <v>50014_1</v>
          </cell>
        </row>
        <row r="951">
          <cell r="A951" t="str">
            <v>50015_1</v>
          </cell>
        </row>
        <row r="952">
          <cell r="A952" t="str">
            <v>50016_1</v>
          </cell>
        </row>
        <row r="953">
          <cell r="A953" t="str">
            <v>51001_1</v>
          </cell>
        </row>
        <row r="954">
          <cell r="A954" t="str">
            <v>51002_1</v>
          </cell>
        </row>
        <row r="955">
          <cell r="A955" t="str">
            <v>58001_1</v>
          </cell>
        </row>
        <row r="956">
          <cell r="A956" t="str">
            <v>58002_1</v>
          </cell>
        </row>
        <row r="957">
          <cell r="A957" t="str">
            <v>59001_1</v>
          </cell>
        </row>
        <row r="958">
          <cell r="A958" t="str">
            <v>59002_1</v>
          </cell>
        </row>
        <row r="959">
          <cell r="A959" t="str">
            <v>59003_1</v>
          </cell>
        </row>
        <row r="960">
          <cell r="A960" t="str">
            <v>59003_2</v>
          </cell>
        </row>
        <row r="961">
          <cell r="A961" t="str">
            <v>60001_1</v>
          </cell>
        </row>
        <row r="962">
          <cell r="A962" t="str">
            <v>60002_1</v>
          </cell>
        </row>
        <row r="963">
          <cell r="A963" t="str">
            <v>60002_2</v>
          </cell>
        </row>
        <row r="964">
          <cell r="A964" t="str">
            <v>60003_1</v>
          </cell>
        </row>
        <row r="965">
          <cell r="A965" t="str">
            <v>60003_2</v>
          </cell>
        </row>
        <row r="966">
          <cell r="A966" t="str">
            <v>60003_3</v>
          </cell>
        </row>
        <row r="967">
          <cell r="A967" t="str">
            <v>60004_1</v>
          </cell>
        </row>
        <row r="968">
          <cell r="A968" t="str">
            <v>60005_1</v>
          </cell>
        </row>
        <row r="969">
          <cell r="A969" t="str">
            <v>60006_1</v>
          </cell>
        </row>
        <row r="970">
          <cell r="A970" t="str">
            <v>60006_2</v>
          </cell>
        </row>
        <row r="971">
          <cell r="A971" t="str">
            <v>60006_3</v>
          </cell>
        </row>
        <row r="972">
          <cell r="A972" t="str">
            <v>60007_1</v>
          </cell>
        </row>
        <row r="973">
          <cell r="A973" t="str">
            <v>60007_2</v>
          </cell>
        </row>
        <row r="974">
          <cell r="A974" t="str">
            <v>60007_3</v>
          </cell>
        </row>
        <row r="975">
          <cell r="A975" t="str">
            <v>60010_1</v>
          </cell>
        </row>
        <row r="976">
          <cell r="A976" t="str">
            <v>60011_1</v>
          </cell>
        </row>
        <row r="977">
          <cell r="A977" t="str">
            <v>60011_2</v>
          </cell>
        </row>
        <row r="978">
          <cell r="A978" t="str">
            <v>60012_1</v>
          </cell>
        </row>
        <row r="979">
          <cell r="A979" t="str">
            <v>60013_1</v>
          </cell>
        </row>
        <row r="980">
          <cell r="A980" t="str">
            <v>60013_2</v>
          </cell>
        </row>
        <row r="981">
          <cell r="A981" t="str">
            <v>60013_3</v>
          </cell>
        </row>
        <row r="982">
          <cell r="A982" t="str">
            <v>60014_1</v>
          </cell>
        </row>
        <row r="983">
          <cell r="A983" t="str">
            <v>60015_1</v>
          </cell>
        </row>
        <row r="984">
          <cell r="A984" t="str">
            <v>60016_1</v>
          </cell>
        </row>
        <row r="985">
          <cell r="A985" t="str">
            <v>60017_1</v>
          </cell>
        </row>
        <row r="986">
          <cell r="A986" t="str">
            <v>60018_1</v>
          </cell>
        </row>
        <row r="987">
          <cell r="A987" t="str">
            <v>60019_1</v>
          </cell>
        </row>
        <row r="988">
          <cell r="A988" t="str">
            <v>60020_1</v>
          </cell>
        </row>
        <row r="989">
          <cell r="A989" t="str">
            <v>60021_3</v>
          </cell>
        </row>
        <row r="990">
          <cell r="A990" t="str">
            <v>60022_3</v>
          </cell>
        </row>
        <row r="991">
          <cell r="A991" t="str">
            <v>60023_3</v>
          </cell>
        </row>
        <row r="992">
          <cell r="A992" t="str">
            <v>60024_3</v>
          </cell>
        </row>
        <row r="993">
          <cell r="A993" t="str">
            <v>60025_1</v>
          </cell>
        </row>
        <row r="994">
          <cell r="A994" t="str">
            <v>60026_1</v>
          </cell>
        </row>
        <row r="995">
          <cell r="A995" t="str">
            <v>61011_1</v>
          </cell>
        </row>
        <row r="996">
          <cell r="A996" t="str">
            <v>60027_1</v>
          </cell>
        </row>
        <row r="997">
          <cell r="A997" t="str">
            <v>60028_1</v>
          </cell>
        </row>
        <row r="998">
          <cell r="A998" t="str">
            <v>60029_1</v>
          </cell>
        </row>
        <row r="999">
          <cell r="A999" t="str">
            <v>60030_1</v>
          </cell>
        </row>
        <row r="1000">
          <cell r="A1000" t="str">
            <v>65523_1</v>
          </cell>
        </row>
        <row r="1001">
          <cell r="A1001" t="str">
            <v>65523_2</v>
          </cell>
        </row>
        <row r="1002">
          <cell r="A1002" t="str">
            <v>65523_3</v>
          </cell>
        </row>
        <row r="1003">
          <cell r="A1003" t="str">
            <v>65524_1</v>
          </cell>
        </row>
        <row r="1004">
          <cell r="A1004" t="str">
            <v>65524_2</v>
          </cell>
        </row>
        <row r="1005">
          <cell r="A1005" t="str">
            <v>65525_1</v>
          </cell>
        </row>
        <row r="1006">
          <cell r="A1006" t="str">
            <v>65526_1</v>
          </cell>
        </row>
        <row r="1007">
          <cell r="A1007" t="str">
            <v>65526_2</v>
          </cell>
        </row>
        <row r="1008">
          <cell r="A1008" t="str">
            <v>65527_1</v>
          </cell>
        </row>
        <row r="1009">
          <cell r="A1009" t="str">
            <v>65528_1</v>
          </cell>
        </row>
        <row r="1010">
          <cell r="A1010" t="str">
            <v>65529_1</v>
          </cell>
        </row>
        <row r="1011">
          <cell r="A1011" t="str">
            <v>65530_1</v>
          </cell>
        </row>
        <row r="1012">
          <cell r="A1012" t="str">
            <v>65531_1</v>
          </cell>
        </row>
        <row r="1013">
          <cell r="A1013" t="str">
            <v>65531_2</v>
          </cell>
        </row>
        <row r="1014">
          <cell r="A1014" t="str">
            <v>65532_1</v>
          </cell>
        </row>
        <row r="1015">
          <cell r="A1015" t="str">
            <v>65532_2</v>
          </cell>
        </row>
        <row r="1016">
          <cell r="A1016" t="str">
            <v>65533_1</v>
          </cell>
        </row>
        <row r="1017">
          <cell r="A1017" t="str">
            <v>65533_2</v>
          </cell>
        </row>
        <row r="1018">
          <cell r="A1018" t="str">
            <v>65534_1</v>
          </cell>
        </row>
        <row r="1019">
          <cell r="A1019" t="str">
            <v>65534_2</v>
          </cell>
        </row>
        <row r="1020">
          <cell r="A1020" t="str">
            <v>65535_1</v>
          </cell>
        </row>
        <row r="1021">
          <cell r="A1021" t="str">
            <v>65535_2</v>
          </cell>
        </row>
        <row r="1022">
          <cell r="A1022" t="str">
            <v>65535_3</v>
          </cell>
        </row>
        <row r="1023">
          <cell r="A1023" t="str">
            <v>65535_4</v>
          </cell>
        </row>
        <row r="1024">
          <cell r="A1024" t="str">
            <v>65535_5</v>
          </cell>
        </row>
        <row r="1025">
          <cell r="A1025" t="str">
            <v>65535_6</v>
          </cell>
        </row>
        <row r="1026">
          <cell r="A1026" t="str">
            <v>65535_7</v>
          </cell>
        </row>
        <row r="1027">
          <cell r="A1027" t="str">
            <v>65535_8</v>
          </cell>
        </row>
        <row r="1028">
          <cell r="A1028" t="str">
            <v>65535_9</v>
          </cell>
        </row>
        <row r="1029">
          <cell r="A1029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1407</v>
          </cell>
        </row>
        <row r="1343">
          <cell r="A1343">
            <v>1408</v>
          </cell>
        </row>
        <row r="1344">
          <cell r="A1344">
            <v>1409</v>
          </cell>
        </row>
        <row r="1345">
          <cell r="A1345">
            <v>1410</v>
          </cell>
        </row>
        <row r="1346">
          <cell r="A1346">
            <v>1431</v>
          </cell>
        </row>
        <row r="1347">
          <cell r="A1347">
            <v>1432</v>
          </cell>
        </row>
        <row r="1348">
          <cell r="A1348">
            <v>1436</v>
          </cell>
        </row>
        <row r="1349">
          <cell r="A1349">
            <v>1437</v>
          </cell>
        </row>
        <row r="1350">
          <cell r="A1350">
            <v>1438</v>
          </cell>
        </row>
        <row r="1351">
          <cell r="A1351">
            <v>1439</v>
          </cell>
        </row>
        <row r="1352">
          <cell r="A1352">
            <v>1440</v>
          </cell>
        </row>
        <row r="1353">
          <cell r="A1353">
            <v>1441</v>
          </cell>
        </row>
        <row r="1354">
          <cell r="A1354">
            <v>1442</v>
          </cell>
        </row>
        <row r="1355">
          <cell r="A1355">
            <v>1443</v>
          </cell>
        </row>
        <row r="1356">
          <cell r="A1356">
            <v>1444</v>
          </cell>
        </row>
        <row r="1357">
          <cell r="A1357">
            <v>1445</v>
          </cell>
        </row>
        <row r="1358">
          <cell r="A1358">
            <v>1446</v>
          </cell>
        </row>
        <row r="1359">
          <cell r="A1359">
            <v>1447</v>
          </cell>
        </row>
        <row r="1360">
          <cell r="A1360">
            <v>1448</v>
          </cell>
        </row>
        <row r="1361">
          <cell r="A1361">
            <v>1449</v>
          </cell>
        </row>
        <row r="1362">
          <cell r="A1362">
            <v>1450</v>
          </cell>
        </row>
        <row r="1363">
          <cell r="A1363">
            <v>1451</v>
          </cell>
        </row>
        <row r="1364">
          <cell r="A1364">
            <v>1466</v>
          </cell>
        </row>
        <row r="1365">
          <cell r="A1365">
            <v>1467</v>
          </cell>
        </row>
        <row r="1366">
          <cell r="A1366">
            <v>1468</v>
          </cell>
        </row>
        <row r="1367">
          <cell r="A1367">
            <v>1469</v>
          </cell>
        </row>
        <row r="1368">
          <cell r="A1368">
            <v>1470</v>
          </cell>
        </row>
        <row r="1369">
          <cell r="A1369">
            <v>1471</v>
          </cell>
        </row>
        <row r="1370">
          <cell r="A1370">
            <v>1495</v>
          </cell>
        </row>
        <row r="1371">
          <cell r="A1371">
            <v>1496</v>
          </cell>
        </row>
        <row r="1372">
          <cell r="A1372">
            <v>1497</v>
          </cell>
        </row>
        <row r="1373">
          <cell r="A1373">
            <v>1498</v>
          </cell>
        </row>
        <row r="1374">
          <cell r="A1374">
            <v>1499</v>
          </cell>
        </row>
        <row r="1375">
          <cell r="A1375">
            <v>1500</v>
          </cell>
        </row>
        <row r="1376">
          <cell r="A1376">
            <v>1501</v>
          </cell>
        </row>
        <row r="1377">
          <cell r="A1377">
            <v>1502</v>
          </cell>
        </row>
        <row r="1378">
          <cell r="A1378">
            <v>1503</v>
          </cell>
        </row>
        <row r="1379">
          <cell r="A1379">
            <v>1504</v>
          </cell>
        </row>
        <row r="1380">
          <cell r="A1380">
            <v>1505</v>
          </cell>
        </row>
        <row r="1381">
          <cell r="A1381">
            <v>1506</v>
          </cell>
        </row>
        <row r="1382">
          <cell r="A1382">
            <v>1507</v>
          </cell>
        </row>
        <row r="1383">
          <cell r="A1383">
            <v>1508</v>
          </cell>
        </row>
        <row r="1384">
          <cell r="A1384">
            <v>1509</v>
          </cell>
        </row>
        <row r="1385">
          <cell r="A1385">
            <v>1510</v>
          </cell>
        </row>
        <row r="1386">
          <cell r="A1386">
            <v>1511</v>
          </cell>
        </row>
        <row r="1387">
          <cell r="A1387">
            <v>1512</v>
          </cell>
        </row>
        <row r="1388">
          <cell r="A1388">
            <v>1523</v>
          </cell>
        </row>
        <row r="1389">
          <cell r="A1389">
            <v>1524</v>
          </cell>
        </row>
        <row r="1390">
          <cell r="A1390">
            <v>1525</v>
          </cell>
        </row>
        <row r="1391">
          <cell r="A1391">
            <v>1526</v>
          </cell>
        </row>
        <row r="1392">
          <cell r="A1392">
            <v>1551</v>
          </cell>
        </row>
        <row r="1393">
          <cell r="A1393">
            <v>1552</v>
          </cell>
        </row>
        <row r="1394">
          <cell r="A1394">
            <v>1553</v>
          </cell>
        </row>
        <row r="1395">
          <cell r="A1395">
            <v>1554</v>
          </cell>
        </row>
        <row r="1396">
          <cell r="A1396">
            <v>1555</v>
          </cell>
        </row>
        <row r="1397">
          <cell r="A1397">
            <v>1556</v>
          </cell>
        </row>
        <row r="1398">
          <cell r="A1398">
            <v>1557</v>
          </cell>
        </row>
        <row r="1399">
          <cell r="A1399">
            <v>1558</v>
          </cell>
        </row>
        <row r="1400">
          <cell r="A1400">
            <v>1559</v>
          </cell>
        </row>
        <row r="1401">
          <cell r="A1401">
            <v>1560</v>
          </cell>
        </row>
        <row r="1402">
          <cell r="A1402">
            <v>1561</v>
          </cell>
        </row>
        <row r="1403">
          <cell r="A1403">
            <v>1562</v>
          </cell>
        </row>
        <row r="1404">
          <cell r="A1404">
            <v>1563</v>
          </cell>
        </row>
        <row r="1405">
          <cell r="A1405">
            <v>1564</v>
          </cell>
        </row>
        <row r="1406">
          <cell r="A1406">
            <v>1565</v>
          </cell>
        </row>
        <row r="1407">
          <cell r="A1407">
            <v>1566</v>
          </cell>
        </row>
        <row r="1408">
          <cell r="A1408">
            <v>1567</v>
          </cell>
        </row>
        <row r="1409">
          <cell r="A1409">
            <v>1568</v>
          </cell>
        </row>
        <row r="1410">
          <cell r="A1410">
            <v>1569</v>
          </cell>
        </row>
        <row r="1411">
          <cell r="A1411">
            <v>1570</v>
          </cell>
        </row>
        <row r="1412">
          <cell r="A1412">
            <v>1571</v>
          </cell>
        </row>
        <row r="1413">
          <cell r="A1413">
            <v>1572</v>
          </cell>
        </row>
        <row r="1414">
          <cell r="A1414">
            <v>1573</v>
          </cell>
        </row>
        <row r="1415">
          <cell r="A1415">
            <v>1574</v>
          </cell>
        </row>
        <row r="1416">
          <cell r="A1416">
            <v>1575</v>
          </cell>
        </row>
        <row r="1417">
          <cell r="A1417">
            <v>1576</v>
          </cell>
        </row>
        <row r="1418">
          <cell r="A1418">
            <v>1577</v>
          </cell>
        </row>
        <row r="1419">
          <cell r="A1419">
            <v>1578</v>
          </cell>
        </row>
        <row r="1420">
          <cell r="A1420">
            <v>1579</v>
          </cell>
        </row>
        <row r="1421">
          <cell r="A1421">
            <v>1580</v>
          </cell>
        </row>
        <row r="1422">
          <cell r="A1422">
            <v>1581</v>
          </cell>
        </row>
        <row r="1423">
          <cell r="A1423">
            <v>1582</v>
          </cell>
        </row>
        <row r="1424">
          <cell r="A1424">
            <v>1583</v>
          </cell>
        </row>
        <row r="1425">
          <cell r="A1425">
            <v>1584</v>
          </cell>
        </row>
        <row r="1426">
          <cell r="A1426">
            <v>1585</v>
          </cell>
        </row>
        <row r="1427">
          <cell r="A1427">
            <v>1586</v>
          </cell>
        </row>
        <row r="1428">
          <cell r="A1428">
            <v>1587</v>
          </cell>
        </row>
        <row r="1429">
          <cell r="A1429">
            <v>1588</v>
          </cell>
        </row>
        <row r="1430">
          <cell r="A1430">
            <v>5001</v>
          </cell>
        </row>
        <row r="1431">
          <cell r="A1431">
            <v>5002</v>
          </cell>
        </row>
        <row r="1432">
          <cell r="A1432">
            <v>5003</v>
          </cell>
        </row>
        <row r="1433">
          <cell r="A1433">
            <v>5004</v>
          </cell>
        </row>
        <row r="1434">
          <cell r="A1434">
            <v>5005</v>
          </cell>
        </row>
        <row r="1435">
          <cell r="A1435">
            <v>5006</v>
          </cell>
        </row>
        <row r="1436">
          <cell r="A1436">
            <v>5007</v>
          </cell>
        </row>
        <row r="1437">
          <cell r="A1437">
            <v>5008</v>
          </cell>
        </row>
        <row r="1438">
          <cell r="A1438">
            <v>6001</v>
          </cell>
        </row>
        <row r="1439">
          <cell r="A1439">
            <v>6002</v>
          </cell>
        </row>
        <row r="1440">
          <cell r="A1440">
            <v>6003</v>
          </cell>
        </row>
        <row r="1441">
          <cell r="A1441">
            <v>6004</v>
          </cell>
        </row>
        <row r="1442">
          <cell r="A1442">
            <v>6005</v>
          </cell>
        </row>
        <row r="1443">
          <cell r="A1443">
            <v>6006</v>
          </cell>
        </row>
        <row r="1444">
          <cell r="A1444">
            <v>6007</v>
          </cell>
        </row>
        <row r="1445">
          <cell r="A1445">
            <v>6008</v>
          </cell>
        </row>
        <row r="1446">
          <cell r="A1446">
            <v>6009</v>
          </cell>
        </row>
        <row r="1447">
          <cell r="A1447">
            <v>6010</v>
          </cell>
        </row>
        <row r="1448">
          <cell r="A1448">
            <v>6011</v>
          </cell>
        </row>
        <row r="1449">
          <cell r="A1449">
            <v>6012</v>
          </cell>
        </row>
        <row r="1450">
          <cell r="A1450">
            <v>6013</v>
          </cell>
        </row>
        <row r="1451">
          <cell r="A1451">
            <v>6014</v>
          </cell>
        </row>
        <row r="1452">
          <cell r="A1452">
            <v>6015</v>
          </cell>
        </row>
        <row r="1453">
          <cell r="A1453">
            <v>6016</v>
          </cell>
        </row>
        <row r="1454">
          <cell r="A1454">
            <v>6017</v>
          </cell>
        </row>
        <row r="1455">
          <cell r="A1455">
            <v>6018</v>
          </cell>
        </row>
        <row r="1456">
          <cell r="A1456">
            <v>6019</v>
          </cell>
        </row>
        <row r="1457">
          <cell r="A1457">
            <v>6020</v>
          </cell>
        </row>
        <row r="1458">
          <cell r="A1458">
            <v>8001</v>
          </cell>
        </row>
        <row r="1459">
          <cell r="A1459">
            <v>8002</v>
          </cell>
        </row>
        <row r="1460">
          <cell r="A1460">
            <v>8003</v>
          </cell>
        </row>
        <row r="1461">
          <cell r="A1461">
            <v>8004</v>
          </cell>
        </row>
        <row r="1462">
          <cell r="A1462">
            <v>8005</v>
          </cell>
        </row>
        <row r="1463">
          <cell r="A1463">
            <v>8006</v>
          </cell>
        </row>
        <row r="1464">
          <cell r="A1464">
            <v>8007</v>
          </cell>
        </row>
        <row r="1465">
          <cell r="A1465">
            <v>8008</v>
          </cell>
        </row>
        <row r="1466">
          <cell r="A1466">
            <v>8009</v>
          </cell>
        </row>
        <row r="1467">
          <cell r="A1467">
            <v>8010</v>
          </cell>
        </row>
        <row r="1468">
          <cell r="A1468">
            <v>8011</v>
          </cell>
        </row>
        <row r="1469">
          <cell r="A1469">
            <v>8012</v>
          </cell>
        </row>
        <row r="1470">
          <cell r="A1470">
            <v>8013</v>
          </cell>
        </row>
        <row r="1471">
          <cell r="A1471">
            <v>8014</v>
          </cell>
        </row>
        <row r="1472">
          <cell r="A1472">
            <v>8015</v>
          </cell>
        </row>
        <row r="1473">
          <cell r="A1473">
            <v>8016</v>
          </cell>
        </row>
        <row r="1474">
          <cell r="A1474">
            <v>8017</v>
          </cell>
        </row>
        <row r="1475">
          <cell r="A1475">
            <v>8018</v>
          </cell>
        </row>
        <row r="1476">
          <cell r="A1476">
            <v>8019</v>
          </cell>
        </row>
        <row r="1477">
          <cell r="A1477">
            <v>8020</v>
          </cell>
        </row>
        <row r="1478">
          <cell r="A1478">
            <v>8021</v>
          </cell>
        </row>
        <row r="1479">
          <cell r="A1479">
            <v>8022</v>
          </cell>
        </row>
        <row r="1480">
          <cell r="A1480">
            <v>8023</v>
          </cell>
        </row>
        <row r="1481">
          <cell r="A1481">
            <v>8024</v>
          </cell>
        </row>
        <row r="1482">
          <cell r="A1482">
            <v>8025</v>
          </cell>
        </row>
        <row r="1483">
          <cell r="A1483">
            <v>8026</v>
          </cell>
        </row>
        <row r="1484">
          <cell r="A1484">
            <v>8027</v>
          </cell>
        </row>
        <row r="1485">
          <cell r="A1485">
            <v>8028</v>
          </cell>
        </row>
        <row r="1486">
          <cell r="A1486">
            <v>8029</v>
          </cell>
        </row>
        <row r="1487">
          <cell r="A1487">
            <v>8030</v>
          </cell>
        </row>
        <row r="1488">
          <cell r="A1488">
            <v>8031</v>
          </cell>
        </row>
        <row r="1489">
          <cell r="A1489">
            <v>8032</v>
          </cell>
        </row>
        <row r="1490">
          <cell r="A1490">
            <v>8033</v>
          </cell>
        </row>
        <row r="1491">
          <cell r="A1491">
            <v>8034</v>
          </cell>
        </row>
        <row r="1492">
          <cell r="A1492">
            <v>8035</v>
          </cell>
        </row>
        <row r="1493">
          <cell r="A1493">
            <v>8036</v>
          </cell>
        </row>
        <row r="1494">
          <cell r="A1494">
            <v>8037</v>
          </cell>
        </row>
        <row r="1495">
          <cell r="A1495">
            <v>8038</v>
          </cell>
        </row>
        <row r="1496">
          <cell r="A1496">
            <v>8039</v>
          </cell>
        </row>
        <row r="1497">
          <cell r="A1497">
            <v>8040</v>
          </cell>
        </row>
        <row r="1498">
          <cell r="A1498">
            <v>8041</v>
          </cell>
        </row>
        <row r="1499">
          <cell r="A1499">
            <v>8042</v>
          </cell>
        </row>
        <row r="1500">
          <cell r="A1500">
            <v>8043</v>
          </cell>
        </row>
        <row r="1501">
          <cell r="A1501">
            <v>8044</v>
          </cell>
        </row>
        <row r="1502">
          <cell r="A1502">
            <v>8045</v>
          </cell>
        </row>
        <row r="1503">
          <cell r="A1503">
            <v>8046</v>
          </cell>
        </row>
        <row r="1504">
          <cell r="A1504">
            <v>8047</v>
          </cell>
        </row>
        <row r="1505">
          <cell r="A1505">
            <v>8048</v>
          </cell>
        </row>
        <row r="1506">
          <cell r="A1506">
            <v>8049</v>
          </cell>
        </row>
        <row r="1507">
          <cell r="A1507">
            <v>8050</v>
          </cell>
        </row>
        <row r="1508">
          <cell r="A1508">
            <v>8051</v>
          </cell>
        </row>
        <row r="1509">
          <cell r="A1509">
            <v>8052</v>
          </cell>
        </row>
        <row r="1510">
          <cell r="A1510">
            <v>8053</v>
          </cell>
        </row>
        <row r="1511">
          <cell r="A1511">
            <v>8054</v>
          </cell>
        </row>
        <row r="1512">
          <cell r="A1512">
            <v>8055</v>
          </cell>
        </row>
        <row r="1513">
          <cell r="A1513">
            <v>8056</v>
          </cell>
        </row>
        <row r="1514">
          <cell r="A1514">
            <v>8057</v>
          </cell>
        </row>
        <row r="1515">
          <cell r="A1515">
            <v>8058</v>
          </cell>
        </row>
        <row r="1516">
          <cell r="A1516">
            <v>8059</v>
          </cell>
        </row>
        <row r="1517">
          <cell r="A1517">
            <v>8060</v>
          </cell>
        </row>
        <row r="1518">
          <cell r="A1518">
            <v>8061</v>
          </cell>
        </row>
        <row r="1519">
          <cell r="A1519">
            <v>8062</v>
          </cell>
        </row>
        <row r="1520">
          <cell r="A1520">
            <v>8063</v>
          </cell>
        </row>
        <row r="1521">
          <cell r="A1521">
            <v>8064</v>
          </cell>
        </row>
        <row r="1522">
          <cell r="A1522">
            <v>8065</v>
          </cell>
        </row>
        <row r="1523">
          <cell r="A1523">
            <v>8066</v>
          </cell>
        </row>
        <row r="1524">
          <cell r="A1524">
            <v>8067</v>
          </cell>
        </row>
        <row r="1525">
          <cell r="A1525">
            <v>8068</v>
          </cell>
        </row>
        <row r="1526">
          <cell r="A1526">
            <v>8069</v>
          </cell>
        </row>
        <row r="1527">
          <cell r="A1527">
            <v>8070</v>
          </cell>
        </row>
        <row r="1528">
          <cell r="A1528">
            <v>8071</v>
          </cell>
        </row>
        <row r="1529">
          <cell r="A1529">
            <v>8072</v>
          </cell>
        </row>
        <row r="1530">
          <cell r="A1530">
            <v>8073</v>
          </cell>
        </row>
        <row r="1531">
          <cell r="A1531">
            <v>8074</v>
          </cell>
        </row>
        <row r="1532">
          <cell r="A1532">
            <v>8077</v>
          </cell>
        </row>
        <row r="1533">
          <cell r="A1533">
            <v>8078</v>
          </cell>
        </row>
        <row r="1534">
          <cell r="A1534">
            <v>8079</v>
          </cell>
        </row>
        <row r="1535">
          <cell r="A1535">
            <v>8080</v>
          </cell>
        </row>
        <row r="1536">
          <cell r="A1536">
            <v>8081</v>
          </cell>
        </row>
        <row r="1537">
          <cell r="A1537">
            <v>8082</v>
          </cell>
        </row>
        <row r="1538">
          <cell r="A1538">
            <v>8083</v>
          </cell>
        </row>
        <row r="1539">
          <cell r="A1539">
            <v>8084</v>
          </cell>
        </row>
        <row r="1540">
          <cell r="A1540">
            <v>8085</v>
          </cell>
        </row>
        <row r="1541">
          <cell r="A1541">
            <v>8086</v>
          </cell>
        </row>
        <row r="1542">
          <cell r="A1542">
            <v>8087</v>
          </cell>
        </row>
        <row r="1543">
          <cell r="A1543">
            <v>8088</v>
          </cell>
        </row>
        <row r="1544">
          <cell r="A1544">
            <v>8089</v>
          </cell>
        </row>
        <row r="1545">
          <cell r="A1545">
            <v>8090</v>
          </cell>
        </row>
        <row r="1546">
          <cell r="A1546">
            <v>8095</v>
          </cell>
        </row>
        <row r="1547">
          <cell r="A1547">
            <v>8096</v>
          </cell>
        </row>
        <row r="1548">
          <cell r="A1548">
            <v>8097</v>
          </cell>
        </row>
        <row r="1549">
          <cell r="A1549">
            <v>8098</v>
          </cell>
        </row>
        <row r="1550">
          <cell r="A1550">
            <v>8099</v>
          </cell>
        </row>
        <row r="1551">
          <cell r="A1551">
            <v>8100</v>
          </cell>
        </row>
        <row r="1552">
          <cell r="A1552">
            <v>8101</v>
          </cell>
        </row>
        <row r="1553">
          <cell r="A1553">
            <v>8102</v>
          </cell>
        </row>
        <row r="1554">
          <cell r="A1554">
            <v>8103</v>
          </cell>
        </row>
        <row r="1555">
          <cell r="A1555">
            <v>8104</v>
          </cell>
        </row>
        <row r="1556">
          <cell r="A1556">
            <v>8105</v>
          </cell>
        </row>
        <row r="1557">
          <cell r="A1557">
            <v>8106</v>
          </cell>
        </row>
        <row r="1558">
          <cell r="A1558">
            <v>8111</v>
          </cell>
        </row>
        <row r="1559">
          <cell r="A1559">
            <v>8112</v>
          </cell>
        </row>
        <row r="1560">
          <cell r="A1560">
            <v>8113</v>
          </cell>
        </row>
        <row r="1561">
          <cell r="A1561">
            <v>8114</v>
          </cell>
        </row>
        <row r="1562">
          <cell r="A1562">
            <v>8115</v>
          </cell>
        </row>
        <row r="1563">
          <cell r="A1563">
            <v>8116</v>
          </cell>
        </row>
        <row r="1564">
          <cell r="A1564">
            <v>8117</v>
          </cell>
        </row>
        <row r="1565">
          <cell r="A1565">
            <v>8118</v>
          </cell>
        </row>
        <row r="1566">
          <cell r="A1566">
            <v>8119</v>
          </cell>
        </row>
        <row r="1567">
          <cell r="A1567">
            <v>8120</v>
          </cell>
        </row>
        <row r="1568">
          <cell r="A1568">
            <v>8121</v>
          </cell>
        </row>
        <row r="1569">
          <cell r="A1569">
            <v>8122</v>
          </cell>
        </row>
        <row r="1570">
          <cell r="A1570">
            <v>9001</v>
          </cell>
        </row>
        <row r="1571">
          <cell r="A1571">
            <v>9002</v>
          </cell>
        </row>
        <row r="1572">
          <cell r="A1572">
            <v>9003</v>
          </cell>
        </row>
        <row r="1573">
          <cell r="A1573">
            <v>9004</v>
          </cell>
        </row>
        <row r="1574">
          <cell r="A1574">
            <v>9005</v>
          </cell>
        </row>
        <row r="1575">
          <cell r="A1575">
            <v>9006</v>
          </cell>
        </row>
        <row r="1576">
          <cell r="A1576">
            <v>9007</v>
          </cell>
        </row>
        <row r="1577">
          <cell r="A1577">
            <v>9008</v>
          </cell>
        </row>
        <row r="1578">
          <cell r="A1578">
            <v>10101</v>
          </cell>
        </row>
        <row r="1579">
          <cell r="A1579">
            <v>10102</v>
          </cell>
        </row>
        <row r="1580">
          <cell r="A1580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5001</v>
          </cell>
        </row>
        <row r="1565">
          <cell r="A1565">
            <v>5002</v>
          </cell>
        </row>
        <row r="1566">
          <cell r="A1566">
            <v>5003</v>
          </cell>
        </row>
        <row r="1567">
          <cell r="A1567">
            <v>5004</v>
          </cell>
        </row>
        <row r="1568">
          <cell r="A1568">
            <v>5005</v>
          </cell>
        </row>
        <row r="1569">
          <cell r="A1569">
            <v>5006</v>
          </cell>
        </row>
        <row r="1570">
          <cell r="A1570">
            <v>5007</v>
          </cell>
        </row>
        <row r="1571">
          <cell r="A1571">
            <v>5008</v>
          </cell>
        </row>
        <row r="1572">
          <cell r="A1572">
            <v>6001</v>
          </cell>
        </row>
        <row r="1573">
          <cell r="A1573">
            <v>6002</v>
          </cell>
        </row>
        <row r="1574">
          <cell r="A1574">
            <v>6003</v>
          </cell>
        </row>
        <row r="1575">
          <cell r="A1575">
            <v>6004</v>
          </cell>
        </row>
        <row r="1576">
          <cell r="A1576">
            <v>6005</v>
          </cell>
        </row>
        <row r="1577">
          <cell r="A1577">
            <v>6006</v>
          </cell>
        </row>
        <row r="1578">
          <cell r="A1578">
            <v>6007</v>
          </cell>
        </row>
        <row r="1579">
          <cell r="A1579">
            <v>6008</v>
          </cell>
        </row>
        <row r="1580">
          <cell r="A1580">
            <v>6009</v>
          </cell>
        </row>
        <row r="1581">
          <cell r="A1581">
            <v>6010</v>
          </cell>
        </row>
        <row r="1582">
          <cell r="A1582">
            <v>6011</v>
          </cell>
        </row>
        <row r="1583">
          <cell r="A1583">
            <v>6012</v>
          </cell>
        </row>
        <row r="1584">
          <cell r="A1584">
            <v>6013</v>
          </cell>
        </row>
        <row r="1585">
          <cell r="A1585">
            <v>6014</v>
          </cell>
        </row>
        <row r="1586">
          <cell r="A1586">
            <v>6015</v>
          </cell>
        </row>
        <row r="1587">
          <cell r="A1587">
            <v>6016</v>
          </cell>
        </row>
        <row r="1588">
          <cell r="A1588">
            <v>6017</v>
          </cell>
        </row>
        <row r="1589">
          <cell r="A1589">
            <v>6018</v>
          </cell>
        </row>
        <row r="1590">
          <cell r="A1590">
            <v>6019</v>
          </cell>
        </row>
        <row r="1591">
          <cell r="A1591">
            <v>6020</v>
          </cell>
        </row>
        <row r="1592">
          <cell r="A1592">
            <v>8001</v>
          </cell>
        </row>
        <row r="1593">
          <cell r="A1593">
            <v>8002</v>
          </cell>
        </row>
        <row r="1594">
          <cell r="A1594">
            <v>8003</v>
          </cell>
        </row>
        <row r="1595">
          <cell r="A1595">
            <v>8004</v>
          </cell>
        </row>
        <row r="1596">
          <cell r="A1596">
            <v>8005</v>
          </cell>
        </row>
        <row r="1597">
          <cell r="A1597">
            <v>8006</v>
          </cell>
        </row>
        <row r="1598">
          <cell r="A1598">
            <v>8007</v>
          </cell>
        </row>
        <row r="1599">
          <cell r="A1599">
            <v>8008</v>
          </cell>
        </row>
        <row r="1600">
          <cell r="A1600">
            <v>8009</v>
          </cell>
        </row>
        <row r="1601">
          <cell r="A1601">
            <v>8010</v>
          </cell>
        </row>
        <row r="1602">
          <cell r="A1602">
            <v>8011</v>
          </cell>
        </row>
        <row r="1603">
          <cell r="A1603">
            <v>8012</v>
          </cell>
        </row>
        <row r="1604">
          <cell r="A1604">
            <v>8013</v>
          </cell>
        </row>
        <row r="1605">
          <cell r="A1605">
            <v>8014</v>
          </cell>
        </row>
        <row r="1606">
          <cell r="A1606">
            <v>8015</v>
          </cell>
        </row>
        <row r="1607">
          <cell r="A1607">
            <v>8016</v>
          </cell>
        </row>
        <row r="1608">
          <cell r="A1608">
            <v>8017</v>
          </cell>
        </row>
        <row r="1609">
          <cell r="A1609">
            <v>8018</v>
          </cell>
        </row>
        <row r="1610">
          <cell r="A1610">
            <v>8019</v>
          </cell>
        </row>
        <row r="1611">
          <cell r="A1611">
            <v>8020</v>
          </cell>
        </row>
        <row r="1612">
          <cell r="A1612">
            <v>8021</v>
          </cell>
        </row>
        <row r="1613">
          <cell r="A1613">
            <v>8022</v>
          </cell>
        </row>
        <row r="1614">
          <cell r="A1614">
            <v>8023</v>
          </cell>
        </row>
        <row r="1615">
          <cell r="A1615">
            <v>8024</v>
          </cell>
        </row>
        <row r="1616">
          <cell r="A1616">
            <v>8025</v>
          </cell>
        </row>
        <row r="1617">
          <cell r="A1617">
            <v>8026</v>
          </cell>
        </row>
        <row r="1618">
          <cell r="A1618">
            <v>8027</v>
          </cell>
        </row>
        <row r="1619">
          <cell r="A1619">
            <v>8028</v>
          </cell>
        </row>
        <row r="1620">
          <cell r="A1620">
            <v>8029</v>
          </cell>
        </row>
        <row r="1621">
          <cell r="A1621">
            <v>8030</v>
          </cell>
        </row>
        <row r="1622">
          <cell r="A1622">
            <v>8031</v>
          </cell>
        </row>
        <row r="1623">
          <cell r="A1623">
            <v>8032</v>
          </cell>
        </row>
        <row r="1624">
          <cell r="A1624">
            <v>8033</v>
          </cell>
        </row>
        <row r="1625">
          <cell r="A1625">
            <v>8034</v>
          </cell>
        </row>
        <row r="1626">
          <cell r="A1626">
            <v>8035</v>
          </cell>
        </row>
        <row r="1627">
          <cell r="A1627">
            <v>8036</v>
          </cell>
        </row>
        <row r="1628">
          <cell r="A1628">
            <v>8037</v>
          </cell>
        </row>
        <row r="1629">
          <cell r="A1629">
            <v>8038</v>
          </cell>
        </row>
        <row r="1630">
          <cell r="A1630">
            <v>8039</v>
          </cell>
        </row>
        <row r="1631">
          <cell r="A1631">
            <v>8040</v>
          </cell>
        </row>
        <row r="1632">
          <cell r="A1632">
            <v>8041</v>
          </cell>
        </row>
        <row r="1633">
          <cell r="A1633">
            <v>8042</v>
          </cell>
        </row>
        <row r="1634">
          <cell r="A1634">
            <v>8043</v>
          </cell>
        </row>
        <row r="1635">
          <cell r="A1635">
            <v>8044</v>
          </cell>
        </row>
        <row r="1636">
          <cell r="A1636">
            <v>8045</v>
          </cell>
        </row>
        <row r="1637">
          <cell r="A1637">
            <v>8046</v>
          </cell>
        </row>
        <row r="1638">
          <cell r="A1638">
            <v>8047</v>
          </cell>
        </row>
        <row r="1639">
          <cell r="A1639">
            <v>8048</v>
          </cell>
        </row>
        <row r="1640">
          <cell r="A1640">
            <v>8049</v>
          </cell>
        </row>
        <row r="1641">
          <cell r="A1641">
            <v>8050</v>
          </cell>
        </row>
        <row r="1642">
          <cell r="A1642">
            <v>8051</v>
          </cell>
        </row>
        <row r="1643">
          <cell r="A1643">
            <v>8052</v>
          </cell>
        </row>
        <row r="1644">
          <cell r="A1644">
            <v>8053</v>
          </cell>
        </row>
        <row r="1645">
          <cell r="A1645">
            <v>8054</v>
          </cell>
        </row>
        <row r="1646">
          <cell r="A1646">
            <v>8055</v>
          </cell>
        </row>
        <row r="1647">
          <cell r="A1647">
            <v>8056</v>
          </cell>
        </row>
        <row r="1648">
          <cell r="A1648">
            <v>8057</v>
          </cell>
        </row>
        <row r="1649">
          <cell r="A1649">
            <v>8058</v>
          </cell>
        </row>
        <row r="1650">
          <cell r="A1650">
            <v>8059</v>
          </cell>
        </row>
        <row r="1651">
          <cell r="A1651">
            <v>8060</v>
          </cell>
        </row>
        <row r="1652">
          <cell r="A1652">
            <v>8061</v>
          </cell>
        </row>
        <row r="1653">
          <cell r="A1653">
            <v>8062</v>
          </cell>
        </row>
        <row r="1654">
          <cell r="A1654">
            <v>8063</v>
          </cell>
        </row>
        <row r="1655">
          <cell r="A1655">
            <v>8064</v>
          </cell>
        </row>
        <row r="1656">
          <cell r="A1656">
            <v>8065</v>
          </cell>
        </row>
        <row r="1657">
          <cell r="A1657">
            <v>8066</v>
          </cell>
        </row>
        <row r="1658">
          <cell r="A1658">
            <v>8067</v>
          </cell>
        </row>
        <row r="1659">
          <cell r="A1659">
            <v>8068</v>
          </cell>
        </row>
        <row r="1660">
          <cell r="A1660">
            <v>8069</v>
          </cell>
        </row>
        <row r="1661">
          <cell r="A1661">
            <v>8070</v>
          </cell>
        </row>
        <row r="1662">
          <cell r="A1662">
            <v>8071</v>
          </cell>
        </row>
        <row r="1663">
          <cell r="A1663">
            <v>8072</v>
          </cell>
        </row>
        <row r="1664">
          <cell r="A1664">
            <v>8073</v>
          </cell>
        </row>
        <row r="1665">
          <cell r="A1665">
            <v>8074</v>
          </cell>
        </row>
        <row r="1666">
          <cell r="A1666">
            <v>8075</v>
          </cell>
        </row>
        <row r="1667">
          <cell r="A1667">
            <v>8076</v>
          </cell>
        </row>
        <row r="1668">
          <cell r="A1668">
            <v>8077</v>
          </cell>
        </row>
        <row r="1669">
          <cell r="A1669">
            <v>8078</v>
          </cell>
        </row>
        <row r="1670">
          <cell r="A1670">
            <v>8079</v>
          </cell>
        </row>
        <row r="1671">
          <cell r="A1671">
            <v>8080</v>
          </cell>
        </row>
        <row r="1672">
          <cell r="A1672">
            <v>8081</v>
          </cell>
        </row>
        <row r="1673">
          <cell r="A1673">
            <v>8082</v>
          </cell>
        </row>
        <row r="1674">
          <cell r="A1674">
            <v>8083</v>
          </cell>
        </row>
        <row r="1675">
          <cell r="A1675">
            <v>8084</v>
          </cell>
        </row>
        <row r="1676">
          <cell r="A1676">
            <v>8085</v>
          </cell>
        </row>
        <row r="1677">
          <cell r="A1677">
            <v>8086</v>
          </cell>
        </row>
        <row r="1678">
          <cell r="A1678">
            <v>8087</v>
          </cell>
        </row>
        <row r="1679">
          <cell r="A1679">
            <v>8088</v>
          </cell>
        </row>
        <row r="1680">
          <cell r="A1680">
            <v>8089</v>
          </cell>
        </row>
        <row r="1681">
          <cell r="A1681">
            <v>8090</v>
          </cell>
        </row>
        <row r="1682">
          <cell r="A1682">
            <v>8095</v>
          </cell>
        </row>
        <row r="1683">
          <cell r="A1683">
            <v>8096</v>
          </cell>
        </row>
        <row r="1684">
          <cell r="A1684">
            <v>8097</v>
          </cell>
        </row>
        <row r="1685">
          <cell r="A1685">
            <v>8098</v>
          </cell>
        </row>
        <row r="1686">
          <cell r="A1686">
            <v>8099</v>
          </cell>
        </row>
        <row r="1687">
          <cell r="A1687">
            <v>8100</v>
          </cell>
        </row>
        <row r="1688">
          <cell r="A1688">
            <v>8101</v>
          </cell>
        </row>
        <row r="1689">
          <cell r="A1689">
            <v>8102</v>
          </cell>
        </row>
        <row r="1690">
          <cell r="A1690">
            <v>8103</v>
          </cell>
        </row>
        <row r="1691">
          <cell r="A1691">
            <v>8104</v>
          </cell>
        </row>
        <row r="1692">
          <cell r="A1692">
            <v>8105</v>
          </cell>
        </row>
        <row r="1693">
          <cell r="A1693">
            <v>8106</v>
          </cell>
        </row>
        <row r="1694">
          <cell r="A1694">
            <v>8111</v>
          </cell>
        </row>
        <row r="1695">
          <cell r="A1695">
            <v>8112</v>
          </cell>
        </row>
        <row r="1696">
          <cell r="A1696">
            <v>8113</v>
          </cell>
        </row>
        <row r="1697">
          <cell r="A1697">
            <v>8114</v>
          </cell>
        </row>
        <row r="1698">
          <cell r="A1698">
            <v>8115</v>
          </cell>
        </row>
        <row r="1699">
          <cell r="A1699">
            <v>8116</v>
          </cell>
        </row>
        <row r="1700">
          <cell r="A1700">
            <v>8117</v>
          </cell>
        </row>
        <row r="1701">
          <cell r="A1701">
            <v>8118</v>
          </cell>
        </row>
        <row r="1702">
          <cell r="A1702">
            <v>8119</v>
          </cell>
        </row>
        <row r="1703">
          <cell r="A1703">
            <v>8120</v>
          </cell>
        </row>
        <row r="1704">
          <cell r="A1704">
            <v>8121</v>
          </cell>
        </row>
        <row r="1705">
          <cell r="A1705">
            <v>8122</v>
          </cell>
        </row>
        <row r="1706">
          <cell r="A1706">
            <v>9001</v>
          </cell>
        </row>
        <row r="1707">
          <cell r="A1707">
            <v>9002</v>
          </cell>
        </row>
        <row r="1708">
          <cell r="A1708">
            <v>9003</v>
          </cell>
        </row>
        <row r="1709">
          <cell r="A1709">
            <v>9004</v>
          </cell>
        </row>
        <row r="1710">
          <cell r="A1710">
            <v>9005</v>
          </cell>
        </row>
        <row r="1711">
          <cell r="A1711">
            <v>9006</v>
          </cell>
        </row>
        <row r="1712">
          <cell r="A1712">
            <v>9007</v>
          </cell>
        </row>
        <row r="1713">
          <cell r="A1713">
            <v>9008</v>
          </cell>
        </row>
        <row r="1714">
          <cell r="A1714">
            <v>10001</v>
          </cell>
        </row>
        <row r="1715">
          <cell r="A1715">
            <v>10002</v>
          </cell>
        </row>
        <row r="1716">
          <cell r="A1716">
            <v>10003</v>
          </cell>
        </row>
        <row r="1717">
          <cell r="A1717">
            <v>10004</v>
          </cell>
        </row>
        <row r="1718">
          <cell r="A1718">
            <v>10005</v>
          </cell>
        </row>
        <row r="1719">
          <cell r="A1719">
            <v>10006</v>
          </cell>
        </row>
        <row r="1720">
          <cell r="A1720">
            <v>10007</v>
          </cell>
        </row>
        <row r="1721">
          <cell r="A1721">
            <v>10008</v>
          </cell>
        </row>
        <row r="1722">
          <cell r="A1722">
            <v>10009</v>
          </cell>
        </row>
        <row r="1723">
          <cell r="A1723">
            <v>10010</v>
          </cell>
        </row>
        <row r="1724">
          <cell r="A1724">
            <v>10011</v>
          </cell>
        </row>
        <row r="1725">
          <cell r="A1725">
            <v>10012</v>
          </cell>
        </row>
        <row r="1726">
          <cell r="A1726">
            <v>10013</v>
          </cell>
        </row>
        <row r="1727">
          <cell r="A1727">
            <v>10014</v>
          </cell>
        </row>
        <row r="1728">
          <cell r="A1728">
            <v>10015</v>
          </cell>
        </row>
        <row r="1729">
          <cell r="A1729">
            <v>10016</v>
          </cell>
        </row>
        <row r="1730">
          <cell r="A1730">
            <v>10017</v>
          </cell>
        </row>
        <row r="1731">
          <cell r="A1731">
            <v>10018</v>
          </cell>
        </row>
        <row r="1732">
          <cell r="A1732">
            <v>10019</v>
          </cell>
        </row>
        <row r="1733">
          <cell r="A1733">
            <v>10020</v>
          </cell>
        </row>
        <row r="1734">
          <cell r="A1734">
            <v>10021</v>
          </cell>
        </row>
        <row r="1735">
          <cell r="A1735">
            <v>10022</v>
          </cell>
        </row>
        <row r="1736">
          <cell r="A1736">
            <v>10023</v>
          </cell>
        </row>
        <row r="1737">
          <cell r="A1737">
            <v>10024</v>
          </cell>
        </row>
        <row r="1738">
          <cell r="A1738">
            <v>10025</v>
          </cell>
        </row>
        <row r="1739">
          <cell r="A1739">
            <v>10026</v>
          </cell>
        </row>
        <row r="1740">
          <cell r="A1740">
            <v>10027</v>
          </cell>
        </row>
        <row r="1741">
          <cell r="A1741">
            <v>10028</v>
          </cell>
        </row>
        <row r="1742">
          <cell r="A1742">
            <v>10029</v>
          </cell>
        </row>
        <row r="1743">
          <cell r="A1743">
            <v>10030</v>
          </cell>
        </row>
        <row r="1744">
          <cell r="A1744">
            <v>10031</v>
          </cell>
        </row>
        <row r="1745">
          <cell r="A1745">
            <v>10032</v>
          </cell>
        </row>
        <row r="1746">
          <cell r="A1746">
            <v>10033</v>
          </cell>
        </row>
        <row r="1747">
          <cell r="A1747">
            <v>10034</v>
          </cell>
        </row>
        <row r="1748">
          <cell r="A1748">
            <v>10035</v>
          </cell>
        </row>
        <row r="1749">
          <cell r="A1749">
            <v>10036</v>
          </cell>
        </row>
        <row r="1750">
          <cell r="A1750">
            <v>10037</v>
          </cell>
        </row>
        <row r="1751">
          <cell r="A1751">
            <v>10038</v>
          </cell>
        </row>
        <row r="1752">
          <cell r="A1752">
            <v>10039</v>
          </cell>
        </row>
        <row r="1753">
          <cell r="A1753">
            <v>10040</v>
          </cell>
        </row>
        <row r="1754">
          <cell r="A1754">
            <v>10041</v>
          </cell>
        </row>
        <row r="1755">
          <cell r="A1755">
            <v>10042</v>
          </cell>
        </row>
        <row r="1756">
          <cell r="A1756">
            <v>10043</v>
          </cell>
        </row>
        <row r="1757">
          <cell r="A1757">
            <v>10044</v>
          </cell>
        </row>
        <row r="1758">
          <cell r="A1758">
            <v>10045</v>
          </cell>
        </row>
        <row r="1759">
          <cell r="A1759">
            <v>10046</v>
          </cell>
        </row>
        <row r="1760">
          <cell r="A1760">
            <v>10047</v>
          </cell>
        </row>
        <row r="1761">
          <cell r="A1761">
            <v>10048</v>
          </cell>
        </row>
        <row r="1762">
          <cell r="A1762">
            <v>10049</v>
          </cell>
        </row>
        <row r="1763">
          <cell r="A1763">
            <v>10050</v>
          </cell>
        </row>
        <row r="1764">
          <cell r="A1764">
            <v>10051</v>
          </cell>
        </row>
        <row r="1765">
          <cell r="A1765">
            <v>10052</v>
          </cell>
        </row>
        <row r="1766">
          <cell r="A1766">
            <v>10053</v>
          </cell>
        </row>
        <row r="1767">
          <cell r="A1767">
            <v>10054</v>
          </cell>
        </row>
        <row r="1768">
          <cell r="A1768">
            <v>10055</v>
          </cell>
        </row>
        <row r="1769">
          <cell r="A1769">
            <v>10056</v>
          </cell>
        </row>
        <row r="1770">
          <cell r="A1770">
            <v>10057</v>
          </cell>
        </row>
        <row r="1771">
          <cell r="A1771">
            <v>10058</v>
          </cell>
        </row>
        <row r="1772">
          <cell r="A1772">
            <v>10059</v>
          </cell>
        </row>
        <row r="1773">
          <cell r="A1773">
            <v>10060</v>
          </cell>
        </row>
        <row r="1774">
          <cell r="A1774">
            <v>10061</v>
          </cell>
        </row>
        <row r="1775">
          <cell r="A1775">
            <v>10062</v>
          </cell>
        </row>
        <row r="1776">
          <cell r="A1776">
            <v>10063</v>
          </cell>
        </row>
        <row r="1777">
          <cell r="A1777">
            <v>10064</v>
          </cell>
        </row>
        <row r="1778">
          <cell r="A1778">
            <v>10065</v>
          </cell>
        </row>
        <row r="1779">
          <cell r="A1779">
            <v>10066</v>
          </cell>
        </row>
        <row r="1780">
          <cell r="A1780">
            <v>10067</v>
          </cell>
        </row>
        <row r="1781">
          <cell r="A1781">
            <v>10068</v>
          </cell>
        </row>
        <row r="1782">
          <cell r="A1782">
            <v>10069</v>
          </cell>
        </row>
        <row r="1783">
          <cell r="A1783">
            <v>10070</v>
          </cell>
        </row>
        <row r="1784">
          <cell r="A1784">
            <v>10071</v>
          </cell>
        </row>
        <row r="1785">
          <cell r="A1785">
            <v>10072</v>
          </cell>
        </row>
        <row r="1786">
          <cell r="A1786">
            <v>10073</v>
          </cell>
        </row>
        <row r="1787">
          <cell r="A1787">
            <v>10074</v>
          </cell>
        </row>
        <row r="1788">
          <cell r="A1788">
            <v>10075</v>
          </cell>
        </row>
        <row r="1789">
          <cell r="A1789">
            <v>10076</v>
          </cell>
        </row>
        <row r="1790">
          <cell r="A1790">
            <v>10077</v>
          </cell>
        </row>
        <row r="1791">
          <cell r="A1791">
            <v>10078</v>
          </cell>
        </row>
        <row r="1792">
          <cell r="A1792">
            <v>10079</v>
          </cell>
        </row>
        <row r="1793">
          <cell r="A1793">
            <v>10080</v>
          </cell>
        </row>
        <row r="1794">
          <cell r="A1794">
            <v>10081</v>
          </cell>
        </row>
        <row r="1795">
          <cell r="A1795">
            <v>10082</v>
          </cell>
        </row>
        <row r="1796">
          <cell r="A1796">
            <v>10083</v>
          </cell>
        </row>
        <row r="1797">
          <cell r="A1797">
            <v>10084</v>
          </cell>
        </row>
        <row r="1798">
          <cell r="A1798">
            <v>10085</v>
          </cell>
        </row>
        <row r="1799">
          <cell r="A1799">
            <v>10086</v>
          </cell>
        </row>
        <row r="1800">
          <cell r="A1800">
            <v>10087</v>
          </cell>
        </row>
        <row r="1801">
          <cell r="A1801">
            <v>10088</v>
          </cell>
        </row>
        <row r="1802">
          <cell r="A1802">
            <v>10089</v>
          </cell>
        </row>
        <row r="1803">
          <cell r="A1803">
            <v>10090</v>
          </cell>
        </row>
        <row r="1804">
          <cell r="A1804">
            <v>10101</v>
          </cell>
        </row>
        <row r="1805">
          <cell r="A1805">
            <v>10102</v>
          </cell>
        </row>
        <row r="1806">
          <cell r="A1806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I48" sqref="I48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7" t="s">
        <v>129</v>
      </c>
      <c r="B1" s="52" t="s">
        <v>99</v>
      </c>
      <c r="C1" s="52" t="s">
        <v>100</v>
      </c>
      <c r="D1" s="52" t="s">
        <v>101</v>
      </c>
      <c r="E1" s="52" t="s">
        <v>102</v>
      </c>
      <c r="F1" s="52" t="s">
        <v>103</v>
      </c>
      <c r="G1" s="52" t="s">
        <v>104</v>
      </c>
      <c r="H1" s="52"/>
      <c r="I1" s="52"/>
      <c r="J1" s="52"/>
      <c r="K1" s="52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</row>
    <row r="2" spans="1:30" x14ac:dyDescent="0.15">
      <c r="A2" s="58" t="s">
        <v>269</v>
      </c>
      <c r="B2" s="54" t="s">
        <v>105</v>
      </c>
      <c r="C2" s="60">
        <v>48005</v>
      </c>
      <c r="D2" s="54" t="s">
        <v>106</v>
      </c>
      <c r="E2" s="53" t="str">
        <f>B2&amp;C2&amp;D2</f>
        <v>floors_48005.tmp</v>
      </c>
      <c r="F2" s="54" t="s">
        <v>107</v>
      </c>
      <c r="G2" s="55" t="s">
        <v>0</v>
      </c>
      <c r="H2" s="55" t="s">
        <v>1</v>
      </c>
      <c r="I2" s="55" t="s">
        <v>13</v>
      </c>
      <c r="J2" s="55" t="s">
        <v>14</v>
      </c>
      <c r="K2" s="55" t="s">
        <v>15</v>
      </c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</row>
    <row r="3" spans="1:30" x14ac:dyDescent="0.15">
      <c r="A3" s="58" t="s">
        <v>269</v>
      </c>
      <c r="B3" s="54" t="s">
        <v>108</v>
      </c>
      <c r="C3" s="60">
        <f>C$2</f>
        <v>48005</v>
      </c>
      <c r="D3" s="54" t="s">
        <v>106</v>
      </c>
      <c r="E3" s="53" t="str">
        <f>B3&amp;C3&amp;D3</f>
        <v>enemy_habitats_48005.tmp</v>
      </c>
      <c r="F3" s="54" t="s">
        <v>109</v>
      </c>
      <c r="G3" s="55" t="s">
        <v>0</v>
      </c>
      <c r="H3" s="55" t="s">
        <v>1</v>
      </c>
      <c r="I3" s="55" t="s">
        <v>13</v>
      </c>
      <c r="J3" s="55" t="s">
        <v>2</v>
      </c>
      <c r="K3" s="55" t="s">
        <v>3</v>
      </c>
      <c r="L3" s="55" t="s">
        <v>47</v>
      </c>
      <c r="M3" s="55" t="s">
        <v>49</v>
      </c>
      <c r="N3" s="55" t="s">
        <v>51</v>
      </c>
      <c r="O3" s="55" t="s">
        <v>22</v>
      </c>
      <c r="P3" s="55" t="s">
        <v>5</v>
      </c>
      <c r="Q3" s="55" t="s">
        <v>6</v>
      </c>
      <c r="R3" s="55" t="s">
        <v>7</v>
      </c>
      <c r="S3" s="55" t="s">
        <v>8</v>
      </c>
      <c r="T3" s="55" t="s">
        <v>9</v>
      </c>
      <c r="U3" s="55" t="s">
        <v>10</v>
      </c>
      <c r="V3" s="55" t="s">
        <v>11</v>
      </c>
      <c r="W3" s="55" t="s">
        <v>12</v>
      </c>
      <c r="X3" s="55" t="s">
        <v>37</v>
      </c>
      <c r="Y3" s="55" t="s">
        <v>39</v>
      </c>
      <c r="Z3" s="55" t="s">
        <v>41</v>
      </c>
      <c r="AA3" s="55" t="s">
        <v>43</v>
      </c>
      <c r="AB3" s="55" t="s">
        <v>45</v>
      </c>
      <c r="AC3" s="55" t="s">
        <v>53</v>
      </c>
      <c r="AD3" s="55" t="s">
        <v>177</v>
      </c>
    </row>
    <row r="4" spans="1:30" x14ac:dyDescent="0.15">
      <c r="A4" s="58" t="s">
        <v>269</v>
      </c>
      <c r="B4" s="54" t="s">
        <v>110</v>
      </c>
      <c r="C4" s="60">
        <f t="shared" ref="C4:C13" si="0">C$2</f>
        <v>48005</v>
      </c>
      <c r="D4" s="54" t="s">
        <v>106</v>
      </c>
      <c r="E4" s="53" t="str">
        <f>B4&amp;C4&amp;D4</f>
        <v>enemy_habitat_S_48005.tmp</v>
      </c>
      <c r="F4" s="54" t="s">
        <v>111</v>
      </c>
      <c r="G4" s="55" t="s">
        <v>0</v>
      </c>
      <c r="H4" s="55" t="s">
        <v>1</v>
      </c>
      <c r="I4" s="55" t="s">
        <v>13</v>
      </c>
      <c r="J4" s="55" t="s">
        <v>53</v>
      </c>
      <c r="K4" s="55" t="s">
        <v>54</v>
      </c>
      <c r="L4" s="55" t="s">
        <v>55</v>
      </c>
      <c r="M4" s="55" t="s">
        <v>56</v>
      </c>
      <c r="N4" s="55" t="s">
        <v>57</v>
      </c>
      <c r="O4" s="55" t="s">
        <v>58</v>
      </c>
      <c r="P4" s="55" t="s">
        <v>48</v>
      </c>
      <c r="Q4" s="55" t="s">
        <v>50</v>
      </c>
      <c r="R4" s="55" t="s">
        <v>52</v>
      </c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</row>
    <row r="5" spans="1:30" x14ac:dyDescent="0.15">
      <c r="A5" s="58" t="s">
        <v>269</v>
      </c>
      <c r="B5" s="54" t="s">
        <v>112</v>
      </c>
      <c r="C5" s="60">
        <f t="shared" si="0"/>
        <v>48005</v>
      </c>
      <c r="D5" s="54" t="s">
        <v>106</v>
      </c>
      <c r="E5" s="53" t="str">
        <f>B5&amp;C5&amp;D5</f>
        <v>enemy_skill_sets_48005.tmp</v>
      </c>
      <c r="F5" s="54" t="s">
        <v>113</v>
      </c>
      <c r="G5" s="56" t="s">
        <v>22</v>
      </c>
      <c r="H5" s="56" t="s">
        <v>98</v>
      </c>
      <c r="I5" s="56" t="s">
        <v>93</v>
      </c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</row>
    <row r="6" spans="1:30" x14ac:dyDescent="0.15">
      <c r="A6" s="58" t="s">
        <v>269</v>
      </c>
      <c r="B6" s="54" t="s">
        <v>114</v>
      </c>
      <c r="C6" s="60">
        <f t="shared" si="0"/>
        <v>48005</v>
      </c>
      <c r="D6" s="54" t="s">
        <v>115</v>
      </c>
      <c r="E6" s="53" t="str">
        <f t="shared" ref="E6:E10" si="1">B6&amp;C6&amp;D6</f>
        <v>enemy_skills_tmp_48005.tmp</v>
      </c>
      <c r="F6" s="54" t="s">
        <v>89</v>
      </c>
      <c r="G6" s="55" t="s">
        <v>78</v>
      </c>
      <c r="H6" s="55" t="s">
        <v>79</v>
      </c>
      <c r="I6" s="55" t="s">
        <v>80</v>
      </c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</row>
    <row r="7" spans="1:30" x14ac:dyDescent="0.15">
      <c r="A7" s="58" t="s">
        <v>269</v>
      </c>
      <c r="B7" s="54" t="s">
        <v>116</v>
      </c>
      <c r="C7" s="60">
        <f t="shared" si="0"/>
        <v>48005</v>
      </c>
      <c r="D7" s="54" t="s">
        <v>106</v>
      </c>
      <c r="E7" s="53" t="str">
        <f>B7&amp;C7&amp;D7</f>
        <v>enemy_skills_i18n_48005.tmp</v>
      </c>
      <c r="F7" s="54" t="s">
        <v>117</v>
      </c>
      <c r="G7" s="55" t="s">
        <v>78</v>
      </c>
      <c r="H7" s="55" t="s">
        <v>90</v>
      </c>
      <c r="I7" s="55" t="s">
        <v>91</v>
      </c>
      <c r="J7" s="55" t="s">
        <v>92</v>
      </c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</row>
    <row r="8" spans="1:30" x14ac:dyDescent="0.15">
      <c r="A8" s="58" t="s">
        <v>269</v>
      </c>
      <c r="B8" s="54" t="s">
        <v>118</v>
      </c>
      <c r="C8" s="60">
        <f t="shared" si="0"/>
        <v>48005</v>
      </c>
      <c r="D8" s="54" t="s">
        <v>119</v>
      </c>
      <c r="E8" s="53" t="str">
        <f t="shared" si="1"/>
        <v>enemy_skill_triggers_48005.tmp</v>
      </c>
      <c r="F8" s="54" t="s">
        <v>120</v>
      </c>
      <c r="G8" s="55" t="s">
        <v>93</v>
      </c>
      <c r="H8" s="55" t="s">
        <v>94</v>
      </c>
      <c r="I8" s="55" t="s">
        <v>95</v>
      </c>
      <c r="J8" s="55" t="s">
        <v>96</v>
      </c>
      <c r="K8" s="55" t="s">
        <v>121</v>
      </c>
      <c r="L8" s="55" t="s">
        <v>97</v>
      </c>
      <c r="M8" s="55" t="s">
        <v>122</v>
      </c>
      <c r="N8" s="55" t="s">
        <v>123</v>
      </c>
      <c r="O8" s="55" t="s">
        <v>124</v>
      </c>
      <c r="P8" s="55" t="s">
        <v>66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</row>
    <row r="9" spans="1:30" x14ac:dyDescent="0.15">
      <c r="A9" s="58" t="s">
        <v>269</v>
      </c>
      <c r="B9" s="65" t="s">
        <v>176</v>
      </c>
      <c r="C9" s="60">
        <f t="shared" si="0"/>
        <v>48005</v>
      </c>
      <c r="D9" s="65" t="s">
        <v>170</v>
      </c>
      <c r="E9" s="66" t="str">
        <f t="shared" si="1"/>
        <v>stage_bug_bonuses_48005.tmp</v>
      </c>
      <c r="F9" s="65" t="s">
        <v>171</v>
      </c>
      <c r="G9" s="62" t="s">
        <v>149</v>
      </c>
      <c r="H9" s="62" t="s">
        <v>172</v>
      </c>
      <c r="I9" s="62" t="s">
        <v>173</v>
      </c>
      <c r="J9" s="64" t="s">
        <v>174</v>
      </c>
      <c r="K9" s="62" t="s">
        <v>175</v>
      </c>
      <c r="L9" s="62" t="s">
        <v>155</v>
      </c>
      <c r="M9" s="62" t="s">
        <v>156</v>
      </c>
      <c r="N9" s="62" t="s">
        <v>157</v>
      </c>
      <c r="O9" s="62" t="s">
        <v>158</v>
      </c>
      <c r="P9" s="62" t="s">
        <v>159</v>
      </c>
      <c r="Q9" s="62" t="s">
        <v>160</v>
      </c>
      <c r="R9" s="62" t="s">
        <v>161</v>
      </c>
      <c r="S9" s="62" t="s">
        <v>162</v>
      </c>
      <c r="T9" s="62" t="s">
        <v>163</v>
      </c>
      <c r="U9" s="62" t="s">
        <v>164</v>
      </c>
      <c r="V9" s="62" t="s">
        <v>165</v>
      </c>
      <c r="W9" s="62" t="s">
        <v>166</v>
      </c>
      <c r="X9" s="54"/>
      <c r="Y9" s="54"/>
      <c r="Z9" s="54"/>
      <c r="AA9" s="54"/>
      <c r="AB9" s="54"/>
      <c r="AC9" s="54"/>
      <c r="AD9" s="54"/>
    </row>
    <row r="10" spans="1:30" s="73" customFormat="1" x14ac:dyDescent="0.15">
      <c r="A10" s="58" t="s">
        <v>269</v>
      </c>
      <c r="B10" s="65" t="s">
        <v>200</v>
      </c>
      <c r="C10" s="60">
        <f>C$2</f>
        <v>48005</v>
      </c>
      <c r="D10" s="65" t="s">
        <v>179</v>
      </c>
      <c r="E10" s="66" t="str">
        <f t="shared" si="1"/>
        <v>stage_hints_data_c_48005.tmp</v>
      </c>
      <c r="F10" s="65" t="s">
        <v>208</v>
      </c>
      <c r="G10" s="71" t="s">
        <v>180</v>
      </c>
      <c r="H10" s="71" t="s">
        <v>172</v>
      </c>
      <c r="I10" s="72" t="s">
        <v>181</v>
      </c>
      <c r="J10" s="64" t="s">
        <v>182</v>
      </c>
      <c r="K10" s="64" t="s">
        <v>183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3" customFormat="1" x14ac:dyDescent="0.15">
      <c r="A11" s="58" t="s">
        <v>269</v>
      </c>
      <c r="B11" s="65" t="s">
        <v>201</v>
      </c>
      <c r="C11" s="60">
        <f t="shared" si="0"/>
        <v>48005</v>
      </c>
      <c r="D11" s="65" t="s">
        <v>170</v>
      </c>
      <c r="E11" s="66" t="str">
        <f t="shared" ref="E11:E13" si="2">B11&amp;C11&amp;D11</f>
        <v>stage_hints_data_f_48005.tmp</v>
      </c>
      <c r="F11" s="65" t="s">
        <v>210</v>
      </c>
      <c r="G11" s="71" t="s">
        <v>180</v>
      </c>
      <c r="H11" s="71" t="s">
        <v>172</v>
      </c>
      <c r="I11" s="72" t="s">
        <v>181</v>
      </c>
      <c r="J11" s="64" t="s">
        <v>182</v>
      </c>
      <c r="K11" s="64" t="s">
        <v>183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3" customFormat="1" x14ac:dyDescent="0.15">
      <c r="A12" s="58" t="s">
        <v>269</v>
      </c>
      <c r="B12" s="65" t="s">
        <v>202</v>
      </c>
      <c r="C12" s="60">
        <f t="shared" si="0"/>
        <v>48005</v>
      </c>
      <c r="D12" s="65" t="s">
        <v>170</v>
      </c>
      <c r="E12" s="66" t="str">
        <f t="shared" si="2"/>
        <v>stage_hints_i18n_48005.tmp</v>
      </c>
      <c r="F12" s="65" t="s">
        <v>211</v>
      </c>
      <c r="G12" s="72" t="s">
        <v>203</v>
      </c>
      <c r="H12" s="92" t="s">
        <v>204</v>
      </c>
      <c r="I12" s="71" t="s">
        <v>205</v>
      </c>
      <c r="J12" s="100" t="s">
        <v>206</v>
      </c>
      <c r="K12" s="64" t="s">
        <v>207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3" customFormat="1" x14ac:dyDescent="0.15">
      <c r="A13" s="58" t="s">
        <v>269</v>
      </c>
      <c r="B13" s="65" t="s">
        <v>251</v>
      </c>
      <c r="C13" s="60">
        <f t="shared" si="0"/>
        <v>48005</v>
      </c>
      <c r="D13" s="65" t="s">
        <v>232</v>
      </c>
      <c r="E13" s="66" t="str">
        <f t="shared" si="2"/>
        <v>stage_bonuses_48005.tmp</v>
      </c>
      <c r="F13" s="65" t="s">
        <v>231</v>
      </c>
      <c r="G13" s="71" t="s">
        <v>233</v>
      </c>
      <c r="H13" s="71" t="s">
        <v>234</v>
      </c>
      <c r="I13" s="71" t="s">
        <v>235</v>
      </c>
      <c r="J13" s="71" t="s">
        <v>236</v>
      </c>
      <c r="K13" s="71" t="s">
        <v>237</v>
      </c>
      <c r="L13" s="71" t="s">
        <v>238</v>
      </c>
      <c r="M13" s="71" t="s">
        <v>239</v>
      </c>
      <c r="N13" s="71" t="s">
        <v>240</v>
      </c>
      <c r="O13" s="71" t="s">
        <v>241</v>
      </c>
      <c r="P13" s="71" t="s">
        <v>242</v>
      </c>
      <c r="Q13" s="71" t="s">
        <v>243</v>
      </c>
      <c r="R13" s="71" t="s">
        <v>244</v>
      </c>
      <c r="S13" s="71" t="s">
        <v>245</v>
      </c>
      <c r="T13" s="71" t="s">
        <v>246</v>
      </c>
      <c r="U13" s="71" t="s">
        <v>247</v>
      </c>
      <c r="V13" s="71" t="s">
        <v>248</v>
      </c>
      <c r="W13" s="71" t="s">
        <v>249</v>
      </c>
      <c r="X13" s="71" t="s">
        <v>250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G23" sqref="G23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0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48005_1-1</v>
      </c>
      <c r="B2" s="15" t="str">
        <f>IF(COUNTIF(enemy_habitats!$H:$H,A2),"OK","NG")</f>
        <v>OK</v>
      </c>
      <c r="C2" s="104">
        <v>48005</v>
      </c>
      <c r="D2" s="11" t="str">
        <f ca="1">VLOOKUP($C2,OFFSET([2]quests!$A$1,0,0,COUNTA([2]quests!$A:$A),MATCH(D$1,[2]quests!$1:$1,0)-MATCH($C$1,[2]quests!$1:$1,0)+1),MATCH(D$1,[2]quests!$1:$1,0)-MATCH($C$1,[2]quests!$1:$1,0)+1,FALSE)</f>
        <v>孫悟空襲来！</v>
      </c>
      <c r="E2" s="17" t="str">
        <f ca="1">VLOOKUP($C2,OFFSET([2]quests!$A$1,0,0,COUNTA([2]quests!$A:$A),MATCH(E$1,[2]quests!$1:$1,0)-MATCH($C$1,[2]quests!$1:$1,0)+1),MATCH(E$1,[2]quests!$1:$1,0)-MATCH($C$1,[2]quests!$1:$1,0)+1,FALSE)</f>
        <v>台湾版降臨6</v>
      </c>
      <c r="F2" s="105">
        <v>1</v>
      </c>
      <c r="G2" s="20" t="str">
        <f>C2&amp;"_"&amp;F2</f>
        <v>48005_1</v>
      </c>
      <c r="H2" s="14" t="str">
        <f ca="1">VLOOKUP($G2,OFFSET([2]stages!$A$1,0,0,COUNTA([2]stages!$A:$A),MATCH(H$1,[2]stages!$2:$2,0)-MATCH($G$1,[2]stages!$2:$2,0)+1),MATCH(H$1,[2]stages!$2:$2,0)-MATCH($G$1,[2]stages!$2:$2,0)+1,FALSE)</f>
        <v>【超絶級】孫悟空襲来</v>
      </c>
      <c r="I2" s="105">
        <v>1</v>
      </c>
      <c r="J2" s="35">
        <v>60</v>
      </c>
      <c r="K2" s="35">
        <v>60</v>
      </c>
    </row>
    <row r="3" spans="1:11" ht="21" customHeight="1" x14ac:dyDescent="0.15">
      <c r="A3" s="15" t="str">
        <f t="shared" ref="A3:A9" si="0">G3&amp;"-"&amp;I3</f>
        <v>48005_1-2</v>
      </c>
      <c r="B3" s="15" t="str">
        <f>IF(COUNTIF(enemy_habitats!$H:$H,A3),"OK","NG")</f>
        <v>OK</v>
      </c>
      <c r="C3" s="104">
        <v>48005</v>
      </c>
      <c r="D3" s="11" t="str">
        <f ca="1">VLOOKUP($C3,OFFSET([2]quests!$A$1,0,0,COUNTA([2]quests!$A:$A),MATCH(D$1,[2]quests!$1:$1,0)-MATCH($C$1,[2]quests!$1:$1,0)+1),MATCH(D$1,[2]quests!$1:$1,0)-MATCH($C$1,[2]quests!$1:$1,0)+1,FALSE)</f>
        <v>孫悟空襲来！</v>
      </c>
      <c r="E3" s="17" t="str">
        <f ca="1">VLOOKUP($C3,OFFSET([2]quests!$A$1,0,0,COUNTA([2]quests!$A:$A),MATCH(E$1,[2]quests!$1:$1,0)-MATCH($C$1,[2]quests!$1:$1,0)+1),MATCH(E$1,[2]quests!$1:$1,0)-MATCH($C$1,[2]quests!$1:$1,0)+1,FALSE)</f>
        <v>台湾版降臨6</v>
      </c>
      <c r="F3" s="105">
        <v>1</v>
      </c>
      <c r="G3" s="20" t="str">
        <f t="shared" ref="G3:G9" si="1">C3&amp;"_"&amp;F3</f>
        <v>48005_1</v>
      </c>
      <c r="H3" s="14" t="str">
        <f ca="1">VLOOKUP($G3,OFFSET([2]stages!$A$1,0,0,COUNTA([2]stages!$A:$A),MATCH(H$1,[2]stages!$2:$2,0)-MATCH($G$1,[2]stages!$2:$2,0)+1),MATCH(H$1,[2]stages!$2:$2,0)-MATCH($G$1,[2]stages!$2:$2,0)+1,FALSE)</f>
        <v>【超絶級】孫悟空襲来</v>
      </c>
      <c r="I3" s="105">
        <v>2</v>
      </c>
      <c r="J3" s="35">
        <v>60</v>
      </c>
      <c r="K3" s="35">
        <v>60</v>
      </c>
    </row>
    <row r="4" spans="1:11" ht="21" customHeight="1" x14ac:dyDescent="0.15">
      <c r="A4" s="15" t="str">
        <f t="shared" si="0"/>
        <v>48005_1-3</v>
      </c>
      <c r="B4" s="15" t="str">
        <f>IF(COUNTIF(enemy_habitats!$H:$H,A4),"OK","NG")</f>
        <v>OK</v>
      </c>
      <c r="C4" s="104">
        <v>48005</v>
      </c>
      <c r="D4" s="11" t="str">
        <f ca="1">VLOOKUP($C4,OFFSET([2]quests!$A$1,0,0,COUNTA([2]quests!$A:$A),MATCH(D$1,[2]quests!$1:$1,0)-MATCH($C$1,[2]quests!$1:$1,0)+1),MATCH(D$1,[2]quests!$1:$1,0)-MATCH($C$1,[2]quests!$1:$1,0)+1,FALSE)</f>
        <v>孫悟空襲来！</v>
      </c>
      <c r="E4" s="17" t="str">
        <f ca="1">VLOOKUP($C4,OFFSET([2]quests!$A$1,0,0,COUNTA([2]quests!$A:$A),MATCH(E$1,[2]quests!$1:$1,0)-MATCH($C$1,[2]quests!$1:$1,0)+1),MATCH(E$1,[2]quests!$1:$1,0)-MATCH($C$1,[2]quests!$1:$1,0)+1,FALSE)</f>
        <v>台湾版降臨6</v>
      </c>
      <c r="F4" s="105">
        <v>1</v>
      </c>
      <c r="G4" s="20" t="str">
        <f t="shared" si="1"/>
        <v>48005_1</v>
      </c>
      <c r="H4" s="14" t="str">
        <f ca="1">VLOOKUP($G4,OFFSET([2]stages!$A$1,0,0,COUNTA([2]stages!$A:$A),MATCH(H$1,[2]stages!$2:$2,0)-MATCH($G$1,[2]stages!$2:$2,0)+1),MATCH(H$1,[2]stages!$2:$2,0)-MATCH($G$1,[2]stages!$2:$2,0)+1,FALSE)</f>
        <v>【超絶級】孫悟空襲来</v>
      </c>
      <c r="I4" s="105">
        <v>3</v>
      </c>
      <c r="J4" s="35">
        <v>60</v>
      </c>
      <c r="K4" s="35">
        <v>60</v>
      </c>
    </row>
    <row r="5" spans="1:11" ht="21" customHeight="1" x14ac:dyDescent="0.15">
      <c r="A5" s="15" t="str">
        <f t="shared" si="0"/>
        <v>48005_1-4</v>
      </c>
      <c r="B5" s="15" t="str">
        <f>IF(COUNTIF(enemy_habitats!$H:$H,A5),"OK","NG")</f>
        <v>OK</v>
      </c>
      <c r="C5" s="104">
        <v>48005</v>
      </c>
      <c r="D5" s="11" t="str">
        <f ca="1">VLOOKUP($C5,OFFSET([2]quests!$A$1,0,0,COUNTA([2]quests!$A:$A),MATCH(D$1,[2]quests!$1:$1,0)-MATCH($C$1,[2]quests!$1:$1,0)+1),MATCH(D$1,[2]quests!$1:$1,0)-MATCH($C$1,[2]quests!$1:$1,0)+1,FALSE)</f>
        <v>孫悟空襲来！</v>
      </c>
      <c r="E5" s="17" t="str">
        <f ca="1">VLOOKUP($C5,OFFSET([2]quests!$A$1,0,0,COUNTA([2]quests!$A:$A),MATCH(E$1,[2]quests!$1:$1,0)-MATCH($C$1,[2]quests!$1:$1,0)+1),MATCH(E$1,[2]quests!$1:$1,0)-MATCH($C$1,[2]quests!$1:$1,0)+1,FALSE)</f>
        <v>台湾版降臨6</v>
      </c>
      <c r="F5" s="105">
        <v>1</v>
      </c>
      <c r="G5" s="20" t="str">
        <f t="shared" si="1"/>
        <v>48005_1</v>
      </c>
      <c r="H5" s="14" t="str">
        <f ca="1">VLOOKUP($G5,OFFSET([2]stages!$A$1,0,0,COUNTA([2]stages!$A:$A),MATCH(H$1,[2]stages!$2:$2,0)-MATCH($G$1,[2]stages!$2:$2,0)+1),MATCH(H$1,[2]stages!$2:$2,0)-MATCH($G$1,[2]stages!$2:$2,0)+1,FALSE)</f>
        <v>【超絶級】孫悟空襲来</v>
      </c>
      <c r="I5" s="105">
        <v>4</v>
      </c>
      <c r="J5" s="35">
        <v>60</v>
      </c>
      <c r="K5" s="35">
        <v>60</v>
      </c>
    </row>
    <row r="6" spans="1:11" ht="21" customHeight="1" x14ac:dyDescent="0.15">
      <c r="A6" s="15" t="str">
        <f t="shared" si="0"/>
        <v>48005_2-1</v>
      </c>
      <c r="B6" s="15" t="str">
        <f>IF(COUNTIF(enemy_habitats!$H:$H,A6),"OK","NG")</f>
        <v>OK</v>
      </c>
      <c r="C6" s="104">
        <v>48005</v>
      </c>
      <c r="D6" s="11" t="str">
        <f ca="1">VLOOKUP($C6,OFFSET([2]quests!$A$1,0,0,COUNTA([2]quests!$A:$A),MATCH(D$1,[2]quests!$1:$1,0)-MATCH($C$1,[2]quests!$1:$1,0)+1),MATCH(D$1,[2]quests!$1:$1,0)-MATCH($C$1,[2]quests!$1:$1,0)+1,FALSE)</f>
        <v>孫悟空襲来！</v>
      </c>
      <c r="E6" s="17" t="str">
        <f ca="1">VLOOKUP($C6,OFFSET([2]quests!$A$1,0,0,COUNTA([2]quests!$A:$A),MATCH(E$1,[2]quests!$1:$1,0)-MATCH($C$1,[2]quests!$1:$1,0)+1),MATCH(E$1,[2]quests!$1:$1,0)-MATCH($C$1,[2]quests!$1:$1,0)+1,FALSE)</f>
        <v>台湾版降臨6</v>
      </c>
      <c r="F6" s="105">
        <v>2</v>
      </c>
      <c r="G6" s="20" t="str">
        <f t="shared" si="1"/>
        <v>48005_2</v>
      </c>
      <c r="H6" s="14" t="str">
        <f ca="1">VLOOKUP($G6,OFFSET([2]stages!$A$1,0,0,COUNTA([2]stages!$A:$A),MATCH(H$1,[2]stages!$2:$2,0)-MATCH($G$1,[2]stages!$2:$2,0)+1),MATCH(H$1,[2]stages!$2:$2,0)-MATCH($G$1,[2]stages!$2:$2,0)+1,FALSE)</f>
        <v>【ウィザード級】孫悟空襲来</v>
      </c>
      <c r="I6" s="105">
        <v>1</v>
      </c>
      <c r="J6" s="35">
        <v>60</v>
      </c>
      <c r="K6" s="35">
        <v>60</v>
      </c>
    </row>
    <row r="7" spans="1:11" ht="21" customHeight="1" x14ac:dyDescent="0.15">
      <c r="A7" s="15" t="str">
        <f t="shared" si="0"/>
        <v>48005_2-2</v>
      </c>
      <c r="B7" s="15" t="str">
        <f>IF(COUNTIF(enemy_habitats!$H:$H,A7),"OK","NG")</f>
        <v>OK</v>
      </c>
      <c r="C7" s="104">
        <v>48005</v>
      </c>
      <c r="D7" s="11" t="str">
        <f ca="1">VLOOKUP($C7,OFFSET([2]quests!$A$1,0,0,COUNTA([2]quests!$A:$A),MATCH(D$1,[2]quests!$1:$1,0)-MATCH($C$1,[2]quests!$1:$1,0)+1),MATCH(D$1,[2]quests!$1:$1,0)-MATCH($C$1,[2]quests!$1:$1,0)+1,FALSE)</f>
        <v>孫悟空襲来！</v>
      </c>
      <c r="E7" s="17" t="str">
        <f ca="1">VLOOKUP($C7,OFFSET([2]quests!$A$1,0,0,COUNTA([2]quests!$A:$A),MATCH(E$1,[2]quests!$1:$1,0)-MATCH($C$1,[2]quests!$1:$1,0)+1),MATCH(E$1,[2]quests!$1:$1,0)-MATCH($C$1,[2]quests!$1:$1,0)+1,FALSE)</f>
        <v>台湾版降臨6</v>
      </c>
      <c r="F7" s="105">
        <v>2</v>
      </c>
      <c r="G7" s="20" t="str">
        <f t="shared" si="1"/>
        <v>48005_2</v>
      </c>
      <c r="H7" s="14" t="str">
        <f ca="1">VLOOKUP($G7,OFFSET([2]stages!$A$1,0,0,COUNTA([2]stages!$A:$A),MATCH(H$1,[2]stages!$2:$2,0)-MATCH($G$1,[2]stages!$2:$2,0)+1),MATCH(H$1,[2]stages!$2:$2,0)-MATCH($G$1,[2]stages!$2:$2,0)+1,FALSE)</f>
        <v>【ウィザード級】孫悟空襲来</v>
      </c>
      <c r="I7" s="105">
        <v>2</v>
      </c>
      <c r="J7" s="35">
        <v>60</v>
      </c>
      <c r="K7" s="35">
        <v>60</v>
      </c>
    </row>
    <row r="8" spans="1:11" ht="21" customHeight="1" x14ac:dyDescent="0.15">
      <c r="A8" s="15" t="str">
        <f t="shared" si="0"/>
        <v>48005_2-3</v>
      </c>
      <c r="B8" s="15" t="str">
        <f>IF(COUNTIF(enemy_habitats!$H:$H,A8),"OK","NG")</f>
        <v>OK</v>
      </c>
      <c r="C8" s="104">
        <v>48005</v>
      </c>
      <c r="D8" s="11" t="str">
        <f ca="1">VLOOKUP($C8,OFFSET([2]quests!$A$1,0,0,COUNTA([2]quests!$A:$A),MATCH(D$1,[2]quests!$1:$1,0)-MATCH($C$1,[2]quests!$1:$1,0)+1),MATCH(D$1,[2]quests!$1:$1,0)-MATCH($C$1,[2]quests!$1:$1,0)+1,FALSE)</f>
        <v>孫悟空襲来！</v>
      </c>
      <c r="E8" s="17" t="str">
        <f ca="1">VLOOKUP($C8,OFFSET([2]quests!$A$1,0,0,COUNTA([2]quests!$A:$A),MATCH(E$1,[2]quests!$1:$1,0)-MATCH($C$1,[2]quests!$1:$1,0)+1),MATCH(E$1,[2]quests!$1:$1,0)-MATCH($C$1,[2]quests!$1:$1,0)+1,FALSE)</f>
        <v>台湾版降臨6</v>
      </c>
      <c r="F8" s="105">
        <v>2</v>
      </c>
      <c r="G8" s="20" t="str">
        <f t="shared" si="1"/>
        <v>48005_2</v>
      </c>
      <c r="H8" s="14" t="str">
        <f ca="1">VLOOKUP($G8,OFFSET([2]stages!$A$1,0,0,COUNTA([2]stages!$A:$A),MATCH(H$1,[2]stages!$2:$2,0)-MATCH($G$1,[2]stages!$2:$2,0)+1),MATCH(H$1,[2]stages!$2:$2,0)-MATCH($G$1,[2]stages!$2:$2,0)+1,FALSE)</f>
        <v>【ウィザード級】孫悟空襲来</v>
      </c>
      <c r="I8" s="105">
        <v>3</v>
      </c>
      <c r="J8" s="35">
        <v>60</v>
      </c>
      <c r="K8" s="35">
        <v>60</v>
      </c>
    </row>
    <row r="9" spans="1:11" ht="21" customHeight="1" x14ac:dyDescent="0.15">
      <c r="A9" s="15" t="str">
        <f t="shared" si="0"/>
        <v>48005_2-4</v>
      </c>
      <c r="B9" s="15" t="str">
        <f>IF(COUNTIF(enemy_habitats!$H:$H,A9),"OK","NG")</f>
        <v>OK</v>
      </c>
      <c r="C9" s="104">
        <v>48005</v>
      </c>
      <c r="D9" s="11" t="str">
        <f ca="1">VLOOKUP($C9,OFFSET([2]quests!$A$1,0,0,COUNTA([2]quests!$A:$A),MATCH(D$1,[2]quests!$1:$1,0)-MATCH($C$1,[2]quests!$1:$1,0)+1),MATCH(D$1,[2]quests!$1:$1,0)-MATCH($C$1,[2]quests!$1:$1,0)+1,FALSE)</f>
        <v>孫悟空襲来！</v>
      </c>
      <c r="E9" s="17" t="str">
        <f ca="1">VLOOKUP($C9,OFFSET([2]quests!$A$1,0,0,COUNTA([2]quests!$A:$A),MATCH(E$1,[2]quests!$1:$1,0)-MATCH($C$1,[2]quests!$1:$1,0)+1),MATCH(E$1,[2]quests!$1:$1,0)-MATCH($C$1,[2]quests!$1:$1,0)+1,FALSE)</f>
        <v>台湾版降臨6</v>
      </c>
      <c r="F9" s="105">
        <v>2</v>
      </c>
      <c r="G9" s="20" t="str">
        <f t="shared" si="1"/>
        <v>48005_2</v>
      </c>
      <c r="H9" s="14" t="str">
        <f ca="1">VLOOKUP($G9,OFFSET([2]stages!$A$1,0,0,COUNTA([2]stages!$A:$A),MATCH(H$1,[2]stages!$2:$2,0)-MATCH($G$1,[2]stages!$2:$2,0)+1),MATCH(H$1,[2]stages!$2:$2,0)-MATCH($G$1,[2]stages!$2:$2,0)+1,FALSE)</f>
        <v>【ウィザード級】孫悟空襲来</v>
      </c>
      <c r="I9" s="105">
        <v>4</v>
      </c>
      <c r="J9" s="35">
        <v>60</v>
      </c>
      <c r="K9" s="35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9"/>
  <sheetViews>
    <sheetView showGridLines="0" zoomScale="127" zoomScaleNormal="127" zoomScalePageLayoutView="127" workbookViewId="0">
      <pane xSplit="17" ySplit="1" topLeftCell="Z2" activePane="bottomRight" state="frozen"/>
      <selection pane="topRight" activeCell="N1" sqref="N1"/>
      <selection pane="bottomLeft" activeCell="A2" sqref="A2"/>
      <selection pane="bottomRight" activeCell="AD22" sqref="AD22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2" bestFit="1" customWidth="1" outlineLevel="1"/>
    <col min="32" max="32" width="8" style="13" bestFit="1" customWidth="1" outlineLevel="1"/>
    <col min="33" max="33" width="12" style="13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2" customFormat="1" ht="21" customHeight="1" x14ac:dyDescent="0.15">
      <c r="A1" s="24" t="s">
        <v>29</v>
      </c>
      <c r="B1" s="25" t="s">
        <v>0</v>
      </c>
      <c r="C1" s="25" t="s">
        <v>1</v>
      </c>
      <c r="D1" s="26" t="s">
        <v>28</v>
      </c>
      <c r="E1" s="27" t="s">
        <v>20</v>
      </c>
      <c r="F1" s="27" t="s">
        <v>20</v>
      </c>
      <c r="G1" s="25" t="s">
        <v>19</v>
      </c>
      <c r="H1" s="26" t="s">
        <v>35</v>
      </c>
      <c r="I1" s="26" t="s">
        <v>14</v>
      </c>
      <c r="J1" s="26" t="s">
        <v>15</v>
      </c>
      <c r="K1" s="33" t="s">
        <v>53</v>
      </c>
      <c r="L1" s="34" t="s">
        <v>2</v>
      </c>
      <c r="M1" s="28" t="s">
        <v>21</v>
      </c>
      <c r="N1" s="26" t="s">
        <v>24</v>
      </c>
      <c r="O1" s="26" t="s">
        <v>23</v>
      </c>
      <c r="P1" s="29" t="s">
        <v>26</v>
      </c>
      <c r="Q1" s="27" t="s">
        <v>25</v>
      </c>
      <c r="R1" s="25" t="s">
        <v>3</v>
      </c>
      <c r="S1" s="23" t="s">
        <v>48</v>
      </c>
      <c r="T1" s="101" t="s">
        <v>252</v>
      </c>
      <c r="U1" s="23" t="s">
        <v>50</v>
      </c>
      <c r="V1" s="101" t="s">
        <v>253</v>
      </c>
      <c r="W1" s="23" t="s">
        <v>52</v>
      </c>
      <c r="X1" s="26" t="s">
        <v>31</v>
      </c>
      <c r="Y1" s="25" t="s">
        <v>4</v>
      </c>
      <c r="Z1" s="25" t="s">
        <v>5</v>
      </c>
      <c r="AA1" s="25" t="s">
        <v>6</v>
      </c>
      <c r="AB1" s="25" t="s">
        <v>7</v>
      </c>
      <c r="AC1" s="25" t="s">
        <v>8</v>
      </c>
      <c r="AD1" s="30" t="s">
        <v>9</v>
      </c>
      <c r="AE1" s="31" t="s">
        <v>16</v>
      </c>
      <c r="AF1" s="31" t="s">
        <v>17</v>
      </c>
      <c r="AG1" s="31" t="s">
        <v>27</v>
      </c>
      <c r="AH1" s="30" t="s">
        <v>10</v>
      </c>
      <c r="AI1" s="25" t="s">
        <v>11</v>
      </c>
      <c r="AJ1" s="25" t="s">
        <v>12</v>
      </c>
      <c r="AK1" s="25" t="s">
        <v>38</v>
      </c>
      <c r="AL1" s="25" t="s">
        <v>40</v>
      </c>
      <c r="AM1" s="25" t="s">
        <v>42</v>
      </c>
      <c r="AN1" s="25" t="s">
        <v>44</v>
      </c>
      <c r="AO1" s="25" t="s">
        <v>46</v>
      </c>
      <c r="AP1" s="33" t="s">
        <v>178</v>
      </c>
    </row>
    <row r="2" spans="1:42" ht="21" customHeight="1" x14ac:dyDescent="0.15">
      <c r="A2" s="15" t="str">
        <f t="shared" ref="A2:A5" ca="1" si="0">B2&amp;"_"&amp;C2&amp;"-"&amp;G2&amp;"/"&amp;L2&amp;"&lt;lv"&amp;R2&amp;"&gt;s"&amp;AC2</f>
        <v>48005_1-1/8007&lt;lv68&gt;s3</v>
      </c>
      <c r="B2" s="19">
        <v>48005</v>
      </c>
      <c r="C2" s="105">
        <v>1</v>
      </c>
      <c r="D2" s="2" t="str">
        <f t="shared" ref="D2:D5" si="1">B2&amp;"_"&amp;C2</f>
        <v>48005_1</v>
      </c>
      <c r="E2" s="4" t="str">
        <f ca="1">VLOOKUP($B2,OFFSET([2]quests!$A$1,0,0,COUNTA([2]quests!$A:$A),MATCH(E$1,[2]quests!$1:$1,0)-MATCH($B$1,[2]quests!$1:$1,0)+1),MATCH(E$1,[2]quests!$1:$1,0)-MATCH($B$1,[2]quests!$1:$1,0)+1,FALSE)</f>
        <v>孫悟空襲来！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【超絶級】孫悟空襲来</v>
      </c>
      <c r="G2" s="105">
        <v>1</v>
      </c>
      <c r="H2" s="14" t="str">
        <f t="shared" ref="H2:H5" si="2">B2&amp;"_"&amp;C2&amp;"-"&amp;G2</f>
        <v>48005_1-1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5" t="s">
        <v>254</v>
      </c>
      <c r="L2" s="106">
        <v>8007</v>
      </c>
      <c r="M2" s="16" t="str">
        <f ca="1">VLOOKUP($L2,OFFSET([3]enemies!$A$1,0,0,COUNTA([3]enemies!$A:$A),MATCH(M$1,[3]enemies!$1:$1,0)-MATCH($L$1,[3]enemies!$1:$1,0)+1),MATCH(M$1,[3]enemies!$1:$1,0)-MATCH($L$1,[3]enemies!$1:$1,0)+1,FALSE)</f>
        <v>孫悟空</v>
      </c>
      <c r="N2" s="16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DropWizS</v>
      </c>
      <c r="P2" s="16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6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68</v>
      </c>
      <c r="S2" s="22">
        <v>2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0</v>
      </c>
      <c r="U2" s="22">
        <v>1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0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強い奴なら大歓迎だぜ！</v>
      </c>
      <c r="Y2" s="59">
        <v>48005001</v>
      </c>
      <c r="Z2" s="6">
        <v>1</v>
      </c>
      <c r="AA2" s="6">
        <v>100</v>
      </c>
      <c r="AB2" s="6">
        <v>0</v>
      </c>
      <c r="AC2" s="16">
        <f ca="1">VLOOKUP($L2,OFFSET([3]enemies!$A$1,0,0,COUNTA([3]enemies!$A:$A),MATCH(AC$1,[3]enemies!$1:$1,0)-MATCH($L$1,[3]enemies!$1:$1,0)+1),MATCH(AC$1,[3]enemies!$1:$1,0)-MATCH($L$1,[3]enemies!$1:$1,0)+1,FALSE)</f>
        <v>3</v>
      </c>
      <c r="AD2" s="21">
        <f t="shared" ref="AD2:AD5" si="3">L2</f>
        <v>8007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孫悟空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2" s="7">
        <v>1</v>
      </c>
      <c r="AI2" s="21">
        <f t="shared" ref="AI2:AI5" ca="1" si="4">AF2</f>
        <v>5</v>
      </c>
      <c r="AJ2" s="8">
        <v>0</v>
      </c>
      <c r="AK2" s="104">
        <v>0</v>
      </c>
      <c r="AL2" s="104">
        <v>0</v>
      </c>
      <c r="AM2" s="104">
        <v>0</v>
      </c>
      <c r="AN2" s="104">
        <v>0</v>
      </c>
      <c r="AO2" s="104">
        <v>1</v>
      </c>
      <c r="AP2" s="67">
        <v>1</v>
      </c>
    </row>
    <row r="3" spans="1:42" ht="21" customHeight="1" x14ac:dyDescent="0.15">
      <c r="A3" s="15" t="str">
        <f t="shared" ca="1" si="0"/>
        <v>48005_1-2/33&lt;lv68&gt;s2</v>
      </c>
      <c r="B3" s="19">
        <v>48005</v>
      </c>
      <c r="C3" s="105">
        <v>1</v>
      </c>
      <c r="D3" s="2" t="str">
        <f t="shared" si="1"/>
        <v>48005_1</v>
      </c>
      <c r="E3" s="4" t="str">
        <f ca="1">VLOOKUP($B3,OFFSET([2]quests!$A$1,0,0,COUNTA([2]quests!$A:$A),MATCH(E$1,[2]quests!$1:$1,0)-MATCH($B$1,[2]quests!$1:$1,0)+1),MATCH(E$1,[2]quests!$1:$1,0)-MATCH($B$1,[2]quests!$1:$1,0)+1,FALSE)</f>
        <v>孫悟空襲来！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【超絶級】孫悟空襲来</v>
      </c>
      <c r="G3" s="105">
        <v>2</v>
      </c>
      <c r="H3" s="14" t="str">
        <f t="shared" si="2"/>
        <v>48005_1-2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5" t="s">
        <v>254</v>
      </c>
      <c r="L3" s="106">
        <v>33</v>
      </c>
      <c r="M3" s="16" t="str">
        <f ca="1">VLOOKUP($L3,OFFSET([3]enemies!$A$1,0,0,COUNTA([3]enemies!$A:$A),MATCH(M$1,[3]enemies!$1:$1,0)-MATCH($L$1,[3]enemies!$1:$1,0)+1),MATCH(M$1,[3]enemies!$1:$1,0)-MATCH($L$1,[3]enemies!$1:$1,0)+1,FALSE)</f>
        <v>ゴクウ</v>
      </c>
      <c r="N3" s="16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6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6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68</v>
      </c>
      <c r="S3" s="22">
        <v>1.5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20850</v>
      </c>
      <c r="U3" s="22">
        <v>1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6223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自身の攻撃力UP</v>
      </c>
      <c r="Y3" s="59">
        <v>48005002</v>
      </c>
      <c r="Z3" s="6">
        <v>4</v>
      </c>
      <c r="AA3" s="6">
        <v>100</v>
      </c>
      <c r="AB3" s="6">
        <v>0</v>
      </c>
      <c r="AC3" s="16">
        <f ca="1">VLOOKUP($L3,OFFSET([3]enemies!$A$1,0,0,COUNTA([3]enemies!$A:$A),MATCH(AC$1,[3]enemies!$1:$1,0)-MATCH($L$1,[3]enemies!$1:$1,0)+1),MATCH(AC$1,[3]enemies!$1:$1,0)-MATCH($L$1,[3]enemies!$1:$1,0)+1,FALSE)</f>
        <v>2</v>
      </c>
      <c r="AD3" s="21">
        <f t="shared" si="3"/>
        <v>33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ゴクウ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1">
        <f t="shared" ca="1" si="4"/>
        <v>2</v>
      </c>
      <c r="AJ3" s="8">
        <v>30</v>
      </c>
      <c r="AK3" s="104">
        <v>0</v>
      </c>
      <c r="AL3" s="104">
        <v>0</v>
      </c>
      <c r="AM3" s="104">
        <v>0</v>
      </c>
      <c r="AN3" s="104">
        <v>0</v>
      </c>
      <c r="AO3" s="104">
        <v>1</v>
      </c>
      <c r="AP3" s="67">
        <v>1</v>
      </c>
    </row>
    <row r="4" spans="1:42" ht="21" customHeight="1" x14ac:dyDescent="0.15">
      <c r="A4" s="15" t="str">
        <f t="shared" ca="1" si="0"/>
        <v>48005_1-3/672&lt;lv69&gt;s3</v>
      </c>
      <c r="B4" s="19">
        <v>48005</v>
      </c>
      <c r="C4" s="105">
        <v>1</v>
      </c>
      <c r="D4" s="2" t="str">
        <f t="shared" si="1"/>
        <v>48005_1</v>
      </c>
      <c r="E4" s="4" t="str">
        <f ca="1">VLOOKUP($B4,OFFSET([2]quests!$A$1,0,0,COUNTA([2]quests!$A:$A),MATCH(E$1,[2]quests!$1:$1,0)-MATCH($B$1,[2]quests!$1:$1,0)+1),MATCH(E$1,[2]quests!$1:$1,0)-MATCH($B$1,[2]quests!$1:$1,0)+1,FALSE)</f>
        <v>孫悟空襲来！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【超絶級】孫悟空襲来</v>
      </c>
      <c r="G4" s="105">
        <v>3</v>
      </c>
      <c r="H4" s="14" t="str">
        <f t="shared" si="2"/>
        <v>48005_1-3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5">
        <v>3</v>
      </c>
      <c r="L4" s="106">
        <v>672</v>
      </c>
      <c r="M4" s="16" t="str">
        <f ca="1">VLOOKUP($L4,OFFSET([3]enemies!$A$1,0,0,COUNTA([3]enemies!$A:$A),MATCH(M$1,[3]enemies!$1:$1,0)-MATCH($L$1,[3]enemies!$1:$1,0)+1),MATCH(M$1,[3]enemies!$1:$1,0)-MATCH($L$1,[3]enemies!$1:$1,0)+1,FALSE)</f>
        <v>西遊韋駄天 ハヌマーン</v>
      </c>
      <c r="N4" s="16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6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6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69</v>
      </c>
      <c r="S4" s="22">
        <v>1.5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140224.5</v>
      </c>
      <c r="U4" s="22">
        <v>0.7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7174.2999999999993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【表示なし】</v>
      </c>
      <c r="Y4" s="59">
        <v>48005003</v>
      </c>
      <c r="Z4" s="6">
        <v>1</v>
      </c>
      <c r="AA4" s="6">
        <v>100</v>
      </c>
      <c r="AB4" s="6">
        <v>0</v>
      </c>
      <c r="AC4" s="16">
        <f ca="1">VLOOKUP($L4,OFFSET([3]enemies!$A$1,0,0,COUNTA([3]enemies!$A:$A),MATCH(AC$1,[3]enemies!$1:$1,0)-MATCH($L$1,[3]enemies!$1:$1,0)+1),MATCH(AC$1,[3]enemies!$1:$1,0)-MATCH($L$1,[3]enemies!$1:$1,0)+1,FALSE)</f>
        <v>3</v>
      </c>
      <c r="AD4" s="21">
        <f t="shared" si="3"/>
        <v>672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西遊韋駄天 ハヌマーン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4" s="7">
        <v>1</v>
      </c>
      <c r="AI4" s="21">
        <f t="shared" ca="1" si="4"/>
        <v>4</v>
      </c>
      <c r="AJ4" s="8">
        <v>0</v>
      </c>
      <c r="AK4" s="104">
        <v>0</v>
      </c>
      <c r="AL4" s="104">
        <v>0</v>
      </c>
      <c r="AM4" s="104">
        <v>0</v>
      </c>
      <c r="AN4" s="104">
        <v>0</v>
      </c>
      <c r="AO4" s="104">
        <v>1</v>
      </c>
      <c r="AP4" s="67">
        <v>1</v>
      </c>
    </row>
    <row r="5" spans="1:42" s="147" customFormat="1" ht="21" customHeight="1" thickBot="1" x14ac:dyDescent="0.2">
      <c r="A5" s="130" t="str">
        <f t="shared" ca="1" si="0"/>
        <v>48005_1-4/8007&lt;lv69&gt;s3</v>
      </c>
      <c r="B5" s="131">
        <v>48005</v>
      </c>
      <c r="C5" s="132">
        <v>1</v>
      </c>
      <c r="D5" s="133" t="str">
        <f t="shared" si="1"/>
        <v>48005_1</v>
      </c>
      <c r="E5" s="134" t="str">
        <f ca="1">VLOOKUP($B5,OFFSET([2]quests!$A$1,0,0,COUNTA([2]quests!$A:$A),MATCH(E$1,[2]quests!$1:$1,0)-MATCH($B$1,[2]quests!$1:$1,0)+1),MATCH(E$1,[2]quests!$1:$1,0)-MATCH($B$1,[2]quests!$1:$1,0)+1,FALSE)</f>
        <v>孫悟空襲来！</v>
      </c>
      <c r="F5" s="134" t="str">
        <f ca="1">VLOOKUP($D5,OFFSET([2]stages!$A$1,0,0,COUNTA([2]stages!$A:$A),MATCH(F$1,[2]stages!$2:$2,0)-MATCH($D$1,[2]stages!$2:$2,0)+1),MATCH(F$1,[2]stages!$2:$2,0)-MATCH($D$1,[2]stages!$2:$2,0)+1,FALSE)</f>
        <v>【超絶級】孫悟空襲来</v>
      </c>
      <c r="G5" s="132">
        <v>4</v>
      </c>
      <c r="H5" s="133" t="str">
        <f t="shared" si="2"/>
        <v>48005_1-4</v>
      </c>
      <c r="I5" s="134">
        <f ca="1">VLOOKUP($H5,OFFSET(floors!$A$1,0,0,COUNTA(floors!$A:$A),MATCH(I$1,floors!$1:$1,0)-MATCH($H$1,floors!$1:$1,0)+1),MATCH(I$1,floors!$1:$1,0)-MATCH($H$1,floors!$1:$1,0)+1,FALSE)</f>
        <v>60</v>
      </c>
      <c r="J5" s="134">
        <f ca="1">VLOOKUP($H5,OFFSET(floors!$A$1,0,0,COUNTA(floors!$A:$A),MATCH(J$1,floors!$1:$1,0)-MATCH($H$1,floors!$1:$1,0)+1),MATCH(J$1,floors!$1:$1,0)-MATCH($H$1,floors!$1:$1,0)+1,FALSE)</f>
        <v>60</v>
      </c>
      <c r="K5" s="135">
        <v>4</v>
      </c>
      <c r="L5" s="136">
        <v>8007</v>
      </c>
      <c r="M5" s="137" t="str">
        <f ca="1">VLOOKUP($L5,OFFSET([3]enemies!$A$1,0,0,COUNTA([3]enemies!$A:$A),MATCH(M$1,[3]enemies!$1:$1,0)-MATCH($L$1,[3]enemies!$1:$1,0)+1),MATCH(M$1,[3]enemies!$1:$1,0)-MATCH($L$1,[3]enemies!$1:$1,0)+1,FALSE)</f>
        <v>孫悟空</v>
      </c>
      <c r="N5" s="13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37" t="str">
        <f ca="1">VLOOKUP($L5,OFFSET([4]characters!$A$1,0,0,COUNTA([4]characters!$A:$A),MATCH(O$1,[4]characters!$1:$1,0)-MATCH($L$1,[4]characters!$1:$1,0)+1),MATCH(O$1,[4]characters!$1:$1,0)-MATCH($L$1,[4]characters!$1:$1,0)+1,FALSE)</f>
        <v>DropWizS</v>
      </c>
      <c r="P5" s="13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37">
        <f ca="1">VLOOKUP($L5,OFFSET([3]enemies!$A$1,0,0,COUNTA([3]enemies!$A:$A),MATCH(Q$1,[3]enemies!$1:$1,0)-MATCH($L$1,[3]enemies!$1:$1,0)+1),MATCH(Q$1,[3]enemies!$1:$1,0)-MATCH($L$1,[3]enemies!$1:$1,0)+1,FALSE)</f>
        <v>60</v>
      </c>
      <c r="R5" s="138">
        <v>69</v>
      </c>
      <c r="S5" s="139">
        <v>3</v>
      </c>
      <c r="T5" s="140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0</v>
      </c>
      <c r="U5" s="139">
        <v>0.9</v>
      </c>
      <c r="V5" s="140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0</v>
      </c>
      <c r="W5" s="138">
        <v>0</v>
      </c>
      <c r="X5" s="13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5" s="141">
        <v>48005005</v>
      </c>
      <c r="Z5" s="142">
        <v>1</v>
      </c>
      <c r="AA5" s="142">
        <v>100</v>
      </c>
      <c r="AB5" s="142">
        <v>0</v>
      </c>
      <c r="AC5" s="137">
        <f ca="1">VLOOKUP($L5,OFFSET([3]enemies!$A$1,0,0,COUNTA([3]enemies!$A:$A),MATCH(AC$1,[3]enemies!$1:$1,0)-MATCH($L$1,[3]enemies!$1:$1,0)+1),MATCH(AC$1,[3]enemies!$1:$1,0)-MATCH($L$1,[3]enemies!$1:$1,0)+1,FALSE)</f>
        <v>3</v>
      </c>
      <c r="AD5" s="143">
        <f t="shared" si="3"/>
        <v>8007</v>
      </c>
      <c r="AE5" s="13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孫悟空</v>
      </c>
      <c r="AF5" s="134">
        <f ca="1">VLOOKUP($AD5,OFFSET([4]characters!$A$1,0,0,COUNTA([4]characters!$A:$A),MATCH(AF$1,[4]characters!$1:$1,0)-MATCH("character_id",[4]characters!$1:$1,0)+1),MATCH(AF$1,[4]characters!$1:$1,0)-MATCH("character_id",[4]characters!$1:$1,0)+1,FALSE)</f>
        <v>5</v>
      </c>
      <c r="AG5" s="13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5" s="144">
        <v>1</v>
      </c>
      <c r="AI5" s="143">
        <f t="shared" ca="1" si="4"/>
        <v>5</v>
      </c>
      <c r="AJ5" s="145">
        <v>15</v>
      </c>
      <c r="AK5" s="144">
        <v>0</v>
      </c>
      <c r="AL5" s="144">
        <v>0</v>
      </c>
      <c r="AM5" s="144">
        <v>0</v>
      </c>
      <c r="AN5" s="144">
        <v>0</v>
      </c>
      <c r="AO5" s="144">
        <v>1</v>
      </c>
      <c r="AP5" s="146">
        <v>1</v>
      </c>
    </row>
    <row r="6" spans="1:42" ht="21" customHeight="1" thickTop="1" x14ac:dyDescent="0.15">
      <c r="A6" s="15" t="str">
        <f ca="1">B6&amp;"_"&amp;C6&amp;"-"&amp;G6&amp;"/"&amp;L6&amp;"&lt;lv"&amp;R6&amp;"&gt;s"&amp;AC6</f>
        <v>48005_2-1/8007&lt;lv80&gt;s3</v>
      </c>
      <c r="B6" s="19">
        <v>48005</v>
      </c>
      <c r="C6" s="118">
        <v>2</v>
      </c>
      <c r="D6" s="119" t="str">
        <f>B6&amp;"_"&amp;C6</f>
        <v>48005_2</v>
      </c>
      <c r="E6" s="4" t="str">
        <f ca="1">VLOOKUP($B6,OFFSET([2]quests!$A$1,0,0,COUNTA([2]quests!$A:$A),MATCH(E$1,[2]quests!$1:$1,0)-MATCH($B$1,[2]quests!$1:$1,0)+1),MATCH(E$1,[2]quests!$1:$1,0)-MATCH($B$1,[2]quests!$1:$1,0)+1,FALSE)</f>
        <v>孫悟空襲来！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【ウィザード級】孫悟空襲来</v>
      </c>
      <c r="G6" s="118">
        <v>1</v>
      </c>
      <c r="H6" s="119" t="str">
        <f>B6&amp;"_"&amp;C6&amp;"-"&amp;G6</f>
        <v>48005_2-1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120" t="s">
        <v>254</v>
      </c>
      <c r="L6" s="121">
        <v>8007</v>
      </c>
      <c r="M6" s="16" t="str">
        <f ca="1">VLOOKUP($L6,OFFSET([3]enemies!$A$1,0,0,COUNTA([3]enemies!$A:$A),MATCH(M$1,[3]enemies!$1:$1,0)-MATCH($L$1,[3]enemies!$1:$1,0)+1),MATCH(M$1,[3]enemies!$1:$1,0)-MATCH($L$1,[3]enemies!$1:$1,0)+1,FALSE)</f>
        <v>孫悟空</v>
      </c>
      <c r="N6" s="16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DropWizS</v>
      </c>
      <c r="P6" s="16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6">
        <f ca="1">VLOOKUP($L6,OFFSET([3]enemies!$A$1,0,0,COUNTA([3]enemies!$A:$A),MATCH(Q$1,[3]enemies!$1:$1,0)-MATCH($L$1,[3]enemies!$1:$1,0)+1),MATCH(Q$1,[3]enemies!$1:$1,0)-MATCH($L$1,[3]enemies!$1:$1,0)+1,FALSE)</f>
        <v>60</v>
      </c>
      <c r="R6" s="122">
        <v>80</v>
      </c>
      <c r="S6" s="123">
        <v>2</v>
      </c>
      <c r="T6" s="124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0</v>
      </c>
      <c r="U6" s="123">
        <v>1</v>
      </c>
      <c r="V6" s="124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0</v>
      </c>
      <c r="W6" s="122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強い奴なら大歓迎だぜ！</v>
      </c>
      <c r="Y6" s="59">
        <v>48005001</v>
      </c>
      <c r="Z6" s="125">
        <v>1</v>
      </c>
      <c r="AA6" s="125">
        <v>100</v>
      </c>
      <c r="AB6" s="125">
        <v>0</v>
      </c>
      <c r="AC6" s="16">
        <f ca="1">VLOOKUP($L6,OFFSET([3]enemies!$A$1,0,0,COUNTA([3]enemies!$A:$A),MATCH(AC$1,[3]enemies!$1:$1,0)-MATCH($L$1,[3]enemies!$1:$1,0)+1),MATCH(AC$1,[3]enemies!$1:$1,0)-MATCH($L$1,[3]enemies!$1:$1,0)+1,FALSE)</f>
        <v>3</v>
      </c>
      <c r="AD6" s="126">
        <f>L6</f>
        <v>8007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孫悟空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6" s="127">
        <v>1</v>
      </c>
      <c r="AI6" s="126">
        <f ca="1">AF6</f>
        <v>5</v>
      </c>
      <c r="AJ6" s="128">
        <v>0</v>
      </c>
      <c r="AK6" s="127">
        <v>0</v>
      </c>
      <c r="AL6" s="127">
        <v>0</v>
      </c>
      <c r="AM6" s="127">
        <v>0</v>
      </c>
      <c r="AN6" s="127">
        <v>0</v>
      </c>
      <c r="AO6" s="127">
        <v>1</v>
      </c>
      <c r="AP6" s="129">
        <v>1</v>
      </c>
    </row>
    <row r="7" spans="1:42" ht="21" customHeight="1" x14ac:dyDescent="0.15">
      <c r="A7" s="15" t="str">
        <f ca="1">B7&amp;"_"&amp;C7&amp;"-"&amp;G7&amp;"/"&amp;L7&amp;"&lt;lv"&amp;R7&amp;"&gt;s"&amp;AC7</f>
        <v>48005_2-2/33&lt;lv99&gt;s2</v>
      </c>
      <c r="B7" s="19">
        <v>48005</v>
      </c>
      <c r="C7" s="105">
        <v>2</v>
      </c>
      <c r="D7" s="2" t="str">
        <f>B7&amp;"_"&amp;C7</f>
        <v>48005_2</v>
      </c>
      <c r="E7" s="4" t="str">
        <f ca="1">VLOOKUP($B7,OFFSET([2]quests!$A$1,0,0,COUNTA([2]quests!$A:$A),MATCH(E$1,[2]quests!$1:$1,0)-MATCH($B$1,[2]quests!$1:$1,0)+1),MATCH(E$1,[2]quests!$1:$1,0)-MATCH($B$1,[2]quests!$1:$1,0)+1,FALSE)</f>
        <v>孫悟空襲来！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【ウィザード級】孫悟空襲来</v>
      </c>
      <c r="G7" s="105">
        <v>2</v>
      </c>
      <c r="H7" s="14" t="str">
        <f>B7&amp;"_"&amp;C7&amp;"-"&amp;G7</f>
        <v>48005_2-2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5" t="s">
        <v>254</v>
      </c>
      <c r="L7" s="106">
        <v>33</v>
      </c>
      <c r="M7" s="16" t="str">
        <f ca="1">VLOOKUP($L7,OFFSET([3]enemies!$A$1,0,0,COUNTA([3]enemies!$A:$A),MATCH(M$1,[3]enemies!$1:$1,0)-MATCH($L$1,[3]enemies!$1:$1,0)+1),MATCH(M$1,[3]enemies!$1:$1,0)-MATCH($L$1,[3]enemies!$1:$1,0)+1,FALSE)</f>
        <v>ゴクウ</v>
      </c>
      <c r="N7" s="16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6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6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6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99</v>
      </c>
      <c r="S7" s="22">
        <v>1.8</v>
      </c>
      <c r="T7" s="10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36180</v>
      </c>
      <c r="U7" s="22">
        <v>1</v>
      </c>
      <c r="V7" s="10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8998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自身の攻撃力UP</v>
      </c>
      <c r="Y7" s="59">
        <v>48005002</v>
      </c>
      <c r="Z7" s="6">
        <v>4</v>
      </c>
      <c r="AA7" s="6">
        <v>100</v>
      </c>
      <c r="AB7" s="6">
        <v>0</v>
      </c>
      <c r="AC7" s="16">
        <f ca="1">VLOOKUP($L7,OFFSET([3]enemies!$A$1,0,0,COUNTA([3]enemies!$A:$A),MATCH(AC$1,[3]enemies!$1:$1,0)-MATCH($L$1,[3]enemies!$1:$1,0)+1),MATCH(AC$1,[3]enemies!$1:$1,0)-MATCH($L$1,[3]enemies!$1:$1,0)+1,FALSE)</f>
        <v>2</v>
      </c>
      <c r="AD7" s="21">
        <f>L7</f>
        <v>33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ゴクウ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2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Drop1S</v>
      </c>
      <c r="AH7" s="7">
        <v>1</v>
      </c>
      <c r="AI7" s="21">
        <f ca="1">AF7</f>
        <v>2</v>
      </c>
      <c r="AJ7" s="8">
        <v>30</v>
      </c>
      <c r="AK7" s="104">
        <v>0</v>
      </c>
      <c r="AL7" s="104">
        <v>0</v>
      </c>
      <c r="AM7" s="104">
        <v>0</v>
      </c>
      <c r="AN7" s="104">
        <v>0</v>
      </c>
      <c r="AO7" s="104">
        <v>1</v>
      </c>
      <c r="AP7" s="67">
        <v>1</v>
      </c>
    </row>
    <row r="8" spans="1:42" ht="21" customHeight="1" x14ac:dyDescent="0.15">
      <c r="A8" s="15" t="str">
        <f ca="1">B8&amp;"_"&amp;C8&amp;"-"&amp;G8&amp;"/"&amp;L8&amp;"&lt;lv"&amp;R8&amp;"&gt;s"&amp;AC8</f>
        <v>48005_2-3/672&lt;lv99&gt;s3</v>
      </c>
      <c r="B8" s="19">
        <v>48005</v>
      </c>
      <c r="C8" s="105">
        <v>2</v>
      </c>
      <c r="D8" s="2" t="str">
        <f>B8&amp;"_"&amp;C8</f>
        <v>48005_2</v>
      </c>
      <c r="E8" s="4" t="str">
        <f ca="1">VLOOKUP($B8,OFFSET([2]quests!$A$1,0,0,COUNTA([2]quests!$A:$A),MATCH(E$1,[2]quests!$1:$1,0)-MATCH($B$1,[2]quests!$1:$1,0)+1),MATCH(E$1,[2]quests!$1:$1,0)-MATCH($B$1,[2]quests!$1:$1,0)+1,FALSE)</f>
        <v>孫悟空襲来！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【ウィザード級】孫悟空襲来</v>
      </c>
      <c r="G8" s="105">
        <v>3</v>
      </c>
      <c r="H8" s="14" t="str">
        <f>B8&amp;"_"&amp;C8&amp;"-"&amp;G8</f>
        <v>48005_2-3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5">
        <v>1</v>
      </c>
      <c r="L8" s="106">
        <v>672</v>
      </c>
      <c r="M8" s="16" t="str">
        <f ca="1">VLOOKUP($L8,OFFSET([3]enemies!$A$1,0,0,COUNTA([3]enemies!$A:$A),MATCH(M$1,[3]enemies!$1:$1,0)-MATCH($L$1,[3]enemies!$1:$1,0)+1),MATCH(M$1,[3]enemies!$1:$1,0)-MATCH($L$1,[3]enemies!$1:$1,0)+1,FALSE)</f>
        <v>西遊韋駄天 ハヌマーン</v>
      </c>
      <c r="N8" s="16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6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6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6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99</v>
      </c>
      <c r="S8" s="22">
        <v>1.5</v>
      </c>
      <c r="T8" s="102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199894.5</v>
      </c>
      <c r="U8" s="22">
        <v>0.7</v>
      </c>
      <c r="V8" s="102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10227.699999999999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【表示なし】</v>
      </c>
      <c r="Y8" s="59">
        <v>48005003</v>
      </c>
      <c r="Z8" s="6">
        <v>1</v>
      </c>
      <c r="AA8" s="6">
        <v>100</v>
      </c>
      <c r="AB8" s="6">
        <v>0</v>
      </c>
      <c r="AC8" s="16">
        <f ca="1">VLOOKUP($L8,OFFSET([3]enemies!$A$1,0,0,COUNTA([3]enemies!$A:$A),MATCH(AC$1,[3]enemies!$1:$1,0)-MATCH($L$1,[3]enemies!$1:$1,0)+1),MATCH(AC$1,[3]enemies!$1:$1,0)-MATCH($L$1,[3]enemies!$1:$1,0)+1,FALSE)</f>
        <v>3</v>
      </c>
      <c r="AD8" s="21">
        <f>L8</f>
        <v>672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西遊韋駄天 ハヌマーン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8" s="7">
        <v>1</v>
      </c>
      <c r="AI8" s="21">
        <f ca="1">AF8</f>
        <v>4</v>
      </c>
      <c r="AJ8" s="8">
        <v>0</v>
      </c>
      <c r="AK8" s="104">
        <v>0</v>
      </c>
      <c r="AL8" s="104">
        <v>0</v>
      </c>
      <c r="AM8" s="104">
        <v>0</v>
      </c>
      <c r="AN8" s="104">
        <v>0</v>
      </c>
      <c r="AO8" s="104">
        <v>1</v>
      </c>
      <c r="AP8" s="67">
        <v>1</v>
      </c>
    </row>
    <row r="9" spans="1:42" ht="21" customHeight="1" x14ac:dyDescent="0.15">
      <c r="A9" s="15" t="str">
        <f ca="1">B9&amp;"_"&amp;C9&amp;"-"&amp;G9&amp;"/"&amp;L9&amp;"&lt;lv"&amp;R9&amp;"&gt;s"&amp;AC9</f>
        <v>48005_2-4/8007&lt;lv99&gt;s3</v>
      </c>
      <c r="B9" s="19">
        <v>48005</v>
      </c>
      <c r="C9" s="105">
        <v>2</v>
      </c>
      <c r="D9" s="2" t="str">
        <f>B9&amp;"_"&amp;C9</f>
        <v>48005_2</v>
      </c>
      <c r="E9" s="4" t="str">
        <f ca="1">VLOOKUP($B9,OFFSET([2]quests!$A$1,0,0,COUNTA([2]quests!$A:$A),MATCH(E$1,[2]quests!$1:$1,0)-MATCH($B$1,[2]quests!$1:$1,0)+1),MATCH(E$1,[2]quests!$1:$1,0)-MATCH($B$1,[2]quests!$1:$1,0)+1,FALSE)</f>
        <v>孫悟空襲来！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【ウィザード級】孫悟空襲来</v>
      </c>
      <c r="G9" s="105">
        <v>4</v>
      </c>
      <c r="H9" s="14" t="str">
        <f>B9&amp;"_"&amp;C9&amp;"-"&amp;G9</f>
        <v>48005_2-4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5">
        <v>2</v>
      </c>
      <c r="L9" s="106">
        <v>8007</v>
      </c>
      <c r="M9" s="16" t="str">
        <f ca="1">VLOOKUP($L9,OFFSET([3]enemies!$A$1,0,0,COUNTA([3]enemies!$A:$A),MATCH(M$1,[3]enemies!$1:$1,0)-MATCH($L$1,[3]enemies!$1:$1,0)+1),MATCH(M$1,[3]enemies!$1:$1,0)-MATCH($L$1,[3]enemies!$1:$1,0)+1,FALSE)</f>
        <v>孫悟空</v>
      </c>
      <c r="N9" s="16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6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6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6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99</v>
      </c>
      <c r="S9" s="22">
        <v>3.7</v>
      </c>
      <c r="T9" s="102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0</v>
      </c>
      <c r="U9" s="22">
        <v>0.9</v>
      </c>
      <c r="V9" s="102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0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9" s="59">
        <v>48005005</v>
      </c>
      <c r="Z9" s="6">
        <v>1</v>
      </c>
      <c r="AA9" s="6">
        <v>100</v>
      </c>
      <c r="AB9" s="6">
        <v>0</v>
      </c>
      <c r="AC9" s="16">
        <f ca="1">VLOOKUP($L9,OFFSET([3]enemies!$A$1,0,0,COUNTA([3]enemies!$A:$A),MATCH(AC$1,[3]enemies!$1:$1,0)-MATCH($L$1,[3]enemies!$1:$1,0)+1),MATCH(AC$1,[3]enemies!$1:$1,0)-MATCH($L$1,[3]enemies!$1:$1,0)+1,FALSE)</f>
        <v>3</v>
      </c>
      <c r="AD9" s="21">
        <f>L9</f>
        <v>8007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孫悟空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5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9" s="7">
        <v>1</v>
      </c>
      <c r="AI9" s="21">
        <f ca="1">AF9</f>
        <v>5</v>
      </c>
      <c r="AJ9" s="8">
        <v>30</v>
      </c>
      <c r="AK9" s="104">
        <v>0</v>
      </c>
      <c r="AL9" s="104">
        <v>0</v>
      </c>
      <c r="AM9" s="104">
        <v>0</v>
      </c>
      <c r="AN9" s="104">
        <v>0</v>
      </c>
      <c r="AO9" s="104">
        <v>1</v>
      </c>
      <c r="AP9" s="67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7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V7" sqref="V7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2" customFormat="1" ht="21" customHeight="1" x14ac:dyDescent="0.15">
      <c r="A1" s="24" t="s">
        <v>29</v>
      </c>
      <c r="B1" s="25" t="s">
        <v>0</v>
      </c>
      <c r="C1" s="25" t="s">
        <v>1</v>
      </c>
      <c r="D1" s="26" t="s">
        <v>28</v>
      </c>
      <c r="E1" s="27" t="s">
        <v>16</v>
      </c>
      <c r="F1" s="27" t="s">
        <v>16</v>
      </c>
      <c r="G1" s="25" t="s">
        <v>19</v>
      </c>
      <c r="H1" s="26" t="s">
        <v>30</v>
      </c>
      <c r="I1" s="26" t="s">
        <v>14</v>
      </c>
      <c r="J1" s="26" t="s">
        <v>15</v>
      </c>
      <c r="K1" s="33" t="s">
        <v>53</v>
      </c>
      <c r="L1" s="33" t="s">
        <v>54</v>
      </c>
      <c r="M1" s="34" t="s">
        <v>2</v>
      </c>
      <c r="N1" s="28" t="s">
        <v>16</v>
      </c>
      <c r="O1" s="26" t="s">
        <v>24</v>
      </c>
      <c r="P1" s="26" t="s">
        <v>23</v>
      </c>
      <c r="Q1" s="29" t="s">
        <v>26</v>
      </c>
      <c r="R1" s="27" t="s">
        <v>25</v>
      </c>
      <c r="S1" s="25" t="s">
        <v>3</v>
      </c>
      <c r="T1" s="23" t="s">
        <v>48</v>
      </c>
      <c r="U1" s="101" t="s">
        <v>252</v>
      </c>
      <c r="V1" s="23" t="s">
        <v>50</v>
      </c>
      <c r="W1" s="101" t="s">
        <v>253</v>
      </c>
      <c r="X1" s="23" t="s">
        <v>52</v>
      </c>
      <c r="Y1" s="25" t="s">
        <v>128</v>
      </c>
      <c r="Z1" s="26" t="s">
        <v>127</v>
      </c>
      <c r="AA1" s="25" t="s">
        <v>8</v>
      </c>
    </row>
    <row r="2" spans="1:27" ht="21" customHeight="1" x14ac:dyDescent="0.15">
      <c r="A2" s="15" t="str">
        <f>B2&amp;"_"&amp;C2&amp;"-"&amp;G2&amp;"/"&amp;M2&amp;"&lt;lv"&amp;S2&amp;"&gt;sq"&amp;K2&amp;"st"&amp;L2</f>
        <v>48005_1-3/673&lt;lv70&gt;sq3st2</v>
      </c>
      <c r="B2" s="19">
        <v>48005</v>
      </c>
      <c r="C2" s="105">
        <v>1</v>
      </c>
      <c r="D2" s="2" t="str">
        <f>B2&amp;"_"&amp;C2</f>
        <v>48005_1</v>
      </c>
      <c r="E2" s="4" t="str">
        <f ca="1">VLOOKUP($B2,OFFSET([2]quests!$A$1,0,0,COUNTA([2]quests!$A:$A),MATCH(E$1,[2]quests!$1:$1,0)-MATCH($B$1,[2]quests!$1:$1,0)+1),MATCH(E$1,[2]quests!$1:$1,0)-MATCH($B$1,[2]quests!$1:$1,0)+1,FALSE)</f>
        <v>孫悟空襲来！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【超絶級】孫悟空襲来</v>
      </c>
      <c r="G2" s="105">
        <v>3</v>
      </c>
      <c r="H2" s="14" t="str">
        <f>B2&amp;"_"&amp;C2&amp;"-"&amp;G2</f>
        <v>48005_1-3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5">
        <v>3</v>
      </c>
      <c r="L2" s="35">
        <v>2</v>
      </c>
      <c r="M2" s="106">
        <v>673</v>
      </c>
      <c r="N2" s="16" t="str">
        <f ca="1">VLOOKUP($M2,OFFSET([3]enemies!$A$1,0,0,COUNTA([3]enemies!$A:$A),MATCH(N$1,[3]enemies!$1:$1,0)-MATCH($M$1,[3]enemies!$1:$1,0)+1),MATCH(N$1,[3]enemies!$1:$1,0)-MATCH($M$1,[3]enemies!$1:$1,0)+1,FALSE)</f>
        <v>変幻自在の猿王 ハヌマーン</v>
      </c>
      <c r="O2" s="16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6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6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70</v>
      </c>
      <c r="T2" s="22">
        <v>1.5</v>
      </c>
      <c r="U2" s="10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185971.5</v>
      </c>
      <c r="V2" s="22">
        <v>0.7</v>
      </c>
      <c r="W2" s="10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7835.7999999999993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">
        <v>48005004</v>
      </c>
      <c r="AA2" s="68">
        <f ca="1">VLOOKUP($M2,OFFSET([3]enemies!$A$1,0,0,COUNTA([3]enemies!$A:$A),MATCH(AA$1,[3]enemies!$1:$1,0)-MATCH($M$1,[3]enemies!$1:$1,0)+1),MATCH(AA$1,[3]enemies!$1:$1,0)-MATCH($M$1,[3]enemies!$1:$1,0)+1,FALSE)</f>
        <v>3</v>
      </c>
    </row>
    <row r="3" spans="1:27" ht="21" customHeight="1" x14ac:dyDescent="0.15">
      <c r="A3" s="15" t="str">
        <f>B3&amp;"_"&amp;C3&amp;"-"&amp;G3&amp;"/"&amp;M3&amp;"&lt;lv"&amp;S3&amp;"&gt;sq"&amp;K3&amp;"st"&amp;L3</f>
        <v>48005_1-4/8007&lt;lv70&gt;sq4st2</v>
      </c>
      <c r="B3" s="19">
        <v>48005</v>
      </c>
      <c r="C3" s="105">
        <v>1</v>
      </c>
      <c r="D3" s="2" t="str">
        <f>B3&amp;"_"&amp;C3</f>
        <v>48005_1</v>
      </c>
      <c r="E3" s="4" t="str">
        <f ca="1">VLOOKUP($B3,OFFSET([2]quests!$A$1,0,0,COUNTA([2]quests!$A:$A),MATCH(E$1,[2]quests!$1:$1,0)-MATCH($B$1,[2]quests!$1:$1,0)+1),MATCH(E$1,[2]quests!$1:$1,0)-MATCH($B$1,[2]quests!$1:$1,0)+1,FALSE)</f>
        <v>孫悟空襲来！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【超絶級】孫悟空襲来</v>
      </c>
      <c r="G3" s="105">
        <v>4</v>
      </c>
      <c r="H3" s="14" t="str">
        <f>B3&amp;"_"&amp;C3&amp;"-"&amp;G3</f>
        <v>48005_1-4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5">
        <v>4</v>
      </c>
      <c r="L3" s="35">
        <v>2</v>
      </c>
      <c r="M3" s="106">
        <v>8007</v>
      </c>
      <c r="N3" s="16" t="str">
        <f ca="1">VLOOKUP($M3,OFFSET([3]enemies!$A$1,0,0,COUNTA([3]enemies!$A:$A),MATCH(N$1,[3]enemies!$1:$1,0)-MATCH($M$1,[3]enemies!$1:$1,0)+1),MATCH(N$1,[3]enemies!$1:$1,0)-MATCH($M$1,[3]enemies!$1:$1,0)+1,FALSE)</f>
        <v>孫悟空</v>
      </c>
      <c r="O3" s="16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6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6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70</v>
      </c>
      <c r="T3" s="22">
        <v>3.5</v>
      </c>
      <c r="U3" s="102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0</v>
      </c>
      <c r="V3" s="22">
        <v>1.1000000000000001</v>
      </c>
      <c r="W3" s="102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0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">
        <v>48005006</v>
      </c>
      <c r="AA3" s="68">
        <f ca="1">VLOOKUP($M3,OFFSET([3]enemies!$A$1,0,0,COUNTA([3]enemies!$A:$A),MATCH(AA$1,[3]enemies!$1:$1,0)-MATCH($M$1,[3]enemies!$1:$1,0)+1),MATCH(AA$1,[3]enemies!$1:$1,0)-MATCH($M$1,[3]enemies!$1:$1,0)+1,FALSE)</f>
        <v>3</v>
      </c>
    </row>
    <row r="4" spans="1:27" ht="21" customHeight="1" x14ac:dyDescent="0.15">
      <c r="A4" s="15" t="str">
        <f>B4&amp;"_"&amp;C4&amp;"-"&amp;G4&amp;"/"&amp;M4&amp;"&lt;lv"&amp;S4&amp;"&gt;sq"&amp;K4&amp;"st"&amp;L4</f>
        <v>48005_1-4/8007&lt;lv70&gt;sq4st3</v>
      </c>
      <c r="B4" s="19">
        <v>48005</v>
      </c>
      <c r="C4" s="105">
        <v>1</v>
      </c>
      <c r="D4" s="2" t="str">
        <f>B4&amp;"_"&amp;C4</f>
        <v>48005_1</v>
      </c>
      <c r="E4" s="4" t="str">
        <f ca="1">VLOOKUP($B4,OFFSET([2]quests!$A$1,0,0,COUNTA([2]quests!$A:$A),MATCH(E$1,[2]quests!$1:$1,0)-MATCH($B$1,[2]quests!$1:$1,0)+1),MATCH(E$1,[2]quests!$1:$1,0)-MATCH($B$1,[2]quests!$1:$1,0)+1,FALSE)</f>
        <v>孫悟空襲来！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【超絶級】孫悟空襲来</v>
      </c>
      <c r="G4" s="105">
        <v>4</v>
      </c>
      <c r="H4" s="14" t="str">
        <f>B4&amp;"_"&amp;C4&amp;"-"&amp;G4</f>
        <v>48005_1-4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5">
        <v>4</v>
      </c>
      <c r="L4" s="35">
        <v>3</v>
      </c>
      <c r="M4" s="106">
        <v>8007</v>
      </c>
      <c r="N4" s="16" t="str">
        <f ca="1">VLOOKUP($M4,OFFSET([3]enemies!$A$1,0,0,COUNTA([3]enemies!$A:$A),MATCH(N$1,[3]enemies!$1:$1,0)-MATCH($M$1,[3]enemies!$1:$1,0)+1),MATCH(N$1,[3]enemies!$1:$1,0)-MATCH($M$1,[3]enemies!$1:$1,0)+1,FALSE)</f>
        <v>孫悟空</v>
      </c>
      <c r="O4" s="16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6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6" t="str">
        <f ca="1">VLOOKUP($M4,OFFSET([3]enemies!$A$1,0,0,COUNTA([3]enemies!$A:$A),MATCH(Q$1,[3]enemies!$1:$1,0)-MATCH($M$1,[3]enemies!$1:$1,0)+1),MATCH(Q$1,[3]enemies!$1:$1,0)-MATCH($M$1,[3]enemies!$1:$1,0)+1,FALSE)</f>
        <v>animal</v>
      </c>
      <c r="R4" s="16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70</v>
      </c>
      <c r="T4" s="22">
        <v>4.5</v>
      </c>
      <c r="U4" s="102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0</v>
      </c>
      <c r="V4" s="22">
        <v>0.8</v>
      </c>
      <c r="W4" s="102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0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">
        <v>48005007</v>
      </c>
      <c r="AA4" s="68">
        <f ca="1">VLOOKUP($M4,OFFSET([3]enemies!$A$1,0,0,COUNTA([3]enemies!$A:$A),MATCH(AA$1,[3]enemies!$1:$1,0)-MATCH($M$1,[3]enemies!$1:$1,0)+1),MATCH(AA$1,[3]enemies!$1:$1,0)-MATCH($M$1,[3]enemies!$1:$1,0)+1,FALSE)</f>
        <v>3</v>
      </c>
    </row>
    <row r="5" spans="1:27" ht="21" customHeight="1" x14ac:dyDescent="0.15">
      <c r="A5" s="15" t="str">
        <f>B5&amp;"_"&amp;C5&amp;"-"&amp;G5&amp;"/"&amp;M5&amp;"&lt;lv"&amp;S5&amp;"&gt;sq"&amp;K5&amp;"st"&amp;L5</f>
        <v>48005_2-3/673&lt;lv99&gt;sq1st2</v>
      </c>
      <c r="B5" s="19">
        <v>48005</v>
      </c>
      <c r="C5" s="105">
        <v>2</v>
      </c>
      <c r="D5" s="2" t="str">
        <f>B5&amp;"_"&amp;C5</f>
        <v>48005_2</v>
      </c>
      <c r="E5" s="4" t="str">
        <f ca="1">VLOOKUP($B5,OFFSET([2]quests!$A$1,0,0,COUNTA([2]quests!$A:$A),MATCH(E$1,[2]quests!$1:$1,0)-MATCH($B$1,[2]quests!$1:$1,0)+1),MATCH(E$1,[2]quests!$1:$1,0)-MATCH($B$1,[2]quests!$1:$1,0)+1,FALSE)</f>
        <v>孫悟空襲来！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【ウィザード級】孫悟空襲来</v>
      </c>
      <c r="G5" s="105">
        <v>3</v>
      </c>
      <c r="H5" s="14" t="str">
        <f>B5&amp;"_"&amp;C5&amp;"-"&amp;G5</f>
        <v>48005_2-3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5">
        <v>1</v>
      </c>
      <c r="L5" s="35">
        <v>2</v>
      </c>
      <c r="M5" s="106">
        <v>673</v>
      </c>
      <c r="N5" s="16" t="str">
        <f ca="1">VLOOKUP($M5,OFFSET([3]enemies!$A$1,0,0,COUNTA([3]enemies!$A:$A),MATCH(N$1,[3]enemies!$1:$1,0)-MATCH($M$1,[3]enemies!$1:$1,0)+1),MATCH(N$1,[3]enemies!$1:$1,0)-MATCH($M$1,[3]enemies!$1:$1,0)+1,FALSE)</f>
        <v>変幻自在の猿王 ハヌマーン</v>
      </c>
      <c r="O5" s="16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6" t="str">
        <f ca="1">VLOOKUP($M5,OFFSET([4]characters!$A$1,0,0,COUNTA([4]characters!$A:$A),MATCH(P$1,[4]characters!$1:$1,0)-MATCH($M$1,[4]characters!$1:$1,0)+1),MATCH(P$1,[4]characters!$1:$1,0)-MATCH($M$1,[4]characters!$1:$1,0)+1,FALSE)</f>
        <v>PremiumS</v>
      </c>
      <c r="Q5" s="16" t="str">
        <f ca="1">VLOOKUP($M5,OFFSET([3]enemies!$A$1,0,0,COUNTA([3]enemies!$A:$A),MATCH(Q$1,[3]enemies!$1:$1,0)-MATCH($M$1,[3]enemies!$1:$1,0)+1),MATCH(Q$1,[3]enemies!$1:$1,0)-MATCH($M$1,[3]enemies!$1:$1,0)+1,FALSE)</f>
        <v>animal</v>
      </c>
      <c r="R5" s="16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99</v>
      </c>
      <c r="T5" s="22">
        <v>1.5</v>
      </c>
      <c r="U5" s="102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261400.5</v>
      </c>
      <c r="V5" s="22">
        <v>0.7</v>
      </c>
      <c r="W5" s="102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11014.5</v>
      </c>
      <c r="X5" s="5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4">
        <v>48005004</v>
      </c>
      <c r="AA5" s="68">
        <f ca="1">VLOOKUP($M5,OFFSET([3]enemies!$A$1,0,0,COUNTA([3]enemies!$A:$A),MATCH(AA$1,[3]enemies!$1:$1,0)-MATCH($M$1,[3]enemies!$1:$1,0)+1),MATCH(AA$1,[3]enemies!$1:$1,0)-MATCH($M$1,[3]enemies!$1:$1,0)+1,FALSE)</f>
        <v>3</v>
      </c>
    </row>
    <row r="6" spans="1:27" ht="21" customHeight="1" x14ac:dyDescent="0.15">
      <c r="A6" s="15" t="str">
        <f t="shared" ref="A6:A7" si="0">B6&amp;"_"&amp;C6&amp;"-"&amp;G6&amp;"/"&amp;M6&amp;"&lt;lv"&amp;S6&amp;"&gt;sq"&amp;K6&amp;"st"&amp;L6</f>
        <v>48005_2-4/8007&lt;lv99&gt;sq2st2</v>
      </c>
      <c r="B6" s="19">
        <v>48005</v>
      </c>
      <c r="C6" s="105">
        <v>2</v>
      </c>
      <c r="D6" s="2" t="str">
        <f t="shared" ref="D6:D7" si="1">B6&amp;"_"&amp;C6</f>
        <v>48005_2</v>
      </c>
      <c r="E6" s="4" t="str">
        <f ca="1">VLOOKUP($B6,OFFSET([2]quests!$A$1,0,0,COUNTA([2]quests!$A:$A),MATCH(E$1,[2]quests!$1:$1,0)-MATCH($B$1,[2]quests!$1:$1,0)+1),MATCH(E$1,[2]quests!$1:$1,0)-MATCH($B$1,[2]quests!$1:$1,0)+1,FALSE)</f>
        <v>孫悟空襲来！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【ウィザード級】孫悟空襲来</v>
      </c>
      <c r="G6" s="105">
        <v>4</v>
      </c>
      <c r="H6" s="14" t="str">
        <f t="shared" ref="H6:H7" si="2">B6&amp;"_"&amp;C6&amp;"-"&amp;G6</f>
        <v>48005_2-4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5">
        <v>2</v>
      </c>
      <c r="L6" s="35">
        <v>2</v>
      </c>
      <c r="M6" s="106">
        <v>8007</v>
      </c>
      <c r="N6" s="16" t="str">
        <f ca="1">VLOOKUP($M6,OFFSET([3]enemies!$A$1,0,0,COUNTA([3]enemies!$A:$A),MATCH(N$1,[3]enemies!$1:$1,0)-MATCH($M$1,[3]enemies!$1:$1,0)+1),MATCH(N$1,[3]enemies!$1:$1,0)-MATCH($M$1,[3]enemies!$1:$1,0)+1,FALSE)</f>
        <v>孫悟空</v>
      </c>
      <c r="O6" s="16" t="str">
        <f ca="1">VLOOKUP($M6,OFFSET([3]enemies!$A$1,0,0,COUNTA([3]enemies!$A:$A),MATCH(O$1,[3]enemies!$1:$1,0)-MATCH($M$1,[3]enemies!$1:$1,0)+1),MATCH(O$1,[3]enemies!$1:$1,0)-MATCH($M$1,[3]enemies!$1:$1,0)+1,FALSE)</f>
        <v>red</v>
      </c>
      <c r="P6" s="16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6" t="str">
        <f ca="1">VLOOKUP($M6,OFFSET([3]enemies!$A$1,0,0,COUNTA([3]enemies!$A:$A),MATCH(Q$1,[3]enemies!$1:$1,0)-MATCH($M$1,[3]enemies!$1:$1,0)+1),MATCH(Q$1,[3]enemies!$1:$1,0)-MATCH($M$1,[3]enemies!$1:$1,0)+1,FALSE)</f>
        <v>animal</v>
      </c>
      <c r="R6" s="16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99</v>
      </c>
      <c r="T6" s="22">
        <v>4.2</v>
      </c>
      <c r="U6" s="102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0</v>
      </c>
      <c r="V6" s="22">
        <v>1</v>
      </c>
      <c r="W6" s="102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0</v>
      </c>
      <c r="X6" s="5">
        <v>0</v>
      </c>
      <c r="Y6" s="4" t="e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6" s="4">
        <v>48005006</v>
      </c>
      <c r="AA6" s="68">
        <f ca="1">VLOOKUP($M6,OFFSET([3]enemies!$A$1,0,0,COUNTA([3]enemies!$A:$A),MATCH(AA$1,[3]enemies!$1:$1,0)-MATCH($M$1,[3]enemies!$1:$1,0)+1),MATCH(AA$1,[3]enemies!$1:$1,0)-MATCH($M$1,[3]enemies!$1:$1,0)+1,FALSE)</f>
        <v>3</v>
      </c>
    </row>
    <row r="7" spans="1:27" ht="21" customHeight="1" x14ac:dyDescent="0.15">
      <c r="A7" s="15" t="str">
        <f t="shared" si="0"/>
        <v>48005_2-4/8008&lt;lv99&gt;sq2st3</v>
      </c>
      <c r="B7" s="19">
        <v>48005</v>
      </c>
      <c r="C7" s="105">
        <v>2</v>
      </c>
      <c r="D7" s="2" t="str">
        <f t="shared" si="1"/>
        <v>48005_2</v>
      </c>
      <c r="E7" s="4" t="str">
        <f ca="1">VLOOKUP($B7,OFFSET([2]quests!$A$1,0,0,COUNTA([2]quests!$A:$A),MATCH(E$1,[2]quests!$1:$1,0)-MATCH($B$1,[2]quests!$1:$1,0)+1),MATCH(E$1,[2]quests!$1:$1,0)-MATCH($B$1,[2]quests!$1:$1,0)+1,FALSE)</f>
        <v>孫悟空襲来！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【ウィザード級】孫悟空襲来</v>
      </c>
      <c r="G7" s="105">
        <v>4</v>
      </c>
      <c r="H7" s="14" t="str">
        <f t="shared" si="2"/>
        <v>48005_2-4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5">
        <v>2</v>
      </c>
      <c r="L7" s="35">
        <v>3</v>
      </c>
      <c r="M7" s="106">
        <v>8008</v>
      </c>
      <c r="N7" s="16" t="str">
        <f ca="1">VLOOKUP($M7,OFFSET([3]enemies!$A$1,0,0,COUNTA([3]enemies!$A:$A),MATCH(N$1,[3]enemies!$1:$1,0)-MATCH($M$1,[3]enemies!$1:$1,0)+1),MATCH(N$1,[3]enemies!$1:$1,0)-MATCH($M$1,[3]enemies!$1:$1,0)+1,FALSE)</f>
        <v>花果の天猿仙人 孫悟空</v>
      </c>
      <c r="O7" s="16" t="str">
        <f ca="1">VLOOKUP($M7,OFFSET([3]enemies!$A$1,0,0,COUNTA([3]enemies!$A:$A),MATCH(O$1,[3]enemies!$1:$1,0)-MATCH($M$1,[3]enemies!$1:$1,0)+1),MATCH(O$1,[3]enemies!$1:$1,0)-MATCH($M$1,[3]enemies!$1:$1,0)+1,FALSE)</f>
        <v>red</v>
      </c>
      <c r="P7" s="16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6" t="str">
        <f ca="1">VLOOKUP($M7,OFFSET([3]enemies!$A$1,0,0,COUNTA([3]enemies!$A:$A),MATCH(Q$1,[3]enemies!$1:$1,0)-MATCH($M$1,[3]enemies!$1:$1,0)+1),MATCH(Q$1,[3]enemies!$1:$1,0)-MATCH($M$1,[3]enemies!$1:$1,0)+1,FALSE)</f>
        <v>animal</v>
      </c>
      <c r="R7" s="16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99</v>
      </c>
      <c r="T7" s="22">
        <v>5</v>
      </c>
      <c r="U7" s="102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0</v>
      </c>
      <c r="V7" s="22">
        <v>0.8</v>
      </c>
      <c r="W7" s="102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0</v>
      </c>
      <c r="X7" s="5">
        <v>0</v>
      </c>
      <c r="Y7" s="4" t="e">
        <f ca="1">VLOOKUP($Z7,OFFSET([5]enemy_skill_sets!$B$1,0,0,COUNTA([5]enemy_skill_sets!$B:$B),MATCH(N$1,[5]enemy_skill_sets!$1:$1,0)-MATCH($Z$1,[5]enemy_skill_sets!$1:$1,0)+2),MATCH(N$1,[5]enemy_skill_sets!$1:$1,0)-MATCH($Z$1,[5]enemy_skill_sets!$1:$1,0)+2,FALSE)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7" s="4">
        <v>48005007</v>
      </c>
      <c r="AA7" s="68">
        <f ca="1">VLOOKUP($M7,OFFSET([3]enemies!$A$1,0,0,COUNTA([3]enemies!$A:$A),MATCH(AA$1,[3]enemies!$1:$1,0)-MATCH($M$1,[3]enemies!$1:$1,0)+1),MATCH(AA$1,[3]enemies!$1:$1,0)-MATCH($M$1,[3]enemies!$1:$1,0)+1,FALSE)</f>
        <v>3</v>
      </c>
    </row>
  </sheetData>
  <sheetProtection selectLockedCells="1" selectUnlockedCells="1"/>
  <autoFilter ref="B1:AA5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4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F4" sqref="F4"/>
    </sheetView>
  </sheetViews>
  <sheetFormatPr baseColWidth="12" defaultColWidth="12.83203125" defaultRowHeight="21" customHeight="1" outlineLevelCol="1" x14ac:dyDescent="0.15"/>
  <cols>
    <col min="1" max="1" width="11.33203125" style="36" bestFit="1" customWidth="1"/>
    <col min="2" max="2" width="9.5" style="46" bestFit="1" customWidth="1"/>
    <col min="3" max="3" width="9.6640625" style="46" customWidth="1"/>
    <col min="4" max="4" width="18.5" style="46" customWidth="1" outlineLevel="1"/>
    <col min="5" max="5" width="44.1640625" style="46" bestFit="1" customWidth="1" outlineLevel="1"/>
    <col min="6" max="6" width="10.83203125" style="46" bestFit="1" customWidth="1"/>
    <col min="7" max="7" width="8.33203125" style="46" bestFit="1" customWidth="1" outlineLevel="1"/>
    <col min="8" max="9" width="12.83203125" style="46" outlineLevel="1"/>
    <col min="10" max="10" width="17.6640625" style="46" bestFit="1" customWidth="1" outlineLevel="1"/>
    <col min="11" max="15" width="12.83203125" style="46" outlineLevel="1"/>
    <col min="16" max="16" width="8.33203125" style="42" bestFit="1" customWidth="1"/>
    <col min="17" max="17" width="9.6640625" style="42" customWidth="1"/>
    <col min="18" max="18" width="56.5" style="42" bestFit="1" customWidth="1"/>
    <col min="19" max="16384" width="12.83203125" style="42"/>
  </cols>
  <sheetData>
    <row r="1" spans="1:18" ht="21" customHeight="1" x14ac:dyDescent="0.15">
      <c r="A1" s="36" t="s">
        <v>59</v>
      </c>
      <c r="B1" s="37" t="s">
        <v>60</v>
      </c>
      <c r="C1" s="37" t="s">
        <v>61</v>
      </c>
      <c r="D1" s="38" t="s">
        <v>62</v>
      </c>
      <c r="E1" s="38" t="s">
        <v>63</v>
      </c>
      <c r="F1" s="39" t="s">
        <v>64</v>
      </c>
      <c r="G1" s="40" t="s">
        <v>65</v>
      </c>
      <c r="H1" s="40" t="s">
        <v>67</v>
      </c>
      <c r="I1" s="40" t="s">
        <v>68</v>
      </c>
      <c r="J1" s="40" t="s">
        <v>69</v>
      </c>
      <c r="K1" s="41" t="s">
        <v>70</v>
      </c>
      <c r="L1" s="41" t="s">
        <v>71</v>
      </c>
      <c r="M1" s="40" t="s">
        <v>72</v>
      </c>
      <c r="N1" s="40" t="s">
        <v>73</v>
      </c>
      <c r="O1" s="40" t="s">
        <v>74</v>
      </c>
      <c r="P1" s="38" t="s">
        <v>75</v>
      </c>
      <c r="Q1" s="38" t="s">
        <v>76</v>
      </c>
      <c r="R1" s="38" t="s">
        <v>77</v>
      </c>
    </row>
    <row r="2" spans="1:18" ht="21" customHeight="1" x14ac:dyDescent="0.15">
      <c r="A2" s="36" t="str">
        <f t="shared" ref="A2" si="0">B2&amp;"_"&amp;C2</f>
        <v>48005001_48005001</v>
      </c>
      <c r="B2" s="107">
        <v>48005001</v>
      </c>
      <c r="C2" s="107">
        <v>48005001</v>
      </c>
      <c r="D2" s="43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お？新しい挑戦者かい？</v>
      </c>
      <c r="E2" s="43" t="str">
        <f ca="1">VLOOKUP($C2,OFFSET(enemy_skills!$A$1,0,0,COUNTA(enemy_skills!$A:$A),MATCH(E$1,enemy_skills!$1:$1,0)-MATCH("enemy_skill_id",enemy_skills!$1:$1,0)+1),MATCH(E$1,enemy_skills!$1:$1,0)-MATCH("enemy_skill_id",enemy_skills!$1:$1,0)+1,FALSE)</f>
        <v>強い奴なら大歓迎だぜ！</v>
      </c>
      <c r="F2" s="107">
        <v>48005001</v>
      </c>
      <c r="G2" s="45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5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2" s="45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5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5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5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5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5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5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4"/>
      <c r="Q2" s="44"/>
      <c r="R2" s="44"/>
    </row>
    <row r="3" spans="1:18" ht="21" customHeight="1" x14ac:dyDescent="0.15">
      <c r="A3" s="36" t="str">
        <f t="shared" ref="A3:A21" si="1">B3&amp;"_"&amp;C3</f>
        <v>48005001_48005002</v>
      </c>
      <c r="B3" s="44">
        <v>48005001</v>
      </c>
      <c r="C3" s="44">
        <v>48005002</v>
      </c>
      <c r="D3" s="43" t="str">
        <f ca="1">VLOOKUP($C3,OFFSET(enemy_skills!$A$1,0,0,COUNTA(enemy_skills!$A:$A),MATCH(D$1,enemy_skills!$1:$1,0)-MATCH("enemy_skill_id",enemy_skills!$1:$1,0)+1),MATCH(D$1,enemy_skills!$1:$1,0)-MATCH("enemy_skill_id",enemy_skills!$1:$1,0)+1,FALSE)</f>
        <v>三蔵？俺を連れ戻しに来たか</v>
      </c>
      <c r="E3" s="43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スマンがまだやり残した事があるんだ</v>
      </c>
      <c r="F3" s="44">
        <v>48005002</v>
      </c>
      <c r="G3" s="45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5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" s="45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5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5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5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5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5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8005</v>
      </c>
      <c r="O3" s="45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4"/>
      <c r="Q3" s="44"/>
      <c r="R3" s="44"/>
    </row>
    <row r="4" spans="1:18" ht="21" customHeight="1" thickBot="1" x14ac:dyDescent="0.2">
      <c r="A4" s="36" t="str">
        <f t="shared" si="1"/>
        <v>48005001_48005003</v>
      </c>
      <c r="B4" s="108">
        <v>48005001</v>
      </c>
      <c r="C4" s="108">
        <v>48005003</v>
      </c>
      <c r="D4" s="43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オレの分身を突破してみな！</v>
      </c>
      <c r="E4" s="43" t="str">
        <f ca="1">VLOOKUP($C4,OFFSET(enemy_skills!$A$1,0,0,COUNTA(enemy_skills!$A:$A),MATCH(E$1,enemy_skills!$1:$1,0)-MATCH("enemy_skill_id",enemy_skills!$1:$1,0)+1),MATCH(E$1,enemy_skills!$1:$1,0)-MATCH("enemy_skill_id",enemy_skills!$1:$1,0)+1,FALSE)</f>
        <v>一番奥で待ってるぜ！</v>
      </c>
      <c r="F4" s="108">
        <v>48005004</v>
      </c>
      <c r="G4" s="45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5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5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5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5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5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" s="45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5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" s="45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4"/>
      <c r="Q4" s="44"/>
      <c r="R4" s="44"/>
    </row>
    <row r="5" spans="1:18" ht="21" customHeight="1" thickBot="1" x14ac:dyDescent="0.2">
      <c r="A5" s="36" t="str">
        <f t="shared" si="1"/>
        <v>48005002_48005004</v>
      </c>
      <c r="B5" s="109">
        <v>48005002</v>
      </c>
      <c r="C5" s="109">
        <v>48005004</v>
      </c>
      <c r="D5" s="43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ウッキョーッ！</v>
      </c>
      <c r="E5" s="43" t="str">
        <f ca="1">VLOOKUP($C5,OFFSET(enemy_skills!$A$1,0,0,COUNTA(enemy_skills!$A:$A),MATCH(E$1,enemy_skills!$1:$1,0)-MATCH("enemy_skill_id",enemy_skills!$1:$1,0)+1),MATCH(E$1,enemy_skills!$1:$1,0)-MATCH("enemy_skill_id",enemy_skills!$1:$1,0)+1,FALSE)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5" s="109">
        <v>48005005</v>
      </c>
      <c r="G5" s="45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5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5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5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5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5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5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5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33</v>
      </c>
      <c r="O5" s="45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4"/>
      <c r="Q5" s="44"/>
      <c r="R5" s="44"/>
    </row>
    <row r="6" spans="1:18" ht="21" customHeight="1" x14ac:dyDescent="0.15">
      <c r="A6" s="36" t="str">
        <f t="shared" si="1"/>
        <v>48005003_48005005</v>
      </c>
      <c r="B6" s="107">
        <v>48005003</v>
      </c>
      <c r="C6" s="107">
        <v>48005005</v>
      </c>
      <c r="D6" s="43" t="str">
        <f ca="1">VLOOKUP($C6,OFFSET(enemy_skills!$A$1,0,0,COUNTA(enemy_skills!$A:$A),MATCH(D$1,enemy_skills!$1:$1,0)-MATCH("enemy_skill_id",enemy_skills!$1:$1,0)+1),MATCH(D$1,enemy_skills!$1:$1,0)-MATCH("enemy_skill_id",enemy_skills!$1:$1,0)+1,FALSE)</f>
        <v>(呼吸を整えている)</v>
      </c>
      <c r="E6" s="43" t="str">
        <f ca="1">VLOOKUP($C6,OFFSET(enemy_skills!$A$1,0,0,COUNTA(enemy_skills!$A:$A),MATCH(E$1,enemy_skills!$1:$1,0)-MATCH("enemy_skill_id",enemy_skills!$1:$1,0)+1),MATCH(E$1,enemy_skills!$1:$1,0)-MATCH("enemy_skill_id",enemy_skills!$1:$1,0)+1,FALSE)</f>
        <v>【表示なし】</v>
      </c>
      <c r="F6" s="107">
        <v>48005006</v>
      </c>
      <c r="G6" s="45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5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5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5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5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5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5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5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5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4"/>
      <c r="Q6" s="44"/>
      <c r="R6" s="44"/>
    </row>
    <row r="7" spans="1:18" ht="21" customHeight="1" thickBot="1" x14ac:dyDescent="0.2">
      <c r="A7" s="36" t="str">
        <f t="shared" si="1"/>
        <v>48005003_48005006</v>
      </c>
      <c r="B7" s="108">
        <v>48005003</v>
      </c>
      <c r="C7" s="108">
        <v>48005006</v>
      </c>
      <c r="D7" s="43" t="str">
        <f ca="1">VLOOKUP($C7,OFFSET(enemy_skills!$A$1,0,0,COUNTA(enemy_skills!$A:$A),MATCH(D$1,enemy_skills!$1:$1,0)-MATCH("enemy_skill_id",enemy_skills!$1:$1,0)+1),MATCH(D$1,enemy_skills!$1:$1,0)-MATCH("enemy_skill_id",enemy_skills!$1:$1,0)+1,FALSE)</f>
        <v>薙ぎ払い</v>
      </c>
      <c r="E7" s="43" t="str">
        <f ca="1">VLOOKUP($C7,OFFSET(enemy_skills!$A$1,0,0,COUNTA(enemy_skills!$A:$A),MATCH(E$1,enemy_skills!$1:$1,0)-MATCH("enemy_skill_id",enemy_skills!$1:$1,0)+1),MATCH(E$1,enemy_skills!$1:$1,0)-MATCH("enemy_skill_id",enemy_skills!$1:$1,0)+1,FALSE)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7" s="108">
        <v>48005007</v>
      </c>
      <c r="G7" s="45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5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" s="45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7" s="45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7" s="45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5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7" s="45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5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5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7" s="44"/>
      <c r="Q7" s="44"/>
      <c r="R7" s="44"/>
    </row>
    <row r="8" spans="1:18" ht="21" customHeight="1" x14ac:dyDescent="0.15">
      <c r="A8" s="36" t="str">
        <f t="shared" si="1"/>
        <v>48005004_48005007</v>
      </c>
      <c r="B8" s="107">
        <v>48005004</v>
      </c>
      <c r="C8" s="107">
        <v>48005007</v>
      </c>
      <c r="D8" s="43" t="str">
        <f ca="1">VLOOKUP($C8,OFFSET(enemy_skills!$A$1,0,0,COUNTA(enemy_skills!$A:$A),MATCH(D$1,enemy_skills!$1:$1,0)-MATCH("enemy_skill_id",enemy_skills!$1:$1,0)+1),MATCH(D$1,enemy_skills!$1:$1,0)-MATCH("enemy_skill_id",enemy_skills!$1:$1,0)+1,FALSE)</f>
        <v>(小さくなり後背に回り込んだ！)</v>
      </c>
      <c r="E8" s="43" t="str">
        <f ca="1">VLOOKUP($C8,OFFSET(enemy_skills!$A$1,0,0,COUNTA(enemy_skills!$A:$A),MATCH(E$1,enemy_skills!$1:$1,0)-MATCH("enemy_skill_id",enemy_skills!$1:$1,0)+1),MATCH(E$1,enemy_skills!$1:$1,0)-MATCH("enemy_skill_id",enemy_skills!$1:$1,0)+1,FALSE)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8" s="107">
        <v>48005008</v>
      </c>
      <c r="G8" s="45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5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5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5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5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5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5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5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5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4"/>
      <c r="Q8" s="44"/>
      <c r="R8" s="44"/>
    </row>
    <row r="9" spans="1:18" ht="21" customHeight="1" thickBot="1" x14ac:dyDescent="0.2">
      <c r="A9" s="36" t="str">
        <f t="shared" si="1"/>
        <v>48005004_48005008</v>
      </c>
      <c r="B9" s="108">
        <v>48005004</v>
      </c>
      <c r="C9" s="108">
        <v>48005008</v>
      </c>
      <c r="D9" s="43" t="str">
        <f ca="1">VLOOKUP($C9,OFFSET(enemy_skills!$A$1,0,0,COUNTA(enemy_skills!$A:$A),MATCH(D$1,enemy_skills!$1:$1,0)-MATCH("enemy_skill_id",enemy_skills!$1:$1,0)+1),MATCH(D$1,enemy_skills!$1:$1,0)-MATCH("enemy_skill_id",enemy_skills!$1:$1,0)+1,FALSE)</f>
        <v>(巨大化して連続攻撃！)</v>
      </c>
      <c r="E9" s="43" t="str">
        <f ca="1">VLOOKUP($C9,OFFSET(enemy_skills!$A$1,0,0,COUNTA(enemy_skills!$A:$A),MATCH(E$1,enemy_skills!$1:$1,0)-MATCH("enemy_skill_id",enemy_skills!$1:$1,0)+1),MATCH(E$1,enemy_skills!$1:$1,0)-MATCH("enemy_skill_id",enemy_skills!$1:$1,0)+1,FALSE)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9" s="108">
        <v>48005009</v>
      </c>
      <c r="G9" s="45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5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" s="45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9" s="45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5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5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9" s="45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5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5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9" s="44"/>
      <c r="Q9" s="44"/>
      <c r="R9" s="44"/>
    </row>
    <row r="10" spans="1:18" ht="21" customHeight="1" x14ac:dyDescent="0.15">
      <c r="A10" s="36" t="str">
        <f t="shared" si="1"/>
        <v>48005005_48005009</v>
      </c>
      <c r="B10" s="107">
        <v>48005005</v>
      </c>
      <c r="C10" s="107">
        <v>48005009</v>
      </c>
      <c r="D10" s="43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来たか、それじゃ勝負だぜ！</v>
      </c>
      <c r="E10" s="43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0" s="107">
        <v>48005010</v>
      </c>
      <c r="G10" s="45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5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5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5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5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5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5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5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5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4"/>
      <c r="Q10" s="44"/>
      <c r="R10" s="44"/>
    </row>
    <row r="11" spans="1:18" ht="21" customHeight="1" x14ac:dyDescent="0.15">
      <c r="A11" s="36" t="str">
        <f t="shared" si="1"/>
        <v>48005005_48005010</v>
      </c>
      <c r="B11" s="44">
        <v>48005005</v>
      </c>
      <c r="C11" s="44">
        <v>48005010</v>
      </c>
      <c r="D11" s="43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全力でお相手するぜ、三蔵！</v>
      </c>
      <c r="E11" s="43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1" s="44">
        <v>48005011</v>
      </c>
      <c r="G11" s="45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5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1" s="45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5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5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5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5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5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8005</v>
      </c>
      <c r="O11" s="45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4"/>
      <c r="Q11" s="44"/>
      <c r="R11" s="44"/>
    </row>
    <row r="12" spans="1:18" s="152" customFormat="1" ht="21" customHeight="1" x14ac:dyDescent="0.15">
      <c r="A12" s="151" t="str">
        <f t="shared" si="1"/>
        <v>48005005_48005011</v>
      </c>
      <c r="B12" s="44">
        <v>48005005</v>
      </c>
      <c r="C12" s="44">
        <v>48005011</v>
      </c>
      <c r="D12" s="43" t="str">
        <f ca="1">VLOOKUP($C12,OFFSET(enemy_skills!$A$1,0,0,COUNTA(enemy_skills!$A:$A),MATCH(D$1,enemy_skills!$1:$1,0)-MATCH("enemy_skill_id",enemy_skills!$1:$1,0)+1),MATCH(D$1,enemy_skills!$1:$1,0)-MATCH("enemy_skill_id",enemy_skills!$1:$1,0)+1,FALSE)</f>
        <v>(隙のない構えだ！)</v>
      </c>
      <c r="E12" s="43" t="str">
        <f ca="1">VLOOKUP($C12,OFFSET(enemy_skills!$A$1,0,0,COUNTA(enemy_skills!$A:$A),MATCH(E$1,enemy_skills!$1:$1,0)-MATCH("enemy_skill_id",enemy_skills!$1:$1,0)+1),MATCH(E$1,enemy_skills!$1:$1,0)-MATCH("enemy_skill_id",enemy_skills!$1:$1,0)+1,FALSE)</f>
        <v>次のターンに強力な攻撃+_x000D_2ターン全ユニットの攻撃をカウンター</v>
      </c>
      <c r="F12" s="44">
        <v>48005013</v>
      </c>
      <c r="G12" s="149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149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2" s="149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149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12" s="149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149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149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149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149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4"/>
      <c r="Q12" s="44"/>
      <c r="R12" s="44"/>
    </row>
    <row r="13" spans="1:18" ht="21" customHeight="1" thickBot="1" x14ac:dyDescent="0.2">
      <c r="A13" s="36" t="str">
        <f t="shared" ref="A13" si="2">B13&amp;"_"&amp;C13</f>
        <v>48005005_48005020</v>
      </c>
      <c r="B13" s="109">
        <v>48005005</v>
      </c>
      <c r="C13" s="109">
        <v>48005020</v>
      </c>
      <c r="D13" s="150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喰らえーーっ！</v>
      </c>
      <c r="E13" s="150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3" s="109">
        <v>48005022</v>
      </c>
      <c r="G13" s="149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149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3" s="149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149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13" s="149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149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149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149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149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107"/>
      <c r="Q13" s="107"/>
      <c r="R13" s="107"/>
    </row>
    <row r="14" spans="1:18" ht="21" customHeight="1" x14ac:dyDescent="0.15">
      <c r="A14" s="36" t="str">
        <f t="shared" si="1"/>
        <v>48005006_48005012</v>
      </c>
      <c r="B14" s="107">
        <v>48005006</v>
      </c>
      <c r="C14" s="107">
        <v>48005012</v>
      </c>
      <c r="D14" s="43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はあああああああっ！</v>
      </c>
      <c r="E14" s="43" t="str">
        <f ca="1">VLOOKUP($C14,OFFSET(enemy_skills!$A$1,0,0,COUNTA(enemy_skills!$A:$A),MATCH(E$1,enemy_skills!$1:$1,0)-MATCH("enemy_skill_id",enemy_skills!$1:$1,0)+1),MATCH(E$1,enemy_skills!$1:$1,0)-MATCH("enemy_skill_id",enemy_skills!$1:$1,0)+1,FALSE)</f>
        <v>5ターン自身の攻撃力UP+_x000D_状態異常耐性</v>
      </c>
      <c r="F14" s="107">
        <v>48005014</v>
      </c>
      <c r="G14" s="149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149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149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149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149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149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149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149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149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4"/>
      <c r="Q14" s="44"/>
      <c r="R14" s="44"/>
    </row>
    <row r="15" spans="1:18" ht="21" customHeight="1" x14ac:dyDescent="0.15">
      <c r="A15" s="36" t="str">
        <f t="shared" si="1"/>
        <v>48005006_48005013</v>
      </c>
      <c r="B15" s="44">
        <v>48005006</v>
      </c>
      <c r="C15" s="44">
        <v>48005013</v>
      </c>
      <c r="D15" s="43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如意金箍棒・破金</v>
      </c>
      <c r="E15" s="43" t="str">
        <f ca="1">VLOOKUP($C15,OFFSET(enemy_skills!$A$1,0,0,COUNTA(enemy_skills!$A:$A),MATCH(E$1,enemy_skills!$1:$1,0)-MATCH("enemy_skill_id",enemy_skills!$1:$1,0)+1),MATCH(E$1,enemy_skills!$1:$1,0)-MATCH("enemy_skill_id",enemy_skills!$1:$1,0)+1,FALSE)</f>
        <v>黄属性のユニットに大ダメージの全体攻撃</v>
      </c>
      <c r="F15" s="44">
        <v>48005015</v>
      </c>
      <c r="G15" s="45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5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5" s="45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5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5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5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5" s="45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5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5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4"/>
      <c r="Q15" s="44"/>
      <c r="R15" s="44"/>
    </row>
    <row r="16" spans="1:18" ht="21" customHeight="1" x14ac:dyDescent="0.15">
      <c r="A16" s="36" t="str">
        <f t="shared" si="1"/>
        <v>48005006_48005014</v>
      </c>
      <c r="B16" s="44">
        <v>48005006</v>
      </c>
      <c r="C16" s="44">
        <v>48005014</v>
      </c>
      <c r="D16" s="43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そいつは阻止させてもらうよ！</v>
      </c>
      <c r="E16" s="43" t="str">
        <f ca="1">VLOOKUP($C16,OFFSET(enemy_skills!$A$1,0,0,COUNTA(enemy_skills!$A:$A),MATCH(E$1,enemy_skills!$1:$1,0)-MATCH("enemy_skill_id",enemy_skills!$1:$1,0)+1),MATCH(E$1,enemy_skills!$1:$1,0)-MATCH("enemy_skill_id",enemy_skills!$1:$1,0)+1,FALSE)</f>
        <v>赤パネルを赤の時限式ダメージパネルに6個変換+_x000D_青パネルをお邪魔パネルに6個変換</v>
      </c>
      <c r="F16" s="44">
        <v>48005016</v>
      </c>
      <c r="G16" s="45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5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6" s="45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5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66</v>
      </c>
      <c r="K16" s="45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5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5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5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5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4"/>
      <c r="Q16" s="44"/>
      <c r="R16" s="44"/>
    </row>
    <row r="17" spans="1:18" ht="21" customHeight="1" thickBot="1" x14ac:dyDescent="0.2">
      <c r="A17" s="36" t="str">
        <f t="shared" si="1"/>
        <v>48005006_48005015</v>
      </c>
      <c r="B17" s="108">
        <v>48005006</v>
      </c>
      <c r="C17" s="108">
        <v>48005015</v>
      </c>
      <c r="D17" s="43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こういう戦い方もあるのさっ！</v>
      </c>
      <c r="E17" s="43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17" s="108">
        <v>48005017</v>
      </c>
      <c r="G17" s="45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5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7" s="45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5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17" s="45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5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5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5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5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4"/>
      <c r="Q17" s="44"/>
      <c r="R17" s="44"/>
    </row>
    <row r="18" spans="1:18" ht="21" customHeight="1" x14ac:dyDescent="0.15">
      <c r="A18" s="36" t="str">
        <f t="shared" si="1"/>
        <v>48005007_48005016</v>
      </c>
      <c r="B18" s="107">
        <v>48005007</v>
      </c>
      <c r="C18" s="107">
        <v>48005016</v>
      </c>
      <c r="D18" s="43" t="str">
        <f ca="1">VLOOKUP($C18,OFFSET(enemy_skills!$A$1,0,0,COUNTA(enemy_skills!$A:$A),MATCH(D$1,enemy_skills!$1:$1,0)-MATCH("enemy_skill_id",enemy_skills!$1:$1,0)+1),MATCH(D$1,enemy_skills!$1:$1,0)-MATCH("enemy_skill_id",enemy_skills!$1:$1,0)+1,FALSE)</f>
        <v>行くぜっ！ついてこられるか？</v>
      </c>
      <c r="E18" s="43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8" s="107">
        <v>48005018</v>
      </c>
      <c r="G18" s="45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5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5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5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5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5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5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5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5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4"/>
      <c r="Q18" s="44"/>
      <c r="R18" s="44"/>
    </row>
    <row r="19" spans="1:18" ht="21" customHeight="1" x14ac:dyDescent="0.15">
      <c r="A19" s="36" t="str">
        <f t="shared" si="1"/>
        <v>48005007_48005017</v>
      </c>
      <c r="B19" s="44">
        <v>48005007</v>
      </c>
      <c r="C19" s="44">
        <v>48005017</v>
      </c>
      <c r="D19" s="43" t="str">
        <f ca="1">VLOOKUP($C19,OFFSET(enemy_skills!$A$1,0,0,COUNTA(enemy_skills!$A:$A),MATCH(D$1,enemy_skills!$1:$1,0)-MATCH("enemy_skill_id",enemy_skills!$1:$1,0)+1),MATCH(D$1,enemy_skills!$1:$1,0)-MATCH("enemy_skill_id",enemy_skills!$1:$1,0)+1,FALSE)</f>
        <v>如意金箍棒・破神</v>
      </c>
      <c r="E19" s="43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種族ゴッドのユニットに大ダメージの全体攻撃</v>
      </c>
      <c r="F19" s="44">
        <v>48005019</v>
      </c>
      <c r="G19" s="45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5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9" s="45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19" s="45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5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40</v>
      </c>
      <c r="L19" s="45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9" s="45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5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5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19" s="44"/>
      <c r="Q19" s="44"/>
      <c r="R19" s="44"/>
    </row>
    <row r="20" spans="1:18" ht="21" customHeight="1" x14ac:dyDescent="0.15">
      <c r="A20" s="36" t="str">
        <f t="shared" si="1"/>
        <v>48005007_48005018</v>
      </c>
      <c r="B20" s="44">
        <v>48005007</v>
      </c>
      <c r="C20" s="44">
        <v>48005018</v>
      </c>
      <c r="D20" s="43" t="str">
        <f ca="1">VLOOKUP($C20,OFFSET(enemy_skills!$A$1,0,0,COUNTA(enemy_skills!$A:$A),MATCH(D$1,enemy_skills!$1:$1,0)-MATCH("enemy_skill_id",enemy_skills!$1:$1,0)+1),MATCH(D$1,enemy_skills!$1:$1,0)-MATCH("enemy_skill_id",enemy_skills!$1:$1,0)+1,FALSE)</f>
        <v>斉天大聖撃</v>
      </c>
      <c r="E20" s="43" t="str">
        <f ca="1">VLOOKUP($C20,OFFSET(enemy_skills!$A$1,0,0,COUNTA(enemy_skills!$A:$A),MATCH(E$1,enemy_skills!$1:$1,0)-MATCH("enemy_skill_id",enemy_skills!$1:$1,0)+1),MATCH(E$1,enemy_skills!$1:$1,0)-MATCH("enemy_skill_id",enemy_skills!$1:$1,0)+1,FALSE)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20" s="44">
        <v>48005020</v>
      </c>
      <c r="G20" s="45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5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" s="45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0" s="45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0" s="45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5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5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5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5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0" s="44"/>
      <c r="Q20" s="44"/>
      <c r="R20" s="44"/>
    </row>
    <row r="21" spans="1:18" ht="21" customHeight="1" thickBot="1" x14ac:dyDescent="0.2">
      <c r="A21" s="36" t="str">
        <f t="shared" si="1"/>
        <v>48005007_48005019</v>
      </c>
      <c r="B21" s="108">
        <v>48005007</v>
      </c>
      <c r="C21" s="108">
        <v>48005019</v>
      </c>
      <c r="D21" s="43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オマエたち……強いなァ……</v>
      </c>
      <c r="E21" s="43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同行してみるのも面白そうだ！</v>
      </c>
      <c r="F21" s="108">
        <v>48005021</v>
      </c>
      <c r="G21" s="45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5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21" s="45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5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5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5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" s="45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5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1" s="45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4"/>
      <c r="Q21" s="44"/>
      <c r="R21" s="44"/>
    </row>
    <row r="22" spans="1:18" ht="21" customHeight="1" thickBot="1" x14ac:dyDescent="0.2">
      <c r="A22" s="36" t="str">
        <f t="shared" ref="A22:A23" si="3">B22&amp;"_"&amp;C22</f>
        <v>48005007_48005021</v>
      </c>
      <c r="B22" s="108">
        <v>48005007</v>
      </c>
      <c r="C22" s="108">
        <v>48005021</v>
      </c>
      <c r="D22" s="43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うーむ……降参だ三蔵！</v>
      </c>
      <c r="E22" s="43" t="str">
        <f ca="1">VLOOKUP($C22,OFFSET(enemy_skills!$A$1,0,0,COUNTA(enemy_skills!$A:$A),MATCH(E$1,enemy_skills!$1:$1,0)-MATCH("enemy_skill_id",enemy_skills!$1:$1,0)+1),MATCH(E$1,enemy_skills!$1:$1,0)-MATCH("enemy_skill_id",enemy_skills!$1:$1,0)+1,FALSE)</f>
        <v>俺は結局、お前と一緒に過ごした_x000D_あの時間を失いたくないみたいだ</v>
      </c>
      <c r="F22" s="108">
        <v>48005023</v>
      </c>
      <c r="G22" s="45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5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45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5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5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5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" s="45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5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8005</v>
      </c>
      <c r="O22" s="45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4"/>
      <c r="Q22" s="44"/>
      <c r="R22" s="44"/>
    </row>
    <row r="23" spans="1:18" ht="21" customHeight="1" thickBot="1" x14ac:dyDescent="0.2">
      <c r="A23" s="36" t="str">
        <f t="shared" si="3"/>
        <v>48005007_48005021</v>
      </c>
      <c r="B23" s="108">
        <v>48005007</v>
      </c>
      <c r="C23" s="108">
        <v>48005021</v>
      </c>
      <c r="D23" s="43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うーむ……降参だ三蔵！</v>
      </c>
      <c r="E23" s="43" t="str">
        <f ca="1">VLOOKUP($C23,OFFSET(enemy_skills!$A$1,0,0,COUNTA(enemy_skills!$A:$A),MATCH(E$1,enemy_skills!$1:$1,0)-MATCH("enemy_skill_id",enemy_skills!$1:$1,0)+1),MATCH(E$1,enemy_skills!$1:$1,0)-MATCH("enemy_skill_id",enemy_skills!$1:$1,0)+1,FALSE)</f>
        <v>俺は結局、お前と一緒に過ごした_x000D_あの時間を失いたくないみたいだ</v>
      </c>
      <c r="F23" s="108">
        <v>48005024</v>
      </c>
      <c r="G23" s="45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5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23" s="45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5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5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5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" s="45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5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8006</v>
      </c>
      <c r="O23" s="45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4"/>
      <c r="Q23" s="44"/>
      <c r="R23" s="44"/>
    </row>
    <row r="24" spans="1:18" ht="21" customHeight="1" thickBot="1" x14ac:dyDescent="0.2">
      <c r="A24" s="36" t="str">
        <f t="shared" ref="A24" si="4">B24&amp;"_"&amp;C24</f>
        <v>48005007_48005021</v>
      </c>
      <c r="B24" s="108">
        <v>48005007</v>
      </c>
      <c r="C24" s="108">
        <v>48005021</v>
      </c>
      <c r="D24" s="43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うーむ……降参だ三蔵！</v>
      </c>
      <c r="E24" s="43" t="str">
        <f ca="1">VLOOKUP($C24,OFFSET(enemy_skills!$A$1,0,0,COUNTA(enemy_skills!$A:$A),MATCH(E$1,enemy_skills!$1:$1,0)-MATCH("enemy_skill_id",enemy_skills!$1:$1,0)+1),MATCH(E$1,enemy_skills!$1:$1,0)-MATCH("enemy_skill_id",enemy_skills!$1:$1,0)+1,FALSE)</f>
        <v>俺は結局、お前と一緒に過ごした_x000D_あの時間を失いたくないみたいだ</v>
      </c>
      <c r="F24" s="108">
        <v>48005025</v>
      </c>
      <c r="G24" s="45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5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24" s="45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5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5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5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" s="45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5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8075</v>
      </c>
      <c r="O24" s="45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4"/>
      <c r="Q24" s="44"/>
      <c r="R24" s="44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2"/>
  <sheetViews>
    <sheetView showGridLines="0" tabSelected="1" workbookViewId="0">
      <pane ySplit="1" topLeftCell="A11" activePane="bottomLeft" state="frozenSplit"/>
      <selection pane="bottomLeft" activeCell="B22" sqref="B22"/>
    </sheetView>
  </sheetViews>
  <sheetFormatPr baseColWidth="12" defaultColWidth="12.83203125" defaultRowHeight="14" outlineLevelCol="1" x14ac:dyDescent="0.15"/>
  <cols>
    <col min="1" max="1" width="12.83203125" style="46"/>
    <col min="2" max="2" width="67.1640625" style="46" customWidth="1"/>
    <col min="3" max="4" width="12.83203125" style="46"/>
    <col min="5" max="5" width="23.6640625" style="46" bestFit="1" customWidth="1"/>
    <col min="6" max="6" width="44.1640625" style="46" bestFit="1" customWidth="1"/>
    <col min="7" max="7" width="52" style="46" hidden="1" customWidth="1" outlineLevel="1"/>
    <col min="8" max="8" width="18.33203125" style="46" hidden="1" customWidth="1" outlineLevel="1"/>
    <col min="9" max="11" width="18.6640625" style="46" hidden="1" customWidth="1" outlineLevel="1"/>
    <col min="12" max="12" width="23.6640625" style="46" customWidth="1" collapsed="1"/>
    <col min="13" max="18" width="23.6640625" style="46" hidden="1" customWidth="1" outlineLevel="1"/>
    <col min="19" max="19" width="23.6640625" style="46" customWidth="1" collapsed="1"/>
    <col min="20" max="24" width="23.6640625" style="46" hidden="1" customWidth="1" outlineLevel="1"/>
    <col min="25" max="25" width="23.6640625" style="46" customWidth="1" collapsed="1"/>
    <col min="26" max="27" width="12.83203125" style="46"/>
    <col min="28" max="28" width="44.5" style="46" customWidth="1"/>
    <col min="29" max="16384" width="12.83203125" style="46"/>
  </cols>
  <sheetData>
    <row r="1" spans="1:28" x14ac:dyDescent="0.15">
      <c r="A1" s="37" t="s">
        <v>78</v>
      </c>
      <c r="B1" s="37" t="s">
        <v>79</v>
      </c>
      <c r="C1" s="37" t="s">
        <v>80</v>
      </c>
      <c r="D1" s="37" t="s">
        <v>125</v>
      </c>
      <c r="E1" s="37" t="s">
        <v>81</v>
      </c>
      <c r="F1" s="37" t="s">
        <v>82</v>
      </c>
      <c r="G1" s="38" t="s">
        <v>131</v>
      </c>
      <c r="H1" s="38" t="s">
        <v>137</v>
      </c>
      <c r="I1" s="38" t="s">
        <v>139</v>
      </c>
      <c r="J1" s="38" t="s">
        <v>138</v>
      </c>
      <c r="K1" s="38" t="s">
        <v>140</v>
      </c>
      <c r="L1" s="38" t="s">
        <v>132</v>
      </c>
      <c r="M1" s="38" t="s">
        <v>130</v>
      </c>
      <c r="N1" s="38" t="s">
        <v>133</v>
      </c>
      <c r="O1" s="38" t="s">
        <v>141</v>
      </c>
      <c r="P1" s="38" t="s">
        <v>142</v>
      </c>
      <c r="Q1" s="38" t="s">
        <v>143</v>
      </c>
      <c r="R1" s="38" t="s">
        <v>144</v>
      </c>
      <c r="S1" s="38" t="s">
        <v>134</v>
      </c>
      <c r="T1" s="38" t="s">
        <v>135</v>
      </c>
      <c r="U1" s="38" t="s">
        <v>145</v>
      </c>
      <c r="V1" s="38" t="s">
        <v>146</v>
      </c>
      <c r="W1" s="38" t="s">
        <v>147</v>
      </c>
      <c r="X1" s="38" t="s">
        <v>148</v>
      </c>
      <c r="Y1" s="38" t="s">
        <v>136</v>
      </c>
      <c r="Z1" s="38" t="s">
        <v>75</v>
      </c>
      <c r="AA1" s="38" t="s">
        <v>76</v>
      </c>
      <c r="AB1" s="38" t="s">
        <v>77</v>
      </c>
    </row>
    <row r="2" spans="1:28" ht="28" x14ac:dyDescent="0.15">
      <c r="A2" s="44">
        <v>48005001</v>
      </c>
      <c r="B2" s="169" t="s">
        <v>319</v>
      </c>
      <c r="C2" s="47">
        <v>3</v>
      </c>
      <c r="D2" s="47" t="s">
        <v>255</v>
      </c>
      <c r="E2" s="48" t="s">
        <v>270</v>
      </c>
      <c r="F2" s="48" t="s">
        <v>271</v>
      </c>
      <c r="G2" s="61" t="str">
        <f>IFERROR(LEFT(B2,FIND("],",B2)),B2)</f>
        <v>[effect:enemy_message, val1:1.2, val2:1.2]</v>
      </c>
      <c r="H2" s="61">
        <f>FIND("effect:",G2)+7</f>
        <v>9</v>
      </c>
      <c r="I2" s="61">
        <f>IFERROR(FIND(",",G2),LEN(G2))</f>
        <v>22</v>
      </c>
      <c r="J2" s="61" t="e">
        <f>FIND("target:",G2)+7</f>
        <v>#VALUE!</v>
      </c>
      <c r="K2" s="61">
        <f>FIND(",",G2,I2+1)</f>
        <v>32</v>
      </c>
      <c r="L2" s="61" t="str">
        <f>IFERROR(VLOOKUP(MID(G2,J2,K2-J2),[6]skilldef!$C:$D,2,FALSE),"-") &amp; " / " &amp; IFERROR(VLOOKUP(MID(G2,H2,I2-H2),[6]skilldef!$A:$B,2,FALSE),"-")</f>
        <v>- / -</v>
      </c>
      <c r="M2" s="61" t="str">
        <f>IFERROR(RIGHT(B2,LEN(B2)-FIND("],",B2)-1),"none")</f>
        <v xml:space="preserve">[effect:fix_speed, target:myself, turn:2]    </v>
      </c>
      <c r="N2" s="45" t="str">
        <f>IFERROR(LEFT(M2,FIND("],",M2)+S12),M2)</f>
        <v xml:space="preserve">[effect:fix_speed, target:myself, turn:2]    </v>
      </c>
      <c r="O2" s="61">
        <f>FIND("effect:",N2)+7</f>
        <v>9</v>
      </c>
      <c r="P2" s="61">
        <f>IFERROR(FIND(",",N2),LEN(N2))</f>
        <v>18</v>
      </c>
      <c r="Q2" s="61">
        <f>FIND("target:",N2)+7</f>
        <v>27</v>
      </c>
      <c r="R2" s="61">
        <f>FIND(",",N2,P2+1)</f>
        <v>33</v>
      </c>
      <c r="S2" s="61" t="str">
        <f>IFERROR(VLOOKUP(MID(N2,Q2,R2-Q2),[6]skilldef!$C:$D,2,FALSE),"-") &amp; " / " &amp; IFERROR(VLOOKUP(MID(N2,O2,P2-O2),[6]skilldef!$A:$B,2,FALSE),"-")</f>
        <v>自分自身に / 行動値設定</v>
      </c>
      <c r="T2" s="45" t="str">
        <f>IFERROR(RIGHT(M2,LEN(M2)-FIND("],",M2)-1),"none")</f>
        <v>none</v>
      </c>
      <c r="U2" s="61" t="e">
        <f>FIND("effect:",T2)+7</f>
        <v>#VALUE!</v>
      </c>
      <c r="V2" s="61">
        <f>IFERROR(FIND(",",T2),LEN(T2))</f>
        <v>4</v>
      </c>
      <c r="W2" s="61" t="e">
        <f>FIND("target:",T2)+7</f>
        <v>#VALUE!</v>
      </c>
      <c r="X2" s="61" t="e">
        <f>FIND(",",T2,V2+1)</f>
        <v>#VALUE!</v>
      </c>
      <c r="Y2" s="61" t="str">
        <f>IFERROR(VLOOKUP(MID(T2,W2,X2-W2),[6]skilldef!$C:$D,2,FALSE),"-") &amp; " / " &amp; IFERROR(VLOOKUP(MID(T2,U2,V2-U2),[6]skilldef!$A:$B,2,FALSE),"-")</f>
        <v>- / -</v>
      </c>
      <c r="Z2" s="47"/>
      <c r="AA2" s="49"/>
      <c r="AB2" s="47"/>
    </row>
    <row r="3" spans="1:28" ht="28" x14ac:dyDescent="0.15">
      <c r="A3" s="44">
        <v>48005002</v>
      </c>
      <c r="B3" s="169" t="s">
        <v>320</v>
      </c>
      <c r="C3" s="47">
        <v>3</v>
      </c>
      <c r="D3" s="47" t="s">
        <v>255</v>
      </c>
      <c r="E3" s="48" t="s">
        <v>273</v>
      </c>
      <c r="F3" s="48" t="s">
        <v>272</v>
      </c>
      <c r="L3" s="61" t="str">
        <f>IFERROR(VLOOKUP(MID(G3,J3,K3-J3),[6]skilldef!$C:$D,2,FALSE),"-") &amp; " / " &amp; IFERROR(VLOOKUP(MID(G3,H3,I3-H3),[6]skilldef!$A:$B,2,FALSE),"-")</f>
        <v>- / -</v>
      </c>
      <c r="M3" s="61" t="str">
        <f t="shared" ref="M3:M20" si="0">IFERROR(RIGHT(B3,LEN(B3)-FIND("],",B3)-1),"none")</f>
        <v xml:space="preserve">[effect:fix_speed, target:myself, turn:2]    </v>
      </c>
      <c r="N3" s="45" t="str">
        <f t="shared" ref="N3:N10" si="1">IFERROR(LEFT(M3,FIND("],",M3)+S13),M3)</f>
        <v xml:space="preserve">[effect:fix_speed, target:myself, turn:2]    </v>
      </c>
      <c r="O3" s="61">
        <f t="shared" ref="O3:O20" si="2">FIND("effect:",N3)+7</f>
        <v>9</v>
      </c>
      <c r="P3" s="61">
        <f t="shared" ref="P3:P20" si="3">IFERROR(FIND(",",N3),LEN(N3))</f>
        <v>18</v>
      </c>
      <c r="Q3" s="61">
        <f t="shared" ref="Q3:Q20" si="4">FIND("target:",N3)+7</f>
        <v>27</v>
      </c>
      <c r="R3" s="61">
        <f t="shared" ref="R3:R20" si="5">FIND(",",N3,P3+1)</f>
        <v>33</v>
      </c>
      <c r="S3" s="61" t="str">
        <f>IFERROR(VLOOKUP(MID(N3,Q3,R3-Q3),[6]skilldef!$C:$D,2,FALSE),"-") &amp; " / " &amp; IFERROR(VLOOKUP(MID(N3,O3,P3-O3),[6]skilldef!$A:$B,2,FALSE),"-")</f>
        <v>自分自身に / 行動値設定</v>
      </c>
      <c r="T3" s="45" t="str">
        <f t="shared" ref="T3:T20" si="6">IFERROR(RIGHT(M3,LEN(M3)-FIND("],",M3)-1),"none")</f>
        <v>none</v>
      </c>
      <c r="U3" s="61" t="e">
        <f t="shared" ref="U3:U20" si="7">FIND("effect:",T3)+7</f>
        <v>#VALUE!</v>
      </c>
      <c r="V3" s="61">
        <f t="shared" ref="V3:V20" si="8">IFERROR(FIND(",",T3),LEN(T3))</f>
        <v>4</v>
      </c>
      <c r="W3" s="61" t="e">
        <f t="shared" ref="W3:W20" si="9">FIND("target:",T3)+7</f>
        <v>#VALUE!</v>
      </c>
      <c r="X3" s="61" t="e">
        <f t="shared" ref="X3:X20" si="10">FIND(",",T3,V3+1)</f>
        <v>#VALUE!</v>
      </c>
      <c r="Y3" s="61" t="str">
        <f>IFERROR(VLOOKUP(MID(T3,W3,X3-W3),[6]skilldef!$C:$D,2,FALSE),"-") &amp; " / " &amp; IFERROR(VLOOKUP(MID(T3,U3,V3-U3),[6]skilldef!$A:$B,2,FALSE),"-")</f>
        <v>- / -</v>
      </c>
      <c r="Z3" s="47"/>
      <c r="AA3" s="49"/>
      <c r="AB3" s="47"/>
    </row>
    <row r="4" spans="1:28" x14ac:dyDescent="0.15">
      <c r="A4" s="44">
        <v>48005003</v>
      </c>
      <c r="B4" s="169" t="s">
        <v>340</v>
      </c>
      <c r="C4" s="47">
        <v>3</v>
      </c>
      <c r="D4" s="47" t="s">
        <v>255</v>
      </c>
      <c r="E4" s="48" t="s">
        <v>274</v>
      </c>
      <c r="F4" s="48" t="s">
        <v>275</v>
      </c>
      <c r="L4" s="61" t="str">
        <f>IFERROR(VLOOKUP(MID(G4,J4,K4-J4),[6]skilldef!$C:$D,2,FALSE),"-") &amp; " / " &amp; IFERROR(VLOOKUP(MID(G4,H4,I4-H4),[6]skilldef!$A:$B,2,FALSE),"-")</f>
        <v>- / -</v>
      </c>
      <c r="M4" s="61" t="str">
        <f t="shared" si="0"/>
        <v>none</v>
      </c>
      <c r="N4" s="45" t="str">
        <f t="shared" si="1"/>
        <v>none</v>
      </c>
      <c r="O4" s="61" t="e">
        <f t="shared" si="2"/>
        <v>#VALUE!</v>
      </c>
      <c r="P4" s="61">
        <f t="shared" si="3"/>
        <v>4</v>
      </c>
      <c r="Q4" s="61" t="e">
        <f t="shared" si="4"/>
        <v>#VALUE!</v>
      </c>
      <c r="R4" s="61" t="e">
        <f t="shared" si="5"/>
        <v>#VALUE!</v>
      </c>
      <c r="S4" s="61" t="str">
        <f>IFERROR(VLOOKUP(MID(N4,Q4,R4-Q4),[6]skilldef!$C:$D,2,FALSE),"-") &amp; " / " &amp; IFERROR(VLOOKUP(MID(N4,O4,P4-O4),[6]skilldef!$A:$B,2,FALSE),"-")</f>
        <v>- / -</v>
      </c>
      <c r="T4" s="45" t="str">
        <f t="shared" si="6"/>
        <v>none</v>
      </c>
      <c r="U4" s="61" t="e">
        <f t="shared" si="7"/>
        <v>#VALUE!</v>
      </c>
      <c r="V4" s="61">
        <f t="shared" si="8"/>
        <v>4</v>
      </c>
      <c r="W4" s="61" t="e">
        <f t="shared" si="9"/>
        <v>#VALUE!</v>
      </c>
      <c r="X4" s="61" t="e">
        <f t="shared" si="10"/>
        <v>#VALUE!</v>
      </c>
      <c r="Y4" s="61" t="str">
        <f>IFERROR(VLOOKUP(MID(T4,W4,X4-W4),[6]skilldef!$C:$D,2,FALSE),"-") &amp; " / " &amp; IFERROR(VLOOKUP(MID(T4,U4,V4-U4),[6]skilldef!$A:$B,2,FALSE),"-")</f>
        <v>- / -</v>
      </c>
      <c r="Z4" s="47"/>
      <c r="AA4" s="49"/>
      <c r="AB4" s="47"/>
    </row>
    <row r="5" spans="1:28" ht="70" x14ac:dyDescent="0.15">
      <c r="A5" s="44">
        <v>48005004</v>
      </c>
      <c r="B5" s="169" t="s">
        <v>321</v>
      </c>
      <c r="C5" s="47">
        <v>3</v>
      </c>
      <c r="D5" s="47" t="s">
        <v>255</v>
      </c>
      <c r="E5" s="48" t="s">
        <v>307</v>
      </c>
      <c r="F5" s="48" t="s">
        <v>293</v>
      </c>
      <c r="L5" s="61" t="str">
        <f>IFERROR(VLOOKUP(MID(G5,J5,K5-J5),[6]skilldef!$C:$D,2,FALSE),"-") &amp; " / " &amp; IFERROR(VLOOKUP(MID(G5,H5,I5-H5),[6]skilldef!$A:$B,2,FALSE),"-")</f>
        <v>- / -</v>
      </c>
      <c r="M5" s="61" t="str">
        <f t="shared" si="0"/>
        <v xml:space="preserve">[effect:enhance_enemy, target:myself, turn:-1, status:attack, val:1000, calc:add, animation:enemy_enhance_attack]    </v>
      </c>
      <c r="N5" s="45" t="str">
        <f t="shared" si="1"/>
        <v xml:space="preserve">[effect:enhance_enemy, target:myself, turn:-1, status:attack, val:1000, calc:add, animation:enemy_enhance_attack]    </v>
      </c>
      <c r="O5" s="61">
        <f t="shared" si="2"/>
        <v>9</v>
      </c>
      <c r="P5" s="61">
        <f t="shared" si="3"/>
        <v>22</v>
      </c>
      <c r="Q5" s="61">
        <f t="shared" si="4"/>
        <v>31</v>
      </c>
      <c r="R5" s="61">
        <f t="shared" si="5"/>
        <v>37</v>
      </c>
      <c r="S5" s="61" t="str">
        <f>IFERROR(VLOOKUP(MID(N5,Q5,R5-Q5),[6]skilldef!$C:$D,2,FALSE),"-") &amp; " / " &amp; IFERROR(VLOOKUP(MID(N5,O5,P5-O5),[6]skilldef!$A:$B,2,FALSE),"-")</f>
        <v>自分自身に / ステータス強化</v>
      </c>
      <c r="T5" s="45" t="str">
        <f t="shared" si="6"/>
        <v>none</v>
      </c>
      <c r="U5" s="61" t="e">
        <f t="shared" si="7"/>
        <v>#VALUE!</v>
      </c>
      <c r="V5" s="61">
        <f t="shared" si="8"/>
        <v>4</v>
      </c>
      <c r="W5" s="61" t="e">
        <f t="shared" si="9"/>
        <v>#VALUE!</v>
      </c>
      <c r="X5" s="61" t="e">
        <f t="shared" si="10"/>
        <v>#VALUE!</v>
      </c>
      <c r="Y5" s="61" t="str">
        <f>IFERROR(VLOOKUP(MID(T5,W5,X5-W5),[6]skilldef!$C:$D,2,FALSE),"-") &amp; " / " &amp; IFERROR(VLOOKUP(MID(T5,U5,V5-U5),[6]skilldef!$A:$B,2,FALSE),"-")</f>
        <v>- / -</v>
      </c>
      <c r="Z5" s="47"/>
      <c r="AA5" s="49"/>
      <c r="AB5" s="47"/>
    </row>
    <row r="6" spans="1:28" x14ac:dyDescent="0.15">
      <c r="A6" s="44">
        <v>48005005</v>
      </c>
      <c r="B6" s="169" t="s">
        <v>339</v>
      </c>
      <c r="C6" s="47">
        <v>3</v>
      </c>
      <c r="D6" s="47" t="s">
        <v>255</v>
      </c>
      <c r="E6" s="48" t="s">
        <v>309</v>
      </c>
      <c r="F6" s="48" t="s">
        <v>282</v>
      </c>
      <c r="L6" s="61" t="str">
        <f>IFERROR(VLOOKUP(MID(G6,J6,K6-J6),[6]skilldef!$C:$D,2,FALSE),"-") &amp; " / " &amp; IFERROR(VLOOKUP(MID(G6,H6,I6-H6),[6]skilldef!$A:$B,2,FALSE),"-")</f>
        <v>- / -</v>
      </c>
      <c r="M6" s="61" t="str">
        <f t="shared" si="0"/>
        <v>none</v>
      </c>
      <c r="N6" s="45" t="str">
        <f t="shared" si="1"/>
        <v>none</v>
      </c>
      <c r="O6" s="61" t="e">
        <f t="shared" si="2"/>
        <v>#VALUE!</v>
      </c>
      <c r="P6" s="61">
        <f t="shared" si="3"/>
        <v>4</v>
      </c>
      <c r="Q6" s="61" t="e">
        <f t="shared" si="4"/>
        <v>#VALUE!</v>
      </c>
      <c r="R6" s="61" t="e">
        <f t="shared" si="5"/>
        <v>#VALUE!</v>
      </c>
      <c r="S6" s="61" t="str">
        <f>IFERROR(VLOOKUP(MID(N6,Q6,R6-Q6),[6]skilldef!$C:$D,2,FALSE),"-") &amp; " / " &amp; IFERROR(VLOOKUP(MID(N6,O6,P6-O6),[6]skilldef!$A:$B,2,FALSE),"-")</f>
        <v>- / -</v>
      </c>
      <c r="T6" s="45" t="str">
        <f t="shared" si="6"/>
        <v>none</v>
      </c>
      <c r="U6" s="61" t="e">
        <f t="shared" si="7"/>
        <v>#VALUE!</v>
      </c>
      <c r="V6" s="61">
        <f t="shared" si="8"/>
        <v>4</v>
      </c>
      <c r="W6" s="61" t="e">
        <f t="shared" si="9"/>
        <v>#VALUE!</v>
      </c>
      <c r="X6" s="61" t="e">
        <f t="shared" si="10"/>
        <v>#VALUE!</v>
      </c>
      <c r="Y6" s="61" t="str">
        <f>IFERROR(VLOOKUP(MID(T6,W6,X6-W6),[6]skilldef!$C:$D,2,FALSE),"-") &amp; " / " &amp; IFERROR(VLOOKUP(MID(T6,U6,V6-U6),[6]skilldef!$A:$B,2,FALSE),"-")</f>
        <v>- / -</v>
      </c>
      <c r="Z6" s="47"/>
      <c r="AA6" s="49"/>
      <c r="AB6" s="47"/>
    </row>
    <row r="7" spans="1:28" x14ac:dyDescent="0.15">
      <c r="A7" s="44">
        <v>48005006</v>
      </c>
      <c r="B7" s="169" t="s">
        <v>322</v>
      </c>
      <c r="C7" s="47">
        <v>3</v>
      </c>
      <c r="D7" s="47" t="s">
        <v>255</v>
      </c>
      <c r="E7" s="48" t="s">
        <v>256</v>
      </c>
      <c r="F7" s="48" t="s">
        <v>257</v>
      </c>
      <c r="L7" s="61" t="str">
        <f>IFERROR(VLOOKUP(MID(G7,J7,K7-J7),[6]skilldef!$C:$D,2,FALSE),"-") &amp; " / " &amp; IFERROR(VLOOKUP(MID(G7,H7,I7-H7),[6]skilldef!$A:$B,2,FALSE),"-")</f>
        <v>- / -</v>
      </c>
      <c r="M7" s="61" t="str">
        <f t="shared" si="0"/>
        <v xml:space="preserve">[effect:spread, val:0.3]    </v>
      </c>
      <c r="N7" s="45" t="str">
        <f t="shared" si="1"/>
        <v xml:space="preserve">[effect:spread, val:0.3]    </v>
      </c>
      <c r="O7" s="61">
        <f t="shared" si="2"/>
        <v>9</v>
      </c>
      <c r="P7" s="61">
        <f t="shared" si="3"/>
        <v>15</v>
      </c>
      <c r="Q7" s="61" t="e">
        <f t="shared" si="4"/>
        <v>#VALUE!</v>
      </c>
      <c r="R7" s="61" t="e">
        <f t="shared" si="5"/>
        <v>#VALUE!</v>
      </c>
      <c r="S7" s="61" t="str">
        <f>IFERROR(VLOOKUP(MID(N7,Q7,R7-Q7),[6]skilldef!$C:$D,2,FALSE),"-") &amp; " / " &amp; IFERROR(VLOOKUP(MID(N7,O7,P7-O7),[6]skilldef!$A:$B,2,FALSE),"-")</f>
        <v>- / 全体攻撃</v>
      </c>
      <c r="T7" s="45" t="str">
        <f t="shared" si="6"/>
        <v>none</v>
      </c>
      <c r="U7" s="61" t="e">
        <f t="shared" si="7"/>
        <v>#VALUE!</v>
      </c>
      <c r="V7" s="61">
        <f t="shared" si="8"/>
        <v>4</v>
      </c>
      <c r="W7" s="61" t="e">
        <f t="shared" si="9"/>
        <v>#VALUE!</v>
      </c>
      <c r="X7" s="61" t="e">
        <f t="shared" si="10"/>
        <v>#VALUE!</v>
      </c>
      <c r="Y7" s="61" t="str">
        <f>IFERROR(VLOOKUP(MID(T7,W7,X7-W7),[6]skilldef!$C:$D,2,FALSE),"-") &amp; " / " &amp; IFERROR(VLOOKUP(MID(T7,U7,V7-U7),[6]skilldef!$A:$B,2,FALSE),"-")</f>
        <v>- / -</v>
      </c>
      <c r="Z7" s="47"/>
      <c r="AA7" s="49"/>
      <c r="AB7" s="47"/>
    </row>
    <row r="8" spans="1:28" x14ac:dyDescent="0.15">
      <c r="A8" s="44">
        <v>48005007</v>
      </c>
      <c r="B8" s="169" t="s">
        <v>323</v>
      </c>
      <c r="C8" s="47">
        <v>3</v>
      </c>
      <c r="D8" s="47" t="s">
        <v>255</v>
      </c>
      <c r="E8" s="48" t="s">
        <v>310</v>
      </c>
      <c r="F8" s="48" t="s">
        <v>292</v>
      </c>
      <c r="L8" s="61" t="str">
        <f>IFERROR(VLOOKUP(MID(G8,J8,K8-J8),[6]skilldef!$C:$D,2,FALSE),"-") &amp; " / " &amp; IFERROR(VLOOKUP(MID(G8,H8,I8-H8),[6]skilldef!$A:$B,2,FALSE),"-")</f>
        <v>- / -</v>
      </c>
      <c r="M8" s="61" t="str">
        <f t="shared" si="0"/>
        <v xml:space="preserve">[effect:rush, count:2, val:0.4]    </v>
      </c>
      <c r="N8" s="45" t="str">
        <f t="shared" si="1"/>
        <v xml:space="preserve">[effect:rush, count:2, val:0.4]    </v>
      </c>
      <c r="O8" s="61">
        <f t="shared" si="2"/>
        <v>9</v>
      </c>
      <c r="P8" s="61">
        <f t="shared" si="3"/>
        <v>13</v>
      </c>
      <c r="Q8" s="61" t="e">
        <f t="shared" si="4"/>
        <v>#VALUE!</v>
      </c>
      <c r="R8" s="61">
        <f t="shared" si="5"/>
        <v>22</v>
      </c>
      <c r="S8" s="61" t="str">
        <f>IFERROR(VLOOKUP(MID(N8,Q8,R8-Q8),[6]skilldef!$C:$D,2,FALSE),"-") &amp; " / " &amp; IFERROR(VLOOKUP(MID(N8,O8,P8-O8),[6]skilldef!$A:$B,2,FALSE),"-")</f>
        <v>- / 連続攻撃</v>
      </c>
      <c r="T8" s="45" t="str">
        <f t="shared" si="6"/>
        <v>none</v>
      </c>
      <c r="U8" s="61" t="e">
        <f t="shared" si="7"/>
        <v>#VALUE!</v>
      </c>
      <c r="V8" s="61">
        <f t="shared" si="8"/>
        <v>4</v>
      </c>
      <c r="W8" s="61" t="e">
        <f t="shared" si="9"/>
        <v>#VALUE!</v>
      </c>
      <c r="X8" s="61" t="e">
        <f t="shared" si="10"/>
        <v>#VALUE!</v>
      </c>
      <c r="Y8" s="61" t="str">
        <f>IFERROR(VLOOKUP(MID(T8,W8,X8-W8),[6]skilldef!$C:$D,2,FALSE),"-") &amp; " / " &amp; IFERROR(VLOOKUP(MID(T8,U8,V8-U8),[6]skilldef!$A:$B,2,FALSE),"-")</f>
        <v>- / -</v>
      </c>
      <c r="Z8" s="47"/>
      <c r="AA8" s="49"/>
      <c r="AB8" s="47"/>
    </row>
    <row r="9" spans="1:28" x14ac:dyDescent="0.15">
      <c r="A9" s="44">
        <v>48005008</v>
      </c>
      <c r="B9" s="169" t="s">
        <v>324</v>
      </c>
      <c r="C9" s="47">
        <v>3</v>
      </c>
      <c r="D9" s="47" t="s">
        <v>255</v>
      </c>
      <c r="E9" s="48" t="s">
        <v>311</v>
      </c>
      <c r="F9" s="48" t="s">
        <v>291</v>
      </c>
      <c r="L9" s="61" t="str">
        <f>IFERROR(VLOOKUP(MID(G9,J9,K9-J9),[6]skilldef!$C:$D,2,FALSE),"-") &amp; " / " &amp; IFERROR(VLOOKUP(MID(G9,H9,I9-H9),[6]skilldef!$A:$B,2,FALSE),"-")</f>
        <v>- / -</v>
      </c>
      <c r="M9" s="61" t="str">
        <f t="shared" si="0"/>
        <v xml:space="preserve">[effect:rush, count:3, val:0.5]    </v>
      </c>
      <c r="N9" s="45" t="str">
        <f t="shared" si="1"/>
        <v xml:space="preserve">[effect:rush, count:3, val:0.5]    </v>
      </c>
      <c r="O9" s="61">
        <f t="shared" si="2"/>
        <v>9</v>
      </c>
      <c r="P9" s="61">
        <f t="shared" si="3"/>
        <v>13</v>
      </c>
      <c r="Q9" s="61" t="e">
        <f t="shared" si="4"/>
        <v>#VALUE!</v>
      </c>
      <c r="R9" s="61">
        <f t="shared" si="5"/>
        <v>22</v>
      </c>
      <c r="S9" s="61" t="str">
        <f>IFERROR(VLOOKUP(MID(N9,Q9,R9-Q9),[6]skilldef!$C:$D,2,FALSE),"-") &amp; " / " &amp; IFERROR(VLOOKUP(MID(N9,O9,P9-O9),[6]skilldef!$A:$B,2,FALSE),"-")</f>
        <v>- / 連続攻撃</v>
      </c>
      <c r="T9" s="45" t="str">
        <f t="shared" si="6"/>
        <v>none</v>
      </c>
      <c r="U9" s="61" t="e">
        <f t="shared" si="7"/>
        <v>#VALUE!</v>
      </c>
      <c r="V9" s="61">
        <f t="shared" si="8"/>
        <v>4</v>
      </c>
      <c r="W9" s="61" t="e">
        <f t="shared" si="9"/>
        <v>#VALUE!</v>
      </c>
      <c r="X9" s="61" t="e">
        <f t="shared" si="10"/>
        <v>#VALUE!</v>
      </c>
      <c r="Y9" s="61" t="str">
        <f>IFERROR(VLOOKUP(MID(T9,W9,X9-W9),[6]skilldef!$C:$D,2,FALSE),"-") &amp; " / " &amp; IFERROR(VLOOKUP(MID(T9,U9,V9-U9),[6]skilldef!$A:$B,2,FALSE),"-")</f>
        <v>- / -</v>
      </c>
      <c r="Z9" s="47"/>
      <c r="AA9" s="49"/>
      <c r="AB9" s="47"/>
    </row>
    <row r="10" spans="1:28" ht="70" x14ac:dyDescent="0.15">
      <c r="A10" s="44">
        <v>48005009</v>
      </c>
      <c r="B10" s="169" t="s">
        <v>325</v>
      </c>
      <c r="C10" s="47">
        <v>3</v>
      </c>
      <c r="D10" s="47" t="s">
        <v>255</v>
      </c>
      <c r="E10" s="48" t="s">
        <v>276</v>
      </c>
      <c r="F10" s="48" t="s">
        <v>304</v>
      </c>
      <c r="L10" s="61" t="str">
        <f>IFERROR(VLOOKUP(MID(G10,J10,K10-J10),[6]skilldef!$C:$D,2,FALSE),"-") &amp; " / " &amp; IFERROR(VLOOKUP(MID(G10,H10,I10-H10),[6]skilldef!$A:$B,2,FALSE),"-")</f>
        <v>- / -</v>
      </c>
      <c r="M10" s="61" t="str">
        <f t="shared" si="0"/>
        <v>[effect:fix_speed, target:myself, turn:2],[effect:tolerance, target:myself, turn:-1, tolerance_effect:all, count:-1, animation:enemy_tolerance]</v>
      </c>
      <c r="N10" s="45" t="str">
        <f t="shared" si="1"/>
        <v>[effect:fix_speed, target:myself, turn:2],[effect:tolerance, target:myself, turn:-1, tolerance_effect:all, count:-1, animation:enemy_tolerance]</v>
      </c>
      <c r="O10" s="61">
        <f t="shared" si="2"/>
        <v>9</v>
      </c>
      <c r="P10" s="61">
        <f t="shared" si="3"/>
        <v>18</v>
      </c>
      <c r="Q10" s="61">
        <f t="shared" si="4"/>
        <v>27</v>
      </c>
      <c r="R10" s="61">
        <f t="shared" si="5"/>
        <v>33</v>
      </c>
      <c r="S10" s="61" t="str">
        <f>IFERROR(VLOOKUP(MID(N10,Q10,R10-Q10),[6]skilldef!$C:$D,2,FALSE),"-") &amp; " / " &amp; IFERROR(VLOOKUP(MID(N10,O10,P10-O10),[6]skilldef!$A:$B,2,FALSE),"-")</f>
        <v>自分自身に / 行動値設定</v>
      </c>
      <c r="T10" s="45" t="str">
        <f t="shared" si="6"/>
        <v>[effect:tolerance, target:myself, turn:-1, tolerance_effect:all, count:-1, animation:enemy_tolerance]</v>
      </c>
      <c r="U10" s="61">
        <f t="shared" si="7"/>
        <v>9</v>
      </c>
      <c r="V10" s="61">
        <f t="shared" si="8"/>
        <v>18</v>
      </c>
      <c r="W10" s="61">
        <f t="shared" si="9"/>
        <v>27</v>
      </c>
      <c r="X10" s="61">
        <f t="shared" si="10"/>
        <v>33</v>
      </c>
      <c r="Y10" s="61" t="str">
        <f>IFERROR(VLOOKUP(MID(T10,W10,X10-W10),[6]skilldef!$C:$D,2,FALSE),"-") &amp; " / " &amp; IFERROR(VLOOKUP(MID(T10,U10,V10-U10),[6]skilldef!$A:$B,2,FALSE),"-")</f>
        <v>自分自身に / 状態異常耐性</v>
      </c>
      <c r="Z10" s="47"/>
      <c r="AA10" s="49"/>
      <c r="AB10" s="47"/>
    </row>
    <row r="11" spans="1:28" ht="70" x14ac:dyDescent="0.15">
      <c r="A11" s="44">
        <v>48005010</v>
      </c>
      <c r="B11" s="169" t="s">
        <v>325</v>
      </c>
      <c r="C11" s="47">
        <v>3</v>
      </c>
      <c r="D11" s="47" t="s">
        <v>255</v>
      </c>
      <c r="E11" s="48" t="s">
        <v>277</v>
      </c>
      <c r="F11" s="48" t="s">
        <v>304</v>
      </c>
      <c r="L11" s="61" t="str">
        <f>IFERROR(VLOOKUP(MID(G11,J11,K11-J11),[6]skilldef!$C:$D,2,FALSE),"-") &amp; " / " &amp; IFERROR(VLOOKUP(MID(G11,H11,I11-H11),[6]skilldef!$A:$B,2,FALSE),"-")</f>
        <v>- / -</v>
      </c>
      <c r="M11" s="61" t="str">
        <f t="shared" si="0"/>
        <v>[effect:fix_speed, target:myself, turn:2],[effect:tolerance, target:myself, turn:-1, tolerance_effect:all, count:-1, animation:enemy_tolerance]</v>
      </c>
      <c r="N11" s="45" t="str">
        <f>IFERROR(LEFT(M11,FIND("],",M11)+#REF!),M11)</f>
        <v>[effect:fix_speed, target:myself, turn:2],[effect:tolerance, target:myself, turn:-1, tolerance_effect:all, count:-1, animation:enemy_tolerance]</v>
      </c>
      <c r="O11" s="61">
        <f t="shared" si="2"/>
        <v>9</v>
      </c>
      <c r="P11" s="61">
        <f t="shared" si="3"/>
        <v>18</v>
      </c>
      <c r="Q11" s="61">
        <f t="shared" si="4"/>
        <v>27</v>
      </c>
      <c r="R11" s="61">
        <f t="shared" si="5"/>
        <v>33</v>
      </c>
      <c r="S11" s="61" t="str">
        <f>IFERROR(VLOOKUP(MID(N11,Q11,R11-Q11),[6]skilldef!$C:$D,2,FALSE),"-") &amp; " / " &amp; IFERROR(VLOOKUP(MID(N11,O11,P11-O11),[6]skilldef!$A:$B,2,FALSE),"-")</f>
        <v>自分自身に / 行動値設定</v>
      </c>
      <c r="T11" s="45" t="str">
        <f t="shared" si="6"/>
        <v>[effect:tolerance, target:myself, turn:-1, tolerance_effect:all, count:-1, animation:enemy_tolerance]</v>
      </c>
      <c r="U11" s="61">
        <f t="shared" si="7"/>
        <v>9</v>
      </c>
      <c r="V11" s="61">
        <f t="shared" si="8"/>
        <v>18</v>
      </c>
      <c r="W11" s="61">
        <f t="shared" si="9"/>
        <v>27</v>
      </c>
      <c r="X11" s="61">
        <f t="shared" si="10"/>
        <v>33</v>
      </c>
      <c r="Y11" s="61" t="str">
        <f>IFERROR(VLOOKUP(MID(T11,W11,X11-W11),[6]skilldef!$C:$D,2,FALSE),"-") &amp; " / " &amp; IFERROR(VLOOKUP(MID(T11,U11,V11-U11),[6]skilldef!$A:$B,2,FALSE),"-")</f>
        <v>自分自身に / 状態異常耐性</v>
      </c>
      <c r="Z11" s="47"/>
      <c r="AA11" s="49"/>
      <c r="AB11" s="47"/>
    </row>
    <row r="12" spans="1:28" ht="84" x14ac:dyDescent="0.15">
      <c r="A12" s="44">
        <v>48005011</v>
      </c>
      <c r="B12" s="169" t="s">
        <v>326</v>
      </c>
      <c r="C12" s="47">
        <v>3</v>
      </c>
      <c r="D12" s="47" t="s">
        <v>255</v>
      </c>
      <c r="E12" s="48" t="s">
        <v>312</v>
      </c>
      <c r="F12" s="48" t="s">
        <v>327</v>
      </c>
      <c r="L12" s="61" t="str">
        <f>IFERROR(VLOOKUP(MID(G12,J12,K12-J12),[6]skilldef!$C:$D,2,FALSE),"-") &amp; " / " &amp; IFERROR(VLOOKUP(MID(G12,H12,I12-H12),[6]skilldef!$A:$B,2,FALSE),"-")</f>
        <v>- / -</v>
      </c>
      <c r="M12" s="61" t="str">
        <f t="shared" si="0"/>
        <v>[effect:enemy_counter, target:myself, invoke_condition:unit_all, counter_target:attacker, turn:2, val:0.7, animation:enemy_counter]</v>
      </c>
      <c r="N12" s="45" t="str">
        <f t="shared" ref="N12:N21" si="11">IFERROR(LEFT(M12,FIND("],",M12)+S21),M12)</f>
        <v>[effect:enemy_counter, target:myself, invoke_condition:unit_all, counter_target:attacker, turn:2, val:0.7, animation:enemy_counter]</v>
      </c>
      <c r="O12" s="61">
        <f t="shared" si="2"/>
        <v>9</v>
      </c>
      <c r="P12" s="61">
        <f t="shared" si="3"/>
        <v>22</v>
      </c>
      <c r="Q12" s="61">
        <f t="shared" si="4"/>
        <v>31</v>
      </c>
      <c r="R12" s="61">
        <f t="shared" si="5"/>
        <v>37</v>
      </c>
      <c r="S12" s="61" t="str">
        <f>IFERROR(VLOOKUP(MID(N12,Q12,R12-Q12),[6]skilldef!$C:$D,2,FALSE),"-") &amp; " / " &amp; IFERROR(VLOOKUP(MID(N12,O12,P12-O12),[6]skilldef!$A:$B,2,FALSE),"-")</f>
        <v>自分自身に / カウンター</v>
      </c>
      <c r="T12" s="45" t="str">
        <f t="shared" si="6"/>
        <v>none</v>
      </c>
      <c r="U12" s="61" t="e">
        <f t="shared" si="7"/>
        <v>#VALUE!</v>
      </c>
      <c r="V12" s="61">
        <f t="shared" si="8"/>
        <v>4</v>
      </c>
      <c r="W12" s="61" t="e">
        <f t="shared" si="9"/>
        <v>#VALUE!</v>
      </c>
      <c r="X12" s="61" t="e">
        <f t="shared" si="10"/>
        <v>#VALUE!</v>
      </c>
      <c r="Y12" s="61" t="str">
        <f>IFERROR(VLOOKUP(MID(T12,W12,X12-W12),[6]skilldef!$C:$D,2,FALSE),"-") &amp; " / " &amp; IFERROR(VLOOKUP(MID(T12,U12,V12-U12),[6]skilldef!$A:$B,2,FALSE),"-")</f>
        <v>- / -</v>
      </c>
      <c r="Z12" s="47"/>
      <c r="AA12" s="49"/>
      <c r="AB12" s="47"/>
    </row>
    <row r="13" spans="1:28" ht="112" x14ac:dyDescent="0.15">
      <c r="A13" s="44">
        <v>48005012</v>
      </c>
      <c r="B13" s="169" t="s">
        <v>328</v>
      </c>
      <c r="C13" s="47">
        <v>3</v>
      </c>
      <c r="D13" s="47" t="s">
        <v>255</v>
      </c>
      <c r="E13" s="48" t="s">
        <v>278</v>
      </c>
      <c r="F13" s="48" t="s">
        <v>305</v>
      </c>
      <c r="L13" s="61" t="str">
        <f>IFERROR(VLOOKUP(MID(G13,J13,K13-J13),[6]skilldef!$C:$D,2,FALSE),"-") &amp; " / " &amp; IFERROR(VLOOKUP(MID(G13,H13,I13-H13),[6]skilldef!$A:$B,2,FALSE),"-")</f>
        <v>- / -</v>
      </c>
      <c r="M13" s="61" t="str">
        <f t="shared" si="0"/>
        <v xml:space="preserve">[effect:enhance_enemy, target:myself, turn:5, status:attack, val:2000, calc:add, animation:enemy_enhance_attack], [effect:tolerance, target:myself, turn:-1, tolerance_effect:all, count:-1, animation:enemy_tolerance]   </v>
      </c>
      <c r="N13" s="45" t="str">
        <f t="shared" si="11"/>
        <v xml:space="preserve">[effect:enhance_enemy, target:myself, turn:5, status:attack, val:2000, calc:add, animation:enemy_enhance_attack], [effect:tolerance, target:myself, turn:-1, tolerance_effect:all, count:-1, animation:enemy_tolerance]   </v>
      </c>
      <c r="O13" s="61">
        <f t="shared" si="2"/>
        <v>9</v>
      </c>
      <c r="P13" s="61">
        <f t="shared" si="3"/>
        <v>22</v>
      </c>
      <c r="Q13" s="61">
        <f t="shared" si="4"/>
        <v>31</v>
      </c>
      <c r="R13" s="61">
        <f t="shared" si="5"/>
        <v>37</v>
      </c>
      <c r="S13" s="61" t="str">
        <f>IFERROR(VLOOKUP(MID(N13,Q13,R13-Q13),[6]skilldef!$C:$D,2,FALSE),"-") &amp; " / " &amp; IFERROR(VLOOKUP(MID(N13,O13,P13-O13),[6]skilldef!$A:$B,2,FALSE),"-")</f>
        <v>自分自身に / ステータス強化</v>
      </c>
      <c r="T13" s="45" t="str">
        <f t="shared" si="6"/>
        <v xml:space="preserve"> [effect:tolerance, target:myself, turn:-1, tolerance_effect:all, count:-1, animation:enemy_tolerance]   </v>
      </c>
      <c r="U13" s="61">
        <f t="shared" si="7"/>
        <v>10</v>
      </c>
      <c r="V13" s="61">
        <f t="shared" si="8"/>
        <v>19</v>
      </c>
      <c r="W13" s="61">
        <f t="shared" si="9"/>
        <v>28</v>
      </c>
      <c r="X13" s="61">
        <f t="shared" si="10"/>
        <v>34</v>
      </c>
      <c r="Y13" s="61" t="str">
        <f>IFERROR(VLOOKUP(MID(T13,W13,X13-W13),[6]skilldef!$C:$D,2,FALSE),"-") &amp; " / " &amp; IFERROR(VLOOKUP(MID(T13,U13,V13-U13),[6]skilldef!$A:$B,2,FALSE),"-")</f>
        <v>自分自身に / 状態異常耐性</v>
      </c>
      <c r="Z13" s="47"/>
      <c r="AA13" s="49"/>
      <c r="AB13" s="47"/>
    </row>
    <row r="14" spans="1:28" ht="42" x14ac:dyDescent="0.15">
      <c r="A14" s="44">
        <v>48005013</v>
      </c>
      <c r="B14" s="169" t="s">
        <v>329</v>
      </c>
      <c r="C14" s="47">
        <v>3</v>
      </c>
      <c r="D14" s="47" t="s">
        <v>255</v>
      </c>
      <c r="E14" s="48" t="s">
        <v>258</v>
      </c>
      <c r="F14" s="48" t="s">
        <v>294</v>
      </c>
      <c r="L14" s="61" t="str">
        <f>IFERROR(VLOOKUP(MID(G14,J14,K14-J14),[6]skilldef!$C:$D,2,FALSE),"-") &amp; " / " &amp; IFERROR(VLOOKUP(MID(G14,H14,I14-H14),[6]skilldef!$A:$B,2,FALSE),"-")</f>
        <v>- / -</v>
      </c>
      <c r="M14" s="61" t="str">
        <f t="shared" si="0"/>
        <v xml:space="preserve">[effect:damage_anti_color, target:unit_all, color:yellow, val1:1, val2:0.25]    </v>
      </c>
      <c r="N14" s="45" t="str">
        <f t="shared" si="11"/>
        <v xml:space="preserve">[effect:damage_anti_color, target:unit_all, color:yellow, val1:1, val2:0.25]    </v>
      </c>
      <c r="O14" s="61">
        <f t="shared" si="2"/>
        <v>9</v>
      </c>
      <c r="P14" s="61">
        <f t="shared" si="3"/>
        <v>26</v>
      </c>
      <c r="Q14" s="61">
        <f t="shared" si="4"/>
        <v>35</v>
      </c>
      <c r="R14" s="61">
        <f t="shared" si="5"/>
        <v>43</v>
      </c>
      <c r="S14" s="61" t="str">
        <f>IFERROR(VLOOKUP(MID(N14,Q14,R14-Q14),[6]skilldef!$C:$D,2,FALSE),"-") &amp; " / " &amp; IFERROR(VLOOKUP(MID(N14,O14,P14-O14),[6]skilldef!$A:$B,2,FALSE),"-")</f>
        <v>味方全体に / 属性キラー</v>
      </c>
      <c r="T14" s="45" t="str">
        <f t="shared" si="6"/>
        <v>none</v>
      </c>
      <c r="U14" s="61" t="e">
        <f t="shared" si="7"/>
        <v>#VALUE!</v>
      </c>
      <c r="V14" s="61">
        <f t="shared" si="8"/>
        <v>4</v>
      </c>
      <c r="W14" s="61" t="e">
        <f t="shared" si="9"/>
        <v>#VALUE!</v>
      </c>
      <c r="X14" s="61" t="e">
        <f t="shared" si="10"/>
        <v>#VALUE!</v>
      </c>
      <c r="Y14" s="61" t="str">
        <f>IFERROR(VLOOKUP(MID(T14,W14,X14-W14),[6]skilldef!$C:$D,2,FALSE),"-") &amp; " / " &amp; IFERROR(VLOOKUP(MID(T14,U14,V14-U14),[6]skilldef!$A:$B,2,FALSE),"-")</f>
        <v>- / -</v>
      </c>
      <c r="Z14" s="47"/>
      <c r="AA14" s="49"/>
      <c r="AB14" s="47"/>
    </row>
    <row r="15" spans="1:28" ht="140" x14ac:dyDescent="0.15">
      <c r="A15" s="44">
        <v>48005014</v>
      </c>
      <c r="B15" s="169" t="s">
        <v>330</v>
      </c>
      <c r="C15" s="47">
        <v>3</v>
      </c>
      <c r="D15" s="47" t="s">
        <v>255</v>
      </c>
      <c r="E15" s="48" t="s">
        <v>279</v>
      </c>
      <c r="F15" s="48" t="s">
        <v>331</v>
      </c>
      <c r="L15" s="61" t="str">
        <f>IFERROR(VLOOKUP(MID(G15,J15,K15-J15),[6]skilldef!$C:$D,2,FALSE),"-") &amp; " / " &amp; IFERROR(VLOOKUP(MID(G15,H15,I15-H15),[6]skilldef!$A:$B,2,FALSE),"-")</f>
        <v>- / -</v>
      </c>
      <c r="M15" s="61" t="str">
        <f t="shared" si="0"/>
        <v>[effect:force_change_block, new_block:time_bomb, target:block_red, count:6, val:0.2, min_time_count:2, max_time_count:4, animation:change_block],[effect:force_change_block, new_block:jammer, target:block_blue, count:6, val:0, animation:change_block]</v>
      </c>
      <c r="N15" s="45" t="str">
        <f t="shared" si="11"/>
        <v>[effect:force_change_block, new_block:time_bomb, target:block_red, count:6, val:0.2, min_time_count:2, max_time_count:4, animation:change_block]</v>
      </c>
      <c r="O15" s="61">
        <f t="shared" si="2"/>
        <v>9</v>
      </c>
      <c r="P15" s="61">
        <f t="shared" si="3"/>
        <v>27</v>
      </c>
      <c r="Q15" s="61">
        <f t="shared" si="4"/>
        <v>57</v>
      </c>
      <c r="R15" s="61">
        <f t="shared" si="5"/>
        <v>48</v>
      </c>
      <c r="S15" s="61" t="str">
        <f>IFERROR(VLOOKUP(MID(N15,Q15,R15-Q15),[6]skilldef!$C:$D,2,FALSE),"-") &amp; " / " &amp; IFERROR(VLOOKUP(MID(N15,O15,P15-O15),[6]skilldef!$A:$B,2,FALSE),"-")</f>
        <v>- / -</v>
      </c>
      <c r="T15" s="45" t="str">
        <f t="shared" si="6"/>
        <v>[effect:force_change_block, new_block:jammer, target:block_blue, count:6, val:0, animation:change_block]</v>
      </c>
      <c r="U15" s="61">
        <f t="shared" si="7"/>
        <v>9</v>
      </c>
      <c r="V15" s="61">
        <f t="shared" si="8"/>
        <v>27</v>
      </c>
      <c r="W15" s="61">
        <f t="shared" si="9"/>
        <v>54</v>
      </c>
      <c r="X15" s="61">
        <f t="shared" si="10"/>
        <v>45</v>
      </c>
      <c r="Y15" s="61" t="str">
        <f>IFERROR(VLOOKUP(MID(T15,W15,X15-W15),[6]skilldef!$C:$D,2,FALSE),"-") &amp; " / " &amp; IFERROR(VLOOKUP(MID(T15,U15,V15-U15),[6]skilldef!$A:$B,2,FALSE),"-")</f>
        <v>- / -</v>
      </c>
      <c r="Z15" s="47"/>
      <c r="AA15" s="49"/>
      <c r="AB15" s="47"/>
    </row>
    <row r="16" spans="1:28" ht="42" x14ac:dyDescent="0.15">
      <c r="A16" s="44">
        <v>48005015</v>
      </c>
      <c r="B16" s="169" t="s">
        <v>332</v>
      </c>
      <c r="C16" s="47">
        <v>3</v>
      </c>
      <c r="D16" s="47" t="s">
        <v>255</v>
      </c>
      <c r="E16" s="48" t="s">
        <v>280</v>
      </c>
      <c r="F16" s="48" t="s">
        <v>333</v>
      </c>
      <c r="L16" s="61" t="str">
        <f>IFERROR(VLOOKUP(MID(G16,J16,K16-J16),[6]skilldef!$C:$D,2,FALSE),"-") &amp; " / " &amp; IFERROR(VLOOKUP(MID(G16,H16,I16-H16),[6]skilldef!$A:$B,2,FALSE),"-")</f>
        <v>- / -</v>
      </c>
      <c r="M16" s="61" t="str">
        <f t="shared" si="0"/>
        <v>[effect:break_attack_fix, val:800, lowest_val:1000, count:-1, block:jammer, target:unit_all]</v>
      </c>
      <c r="N16" s="45" t="str">
        <f t="shared" si="11"/>
        <v>[effect:break_attack_fix, val:800, lowest_val:1000, count:-1, block:jammer, target:unit_all]</v>
      </c>
      <c r="O16" s="61">
        <f t="shared" si="2"/>
        <v>9</v>
      </c>
      <c r="P16" s="61">
        <f t="shared" si="3"/>
        <v>25</v>
      </c>
      <c r="Q16" s="61">
        <f t="shared" si="4"/>
        <v>84</v>
      </c>
      <c r="R16" s="61">
        <f t="shared" si="5"/>
        <v>34</v>
      </c>
      <c r="S16" s="61" t="str">
        <f>IFERROR(VLOOKUP(MID(N16,Q16,R16-Q16),[6]skilldef!$C:$D,2,FALSE),"-") &amp; " / " &amp; IFERROR(VLOOKUP(MID(N16,O16,P16-O16),[6]skilldef!$A:$B,2,FALSE),"-")</f>
        <v>- / -</v>
      </c>
      <c r="T16" s="45" t="str">
        <f t="shared" si="6"/>
        <v>none</v>
      </c>
      <c r="U16" s="61" t="e">
        <f t="shared" si="7"/>
        <v>#VALUE!</v>
      </c>
      <c r="V16" s="61">
        <f t="shared" si="8"/>
        <v>4</v>
      </c>
      <c r="W16" s="61" t="e">
        <f t="shared" si="9"/>
        <v>#VALUE!</v>
      </c>
      <c r="X16" s="61" t="e">
        <f t="shared" si="10"/>
        <v>#VALUE!</v>
      </c>
      <c r="Y16" s="61" t="str">
        <f>IFERROR(VLOOKUP(MID(T16,W16,X16-W16),[6]skilldef!$C:$D,2,FALSE),"-") &amp; " / " &amp; IFERROR(VLOOKUP(MID(T16,U16,V16-U16),[6]skilldef!$A:$B,2,FALSE),"-")</f>
        <v>- / -</v>
      </c>
      <c r="Z16" s="47"/>
      <c r="AA16" s="49"/>
      <c r="AB16" s="47"/>
    </row>
    <row r="17" spans="1:28" ht="70" x14ac:dyDescent="0.15">
      <c r="A17" s="44">
        <v>48005016</v>
      </c>
      <c r="B17" s="169" t="s">
        <v>334</v>
      </c>
      <c r="C17" s="47">
        <v>3</v>
      </c>
      <c r="D17" s="47" t="s">
        <v>255</v>
      </c>
      <c r="E17" s="48" t="s">
        <v>306</v>
      </c>
      <c r="F17" s="48" t="s">
        <v>318</v>
      </c>
      <c r="L17" s="61" t="str">
        <f>IFERROR(VLOOKUP(MID(G17,J17,K17-J17),[6]skilldef!$C:$D,2,FALSE),"-") &amp; " / " &amp; IFERROR(VLOOKUP(MID(G17,H17,I17-H17),[6]skilldef!$A:$B,2,FALSE),"-")</f>
        <v>- / -</v>
      </c>
      <c r="M17" s="61" t="str">
        <f t="shared" si="0"/>
        <v xml:space="preserve">[effect:fix_speed, target:myself, turn:1],[effect:tolerance, target:myself, turn:-1, tolerance_effect:all, count:-1, animation:enemy_tolerance]    </v>
      </c>
      <c r="N17" s="45" t="str">
        <f t="shared" si="11"/>
        <v>[effect:fix_speed, target:myself, turn:1]</v>
      </c>
      <c r="O17" s="61">
        <f t="shared" si="2"/>
        <v>9</v>
      </c>
      <c r="P17" s="61">
        <f t="shared" si="3"/>
        <v>18</v>
      </c>
      <c r="Q17" s="61">
        <f t="shared" si="4"/>
        <v>27</v>
      </c>
      <c r="R17" s="61">
        <f t="shared" si="5"/>
        <v>33</v>
      </c>
      <c r="S17" s="61" t="str">
        <f>IFERROR(VLOOKUP(MID(N17,Q17,R17-Q17),[6]skilldef!$C:$D,2,FALSE),"-") &amp; " / " &amp; IFERROR(VLOOKUP(MID(N17,O17,P17-O17),[6]skilldef!$A:$B,2,FALSE),"-")</f>
        <v>自分自身に / 行動値設定</v>
      </c>
      <c r="T17" s="45" t="str">
        <f t="shared" si="6"/>
        <v xml:space="preserve">[effect:tolerance, target:myself, turn:-1, tolerance_effect:all, count:-1, animation:enemy_tolerance]    </v>
      </c>
      <c r="U17" s="61">
        <f t="shared" si="7"/>
        <v>9</v>
      </c>
      <c r="V17" s="61">
        <f t="shared" si="8"/>
        <v>18</v>
      </c>
      <c r="W17" s="61">
        <f t="shared" si="9"/>
        <v>27</v>
      </c>
      <c r="X17" s="61">
        <f t="shared" si="10"/>
        <v>33</v>
      </c>
      <c r="Y17" s="61" t="str">
        <f>IFERROR(VLOOKUP(MID(T17,W17,X17-W17),[6]skilldef!$C:$D,2,FALSE),"-") &amp; " / " &amp; IFERROR(VLOOKUP(MID(T17,U17,V17-U17),[6]skilldef!$A:$B,2,FALSE),"-")</f>
        <v>自分自身に / 状態異常耐性</v>
      </c>
      <c r="Z17" s="47"/>
      <c r="AA17" s="49"/>
      <c r="AB17" s="47"/>
    </row>
    <row r="18" spans="1:28" ht="42" x14ac:dyDescent="0.15">
      <c r="A18" s="44">
        <v>48005017</v>
      </c>
      <c r="B18" s="169" t="s">
        <v>335</v>
      </c>
      <c r="C18" s="47">
        <v>3</v>
      </c>
      <c r="D18" s="47" t="s">
        <v>255</v>
      </c>
      <c r="E18" s="48" t="s">
        <v>259</v>
      </c>
      <c r="F18" s="48" t="s">
        <v>295</v>
      </c>
      <c r="L18" s="61" t="str">
        <f>IFERROR(VLOOKUP(MID(G18,J18,K18-J18),[6]skilldef!$C:$D,2,FALSE),"-") &amp; " / " &amp; IFERROR(VLOOKUP(MID(G18,H18,I18-H18),[6]skilldef!$A:$B,2,FALSE),"-")</f>
        <v>- / -</v>
      </c>
      <c r="M18" s="61" t="str">
        <f t="shared" si="0"/>
        <v xml:space="preserve">[effect:damage_anti_tribe, target:unit_all, tribe:god, val1:1, val2:0.3]    </v>
      </c>
      <c r="N18" s="45" t="str">
        <f t="shared" si="11"/>
        <v xml:space="preserve">[effect:damage_anti_tribe, target:unit_all, tribe:god, val1:1, val2:0.3]    </v>
      </c>
      <c r="O18" s="61">
        <f t="shared" si="2"/>
        <v>9</v>
      </c>
      <c r="P18" s="61">
        <f t="shared" si="3"/>
        <v>26</v>
      </c>
      <c r="Q18" s="61">
        <f t="shared" si="4"/>
        <v>35</v>
      </c>
      <c r="R18" s="61">
        <f t="shared" si="5"/>
        <v>43</v>
      </c>
      <c r="S18" s="61" t="str">
        <f>IFERROR(VLOOKUP(MID(N18,Q18,R18-Q18),[6]skilldef!$C:$D,2,FALSE),"-") &amp; " / " &amp; IFERROR(VLOOKUP(MID(N18,O18,P18-O18),[6]skilldef!$A:$B,2,FALSE),"-")</f>
        <v>味方全体に / 種族キラー</v>
      </c>
      <c r="T18" s="45" t="str">
        <f t="shared" si="6"/>
        <v>none</v>
      </c>
      <c r="U18" s="61" t="e">
        <f t="shared" si="7"/>
        <v>#VALUE!</v>
      </c>
      <c r="V18" s="61">
        <f t="shared" si="8"/>
        <v>4</v>
      </c>
      <c r="W18" s="61" t="e">
        <f t="shared" si="9"/>
        <v>#VALUE!</v>
      </c>
      <c r="X18" s="61" t="e">
        <f t="shared" si="10"/>
        <v>#VALUE!</v>
      </c>
      <c r="Y18" s="61" t="str">
        <f>IFERROR(VLOOKUP(MID(T18,W18,X18-W18),[6]skilldef!$C:$D,2,FALSE),"-") &amp; " / " &amp; IFERROR(VLOOKUP(MID(T18,U18,V18-U18),[6]skilldef!$A:$B,2,FALSE),"-")</f>
        <v>- / -</v>
      </c>
      <c r="Z18" s="47"/>
      <c r="AA18" s="49"/>
      <c r="AB18" s="47"/>
    </row>
    <row r="19" spans="1:28" x14ac:dyDescent="0.15">
      <c r="A19" s="44">
        <v>48005018</v>
      </c>
      <c r="B19" s="169" t="s">
        <v>336</v>
      </c>
      <c r="C19" s="47">
        <v>3</v>
      </c>
      <c r="D19" s="47" t="s">
        <v>255</v>
      </c>
      <c r="E19" s="48" t="s">
        <v>260</v>
      </c>
      <c r="F19" s="48" t="s">
        <v>290</v>
      </c>
      <c r="L19" s="61" t="str">
        <f>IFERROR(VLOOKUP(MID(G19,J19,K19-J19),[6]skilldef!$C:$D,2,FALSE),"-") &amp; " / " &amp; IFERROR(VLOOKUP(MID(G19,H19,I19-H19),[6]skilldef!$A:$B,2,FALSE),"-")</f>
        <v>- / -</v>
      </c>
      <c r="M19" s="61" t="str">
        <f t="shared" si="0"/>
        <v xml:space="preserve">[effect:rush, count:4, val:0.65]    </v>
      </c>
      <c r="N19" s="45" t="str">
        <f t="shared" si="11"/>
        <v xml:space="preserve">[effect:rush, count:4, val:0.65]    </v>
      </c>
      <c r="O19" s="61">
        <f t="shared" si="2"/>
        <v>9</v>
      </c>
      <c r="P19" s="61">
        <f t="shared" si="3"/>
        <v>13</v>
      </c>
      <c r="Q19" s="61" t="e">
        <f t="shared" si="4"/>
        <v>#VALUE!</v>
      </c>
      <c r="R19" s="61">
        <f t="shared" si="5"/>
        <v>22</v>
      </c>
      <c r="S19" s="61" t="str">
        <f>IFERROR(VLOOKUP(MID(N19,Q19,R19-Q19),[6]skilldef!$C:$D,2,FALSE),"-") &amp; " / " &amp; IFERROR(VLOOKUP(MID(N19,O19,P19-O19),[6]skilldef!$A:$B,2,FALSE),"-")</f>
        <v>- / 連続攻撃</v>
      </c>
      <c r="T19" s="45" t="str">
        <f t="shared" si="6"/>
        <v>none</v>
      </c>
      <c r="U19" s="61" t="e">
        <f t="shared" si="7"/>
        <v>#VALUE!</v>
      </c>
      <c r="V19" s="61">
        <f t="shared" si="8"/>
        <v>4</v>
      </c>
      <c r="W19" s="61" t="e">
        <f t="shared" si="9"/>
        <v>#VALUE!</v>
      </c>
      <c r="X19" s="61" t="e">
        <f t="shared" si="10"/>
        <v>#VALUE!</v>
      </c>
      <c r="Y19" s="61" t="str">
        <f>IFERROR(VLOOKUP(MID(T19,W19,X19-W19),[6]skilldef!$C:$D,2,FALSE),"-") &amp; " / " &amp; IFERROR(VLOOKUP(MID(T19,U19,V19-U19),[6]skilldef!$A:$B,2,FALSE),"-")</f>
        <v>- / -</v>
      </c>
      <c r="Z19" s="47"/>
      <c r="AA19" s="49"/>
      <c r="AB19" s="47"/>
    </row>
    <row r="20" spans="1:28" x14ac:dyDescent="0.15">
      <c r="A20" s="44">
        <v>48005019</v>
      </c>
      <c r="B20" s="169" t="s">
        <v>337</v>
      </c>
      <c r="C20" s="47">
        <v>3</v>
      </c>
      <c r="D20" s="47" t="s">
        <v>255</v>
      </c>
      <c r="E20" s="48" t="s">
        <v>300</v>
      </c>
      <c r="F20" s="48" t="s">
        <v>281</v>
      </c>
      <c r="L20" s="61" t="str">
        <f>IFERROR(VLOOKUP(MID(G20,J20,K20-J20),[6]skilldef!$C:$D,2,FALSE),"-") &amp; " / " &amp; IFERROR(VLOOKUP(MID(G20,H20,I20-H20),[6]skilldef!$A:$B,2,FALSE),"-")</f>
        <v>- / -</v>
      </c>
      <c r="M20" s="61" t="str">
        <f t="shared" si="0"/>
        <v>none</v>
      </c>
      <c r="N20" s="45" t="str">
        <f t="shared" si="11"/>
        <v>none</v>
      </c>
      <c r="O20" s="61" t="e">
        <f t="shared" si="2"/>
        <v>#VALUE!</v>
      </c>
      <c r="P20" s="61">
        <f t="shared" si="3"/>
        <v>4</v>
      </c>
      <c r="Q20" s="61" t="e">
        <f t="shared" si="4"/>
        <v>#VALUE!</v>
      </c>
      <c r="R20" s="61" t="e">
        <f t="shared" si="5"/>
        <v>#VALUE!</v>
      </c>
      <c r="S20" s="61" t="str">
        <f>IFERROR(VLOOKUP(MID(N20,Q20,R20-Q20),[6]skilldef!$C:$D,2,FALSE),"-") &amp; " / " &amp; IFERROR(VLOOKUP(MID(N20,O20,P20-O20),[6]skilldef!$A:$B,2,FALSE),"-")</f>
        <v>- / -</v>
      </c>
      <c r="T20" s="45" t="str">
        <f t="shared" si="6"/>
        <v>none</v>
      </c>
      <c r="U20" s="61" t="e">
        <f t="shared" si="7"/>
        <v>#VALUE!</v>
      </c>
      <c r="V20" s="61">
        <f t="shared" si="8"/>
        <v>4</v>
      </c>
      <c r="W20" s="61" t="e">
        <f t="shared" si="9"/>
        <v>#VALUE!</v>
      </c>
      <c r="X20" s="61" t="e">
        <f t="shared" si="10"/>
        <v>#VALUE!</v>
      </c>
      <c r="Y20" s="61" t="str">
        <f>IFERROR(VLOOKUP(MID(T20,W20,X20-W20),[6]skilldef!$C:$D,2,FALSE),"-") &amp; " / " &amp; IFERROR(VLOOKUP(MID(T20,U20,V20-U20),[6]skilldef!$A:$B,2,FALSE),"-")</f>
        <v>- / -</v>
      </c>
      <c r="Z20" s="47"/>
      <c r="AA20" s="49"/>
      <c r="AB20" s="47"/>
    </row>
    <row r="21" spans="1:28" x14ac:dyDescent="0.15">
      <c r="A21" s="44">
        <v>48005020</v>
      </c>
      <c r="B21" s="169" t="s">
        <v>341</v>
      </c>
      <c r="C21" s="47">
        <v>3</v>
      </c>
      <c r="D21" s="47" t="s">
        <v>255</v>
      </c>
      <c r="E21" s="48" t="s">
        <v>283</v>
      </c>
      <c r="F21" s="48" t="s">
        <v>284</v>
      </c>
      <c r="L21" s="61" t="str">
        <f>IFERROR(VLOOKUP(MID(G21,J21,K21-J21),[6]skilldef!$C:$D,2,FALSE),"-") &amp; " / " &amp; IFERROR(VLOOKUP(MID(G21,H21,I21-H21),[6]skilldef!$A:$B,2,FALSE),"-")</f>
        <v>- / -</v>
      </c>
      <c r="M21" s="61" t="str">
        <f t="shared" ref="M21" si="12">IFERROR(RIGHT(B21,LEN(B21)-FIND("],",B21)-1),"none")</f>
        <v xml:space="preserve">[effect:critical, val:2]    </v>
      </c>
      <c r="N21" s="45" t="str">
        <f t="shared" si="11"/>
        <v xml:space="preserve">[effect:critical, val:2]    </v>
      </c>
      <c r="O21" s="61">
        <f t="shared" ref="O21" si="13">FIND("effect:",N21)+7</f>
        <v>9</v>
      </c>
      <c r="P21" s="61">
        <f t="shared" ref="P21" si="14">IFERROR(FIND(",",N21),LEN(N21))</f>
        <v>17</v>
      </c>
      <c r="Q21" s="61" t="e">
        <f t="shared" ref="Q21" si="15">FIND("target:",N21)+7</f>
        <v>#VALUE!</v>
      </c>
      <c r="R21" s="61" t="e">
        <f t="shared" ref="R21" si="16">FIND(",",N21,P21+1)</f>
        <v>#VALUE!</v>
      </c>
      <c r="S21" s="61" t="str">
        <f>IFERROR(VLOOKUP(MID(N21,Q21,R21-Q21),[6]skilldef!$C:$D,2,FALSE),"-") &amp; " / " &amp; IFERROR(VLOOKUP(MID(N21,O21,P21-O21),[6]skilldef!$A:$B,2,FALSE),"-")</f>
        <v>- / 大攻撃</v>
      </c>
      <c r="T21" s="45" t="str">
        <f t="shared" ref="T21" si="17">IFERROR(RIGHT(M21,LEN(M21)-FIND("],",M21)-1),"none")</f>
        <v>none</v>
      </c>
      <c r="U21" s="61" t="e">
        <f t="shared" ref="U21" si="18">FIND("effect:",T21)+7</f>
        <v>#VALUE!</v>
      </c>
      <c r="V21" s="61">
        <f t="shared" ref="V21" si="19">IFERROR(FIND(",",T21),LEN(T21))</f>
        <v>4</v>
      </c>
      <c r="W21" s="61" t="e">
        <f t="shared" ref="W21" si="20">FIND("target:",T21)+7</f>
        <v>#VALUE!</v>
      </c>
      <c r="X21" s="61" t="e">
        <f t="shared" ref="X21" si="21">FIND(",",T21,V21+1)</f>
        <v>#VALUE!</v>
      </c>
      <c r="Y21" s="61" t="str">
        <f>IFERROR(VLOOKUP(MID(T21,W21,X21-W21),[6]skilldef!$C:$D,2,FALSE),"-") &amp; " / " &amp; IFERROR(VLOOKUP(MID(T21,U21,V21-U21),[6]skilldef!$A:$B,2,FALSE),"-")</f>
        <v>- / -</v>
      </c>
      <c r="Z21" s="47"/>
      <c r="AA21" s="49"/>
      <c r="AB21" s="47"/>
    </row>
    <row r="22" spans="1:28" ht="28" x14ac:dyDescent="0.15">
      <c r="A22" s="44">
        <v>48005021</v>
      </c>
      <c r="B22" s="169" t="s">
        <v>338</v>
      </c>
      <c r="C22" s="47">
        <v>3</v>
      </c>
      <c r="D22" s="47" t="s">
        <v>255</v>
      </c>
      <c r="E22" s="48" t="s">
        <v>301</v>
      </c>
      <c r="F22" s="48" t="s">
        <v>302</v>
      </c>
      <c r="L22" s="61" t="str">
        <f>IFERROR(VLOOKUP(MID(G22,J22,K22-J22),[6]skilldef!$C:$D,2,FALSE),"-") &amp; " / " &amp; IFERROR(VLOOKUP(MID(G22,H22,I22-H22),[6]skilldef!$A:$B,2,FALSE),"-")</f>
        <v>- / -</v>
      </c>
      <c r="M22" s="61" t="str">
        <f t="shared" ref="M22" si="22">IFERROR(RIGHT(B22,LEN(B22)-FIND("],",B22)-1),"none")</f>
        <v>none</v>
      </c>
      <c r="N22" s="45" t="str">
        <f t="shared" ref="N22" si="23">IFERROR(LEFT(M22,FIND("],",M22)+S31),M22)</f>
        <v>none</v>
      </c>
      <c r="O22" s="61" t="e">
        <f t="shared" ref="O22" si="24">FIND("effect:",N22)+7</f>
        <v>#VALUE!</v>
      </c>
      <c r="P22" s="61">
        <f t="shared" ref="P22" si="25">IFERROR(FIND(",",N22),LEN(N22))</f>
        <v>4</v>
      </c>
      <c r="Q22" s="61" t="e">
        <f t="shared" ref="Q22" si="26">FIND("target:",N22)+7</f>
        <v>#VALUE!</v>
      </c>
      <c r="R22" s="61" t="e">
        <f t="shared" ref="R22" si="27">FIND(",",N22,P22+1)</f>
        <v>#VALUE!</v>
      </c>
      <c r="S22" s="61" t="str">
        <f>IFERROR(VLOOKUP(MID(N22,Q22,R22-Q22),[6]skilldef!$C:$D,2,FALSE),"-") &amp; " / " &amp; IFERROR(VLOOKUP(MID(N22,O22,P22-O22),[6]skilldef!$A:$B,2,FALSE),"-")</f>
        <v>- / -</v>
      </c>
      <c r="T22" s="45" t="str">
        <f t="shared" ref="T22" si="28">IFERROR(RIGHT(M22,LEN(M22)-FIND("],",M22)-1),"none")</f>
        <v>none</v>
      </c>
      <c r="U22" s="61" t="e">
        <f t="shared" ref="U22" si="29">FIND("effect:",T22)+7</f>
        <v>#VALUE!</v>
      </c>
      <c r="V22" s="61">
        <f t="shared" ref="V22" si="30">IFERROR(FIND(",",T22),LEN(T22))</f>
        <v>4</v>
      </c>
      <c r="W22" s="61" t="e">
        <f t="shared" ref="W22" si="31">FIND("target:",T22)+7</f>
        <v>#VALUE!</v>
      </c>
      <c r="X22" s="61" t="e">
        <f t="shared" ref="X22" si="32">FIND(",",T22,V22+1)</f>
        <v>#VALUE!</v>
      </c>
      <c r="Y22" s="61" t="str">
        <f>IFERROR(VLOOKUP(MID(T22,W22,X22-W22),[6]skilldef!$C:$D,2,FALSE),"-") &amp; " / " &amp; IFERROR(VLOOKUP(MID(T22,U22,V22-U22),[6]skilldef!$A:$B,2,FALSE),"-")</f>
        <v>- / -</v>
      </c>
      <c r="Z22" s="47"/>
      <c r="AA22" s="49"/>
      <c r="AB22" s="47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6"/>
  <sheetViews>
    <sheetView showGridLines="0" zoomScale="75" zoomScaleNormal="75" zoomScalePageLayoutView="75" workbookViewId="0">
      <pane ySplit="1" topLeftCell="A2" activePane="bottomLeft" state="frozenSplit"/>
      <selection pane="bottomLeft" activeCell="F28" sqref="F28"/>
    </sheetView>
  </sheetViews>
  <sheetFormatPr baseColWidth="12" defaultColWidth="12.83203125" defaultRowHeight="21" customHeight="1" x14ac:dyDescent="0.15"/>
  <cols>
    <col min="1" max="1" width="16.1640625" style="46" bestFit="1" customWidth="1"/>
    <col min="2" max="2" width="13.33203125" style="46" bestFit="1" customWidth="1"/>
    <col min="3" max="3" width="11.83203125" style="46" bestFit="1" customWidth="1"/>
    <col min="4" max="4" width="14.6640625" style="46" bestFit="1" customWidth="1"/>
    <col min="5" max="5" width="15.6640625" style="46" bestFit="1" customWidth="1"/>
    <col min="6" max="6" width="17" style="46" bestFit="1" customWidth="1"/>
    <col min="7" max="7" width="15.6640625" style="46" bestFit="1" customWidth="1"/>
    <col min="8" max="9" width="14.6640625" style="46" customWidth="1"/>
    <col min="10" max="10" width="14.6640625" style="46" bestFit="1" customWidth="1"/>
    <col min="11" max="11" width="22.83203125" style="36" bestFit="1" customWidth="1"/>
    <col min="12" max="16384" width="12.83203125" style="42"/>
  </cols>
  <sheetData>
    <row r="1" spans="1:11" ht="21" customHeight="1" thickBot="1" x14ac:dyDescent="0.2">
      <c r="A1" s="39" t="s">
        <v>83</v>
      </c>
      <c r="B1" s="39" t="s">
        <v>84</v>
      </c>
      <c r="C1" s="39" t="s">
        <v>85</v>
      </c>
      <c r="D1" s="39" t="s">
        <v>86</v>
      </c>
      <c r="E1" s="39" t="s">
        <v>69</v>
      </c>
      <c r="F1" s="50" t="s">
        <v>70</v>
      </c>
      <c r="G1" s="50" t="s">
        <v>71</v>
      </c>
      <c r="H1" s="39" t="s">
        <v>72</v>
      </c>
      <c r="I1" s="39" t="s">
        <v>73</v>
      </c>
      <c r="J1" s="39" t="s">
        <v>74</v>
      </c>
      <c r="K1" s="51" t="s">
        <v>87</v>
      </c>
    </row>
    <row r="2" spans="1:11" ht="21" customHeight="1" x14ac:dyDescent="0.15">
      <c r="A2" s="110">
        <v>48005001</v>
      </c>
      <c r="B2" s="111">
        <v>1</v>
      </c>
      <c r="C2" s="111">
        <v>98</v>
      </c>
      <c r="D2" s="111">
        <v>100</v>
      </c>
      <c r="E2" s="111" t="s">
        <v>261</v>
      </c>
      <c r="F2" s="111" t="s">
        <v>261</v>
      </c>
      <c r="G2" s="111">
        <v>1</v>
      </c>
      <c r="H2" s="111" t="s">
        <v>261</v>
      </c>
      <c r="I2" s="111" t="s">
        <v>261</v>
      </c>
      <c r="J2" s="45">
        <f t="shared" ref="J2:J26" si="0">D2</f>
        <v>100</v>
      </c>
    </row>
    <row r="3" spans="1:11" ht="21" customHeight="1" x14ac:dyDescent="0.15">
      <c r="A3" s="112">
        <v>48005002</v>
      </c>
      <c r="B3" s="44">
        <v>1</v>
      </c>
      <c r="C3" s="44">
        <v>99</v>
      </c>
      <c r="D3" s="44">
        <v>100</v>
      </c>
      <c r="E3" s="44" t="s">
        <v>88</v>
      </c>
      <c r="F3" s="44" t="s">
        <v>88</v>
      </c>
      <c r="G3" s="44">
        <v>1</v>
      </c>
      <c r="H3" s="44" t="s">
        <v>88</v>
      </c>
      <c r="I3" s="44">
        <v>8005</v>
      </c>
      <c r="J3" s="45">
        <f t="shared" si="0"/>
        <v>100</v>
      </c>
    </row>
    <row r="4" spans="1:11" ht="21" customHeight="1" x14ac:dyDescent="0.15">
      <c r="A4" s="112">
        <v>48005003</v>
      </c>
      <c r="B4" s="44">
        <v>1</v>
      </c>
      <c r="C4" s="44">
        <v>100</v>
      </c>
      <c r="D4" s="44">
        <v>100</v>
      </c>
      <c r="E4" s="44" t="s">
        <v>88</v>
      </c>
      <c r="F4" s="44" t="s">
        <v>88</v>
      </c>
      <c r="G4" s="44">
        <v>1</v>
      </c>
      <c r="H4" s="44" t="s">
        <v>88</v>
      </c>
      <c r="I4" s="44">
        <v>8006</v>
      </c>
      <c r="J4" s="45">
        <f t="shared" si="0"/>
        <v>100</v>
      </c>
    </row>
    <row r="5" spans="1:11" ht="21" customHeight="1" thickBot="1" x14ac:dyDescent="0.2">
      <c r="A5" s="113">
        <v>48005004</v>
      </c>
      <c r="B5" s="108">
        <v>1</v>
      </c>
      <c r="C5" s="108" t="s">
        <v>88</v>
      </c>
      <c r="D5" s="108">
        <v>100</v>
      </c>
      <c r="E5" s="108" t="s">
        <v>88</v>
      </c>
      <c r="F5" s="108" t="s">
        <v>88</v>
      </c>
      <c r="G5" s="108">
        <v>0</v>
      </c>
      <c r="H5" s="108" t="s">
        <v>88</v>
      </c>
      <c r="I5" s="108">
        <v>0</v>
      </c>
      <c r="J5" s="45">
        <f t="shared" si="0"/>
        <v>100</v>
      </c>
    </row>
    <row r="6" spans="1:11" ht="21" customHeight="1" thickBot="1" x14ac:dyDescent="0.2">
      <c r="A6" s="114">
        <v>48005005</v>
      </c>
      <c r="B6" s="115">
        <v>0</v>
      </c>
      <c r="C6" s="115" t="s">
        <v>88</v>
      </c>
      <c r="D6" s="115">
        <v>100</v>
      </c>
      <c r="E6" s="115" t="s">
        <v>88</v>
      </c>
      <c r="F6" s="115" t="s">
        <v>88</v>
      </c>
      <c r="G6" s="115">
        <v>1</v>
      </c>
      <c r="H6" s="115" t="s">
        <v>88</v>
      </c>
      <c r="I6" s="115">
        <v>33</v>
      </c>
      <c r="J6" s="45">
        <f t="shared" si="0"/>
        <v>100</v>
      </c>
    </row>
    <row r="7" spans="1:11" ht="21" customHeight="1" x14ac:dyDescent="0.15">
      <c r="A7" s="110">
        <v>48005006</v>
      </c>
      <c r="B7" s="111">
        <v>1</v>
      </c>
      <c r="C7" s="111" t="s">
        <v>88</v>
      </c>
      <c r="D7" s="111">
        <v>100</v>
      </c>
      <c r="E7" s="111" t="s">
        <v>88</v>
      </c>
      <c r="F7" s="111" t="s">
        <v>88</v>
      </c>
      <c r="G7" s="111">
        <v>1</v>
      </c>
      <c r="H7" s="111" t="s">
        <v>88</v>
      </c>
      <c r="I7" s="111" t="s">
        <v>88</v>
      </c>
      <c r="J7" s="45">
        <f t="shared" si="0"/>
        <v>100</v>
      </c>
    </row>
    <row r="8" spans="1:11" ht="21" customHeight="1" thickBot="1" x14ac:dyDescent="0.2">
      <c r="A8" s="113">
        <v>48005007</v>
      </c>
      <c r="B8" s="108">
        <v>0</v>
      </c>
      <c r="C8" s="108">
        <v>100</v>
      </c>
      <c r="D8" s="108">
        <v>75</v>
      </c>
      <c r="E8" s="108">
        <v>60</v>
      </c>
      <c r="F8" s="108" t="s">
        <v>88</v>
      </c>
      <c r="G8" s="108">
        <v>2</v>
      </c>
      <c r="H8" s="108" t="s">
        <v>88</v>
      </c>
      <c r="I8" s="108" t="s">
        <v>88</v>
      </c>
      <c r="J8" s="45">
        <f t="shared" si="0"/>
        <v>75</v>
      </c>
    </row>
    <row r="9" spans="1:11" ht="21" customHeight="1" x14ac:dyDescent="0.15">
      <c r="A9" s="110">
        <v>48005008</v>
      </c>
      <c r="B9" s="111">
        <v>0</v>
      </c>
      <c r="C9" s="111" t="s">
        <v>88</v>
      </c>
      <c r="D9" s="111">
        <v>100</v>
      </c>
      <c r="E9" s="111" t="s">
        <v>88</v>
      </c>
      <c r="F9" s="111" t="s">
        <v>88</v>
      </c>
      <c r="G9" s="111">
        <v>1</v>
      </c>
      <c r="H9" s="111" t="s">
        <v>88</v>
      </c>
      <c r="I9" s="111" t="s">
        <v>88</v>
      </c>
      <c r="J9" s="45">
        <f t="shared" si="0"/>
        <v>100</v>
      </c>
    </row>
    <row r="10" spans="1:11" ht="21" customHeight="1" thickBot="1" x14ac:dyDescent="0.2">
      <c r="A10" s="113">
        <v>48005009</v>
      </c>
      <c r="B10" s="108">
        <v>0</v>
      </c>
      <c r="C10" s="108">
        <v>100</v>
      </c>
      <c r="D10" s="108">
        <v>60</v>
      </c>
      <c r="E10" s="108" t="s">
        <v>88</v>
      </c>
      <c r="F10" s="108" t="s">
        <v>88</v>
      </c>
      <c r="G10" s="108">
        <v>2</v>
      </c>
      <c r="H10" s="108" t="s">
        <v>88</v>
      </c>
      <c r="I10" s="108" t="s">
        <v>88</v>
      </c>
      <c r="J10" s="45">
        <f t="shared" si="0"/>
        <v>60</v>
      </c>
    </row>
    <row r="11" spans="1:11" ht="21" customHeight="1" x14ac:dyDescent="0.15">
      <c r="A11" s="110">
        <v>48005010</v>
      </c>
      <c r="B11" s="111">
        <v>1</v>
      </c>
      <c r="C11" s="111" t="s">
        <v>88</v>
      </c>
      <c r="D11" s="111">
        <v>100</v>
      </c>
      <c r="E11" s="111" t="s">
        <v>88</v>
      </c>
      <c r="F11" s="111" t="s">
        <v>88</v>
      </c>
      <c r="G11" s="111">
        <v>1</v>
      </c>
      <c r="H11" s="111" t="s">
        <v>88</v>
      </c>
      <c r="I11" s="111" t="s">
        <v>88</v>
      </c>
      <c r="J11" s="45">
        <f t="shared" si="0"/>
        <v>100</v>
      </c>
    </row>
    <row r="12" spans="1:11" ht="21" customHeight="1" x14ac:dyDescent="0.15">
      <c r="A12" s="112">
        <v>48005011</v>
      </c>
      <c r="B12" s="44">
        <v>1</v>
      </c>
      <c r="C12" s="44">
        <v>99</v>
      </c>
      <c r="D12" s="44">
        <v>100</v>
      </c>
      <c r="E12" s="44" t="s">
        <v>88</v>
      </c>
      <c r="F12" s="44" t="s">
        <v>88</v>
      </c>
      <c r="G12" s="44">
        <v>1</v>
      </c>
      <c r="H12" s="44" t="s">
        <v>88</v>
      </c>
      <c r="I12" s="44">
        <v>8005</v>
      </c>
      <c r="J12" s="45">
        <f t="shared" si="0"/>
        <v>100</v>
      </c>
    </row>
    <row r="13" spans="1:11" ht="21" customHeight="1" x14ac:dyDescent="0.15">
      <c r="A13" s="112">
        <v>48005012</v>
      </c>
      <c r="B13" s="44">
        <v>1</v>
      </c>
      <c r="C13" s="44">
        <v>100</v>
      </c>
      <c r="D13" s="44">
        <v>100</v>
      </c>
      <c r="E13" s="44" t="s">
        <v>88</v>
      </c>
      <c r="F13" s="44" t="s">
        <v>88</v>
      </c>
      <c r="G13" s="44">
        <v>1</v>
      </c>
      <c r="H13" s="44" t="s">
        <v>88</v>
      </c>
      <c r="I13" s="44">
        <v>8006</v>
      </c>
      <c r="J13" s="45">
        <f t="shared" si="0"/>
        <v>100</v>
      </c>
    </row>
    <row r="14" spans="1:11" ht="21" customHeight="1" thickBot="1" x14ac:dyDescent="0.2">
      <c r="A14" s="113">
        <v>48005013</v>
      </c>
      <c r="B14" s="108">
        <v>0</v>
      </c>
      <c r="C14" s="108">
        <v>150</v>
      </c>
      <c r="D14" s="108">
        <v>100</v>
      </c>
      <c r="E14" s="108">
        <v>35</v>
      </c>
      <c r="F14" s="108" t="s">
        <v>88</v>
      </c>
      <c r="G14" s="108">
        <v>1</v>
      </c>
      <c r="H14" s="108" t="s">
        <v>88</v>
      </c>
      <c r="I14" s="108" t="s">
        <v>88</v>
      </c>
      <c r="J14" s="45">
        <f t="shared" si="0"/>
        <v>100</v>
      </c>
    </row>
    <row r="15" spans="1:11" ht="21" customHeight="1" x14ac:dyDescent="0.15">
      <c r="A15" s="110">
        <v>48005014</v>
      </c>
      <c r="B15" s="111">
        <v>1</v>
      </c>
      <c r="C15" s="111" t="s">
        <v>88</v>
      </c>
      <c r="D15" s="111">
        <v>100</v>
      </c>
      <c r="E15" s="111" t="s">
        <v>88</v>
      </c>
      <c r="F15" s="111" t="s">
        <v>88</v>
      </c>
      <c r="G15" s="111">
        <v>1</v>
      </c>
      <c r="H15" s="111" t="s">
        <v>88</v>
      </c>
      <c r="I15" s="111" t="s">
        <v>88</v>
      </c>
      <c r="J15" s="45">
        <f t="shared" si="0"/>
        <v>100</v>
      </c>
    </row>
    <row r="16" spans="1:11" ht="21" customHeight="1" x14ac:dyDescent="0.15">
      <c r="A16" s="112">
        <v>48005015</v>
      </c>
      <c r="B16" s="44">
        <v>0</v>
      </c>
      <c r="C16" s="44">
        <v>80</v>
      </c>
      <c r="D16" s="44">
        <v>100</v>
      </c>
      <c r="E16" s="44" t="s">
        <v>88</v>
      </c>
      <c r="F16" s="44" t="s">
        <v>88</v>
      </c>
      <c r="G16" s="44">
        <v>2</v>
      </c>
      <c r="H16" s="44" t="s">
        <v>88</v>
      </c>
      <c r="I16" s="44" t="s">
        <v>88</v>
      </c>
      <c r="J16" s="45">
        <f t="shared" si="0"/>
        <v>100</v>
      </c>
    </row>
    <row r="17" spans="1:10" ht="21" customHeight="1" x14ac:dyDescent="0.15">
      <c r="A17" s="112">
        <v>48005016</v>
      </c>
      <c r="B17" s="44">
        <v>0</v>
      </c>
      <c r="C17" s="44">
        <v>100</v>
      </c>
      <c r="D17" s="44">
        <v>100</v>
      </c>
      <c r="E17" s="44">
        <v>66</v>
      </c>
      <c r="F17" s="44" t="s">
        <v>88</v>
      </c>
      <c r="G17" s="44">
        <v>1</v>
      </c>
      <c r="H17" s="44" t="s">
        <v>88</v>
      </c>
      <c r="I17" s="44" t="s">
        <v>88</v>
      </c>
      <c r="J17" s="45">
        <f t="shared" si="0"/>
        <v>100</v>
      </c>
    </row>
    <row r="18" spans="1:10" ht="21" customHeight="1" thickBot="1" x14ac:dyDescent="0.2">
      <c r="A18" s="113">
        <v>48005017</v>
      </c>
      <c r="B18" s="108">
        <v>0</v>
      </c>
      <c r="C18" s="108">
        <v>90</v>
      </c>
      <c r="D18" s="108">
        <v>100</v>
      </c>
      <c r="E18" s="108">
        <v>40</v>
      </c>
      <c r="F18" s="108" t="s">
        <v>88</v>
      </c>
      <c r="G18" s="108">
        <v>1</v>
      </c>
      <c r="H18" s="108" t="s">
        <v>88</v>
      </c>
      <c r="I18" s="108" t="s">
        <v>88</v>
      </c>
      <c r="J18" s="45">
        <f t="shared" si="0"/>
        <v>100</v>
      </c>
    </row>
    <row r="19" spans="1:10" ht="21" customHeight="1" x14ac:dyDescent="0.15">
      <c r="A19" s="116">
        <v>48005018</v>
      </c>
      <c r="B19" s="107">
        <v>1</v>
      </c>
      <c r="C19" s="107" t="s">
        <v>88</v>
      </c>
      <c r="D19" s="107">
        <v>100</v>
      </c>
      <c r="E19" s="107" t="s">
        <v>88</v>
      </c>
      <c r="F19" s="107" t="s">
        <v>88</v>
      </c>
      <c r="G19" s="107">
        <v>1</v>
      </c>
      <c r="H19" s="107" t="s">
        <v>88</v>
      </c>
      <c r="I19" s="107" t="s">
        <v>88</v>
      </c>
      <c r="J19" s="45">
        <f t="shared" si="0"/>
        <v>100</v>
      </c>
    </row>
    <row r="20" spans="1:10" ht="21" customHeight="1" x14ac:dyDescent="0.15">
      <c r="A20" s="112">
        <v>48005019</v>
      </c>
      <c r="B20" s="44">
        <v>0</v>
      </c>
      <c r="C20" s="44">
        <v>90</v>
      </c>
      <c r="D20" s="44">
        <v>75</v>
      </c>
      <c r="E20" s="44" t="s">
        <v>88</v>
      </c>
      <c r="F20" s="44">
        <v>40</v>
      </c>
      <c r="G20" s="44">
        <v>2</v>
      </c>
      <c r="H20" s="44" t="s">
        <v>88</v>
      </c>
      <c r="I20" s="44" t="s">
        <v>88</v>
      </c>
      <c r="J20" s="45">
        <f t="shared" si="0"/>
        <v>75</v>
      </c>
    </row>
    <row r="21" spans="1:10" ht="21" customHeight="1" x14ac:dyDescent="0.15">
      <c r="A21" s="112">
        <v>48005020</v>
      </c>
      <c r="B21" s="44">
        <v>0</v>
      </c>
      <c r="C21" s="44">
        <v>100</v>
      </c>
      <c r="D21" s="44">
        <v>60</v>
      </c>
      <c r="E21" s="44">
        <v>50</v>
      </c>
      <c r="F21" s="44" t="s">
        <v>88</v>
      </c>
      <c r="G21" s="44">
        <v>1</v>
      </c>
      <c r="H21" s="44" t="s">
        <v>88</v>
      </c>
      <c r="I21" s="44" t="s">
        <v>88</v>
      </c>
      <c r="J21" s="45">
        <f t="shared" si="0"/>
        <v>60</v>
      </c>
    </row>
    <row r="22" spans="1:10" ht="21" customHeight="1" x14ac:dyDescent="0.15">
      <c r="A22" s="153">
        <v>48005021</v>
      </c>
      <c r="B22" s="148">
        <v>0</v>
      </c>
      <c r="C22" s="148">
        <v>98</v>
      </c>
      <c r="D22" s="148">
        <v>100</v>
      </c>
      <c r="E22" s="148" t="s">
        <v>88</v>
      </c>
      <c r="F22" s="148" t="s">
        <v>88</v>
      </c>
      <c r="G22" s="148">
        <v>0</v>
      </c>
      <c r="H22" s="148" t="s">
        <v>88</v>
      </c>
      <c r="I22" s="148">
        <v>0</v>
      </c>
      <c r="J22" s="45">
        <f t="shared" si="0"/>
        <v>100</v>
      </c>
    </row>
    <row r="23" spans="1:10" ht="21" customHeight="1" x14ac:dyDescent="0.15">
      <c r="A23" s="44">
        <v>48005022</v>
      </c>
      <c r="B23" s="44">
        <v>0</v>
      </c>
      <c r="C23" s="44">
        <v>130</v>
      </c>
      <c r="D23" s="44">
        <v>100</v>
      </c>
      <c r="E23" s="44">
        <v>35</v>
      </c>
      <c r="F23" s="44" t="s">
        <v>285</v>
      </c>
      <c r="G23" s="44">
        <v>1</v>
      </c>
      <c r="H23" s="44" t="s">
        <v>285</v>
      </c>
      <c r="I23" s="44" t="s">
        <v>285</v>
      </c>
      <c r="J23" s="45">
        <f t="shared" si="0"/>
        <v>100</v>
      </c>
    </row>
    <row r="24" spans="1:10" ht="21" customHeight="1" x14ac:dyDescent="0.15">
      <c r="A24" s="44">
        <v>48005023</v>
      </c>
      <c r="B24" s="44">
        <v>0</v>
      </c>
      <c r="C24" s="44">
        <v>100</v>
      </c>
      <c r="D24" s="44">
        <v>100</v>
      </c>
      <c r="E24" s="44" t="s">
        <v>303</v>
      </c>
      <c r="F24" s="44" t="s">
        <v>285</v>
      </c>
      <c r="G24" s="44">
        <v>0</v>
      </c>
      <c r="H24" s="44" t="s">
        <v>285</v>
      </c>
      <c r="I24" s="44">
        <v>8005</v>
      </c>
      <c r="J24" s="45">
        <f t="shared" si="0"/>
        <v>100</v>
      </c>
    </row>
    <row r="25" spans="1:10" ht="21" customHeight="1" x14ac:dyDescent="0.15">
      <c r="A25" s="44">
        <v>48005024</v>
      </c>
      <c r="B25" s="44">
        <v>0</v>
      </c>
      <c r="C25" s="44">
        <v>101</v>
      </c>
      <c r="D25" s="44">
        <v>100</v>
      </c>
      <c r="E25" s="44" t="s">
        <v>303</v>
      </c>
      <c r="F25" s="44" t="s">
        <v>285</v>
      </c>
      <c r="G25" s="44">
        <v>0</v>
      </c>
      <c r="H25" s="44" t="s">
        <v>285</v>
      </c>
      <c r="I25" s="44">
        <v>8006</v>
      </c>
      <c r="J25" s="45">
        <f t="shared" si="0"/>
        <v>100</v>
      </c>
    </row>
    <row r="26" spans="1:10" ht="21" customHeight="1" x14ac:dyDescent="0.15">
      <c r="A26" s="44">
        <v>48005025</v>
      </c>
      <c r="B26" s="44">
        <v>0</v>
      </c>
      <c r="C26" s="44">
        <v>102</v>
      </c>
      <c r="D26" s="44">
        <v>100</v>
      </c>
      <c r="E26" s="44" t="s">
        <v>88</v>
      </c>
      <c r="F26" s="44" t="s">
        <v>285</v>
      </c>
      <c r="G26" s="44">
        <v>0</v>
      </c>
      <c r="H26" s="44" t="s">
        <v>285</v>
      </c>
      <c r="I26" s="44">
        <v>8075</v>
      </c>
      <c r="J26" s="45">
        <f t="shared" si="0"/>
        <v>100</v>
      </c>
    </row>
  </sheetData>
  <autoFilter ref="A1:G1"/>
  <phoneticPr fontId="5"/>
  <conditionalFormatting sqref="K1:K25 K27:K1048576">
    <cfRule type="duplicateValues" dxfId="1" priority="2"/>
  </conditionalFormatting>
  <conditionalFormatting sqref="K2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E19" sqref="E19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149</v>
      </c>
      <c r="B1" s="62" t="s">
        <v>150</v>
      </c>
      <c r="C1" s="63" t="s">
        <v>151</v>
      </c>
      <c r="D1" s="70" t="s">
        <v>152</v>
      </c>
      <c r="E1" s="64" t="s">
        <v>153</v>
      </c>
      <c r="F1" s="62" t="s">
        <v>154</v>
      </c>
      <c r="G1" s="62" t="s">
        <v>155</v>
      </c>
      <c r="H1" s="62" t="s">
        <v>156</v>
      </c>
      <c r="I1" s="62" t="s">
        <v>157</v>
      </c>
      <c r="J1" s="62" t="s">
        <v>158</v>
      </c>
      <c r="K1" s="62" t="s">
        <v>159</v>
      </c>
      <c r="L1" s="62" t="s">
        <v>160</v>
      </c>
      <c r="M1" s="62" t="s">
        <v>161</v>
      </c>
      <c r="N1" s="62" t="s">
        <v>162</v>
      </c>
      <c r="O1" s="62" t="s">
        <v>163</v>
      </c>
      <c r="P1" s="62" t="s">
        <v>164</v>
      </c>
      <c r="Q1" s="62" t="s">
        <v>165</v>
      </c>
      <c r="R1" s="62" t="s">
        <v>166</v>
      </c>
    </row>
    <row r="2" spans="1:18" x14ac:dyDescent="0.15">
      <c r="A2" s="54">
        <v>48005</v>
      </c>
      <c r="B2" s="54">
        <v>1</v>
      </c>
      <c r="C2" s="69" t="str">
        <f>A2&amp; "_"&amp;B2</f>
        <v>48005_1</v>
      </c>
      <c r="D2" s="17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4">
        <v>1</v>
      </c>
      <c r="F2" s="54" t="s">
        <v>167</v>
      </c>
      <c r="G2" s="54">
        <v>40000</v>
      </c>
      <c r="H2" s="54" t="s">
        <v>286</v>
      </c>
      <c r="I2" s="54">
        <v>1</v>
      </c>
      <c r="J2" s="54">
        <v>1</v>
      </c>
      <c r="K2" s="54">
        <v>0</v>
      </c>
      <c r="L2" s="54">
        <v>0</v>
      </c>
      <c r="M2" s="54">
        <v>0</v>
      </c>
      <c r="N2" s="54">
        <v>0</v>
      </c>
      <c r="O2" s="54">
        <v>1</v>
      </c>
      <c r="P2" s="54">
        <v>150</v>
      </c>
      <c r="Q2" s="54" t="s">
        <v>168</v>
      </c>
      <c r="R2" s="54" t="s">
        <v>169</v>
      </c>
    </row>
    <row r="3" spans="1:18" x14ac:dyDescent="0.15">
      <c r="A3" s="54">
        <v>48005</v>
      </c>
      <c r="B3" s="54">
        <v>1</v>
      </c>
      <c r="C3" s="69" t="str">
        <f t="shared" ref="C3:C18" si="0">A3&amp; "_"&amp;B3</f>
        <v>48005_1</v>
      </c>
      <c r="D3" s="17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4">
        <v>2</v>
      </c>
      <c r="F3" s="54" t="s">
        <v>287</v>
      </c>
      <c r="G3" s="54">
        <v>30</v>
      </c>
      <c r="H3" s="54" t="s">
        <v>88</v>
      </c>
      <c r="I3" s="54">
        <v>1</v>
      </c>
      <c r="J3" s="54">
        <v>1</v>
      </c>
      <c r="K3" s="54">
        <v>0</v>
      </c>
      <c r="L3" s="54">
        <v>0</v>
      </c>
      <c r="M3" s="54">
        <v>0</v>
      </c>
      <c r="N3" s="54">
        <v>0</v>
      </c>
      <c r="O3" s="54">
        <v>1</v>
      </c>
      <c r="P3" s="54">
        <v>150</v>
      </c>
      <c r="Q3" s="54" t="s">
        <v>168</v>
      </c>
      <c r="R3" s="54" t="s">
        <v>169</v>
      </c>
    </row>
    <row r="4" spans="1:18" x14ac:dyDescent="0.15">
      <c r="A4" s="54">
        <v>48005</v>
      </c>
      <c r="B4" s="54">
        <v>1</v>
      </c>
      <c r="C4" s="69" t="str">
        <f t="shared" si="0"/>
        <v>48005_1</v>
      </c>
      <c r="D4" s="17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4">
        <v>3</v>
      </c>
      <c r="F4" s="54" t="s">
        <v>288</v>
      </c>
      <c r="G4" s="54">
        <v>333</v>
      </c>
      <c r="H4" s="54">
        <v>1</v>
      </c>
      <c r="I4" s="54">
        <v>1</v>
      </c>
      <c r="J4" s="54">
        <v>1</v>
      </c>
      <c r="K4" s="54">
        <v>0</v>
      </c>
      <c r="L4" s="54">
        <v>0</v>
      </c>
      <c r="M4" s="54">
        <v>0</v>
      </c>
      <c r="N4" s="54">
        <v>0</v>
      </c>
      <c r="O4" s="54">
        <v>1</v>
      </c>
      <c r="P4" s="54">
        <v>28</v>
      </c>
      <c r="Q4" s="54" t="s">
        <v>168</v>
      </c>
      <c r="R4" s="54" t="s">
        <v>169</v>
      </c>
    </row>
    <row r="5" spans="1:18" x14ac:dyDescent="0.15">
      <c r="A5" s="54">
        <v>48005</v>
      </c>
      <c r="B5" s="54">
        <v>1</v>
      </c>
      <c r="C5" s="69" t="str">
        <f t="shared" si="0"/>
        <v>48005_1</v>
      </c>
      <c r="D5" s="17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4">
        <v>4</v>
      </c>
      <c r="F5" s="54" t="s">
        <v>288</v>
      </c>
      <c r="G5" s="54">
        <v>334</v>
      </c>
      <c r="H5" s="54">
        <v>1</v>
      </c>
      <c r="I5" s="54">
        <v>1</v>
      </c>
      <c r="J5" s="54">
        <v>1</v>
      </c>
      <c r="K5" s="54">
        <v>0</v>
      </c>
      <c r="L5" s="54">
        <v>0</v>
      </c>
      <c r="M5" s="54">
        <v>0</v>
      </c>
      <c r="N5" s="54">
        <v>0</v>
      </c>
      <c r="O5" s="54">
        <v>1</v>
      </c>
      <c r="P5" s="54">
        <v>112</v>
      </c>
      <c r="Q5" s="54" t="s">
        <v>168</v>
      </c>
      <c r="R5" s="54" t="s">
        <v>169</v>
      </c>
    </row>
    <row r="6" spans="1:18" x14ac:dyDescent="0.15">
      <c r="A6" s="54">
        <v>48005</v>
      </c>
      <c r="B6" s="54">
        <v>1</v>
      </c>
      <c r="C6" s="69" t="str">
        <f t="shared" si="0"/>
        <v>48005_1</v>
      </c>
      <c r="D6" s="17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4">
        <v>5</v>
      </c>
      <c r="F6" s="54" t="s">
        <v>288</v>
      </c>
      <c r="G6" s="54">
        <v>121</v>
      </c>
      <c r="H6" s="54">
        <v>1</v>
      </c>
      <c r="I6" s="54">
        <v>1</v>
      </c>
      <c r="J6" s="54">
        <v>1</v>
      </c>
      <c r="K6" s="54">
        <v>0</v>
      </c>
      <c r="L6" s="54">
        <v>0</v>
      </c>
      <c r="M6" s="54">
        <v>0</v>
      </c>
      <c r="N6" s="54">
        <v>0</v>
      </c>
      <c r="O6" s="54">
        <v>1</v>
      </c>
      <c r="P6" s="54">
        <v>100</v>
      </c>
      <c r="Q6" s="54" t="s">
        <v>168</v>
      </c>
      <c r="R6" s="54" t="s">
        <v>169</v>
      </c>
    </row>
    <row r="7" spans="1:18" x14ac:dyDescent="0.15">
      <c r="A7" s="54">
        <v>48005</v>
      </c>
      <c r="B7" s="54">
        <v>1</v>
      </c>
      <c r="C7" s="69" t="str">
        <f t="shared" si="0"/>
        <v>48005_1</v>
      </c>
      <c r="D7" s="17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4">
        <v>6</v>
      </c>
      <c r="F7" s="54" t="s">
        <v>288</v>
      </c>
      <c r="G7" s="54">
        <v>122</v>
      </c>
      <c r="H7" s="54">
        <v>1</v>
      </c>
      <c r="I7" s="54">
        <v>1</v>
      </c>
      <c r="J7" s="54">
        <v>1</v>
      </c>
      <c r="K7" s="54">
        <v>0</v>
      </c>
      <c r="L7" s="54">
        <v>0</v>
      </c>
      <c r="M7" s="54">
        <v>0</v>
      </c>
      <c r="N7" s="54">
        <v>0</v>
      </c>
      <c r="O7" s="54">
        <v>1</v>
      </c>
      <c r="P7" s="54">
        <v>100</v>
      </c>
      <c r="Q7" s="54" t="s">
        <v>168</v>
      </c>
      <c r="R7" s="54" t="s">
        <v>169</v>
      </c>
    </row>
    <row r="8" spans="1:18" x14ac:dyDescent="0.15">
      <c r="A8" s="54">
        <v>48005</v>
      </c>
      <c r="B8" s="54">
        <v>1</v>
      </c>
      <c r="C8" s="69" t="str">
        <f t="shared" si="0"/>
        <v>48005_1</v>
      </c>
      <c r="D8" s="17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4">
        <v>7</v>
      </c>
      <c r="F8" s="54" t="s">
        <v>288</v>
      </c>
      <c r="G8" s="54">
        <v>123</v>
      </c>
      <c r="H8" s="54">
        <v>1</v>
      </c>
      <c r="I8" s="54">
        <v>1</v>
      </c>
      <c r="J8" s="54">
        <v>1</v>
      </c>
      <c r="K8" s="54">
        <v>0</v>
      </c>
      <c r="L8" s="54">
        <v>0</v>
      </c>
      <c r="M8" s="54">
        <v>0</v>
      </c>
      <c r="N8" s="54">
        <v>0</v>
      </c>
      <c r="O8" s="54">
        <v>1</v>
      </c>
      <c r="P8" s="54">
        <v>100</v>
      </c>
      <c r="Q8" s="54" t="s">
        <v>168</v>
      </c>
      <c r="R8" s="54" t="s">
        <v>169</v>
      </c>
    </row>
    <row r="9" spans="1:18" x14ac:dyDescent="0.15">
      <c r="A9" s="54">
        <v>48005</v>
      </c>
      <c r="B9" s="54">
        <v>1</v>
      </c>
      <c r="C9" s="69" t="str">
        <f t="shared" si="0"/>
        <v>48005_1</v>
      </c>
      <c r="D9" s="17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4">
        <v>8</v>
      </c>
      <c r="F9" s="54" t="s">
        <v>288</v>
      </c>
      <c r="G9" s="54">
        <v>125</v>
      </c>
      <c r="H9" s="54">
        <v>1</v>
      </c>
      <c r="I9" s="54">
        <v>1</v>
      </c>
      <c r="J9" s="54">
        <v>1</v>
      </c>
      <c r="K9" s="54">
        <v>0</v>
      </c>
      <c r="L9" s="54">
        <v>0</v>
      </c>
      <c r="M9" s="54">
        <v>0</v>
      </c>
      <c r="N9" s="54">
        <v>0</v>
      </c>
      <c r="O9" s="54">
        <v>1</v>
      </c>
      <c r="P9" s="54">
        <v>10</v>
      </c>
      <c r="Q9" s="54" t="s">
        <v>168</v>
      </c>
      <c r="R9" s="54" t="s">
        <v>169</v>
      </c>
    </row>
    <row r="10" spans="1:18" x14ac:dyDescent="0.15">
      <c r="A10" s="54">
        <v>48005</v>
      </c>
      <c r="B10" s="54">
        <v>1</v>
      </c>
      <c r="C10" s="69" t="str">
        <f t="shared" si="0"/>
        <v>48005_1</v>
      </c>
      <c r="D10" s="17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4">
        <v>9</v>
      </c>
      <c r="F10" s="54" t="s">
        <v>288</v>
      </c>
      <c r="G10" s="54">
        <v>8007</v>
      </c>
      <c r="H10" s="54">
        <v>1</v>
      </c>
      <c r="I10" s="54">
        <v>1</v>
      </c>
      <c r="J10" s="54">
        <v>1</v>
      </c>
      <c r="K10" s="54">
        <v>0</v>
      </c>
      <c r="L10" s="54">
        <v>0</v>
      </c>
      <c r="M10" s="54">
        <v>0</v>
      </c>
      <c r="N10" s="54">
        <v>0</v>
      </c>
      <c r="O10" s="54">
        <v>1</v>
      </c>
      <c r="P10" s="54">
        <v>100</v>
      </c>
      <c r="Q10" s="54" t="s">
        <v>168</v>
      </c>
      <c r="R10" s="54" t="s">
        <v>169</v>
      </c>
    </row>
    <row r="11" spans="1:18" ht="16" thickBot="1" x14ac:dyDescent="0.2">
      <c r="A11" s="54">
        <v>48005</v>
      </c>
      <c r="B11" s="154">
        <v>1</v>
      </c>
      <c r="C11" s="155" t="str">
        <f t="shared" si="0"/>
        <v>48005_1</v>
      </c>
      <c r="D11" s="156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54">
        <v>10</v>
      </c>
      <c r="F11" s="154" t="s">
        <v>288</v>
      </c>
      <c r="G11" s="154">
        <v>348</v>
      </c>
      <c r="H11" s="154">
        <v>1</v>
      </c>
      <c r="I11" s="154">
        <v>1</v>
      </c>
      <c r="J11" s="154">
        <v>1</v>
      </c>
      <c r="K11" s="154">
        <v>0</v>
      </c>
      <c r="L11" s="154">
        <v>0</v>
      </c>
      <c r="M11" s="154">
        <v>0</v>
      </c>
      <c r="N11" s="154">
        <v>0</v>
      </c>
      <c r="O11" s="154">
        <v>1</v>
      </c>
      <c r="P11" s="154">
        <v>150</v>
      </c>
      <c r="Q11" s="154" t="s">
        <v>168</v>
      </c>
      <c r="R11" s="154" t="s">
        <v>169</v>
      </c>
    </row>
    <row r="12" spans="1:18" x14ac:dyDescent="0.15">
      <c r="A12" s="54">
        <v>48005</v>
      </c>
      <c r="B12" s="157">
        <v>2</v>
      </c>
      <c r="C12" s="158" t="str">
        <f t="shared" si="0"/>
        <v>48005_2</v>
      </c>
      <c r="D12" s="159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60">
        <v>11</v>
      </c>
      <c r="F12" s="160" t="s">
        <v>227</v>
      </c>
      <c r="G12" s="160">
        <v>334</v>
      </c>
      <c r="H12" s="160">
        <v>1</v>
      </c>
      <c r="I12" s="160">
        <v>1</v>
      </c>
      <c r="J12" s="160">
        <v>1</v>
      </c>
      <c r="K12" s="160">
        <v>0</v>
      </c>
      <c r="L12" s="160">
        <v>0</v>
      </c>
      <c r="M12" s="160">
        <v>0</v>
      </c>
      <c r="N12" s="160">
        <v>0</v>
      </c>
      <c r="O12" s="160">
        <v>1</v>
      </c>
      <c r="P12" s="157">
        <v>50</v>
      </c>
      <c r="Q12" s="157" t="s">
        <v>168</v>
      </c>
      <c r="R12" s="161" t="s">
        <v>169</v>
      </c>
    </row>
    <row r="13" spans="1:18" x14ac:dyDescent="0.15">
      <c r="A13" s="54">
        <v>48005</v>
      </c>
      <c r="B13" s="54">
        <v>2</v>
      </c>
      <c r="C13" s="69" t="str">
        <f t="shared" si="0"/>
        <v>48005_2</v>
      </c>
      <c r="D13" s="17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79">
        <v>12</v>
      </c>
      <c r="F13" s="79" t="s">
        <v>289</v>
      </c>
      <c r="G13" s="79">
        <v>348</v>
      </c>
      <c r="H13" s="79">
        <v>1</v>
      </c>
      <c r="I13" s="79">
        <v>1</v>
      </c>
      <c r="J13" s="79">
        <v>1</v>
      </c>
      <c r="K13" s="79">
        <v>0</v>
      </c>
      <c r="L13" s="79">
        <v>0</v>
      </c>
      <c r="M13" s="79">
        <v>0</v>
      </c>
      <c r="N13" s="79">
        <v>0</v>
      </c>
      <c r="O13" s="79">
        <v>1</v>
      </c>
      <c r="P13" s="54">
        <v>120</v>
      </c>
      <c r="Q13" s="54" t="s">
        <v>168</v>
      </c>
      <c r="R13" s="162" t="s">
        <v>169</v>
      </c>
    </row>
    <row r="14" spans="1:18" x14ac:dyDescent="0.15">
      <c r="A14" s="54">
        <v>48005</v>
      </c>
      <c r="B14" s="54">
        <v>2</v>
      </c>
      <c r="C14" s="69" t="str">
        <f t="shared" si="0"/>
        <v>48005_2</v>
      </c>
      <c r="D14" s="17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79">
        <v>13</v>
      </c>
      <c r="F14" s="79" t="s">
        <v>227</v>
      </c>
      <c r="G14" s="79">
        <v>607</v>
      </c>
      <c r="H14" s="79">
        <v>1</v>
      </c>
      <c r="I14" s="79">
        <v>1</v>
      </c>
      <c r="J14" s="79">
        <v>1</v>
      </c>
      <c r="K14" s="79">
        <v>0</v>
      </c>
      <c r="L14" s="79">
        <v>0</v>
      </c>
      <c r="M14" s="79">
        <v>0</v>
      </c>
      <c r="N14" s="79">
        <v>0</v>
      </c>
      <c r="O14" s="79">
        <v>1</v>
      </c>
      <c r="P14" s="54">
        <v>100</v>
      </c>
      <c r="Q14" s="54" t="s">
        <v>168</v>
      </c>
      <c r="R14" s="162" t="s">
        <v>169</v>
      </c>
    </row>
    <row r="15" spans="1:18" x14ac:dyDescent="0.15">
      <c r="A15" s="54">
        <v>48005</v>
      </c>
      <c r="B15" s="54">
        <v>2</v>
      </c>
      <c r="C15" s="69" t="str">
        <f t="shared" si="0"/>
        <v>48005_2</v>
      </c>
      <c r="D15" s="17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79">
        <v>14</v>
      </c>
      <c r="F15" s="79" t="s">
        <v>227</v>
      </c>
      <c r="G15" s="79">
        <v>608</v>
      </c>
      <c r="H15" s="79">
        <v>1</v>
      </c>
      <c r="I15" s="79">
        <v>1</v>
      </c>
      <c r="J15" s="79">
        <v>1</v>
      </c>
      <c r="K15" s="79">
        <v>0</v>
      </c>
      <c r="L15" s="79">
        <v>0</v>
      </c>
      <c r="M15" s="79">
        <v>0</v>
      </c>
      <c r="N15" s="79">
        <v>0</v>
      </c>
      <c r="O15" s="79">
        <v>1</v>
      </c>
      <c r="P15" s="54">
        <v>100</v>
      </c>
      <c r="Q15" s="54" t="s">
        <v>168</v>
      </c>
      <c r="R15" s="162" t="s">
        <v>169</v>
      </c>
    </row>
    <row r="16" spans="1:18" x14ac:dyDescent="0.15">
      <c r="A16" s="54">
        <v>48005</v>
      </c>
      <c r="B16" s="54">
        <v>2</v>
      </c>
      <c r="C16" s="69" t="str">
        <f t="shared" si="0"/>
        <v>48005_2</v>
      </c>
      <c r="D16" s="17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79">
        <v>15</v>
      </c>
      <c r="F16" s="79" t="s">
        <v>227</v>
      </c>
      <c r="G16" s="79">
        <v>609</v>
      </c>
      <c r="H16" s="79">
        <v>1</v>
      </c>
      <c r="I16" s="79">
        <v>1</v>
      </c>
      <c r="J16" s="79">
        <v>1</v>
      </c>
      <c r="K16" s="79">
        <v>0</v>
      </c>
      <c r="L16" s="79">
        <v>0</v>
      </c>
      <c r="M16" s="79">
        <v>0</v>
      </c>
      <c r="N16" s="79">
        <v>0</v>
      </c>
      <c r="O16" s="79">
        <v>1</v>
      </c>
      <c r="P16" s="54">
        <v>100</v>
      </c>
      <c r="Q16" s="54" t="s">
        <v>168</v>
      </c>
      <c r="R16" s="162" t="s">
        <v>169</v>
      </c>
    </row>
    <row r="17" spans="1:18" ht="16" customHeight="1" x14ac:dyDescent="0.15">
      <c r="A17" s="54">
        <v>48005</v>
      </c>
      <c r="B17" s="54">
        <v>2</v>
      </c>
      <c r="C17" s="69" t="str">
        <f t="shared" si="0"/>
        <v>48005_2</v>
      </c>
      <c r="D17" s="17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79">
        <v>16</v>
      </c>
      <c r="F17" s="79" t="s">
        <v>227</v>
      </c>
      <c r="G17" s="79">
        <v>125</v>
      </c>
      <c r="H17" s="79">
        <v>1</v>
      </c>
      <c r="I17" s="79">
        <v>1</v>
      </c>
      <c r="J17" s="79">
        <v>1</v>
      </c>
      <c r="K17" s="79">
        <v>0</v>
      </c>
      <c r="L17" s="79">
        <v>0</v>
      </c>
      <c r="M17" s="79">
        <v>0</v>
      </c>
      <c r="N17" s="79">
        <v>0</v>
      </c>
      <c r="O17" s="79">
        <v>1</v>
      </c>
      <c r="P17" s="54">
        <v>30</v>
      </c>
      <c r="Q17" s="54" t="s">
        <v>168</v>
      </c>
      <c r="R17" s="162" t="s">
        <v>169</v>
      </c>
    </row>
    <row r="18" spans="1:18" ht="16" thickBot="1" x14ac:dyDescent="0.2">
      <c r="A18" s="54">
        <v>48005</v>
      </c>
      <c r="B18" s="163">
        <v>2</v>
      </c>
      <c r="C18" s="164" t="str">
        <f t="shared" si="0"/>
        <v>48005_2</v>
      </c>
      <c r="D18" s="165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66">
        <v>17</v>
      </c>
      <c r="F18" s="166" t="s">
        <v>227</v>
      </c>
      <c r="G18" s="166">
        <v>8007</v>
      </c>
      <c r="H18" s="166">
        <v>1</v>
      </c>
      <c r="I18" s="166">
        <v>1</v>
      </c>
      <c r="J18" s="166">
        <v>1</v>
      </c>
      <c r="K18" s="166">
        <v>0</v>
      </c>
      <c r="L18" s="166">
        <v>0</v>
      </c>
      <c r="M18" s="166">
        <v>0</v>
      </c>
      <c r="N18" s="166">
        <v>0</v>
      </c>
      <c r="O18" s="166">
        <v>1</v>
      </c>
      <c r="P18" s="163">
        <v>500</v>
      </c>
      <c r="Q18" s="163" t="s">
        <v>168</v>
      </c>
      <c r="R18" s="167" t="s">
        <v>169</v>
      </c>
    </row>
  </sheetData>
  <phoneticPr fontId="5"/>
  <dataValidations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L18" sqref="L18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186</v>
      </c>
      <c r="B1" s="71" t="s">
        <v>187</v>
      </c>
      <c r="C1" s="75" t="s">
        <v>188</v>
      </c>
      <c r="D1" s="75" t="s">
        <v>33</v>
      </c>
      <c r="E1" s="71" t="s">
        <v>189</v>
      </c>
      <c r="F1" s="75" t="s">
        <v>190</v>
      </c>
      <c r="G1" s="75" t="s">
        <v>33</v>
      </c>
      <c r="H1" s="71" t="s">
        <v>191</v>
      </c>
      <c r="I1" s="89" t="s">
        <v>193</v>
      </c>
      <c r="J1" s="77" t="s">
        <v>125</v>
      </c>
      <c r="K1" s="76" t="s">
        <v>185</v>
      </c>
      <c r="L1" s="90" t="s">
        <v>184</v>
      </c>
      <c r="M1" s="78" t="s">
        <v>194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1"/>
  <sheetViews>
    <sheetView showGridLines="0" workbookViewId="0">
      <pane ySplit="1" topLeftCell="A10" activePane="bottomLeft" state="frozen"/>
      <selection pane="bottomLeft" activeCell="O20" sqref="O20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4" t="s">
        <v>186</v>
      </c>
      <c r="B1" s="71" t="s">
        <v>149</v>
      </c>
      <c r="C1" s="75" t="s">
        <v>188</v>
      </c>
      <c r="D1" s="75" t="s">
        <v>33</v>
      </c>
      <c r="E1" s="71" t="s">
        <v>189</v>
      </c>
      <c r="F1" s="75" t="s">
        <v>18</v>
      </c>
      <c r="G1" s="75" t="s">
        <v>33</v>
      </c>
      <c r="H1" s="71" t="s">
        <v>191</v>
      </c>
      <c r="I1" s="87" t="s">
        <v>192</v>
      </c>
      <c r="J1" s="89" t="s">
        <v>193</v>
      </c>
      <c r="K1" s="77" t="s">
        <v>125</v>
      </c>
      <c r="L1" s="76" t="s">
        <v>185</v>
      </c>
      <c r="M1" s="90" t="s">
        <v>184</v>
      </c>
      <c r="N1" s="78" t="s">
        <v>194</v>
      </c>
    </row>
    <row r="2" spans="1:14" ht="28" x14ac:dyDescent="0.15">
      <c r="A2" s="79" t="s">
        <v>195</v>
      </c>
      <c r="B2" s="80">
        <v>48005</v>
      </c>
      <c r="C2" s="81" t="str">
        <f ca="1">VLOOKUP($B2,OFFSET([2]quests!$A$1,0,0,COUNTA([2]quests!$A:$A),MATCH(C$1,[2]quests!$1:$1,0)-MATCH($B$1,[2]quests!$1:$1,0)+1),MATCH(C$1,[2]quests!$1:$1,0)-MATCH($B$1,[2]quests!$1:$1,0)+1,FALSE)</f>
        <v>孫悟空襲来！</v>
      </c>
      <c r="D2" s="81" t="str">
        <f ca="1">VLOOKUP($B2,OFFSET([2]quests!$A$1,0,0,COUNTA([2]quests!$A:$A),MATCH(D$1,[2]quests!$1:$1,0)-MATCH($B$1,[2]quests!$1:$1,0)+1),MATCH(D$1,[2]quests!$1:$1,0)-MATCH($B$1,[2]quests!$1:$1,0)+1,FALSE)</f>
        <v>台湾版降臨6</v>
      </c>
      <c r="E2" s="82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【超絶級】孫悟空襲来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台湾版降臨6</v>
      </c>
      <c r="H2" s="83">
        <v>1</v>
      </c>
      <c r="I2" s="88">
        <f>ROW()-1</f>
        <v>1</v>
      </c>
      <c r="J2" s="84" t="str">
        <f>B2&amp;TEXT(I2,"00")</f>
        <v>4800501</v>
      </c>
      <c r="K2" s="82" t="s">
        <v>126</v>
      </c>
      <c r="L2" s="85" t="s">
        <v>197</v>
      </c>
      <c r="M2" s="117" t="s">
        <v>314</v>
      </c>
      <c r="N2" s="54" t="s">
        <v>198</v>
      </c>
    </row>
    <row r="3" spans="1:14" ht="42" x14ac:dyDescent="0.15">
      <c r="A3" s="79" t="s">
        <v>195</v>
      </c>
      <c r="B3" s="80">
        <v>48005</v>
      </c>
      <c r="C3" s="81" t="str">
        <f ca="1">VLOOKUP($B3,OFFSET([2]quests!$A$1,0,0,COUNTA([2]quests!$A:$A),MATCH(C$1,[2]quests!$1:$1,0)-MATCH($B$1,[2]quests!$1:$1,0)+1),MATCH(C$1,[2]quests!$1:$1,0)-MATCH($B$1,[2]quests!$1:$1,0)+1,FALSE)</f>
        <v>孫悟空襲来！</v>
      </c>
      <c r="D3" s="81" t="str">
        <f ca="1">VLOOKUP($B3,OFFSET([2]quests!$A$1,0,0,COUNTA([2]quests!$A:$A),MATCH(D$1,[2]quests!$1:$1,0)-MATCH($B$1,[2]quests!$1:$1,0)+1),MATCH(D$1,[2]quests!$1:$1,0)-MATCH($B$1,[2]quests!$1:$1,0)+1,FALSE)</f>
        <v>台湾版降臨6</v>
      </c>
      <c r="E3" s="82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【超絶級】孫悟空襲来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台湾版降臨6</v>
      </c>
      <c r="H3" s="83">
        <v>2</v>
      </c>
      <c r="I3" s="88">
        <f t="shared" ref="I3:I21" si="0">ROW()-1</f>
        <v>2</v>
      </c>
      <c r="J3" s="84" t="str">
        <f t="shared" ref="J3:J21" si="1">B3&amp;TEXT(I3,"00")</f>
        <v>4800502</v>
      </c>
      <c r="K3" s="82" t="s">
        <v>126</v>
      </c>
      <c r="L3" s="85" t="s">
        <v>197</v>
      </c>
      <c r="M3" s="117" t="s">
        <v>262</v>
      </c>
      <c r="N3" s="54" t="s">
        <v>198</v>
      </c>
    </row>
    <row r="4" spans="1:14" ht="42" x14ac:dyDescent="0.15">
      <c r="A4" s="79" t="s">
        <v>195</v>
      </c>
      <c r="B4" s="80">
        <v>48005</v>
      </c>
      <c r="C4" s="81" t="str">
        <f ca="1">VLOOKUP($B4,OFFSET([2]quests!$A$1,0,0,COUNTA([2]quests!$A:$A),MATCH(C$1,[2]quests!$1:$1,0)-MATCH($B$1,[2]quests!$1:$1,0)+1),MATCH(C$1,[2]quests!$1:$1,0)-MATCH($B$1,[2]quests!$1:$1,0)+1,FALSE)</f>
        <v>孫悟空襲来！</v>
      </c>
      <c r="D4" s="81" t="str">
        <f ca="1">VLOOKUP($B4,OFFSET([2]quests!$A$1,0,0,COUNTA([2]quests!$A:$A),MATCH(D$1,[2]quests!$1:$1,0)-MATCH($B$1,[2]quests!$1:$1,0)+1),MATCH(D$1,[2]quests!$1:$1,0)-MATCH($B$1,[2]quests!$1:$1,0)+1,FALSE)</f>
        <v>台湾版降臨6</v>
      </c>
      <c r="E4" s="82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【超絶級】孫悟空襲来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台湾版降臨6</v>
      </c>
      <c r="H4" s="83">
        <v>3</v>
      </c>
      <c r="I4" s="88">
        <f t="shared" si="0"/>
        <v>3</v>
      </c>
      <c r="J4" s="84" t="str">
        <f t="shared" si="1"/>
        <v>4800503</v>
      </c>
      <c r="K4" s="82" t="s">
        <v>263</v>
      </c>
      <c r="L4" s="85" t="s">
        <v>197</v>
      </c>
      <c r="M4" s="117" t="s">
        <v>264</v>
      </c>
      <c r="N4" s="54" t="s">
        <v>265</v>
      </c>
    </row>
    <row r="5" spans="1:14" ht="42" x14ac:dyDescent="0.15">
      <c r="A5" s="79" t="s">
        <v>195</v>
      </c>
      <c r="B5" s="80">
        <v>48005</v>
      </c>
      <c r="C5" s="81" t="str">
        <f ca="1">VLOOKUP($B5,OFFSET([2]quests!$A$1,0,0,COUNTA([2]quests!$A:$A),MATCH(C$1,[2]quests!$1:$1,0)-MATCH($B$1,[2]quests!$1:$1,0)+1),MATCH(C$1,[2]quests!$1:$1,0)-MATCH($B$1,[2]quests!$1:$1,0)+1,FALSE)</f>
        <v>孫悟空襲来！</v>
      </c>
      <c r="D5" s="81" t="str">
        <f ca="1">VLOOKUP($B5,OFFSET([2]quests!$A$1,0,0,COUNTA([2]quests!$A:$A),MATCH(D$1,[2]quests!$1:$1,0)-MATCH($B$1,[2]quests!$1:$1,0)+1),MATCH(D$1,[2]quests!$1:$1,0)-MATCH($B$1,[2]quests!$1:$1,0)+1,FALSE)</f>
        <v>台湾版降臨6</v>
      </c>
      <c r="E5" s="82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【超絶級】孫悟空襲来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台湾版降臨6</v>
      </c>
      <c r="H5" s="83">
        <v>4</v>
      </c>
      <c r="I5" s="88">
        <f t="shared" si="0"/>
        <v>4</v>
      </c>
      <c r="J5" s="84" t="str">
        <f t="shared" si="1"/>
        <v>4800504</v>
      </c>
      <c r="K5" s="82" t="s">
        <v>263</v>
      </c>
      <c r="L5" s="85" t="s">
        <v>197</v>
      </c>
      <c r="M5" s="117" t="s">
        <v>266</v>
      </c>
      <c r="N5" s="54" t="s">
        <v>265</v>
      </c>
    </row>
    <row r="6" spans="1:14" ht="42" x14ac:dyDescent="0.15">
      <c r="A6" s="79" t="s">
        <v>195</v>
      </c>
      <c r="B6" s="80">
        <v>48005</v>
      </c>
      <c r="C6" s="81" t="str">
        <f ca="1">VLOOKUP($B6,OFFSET([2]quests!$A$1,0,0,COUNTA([2]quests!$A:$A),MATCH(C$1,[2]quests!$1:$1,0)-MATCH($B$1,[2]quests!$1:$1,0)+1),MATCH(C$1,[2]quests!$1:$1,0)-MATCH($B$1,[2]quests!$1:$1,0)+1,FALSE)</f>
        <v>孫悟空襲来！</v>
      </c>
      <c r="D6" s="81" t="str">
        <f ca="1">VLOOKUP($B6,OFFSET([2]quests!$A$1,0,0,COUNTA([2]quests!$A:$A),MATCH(D$1,[2]quests!$1:$1,0)-MATCH($B$1,[2]quests!$1:$1,0)+1),MATCH(D$1,[2]quests!$1:$1,0)-MATCH($B$1,[2]quests!$1:$1,0)+1,FALSE)</f>
        <v>台湾版降臨6</v>
      </c>
      <c r="E6" s="82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【超絶級】孫悟空襲来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台湾版降臨6</v>
      </c>
      <c r="H6" s="83">
        <v>4</v>
      </c>
      <c r="I6" s="88">
        <f t="shared" si="0"/>
        <v>5</v>
      </c>
      <c r="J6" s="84" t="str">
        <f t="shared" si="1"/>
        <v>4800505</v>
      </c>
      <c r="K6" s="82" t="s">
        <v>126</v>
      </c>
      <c r="L6" s="85" t="s">
        <v>197</v>
      </c>
      <c r="M6" s="117" t="s">
        <v>267</v>
      </c>
      <c r="N6" s="54" t="s">
        <v>198</v>
      </c>
    </row>
    <row r="7" spans="1:14" ht="42" x14ac:dyDescent="0.15">
      <c r="A7" s="79" t="s">
        <v>195</v>
      </c>
      <c r="B7" s="80">
        <v>48005</v>
      </c>
      <c r="C7" s="81" t="str">
        <f ca="1">VLOOKUP($B7,OFFSET([2]quests!$A$1,0,0,COUNTA([2]quests!$A:$A),MATCH(C$1,[2]quests!$1:$1,0)-MATCH($B$1,[2]quests!$1:$1,0)+1),MATCH(C$1,[2]quests!$1:$1,0)-MATCH($B$1,[2]quests!$1:$1,0)+1,FALSE)</f>
        <v>孫悟空襲来！</v>
      </c>
      <c r="D7" s="81" t="str">
        <f ca="1">VLOOKUP($B7,OFFSET([2]quests!$A$1,0,0,COUNTA([2]quests!$A:$A),MATCH(D$1,[2]quests!$1:$1,0)-MATCH($B$1,[2]quests!$1:$1,0)+1),MATCH(D$1,[2]quests!$1:$1,0)-MATCH($B$1,[2]quests!$1:$1,0)+1,FALSE)</f>
        <v>台湾版降臨6</v>
      </c>
      <c r="E7" s="82">
        <v>1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【超絶級】孫悟空襲来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台湾版降臨6</v>
      </c>
      <c r="H7" s="83">
        <v>4</v>
      </c>
      <c r="I7" s="88">
        <f t="shared" si="0"/>
        <v>6</v>
      </c>
      <c r="J7" s="84" t="str">
        <f t="shared" si="1"/>
        <v>4800506</v>
      </c>
      <c r="K7" s="82" t="s">
        <v>126</v>
      </c>
      <c r="L7" s="85" t="s">
        <v>197</v>
      </c>
      <c r="M7" s="117" t="s">
        <v>315</v>
      </c>
      <c r="N7" s="54" t="s">
        <v>198</v>
      </c>
    </row>
    <row r="8" spans="1:14" ht="28" x14ac:dyDescent="0.15">
      <c r="A8" s="79" t="s">
        <v>195</v>
      </c>
      <c r="B8" s="80">
        <v>48005</v>
      </c>
      <c r="C8" s="81" t="str">
        <f ca="1">VLOOKUP($B8,OFFSET([2]quests!$A$1,0,0,COUNTA([2]quests!$A:$A),MATCH(C$1,[2]quests!$1:$1,0)-MATCH($B$1,[2]quests!$1:$1,0)+1),MATCH(C$1,[2]quests!$1:$1,0)-MATCH($B$1,[2]quests!$1:$1,0)+1,FALSE)</f>
        <v>孫悟空襲来！</v>
      </c>
      <c r="D8" s="81" t="str">
        <f ca="1">VLOOKUP($B8,OFFSET([2]quests!$A$1,0,0,COUNTA([2]quests!$A:$A),MATCH(D$1,[2]quests!$1:$1,0)-MATCH($B$1,[2]quests!$1:$1,0)+1),MATCH(D$1,[2]quests!$1:$1,0)-MATCH($B$1,[2]quests!$1:$1,0)+1,FALSE)</f>
        <v>台湾版降臨6</v>
      </c>
      <c r="E8" s="82">
        <v>2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台湾版降臨6</v>
      </c>
      <c r="H8" s="83">
        <v>1</v>
      </c>
      <c r="I8" s="88">
        <f t="shared" si="0"/>
        <v>7</v>
      </c>
      <c r="J8" s="84" t="str">
        <f t="shared" si="1"/>
        <v>4800507</v>
      </c>
      <c r="K8" s="82" t="s">
        <v>126</v>
      </c>
      <c r="L8" s="85" t="s">
        <v>197</v>
      </c>
      <c r="M8" s="117" t="s">
        <v>314</v>
      </c>
      <c r="N8" s="54" t="s">
        <v>198</v>
      </c>
    </row>
    <row r="9" spans="1:14" ht="42" x14ac:dyDescent="0.15">
      <c r="A9" s="79" t="s">
        <v>195</v>
      </c>
      <c r="B9" s="80">
        <v>48005</v>
      </c>
      <c r="C9" s="81" t="str">
        <f ca="1">VLOOKUP($B9,OFFSET([2]quests!$A$1,0,0,COUNTA([2]quests!$A:$A),MATCH(C$1,[2]quests!$1:$1,0)-MATCH($B$1,[2]quests!$1:$1,0)+1),MATCH(C$1,[2]quests!$1:$1,0)-MATCH($B$1,[2]quests!$1:$1,0)+1,FALSE)</f>
        <v>孫悟空襲来！</v>
      </c>
      <c r="D9" s="81" t="str">
        <f ca="1">VLOOKUP($B9,OFFSET([2]quests!$A$1,0,0,COUNTA([2]quests!$A:$A),MATCH(D$1,[2]quests!$1:$1,0)-MATCH($B$1,[2]quests!$1:$1,0)+1),MATCH(D$1,[2]quests!$1:$1,0)-MATCH($B$1,[2]quests!$1:$1,0)+1,FALSE)</f>
        <v>台湾版降臨6</v>
      </c>
      <c r="E9" s="82">
        <v>2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台湾版降臨6</v>
      </c>
      <c r="H9" s="83">
        <v>2</v>
      </c>
      <c r="I9" s="88">
        <f t="shared" si="0"/>
        <v>8</v>
      </c>
      <c r="J9" s="84" t="str">
        <f t="shared" si="1"/>
        <v>4800508</v>
      </c>
      <c r="K9" s="82" t="s">
        <v>126</v>
      </c>
      <c r="L9" s="85" t="s">
        <v>197</v>
      </c>
      <c r="M9" s="117" t="s">
        <v>262</v>
      </c>
      <c r="N9" s="54" t="s">
        <v>198</v>
      </c>
    </row>
    <row r="10" spans="1:14" ht="42" x14ac:dyDescent="0.15">
      <c r="A10" s="79" t="s">
        <v>195</v>
      </c>
      <c r="B10" s="80">
        <v>48005</v>
      </c>
      <c r="C10" s="81" t="str">
        <f ca="1">VLOOKUP($B10,OFFSET([2]quests!$A$1,0,0,COUNTA([2]quests!$A:$A),MATCH(C$1,[2]quests!$1:$1,0)-MATCH($B$1,[2]quests!$1:$1,0)+1),MATCH(C$1,[2]quests!$1:$1,0)-MATCH($B$1,[2]quests!$1:$1,0)+1,FALSE)</f>
        <v>孫悟空襲来！</v>
      </c>
      <c r="D10" s="81" t="str">
        <f ca="1">VLOOKUP($B10,OFFSET([2]quests!$A$1,0,0,COUNTA([2]quests!$A:$A),MATCH(D$1,[2]quests!$1:$1,0)-MATCH($B$1,[2]quests!$1:$1,0)+1),MATCH(D$1,[2]quests!$1:$1,0)-MATCH($B$1,[2]quests!$1:$1,0)+1,FALSE)</f>
        <v>台湾版降臨6</v>
      </c>
      <c r="E10" s="82">
        <v>2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台湾版降臨6</v>
      </c>
      <c r="H10" s="83">
        <v>3</v>
      </c>
      <c r="I10" s="88">
        <f t="shared" si="0"/>
        <v>9</v>
      </c>
      <c r="J10" s="84" t="str">
        <f t="shared" si="1"/>
        <v>4800509</v>
      </c>
      <c r="K10" s="82" t="s">
        <v>126</v>
      </c>
      <c r="L10" s="85" t="s">
        <v>197</v>
      </c>
      <c r="M10" s="117" t="s">
        <v>264</v>
      </c>
      <c r="N10" s="54" t="s">
        <v>198</v>
      </c>
    </row>
    <row r="11" spans="1:14" ht="42" x14ac:dyDescent="0.15">
      <c r="A11" s="79" t="s">
        <v>195</v>
      </c>
      <c r="B11" s="80">
        <v>48005</v>
      </c>
      <c r="C11" s="81" t="str">
        <f ca="1">VLOOKUP($B11,OFFSET([2]quests!$A$1,0,0,COUNTA([2]quests!$A:$A),MATCH(C$1,[2]quests!$1:$1,0)-MATCH($B$1,[2]quests!$1:$1,0)+1),MATCH(C$1,[2]quests!$1:$1,0)-MATCH($B$1,[2]quests!$1:$1,0)+1,FALSE)</f>
        <v>孫悟空襲来！</v>
      </c>
      <c r="D11" s="81" t="str">
        <f ca="1">VLOOKUP($B11,OFFSET([2]quests!$A$1,0,0,COUNTA([2]quests!$A:$A),MATCH(D$1,[2]quests!$1:$1,0)-MATCH($B$1,[2]quests!$1:$1,0)+1),MATCH(D$1,[2]quests!$1:$1,0)-MATCH($B$1,[2]quests!$1:$1,0)+1,FALSE)</f>
        <v>台湾版降臨6</v>
      </c>
      <c r="E11" s="82">
        <v>2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台湾版降臨6</v>
      </c>
      <c r="H11" s="83">
        <v>4</v>
      </c>
      <c r="I11" s="88">
        <f t="shared" si="0"/>
        <v>10</v>
      </c>
      <c r="J11" s="84" t="str">
        <f t="shared" si="1"/>
        <v>4800510</v>
      </c>
      <c r="K11" s="82" t="s">
        <v>126</v>
      </c>
      <c r="L11" s="85" t="s">
        <v>197</v>
      </c>
      <c r="M11" s="117" t="s">
        <v>268</v>
      </c>
      <c r="N11" s="54" t="s">
        <v>198</v>
      </c>
    </row>
    <row r="12" spans="1:14" ht="42" x14ac:dyDescent="0.15">
      <c r="A12" s="79" t="s">
        <v>195</v>
      </c>
      <c r="B12" s="80">
        <v>48005</v>
      </c>
      <c r="C12" s="81" t="str">
        <f ca="1">VLOOKUP($B12,OFFSET([2]quests!$A$1,0,0,COUNTA([2]quests!$A:$A),MATCH(C$1,[2]quests!$1:$1,0)-MATCH($B$1,[2]quests!$1:$1,0)+1),MATCH(C$1,[2]quests!$1:$1,0)-MATCH($B$1,[2]quests!$1:$1,0)+1,FALSE)</f>
        <v>孫悟空襲来！</v>
      </c>
      <c r="D12" s="81" t="str">
        <f ca="1">VLOOKUP($B12,OFFSET([2]quests!$A$1,0,0,COUNTA([2]quests!$A:$A),MATCH(D$1,[2]quests!$1:$1,0)-MATCH($B$1,[2]quests!$1:$1,0)+1),MATCH(D$1,[2]quests!$1:$1,0)-MATCH($B$1,[2]quests!$1:$1,0)+1,FALSE)</f>
        <v>台湾版降臨6</v>
      </c>
      <c r="E12" s="82">
        <v>2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台湾版降臨6</v>
      </c>
      <c r="H12" s="83">
        <v>4</v>
      </c>
      <c r="I12" s="88">
        <f t="shared" si="0"/>
        <v>11</v>
      </c>
      <c r="J12" s="84" t="str">
        <f t="shared" si="1"/>
        <v>4800511</v>
      </c>
      <c r="K12" s="82" t="s">
        <v>126</v>
      </c>
      <c r="L12" s="85" t="s">
        <v>197</v>
      </c>
      <c r="M12" s="117" t="s">
        <v>267</v>
      </c>
      <c r="N12" s="54" t="s">
        <v>198</v>
      </c>
    </row>
    <row r="13" spans="1:14" ht="42" x14ac:dyDescent="0.15">
      <c r="A13" s="79" t="s">
        <v>195</v>
      </c>
      <c r="B13" s="80">
        <v>48005</v>
      </c>
      <c r="C13" s="81" t="str">
        <f ca="1">VLOOKUP($B13,OFFSET([2]quests!$A$1,0,0,COUNTA([2]quests!$A:$A),MATCH(C$1,[2]quests!$1:$1,0)-MATCH($B$1,[2]quests!$1:$1,0)+1),MATCH(C$1,[2]quests!$1:$1,0)-MATCH($B$1,[2]quests!$1:$1,0)+1,FALSE)</f>
        <v>孫悟空襲来！</v>
      </c>
      <c r="D13" s="81" t="str">
        <f ca="1">VLOOKUP($B13,OFFSET([2]quests!$A$1,0,0,COUNTA([2]quests!$A:$A),MATCH(D$1,[2]quests!$1:$1,0)-MATCH($B$1,[2]quests!$1:$1,0)+1),MATCH(D$1,[2]quests!$1:$1,0)-MATCH($B$1,[2]quests!$1:$1,0)+1,FALSE)</f>
        <v>台湾版降臨6</v>
      </c>
      <c r="E13" s="82">
        <v>2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台湾版降臨6</v>
      </c>
      <c r="H13" s="83">
        <v>4</v>
      </c>
      <c r="I13" s="88">
        <f t="shared" si="0"/>
        <v>12</v>
      </c>
      <c r="J13" s="84" t="str">
        <f t="shared" si="1"/>
        <v>4800512</v>
      </c>
      <c r="K13" s="82" t="s">
        <v>126</v>
      </c>
      <c r="L13" s="85" t="s">
        <v>197</v>
      </c>
      <c r="M13" s="117" t="s">
        <v>315</v>
      </c>
      <c r="N13" s="54" t="s">
        <v>198</v>
      </c>
    </row>
    <row r="14" spans="1:14" ht="70" x14ac:dyDescent="0.15">
      <c r="A14" s="79" t="s">
        <v>199</v>
      </c>
      <c r="B14" s="80">
        <v>48005</v>
      </c>
      <c r="C14" s="81" t="str">
        <f ca="1">VLOOKUP($B14,OFFSET([2]quests!$A$1,0,0,COUNTA([2]quests!$A:$A),MATCH(C$1,[2]quests!$1:$1,0)-MATCH($B$1,[2]quests!$1:$1,0)+1),MATCH(C$1,[2]quests!$1:$1,0)-MATCH($B$1,[2]quests!$1:$1,0)+1,FALSE)</f>
        <v>孫悟空襲来！</v>
      </c>
      <c r="D14" s="81" t="str">
        <f ca="1">VLOOKUP($B14,OFFSET([2]quests!$A$1,0,0,COUNTA([2]quests!$A:$A),MATCH(D$1,[2]quests!$1:$1,0)-MATCH($B$1,[2]quests!$1:$1,0)+1),MATCH(D$1,[2]quests!$1:$1,0)-MATCH($B$1,[2]quests!$1:$1,0)+1,FALSE)</f>
        <v>台湾版降臨6</v>
      </c>
      <c r="E14" s="85">
        <v>1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【超絶級】孫悟空襲来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台湾版降臨6</v>
      </c>
      <c r="H14" s="83">
        <v>0</v>
      </c>
      <c r="I14" s="88">
        <f t="shared" si="0"/>
        <v>13</v>
      </c>
      <c r="J14" s="84" t="str">
        <f t="shared" si="1"/>
        <v>4800513</v>
      </c>
      <c r="K14" s="82" t="s">
        <v>196</v>
      </c>
      <c r="L14" s="91" t="s">
        <v>296</v>
      </c>
      <c r="M14" s="168" t="s">
        <v>298</v>
      </c>
      <c r="N14" s="54" t="s">
        <v>209</v>
      </c>
    </row>
    <row r="15" spans="1:14" ht="56" x14ac:dyDescent="0.15">
      <c r="A15" s="79" t="s">
        <v>199</v>
      </c>
      <c r="B15" s="80">
        <v>48005</v>
      </c>
      <c r="C15" s="81" t="str">
        <f ca="1">VLOOKUP($B15,OFFSET([2]quests!$A$1,0,0,COUNTA([2]quests!$A:$A),MATCH(C$1,[2]quests!$1:$1,0)-MATCH($B$1,[2]quests!$1:$1,0)+1),MATCH(C$1,[2]quests!$1:$1,0)-MATCH($B$1,[2]quests!$1:$1,0)+1,FALSE)</f>
        <v>孫悟空襲来！</v>
      </c>
      <c r="D15" s="81" t="str">
        <f ca="1">VLOOKUP($B15,OFFSET([2]quests!$A$1,0,0,COUNTA([2]quests!$A:$A),MATCH(D$1,[2]quests!$1:$1,0)-MATCH($B$1,[2]quests!$1:$1,0)+1),MATCH(D$1,[2]quests!$1:$1,0)-MATCH($B$1,[2]quests!$1:$1,0)+1,FALSE)</f>
        <v>台湾版降臨6</v>
      </c>
      <c r="E15" s="85">
        <v>1</v>
      </c>
      <c r="F15" s="81" t="str">
        <f ca="1">VLOOKUP($B15&amp;"_"&amp;$E15,OFFSET([2]stages!$A$1,0,0,COUNTA([2]stages!$A:$A),MATCH(F$1,[2]stages!$2:$2,0)-MATCH("temp_stage",[2]stages!$2:$2,0)+1),MATCH(F$1,[2]stages!$2:$2,0)-MATCH("temp_stage",[2]stages!$2:$2,0)+1,FALSE)</f>
        <v>【超絶級】孫悟空襲来</v>
      </c>
      <c r="G15" s="81" t="str">
        <f ca="1">VLOOKUP($B15&amp;"_"&amp;$E15,OFFSET([2]stages!$A$1,0,0,COUNTA([2]stages!$A:$A),MATCH(G$1,[2]stages!$2:$2,0)-MATCH("temp_stage",[2]stages!$2:$2,0)+1),MATCH(G$1,[2]stages!$2:$2,0)-MATCH("temp_stage",[2]stages!$2:$2,0)+1,FALSE)</f>
        <v>台湾版降臨6</v>
      </c>
      <c r="H15" s="83">
        <v>0</v>
      </c>
      <c r="I15" s="88">
        <f t="shared" si="0"/>
        <v>14</v>
      </c>
      <c r="J15" s="84" t="str">
        <f t="shared" si="1"/>
        <v>4800514</v>
      </c>
      <c r="K15" s="82" t="s">
        <v>196</v>
      </c>
      <c r="L15" s="91" t="s">
        <v>297</v>
      </c>
      <c r="M15" s="168" t="s">
        <v>299</v>
      </c>
      <c r="N15" s="54" t="s">
        <v>209</v>
      </c>
    </row>
    <row r="16" spans="1:14" ht="56" x14ac:dyDescent="0.15">
      <c r="A16" s="79" t="s">
        <v>199</v>
      </c>
      <c r="B16" s="80">
        <v>48005</v>
      </c>
      <c r="C16" s="81" t="str">
        <f ca="1">VLOOKUP($B16,OFFSET([2]quests!$A$1,0,0,COUNTA([2]quests!$A:$A),MATCH(C$1,[2]quests!$1:$1,0)-MATCH($B$1,[2]quests!$1:$1,0)+1),MATCH(C$1,[2]quests!$1:$1,0)-MATCH($B$1,[2]quests!$1:$1,0)+1,FALSE)</f>
        <v>孫悟空襲来！</v>
      </c>
      <c r="D16" s="81" t="str">
        <f ca="1">VLOOKUP($B16,OFFSET([2]quests!$A$1,0,0,COUNTA([2]quests!$A:$A),MATCH(D$1,[2]quests!$1:$1,0)-MATCH($B$1,[2]quests!$1:$1,0)+1),MATCH(D$1,[2]quests!$1:$1,0)-MATCH($B$1,[2]quests!$1:$1,0)+1,FALSE)</f>
        <v>台湾版降臨6</v>
      </c>
      <c r="E16" s="85">
        <v>1</v>
      </c>
      <c r="F16" s="81" t="str">
        <f ca="1">VLOOKUP($B16&amp;"_"&amp;$E16,OFFSET([2]stages!$A$1,0,0,COUNTA([2]stages!$A:$A),MATCH(F$1,[2]stages!$2:$2,0)-MATCH("temp_stage",[2]stages!$2:$2,0)+1),MATCH(F$1,[2]stages!$2:$2,0)-MATCH("temp_stage",[2]stages!$2:$2,0)+1,FALSE)</f>
        <v>【超絶級】孫悟空襲来</v>
      </c>
      <c r="G16" s="81" t="str">
        <f ca="1">VLOOKUP($B16&amp;"_"&amp;$E16,OFFSET([2]stages!$A$1,0,0,COUNTA([2]stages!$A:$A),MATCH(G$1,[2]stages!$2:$2,0)-MATCH("temp_stage",[2]stages!$2:$2,0)+1),MATCH(G$1,[2]stages!$2:$2,0)-MATCH("temp_stage",[2]stages!$2:$2,0)+1,FALSE)</f>
        <v>台湾版降臨6</v>
      </c>
      <c r="H16" s="83">
        <v>0</v>
      </c>
      <c r="I16" s="88">
        <f t="shared" si="0"/>
        <v>15</v>
      </c>
      <c r="J16" s="84" t="str">
        <f t="shared" si="1"/>
        <v>4800515</v>
      </c>
      <c r="K16" s="82" t="s">
        <v>196</v>
      </c>
      <c r="L16" s="91" t="s">
        <v>316</v>
      </c>
      <c r="M16" s="168" t="s">
        <v>317</v>
      </c>
      <c r="N16" s="54" t="s">
        <v>209</v>
      </c>
    </row>
    <row r="17" spans="1:14" ht="56" x14ac:dyDescent="0.15">
      <c r="A17" s="79" t="s">
        <v>199</v>
      </c>
      <c r="B17" s="80">
        <v>48005</v>
      </c>
      <c r="C17" s="81" t="str">
        <f ca="1">VLOOKUP($B17,OFFSET([2]quests!$A$1,0,0,COUNTA([2]quests!$A:$A),MATCH(C$1,[2]quests!$1:$1,0)-MATCH($B$1,[2]quests!$1:$1,0)+1),MATCH(C$1,[2]quests!$1:$1,0)-MATCH($B$1,[2]quests!$1:$1,0)+1,FALSE)</f>
        <v>孫悟空襲来！</v>
      </c>
      <c r="D17" s="81" t="str">
        <f ca="1">VLOOKUP($B17,OFFSET([2]quests!$A$1,0,0,COUNTA([2]quests!$A:$A),MATCH(D$1,[2]quests!$1:$1,0)-MATCH($B$1,[2]quests!$1:$1,0)+1),MATCH(D$1,[2]quests!$1:$1,0)-MATCH($B$1,[2]quests!$1:$1,0)+1,FALSE)</f>
        <v>台湾版降臨6</v>
      </c>
      <c r="E17" s="85">
        <v>1</v>
      </c>
      <c r="F17" s="81" t="str">
        <f ca="1">VLOOKUP($B17&amp;"_"&amp;$E17,OFFSET([2]stages!$A$1,0,0,COUNTA([2]stages!$A:$A),MATCH(F$1,[2]stages!$2:$2,0)-MATCH("temp_stage",[2]stages!$2:$2,0)+1),MATCH(F$1,[2]stages!$2:$2,0)-MATCH("temp_stage",[2]stages!$2:$2,0)+1,FALSE)</f>
        <v>【超絶級】孫悟空襲来</v>
      </c>
      <c r="G17" s="81" t="str">
        <f ca="1">VLOOKUP($B17&amp;"_"&amp;$E17,OFFSET([2]stages!$A$1,0,0,COUNTA([2]stages!$A:$A),MATCH(G$1,[2]stages!$2:$2,0)-MATCH("temp_stage",[2]stages!$2:$2,0)+1),MATCH(G$1,[2]stages!$2:$2,0)-MATCH("temp_stage",[2]stages!$2:$2,0)+1,FALSE)</f>
        <v>台湾版降臨6</v>
      </c>
      <c r="H17" s="83">
        <v>0</v>
      </c>
      <c r="I17" s="88">
        <f t="shared" si="0"/>
        <v>16</v>
      </c>
      <c r="J17" s="84" t="str">
        <f t="shared" si="1"/>
        <v>4800516</v>
      </c>
      <c r="K17" s="82" t="s">
        <v>196</v>
      </c>
      <c r="L17" s="91" t="s">
        <v>313</v>
      </c>
      <c r="M17" s="168" t="s">
        <v>308</v>
      </c>
      <c r="N17" s="54" t="s">
        <v>209</v>
      </c>
    </row>
    <row r="18" spans="1:14" ht="70" x14ac:dyDescent="0.15">
      <c r="A18" s="79" t="s">
        <v>199</v>
      </c>
      <c r="B18" s="80">
        <v>48005</v>
      </c>
      <c r="C18" s="81" t="str">
        <f ca="1">VLOOKUP($B18,OFFSET([2]quests!$A$1,0,0,COUNTA([2]quests!$A:$A),MATCH(C$1,[2]quests!$1:$1,0)-MATCH($B$1,[2]quests!$1:$1,0)+1),MATCH(C$1,[2]quests!$1:$1,0)-MATCH($B$1,[2]quests!$1:$1,0)+1,FALSE)</f>
        <v>孫悟空襲来！</v>
      </c>
      <c r="D18" s="81" t="str">
        <f ca="1">VLOOKUP($B18,OFFSET([2]quests!$A$1,0,0,COUNTA([2]quests!$A:$A),MATCH(D$1,[2]quests!$1:$1,0)-MATCH($B$1,[2]quests!$1:$1,0)+1),MATCH(D$1,[2]quests!$1:$1,0)-MATCH($B$1,[2]quests!$1:$1,0)+1,FALSE)</f>
        <v>台湾版降臨6</v>
      </c>
      <c r="E18" s="85">
        <v>2</v>
      </c>
      <c r="F18" s="81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18" s="81" t="str">
        <f ca="1">VLOOKUP($B18&amp;"_"&amp;$E18,OFFSET([2]stages!$A$1,0,0,COUNTA([2]stages!$A:$A),MATCH(G$1,[2]stages!$2:$2,0)-MATCH("temp_stage",[2]stages!$2:$2,0)+1),MATCH(G$1,[2]stages!$2:$2,0)-MATCH("temp_stage",[2]stages!$2:$2,0)+1,FALSE)</f>
        <v>台湾版降臨6</v>
      </c>
      <c r="H18" s="83">
        <v>0</v>
      </c>
      <c r="I18" s="88">
        <f t="shared" si="0"/>
        <v>17</v>
      </c>
      <c r="J18" s="84" t="str">
        <f t="shared" si="1"/>
        <v>4800517</v>
      </c>
      <c r="K18" s="82" t="s">
        <v>196</v>
      </c>
      <c r="L18" s="91" t="s">
        <v>296</v>
      </c>
      <c r="M18" s="168" t="s">
        <v>298</v>
      </c>
      <c r="N18" s="54" t="s">
        <v>209</v>
      </c>
    </row>
    <row r="19" spans="1:14" ht="56" x14ac:dyDescent="0.15">
      <c r="A19" s="79" t="s">
        <v>199</v>
      </c>
      <c r="B19" s="80">
        <v>48005</v>
      </c>
      <c r="C19" s="81" t="str">
        <f ca="1">VLOOKUP($B19,OFFSET([2]quests!$A$1,0,0,COUNTA([2]quests!$A:$A),MATCH(C$1,[2]quests!$1:$1,0)-MATCH($B$1,[2]quests!$1:$1,0)+1),MATCH(C$1,[2]quests!$1:$1,0)-MATCH($B$1,[2]quests!$1:$1,0)+1,FALSE)</f>
        <v>孫悟空襲来！</v>
      </c>
      <c r="D19" s="81" t="str">
        <f ca="1">VLOOKUP($B19,OFFSET([2]quests!$A$1,0,0,COUNTA([2]quests!$A:$A),MATCH(D$1,[2]quests!$1:$1,0)-MATCH($B$1,[2]quests!$1:$1,0)+1),MATCH(D$1,[2]quests!$1:$1,0)-MATCH($B$1,[2]quests!$1:$1,0)+1,FALSE)</f>
        <v>台湾版降臨6</v>
      </c>
      <c r="E19" s="85">
        <v>2</v>
      </c>
      <c r="F19" s="81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19" s="81" t="str">
        <f ca="1">VLOOKUP($B19&amp;"_"&amp;$E19,OFFSET([2]stages!$A$1,0,0,COUNTA([2]stages!$A:$A),MATCH(G$1,[2]stages!$2:$2,0)-MATCH("temp_stage",[2]stages!$2:$2,0)+1),MATCH(G$1,[2]stages!$2:$2,0)-MATCH("temp_stage",[2]stages!$2:$2,0)+1,FALSE)</f>
        <v>台湾版降臨6</v>
      </c>
      <c r="H19" s="83">
        <v>0</v>
      </c>
      <c r="I19" s="88">
        <f t="shared" si="0"/>
        <v>18</v>
      </c>
      <c r="J19" s="84" t="str">
        <f t="shared" si="1"/>
        <v>4800518</v>
      </c>
      <c r="K19" s="82" t="s">
        <v>196</v>
      </c>
      <c r="L19" s="91" t="s">
        <v>297</v>
      </c>
      <c r="M19" s="168" t="s">
        <v>299</v>
      </c>
      <c r="N19" s="54" t="s">
        <v>209</v>
      </c>
    </row>
    <row r="20" spans="1:14" ht="56" x14ac:dyDescent="0.15">
      <c r="A20" s="79" t="s">
        <v>199</v>
      </c>
      <c r="B20" s="80">
        <v>48005</v>
      </c>
      <c r="C20" s="81" t="str">
        <f ca="1">VLOOKUP($B20,OFFSET([2]quests!$A$1,0,0,COUNTA([2]quests!$A:$A),MATCH(C$1,[2]quests!$1:$1,0)-MATCH($B$1,[2]quests!$1:$1,0)+1),MATCH(C$1,[2]quests!$1:$1,0)-MATCH($B$1,[2]quests!$1:$1,0)+1,FALSE)</f>
        <v>孫悟空襲来！</v>
      </c>
      <c r="D20" s="81" t="str">
        <f ca="1">VLOOKUP($B20,OFFSET([2]quests!$A$1,0,0,COUNTA([2]quests!$A:$A),MATCH(D$1,[2]quests!$1:$1,0)-MATCH($B$1,[2]quests!$1:$1,0)+1),MATCH(D$1,[2]quests!$1:$1,0)-MATCH($B$1,[2]quests!$1:$1,0)+1,FALSE)</f>
        <v>台湾版降臨6</v>
      </c>
      <c r="E20" s="85">
        <v>2</v>
      </c>
      <c r="F20" s="81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20" s="81" t="str">
        <f ca="1">VLOOKUP($B20&amp;"_"&amp;$E20,OFFSET([2]stages!$A$1,0,0,COUNTA([2]stages!$A:$A),MATCH(G$1,[2]stages!$2:$2,0)-MATCH("temp_stage",[2]stages!$2:$2,0)+1),MATCH(G$1,[2]stages!$2:$2,0)-MATCH("temp_stage",[2]stages!$2:$2,0)+1,FALSE)</f>
        <v>台湾版降臨6</v>
      </c>
      <c r="H20" s="83">
        <v>0</v>
      </c>
      <c r="I20" s="88">
        <f t="shared" si="0"/>
        <v>19</v>
      </c>
      <c r="J20" s="84" t="str">
        <f t="shared" si="1"/>
        <v>4800519</v>
      </c>
      <c r="K20" s="82" t="s">
        <v>196</v>
      </c>
      <c r="L20" s="91" t="s">
        <v>316</v>
      </c>
      <c r="M20" s="168" t="s">
        <v>317</v>
      </c>
      <c r="N20" s="54" t="s">
        <v>209</v>
      </c>
    </row>
    <row r="21" spans="1:14" ht="56" x14ac:dyDescent="0.15">
      <c r="A21" s="79" t="s">
        <v>199</v>
      </c>
      <c r="B21" s="80">
        <v>48005</v>
      </c>
      <c r="C21" s="81" t="str">
        <f ca="1">VLOOKUP($B21,OFFSET([2]quests!$A$1,0,0,COUNTA([2]quests!$A:$A),MATCH(C$1,[2]quests!$1:$1,0)-MATCH($B$1,[2]quests!$1:$1,0)+1),MATCH(C$1,[2]quests!$1:$1,0)-MATCH($B$1,[2]quests!$1:$1,0)+1,FALSE)</f>
        <v>孫悟空襲来！</v>
      </c>
      <c r="D21" s="81" t="str">
        <f ca="1">VLOOKUP($B21,OFFSET([2]quests!$A$1,0,0,COUNTA([2]quests!$A:$A),MATCH(D$1,[2]quests!$1:$1,0)-MATCH($B$1,[2]quests!$1:$1,0)+1),MATCH(D$1,[2]quests!$1:$1,0)-MATCH($B$1,[2]quests!$1:$1,0)+1,FALSE)</f>
        <v>台湾版降臨6</v>
      </c>
      <c r="E21" s="85">
        <v>2</v>
      </c>
      <c r="F21" s="81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21" s="81" t="str">
        <f ca="1">VLOOKUP($B21&amp;"_"&amp;$E21,OFFSET([2]stages!$A$1,0,0,COUNTA([2]stages!$A:$A),MATCH(G$1,[2]stages!$2:$2,0)-MATCH("temp_stage",[2]stages!$2:$2,0)+1),MATCH(G$1,[2]stages!$2:$2,0)-MATCH("temp_stage",[2]stages!$2:$2,0)+1,FALSE)</f>
        <v>台湾版降臨6</v>
      </c>
      <c r="H21" s="83">
        <v>0</v>
      </c>
      <c r="I21" s="88">
        <f t="shared" si="0"/>
        <v>20</v>
      </c>
      <c r="J21" s="84" t="str">
        <f t="shared" si="1"/>
        <v>4800520</v>
      </c>
      <c r="K21" s="82" t="s">
        <v>196</v>
      </c>
      <c r="L21" s="91" t="s">
        <v>313</v>
      </c>
      <c r="M21" s="168" t="s">
        <v>308</v>
      </c>
      <c r="N21" s="54" t="s">
        <v>209</v>
      </c>
    </row>
  </sheetData>
  <phoneticPr fontId="5"/>
  <dataValidations count="1">
    <dataValidation type="list" allowBlank="1" showInputMessage="1" showErrorMessage="1" sqref="A2:A2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D9" sqref="D9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212</v>
      </c>
      <c r="B1" s="94" t="s">
        <v>213</v>
      </c>
      <c r="C1" s="75" t="s">
        <v>214</v>
      </c>
      <c r="D1" s="75" t="s">
        <v>33</v>
      </c>
      <c r="E1" s="94" t="s">
        <v>215</v>
      </c>
      <c r="F1" s="75" t="s">
        <v>216</v>
      </c>
      <c r="G1" s="75" t="s">
        <v>33</v>
      </c>
      <c r="H1" s="94" t="s">
        <v>217</v>
      </c>
      <c r="I1" s="94" t="s">
        <v>218</v>
      </c>
      <c r="J1" s="94" t="s">
        <v>219</v>
      </c>
      <c r="K1" s="71" t="s">
        <v>220</v>
      </c>
      <c r="L1" s="71" t="s">
        <v>221</v>
      </c>
      <c r="M1" s="71" t="s">
        <v>155</v>
      </c>
      <c r="N1" s="75" t="s">
        <v>16</v>
      </c>
      <c r="O1" s="71" t="s">
        <v>222</v>
      </c>
      <c r="P1" s="71" t="s">
        <v>56</v>
      </c>
      <c r="Q1" s="71" t="s">
        <v>223</v>
      </c>
      <c r="R1" s="71" t="s">
        <v>38</v>
      </c>
      <c r="S1" s="71" t="s">
        <v>40</v>
      </c>
      <c r="T1" s="71" t="s">
        <v>42</v>
      </c>
      <c r="U1" s="71" t="s">
        <v>44</v>
      </c>
      <c r="V1" s="71" t="s">
        <v>46</v>
      </c>
      <c r="W1" s="71" t="s">
        <v>224</v>
      </c>
      <c r="X1" s="71" t="s">
        <v>225</v>
      </c>
    </row>
    <row r="2" spans="1:24" x14ac:dyDescent="0.15">
      <c r="A2" s="95" t="str">
        <f>B2&amp;"_"&amp;E2&amp;"_"&amp;H2&amp;"_"&amp;I2&amp;"_"&amp;J2</f>
        <v>48005_2_everyone_no_continue_1</v>
      </c>
      <c r="B2" s="80">
        <v>48005</v>
      </c>
      <c r="C2" s="81" t="str">
        <f ca="1">VLOOKUP($B2,OFFSET([2]quests!$A$1,0,0,COUNTA([2]quests!$A:$A),MATCH(C$1,[2]quests!$1:$1,0)-MATCH($B$1,[2]quests!$1:$1,0)+1),MATCH(C$1,[2]quests!$1:$1,0)-MATCH($B$1,[2]quests!$1:$1,0)+1,FALSE)</f>
        <v>孫悟空襲来！</v>
      </c>
      <c r="D2" s="81" t="str">
        <f ca="1">VLOOKUP($B2,OFFSET([2]quests!$A$1,0,0,COUNTA([2]quests!$A:$A),MATCH(D$1,[2]quests!$1:$1,0)-MATCH($B$1,[2]quests!$1:$1,0)+1),MATCH(D$1,[2]quests!$1:$1,0)-MATCH($B$1,[2]quests!$1:$1,0)+1,FALSE)</f>
        <v>台湾版降臨6</v>
      </c>
      <c r="E2" s="82">
        <v>2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台湾版降臨6</v>
      </c>
      <c r="H2" s="83" t="s">
        <v>226</v>
      </c>
      <c r="I2" s="82" t="s">
        <v>230</v>
      </c>
      <c r="J2" s="82">
        <v>1</v>
      </c>
      <c r="K2" s="82">
        <v>1000</v>
      </c>
      <c r="L2" s="82" t="s">
        <v>227</v>
      </c>
      <c r="M2" s="106">
        <v>8007</v>
      </c>
      <c r="N2" s="9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孫悟空</v>
      </c>
      <c r="O2" s="82">
        <v>1</v>
      </c>
      <c r="P2" s="82">
        <v>1</v>
      </c>
      <c r="Q2" s="82">
        <v>1</v>
      </c>
      <c r="R2" s="82">
        <v>0</v>
      </c>
      <c r="S2" s="82">
        <v>0</v>
      </c>
      <c r="T2" s="82">
        <v>0</v>
      </c>
      <c r="U2" s="82">
        <v>0</v>
      </c>
      <c r="V2" s="82">
        <v>1</v>
      </c>
      <c r="W2" s="97" t="s">
        <v>228</v>
      </c>
      <c r="X2" s="98" t="s">
        <v>229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2017-04-21T10:27:57Z</dcterms:modified>
</cp:coreProperties>
</file>