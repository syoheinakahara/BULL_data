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4"/>
  </bookViews>
  <sheets>
    <sheet name="確率の考え方" sheetId="110" r:id="rId1"/>
    <sheet name="Sheet1" sheetId="107" r:id="rId2"/>
    <sheet name="output" sheetId="103" r:id="rId3"/>
    <sheet name="input_373010" sheetId="157" r:id="rId4"/>
    <sheet name="tables_373010" sheetId="158" r:id="rId5"/>
    <sheet name="input_373100" sheetId="153" r:id="rId6"/>
    <sheet name="tables_373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tables_373010!$A$1:$V$294</definedName>
    <definedName name="_xlnm._FilterDatabase" localSheetId="6" hidden="1">tables_373100!$A$1:$V$283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I3" i="154"/>
  <c r="D3" i="154"/>
  <c r="J3" i="154"/>
  <c r="E3" i="154"/>
  <c r="F3" i="154"/>
  <c r="C3" i="154"/>
  <c r="I2" i="154"/>
  <c r="D2" i="154"/>
  <c r="J2" i="154"/>
  <c r="E2" i="154"/>
  <c r="F2" i="154"/>
  <c r="C2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5" i="153"/>
  <c r="E24" i="153"/>
  <c r="B24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G19" i="153"/>
  <c r="H19" i="153"/>
  <c r="O42" i="154"/>
  <c r="E25" i="153"/>
  <c r="B25" i="153"/>
  <c r="G25" i="153"/>
  <c r="H25" i="153"/>
  <c r="E20" i="153"/>
  <c r="B20" i="153"/>
  <c r="G20" i="153"/>
  <c r="H20" i="153"/>
  <c r="O43" i="154"/>
  <c r="E26" i="153"/>
  <c r="B26" i="153"/>
  <c r="G26" i="153"/>
  <c r="H26" i="153"/>
  <c r="E21" i="153"/>
  <c r="B21" i="153"/>
  <c r="G21" i="153"/>
  <c r="H21" i="153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R3" i="153"/>
  <c r="O142" i="154"/>
  <c r="R4" i="153"/>
  <c r="O143" i="154"/>
  <c r="R5" i="153"/>
  <c r="O156" i="154"/>
  <c r="R6" i="153"/>
  <c r="O157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A2" i="157"/>
  <c r="I3" i="158"/>
  <c r="D3" i="158"/>
  <c r="J3" i="158"/>
  <c r="E3" i="158"/>
  <c r="F3" i="158"/>
  <c r="C3" i="158"/>
  <c r="I2" i="158"/>
  <c r="D2" i="158"/>
  <c r="J2" i="158"/>
  <c r="E2" i="158"/>
  <c r="F2" i="158"/>
  <c r="C2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5" i="157"/>
  <c r="E24" i="157"/>
  <c r="B24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G19" i="157"/>
  <c r="H19" i="157"/>
  <c r="O42" i="158"/>
  <c r="E25" i="157"/>
  <c r="B25" i="157"/>
  <c r="G25" i="157"/>
  <c r="H25" i="157"/>
  <c r="E20" i="157"/>
  <c r="B20" i="157"/>
  <c r="G20" i="157"/>
  <c r="H20" i="157"/>
  <c r="O43" i="158"/>
  <c r="E26" i="157"/>
  <c r="B26" i="157"/>
  <c r="G26" i="157"/>
  <c r="H26" i="157"/>
  <c r="E21" i="157"/>
  <c r="B21" i="157"/>
  <c r="G21" i="157"/>
  <c r="H21" i="157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R3" i="157"/>
  <c r="O142" i="158"/>
  <c r="R4" i="157"/>
  <c r="O143" i="158"/>
  <c r="R5" i="157"/>
  <c r="O156" i="158"/>
  <c r="R6" i="157"/>
  <c r="O157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R7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R8" i="153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R7" i="157"/>
  <c r="R8" i="157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<sst xmlns="http://schemas.openxmlformats.org/spreadsheetml/2006/main" count="552" uniqueCount="266">
  <si>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</si>
  <si>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</si>
  <si>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</si>
  <si>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</si>
  <si>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</si>
  <si>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</si>
  <si>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</si>
  <si>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</si>
  <si>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</si>
  <si>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</si>
  <si>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</si>
  <si>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</si>
  <si>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</si>
  <si>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</si>
  <si>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</si>
  <si>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</si>
  <si>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</si>
  <si>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</si>
  <si>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</si>
  <si>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</si>
  <si>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</si>
  <si>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</si>
  <si>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</si>
  <si>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</si>
  <si>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</si>
  <si>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</si>
  <si>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</si>
  <si>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</si>
  <si>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</si>
  <si>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</si>
  <si>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</si>
  <si>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</si>
  <si>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</si>
  <si>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</si>
  <si>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</si>
  <si>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</si>
  <si>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</si>
  <si>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</si>
  <si>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</si>
  <si>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</si>
  <si>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</si>
  <si>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</si>
  <si>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</si>
  <si>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</si>
  <si>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</si>
  <si>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</si>
  <si>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</si>
  <si>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</si>
  <si>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</si>
  <si>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</si>
  <si>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</si>
  <si>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</si>
  <si>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</si>
  <si>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</si>
  <si>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</si>
  <si>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</si>
  <si>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</si>
  <si>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</si>
  <si>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</si>
  <si>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</si>
  <si>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</si>
  <si>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</si>
  <si>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</si>
  <si>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</si>
  <si>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</si>
  <si>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</si>
  <si>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</si>
  <si>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</si>
  <si>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</si>
  <si>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</si>
  <si>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</si>
  <si>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</si>
  <si>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</si>
  <si>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</si>
  <si>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</si>
  <si>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</si>
  <si>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</si>
  <si>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</si>
  <si>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</si>
  <si>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</si>
  <si>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</si>
  <si>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</si>
  <si>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</si>
  <si>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</si>
  <si>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</si>
  <si>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</si>
  <si>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</si>
  <si>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</si>
  <si>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</si>
  <si>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</si>
  <si>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</si>
  <si>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</si>
  <si>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</si>
  <si>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</si>
  <si>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</si>
  <si>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</si>
  <si>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</si>
  <si>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</si>
  <si>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</si>
  <si>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</si>
  <si>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</si>
  <si>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</si>
  <si>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</si>
  <si>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</si>
  <si>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</si>
  <si>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</si>
  <si>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</si>
  <si>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</si>
  <si>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</si>
  <si>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</si>
  <si>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</si>
  <si>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</si>
  <si>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</si>
  <si>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</si>
  <si>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</si>
  <si>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</si>
  <si>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</si>
  <si>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</si>
  <si>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</si>
  <si>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</si>
  <si>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</si>
  <si>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</si>
  <si>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</si>
  <si>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</si>
  <si>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</si>
  <si>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</si>
  <si>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</si>
  <si>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</si>
  <si>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</si>
  <si>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</si>
  <si>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</si>
  <si>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</si>
  <si>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</si>
  <si>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</si>
  <si>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</si>
  <si>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</si>
  <si>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</si>
  <si>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</si>
  <si>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</si>
  <si>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</si>
  <si>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</si>
  <si>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</si>
  <si>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</si>
  <si>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</si>
  <si>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</si>
  <si>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</si>
  <si>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</si>
  <si>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</si>
  <si>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</si>
  <si>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</si>
  <si>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</si>
  <si>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</si>
  <si>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</si>
  <si>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</si>
  <si>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</si>
  <si>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</si>
  <si>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</si>
  <si>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</si>
  <si>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</si>
  <si>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</si>
  <si>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</si>
  <si>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</si>
  <si>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</si>
  <si>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</si>
  <si>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</si>
  <si>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</si>
  <si>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</si>
  <si>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</si>
  <si>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</si>
  <si>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</si>
  <si>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</si>
  <si>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</si>
  <si>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</si>
  <si>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</si>
  <si>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</si>
  <si>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</si>
  <si>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</si>
  <si>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</si>
  <si>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</si>
  <si>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</si>
  <si>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</si>
  <si>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</si>
  <si>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</si>
  <si>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</si>
  <si>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</si>
  <si>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</si>
  <si>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</si>
  <si>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</si>
  <si>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</si>
  <si>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</si>
  <si>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</si>
  <si>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</si>
  <si>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</si>
  <si>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</si>
  <si>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</si>
  <si>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</si>
  <si>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</si>
  <si>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</si>
  <si>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</si>
  <si>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</si>
  <si>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</si>
  <si>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</si>
  <si>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</si>
  <si>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</si>
  <si>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</si>
  <si>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</si>
  <si>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</si>
  <si>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</si>
  <si>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</si>
  <si>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</si>
  <si>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</si>
  <si>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</si>
  <si>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</si>
  <si>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</si>
  <si>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</si>
  <si>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</si>
  <si>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</si>
  <si>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</si>
  <si>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</si>
  <si>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</si>
  <si>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</si>
  <si>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</si>
  <si>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</si>
  <si>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</si>
  <si>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</si>
  <si>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</si>
  <si>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</si>
  <si>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</si>
  <si>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</si>
  <si>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</si>
  <si>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</si>
  <si>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</si>
  <si>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</si>
  <si>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</si>
  <si>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</si>
  <si>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</si>
  <si>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</si>
  <si>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</si>
  <si>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</si>
  <si>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</si>
  <si>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</si>
  <si>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</si>
  <si>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</si>
  <si>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</si>
  <si>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</si>
  <si>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</si>
  <si>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</si>
  <si>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</si>
  <si>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</si>
  <si>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</si>
  <si>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</si>
  <si>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</si>
  <si>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</si>
  <si>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</si>
  <si>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</si>
  <si>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</si>
  <si>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</si>
  <si>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</si>
  <si>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</si>
  <si>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</si>
  <si>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</si>
  <si>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</si>
  <si>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tables_settle_364100</t>
    <phoneticPr fontId="21"/>
  </si>
  <si>
    <t>skip</t>
    <phoneticPr fontId="21"/>
  </si>
  <si>
    <t>tables_373100</t>
    <phoneticPr fontId="21"/>
  </si>
  <si>
    <t>tables_373010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</si>
</sst>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373100</v>
      </c>
      <c r="D2" s="19" t="s">
        <v>45</v>
      </c>
      <c r="E2" s="17" t="str">
        <f t="shared" ref="E2" si="1">B2&amp;C2&amp;D2</f>
        <v>gacha_select_tables_373100.tmp</v>
      </c>
      <c r="F2" s="97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373010</v>
      </c>
      <c r="D3" s="19" t="s">
        <v>45</v>
      </c>
      <c r="E3" s="17" t="str">
        <f t="shared" ref="E3:E10" si="3">B3&amp;C3&amp;D3</f>
        <v>gacha_select_tables_373010.tmp</v>
      </c>
      <c r="F3" s="97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263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D12" sqref="D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324</v>
      </c>
      <c r="M3" s="37" t="str">
        <f>VLOOKUP(L3,[1]characters!$A:$C,3,FALSE)</f>
        <v>凛志士 沖田総司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VLOOKUP(L3,tables_373010!B:C,2,FALSE)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325</v>
      </c>
      <c r="M4" s="37" t="str">
        <f>VLOOKUP(L4,[1]characters!$A:$C,3,FALSE)</f>
        <v>天賦の凛志士 沖田総司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VLOOKUP(L4,tables_373010!B:C,2,FALSE)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2.7027027027027033E-4</v>
      </c>
      <c r="F5">
        <f>(COUNTIF(tables_373010!C:C,input_373010!A26)+COUNTIF(tables_373010!C:C,input_373010!A28)+COUNTIF(tables_373010!C:C,input_373010!A29))</f>
        <v>39</v>
      </c>
      <c r="H5" s="85">
        <v>0.04</v>
      </c>
      <c r="I5" s="31">
        <v>2</v>
      </c>
      <c r="L5" s="60">
        <v>390</v>
      </c>
      <c r="M5" s="37" t="str">
        <f>VLOOKUP(L5,[1]characters!$A:$C,3,FALSE)</f>
        <v>華環の旅客 親指姫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VLOOKUP(L5,tables_373010!B:C,2,FALSE)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1.1176470588235293E-2</v>
      </c>
      <c r="F6">
        <f>(COUNTIF(tables_373010!C:C,input_373010!A18)+COUNTIF(tables_373010!C:C,input_373010!A20)+COUNTIF(tables_373010!C:C,input_373010!A22))</f>
        <v>85</v>
      </c>
      <c r="H6" s="91">
        <v>0</v>
      </c>
      <c r="I6" s="31">
        <v>0</v>
      </c>
      <c r="L6" s="60">
        <v>391</v>
      </c>
      <c r="M6" s="37" t="str">
        <f>VLOOKUP(L6,[1]characters!$A:$C,3,FALSE)</f>
        <v>燕翼の旅人 親指姫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VLOOKUP(L6,tables_373010!B:C,2,FALSE)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0.18705882352941178</v>
      </c>
      <c r="C17" s="86">
        <f t="shared" ref="C17:C31" si="2">SUMIF(Q:Q,A17,N:N)</f>
        <v>0</v>
      </c>
      <c r="D17" s="74">
        <f t="shared" ref="D17:D32" si="3">B17-C17</f>
        <v>0.18705882352941178</v>
      </c>
      <c r="E17">
        <f>COUNTIF(tables_373010!C:C,input_373010!A17)-COUNTIF(Q:Q,A17)</f>
        <v>20</v>
      </c>
      <c r="F17" s="43">
        <f>IFERROR(B17/E17,0)</f>
        <v>9.3529411764705882E-3</v>
      </c>
      <c r="G17">
        <f t="shared" ref="G17:G31" si="4">A$36*B17</f>
        <v>2353200</v>
      </c>
      <c r="H17">
        <f t="shared" ref="H17:H31" si="5">IFERROR(ROUND(G17/E17,5),0)</f>
        <v>117660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3.6470588235294088E-2</v>
      </c>
      <c r="C18" s="86">
        <f t="shared" si="2"/>
        <v>0</v>
      </c>
      <c r="D18" s="74">
        <f t="shared" si="3"/>
        <v>3.6470588235294088E-2</v>
      </c>
      <c r="E18">
        <f>COUNTIF(tables_373010!C:C,input_373010!A18)-COUNTIF(Q:Q,A18)</f>
        <v>20</v>
      </c>
      <c r="F18" s="43">
        <f>IFERROR(B18/E18,0)</f>
        <v>1.8235294117647043E-3</v>
      </c>
      <c r="G18">
        <f t="shared" si="4"/>
        <v>458799.99999999965</v>
      </c>
      <c r="H18">
        <f t="shared" si="5"/>
        <v>22940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0.31294117647058822</v>
      </c>
      <c r="C19" s="86">
        <f t="shared" si="2"/>
        <v>0</v>
      </c>
      <c r="D19" s="74">
        <f t="shared" si="3"/>
        <v>0.31294117647058822</v>
      </c>
      <c r="E19">
        <f>COUNTIF(tables_373010!C:C,input_373010!A19)-COUNTIF(Q:Q,A19)</f>
        <v>56</v>
      </c>
      <c r="F19" s="43">
        <f t="shared" ref="F19:F31" si="8">IFERROR(B19/E19,0)</f>
        <v>5.5882352941176465E-3</v>
      </c>
      <c r="G19">
        <f t="shared" si="4"/>
        <v>3936800</v>
      </c>
      <c r="H19">
        <f t="shared" si="5"/>
        <v>70300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0.28164705882352942</v>
      </c>
      <c r="C20" s="86">
        <f t="shared" si="2"/>
        <v>0</v>
      </c>
      <c r="D20" s="74">
        <f t="shared" si="3"/>
        <v>0.28164705882352942</v>
      </c>
      <c r="E20">
        <f>COUNTIF(tables_373010!C:C,input_373010!A20)-COUNTIF(Q:Q,A20)</f>
        <v>56</v>
      </c>
      <c r="F20" s="43">
        <f t="shared" si="8"/>
        <v>5.0294117647058821E-3</v>
      </c>
      <c r="G20">
        <f t="shared" si="4"/>
        <v>3543120</v>
      </c>
      <c r="H20">
        <f t="shared" si="5"/>
        <v>63270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3.1294117647058826E-2</v>
      </c>
      <c r="C21" s="86">
        <f t="shared" si="2"/>
        <v>0</v>
      </c>
      <c r="D21" s="74">
        <f t="shared" si="3"/>
        <v>3.1294117647058826E-2</v>
      </c>
      <c r="E21">
        <f>COUNTIF(tables_373010!C:C,input_373010!A21)-COUNTIF(Q:Q,A21)</f>
        <v>56</v>
      </c>
      <c r="F21" s="43">
        <f t="shared" si="8"/>
        <v>5.5882352941176471E-4</v>
      </c>
      <c r="G21">
        <f t="shared" si="4"/>
        <v>393680.00000000006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COUNTIF(tables_373010!C:C,input_373010!A22)-COUNTIF(Q:Q,A22)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1.5381558028616855E-2</v>
      </c>
      <c r="C23" s="86">
        <f t="shared" si="2"/>
        <v>0</v>
      </c>
      <c r="D23" s="74">
        <f t="shared" si="3"/>
        <v>1.5381558028616855E-2</v>
      </c>
      <c r="E23">
        <f>COUNTIF(tables_373010!C:C,input_373010!A23)-COUNTIF(Q:Q,A23)</f>
        <v>9</v>
      </c>
      <c r="F23" s="43">
        <f t="shared" si="8"/>
        <v>1.7090620031796507E-3</v>
      </c>
      <c r="G23">
        <f t="shared" si="4"/>
        <v>193500.00000000003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6">
        <f t="shared" si="2"/>
        <v>0</v>
      </c>
      <c r="D24" s="74">
        <f t="shared" si="3"/>
        <v>0</v>
      </c>
      <c r="E24">
        <f>COUNTIF(tables_373010!C:C,input_373010!A24)-COUNTIF(Q:Q,A24)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0</v>
      </c>
      <c r="C25" s="86">
        <f t="shared" si="2"/>
        <v>0</v>
      </c>
      <c r="D25" s="74">
        <f t="shared" si="3"/>
        <v>0</v>
      </c>
      <c r="E25">
        <f>COUNTIF(tables_373010!C:C,input_373010!A25)-COUNTIF(Q:Q,A25)</f>
        <v>0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0</v>
      </c>
      <c r="C26" s="86">
        <f t="shared" si="2"/>
        <v>0</v>
      </c>
      <c r="D26" s="74">
        <f t="shared" si="3"/>
        <v>0</v>
      </c>
      <c r="E26">
        <f>COUNTIF(tables_373010!C:C,input_373010!A26)-COUNTIF(Q:Q,A26)</f>
        <v>0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COUNTIF(tables_373010!C:C,input_373010!A27)-COUNTIF(Q:Q,A27)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COUNTIF(tables_373010!C:C,input_373010!A28)-COUNTIF(Q:Q,A28)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COUNTIF(tables_373010!C:C,input_373010!A29)-COUNTIF(Q:Q,A29)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COUNTIF(tables_373010!C:C,input_373010!A30)-COUNTIF(Q:Q,A30)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COUNTIF(tables_373010!C:C,input_373010!A31)-COUNTIF(Q:Q,A31)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0.95999999999999985</v>
      </c>
      <c r="C32" s="41">
        <f>SUM(C19:C31)</f>
        <v>0.04</v>
      </c>
      <c r="D32" s="42">
        <f t="shared" si="3"/>
        <v>0.91999999999999982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SUMIF(tables_373010!C:C,input_373010!A40,tables_373010!O:O)</f>
        <v>3936800</v>
      </c>
      <c r="C40" s="54">
        <f t="shared" ref="C40:C46" ca="1" si="9">B40/B$47</f>
        <v>0.4650569389973066</v>
      </c>
      <c r="E40">
        <v>3</v>
      </c>
      <c r="F40">
        <f ca="1">SUMIF(tables_373010!J:J,input_373010!E40,tables_373010!O:O)</f>
        <v>6290000</v>
      </c>
      <c r="G40">
        <f ca="1">F40/A36</f>
        <v>0.5</v>
      </c>
    </row>
    <row r="41" spans="1:7" x14ac:dyDescent="0.15">
      <c r="A41" s="33" t="s">
        <v>104</v>
      </c>
      <c r="B41">
        <f ca="1">SUMIF(tables_373010!C:C,input_373010!A41,tables_373010!O:O)</f>
        <v>3543120</v>
      </c>
      <c r="C41" s="54">
        <f t="shared" ca="1" si="9"/>
        <v>0.41855124509757596</v>
      </c>
      <c r="E41">
        <v>4</v>
      </c>
      <c r="F41">
        <f ca="1">SUMIF(tables_373010!J:J,input_373010!E41,tables_373010!O:O)</f>
        <v>5409400</v>
      </c>
      <c r="G41">
        <f ca="1">F41/A36</f>
        <v>0.43</v>
      </c>
    </row>
    <row r="42" spans="1:7" x14ac:dyDescent="0.15">
      <c r="A42" s="33" t="s">
        <v>106</v>
      </c>
      <c r="B42">
        <f ca="1">SUMIF(tables_373010!C:C,input_373010!A42,tables_373010!O:O)</f>
        <v>335580</v>
      </c>
      <c r="C42" s="54">
        <f t="shared" ca="1" si="9"/>
        <v>3.9642300240986625E-2</v>
      </c>
      <c r="E42">
        <v>5</v>
      </c>
      <c r="F42">
        <f ca="1">SUMIF(tables_373010!J:J,input_373010!E42,tables_373010!O:O)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SUMIF(tables_373010!C:C,input_373010!A43,tables_373010!O:O)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SUMIF(tables_373010!C:C,input_373010!A44,tables_373010!O:O)</f>
        <v>393680</v>
      </c>
      <c r="C44" s="54">
        <f t="shared" ca="1" si="9"/>
        <v>4.6505693899730659E-2</v>
      </c>
      <c r="E44" t="s">
        <v>54</v>
      </c>
      <c r="F44" s="55"/>
    </row>
    <row r="45" spans="1:7" x14ac:dyDescent="0.15">
      <c r="A45" s="33" t="s">
        <v>107</v>
      </c>
      <c r="B45">
        <f ca="1">SUMIF(tables_373010!C:C,input_373010!A45,tables_373010!O:O)</f>
        <v>256020</v>
      </c>
      <c r="C45" s="54">
        <f t="shared" ca="1" si="9"/>
        <v>3.0243821764400131E-2</v>
      </c>
      <c r="E45" t="s">
        <v>204</v>
      </c>
      <c r="F45" s="55">
        <f ca="1">SUMIF(tables_373010!I:I,input_373010!E45,tables_373010!P:P)</f>
        <v>0.22352941176470584</v>
      </c>
    </row>
    <row r="46" spans="1:7" x14ac:dyDescent="0.15">
      <c r="A46" s="33" t="s">
        <v>108</v>
      </c>
      <c r="B46">
        <f>SUMIF(tables_373010!C:C,input_373010!A46,tables_373010!O:O)</f>
        <v>0</v>
      </c>
      <c r="C46" s="54">
        <f t="shared" ca="1" si="9"/>
        <v>0</v>
      </c>
      <c r="E46" t="s">
        <v>205</v>
      </c>
      <c r="F46" s="55">
        <f ca="1">SUMIF(tables_373010!I:I,input_373010!E46,tables_373010!P:P)</f>
        <v>0.22352941176470603</v>
      </c>
    </row>
    <row r="47" spans="1:7" x14ac:dyDescent="0.15">
      <c r="A47" s="39" t="s">
        <v>59</v>
      </c>
      <c r="B47">
        <f ca="1">SUM(B40:B46)</f>
        <v>8465200</v>
      </c>
      <c r="C47" s="55">
        <f ca="1">SUM(C40:C46)</f>
        <v>1</v>
      </c>
      <c r="E47" t="s">
        <v>206</v>
      </c>
      <c r="F47" s="55">
        <f ca="1">SUMIF(tables_373010!I:I,input_373010!E47,tables_373010!P:P)</f>
        <v>0.50294117647058911</v>
      </c>
    </row>
    <row r="48" spans="1:7" x14ac:dyDescent="0.15">
      <c r="E48" t="s">
        <v>207</v>
      </c>
      <c r="F48" s="55">
        <f ca="1">SUMIF(tables_373010!I:I,input_373010!E48,tables_373010!P:P)</f>
        <v>5.0000000000000058E-2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tabSelected="1" zoomScale="75" zoomScaleNormal="75" zoomScalePageLayoutView="75" workbookViewId="0">
      <pane ySplit="1" topLeftCell="A2" activePane="bottomLeft" state="frozen"/>
      <selection activeCell="H276" sqref="H276"/>
      <selection pane="bottomLeft" activeCell="G30" sqref="G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input_373010!A$2</f>
        <v>373010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IFERROR(VLOOKUP(B2,input_373010!L:R,7,FALSE),VLOOKUP(tables_373010!C2,input_373010!A:H,8,FALSE))</f>
        <v>117660</v>
      </c>
      <c r="P2" s="46">
        <f t="shared" ref="P2:P65" ca="1" si="2">O2/SUM(O:O)</f>
        <v>9.3529411764705882E-3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input_373010!A$2</f>
        <v>373010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IFERROR(VLOOKUP(B3,input_373010!L:R,7,FALSE),VLOOKUP(tables_373010!C3,input_373010!A:H,8,FALSE))</f>
        <v>22940</v>
      </c>
      <c r="P3" s="46">
        <f t="shared" ca="1" si="2"/>
        <v>1.8235294117647058E-3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input_373010!A$2</f>
        <v>373010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IFERROR(VLOOKUP(B4,input_373010!L:R,7,FALSE),VLOOKUP(tables_373010!C4,input_373010!A:H,8,FALSE))</f>
        <v>117660</v>
      </c>
      <c r="P4" s="46">
        <f t="shared" ca="1" si="2"/>
        <v>9.3529411764705882E-3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input_373010!A$2</f>
        <v>373010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IFERROR(VLOOKUP(B5,input_373010!L:R,7,FALSE),VLOOKUP(tables_373010!C5,input_373010!A:H,8,FALSE))</f>
        <v>22940</v>
      </c>
      <c r="P5" s="46">
        <f t="shared" ca="1" si="2"/>
        <v>1.8235294117647058E-3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input_373010!A$2</f>
        <v>373010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IFERROR(VLOOKUP(B6,input_373010!L:R,7,FALSE),VLOOKUP(tables_373010!C6,input_373010!A:H,8,FALSE))</f>
        <v>117660</v>
      </c>
      <c r="P6" s="46">
        <f t="shared" ca="1" si="2"/>
        <v>9.3529411764705882E-3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input_373010!A$2</f>
        <v>373010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IFERROR(VLOOKUP(B7,input_373010!L:R,7,FALSE),VLOOKUP(tables_373010!C7,input_373010!A:H,8,FALSE))</f>
        <v>22940</v>
      </c>
      <c r="P7" s="46">
        <f t="shared" ca="1" si="2"/>
        <v>1.8235294117647058E-3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input_373010!A$2</f>
        <v>373010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IFERROR(VLOOKUP(B8,input_373010!L:R,7,FALSE),VLOOKUP(tables_373010!C8,input_373010!A:H,8,FALSE))</f>
        <v>117660</v>
      </c>
      <c r="P8" s="46">
        <f t="shared" ca="1" si="2"/>
        <v>9.3529411764705882E-3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input_373010!A$2</f>
        <v>373010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IFERROR(VLOOKUP(B9,input_373010!L:R,7,FALSE),VLOOKUP(tables_373010!C9,input_373010!A:H,8,FALSE))</f>
        <v>22940</v>
      </c>
      <c r="P9" s="46">
        <f t="shared" ca="1" si="2"/>
        <v>1.8235294117647058E-3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input_373010!A$2</f>
        <v>373010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IFERROR(VLOOKUP(B10,input_373010!L:R,7,FALSE),VLOOKUP(tables_373010!C10,input_373010!A:H,8,FALSE))</f>
        <v>117660</v>
      </c>
      <c r="P10" s="46">
        <f t="shared" ca="1" si="2"/>
        <v>9.3529411764705882E-3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input_373010!A$2</f>
        <v>373010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IFERROR(VLOOKUP(B11,input_373010!L:R,7,FALSE),VLOOKUP(tables_373010!C11,input_373010!A:H,8,FALSE))</f>
        <v>22940</v>
      </c>
      <c r="P11" s="46">
        <f t="shared" ca="1" si="2"/>
        <v>1.8235294117647058E-3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input_373010!A$2</f>
        <v>373010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IFERROR(VLOOKUP(B12,input_373010!L:R,7,FALSE),VLOOKUP(tables_373010!C12,input_373010!A:H,8,FALSE))</f>
        <v>117660</v>
      </c>
      <c r="P12" s="46">
        <f t="shared" ca="1" si="2"/>
        <v>9.3529411764705882E-3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input_373010!A$2</f>
        <v>373010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IFERROR(VLOOKUP(B13,input_373010!L:R,7,FALSE),VLOOKUP(tables_373010!C13,input_373010!A:H,8,FALSE))</f>
        <v>22940</v>
      </c>
      <c r="P13" s="46">
        <f t="shared" ca="1" si="2"/>
        <v>1.8235294117647058E-3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input_373010!A$2</f>
        <v>373010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IFERROR(VLOOKUP(B14,input_373010!L:R,7,FALSE),VLOOKUP(tables_373010!C14,input_373010!A:H,8,FALSE))</f>
        <v>117660</v>
      </c>
      <c r="P14" s="46">
        <f t="shared" ca="1" si="2"/>
        <v>9.3529411764705882E-3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input_373010!A$2</f>
        <v>373010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IFERROR(VLOOKUP(B15,input_373010!L:R,7,FALSE),VLOOKUP(tables_373010!C15,input_373010!A:H,8,FALSE))</f>
        <v>22940</v>
      </c>
      <c r="P15" s="46">
        <f t="shared" ca="1" si="2"/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input_373010!A$2</f>
        <v>373010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IFERROR(VLOOKUP(B16,input_373010!L:R,7,FALSE),VLOOKUP(tables_373010!C16,input_373010!A:H,8,FALSE))</f>
        <v>117660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input_373010!A$2</f>
        <v>373010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IFERROR(VLOOKUP(B17,input_373010!L:R,7,FALSE),VLOOKUP(tables_373010!C17,input_373010!A:H,8,FALSE))</f>
        <v>22940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input_373010!A$2</f>
        <v>373010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IFERROR(VLOOKUP(B18,input_373010!L:R,7,FALSE),VLOOKUP(tables_373010!C18,input_373010!A:H,8,FALSE))</f>
        <v>117660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input_373010!A$2</f>
        <v>373010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IFERROR(VLOOKUP(B19,input_373010!L:R,7,FALSE),VLOOKUP(tables_373010!C19,input_373010!A:H,8,FALSE))</f>
        <v>22940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input_373010!A$2</f>
        <v>373010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IFERROR(VLOOKUP(B20,input_373010!L:R,7,FALSE),VLOOKUP(tables_373010!C20,input_373010!A:H,8,FALSE))</f>
        <v>117660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input_373010!A$2</f>
        <v>373010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IFERROR(VLOOKUP(B21,input_373010!L:R,7,FALSE),VLOOKUP(tables_373010!C21,input_373010!A:H,8,FALSE))</f>
        <v>22940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input_373010!A$2</f>
        <v>373010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IFERROR(VLOOKUP(B22,input_373010!L:R,7,FALSE),VLOOKUP(tables_373010!C22,input_373010!A:H,8,FALSE))</f>
        <v>117660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input_373010!A$2</f>
        <v>373010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IFERROR(VLOOKUP(B23,input_373010!L:R,7,FALSE),VLOOKUP(tables_373010!C23,input_373010!A:H,8,FALSE))</f>
        <v>22940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input_373010!A$2</f>
        <v>373010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IFERROR(VLOOKUP(B24,input_373010!L:R,7,FALSE),VLOOKUP(tables_373010!C24,input_373010!A:H,8,FALSE))</f>
        <v>117660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input_373010!A$2</f>
        <v>373010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IFERROR(VLOOKUP(B25,input_373010!L:R,7,FALSE),VLOOKUP(tables_373010!C25,input_373010!A:H,8,FALSE))</f>
        <v>22940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input_373010!A$2</f>
        <v>373010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IFERROR(VLOOKUP(B26,input_373010!L:R,7,FALSE),VLOOKUP(tables_373010!C26,input_373010!A:H,8,FALSE))</f>
        <v>117660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input_373010!A$2</f>
        <v>373010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IFERROR(VLOOKUP(B27,input_373010!L:R,7,FALSE),VLOOKUP(tables_373010!C27,input_373010!A:H,8,FALSE))</f>
        <v>22940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input_373010!A$2</f>
        <v>373010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IFERROR(VLOOKUP(B28,input_373010!L:R,7,FALSE),VLOOKUP(tables_373010!C28,input_373010!A:H,8,FALSE))</f>
        <v>117660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input_373010!A$2</f>
        <v>373010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IFERROR(VLOOKUP(B29,input_373010!L:R,7,FALSE),VLOOKUP(tables_373010!C29,input_373010!A:H,8,FALSE))</f>
        <v>22940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input_373010!A$2</f>
        <v>373010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IFERROR(VLOOKUP(B30,input_373010!L:R,7,FALSE),VLOOKUP(tables_373010!C30,input_373010!A:H,8,FALSE))</f>
        <v>117660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input_373010!A$2</f>
        <v>373010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IFERROR(VLOOKUP(B31,input_373010!L:R,7,FALSE),VLOOKUP(tables_373010!C31,input_373010!A:H,8,FALSE))</f>
        <v>22940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input_373010!A$2</f>
        <v>373010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IFERROR(VLOOKUP(B32,input_373010!L:R,7,FALSE),VLOOKUP(tables_373010!C32,input_373010!A:H,8,FALSE))</f>
        <v>117660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input_373010!A$2</f>
        <v>373010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IFERROR(VLOOKUP(B33,input_373010!L:R,7,FALSE),VLOOKUP(tables_373010!C33,input_373010!A:H,8,FALSE))</f>
        <v>22940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input_373010!A$2</f>
        <v>373010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IFERROR(VLOOKUP(B34,input_373010!L:R,7,FALSE),VLOOKUP(tables_373010!C34,input_373010!A:H,8,FALSE))</f>
        <v>117660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input_373010!A$2</f>
        <v>373010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IFERROR(VLOOKUP(B35,input_373010!L:R,7,FALSE),VLOOKUP(tables_373010!C35,input_373010!A:H,8,FALSE))</f>
        <v>22940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input_373010!A$2</f>
        <v>373010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IFERROR(VLOOKUP(B36,input_373010!L:R,7,FALSE),VLOOKUP(tables_373010!C36,input_373010!A:H,8,FALSE))</f>
        <v>117660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input_373010!A$2</f>
        <v>373010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IFERROR(VLOOKUP(B37,input_373010!L:R,7,FALSE),VLOOKUP(tables_373010!C37,input_373010!A:H,8,FALSE))</f>
        <v>22940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input_373010!A$2</f>
        <v>373010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IFERROR(VLOOKUP(B38,input_373010!L:R,7,FALSE),VLOOKUP(tables_373010!C38,input_373010!A:H,8,FALSE))</f>
        <v>117660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input_373010!A$2</f>
        <v>373010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IFERROR(VLOOKUP(B39,input_373010!L:R,7,FALSE),VLOOKUP(tables_373010!C39,input_373010!A:H,8,FALSE))</f>
        <v>22940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input_373010!A$2</f>
        <v>373010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IFERROR(VLOOKUP(B40,input_373010!L:R,7,FALSE),VLOOKUP(tables_373010!C40,input_373010!A:H,8,FALSE))</f>
        <v>117660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input_373010!A$2</f>
        <v>373010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IFERROR(VLOOKUP(B41,input_373010!L:R,7,FALSE),VLOOKUP(tables_373010!C41,input_373010!A:H,8,FALSE))</f>
        <v>22940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input_373010!A$2</f>
        <v>373010</v>
      </c>
      <c r="B42" s="6">
        <v>166</v>
      </c>
      <c r="C42" s="7" t="str">
        <f t="shared" si="0"/>
        <v>Premium3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IFERROR(VLOOKUP(B42,input_373010!L:R,7,FALSE),VLOOKUP(tables_373010!C42,input_373010!A:H,8,FALSE))</f>
        <v>70300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input_373010!A$2</f>
        <v>373010</v>
      </c>
      <c r="B43" s="6">
        <v>167</v>
      </c>
      <c r="C43" s="7" t="str">
        <f t="shared" si="0"/>
        <v>Premium4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IFERROR(VLOOKUP(B43,input_373010!L:R,7,FALSE),VLOOKUP(tables_373010!C43,input_373010!A:H,8,FALSE))</f>
        <v>63270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input_373010!A$2</f>
        <v>373010</v>
      </c>
      <c r="B44" s="6">
        <v>168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IFERROR(VLOOKUP(B44,input_373010!L:R,7,FALSE),VLOOKUP(tables_373010!C44,input_373010!A:H,8,FALSE))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input_373010!A$2</f>
        <v>373010</v>
      </c>
      <c r="B45" s="6">
        <v>169</v>
      </c>
      <c r="C45" s="7" t="str">
        <f t="shared" si="0"/>
        <v>Premium3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IFERROR(VLOOKUP(B45,input_373010!L:R,7,FALSE),VLOOKUP(tables_373010!C45,input_373010!A:H,8,FALSE))</f>
        <v>70300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input_373010!A$2</f>
        <v>373010</v>
      </c>
      <c r="B46" s="6">
        <v>170</v>
      </c>
      <c r="C46" s="7" t="str">
        <f t="shared" si="0"/>
        <v>Premium4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IFERROR(VLOOKUP(B46,input_373010!L:R,7,FALSE),VLOOKUP(tables_373010!C46,input_373010!A:H,8,FALSE))</f>
        <v>63270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input_373010!A$2</f>
        <v>373010</v>
      </c>
      <c r="B47" s="6">
        <v>171</v>
      </c>
      <c r="C47" s="7" t="str">
        <f t="shared" si="0"/>
        <v>Premium5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IFERROR(VLOOKUP(B47,input_373010!L:R,7,FALSE),VLOOKUP(tables_373010!C47,input_373010!A:H,8,FALSE))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input_373010!A$2</f>
        <v>373010</v>
      </c>
      <c r="B48" s="6">
        <v>172</v>
      </c>
      <c r="C48" s="7" t="str">
        <f t="shared" si="0"/>
        <v>Premium3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IFERROR(VLOOKUP(B48,input_373010!L:R,7,FALSE),VLOOKUP(tables_373010!C48,input_373010!A:H,8,FALSE))</f>
        <v>70300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input_373010!A$2</f>
        <v>373010</v>
      </c>
      <c r="B49" s="6">
        <v>173</v>
      </c>
      <c r="C49" s="7" t="str">
        <f t="shared" si="0"/>
        <v>Premium4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IFERROR(VLOOKUP(B49,input_373010!L:R,7,FALSE),VLOOKUP(tables_373010!C49,input_373010!A:H,8,FALSE))</f>
        <v>63270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input_373010!A$2</f>
        <v>373010</v>
      </c>
      <c r="B50" s="6">
        <v>174</v>
      </c>
      <c r="C50" s="7" t="str">
        <f t="shared" si="0"/>
        <v>Premium5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IFERROR(VLOOKUP(B50,input_373010!L:R,7,FALSE),VLOOKUP(tables_373010!C50,input_373010!A:H,8,FALSE))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input_373010!A$2</f>
        <v>373010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IFERROR(VLOOKUP(B51,input_373010!L:R,7,FALSE),VLOOKUP(tables_373010!C51,input_373010!A:H,8,FALSE))</f>
        <v>70300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input_373010!A$2</f>
        <v>373010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IFERROR(VLOOKUP(B52,input_373010!L:R,7,FALSE),VLOOKUP(tables_373010!C52,input_373010!A:H,8,FALSE))</f>
        <v>63270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input_373010!A$2</f>
        <v>373010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IFERROR(VLOOKUP(B53,input_373010!L:R,7,FALSE),VLOOKUP(tables_373010!C53,input_373010!A:H,8,FALSE))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input_373010!A$2</f>
        <v>373010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IFERROR(VLOOKUP(B54,input_373010!L:R,7,FALSE),VLOOKUP(tables_373010!C54,input_373010!A:H,8,FALSE))</f>
        <v>70300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input_373010!A$2</f>
        <v>373010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IFERROR(VLOOKUP(B55,input_373010!L:R,7,FALSE),VLOOKUP(tables_373010!C55,input_373010!A:H,8,FALSE))</f>
        <v>63270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input_373010!A$2</f>
        <v>373010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IFERROR(VLOOKUP(B56,input_373010!L:R,7,FALSE),VLOOKUP(tables_373010!C56,input_373010!A:H,8,FALSE))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input_373010!A$2</f>
        <v>373010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IFERROR(VLOOKUP(B57,input_373010!L:R,7,FALSE),VLOOKUP(tables_373010!C57,input_373010!A:H,8,FALSE))</f>
        <v>70300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input_373010!A$2</f>
        <v>373010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IFERROR(VLOOKUP(B58,input_373010!L:R,7,FALSE),VLOOKUP(tables_373010!C58,input_373010!A:H,8,FALSE))</f>
        <v>63270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input_373010!A$2</f>
        <v>373010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IFERROR(VLOOKUP(B59,input_373010!L:R,7,FALSE),VLOOKUP(tables_373010!C59,input_373010!A:H,8,FALSE))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input_373010!A$2</f>
        <v>373010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IFERROR(VLOOKUP(B60,input_373010!L:R,7,FALSE),VLOOKUP(tables_373010!C60,input_373010!A:H,8,FALSE))</f>
        <v>70300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input_373010!A$2</f>
        <v>373010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IFERROR(VLOOKUP(B61,input_373010!L:R,7,FALSE),VLOOKUP(tables_373010!C61,input_373010!A:H,8,FALSE))</f>
        <v>63270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input_373010!A$2</f>
        <v>373010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IFERROR(VLOOKUP(B62,input_373010!L:R,7,FALSE),VLOOKUP(tables_373010!C62,input_373010!A:H,8,FALSE))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input_373010!A$2</f>
        <v>373010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IFERROR(VLOOKUP(B63,input_373010!L:R,7,FALSE),VLOOKUP(tables_373010!C63,input_373010!A:H,8,FALSE))</f>
        <v>70300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input_373010!A$2</f>
        <v>373010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IFERROR(VLOOKUP(B64,input_373010!L:R,7,FALSE),VLOOKUP(tables_373010!C64,input_373010!A:H,8,FALSE))</f>
        <v>63270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input_373010!A$2</f>
        <v>373010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IFERROR(VLOOKUP(B65,input_373010!L:R,7,FALSE),VLOOKUP(tables_373010!C65,input_373010!A:H,8,FALSE))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input_373010!A$2</f>
        <v>373010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IFERROR(VLOOKUP(B66,input_373010!L:R,7,FALSE),VLOOKUP(tables_373010!C66,input_373010!A:H,8,FALSE))</f>
        <v>70300</v>
      </c>
      <c r="P66" s="46">
        <f t="shared" ref="P66:P129" ca="1" si="5">O66/SUM(O:O)</f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input_373010!A$2</f>
        <v>373010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IFERROR(VLOOKUP(B67,input_373010!L:R,7,FALSE),VLOOKUP(tables_373010!C67,input_373010!A:H,8,FALSE))</f>
        <v>63270</v>
      </c>
      <c r="P67" s="46">
        <f t="shared" ca="1" si="5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input_373010!A$2</f>
        <v>373010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IFERROR(VLOOKUP(B68,input_373010!L:R,7,FALSE),VLOOKUP(tables_373010!C68,input_373010!A:H,8,FALSE))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input_373010!A$2</f>
        <v>373010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IFERROR(VLOOKUP(B69,input_373010!L:R,7,FALSE),VLOOKUP(tables_373010!C69,input_373010!A:H,8,FALSE))</f>
        <v>70300</v>
      </c>
      <c r="P69" s="46">
        <f t="shared" ca="1" si="5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input_373010!A$2</f>
        <v>373010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IFERROR(VLOOKUP(B70,input_373010!L:R,7,FALSE),VLOOKUP(tables_373010!C70,input_373010!A:H,8,FALSE))</f>
        <v>63270</v>
      </c>
      <c r="P70" s="46">
        <f t="shared" ca="1" si="5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input_373010!A$2</f>
        <v>373010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IFERROR(VLOOKUP(B71,input_373010!L:R,7,FALSE),VLOOKUP(tables_373010!C71,input_373010!A:H,8,FALSE))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input_373010!A$2</f>
        <v>373010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IFERROR(VLOOKUP(B72,input_373010!L:R,7,FALSE),VLOOKUP(tables_373010!C72,input_373010!A:H,8,FALSE))</f>
        <v>70300</v>
      </c>
      <c r="P72" s="46">
        <f t="shared" ca="1" si="5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input_373010!A$2</f>
        <v>373010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IFERROR(VLOOKUP(B73,input_373010!L:R,7,FALSE),VLOOKUP(tables_373010!C73,input_373010!A:H,8,FALSE))</f>
        <v>63270</v>
      </c>
      <c r="P73" s="46">
        <f t="shared" ca="1" si="5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input_373010!A$2</f>
        <v>373010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IFERROR(VLOOKUP(B74,input_373010!L:R,7,FALSE),VLOOKUP(tables_373010!C74,input_373010!A:H,8,FALSE))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input_373010!A$2</f>
        <v>373010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IFERROR(VLOOKUP(B75,input_373010!L:R,7,FALSE),VLOOKUP(tables_373010!C75,input_373010!A:H,8,FALSE))</f>
        <v>70300</v>
      </c>
      <c r="P75" s="46">
        <f t="shared" ca="1" si="5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input_373010!A$2</f>
        <v>373010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IFERROR(VLOOKUP(B76,input_373010!L:R,7,FALSE),VLOOKUP(tables_373010!C76,input_373010!A:H,8,FALSE))</f>
        <v>63270</v>
      </c>
      <c r="P76" s="46">
        <f t="shared" ca="1" si="5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input_373010!A$2</f>
        <v>373010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IFERROR(VLOOKUP(B77,input_373010!L:R,7,FALSE),VLOOKUP(tables_373010!C77,input_373010!A:H,8,FALSE))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input_373010!A$2</f>
        <v>373010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IFERROR(VLOOKUP(B78,input_373010!L:R,7,FALSE),VLOOKUP(tables_373010!C78,input_373010!A:H,8,FALSE))</f>
        <v>70300</v>
      </c>
      <c r="P78" s="46">
        <f t="shared" ca="1" si="5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input_373010!A$2</f>
        <v>373010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IFERROR(VLOOKUP(B79,input_373010!L:R,7,FALSE),VLOOKUP(tables_373010!C79,input_373010!A:H,8,FALSE))</f>
        <v>63270</v>
      </c>
      <c r="P79" s="46">
        <f t="shared" ca="1" si="5"/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input_373010!A$2</f>
        <v>373010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IFERROR(VLOOKUP(B80,input_373010!L:R,7,FALSE),VLOOKUP(tables_373010!C80,input_373010!A:H,8,FALSE))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input_373010!A$2</f>
        <v>373010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IFERROR(VLOOKUP(B81,input_373010!L:R,7,FALSE),VLOOKUP(tables_373010!C81,input_373010!A:H,8,FALSE))</f>
        <v>70300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input_373010!A$2</f>
        <v>373010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IFERROR(VLOOKUP(B82,input_373010!L:R,7,FALSE),VLOOKUP(tables_373010!C82,input_373010!A:H,8,FALSE))</f>
        <v>63270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input_373010!A$2</f>
        <v>373010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IFERROR(VLOOKUP(B83,input_373010!L:R,7,FALSE),VLOOKUP(tables_373010!C83,input_373010!A:H,8,FALSE))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input_373010!A$2</f>
        <v>373010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IFERROR(VLOOKUP(B84,input_373010!L:R,7,FALSE),VLOOKUP(tables_373010!C84,input_373010!A:H,8,FALSE))</f>
        <v>70300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input_373010!A$2</f>
        <v>373010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IFERROR(VLOOKUP(B85,input_373010!L:R,7,FALSE),VLOOKUP(tables_373010!C85,input_373010!A:H,8,FALSE))</f>
        <v>63270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input_373010!A$2</f>
        <v>373010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IFERROR(VLOOKUP(B86,input_373010!L:R,7,FALSE),VLOOKUP(tables_373010!C86,input_373010!A:H,8,FALSE))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input_373010!A$2</f>
        <v>373010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IFERROR(VLOOKUP(B87,input_373010!L:R,7,FALSE),VLOOKUP(tables_373010!C87,input_373010!A:H,8,FALSE))</f>
        <v>70300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input_373010!A$2</f>
        <v>373010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IFERROR(VLOOKUP(B88,input_373010!L:R,7,FALSE),VLOOKUP(tables_373010!C88,input_373010!A:H,8,FALSE))</f>
        <v>63270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input_373010!A$2</f>
        <v>373010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IFERROR(VLOOKUP(B89,input_373010!L:R,7,FALSE),VLOOKUP(tables_373010!C89,input_373010!A:H,8,FALSE))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input_373010!A$2</f>
        <v>373010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IFERROR(VLOOKUP(B90,input_373010!L:R,7,FALSE),VLOOKUP(tables_373010!C90,input_373010!A:H,8,FALSE))</f>
        <v>70300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input_373010!A$2</f>
        <v>373010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IFERROR(VLOOKUP(B91,input_373010!L:R,7,FALSE),VLOOKUP(tables_373010!C91,input_373010!A:H,8,FALSE))</f>
        <v>63270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input_373010!A$2</f>
        <v>373010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IFERROR(VLOOKUP(B92,input_373010!L:R,7,FALSE),VLOOKUP(tables_373010!C92,input_373010!A:H,8,FALSE))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input_373010!A$2</f>
        <v>373010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IFERROR(VLOOKUP(B93,input_373010!L:R,7,FALSE),VLOOKUP(tables_373010!C93,input_373010!A:H,8,FALSE))</f>
        <v>70300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input_373010!A$2</f>
        <v>373010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IFERROR(VLOOKUP(B94,input_373010!L:R,7,FALSE),VLOOKUP(tables_373010!C94,input_373010!A:H,8,FALSE))</f>
        <v>63270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input_373010!A$2</f>
        <v>373010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IFERROR(VLOOKUP(B95,input_373010!L:R,7,FALSE),VLOOKUP(tables_373010!C95,input_373010!A:H,8,FALSE))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input_373010!A$2</f>
        <v>373010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IFERROR(VLOOKUP(B96,input_373010!L:R,7,FALSE),VLOOKUP(tables_373010!C96,input_373010!A:H,8,FALSE))</f>
        <v>70300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input_373010!A$2</f>
        <v>373010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IFERROR(VLOOKUP(B97,input_373010!L:R,7,FALSE),VLOOKUP(tables_373010!C97,input_373010!A:H,8,FALSE))</f>
        <v>63270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input_373010!A$2</f>
        <v>373010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IFERROR(VLOOKUP(B98,input_373010!L:R,7,FALSE),VLOOKUP(tables_373010!C98,input_373010!A:H,8,FALSE))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input_373010!A$2</f>
        <v>373010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IFERROR(VLOOKUP(B99,input_373010!L:R,7,FALSE),VLOOKUP(tables_373010!C99,input_373010!A:H,8,FALSE))</f>
        <v>70300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input_373010!A$2</f>
        <v>373010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IFERROR(VLOOKUP(B100,input_373010!L:R,7,FALSE),VLOOKUP(tables_373010!C100,input_373010!A:H,8,FALSE))</f>
        <v>63270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input_373010!A$2</f>
        <v>373010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IFERROR(VLOOKUP(B101,input_373010!L:R,7,FALSE),VLOOKUP(tables_373010!C101,input_373010!A:H,8,FALSE))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input_373010!A$2</f>
        <v>373010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IFERROR(VLOOKUP(B102,input_373010!L:R,7,FALSE),VLOOKUP(tables_373010!C102,input_373010!A:H,8,FALSE))</f>
        <v>70300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input_373010!A$2</f>
        <v>373010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IFERROR(VLOOKUP(B103,input_373010!L:R,7,FALSE),VLOOKUP(tables_373010!C103,input_373010!A:H,8,FALSE))</f>
        <v>63270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input_373010!A$2</f>
        <v>373010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IFERROR(VLOOKUP(B104,input_373010!L:R,7,FALSE),VLOOKUP(tables_373010!C104,input_373010!A:H,8,FALSE))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input_373010!A$2</f>
        <v>373010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IFERROR(VLOOKUP(B105,input_373010!L:R,7,FALSE),VLOOKUP(tables_373010!C105,input_373010!A:H,8,FALSE))</f>
        <v>70300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input_373010!A$2</f>
        <v>373010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IFERROR(VLOOKUP(B106,input_373010!L:R,7,FALSE),VLOOKUP(tables_373010!C106,input_373010!A:H,8,FALSE))</f>
        <v>63270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input_373010!A$2</f>
        <v>373010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IFERROR(VLOOKUP(B107,input_373010!L:R,7,FALSE),VLOOKUP(tables_373010!C107,input_373010!A:H,8,FALSE))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input_373010!A$2</f>
        <v>373010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IFERROR(VLOOKUP(B108,input_373010!L:R,7,FALSE),VLOOKUP(tables_373010!C108,input_373010!A:H,8,FALSE))</f>
        <v>70300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input_373010!A$2</f>
        <v>373010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IFERROR(VLOOKUP(B109,input_373010!L:R,7,FALSE),VLOOKUP(tables_373010!C109,input_373010!A:H,8,FALSE))</f>
        <v>63270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input_373010!A$2</f>
        <v>373010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IFERROR(VLOOKUP(B110,input_373010!L:R,7,FALSE),VLOOKUP(tables_373010!C110,input_373010!A:H,8,FALSE))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input_373010!A$2</f>
        <v>373010</v>
      </c>
      <c r="B111" s="5">
        <v>235</v>
      </c>
      <c r="C111" s="7" t="str">
        <f t="shared" si="3"/>
        <v>Premium3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IFERROR(VLOOKUP(B111,input_373010!L:R,7,FALSE),VLOOKUP(tables_373010!C111,input_373010!A:H,8,FALSE))</f>
        <v>70300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input_373010!A$2</f>
        <v>373010</v>
      </c>
      <c r="B112" s="5">
        <v>236</v>
      </c>
      <c r="C112" s="7" t="str">
        <f t="shared" si="3"/>
        <v>Premium4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IFERROR(VLOOKUP(B112,input_373010!L:R,7,FALSE),VLOOKUP(tables_373010!C112,input_373010!A:H,8,FALSE))</f>
        <v>63270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input_373010!A$2</f>
        <v>373010</v>
      </c>
      <c r="B113" s="5">
        <v>237</v>
      </c>
      <c r="C113" s="7" t="str">
        <f t="shared" si="3"/>
        <v>Premium5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IFERROR(VLOOKUP(B113,input_373010!L:R,7,FALSE),VLOOKUP(tables_373010!C113,input_373010!A:H,8,FALSE))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input_373010!A$2</f>
        <v>373010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IFERROR(VLOOKUP(B114,input_373010!L:R,7,FALSE),VLOOKUP(tables_373010!C114,input_373010!A:H,8,FALSE))</f>
        <v>70300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input_373010!A$2</f>
        <v>373010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IFERROR(VLOOKUP(B115,input_373010!L:R,7,FALSE),VLOOKUP(tables_373010!C115,input_373010!A:H,8,FALSE))</f>
        <v>63270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input_373010!A$2</f>
        <v>373010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IFERROR(VLOOKUP(B116,input_373010!L:R,7,FALSE),VLOOKUP(tables_373010!C116,input_373010!A:H,8,FALSE))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input_373010!A$2</f>
        <v>373010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IFERROR(VLOOKUP(B117,input_373010!L:R,7,FALSE),VLOOKUP(tables_373010!C117,input_373010!A:H,8,FALSE))</f>
        <v>70300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input_373010!A$2</f>
        <v>373010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IFERROR(VLOOKUP(B118,input_373010!L:R,7,FALSE),VLOOKUP(tables_373010!C118,input_373010!A:H,8,FALSE))</f>
        <v>63270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input_373010!A$2</f>
        <v>373010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IFERROR(VLOOKUP(B119,input_373010!L:R,7,FALSE),VLOOKUP(tables_373010!C119,input_373010!A:H,8,FALSE))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input_373010!A$2</f>
        <v>373010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IFERROR(VLOOKUP(B120,input_373010!L:R,7,FALSE),VLOOKUP(tables_373010!C120,input_373010!A:H,8,FALSE))</f>
        <v>70300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input_373010!A$2</f>
        <v>373010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IFERROR(VLOOKUP(B121,input_373010!L:R,7,FALSE),VLOOKUP(tables_373010!C121,input_373010!A:H,8,FALSE))</f>
        <v>63270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input_373010!A$2</f>
        <v>373010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IFERROR(VLOOKUP(B122,input_373010!L:R,7,FALSE),VLOOKUP(tables_373010!C122,input_373010!A:H,8,FALSE))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input_373010!A$2</f>
        <v>373010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IFERROR(VLOOKUP(B123,input_373010!L:R,7,FALSE),VLOOKUP(tables_373010!C123,input_373010!A:H,8,FALSE))</f>
        <v>70300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input_373010!A$2</f>
        <v>373010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IFERROR(VLOOKUP(B124,input_373010!L:R,7,FALSE),VLOOKUP(tables_373010!C124,input_373010!A:H,8,FALSE))</f>
        <v>63270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input_373010!A$2</f>
        <v>373010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IFERROR(VLOOKUP(B125,input_373010!L:R,7,FALSE),VLOOKUP(tables_373010!C125,input_373010!A:H,8,FALSE))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input_373010!A$2</f>
        <v>373010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IFERROR(VLOOKUP(B126,input_373010!L:R,7,FALSE),VLOOKUP(tables_373010!C126,input_373010!A:H,8,FALSE))</f>
        <v>70300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input_373010!A$2</f>
        <v>373010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IFERROR(VLOOKUP(B127,input_373010!L:R,7,FALSE),VLOOKUP(tables_373010!C127,input_373010!A:H,8,FALSE))</f>
        <v>63270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input_373010!A$2</f>
        <v>373010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IFERROR(VLOOKUP(B128,input_373010!L:R,7,FALSE),VLOOKUP(tables_373010!C128,input_373010!A:H,8,FALSE))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input_373010!A$2</f>
        <v>373010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IFERROR(VLOOKUP(B129,input_373010!L:R,7,FALSE),VLOOKUP(tables_373010!C129,input_373010!A:H,8,FALSE))</f>
        <v>70300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input_373010!A$2</f>
        <v>373010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IFERROR(VLOOKUP(B130,input_373010!L:R,7,FALSE),VLOOKUP(tables_373010!C130,input_373010!A:H,8,FALSE))</f>
        <v>63270</v>
      </c>
      <c r="P130" s="46">
        <f t="shared" ref="P130:P193" ca="1" si="8">O130/SUM(O:O)</f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input_373010!A$2</f>
        <v>373010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IFERROR(VLOOKUP(B131,input_373010!L:R,7,FALSE),VLOOKUP(tables_373010!C131,input_373010!A:H,8,FALSE))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input_373010!A$2</f>
        <v>373010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IFERROR(VLOOKUP(B132,input_373010!L:R,7,FALSE),VLOOKUP(tables_373010!C132,input_373010!A:H,8,FALSE))</f>
        <v>70300</v>
      </c>
      <c r="P132" s="46">
        <f t="shared" ca="1" si="8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input_373010!A$2</f>
        <v>373010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IFERROR(VLOOKUP(B133,input_373010!L:R,7,FALSE),VLOOKUP(tables_373010!C133,input_373010!A:H,8,FALSE))</f>
        <v>63270</v>
      </c>
      <c r="P133" s="46">
        <f t="shared" ca="1" si="8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input_373010!A$2</f>
        <v>373010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IFERROR(VLOOKUP(B134,input_373010!L:R,7,FALSE),VLOOKUP(tables_373010!C134,input_373010!A:H,8,FALSE))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input_373010!A$2</f>
        <v>373010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IFERROR(VLOOKUP(B135,input_373010!L:R,7,FALSE),VLOOKUP(tables_373010!C135,input_373010!A:H,8,FALSE))</f>
        <v>70300</v>
      </c>
      <c r="P135" s="46">
        <f t="shared" ca="1" si="8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input_373010!A$2</f>
        <v>373010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IFERROR(VLOOKUP(B136,input_373010!L:R,7,FALSE),VLOOKUP(tables_373010!C136,input_373010!A:H,8,FALSE))</f>
        <v>63270</v>
      </c>
      <c r="P136" s="46">
        <f t="shared" ca="1" si="8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input_373010!A$2</f>
        <v>373010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IFERROR(VLOOKUP(B137,input_373010!L:R,7,FALSE),VLOOKUP(tables_373010!C137,input_373010!A:H,8,FALSE))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input_373010!A$2</f>
        <v>373010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IFERROR(VLOOKUP(B138,input_373010!L:R,7,FALSE),VLOOKUP(tables_373010!C138,input_373010!A:H,8,FALSE))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input_373010!A$2</f>
        <v>373010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IFERROR(VLOOKUP(B139,input_373010!L:R,7,FALSE),VLOOKUP(tables_373010!C139,input_373010!A:H,8,FALSE))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input_373010!A$2</f>
        <v>373010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IFERROR(VLOOKUP(B140,input_373010!L:R,7,FALSE),VLOOKUP(tables_373010!C140,input_373010!A:H,8,FALSE))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input_373010!A$2</f>
        <v>373010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IFERROR(VLOOKUP(B141,input_373010!L:R,7,FALSE),VLOOKUP(tables_373010!C141,input_373010!A:H,8,FALSE))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input_373010!A$2</f>
        <v>373010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IFERROR(VLOOKUP(B142,input_373010!L:R,7,FALSE),VLOOKUP(tables_373010!C142,input_373010!A:H,8,FALSE))</f>
        <v>125800</v>
      </c>
      <c r="P142" s="46">
        <f t="shared" ca="1" si="8"/>
        <v>0.01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input_373010!A$2</f>
        <v>373010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IFERROR(VLOOKUP(B143,input_373010!L:R,7,FALSE),VLOOKUP(tables_373010!C143,input_373010!A:H,8,FALSE))</f>
        <v>125800</v>
      </c>
      <c r="P143" s="46">
        <f t="shared" ca="1" si="8"/>
        <v>0.01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input_373010!A$2</f>
        <v>373010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IFERROR(VLOOKUP(B144,input_373010!L:R,7,FALSE),VLOOKUP(tables_373010!C144,input_373010!A:H,8,FALSE))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input_373010!A$2</f>
        <v>373010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IFERROR(VLOOKUP(B145,input_373010!L:R,7,FALSE),VLOOKUP(tables_373010!C145,input_373010!A:H,8,FALSE))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input_373010!A$2</f>
        <v>373010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IFERROR(VLOOKUP(B146,input_373010!L:R,7,FALSE),VLOOKUP(tables_373010!C146,input_373010!A:H,8,FALSE))</f>
        <v>70300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input_373010!A$2</f>
        <v>373010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IFERROR(VLOOKUP(B147,input_373010!L:R,7,FALSE),VLOOKUP(tables_373010!C147,input_373010!A:H,8,FALSE))</f>
        <v>63270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input_373010!A$2</f>
        <v>373010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IFERROR(VLOOKUP(B148,input_373010!L:R,7,FALSE),VLOOKUP(tables_373010!C148,input_373010!A:H,8,FALSE))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input_373010!A$2</f>
        <v>373010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IFERROR(VLOOKUP(B149,input_373010!L:R,7,FALSE),VLOOKUP(tables_373010!C149,input_373010!A:H,8,FALSE))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input_373010!A$2</f>
        <v>373010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IFERROR(VLOOKUP(B150,input_373010!L:R,7,FALSE),VLOOKUP(tables_373010!C150,input_373010!A:H,8,FALSE))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input_373010!A$2</f>
        <v>373010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IFERROR(VLOOKUP(B151,input_373010!L:R,7,FALSE),VLOOKUP(tables_373010!C151,input_373010!A:H,8,FALSE))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input_373010!A$2</f>
        <v>373010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IFERROR(VLOOKUP(B152,input_373010!L:R,7,FALSE),VLOOKUP(tables_373010!C152,input_373010!A:H,8,FALSE))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input_373010!A$2</f>
        <v>373010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IFERROR(VLOOKUP(B153,input_373010!L:R,7,FALSE),VLOOKUP(tables_373010!C153,input_373010!A:H,8,FALSE))</f>
        <v>70300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input_373010!A$2</f>
        <v>373010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IFERROR(VLOOKUP(B154,input_373010!L:R,7,FALSE),VLOOKUP(tables_373010!C154,input_373010!A:H,8,FALSE))</f>
        <v>63270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input_373010!A$2</f>
        <v>373010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IFERROR(VLOOKUP(B155,input_373010!L:R,7,FALSE),VLOOKUP(tables_373010!C155,input_373010!A:H,8,FALSE))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input_373010!A$2</f>
        <v>373010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IFERROR(VLOOKUP(B156,input_373010!L:R,7,FALSE),VLOOKUP(tables_373010!C156,input_373010!A:H,8,FALSE))</f>
        <v>125800</v>
      </c>
      <c r="P156" s="46">
        <f t="shared" ca="1" si="8"/>
        <v>0.01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input_373010!A$2</f>
        <v>373010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IFERROR(VLOOKUP(B157,input_373010!L:R,7,FALSE),VLOOKUP(tables_373010!C157,input_373010!A:H,8,FALSE))</f>
        <v>125800</v>
      </c>
      <c r="P157" s="46">
        <f t="shared" ca="1" si="8"/>
        <v>0.01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input_373010!A$2</f>
        <v>373010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IFERROR(VLOOKUP(B158,input_373010!L:R,7,FALSE),VLOOKUP(tables_373010!C158,input_373010!A:H,8,FALSE))</f>
        <v>70300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input_373010!A$2</f>
        <v>373010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IFERROR(VLOOKUP(B159,input_373010!L:R,7,FALSE),VLOOKUP(tables_373010!C159,input_373010!A:H,8,FALSE))</f>
        <v>63270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input_373010!A$2</f>
        <v>373010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IFERROR(VLOOKUP(B160,input_373010!L:R,7,FALSE),VLOOKUP(tables_373010!C160,input_373010!A:H,8,FALSE))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input_373010!A$2</f>
        <v>373010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IFERROR(VLOOKUP(B161,input_373010!L:R,7,FALSE),VLOOKUP(tables_373010!C161,input_373010!A:H,8,FALSE))</f>
        <v>70300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input_373010!A$2</f>
        <v>373010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IFERROR(VLOOKUP(B162,input_373010!L:R,7,FALSE),VLOOKUP(tables_373010!C162,input_373010!A:H,8,FALSE))</f>
        <v>63270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input_373010!A$2</f>
        <v>373010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IFERROR(VLOOKUP(B163,input_373010!L:R,7,FALSE),VLOOKUP(tables_373010!C163,input_373010!A:H,8,FALSE))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input_373010!A$2</f>
        <v>373010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IFERROR(VLOOKUP(B164,input_373010!L:R,7,FALSE),VLOOKUP(tables_373010!C164,input_373010!A:H,8,FALSE))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input_373010!A$2</f>
        <v>373010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IFERROR(VLOOKUP(B165,input_373010!L:R,7,FALSE),VLOOKUP(tables_373010!C165,input_373010!A:H,8,FALSE))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input_373010!A$2</f>
        <v>373010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IFERROR(VLOOKUP(B166,input_373010!L:R,7,FALSE),VLOOKUP(tables_373010!C166,input_373010!A:H,8,FALSE))</f>
        <v>70300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input_373010!A$2</f>
        <v>373010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IFERROR(VLOOKUP(B167,input_373010!L:R,7,FALSE),VLOOKUP(tables_373010!C167,input_373010!A:H,8,FALSE))</f>
        <v>63270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input_373010!A$2</f>
        <v>373010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IFERROR(VLOOKUP(B168,input_373010!L:R,7,FALSE),VLOOKUP(tables_373010!C168,input_373010!A:H,8,FALSE))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input_373010!A$2</f>
        <v>373010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IFERROR(VLOOKUP(B169,input_373010!L:R,7,FALSE),VLOOKUP(tables_373010!C169,input_373010!A:H,8,FALSE))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input_373010!A$2</f>
        <v>373010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IFERROR(VLOOKUP(B170,input_373010!L:R,7,FALSE),VLOOKUP(tables_373010!C170,input_373010!A:H,8,FALSE))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input_373010!A$2</f>
        <v>373010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IFERROR(VLOOKUP(B171,input_373010!L:R,7,FALSE),VLOOKUP(tables_373010!C171,input_373010!A:H,8,FALSE))</f>
        <v>70300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input_373010!A$2</f>
        <v>373010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IFERROR(VLOOKUP(B172,input_373010!L:R,7,FALSE),VLOOKUP(tables_373010!C172,input_373010!A:H,8,FALSE))</f>
        <v>63270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input_373010!A$2</f>
        <v>373010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IFERROR(VLOOKUP(B173,input_373010!L:R,7,FALSE),VLOOKUP(tables_373010!C173,input_373010!A:H,8,FALSE))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input_373010!A$2</f>
        <v>373010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IFERROR(VLOOKUP(B174,input_373010!L:R,7,FALSE),VLOOKUP(tables_373010!C174,input_373010!A:H,8,FALSE))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input_373010!A$2</f>
        <v>373010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IFERROR(VLOOKUP(B175,input_373010!L:R,7,FALSE),VLOOKUP(tables_373010!C175,input_373010!A:H,8,FALSE))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input_373010!A$2</f>
        <v>373010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IFERROR(VLOOKUP(B176,input_373010!L:R,7,FALSE),VLOOKUP(tables_373010!C176,input_373010!A:H,8,FALSE))</f>
        <v>3230</v>
      </c>
      <c r="P176" s="46">
        <f t="shared" ca="1" si="8"/>
        <v>2.5675675675675678E-4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input_373010!A$2</f>
        <v>373010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IFERROR(VLOOKUP(B177,input_373010!L:R,7,FALSE),VLOOKUP(tables_373010!C177,input_373010!A:H,8,FALSE))</f>
        <v>170</v>
      </c>
      <c r="P177" s="46">
        <f t="shared" ca="1" si="8"/>
        <v>1.3513513513513513E-5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input_373010!A$2</f>
        <v>373010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IFERROR(VLOOKUP(B178,input_373010!L:R,7,FALSE),VLOOKUP(tables_373010!C178,input_373010!A:H,8,FALSE))</f>
        <v>70300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input_373010!A$2</f>
        <v>373010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IFERROR(VLOOKUP(B179,input_373010!L:R,7,FALSE),VLOOKUP(tables_373010!C179,input_373010!A:H,8,FALSE))</f>
        <v>63270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input_373010!A$2</f>
        <v>373010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IFERROR(VLOOKUP(B180,input_373010!L:R,7,FALSE),VLOOKUP(tables_373010!C180,input_373010!A:H,8,FALSE))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input_373010!A$2</f>
        <v>373010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IFERROR(VLOOKUP(B181,input_373010!L:R,7,FALSE),VLOOKUP(tables_373010!C181,input_373010!A:H,8,FALSE))</f>
        <v>70300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input_373010!A$2</f>
        <v>373010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IFERROR(VLOOKUP(B182,input_373010!L:R,7,FALSE),VLOOKUP(tables_373010!C182,input_373010!A:H,8,FALSE))</f>
        <v>63270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input_373010!A$2</f>
        <v>373010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IFERROR(VLOOKUP(B183,input_373010!L:R,7,FALSE),VLOOKUP(tables_373010!C183,input_373010!A:H,8,FALSE))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input_373010!A$2</f>
        <v>373010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IFERROR(VLOOKUP(B184,input_373010!L:R,7,FALSE),VLOOKUP(tables_373010!C184,input_373010!A:H,8,FALSE))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input_373010!A$2</f>
        <v>373010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IFERROR(VLOOKUP(B185,input_373010!L:R,7,FALSE),VLOOKUP(tables_373010!C185,input_373010!A:H,8,FALSE))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input_373010!A$2</f>
        <v>373010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IFERROR(VLOOKUP(B186,input_373010!L:R,7,FALSE),VLOOKUP(tables_373010!C186,input_373010!A:H,8,FALSE))</f>
        <v>70300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input_373010!A$2</f>
        <v>373010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IFERROR(VLOOKUP(B187,input_373010!L:R,7,FALSE),VLOOKUP(tables_373010!C187,input_373010!A:H,8,FALSE))</f>
        <v>63270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input_373010!A$2</f>
        <v>373010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IFERROR(VLOOKUP(B188,input_373010!L:R,7,FALSE),VLOOKUP(tables_373010!C188,input_373010!A:H,8,FALSE))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input_373010!A$2</f>
        <v>373010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IFERROR(VLOOKUP(B189,input_373010!L:R,7,FALSE),VLOOKUP(tables_373010!C189,input_373010!A:H,8,FALSE))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input_373010!A$2</f>
        <v>373010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IFERROR(VLOOKUP(B190,input_373010!L:R,7,FALSE),VLOOKUP(tables_373010!C190,input_373010!A:H,8,FALSE))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input_373010!A$2</f>
        <v>373010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IFERROR(VLOOKUP(B191,input_373010!L:R,7,FALSE),VLOOKUP(tables_373010!C191,input_373010!A:H,8,FALSE))</f>
        <v>3230</v>
      </c>
      <c r="P191" s="46">
        <f t="shared" ca="1" si="8"/>
        <v>2.5675675675675678E-4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input_373010!A$2</f>
        <v>373010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IFERROR(VLOOKUP(B192,input_373010!L:R,7,FALSE),VLOOKUP(tables_373010!C192,input_373010!A:H,8,FALSE))</f>
        <v>170</v>
      </c>
      <c r="P192" s="46">
        <f t="shared" ca="1" si="8"/>
        <v>1.3513513513513513E-5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input_373010!A$2</f>
        <v>373010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IFERROR(VLOOKUP(B193,input_373010!L:R,7,FALSE),VLOOKUP(tables_373010!C193,input_373010!A:H,8,FALSE))</f>
        <v>70300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input_373010!A$2</f>
        <v>373010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IFERROR(VLOOKUP(B194,input_373010!L:R,7,FALSE),VLOOKUP(tables_373010!C194,input_373010!A:H,8,FALSE))</f>
        <v>63270</v>
      </c>
      <c r="P194" s="46">
        <f t="shared" ref="P194:P257" ca="1" si="11">O194/SUM(O:O)</f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input_373010!A$2</f>
        <v>373010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IFERROR(VLOOKUP(B195,input_373010!L:R,7,FALSE),VLOOKUP(tables_373010!C195,input_373010!A:H,8,FALSE))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input_373010!A$2</f>
        <v>373010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IFERROR(VLOOKUP(B196,input_373010!L:R,7,FALSE),VLOOKUP(tables_373010!C196,input_373010!A:H,8,FALSE))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input_373010!A$2</f>
        <v>373010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IFERROR(VLOOKUP(B197,input_373010!L:R,7,FALSE),VLOOKUP(tables_373010!C197,input_373010!A:H,8,FALSE))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input_373010!A$2</f>
        <v>373010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IFERROR(VLOOKUP(B198,input_373010!L:R,7,FALSE),VLOOKUP(tables_373010!C198,input_373010!A:H,8,FALSE))</f>
        <v>70300</v>
      </c>
      <c r="P198" s="46">
        <f t="shared" ca="1" si="11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input_373010!A$2</f>
        <v>373010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IFERROR(VLOOKUP(B199,input_373010!L:R,7,FALSE),VLOOKUP(tables_373010!C199,input_373010!A:H,8,FALSE))</f>
        <v>63270</v>
      </c>
      <c r="P199" s="46">
        <f t="shared" ca="1" si="11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input_373010!A$2</f>
        <v>373010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IFERROR(VLOOKUP(B200,input_373010!L:R,7,FALSE),VLOOKUP(tables_373010!C200,input_373010!A:H,8,FALSE))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input_373010!A$2</f>
        <v>373010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IFERROR(VLOOKUP(B201,input_373010!L:R,7,FALSE),VLOOKUP(tables_373010!C201,input_373010!A:H,8,FALSE))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input_373010!A$2</f>
        <v>373010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IFERROR(VLOOKUP(B202,input_373010!L:R,7,FALSE),VLOOKUP(tables_373010!C202,input_373010!A:H,8,FALSE))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input_373010!A$2</f>
        <v>373010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IFERROR(VLOOKUP(B203,input_373010!L:R,7,FALSE),VLOOKUP(tables_373010!C203,input_373010!A:H,8,FALSE))</f>
        <v>70300</v>
      </c>
      <c r="P203" s="46">
        <f t="shared" ca="1" si="11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input_373010!A$2</f>
        <v>373010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IFERROR(VLOOKUP(B204,input_373010!L:R,7,FALSE),VLOOKUP(tables_373010!C204,input_373010!A:H,8,FALSE))</f>
        <v>63270</v>
      </c>
      <c r="P204" s="46">
        <f t="shared" ca="1" si="11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input_373010!A$2</f>
        <v>373010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IFERROR(VLOOKUP(B205,input_373010!L:R,7,FALSE),VLOOKUP(tables_373010!C205,input_373010!A:H,8,FALSE))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input_373010!A$2</f>
        <v>373010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IFERROR(VLOOKUP(B206,input_373010!L:R,7,FALSE),VLOOKUP(tables_373010!C206,input_373010!A:H,8,FALSE))</f>
        <v>3230</v>
      </c>
      <c r="P206" s="46">
        <f t="shared" ca="1" si="11"/>
        <v>2.5675675675675678E-4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input_373010!A$2</f>
        <v>373010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IFERROR(VLOOKUP(B207,input_373010!L:R,7,FALSE),VLOOKUP(tables_373010!C207,input_373010!A:H,8,FALSE))</f>
        <v>170</v>
      </c>
      <c r="P207" s="46">
        <f t="shared" ca="1" si="11"/>
        <v>1.3513513513513513E-5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input_373010!A$2</f>
        <v>373010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IFERROR(VLOOKUP(B208,input_373010!L:R,7,FALSE),VLOOKUP(tables_373010!C208,input_373010!A:H,8,FALSE))</f>
        <v>3230</v>
      </c>
      <c r="P208" s="46">
        <f t="shared" ca="1" si="11"/>
        <v>2.5675675675675678E-4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input_373010!A$2</f>
        <v>373010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IFERROR(VLOOKUP(B209,input_373010!L:R,7,FALSE),VLOOKUP(tables_373010!C209,input_373010!A:H,8,FALSE))</f>
        <v>170</v>
      </c>
      <c r="P209" s="46">
        <f t="shared" ca="1" si="11"/>
        <v>1.3513513513513513E-5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input_373010!A$2</f>
        <v>373010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IFERROR(VLOOKUP(B210,input_373010!L:R,7,FALSE),VLOOKUP(tables_373010!C210,input_373010!A:H,8,FALSE))</f>
        <v>70300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input_373010!A$2</f>
        <v>373010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IFERROR(VLOOKUP(B211,input_373010!L:R,7,FALSE),VLOOKUP(tables_373010!C211,input_373010!A:H,8,FALSE))</f>
        <v>63270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input_373010!A$2</f>
        <v>373010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IFERROR(VLOOKUP(B212,input_373010!L:R,7,FALSE),VLOOKUP(tables_373010!C212,input_373010!A:H,8,FALSE))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input_373010!A$2</f>
        <v>373010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IFERROR(VLOOKUP(B213,input_373010!L:R,7,FALSE),VLOOKUP(tables_373010!C213,input_373010!A:H,8,FALSE))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input_373010!A$2</f>
        <v>373010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IFERROR(VLOOKUP(B214,input_373010!L:R,7,FALSE),VLOOKUP(tables_373010!C214,input_373010!A:H,8,FALSE))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input_373010!A$2</f>
        <v>373010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IFERROR(VLOOKUP(B215,input_373010!L:R,7,FALSE),VLOOKUP(tables_373010!C215,input_373010!A:H,8,FALSE))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input_373010!A$2</f>
        <v>373010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IFERROR(VLOOKUP(B216,input_373010!L:R,7,FALSE),VLOOKUP(tables_373010!C216,input_373010!A:H,8,FALSE))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input_373010!A$2</f>
        <v>373010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IFERROR(VLOOKUP(B217,input_373010!L:R,7,FALSE),VLOOKUP(tables_373010!C217,input_373010!A:H,8,FALSE))</f>
        <v>70300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input_373010!A$2</f>
        <v>373010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IFERROR(VLOOKUP(B218,input_373010!L:R,7,FALSE),VLOOKUP(tables_373010!C218,input_373010!A:H,8,FALSE))</f>
        <v>63270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input_373010!A$2</f>
        <v>373010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IFERROR(VLOOKUP(B219,input_373010!L:R,7,FALSE),VLOOKUP(tables_373010!C219,input_373010!A:H,8,FALSE))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input_373010!A$2</f>
        <v>373010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IFERROR(VLOOKUP(B220,input_373010!L:R,7,FALSE),VLOOKUP(tables_373010!C220,input_373010!A:H,8,FALSE))</f>
        <v>70300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input_373010!A$2</f>
        <v>373010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IFERROR(VLOOKUP(B221,input_373010!L:R,7,FALSE),VLOOKUP(tables_373010!C221,input_373010!A:H,8,FALSE))</f>
        <v>63270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input_373010!A$2</f>
        <v>373010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IFERROR(VLOOKUP(B222,input_373010!L:R,7,FALSE),VLOOKUP(tables_373010!C222,input_373010!A:H,8,FALSE))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input_373010!A$2</f>
        <v>373010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IFERROR(VLOOKUP(B223,input_373010!L:R,7,FALSE),VLOOKUP(tables_373010!C223,input_373010!A:H,8,FALSE))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input_373010!A$2</f>
        <v>373010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IFERROR(VLOOKUP(B224,input_373010!L:R,7,FALSE),VLOOKUP(tables_373010!C224,input_373010!A:H,8,FALSE))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input_373010!A$2</f>
        <v>373010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IFERROR(VLOOKUP(B225,input_373010!L:R,7,FALSE),VLOOKUP(tables_373010!C225,input_373010!A:H,8,FALSE))</f>
        <v>70300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input_373010!A$2</f>
        <v>373010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IFERROR(VLOOKUP(B226,input_373010!L:R,7,FALSE),VLOOKUP(tables_373010!C226,input_373010!A:H,8,FALSE))</f>
        <v>63270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input_373010!A$2</f>
        <v>373010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IFERROR(VLOOKUP(B227,input_373010!L:R,7,FALSE),VLOOKUP(tables_373010!C227,input_373010!A:H,8,FALSE))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input_373010!A$2</f>
        <v>373010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IFERROR(VLOOKUP(B228,input_373010!L:R,7,FALSE),VLOOKUP(tables_373010!C228,input_373010!A:H,8,FALSE))</f>
        <v>70300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input_373010!A$2</f>
        <v>373010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IFERROR(VLOOKUP(B229,input_373010!L:R,7,FALSE),VLOOKUP(tables_373010!C229,input_373010!A:H,8,FALSE))</f>
        <v>63270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input_373010!A$2</f>
        <v>373010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IFERROR(VLOOKUP(B230,input_373010!L:R,7,FALSE),VLOOKUP(tables_373010!C230,input_373010!A:H,8,FALSE))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input_373010!A$2</f>
        <v>373010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IFERROR(VLOOKUP(B231,input_373010!L:R,7,FALSE),VLOOKUP(tables_373010!C231,input_373010!A:H,8,FALSE))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input_373010!A$2</f>
        <v>373010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IFERROR(VLOOKUP(B232,input_373010!L:R,7,FALSE),VLOOKUP(tables_373010!C232,input_373010!A:H,8,FALSE))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input_373010!A$2</f>
        <v>373010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IFERROR(VLOOKUP(B233,input_373010!L:R,7,FALSE),VLOOKUP(tables_373010!C233,input_373010!A:H,8,FALSE))</f>
        <v>70300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input_373010!A$2</f>
        <v>373010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IFERROR(VLOOKUP(B234,input_373010!L:R,7,FALSE),VLOOKUP(tables_373010!C234,input_373010!A:H,8,FALSE))</f>
        <v>63270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input_373010!A$2</f>
        <v>373010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IFERROR(VLOOKUP(B235,input_373010!L:R,7,FALSE),VLOOKUP(tables_373010!C235,input_373010!A:H,8,FALSE))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input_373010!A$2</f>
        <v>373010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IFERROR(VLOOKUP(B236,input_373010!L:R,7,FALSE),VLOOKUP(tables_373010!C236,input_373010!A:H,8,FALSE))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input_373010!A$2</f>
        <v>373010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IFERROR(VLOOKUP(B237,input_373010!L:R,7,FALSE),VLOOKUP(tables_373010!C237,input_373010!A:H,8,FALSE))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input_373010!A$2</f>
        <v>373010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IFERROR(VLOOKUP(B238,input_373010!L:R,7,FALSE),VLOOKUP(tables_373010!C238,input_373010!A:H,8,FALSE))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input_373010!A$2</f>
        <v>373010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IFERROR(VLOOKUP(B239,input_373010!L:R,7,FALSE),VLOOKUP(tables_373010!C239,input_373010!A:H,8,FALSE))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input_373010!A$2</f>
        <v>373010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IFERROR(VLOOKUP(B240,input_373010!L:R,7,FALSE),VLOOKUP(tables_373010!C240,input_373010!A:H,8,FALSE))</f>
        <v>70300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input_373010!A$2</f>
        <v>373010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IFERROR(VLOOKUP(B241,input_373010!L:R,7,FALSE),VLOOKUP(tables_373010!C241,input_373010!A:H,8,FALSE))</f>
        <v>63270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input_373010!A$2</f>
        <v>373010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IFERROR(VLOOKUP(B242,input_373010!L:R,7,FALSE),VLOOKUP(tables_373010!C242,input_373010!A:H,8,FALSE))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input_373010!A$2</f>
        <v>373010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IFERROR(VLOOKUP(B243,input_373010!L:R,7,FALSE),VLOOKUP(tables_373010!C243,input_373010!A:H,8,FALSE))</f>
        <v>70300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input_373010!A$2</f>
        <v>373010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IFERROR(VLOOKUP(B244,input_373010!L:R,7,FALSE),VLOOKUP(tables_373010!C244,input_373010!A:H,8,FALSE))</f>
        <v>63270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input_373010!A$2</f>
        <v>373010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IFERROR(VLOOKUP(B245,input_373010!L:R,7,FALSE),VLOOKUP(tables_373010!C245,input_373010!A:H,8,FALSE))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input_373010!A$2</f>
        <v>373010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IFERROR(VLOOKUP(B246,input_373010!L:R,7,FALSE),VLOOKUP(tables_373010!C246,input_373010!A:H,8,FALSE))</f>
        <v>70300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input_373010!A$2</f>
        <v>373010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IFERROR(VLOOKUP(B247,input_373010!L:R,7,FALSE),VLOOKUP(tables_373010!C247,input_373010!A:H,8,FALSE))</f>
        <v>63270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input_373010!A$2</f>
        <v>373010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IFERROR(VLOOKUP(B248,input_373010!L:R,7,FALSE),VLOOKUP(tables_373010!C248,input_373010!A:H,8,FALSE))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input_373010!A$2</f>
        <v>373010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IFERROR(VLOOKUP(B249,input_373010!L:R,7,FALSE),VLOOKUP(tables_373010!C249,input_373010!A:H,8,FALSE))</f>
        <v>70300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input_373010!A$2</f>
        <v>373010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IFERROR(VLOOKUP(B250,input_373010!L:R,7,FALSE),VLOOKUP(tables_373010!C250,input_373010!A:H,8,FALSE))</f>
        <v>63270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input_373010!A$2</f>
        <v>373010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IFERROR(VLOOKUP(B251,input_373010!L:R,7,FALSE),VLOOKUP(tables_373010!C251,input_373010!A:H,8,FALSE))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input_373010!A$2</f>
        <v>373010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IFERROR(VLOOKUP(B252,input_373010!L:R,7,FALSE),VLOOKUP(tables_373010!C252,input_373010!A:H,8,FALSE))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input_373010!A$2</f>
        <v>373010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IFERROR(VLOOKUP(B253,input_373010!L:R,7,FALSE),VLOOKUP(tables_373010!C253,input_373010!A:H,8,FALSE))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input_373010!A$2</f>
        <v>373010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IFERROR(VLOOKUP(B254,input_373010!L:R,7,FALSE),VLOOKUP(tables_373010!C254,input_373010!A:H,8,FALSE))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input_373010!A$2</f>
        <v>373010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IFERROR(VLOOKUP(B255,input_373010!L:R,7,FALSE),VLOOKUP(tables_373010!C255,input_373010!A:H,8,FALSE))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input_373010!A$2</f>
        <v>373010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IFERROR(VLOOKUP(B256,input_373010!L:R,7,FALSE),VLOOKUP(tables_373010!C256,input_373010!A:H,8,FALSE))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input_373010!A$2</f>
        <v>373010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IFERROR(VLOOKUP(B257,input_373010!L:R,7,FALSE),VLOOKUP(tables_373010!C257,input_373010!A:H,8,FALSE))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input_373010!A$2</f>
        <v>373010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IFERROR(VLOOKUP(B258,input_373010!L:R,7,FALSE),VLOOKUP(tables_373010!C258,input_373010!A:H,8,FALSE))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input_373010!A$2</f>
        <v>373010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IFERROR(VLOOKUP(B259,input_373010!L:R,7,FALSE),VLOOKUP(tables_373010!C259,input_373010!A:H,8,FALSE))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input_373010!A$2</f>
        <v>373010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IFERROR(VLOOKUP(B260,input_373010!L:R,7,FALSE),VLOOKUP(tables_373010!C260,input_373010!A:H,8,FALSE))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input_373010!A$2</f>
        <v>373010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IFERROR(VLOOKUP(B261,input_373010!L:R,7,FALSE),VLOOKUP(tables_373010!C261,input_373010!A:H,8,FALSE))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input_373010!A$2</f>
        <v>373010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IFERROR(VLOOKUP(B262,input_373010!L:R,7,FALSE),VLOOKUP(tables_373010!C262,input_373010!A:H,8,FALSE))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input_373010!A$2</f>
        <v>373010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IFERROR(VLOOKUP(B263,input_373010!L:R,7,FALSE),VLOOKUP(tables_373010!C263,input_373010!A:H,8,FALSE))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input_373010!A$2</f>
        <v>373010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IFERROR(VLOOKUP(B264,input_373010!L:R,7,FALSE),VLOOKUP(tables_373010!C264,input_373010!A:H,8,FALSE))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input_373010!A$2</f>
        <v>373010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IFERROR(VLOOKUP(B265,input_373010!L:R,7,FALSE),VLOOKUP(tables_373010!C265,input_373010!A:H,8,FALSE))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input_373010!A$2</f>
        <v>373010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IFERROR(VLOOKUP(B266,input_373010!L:R,7,FALSE),VLOOKUP(tables_373010!C266,input_373010!A:H,8,FALSE))</f>
        <v>70300</v>
      </c>
      <c r="P266" s="46">
        <f t="shared" ca="1" si="14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input_373010!A$2</f>
        <v>373010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IFERROR(VLOOKUP(B267,input_373010!L:R,7,FALSE),VLOOKUP(tables_373010!C267,input_373010!A:H,8,FALSE))</f>
        <v>63270</v>
      </c>
      <c r="P267" s="46">
        <f t="shared" ca="1" si="14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input_373010!A$2</f>
        <v>373010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IFERROR(VLOOKUP(B268,input_373010!L:R,7,FALSE),VLOOKUP(tables_373010!C268,input_373010!A:H,8,FALSE))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input_373010!A$2</f>
        <v>373010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IFERROR(VLOOKUP(B269,input_373010!L:R,7,FALSE),VLOOKUP(tables_373010!C269,input_373010!A:H,8,FALSE))</f>
        <v>70300</v>
      </c>
      <c r="P269" s="46">
        <f t="shared" ca="1" si="14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input_373010!A$2</f>
        <v>373010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IFERROR(VLOOKUP(B270,input_373010!L:R,7,FALSE),VLOOKUP(tables_373010!C270,input_373010!A:H,8,FALSE))</f>
        <v>63270</v>
      </c>
      <c r="P270" s="46">
        <f t="shared" ca="1" si="14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input_373010!A$2</f>
        <v>373010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IFERROR(VLOOKUP(B271,input_373010!L:R,7,FALSE),VLOOKUP(tables_373010!C271,input_373010!A:H,8,FALSE))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input_373010!A$2</f>
        <v>373010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IFERROR(VLOOKUP(B272,input_373010!L:R,7,FALSE),VLOOKUP(tables_373010!C272,input_373010!A:H,8,FALSE))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input_373010!A$2</f>
        <v>373010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IFERROR(VLOOKUP(B273,input_373010!L:R,7,FALSE),VLOOKUP(tables_373010!C273,input_373010!A:H,8,FALSE))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input_373010!A$2</f>
        <v>373010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IFERROR(VLOOKUP(B274,input_373010!L:R,7,FALSE),VLOOKUP(tables_373010!C274,input_373010!A:H,8,FALSE))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input_373010!A$2</f>
        <v>373010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IFERROR(VLOOKUP(B275,input_373010!L:R,7,FALSE),VLOOKUP(tables_373010!C275,input_373010!A:H,8,FALSE))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input_373010!A$2</f>
        <v>373010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IFERROR(VLOOKUP(B276,input_373010!L:R,7,FALSE),VLOOKUP(tables_373010!C276,input_373010!A:H,8,FALSE))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input_373010!A$2</f>
        <v>373010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IFERROR(VLOOKUP(B277,input_373010!L:R,7,FALSE),VLOOKUP(tables_373010!C277,input_373010!A:H,8,FALSE))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input_373010!A$2</f>
        <v>373010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IFERROR(VLOOKUP(B278,input_373010!L:R,7,FALSE),VLOOKUP(tables_373010!C278,input_373010!A:H,8,FALSE))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input_373010!A$2</f>
        <v>373010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IFERROR(VLOOKUP(B279,input_373010!L:R,7,FALSE),VLOOKUP(tables_373010!C279,input_373010!A:H,8,FALSE))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input_373010!A$2</f>
        <v>373010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IFERROR(VLOOKUP(B280,input_373010!L:R,7,FALSE),VLOOKUP(tables_373010!C280,input_373010!A:H,8,FALSE))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input_373010!A$2</f>
        <v>373010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IFERROR(VLOOKUP(B281,input_373010!L:R,7,FALSE),VLOOKUP(tables_373010!C281,input_373010!A:H,8,FALSE))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input_373010!A$2</f>
        <v>373010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IFERROR(VLOOKUP(B282,input_373010!L:R,7,FALSE),VLOOKUP(tables_373010!C282,input_373010!A:H,8,FALSE))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input_373010!A$2</f>
        <v>373010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IFERROR(VLOOKUP(B283,input_373010!L:R,7,FALSE),VLOOKUP(tables_373010!C283,input_373010!A:H,8,FALSE))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input_373010!A$2</f>
        <v>373010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IFERROR(VLOOKUP(B284,input_373010!L:R,7,FALSE),VLOOKUP(tables_373010!C284,input_373010!A:H,8,FALSE))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input_373010!A$2</f>
        <v>373010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IFERROR(VLOOKUP(B285,input_373010!L:R,7,FALSE),VLOOKUP(tables_373010!C285,input_373010!A:H,8,FALSE))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input_373010!A$2</f>
        <v>373010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IFERROR(VLOOKUP(B286,input_373010!L:R,7,FALSE),VLOOKUP(tables_373010!C286,input_373010!A:H,8,FALSE))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input_373010!A$2</f>
        <v>373010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IFERROR(VLOOKUP(B287,input_373010!L:R,7,FALSE),VLOOKUP(tables_373010!C287,input_373010!A:H,8,FALSE))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input_373010!A$2</f>
        <v>373010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IFERROR(VLOOKUP(B288,input_373010!L:R,7,FALSE),VLOOKUP(tables_373010!C288,input_373010!A:H,8,FALSE))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input_373010!A$2</f>
        <v>373010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IFERROR(VLOOKUP(B289,input_373010!L:R,7,FALSE),VLOOKUP(tables_373010!C289,input_373010!A:H,8,FALSE))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input_373010!A$2</f>
        <v>373010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IFERROR(VLOOKUP(B290,input_373010!L:R,7,FALSE),VLOOKUP(tables_373010!C290,input_373010!A:H,8,FALSE))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input_373010!A$2</f>
        <v>373010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IFERROR(VLOOKUP(B291,input_373010!L:R,7,FALSE),VLOOKUP(tables_373010!C291,input_373010!A:H,8,FALSE))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input_373010!A$2</f>
        <v>373010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IFERROR(VLOOKUP(B292,input_373010!L:R,7,FALSE),VLOOKUP(tables_373010!C292,input_373010!A:H,8,FALSE))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input_373010!A$2</f>
        <v>373010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IFERROR(VLOOKUP(B293,input_373010!L:R,7,FALSE),VLOOKUP(tables_373010!C293,input_373010!A:H,8,FALSE))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input_373010!A$2</f>
        <v>373010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IFERROR(VLOOKUP(B294,input_373010!L:R,7,FALSE),VLOOKUP(tables_373010!C294,input_373010!A:H,8,FALSE))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F13" sqref="F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324</v>
      </c>
      <c r="M3" s="37" t="str">
        <f>VLOOKUP(L3,[1]characters!$A:$C,3,FALSE)</f>
        <v>凛志士 沖田総司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VLOOKUP(L3,tables_373100!B:C,2,FALSE)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325</v>
      </c>
      <c r="M4" s="37" t="str">
        <f>VLOOKUP(L4,[1]characters!$A:$C,3,FALSE)</f>
        <v>天賦の凛志士 沖田総司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VLOOKUP(L4,tables_373100!B:C,2,FALSE)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2.7027027027027033E-4</v>
      </c>
      <c r="F5">
        <f>(COUNTIF(tables_373100!C:C,input_373100!A26)+COUNTIF(tables_373100!C:C,input_373100!A28)+COUNTIF(tables_373100!C:C,input_373100!A29))</f>
        <v>39</v>
      </c>
      <c r="H5" s="85">
        <v>0.04</v>
      </c>
      <c r="I5" s="31">
        <v>2</v>
      </c>
      <c r="L5" s="60">
        <v>390</v>
      </c>
      <c r="M5" s="37" t="str">
        <f>VLOOKUP(L5,[1]characters!$A:$C,3,FALSE)</f>
        <v>華環の旅客 親指姫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VLOOKUP(L5,tables_373100!B:C,2,FALSE)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1.1176470588235293E-2</v>
      </c>
      <c r="F6">
        <f>(COUNTIF(tables_373100!C:C,input_373100!A18)+COUNTIF(tables_373100!C:C,input_373100!A20)+COUNTIF(tables_373100!C:C,input_373100!A22))</f>
        <v>85</v>
      </c>
      <c r="H6" s="91">
        <v>0</v>
      </c>
      <c r="I6" s="31">
        <v>0</v>
      </c>
      <c r="L6" s="60">
        <v>391</v>
      </c>
      <c r="M6" s="37" t="str">
        <f>VLOOKUP(L6,[1]characters!$A:$C,3,FALSE)</f>
        <v>燕翼の旅人 親指姫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VLOOKUP(L6,tables_373100!B:C,2,FALSE)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COUNTIF(tables_373100!C:C,input_373100!A17)-COUNTIF(Q:Q,A17)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0.22352941176470587</v>
      </c>
      <c r="C18" s="86">
        <f t="shared" si="2"/>
        <v>0</v>
      </c>
      <c r="D18" s="74">
        <f t="shared" si="3"/>
        <v>0.22352941176470587</v>
      </c>
      <c r="E18">
        <f>COUNTIF(tables_373100!C:C,input_373100!A18)-COUNTIF(Q:Q,A18)</f>
        <v>20</v>
      </c>
      <c r="F18" s="43">
        <f>IFERROR(B18/E18,0)</f>
        <v>1.1176470588235293E-2</v>
      </c>
      <c r="G18">
        <f t="shared" si="4"/>
        <v>2812000</v>
      </c>
      <c r="H18">
        <f t="shared" si="5"/>
        <v>140600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COUNTIF(tables_373100!C:C,input_373100!A19)-COUNTIF(Q:Q,A19)</f>
        <v>56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0.59458823529411764</v>
      </c>
      <c r="C20" s="86">
        <f t="shared" si="2"/>
        <v>0</v>
      </c>
      <c r="D20" s="74">
        <f t="shared" si="3"/>
        <v>0.59458823529411764</v>
      </c>
      <c r="E20">
        <f>COUNTIF(tables_373100!C:C,input_373100!A20)-COUNTIF(Q:Q,A20)</f>
        <v>56</v>
      </c>
      <c r="F20" s="43">
        <f t="shared" si="8"/>
        <v>1.0617647058823529E-2</v>
      </c>
      <c r="G20">
        <f t="shared" si="4"/>
        <v>7479920</v>
      </c>
      <c r="H20">
        <f t="shared" si="5"/>
        <v>133570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3.1294117647058826E-2</v>
      </c>
      <c r="C21" s="86">
        <f t="shared" si="2"/>
        <v>0</v>
      </c>
      <c r="D21" s="74">
        <f t="shared" si="3"/>
        <v>3.1294117647058826E-2</v>
      </c>
      <c r="E21">
        <f>COUNTIF(tables_373100!C:C,input_373100!A21)-COUNTIF(Q:Q,A21)</f>
        <v>56</v>
      </c>
      <c r="F21" s="43">
        <f t="shared" si="8"/>
        <v>5.5882352941176471E-4</v>
      </c>
      <c r="G21">
        <f t="shared" si="4"/>
        <v>393680.00000000006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COUNTIF(tables_373100!C:C,input_373100!A22)-COUNTIF(Q:Q,A22)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1.5381558028616855E-2</v>
      </c>
      <c r="C23" s="86">
        <f t="shared" si="2"/>
        <v>0</v>
      </c>
      <c r="D23" s="74">
        <f t="shared" si="3"/>
        <v>1.5381558028616855E-2</v>
      </c>
      <c r="E23">
        <f>COUNTIF(tables_373100!C:C,input_373100!A23)-COUNTIF(Q:Q,A23)</f>
        <v>9</v>
      </c>
      <c r="F23" s="43">
        <f t="shared" si="8"/>
        <v>1.7090620031796507E-3</v>
      </c>
      <c r="G23">
        <f t="shared" si="4"/>
        <v>193500.00000000003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6">
        <f t="shared" si="2"/>
        <v>0</v>
      </c>
      <c r="D24" s="74">
        <f t="shared" si="3"/>
        <v>0</v>
      </c>
      <c r="E24">
        <f>COUNTIF(tables_373100!C:C,input_373100!A24)-COUNTIF(Q:Q,A24)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0</v>
      </c>
      <c r="C25" s="86">
        <f t="shared" si="2"/>
        <v>0</v>
      </c>
      <c r="D25" s="74">
        <f t="shared" si="3"/>
        <v>0</v>
      </c>
      <c r="E25">
        <f>COUNTIF(tables_373100!C:C,input_373100!A25)-COUNTIF(Q:Q,A25)</f>
        <v>0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0</v>
      </c>
      <c r="C26" s="86">
        <f t="shared" si="2"/>
        <v>0</v>
      </c>
      <c r="D26" s="74">
        <f t="shared" si="3"/>
        <v>0</v>
      </c>
      <c r="E26">
        <f>COUNTIF(tables_373100!C:C,input_373100!A26)-COUNTIF(Q:Q,A26)</f>
        <v>0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COUNTIF(tables_373100!C:C,input_373100!A27)-COUNTIF(Q:Q,A27)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COUNTIF(tables_373100!C:C,input_373100!A28)-COUNTIF(Q:Q,A28)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COUNTIF(tables_373100!C:C,input_373100!A29)-COUNTIF(Q:Q,A29)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COUNTIF(tables_373100!C:C,input_373100!A30)-COUNTIF(Q:Q,A30)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COUNTIF(tables_373100!C:C,input_373100!A31)-COUNTIF(Q:Q,A31)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</v>
      </c>
      <c r="C32" s="41">
        <f>SUM(C19:C31)</f>
        <v>0.04</v>
      </c>
      <c r="D32" s="42">
        <f t="shared" si="3"/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SUMIF(tables_373100!C:C,input_373100!A40,tables_373100!O:O)</f>
        <v>0</v>
      </c>
      <c r="C40" s="54">
        <f t="shared" ref="C40:C46" ca="1" si="9">B40/B$47</f>
        <v>0</v>
      </c>
      <c r="E40">
        <v>3</v>
      </c>
      <c r="F40">
        <f ca="1">SUMIF(tables_373100!J:J,input_373100!E40,tables_373100!O:O)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SUMIF(tables_373100!C:C,input_373100!A41,tables_373100!O:O)</f>
        <v>7479920</v>
      </c>
      <c r="C41" s="54">
        <f t="shared" ca="1" si="9"/>
        <v>0.88360818409488262</v>
      </c>
      <c r="E41">
        <v>4</v>
      </c>
      <c r="F41">
        <f ca="1">SUMIF(tables_373100!J:J,input_373100!E41,tables_373100!O:O)</f>
        <v>11699400</v>
      </c>
      <c r="G41">
        <f ca="1">F41/A36</f>
        <v>0.93</v>
      </c>
    </row>
    <row r="42" spans="1:7" x14ac:dyDescent="0.15">
      <c r="A42" s="33" t="s">
        <v>106</v>
      </c>
      <c r="B42">
        <f ca="1">SUMIF(tables_373100!C:C,input_373100!A42,tables_373100!O:O)</f>
        <v>335580</v>
      </c>
      <c r="C42" s="54">
        <f t="shared" ca="1" si="9"/>
        <v>3.9642300240986625E-2</v>
      </c>
      <c r="E42">
        <v>5</v>
      </c>
      <c r="F42">
        <f ca="1">SUMIF(tables_373100!J:J,input_373100!E42,tables_373100!O:O)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SUMIF(tables_373100!C:C,input_373100!A43,tables_373100!O:O)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SUMIF(tables_373100!C:C,input_373100!A44,tables_373100!O:O)</f>
        <v>393680</v>
      </c>
      <c r="C44" s="54">
        <f t="shared" ca="1" si="9"/>
        <v>4.6505693899730659E-2</v>
      </c>
      <c r="E44" t="s">
        <v>54</v>
      </c>
      <c r="F44" s="55"/>
    </row>
    <row r="45" spans="1:7" x14ac:dyDescent="0.15">
      <c r="A45" s="33" t="s">
        <v>107</v>
      </c>
      <c r="B45">
        <f ca="1">SUMIF(tables_373100!C:C,input_373100!A45,tables_373100!O:O)</f>
        <v>256020</v>
      </c>
      <c r="C45" s="54">
        <f t="shared" ca="1" si="9"/>
        <v>3.0243821764400131E-2</v>
      </c>
      <c r="E45" t="s">
        <v>204</v>
      </c>
      <c r="F45" s="55">
        <f ca="1">SUMIF(tables_373100!I:I,input_373100!E45,tables_373100!P:P)</f>
        <v>0.22352941176470581</v>
      </c>
    </row>
    <row r="46" spans="1:7" x14ac:dyDescent="0.15">
      <c r="A46" s="33" t="s">
        <v>108</v>
      </c>
      <c r="B46">
        <f>SUMIF(tables_373100!C:C,input_373100!A46,tables_373100!O:O)</f>
        <v>0</v>
      </c>
      <c r="C46" s="54">
        <f t="shared" ca="1" si="9"/>
        <v>0</v>
      </c>
      <c r="E46" t="s">
        <v>205</v>
      </c>
      <c r="F46" s="55">
        <f ca="1">SUMIF(tables_373100!I:I,input_373100!E46,tables_373100!P:P)</f>
        <v>0.22352941176470603</v>
      </c>
    </row>
    <row r="47" spans="1:7" x14ac:dyDescent="0.15">
      <c r="A47" s="39" t="s">
        <v>59</v>
      </c>
      <c r="B47">
        <f ca="1">SUM(B40:B46)</f>
        <v>8465200</v>
      </c>
      <c r="C47" s="55">
        <f ca="1">SUM(C40:C46)</f>
        <v>1</v>
      </c>
      <c r="E47" t="s">
        <v>206</v>
      </c>
      <c r="F47" s="55">
        <f ca="1">SUMIF(tables_373100!I:I,input_373100!E47,tables_373100!P:P)</f>
        <v>0.50294117647058834</v>
      </c>
    </row>
    <row r="48" spans="1:7" x14ac:dyDescent="0.15">
      <c r="E48" t="s">
        <v>207</v>
      </c>
      <c r="F48" s="55">
        <f ca="1">SUMIF(tables_373100!I:I,input_373100!E48,tables_373100!P:P)</f>
        <v>5.0000000000000058E-2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80" activePane="bottomLeft" state="frozen"/>
      <selection activeCell="D34" sqref="D34"/>
      <selection pane="bottomLeft" activeCell="P8" sqref="P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input_373100!A$2</f>
        <v>373100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IFERROR(VLOOKUP(B2,input_373100!L:R,7,FALSE),VLOOKUP(tables_373100!C2,input_373100!A:H,8,FALSE))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input_373100!A$2</f>
        <v>373100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IFERROR(VLOOKUP(B3,input_373100!L:R,7,FALSE),VLOOKUP(tables_373100!C3,input_373100!A:H,8,FALSE))</f>
        <v>140600</v>
      </c>
      <c r="P3" s="46">
        <f t="shared" ca="1" si="2"/>
        <v>1.1176470588235295E-2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input_373100!A$2</f>
        <v>373100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IFERROR(VLOOKUP(B4,input_373100!L:R,7,FALSE),VLOOKUP(tables_373100!C4,input_373100!A:H,8,FALSE))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input_373100!A$2</f>
        <v>373100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IFERROR(VLOOKUP(B5,input_373100!L:R,7,FALSE),VLOOKUP(tables_373100!C5,input_373100!A:H,8,FALSE))</f>
        <v>140600</v>
      </c>
      <c r="P5" s="46">
        <f t="shared" ca="1" si="2"/>
        <v>1.1176470588235295E-2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input_373100!A$2</f>
        <v>373100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IFERROR(VLOOKUP(B6,input_373100!L:R,7,FALSE),VLOOKUP(tables_373100!C6,input_373100!A:H,8,FALSE))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input_373100!A$2</f>
        <v>373100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IFERROR(VLOOKUP(B7,input_373100!L:R,7,FALSE),VLOOKUP(tables_373100!C7,input_373100!A:H,8,FALSE))</f>
        <v>140600</v>
      </c>
      <c r="P7" s="46">
        <f t="shared" ca="1" si="2"/>
        <v>1.1176470588235295E-2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input_373100!A$2</f>
        <v>373100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IFERROR(VLOOKUP(B8,input_373100!L:R,7,FALSE),VLOOKUP(tables_373100!C8,input_373100!A:H,8,FALSE))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input_373100!A$2</f>
        <v>373100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IFERROR(VLOOKUP(B9,input_373100!L:R,7,FALSE),VLOOKUP(tables_373100!C9,input_373100!A:H,8,FALSE))</f>
        <v>140600</v>
      </c>
      <c r="P9" s="46">
        <f t="shared" ca="1" si="2"/>
        <v>1.1176470588235295E-2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input_373100!A$2</f>
        <v>373100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IFERROR(VLOOKUP(B10,input_373100!L:R,7,FALSE),VLOOKUP(tables_373100!C10,input_373100!A:H,8,FALSE))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input_373100!A$2</f>
        <v>373100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IFERROR(VLOOKUP(B11,input_373100!L:R,7,FALSE),VLOOKUP(tables_373100!C11,input_373100!A:H,8,FALSE))</f>
        <v>140600</v>
      </c>
      <c r="P11" s="46">
        <f t="shared" ca="1" si="2"/>
        <v>1.1176470588235295E-2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input_373100!A$2</f>
        <v>373100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IFERROR(VLOOKUP(B12,input_373100!L:R,7,FALSE),VLOOKUP(tables_373100!C12,input_373100!A:H,8,FALSE))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input_373100!A$2</f>
        <v>373100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IFERROR(VLOOKUP(B13,input_373100!L:R,7,FALSE),VLOOKUP(tables_373100!C13,input_373100!A:H,8,FALSE))</f>
        <v>140600</v>
      </c>
      <c r="P13" s="46">
        <f t="shared" ca="1" si="2"/>
        <v>1.1176470588235295E-2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input_373100!A$2</f>
        <v>373100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IFERROR(VLOOKUP(B14,input_373100!L:R,7,FALSE),VLOOKUP(tables_373100!C14,input_373100!A:H,8,FALSE))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input_373100!A$2</f>
        <v>373100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IFERROR(VLOOKUP(B15,input_373100!L:R,7,FALSE),VLOOKUP(tables_373100!C15,input_373100!A:H,8,FALSE))</f>
        <v>140600</v>
      </c>
      <c r="P15" s="46">
        <f t="shared" ca="1" si="2"/>
        <v>1.1176470588235295E-2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input_373100!A$2</f>
        <v>373100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IFERROR(VLOOKUP(B16,input_373100!L:R,7,FALSE),VLOOKUP(tables_373100!C16,input_373100!A:H,8,FALSE))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input_373100!A$2</f>
        <v>373100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IFERROR(VLOOKUP(B17,input_373100!L:R,7,FALSE),VLOOKUP(tables_373100!C17,input_373100!A:H,8,FALSE))</f>
        <v>140600</v>
      </c>
      <c r="P17" s="46">
        <f t="shared" ca="1" si="2"/>
        <v>1.1176470588235295E-2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input_373100!A$2</f>
        <v>373100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IFERROR(VLOOKUP(B18,input_373100!L:R,7,FALSE),VLOOKUP(tables_373100!C18,input_373100!A:H,8,FALSE))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input_373100!A$2</f>
        <v>373100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IFERROR(VLOOKUP(B19,input_373100!L:R,7,FALSE),VLOOKUP(tables_373100!C19,input_373100!A:H,8,FALSE))</f>
        <v>140600</v>
      </c>
      <c r="P19" s="46">
        <f t="shared" ca="1" si="2"/>
        <v>1.1176470588235295E-2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input_373100!A$2</f>
        <v>373100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IFERROR(VLOOKUP(B20,input_373100!L:R,7,FALSE),VLOOKUP(tables_373100!C20,input_373100!A:H,8,FALSE))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input_373100!A$2</f>
        <v>373100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IFERROR(VLOOKUP(B21,input_373100!L:R,7,FALSE),VLOOKUP(tables_373100!C21,input_373100!A:H,8,FALSE))</f>
        <v>140600</v>
      </c>
      <c r="P21" s="46">
        <f t="shared" ca="1" si="2"/>
        <v>1.1176470588235295E-2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input_373100!A$2</f>
        <v>373100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IFERROR(VLOOKUP(B22,input_373100!L:R,7,FALSE),VLOOKUP(tables_373100!C22,input_373100!A:H,8,FALSE))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input_373100!A$2</f>
        <v>373100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IFERROR(VLOOKUP(B23,input_373100!L:R,7,FALSE),VLOOKUP(tables_373100!C23,input_373100!A:H,8,FALSE))</f>
        <v>140600</v>
      </c>
      <c r="P23" s="46">
        <f t="shared" ca="1" si="2"/>
        <v>1.1176470588235295E-2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input_373100!A$2</f>
        <v>373100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IFERROR(VLOOKUP(B24,input_373100!L:R,7,FALSE),VLOOKUP(tables_373100!C24,input_373100!A:H,8,FALSE))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input_373100!A$2</f>
        <v>373100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IFERROR(VLOOKUP(B25,input_373100!L:R,7,FALSE),VLOOKUP(tables_373100!C25,input_373100!A:H,8,FALSE))</f>
        <v>140600</v>
      </c>
      <c r="P25" s="46">
        <f t="shared" ca="1" si="2"/>
        <v>1.1176470588235295E-2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input_373100!A$2</f>
        <v>373100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IFERROR(VLOOKUP(B26,input_373100!L:R,7,FALSE),VLOOKUP(tables_373100!C26,input_373100!A:H,8,FALSE))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input_373100!A$2</f>
        <v>373100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IFERROR(VLOOKUP(B27,input_373100!L:R,7,FALSE),VLOOKUP(tables_373100!C27,input_373100!A:H,8,FALSE))</f>
        <v>140600</v>
      </c>
      <c r="P27" s="46">
        <f t="shared" ca="1" si="2"/>
        <v>1.1176470588235295E-2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input_373100!A$2</f>
        <v>373100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IFERROR(VLOOKUP(B28,input_373100!L:R,7,FALSE),VLOOKUP(tables_373100!C28,input_373100!A:H,8,FALSE))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input_373100!A$2</f>
        <v>373100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IFERROR(VLOOKUP(B29,input_373100!L:R,7,FALSE),VLOOKUP(tables_373100!C29,input_373100!A:H,8,FALSE))</f>
        <v>140600</v>
      </c>
      <c r="P29" s="46">
        <f t="shared" ca="1" si="2"/>
        <v>1.1176470588235295E-2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input_373100!A$2</f>
        <v>373100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IFERROR(VLOOKUP(B30,input_373100!L:R,7,FALSE),VLOOKUP(tables_373100!C30,input_373100!A:H,8,FALSE))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input_373100!A$2</f>
        <v>373100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IFERROR(VLOOKUP(B31,input_373100!L:R,7,FALSE),VLOOKUP(tables_373100!C31,input_373100!A:H,8,FALSE))</f>
        <v>140600</v>
      </c>
      <c r="P31" s="46">
        <f t="shared" ca="1" si="2"/>
        <v>1.1176470588235295E-2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input_373100!A$2</f>
        <v>373100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IFERROR(VLOOKUP(B32,input_373100!L:R,7,FALSE),VLOOKUP(tables_373100!C32,input_373100!A:H,8,FALSE))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input_373100!A$2</f>
        <v>373100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IFERROR(VLOOKUP(B33,input_373100!L:R,7,FALSE),VLOOKUP(tables_373100!C33,input_373100!A:H,8,FALSE))</f>
        <v>140600</v>
      </c>
      <c r="P33" s="46">
        <f t="shared" ca="1" si="2"/>
        <v>1.1176470588235295E-2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input_373100!A$2</f>
        <v>373100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IFERROR(VLOOKUP(B34,input_373100!L:R,7,FALSE),VLOOKUP(tables_373100!C34,input_373100!A:H,8,FALSE))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input_373100!A$2</f>
        <v>373100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IFERROR(VLOOKUP(B35,input_373100!L:R,7,FALSE),VLOOKUP(tables_373100!C35,input_373100!A:H,8,FALSE))</f>
        <v>140600</v>
      </c>
      <c r="P35" s="46">
        <f t="shared" ca="1" si="2"/>
        <v>1.1176470588235295E-2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input_373100!A$2</f>
        <v>373100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IFERROR(VLOOKUP(B36,input_373100!L:R,7,FALSE),VLOOKUP(tables_373100!C36,input_373100!A:H,8,FALSE))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input_373100!A$2</f>
        <v>373100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IFERROR(VLOOKUP(B37,input_373100!L:R,7,FALSE),VLOOKUP(tables_373100!C37,input_373100!A:H,8,FALSE))</f>
        <v>140600</v>
      </c>
      <c r="P37" s="46">
        <f t="shared" ca="1" si="2"/>
        <v>1.1176470588235295E-2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input_373100!A$2</f>
        <v>373100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IFERROR(VLOOKUP(B38,input_373100!L:R,7,FALSE),VLOOKUP(tables_373100!C38,input_373100!A:H,8,FALSE))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input_373100!A$2</f>
        <v>373100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IFERROR(VLOOKUP(B39,input_373100!L:R,7,FALSE),VLOOKUP(tables_373100!C39,input_373100!A:H,8,FALSE))</f>
        <v>140600</v>
      </c>
      <c r="P39" s="46">
        <f t="shared" ca="1" si="2"/>
        <v>1.1176470588235295E-2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input_373100!A$2</f>
        <v>373100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IFERROR(VLOOKUP(B40,input_373100!L:R,7,FALSE),VLOOKUP(tables_373100!C40,input_373100!A:H,8,FALSE))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input_373100!A$2</f>
        <v>373100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IFERROR(VLOOKUP(B41,input_373100!L:R,7,FALSE),VLOOKUP(tables_373100!C41,input_373100!A:H,8,FALSE))</f>
        <v>140600</v>
      </c>
      <c r="P41" s="46">
        <f t="shared" ca="1" si="2"/>
        <v>1.1176470588235295E-2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input_373100!A$2</f>
        <v>373100</v>
      </c>
      <c r="B42" s="6">
        <v>166</v>
      </c>
      <c r="C42" s="7" t="str">
        <f t="shared" si="0"/>
        <v>Premium3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IFERROR(VLOOKUP(B42,input_373100!L:R,7,FALSE),VLOOKUP(tables_373100!C42,input_373100!A:H,8,FALSE))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input_373100!A$2</f>
        <v>373100</v>
      </c>
      <c r="B43" s="6">
        <v>167</v>
      </c>
      <c r="C43" s="7" t="str">
        <f t="shared" si="0"/>
        <v>Premium4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IFERROR(VLOOKUP(B43,input_373100!L:R,7,FALSE),VLOOKUP(tables_373100!C43,input_373100!A:H,8,FALSE))</f>
        <v>133570</v>
      </c>
      <c r="P43" s="46">
        <f t="shared" ca="1" si="2"/>
        <v>1.061764705882353E-2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input_373100!A$2</f>
        <v>373100</v>
      </c>
      <c r="B44" s="6">
        <v>168</v>
      </c>
      <c r="C44" s="7" t="str">
        <f t="shared" si="0"/>
        <v>Premium5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IFERROR(VLOOKUP(B44,input_373100!L:R,7,FALSE),VLOOKUP(tables_373100!C44,input_373100!A:H,8,FALSE))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input_373100!A$2</f>
        <v>373100</v>
      </c>
      <c r="B45" s="6">
        <v>169</v>
      </c>
      <c r="C45" s="7" t="str">
        <f t="shared" si="0"/>
        <v>Premium3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IFERROR(VLOOKUP(B45,input_373100!L:R,7,FALSE),VLOOKUP(tables_373100!C45,input_373100!A:H,8,FALSE))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input_373100!A$2</f>
        <v>373100</v>
      </c>
      <c r="B46" s="6">
        <v>170</v>
      </c>
      <c r="C46" s="7" t="str">
        <f t="shared" si="0"/>
        <v>Premium4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IFERROR(VLOOKUP(B46,input_373100!L:R,7,FALSE),VLOOKUP(tables_373100!C46,input_373100!A:H,8,FALSE))</f>
        <v>133570</v>
      </c>
      <c r="P46" s="46">
        <f t="shared" ca="1" si="2"/>
        <v>1.061764705882353E-2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input_373100!A$2</f>
        <v>373100</v>
      </c>
      <c r="B47" s="6">
        <v>171</v>
      </c>
      <c r="C47" s="7" t="str">
        <f t="shared" si="0"/>
        <v>Premium5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IFERROR(VLOOKUP(B47,input_373100!L:R,7,FALSE),VLOOKUP(tables_373100!C47,input_373100!A:H,8,FALSE))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input_373100!A$2</f>
        <v>373100</v>
      </c>
      <c r="B48" s="6">
        <v>172</v>
      </c>
      <c r="C48" s="7" t="str">
        <f t="shared" si="0"/>
        <v>Premium3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IFERROR(VLOOKUP(B48,input_373100!L:R,7,FALSE),VLOOKUP(tables_373100!C48,input_373100!A:H,8,FALSE))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input_373100!A$2</f>
        <v>373100</v>
      </c>
      <c r="B49" s="6">
        <v>173</v>
      </c>
      <c r="C49" s="7" t="str">
        <f t="shared" si="0"/>
        <v>Premium4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IFERROR(VLOOKUP(B49,input_373100!L:R,7,FALSE),VLOOKUP(tables_373100!C49,input_373100!A:H,8,FALSE))</f>
        <v>133570</v>
      </c>
      <c r="P49" s="46">
        <f t="shared" ca="1" si="2"/>
        <v>1.061764705882353E-2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input_373100!A$2</f>
        <v>373100</v>
      </c>
      <c r="B50" s="6">
        <v>174</v>
      </c>
      <c r="C50" s="7" t="str">
        <f t="shared" si="0"/>
        <v>Premium5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IFERROR(VLOOKUP(B50,input_373100!L:R,7,FALSE),VLOOKUP(tables_373100!C50,input_373100!A:H,8,FALSE))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input_373100!A$2</f>
        <v>373100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IFERROR(VLOOKUP(B51,input_373100!L:R,7,FALSE),VLOOKUP(tables_373100!C51,input_373100!A:H,8,FALSE))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input_373100!A$2</f>
        <v>373100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IFERROR(VLOOKUP(B52,input_373100!L:R,7,FALSE),VLOOKUP(tables_373100!C52,input_373100!A:H,8,FALSE))</f>
        <v>133570</v>
      </c>
      <c r="P52" s="46">
        <f t="shared" ca="1" si="2"/>
        <v>1.061764705882353E-2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input_373100!A$2</f>
        <v>373100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IFERROR(VLOOKUP(B53,input_373100!L:R,7,FALSE),VLOOKUP(tables_373100!C53,input_373100!A:H,8,FALSE))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input_373100!A$2</f>
        <v>373100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IFERROR(VLOOKUP(B54,input_373100!L:R,7,FALSE),VLOOKUP(tables_373100!C54,input_373100!A:H,8,FALSE))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input_373100!A$2</f>
        <v>373100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IFERROR(VLOOKUP(B55,input_373100!L:R,7,FALSE),VLOOKUP(tables_373100!C55,input_373100!A:H,8,FALSE))</f>
        <v>133570</v>
      </c>
      <c r="P55" s="46">
        <f t="shared" ca="1" si="2"/>
        <v>1.061764705882353E-2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input_373100!A$2</f>
        <v>373100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IFERROR(VLOOKUP(B56,input_373100!L:R,7,FALSE),VLOOKUP(tables_373100!C56,input_373100!A:H,8,FALSE))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input_373100!A$2</f>
        <v>373100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IFERROR(VLOOKUP(B57,input_373100!L:R,7,FALSE),VLOOKUP(tables_373100!C57,input_373100!A:H,8,FALSE))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input_373100!A$2</f>
        <v>373100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IFERROR(VLOOKUP(B58,input_373100!L:R,7,FALSE),VLOOKUP(tables_373100!C58,input_373100!A:H,8,FALSE))</f>
        <v>133570</v>
      </c>
      <c r="P58" s="46">
        <f t="shared" ca="1" si="2"/>
        <v>1.061764705882353E-2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input_373100!A$2</f>
        <v>373100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IFERROR(VLOOKUP(B59,input_373100!L:R,7,FALSE),VLOOKUP(tables_373100!C59,input_373100!A:H,8,FALSE))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input_373100!A$2</f>
        <v>373100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IFERROR(VLOOKUP(B60,input_373100!L:R,7,FALSE),VLOOKUP(tables_373100!C60,input_373100!A:H,8,FALSE))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input_373100!A$2</f>
        <v>373100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IFERROR(VLOOKUP(B61,input_373100!L:R,7,FALSE),VLOOKUP(tables_373100!C61,input_373100!A:H,8,FALSE))</f>
        <v>133570</v>
      </c>
      <c r="P61" s="46">
        <f t="shared" ca="1" si="2"/>
        <v>1.061764705882353E-2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input_373100!A$2</f>
        <v>373100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IFERROR(VLOOKUP(B62,input_373100!L:R,7,FALSE),VLOOKUP(tables_373100!C62,input_373100!A:H,8,FALSE))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input_373100!A$2</f>
        <v>373100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IFERROR(VLOOKUP(B63,input_373100!L:R,7,FALSE),VLOOKUP(tables_373100!C63,input_373100!A:H,8,FALSE))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input_373100!A$2</f>
        <v>373100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IFERROR(VLOOKUP(B64,input_373100!L:R,7,FALSE),VLOOKUP(tables_373100!C64,input_373100!A:H,8,FALSE))</f>
        <v>133570</v>
      </c>
      <c r="P64" s="46">
        <f t="shared" ca="1" si="2"/>
        <v>1.061764705882353E-2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input_373100!A$2</f>
        <v>373100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IFERROR(VLOOKUP(B65,input_373100!L:R,7,FALSE),VLOOKUP(tables_373100!C65,input_373100!A:H,8,FALSE))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input_373100!A$2</f>
        <v>373100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IFERROR(VLOOKUP(B66,input_373100!L:R,7,FALSE),VLOOKUP(tables_373100!C66,input_373100!A:H,8,FALSE))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input_373100!A$2</f>
        <v>373100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IFERROR(VLOOKUP(B67,input_373100!L:R,7,FALSE),VLOOKUP(tables_373100!C67,input_373100!A:H,8,FALSE))</f>
        <v>133570</v>
      </c>
      <c r="P67" s="46">
        <f t="shared" ca="1" si="5"/>
        <v>1.061764705882353E-2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input_373100!A$2</f>
        <v>373100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IFERROR(VLOOKUP(B68,input_373100!L:R,7,FALSE),VLOOKUP(tables_373100!C68,input_373100!A:H,8,FALSE))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input_373100!A$2</f>
        <v>373100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IFERROR(VLOOKUP(B69,input_373100!L:R,7,FALSE),VLOOKUP(tables_373100!C69,input_373100!A:H,8,FALSE))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input_373100!A$2</f>
        <v>373100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IFERROR(VLOOKUP(B70,input_373100!L:R,7,FALSE),VLOOKUP(tables_373100!C70,input_373100!A:H,8,FALSE))</f>
        <v>133570</v>
      </c>
      <c r="P70" s="46">
        <f t="shared" ca="1" si="5"/>
        <v>1.061764705882353E-2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input_373100!A$2</f>
        <v>373100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IFERROR(VLOOKUP(B71,input_373100!L:R,7,FALSE),VLOOKUP(tables_373100!C71,input_373100!A:H,8,FALSE))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input_373100!A$2</f>
        <v>373100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IFERROR(VLOOKUP(B72,input_373100!L:R,7,FALSE),VLOOKUP(tables_373100!C72,input_373100!A:H,8,FALSE))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input_373100!A$2</f>
        <v>373100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IFERROR(VLOOKUP(B73,input_373100!L:R,7,FALSE),VLOOKUP(tables_373100!C73,input_373100!A:H,8,FALSE))</f>
        <v>133570</v>
      </c>
      <c r="P73" s="46">
        <f t="shared" ca="1" si="5"/>
        <v>1.061764705882353E-2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input_373100!A$2</f>
        <v>373100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IFERROR(VLOOKUP(B74,input_373100!L:R,7,FALSE),VLOOKUP(tables_373100!C74,input_373100!A:H,8,FALSE))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input_373100!A$2</f>
        <v>373100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IFERROR(VLOOKUP(B75,input_373100!L:R,7,FALSE),VLOOKUP(tables_373100!C75,input_373100!A:H,8,FALSE))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input_373100!A$2</f>
        <v>373100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IFERROR(VLOOKUP(B76,input_373100!L:R,7,FALSE),VLOOKUP(tables_373100!C76,input_373100!A:H,8,FALSE))</f>
        <v>133570</v>
      </c>
      <c r="P76" s="46">
        <f t="shared" ca="1" si="5"/>
        <v>1.061764705882353E-2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input_373100!A$2</f>
        <v>373100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IFERROR(VLOOKUP(B77,input_373100!L:R,7,FALSE),VLOOKUP(tables_373100!C77,input_373100!A:H,8,FALSE))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input_373100!A$2</f>
        <v>373100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IFERROR(VLOOKUP(B78,input_373100!L:R,7,FALSE),VLOOKUP(tables_373100!C78,input_373100!A:H,8,FALSE))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input_373100!A$2</f>
        <v>373100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IFERROR(VLOOKUP(B79,input_373100!L:R,7,FALSE),VLOOKUP(tables_373100!C79,input_373100!A:H,8,FALSE))</f>
        <v>133570</v>
      </c>
      <c r="P79" s="46">
        <f t="shared" ca="1" si="5"/>
        <v>1.061764705882353E-2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input_373100!A$2</f>
        <v>373100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IFERROR(VLOOKUP(B80,input_373100!L:R,7,FALSE),VLOOKUP(tables_373100!C80,input_373100!A:H,8,FALSE))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input_373100!A$2</f>
        <v>373100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IFERROR(VLOOKUP(B81,input_373100!L:R,7,FALSE),VLOOKUP(tables_373100!C81,input_373100!A:H,8,FALSE))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input_373100!A$2</f>
        <v>373100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IFERROR(VLOOKUP(B82,input_373100!L:R,7,FALSE),VLOOKUP(tables_373100!C82,input_373100!A:H,8,FALSE))</f>
        <v>133570</v>
      </c>
      <c r="P82" s="46">
        <f t="shared" ca="1" si="5"/>
        <v>1.061764705882353E-2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input_373100!A$2</f>
        <v>373100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IFERROR(VLOOKUP(B83,input_373100!L:R,7,FALSE),VLOOKUP(tables_373100!C83,input_373100!A:H,8,FALSE))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input_373100!A$2</f>
        <v>373100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IFERROR(VLOOKUP(B84,input_373100!L:R,7,FALSE),VLOOKUP(tables_373100!C84,input_373100!A:H,8,FALSE))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input_373100!A$2</f>
        <v>373100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IFERROR(VLOOKUP(B85,input_373100!L:R,7,FALSE),VLOOKUP(tables_373100!C85,input_373100!A:H,8,FALSE))</f>
        <v>133570</v>
      </c>
      <c r="P85" s="46">
        <f t="shared" ca="1" si="5"/>
        <v>1.061764705882353E-2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input_373100!A$2</f>
        <v>373100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IFERROR(VLOOKUP(B86,input_373100!L:R,7,FALSE),VLOOKUP(tables_373100!C86,input_373100!A:H,8,FALSE))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input_373100!A$2</f>
        <v>373100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IFERROR(VLOOKUP(B87,input_373100!L:R,7,FALSE),VLOOKUP(tables_373100!C87,input_373100!A:H,8,FALSE))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input_373100!A$2</f>
        <v>373100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IFERROR(VLOOKUP(B88,input_373100!L:R,7,FALSE),VLOOKUP(tables_373100!C88,input_373100!A:H,8,FALSE))</f>
        <v>133570</v>
      </c>
      <c r="P88" s="46">
        <f t="shared" ca="1" si="5"/>
        <v>1.061764705882353E-2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input_373100!A$2</f>
        <v>373100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IFERROR(VLOOKUP(B89,input_373100!L:R,7,FALSE),VLOOKUP(tables_373100!C89,input_373100!A:H,8,FALSE))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input_373100!A$2</f>
        <v>373100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IFERROR(VLOOKUP(B90,input_373100!L:R,7,FALSE),VLOOKUP(tables_373100!C90,input_373100!A:H,8,FALSE))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input_373100!A$2</f>
        <v>373100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IFERROR(VLOOKUP(B91,input_373100!L:R,7,FALSE),VLOOKUP(tables_373100!C91,input_373100!A:H,8,FALSE))</f>
        <v>133570</v>
      </c>
      <c r="P91" s="46">
        <f t="shared" ca="1" si="5"/>
        <v>1.061764705882353E-2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input_373100!A$2</f>
        <v>373100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IFERROR(VLOOKUP(B92,input_373100!L:R,7,FALSE),VLOOKUP(tables_373100!C92,input_373100!A:H,8,FALSE))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input_373100!A$2</f>
        <v>373100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IFERROR(VLOOKUP(B93,input_373100!L:R,7,FALSE),VLOOKUP(tables_373100!C93,input_373100!A:H,8,FALSE))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input_373100!A$2</f>
        <v>373100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IFERROR(VLOOKUP(B94,input_373100!L:R,7,FALSE),VLOOKUP(tables_373100!C94,input_373100!A:H,8,FALSE))</f>
        <v>133570</v>
      </c>
      <c r="P94" s="46">
        <f t="shared" ca="1" si="5"/>
        <v>1.061764705882353E-2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input_373100!A$2</f>
        <v>373100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IFERROR(VLOOKUP(B95,input_373100!L:R,7,FALSE),VLOOKUP(tables_373100!C95,input_373100!A:H,8,FALSE))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input_373100!A$2</f>
        <v>373100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IFERROR(VLOOKUP(B96,input_373100!L:R,7,FALSE),VLOOKUP(tables_373100!C96,input_373100!A:H,8,FALSE))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input_373100!A$2</f>
        <v>373100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IFERROR(VLOOKUP(B97,input_373100!L:R,7,FALSE),VLOOKUP(tables_373100!C97,input_373100!A:H,8,FALSE))</f>
        <v>133570</v>
      </c>
      <c r="P97" s="46">
        <f t="shared" ca="1" si="5"/>
        <v>1.061764705882353E-2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input_373100!A$2</f>
        <v>373100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IFERROR(VLOOKUP(B98,input_373100!L:R,7,FALSE),VLOOKUP(tables_373100!C98,input_373100!A:H,8,FALSE))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input_373100!A$2</f>
        <v>373100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IFERROR(VLOOKUP(B99,input_373100!L:R,7,FALSE),VLOOKUP(tables_373100!C99,input_373100!A:H,8,FALSE))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input_373100!A$2</f>
        <v>373100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IFERROR(VLOOKUP(B100,input_373100!L:R,7,FALSE),VLOOKUP(tables_373100!C100,input_373100!A:H,8,FALSE))</f>
        <v>133570</v>
      </c>
      <c r="P100" s="46">
        <f t="shared" ca="1" si="5"/>
        <v>1.061764705882353E-2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input_373100!A$2</f>
        <v>373100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IFERROR(VLOOKUP(B101,input_373100!L:R,7,FALSE),VLOOKUP(tables_373100!C101,input_373100!A:H,8,FALSE))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input_373100!A$2</f>
        <v>373100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IFERROR(VLOOKUP(B102,input_373100!L:R,7,FALSE),VLOOKUP(tables_373100!C102,input_373100!A:H,8,FALSE))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input_373100!A$2</f>
        <v>373100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IFERROR(VLOOKUP(B103,input_373100!L:R,7,FALSE),VLOOKUP(tables_373100!C103,input_373100!A:H,8,FALSE))</f>
        <v>133570</v>
      </c>
      <c r="P103" s="46">
        <f t="shared" ca="1" si="5"/>
        <v>1.061764705882353E-2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input_373100!A$2</f>
        <v>373100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IFERROR(VLOOKUP(B104,input_373100!L:R,7,FALSE),VLOOKUP(tables_373100!C104,input_373100!A:H,8,FALSE))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input_373100!A$2</f>
        <v>373100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IFERROR(VLOOKUP(B105,input_373100!L:R,7,FALSE),VLOOKUP(tables_373100!C105,input_373100!A:H,8,FALSE))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input_373100!A$2</f>
        <v>373100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IFERROR(VLOOKUP(B106,input_373100!L:R,7,FALSE),VLOOKUP(tables_373100!C106,input_373100!A:H,8,FALSE))</f>
        <v>133570</v>
      </c>
      <c r="P106" s="46">
        <f t="shared" ca="1" si="5"/>
        <v>1.061764705882353E-2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input_373100!A$2</f>
        <v>373100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IFERROR(VLOOKUP(B107,input_373100!L:R,7,FALSE),VLOOKUP(tables_373100!C107,input_373100!A:H,8,FALSE))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input_373100!A$2</f>
        <v>373100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IFERROR(VLOOKUP(B108,input_373100!L:R,7,FALSE),VLOOKUP(tables_373100!C108,input_373100!A:H,8,FALSE))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input_373100!A$2</f>
        <v>373100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IFERROR(VLOOKUP(B109,input_373100!L:R,7,FALSE),VLOOKUP(tables_373100!C109,input_373100!A:H,8,FALSE))</f>
        <v>133570</v>
      </c>
      <c r="P109" s="46">
        <f t="shared" ca="1" si="5"/>
        <v>1.061764705882353E-2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input_373100!A$2</f>
        <v>373100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IFERROR(VLOOKUP(B110,input_373100!L:R,7,FALSE),VLOOKUP(tables_373100!C110,input_373100!A:H,8,FALSE))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input_373100!A$2</f>
        <v>373100</v>
      </c>
      <c r="B111" s="5">
        <v>235</v>
      </c>
      <c r="C111" s="7" t="str">
        <f t="shared" si="3"/>
        <v>Premium3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IFERROR(VLOOKUP(B111,input_373100!L:R,7,FALSE),VLOOKUP(tables_373100!C111,input_373100!A:H,8,FALSE))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input_373100!A$2</f>
        <v>373100</v>
      </c>
      <c r="B112" s="5">
        <v>236</v>
      </c>
      <c r="C112" s="7" t="str">
        <f t="shared" si="3"/>
        <v>Premium4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IFERROR(VLOOKUP(B112,input_373100!L:R,7,FALSE),VLOOKUP(tables_373100!C112,input_373100!A:H,8,FALSE))</f>
        <v>133570</v>
      </c>
      <c r="P112" s="46">
        <f t="shared" ca="1" si="5"/>
        <v>1.061764705882353E-2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input_373100!A$2</f>
        <v>373100</v>
      </c>
      <c r="B113" s="5">
        <v>237</v>
      </c>
      <c r="C113" s="7" t="str">
        <f t="shared" si="3"/>
        <v>Premium5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IFERROR(VLOOKUP(B113,input_373100!L:R,7,FALSE),VLOOKUP(tables_373100!C113,input_373100!A:H,8,FALSE))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input_373100!A$2</f>
        <v>373100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IFERROR(VLOOKUP(B114,input_373100!L:R,7,FALSE),VLOOKUP(tables_373100!C114,input_373100!A:H,8,FALSE))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input_373100!A$2</f>
        <v>373100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IFERROR(VLOOKUP(B115,input_373100!L:R,7,FALSE),VLOOKUP(tables_373100!C115,input_373100!A:H,8,FALSE))</f>
        <v>133570</v>
      </c>
      <c r="P115" s="46">
        <f t="shared" ca="1" si="5"/>
        <v>1.061764705882353E-2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input_373100!A$2</f>
        <v>373100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IFERROR(VLOOKUP(B116,input_373100!L:R,7,FALSE),VLOOKUP(tables_373100!C116,input_373100!A:H,8,FALSE))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input_373100!A$2</f>
        <v>373100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IFERROR(VLOOKUP(B117,input_373100!L:R,7,FALSE),VLOOKUP(tables_373100!C117,input_373100!A:H,8,FALSE))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input_373100!A$2</f>
        <v>373100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IFERROR(VLOOKUP(B118,input_373100!L:R,7,FALSE),VLOOKUP(tables_373100!C118,input_373100!A:H,8,FALSE))</f>
        <v>133570</v>
      </c>
      <c r="P118" s="46">
        <f t="shared" ca="1" si="5"/>
        <v>1.061764705882353E-2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input_373100!A$2</f>
        <v>373100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IFERROR(VLOOKUP(B119,input_373100!L:R,7,FALSE),VLOOKUP(tables_373100!C119,input_373100!A:H,8,FALSE))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input_373100!A$2</f>
        <v>373100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IFERROR(VLOOKUP(B120,input_373100!L:R,7,FALSE),VLOOKUP(tables_373100!C120,input_373100!A:H,8,FALSE))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input_373100!A$2</f>
        <v>373100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IFERROR(VLOOKUP(B121,input_373100!L:R,7,FALSE),VLOOKUP(tables_373100!C121,input_373100!A:H,8,FALSE))</f>
        <v>133570</v>
      </c>
      <c r="P121" s="46">
        <f t="shared" ca="1" si="5"/>
        <v>1.061764705882353E-2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input_373100!A$2</f>
        <v>373100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IFERROR(VLOOKUP(B122,input_373100!L:R,7,FALSE),VLOOKUP(tables_373100!C122,input_373100!A:H,8,FALSE))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input_373100!A$2</f>
        <v>373100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IFERROR(VLOOKUP(B123,input_373100!L:R,7,FALSE),VLOOKUP(tables_373100!C123,input_373100!A:H,8,FALSE))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input_373100!A$2</f>
        <v>373100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IFERROR(VLOOKUP(B124,input_373100!L:R,7,FALSE),VLOOKUP(tables_373100!C124,input_373100!A:H,8,FALSE))</f>
        <v>133570</v>
      </c>
      <c r="P124" s="46">
        <f t="shared" ca="1" si="5"/>
        <v>1.061764705882353E-2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input_373100!A$2</f>
        <v>373100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IFERROR(VLOOKUP(B125,input_373100!L:R,7,FALSE),VLOOKUP(tables_373100!C125,input_373100!A:H,8,FALSE))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input_373100!A$2</f>
        <v>373100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IFERROR(VLOOKUP(B126,input_373100!L:R,7,FALSE),VLOOKUP(tables_373100!C126,input_373100!A:H,8,FALSE))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input_373100!A$2</f>
        <v>373100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IFERROR(VLOOKUP(B127,input_373100!L:R,7,FALSE),VLOOKUP(tables_373100!C127,input_373100!A:H,8,FALSE))</f>
        <v>133570</v>
      </c>
      <c r="P127" s="46">
        <f t="shared" ca="1" si="5"/>
        <v>1.061764705882353E-2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input_373100!A$2</f>
        <v>373100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IFERROR(VLOOKUP(B128,input_373100!L:R,7,FALSE),VLOOKUP(tables_373100!C128,input_373100!A:H,8,FALSE))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input_373100!A$2</f>
        <v>373100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IFERROR(VLOOKUP(B129,input_373100!L:R,7,FALSE),VLOOKUP(tables_373100!C129,input_373100!A:H,8,FALSE))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input_373100!A$2</f>
        <v>373100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IFERROR(VLOOKUP(B130,input_373100!L:R,7,FALSE),VLOOKUP(tables_373100!C130,input_373100!A:H,8,FALSE))</f>
        <v>133570</v>
      </c>
      <c r="P130" s="46">
        <f t="shared" ref="P130:P193" ca="1" si="8">O130/SUM(O:O)</f>
        <v>1.061764705882353E-2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input_373100!A$2</f>
        <v>373100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IFERROR(VLOOKUP(B131,input_373100!L:R,7,FALSE),VLOOKUP(tables_373100!C131,input_373100!A:H,8,FALSE))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input_373100!A$2</f>
        <v>373100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IFERROR(VLOOKUP(B132,input_373100!L:R,7,FALSE),VLOOKUP(tables_373100!C132,input_373100!A:H,8,FALSE))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input_373100!A$2</f>
        <v>373100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IFERROR(VLOOKUP(B133,input_373100!L:R,7,FALSE),VLOOKUP(tables_373100!C133,input_373100!A:H,8,FALSE))</f>
        <v>133570</v>
      </c>
      <c r="P133" s="46">
        <f t="shared" ca="1" si="8"/>
        <v>1.061764705882353E-2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input_373100!A$2</f>
        <v>373100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IFERROR(VLOOKUP(B134,input_373100!L:R,7,FALSE),VLOOKUP(tables_373100!C134,input_373100!A:H,8,FALSE))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input_373100!A$2</f>
        <v>373100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IFERROR(VLOOKUP(B135,input_373100!L:R,7,FALSE),VLOOKUP(tables_373100!C135,input_373100!A:H,8,FALSE))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input_373100!A$2</f>
        <v>373100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IFERROR(VLOOKUP(B136,input_373100!L:R,7,FALSE),VLOOKUP(tables_373100!C136,input_373100!A:H,8,FALSE))</f>
        <v>133570</v>
      </c>
      <c r="P136" s="46">
        <f t="shared" ca="1" si="8"/>
        <v>1.061764705882353E-2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input_373100!A$2</f>
        <v>373100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IFERROR(VLOOKUP(B137,input_373100!L:R,7,FALSE),VLOOKUP(tables_373100!C137,input_373100!A:H,8,FALSE))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input_373100!A$2</f>
        <v>373100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IFERROR(VLOOKUP(B138,input_373100!L:R,7,FALSE),VLOOKUP(tables_373100!C138,input_373100!A:H,8,FALSE))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input_373100!A$2</f>
        <v>373100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IFERROR(VLOOKUP(B139,input_373100!L:R,7,FALSE),VLOOKUP(tables_373100!C139,input_373100!A:H,8,FALSE))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input_373100!A$2</f>
        <v>373100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IFERROR(VLOOKUP(B140,input_373100!L:R,7,FALSE),VLOOKUP(tables_373100!C140,input_373100!A:H,8,FALSE))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input_373100!A$2</f>
        <v>373100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IFERROR(VLOOKUP(B141,input_373100!L:R,7,FALSE),VLOOKUP(tables_373100!C141,input_373100!A:H,8,FALSE))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input_373100!A$2</f>
        <v>373100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IFERROR(VLOOKUP(B142,input_373100!L:R,7,FALSE),VLOOKUP(tables_373100!C142,input_373100!A:H,8,FALSE))</f>
        <v>125800</v>
      </c>
      <c r="P142" s="46">
        <f t="shared" ca="1" si="8"/>
        <v>0.01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input_373100!A$2</f>
        <v>373100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IFERROR(VLOOKUP(B143,input_373100!L:R,7,FALSE),VLOOKUP(tables_373100!C143,input_373100!A:H,8,FALSE))</f>
        <v>125800</v>
      </c>
      <c r="P143" s="46">
        <f t="shared" ca="1" si="8"/>
        <v>0.01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input_373100!A$2</f>
        <v>373100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IFERROR(VLOOKUP(B144,input_373100!L:R,7,FALSE),VLOOKUP(tables_373100!C144,input_373100!A:H,8,FALSE))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input_373100!A$2</f>
        <v>373100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IFERROR(VLOOKUP(B145,input_373100!L:R,7,FALSE),VLOOKUP(tables_373100!C145,input_373100!A:H,8,FALSE))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input_373100!A$2</f>
        <v>373100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IFERROR(VLOOKUP(B146,input_373100!L:R,7,FALSE),VLOOKUP(tables_373100!C146,input_373100!A:H,8,FALSE))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input_373100!A$2</f>
        <v>373100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IFERROR(VLOOKUP(B147,input_373100!L:R,7,FALSE),VLOOKUP(tables_373100!C147,input_373100!A:H,8,FALSE))</f>
        <v>133570</v>
      </c>
      <c r="P147" s="46">
        <f t="shared" ca="1" si="8"/>
        <v>1.061764705882353E-2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input_373100!A$2</f>
        <v>373100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IFERROR(VLOOKUP(B148,input_373100!L:R,7,FALSE),VLOOKUP(tables_373100!C148,input_373100!A:H,8,FALSE))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input_373100!A$2</f>
        <v>373100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IFERROR(VLOOKUP(B149,input_373100!L:R,7,FALSE),VLOOKUP(tables_373100!C149,input_373100!A:H,8,FALSE))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input_373100!A$2</f>
        <v>373100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IFERROR(VLOOKUP(B150,input_373100!L:R,7,FALSE),VLOOKUP(tables_373100!C150,input_373100!A:H,8,FALSE))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input_373100!A$2</f>
        <v>373100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IFERROR(VLOOKUP(B151,input_373100!L:R,7,FALSE),VLOOKUP(tables_373100!C151,input_373100!A:H,8,FALSE))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input_373100!A$2</f>
        <v>373100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IFERROR(VLOOKUP(B152,input_373100!L:R,7,FALSE),VLOOKUP(tables_373100!C152,input_373100!A:H,8,FALSE))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input_373100!A$2</f>
        <v>373100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IFERROR(VLOOKUP(B153,input_373100!L:R,7,FALSE),VLOOKUP(tables_373100!C153,input_373100!A:H,8,FALSE))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input_373100!A$2</f>
        <v>373100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IFERROR(VLOOKUP(B154,input_373100!L:R,7,FALSE),VLOOKUP(tables_373100!C154,input_373100!A:H,8,FALSE))</f>
        <v>133570</v>
      </c>
      <c r="P154" s="46">
        <f t="shared" ca="1" si="8"/>
        <v>1.061764705882353E-2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input_373100!A$2</f>
        <v>373100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IFERROR(VLOOKUP(B155,input_373100!L:R,7,FALSE),VLOOKUP(tables_373100!C155,input_373100!A:H,8,FALSE))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input_373100!A$2</f>
        <v>373100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IFERROR(VLOOKUP(B156,input_373100!L:R,7,FALSE),VLOOKUP(tables_373100!C156,input_373100!A:H,8,FALSE))</f>
        <v>125800</v>
      </c>
      <c r="P156" s="46">
        <f t="shared" ca="1" si="8"/>
        <v>0.01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input_373100!A$2</f>
        <v>373100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IFERROR(VLOOKUP(B157,input_373100!L:R,7,FALSE),VLOOKUP(tables_373100!C157,input_373100!A:H,8,FALSE))</f>
        <v>125800</v>
      </c>
      <c r="P157" s="46">
        <f t="shared" ca="1" si="8"/>
        <v>0.01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input_373100!A$2</f>
        <v>373100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IFERROR(VLOOKUP(B158,input_373100!L:R,7,FALSE),VLOOKUP(tables_373100!C158,input_373100!A:H,8,FALSE))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input_373100!A$2</f>
        <v>373100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IFERROR(VLOOKUP(B159,input_373100!L:R,7,FALSE),VLOOKUP(tables_373100!C159,input_373100!A:H,8,FALSE))</f>
        <v>133570</v>
      </c>
      <c r="P159" s="46">
        <f t="shared" ca="1" si="8"/>
        <v>1.061764705882353E-2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input_373100!A$2</f>
        <v>373100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IFERROR(VLOOKUP(B160,input_373100!L:R,7,FALSE),VLOOKUP(tables_373100!C160,input_373100!A:H,8,FALSE))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input_373100!A$2</f>
        <v>373100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IFERROR(VLOOKUP(B161,input_373100!L:R,7,FALSE),VLOOKUP(tables_373100!C161,input_373100!A:H,8,FALSE))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input_373100!A$2</f>
        <v>373100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IFERROR(VLOOKUP(B162,input_373100!L:R,7,FALSE),VLOOKUP(tables_373100!C162,input_373100!A:H,8,FALSE))</f>
        <v>133570</v>
      </c>
      <c r="P162" s="46">
        <f t="shared" ca="1" si="8"/>
        <v>1.061764705882353E-2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input_373100!A$2</f>
        <v>373100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IFERROR(VLOOKUP(B163,input_373100!L:R,7,FALSE),VLOOKUP(tables_373100!C163,input_373100!A:H,8,FALSE))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input_373100!A$2</f>
        <v>373100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IFERROR(VLOOKUP(B164,input_373100!L:R,7,FALSE),VLOOKUP(tables_373100!C164,input_373100!A:H,8,FALSE))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input_373100!A$2</f>
        <v>373100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IFERROR(VLOOKUP(B165,input_373100!L:R,7,FALSE),VLOOKUP(tables_373100!C165,input_373100!A:H,8,FALSE))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input_373100!A$2</f>
        <v>373100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IFERROR(VLOOKUP(B166,input_373100!L:R,7,FALSE),VLOOKUP(tables_373100!C166,input_373100!A:H,8,FALSE))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input_373100!A$2</f>
        <v>373100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IFERROR(VLOOKUP(B167,input_373100!L:R,7,FALSE),VLOOKUP(tables_373100!C167,input_373100!A:H,8,FALSE))</f>
        <v>133570</v>
      </c>
      <c r="P167" s="46">
        <f t="shared" ca="1" si="8"/>
        <v>1.061764705882353E-2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input_373100!A$2</f>
        <v>373100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IFERROR(VLOOKUP(B168,input_373100!L:R,7,FALSE),VLOOKUP(tables_373100!C168,input_373100!A:H,8,FALSE))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input_373100!A$2</f>
        <v>373100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IFERROR(VLOOKUP(B169,input_373100!L:R,7,FALSE),VLOOKUP(tables_373100!C169,input_373100!A:H,8,FALSE))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input_373100!A$2</f>
        <v>373100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IFERROR(VLOOKUP(B170,input_373100!L:R,7,FALSE),VLOOKUP(tables_373100!C170,input_373100!A:H,8,FALSE))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input_373100!A$2</f>
        <v>373100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IFERROR(VLOOKUP(B171,input_373100!L:R,7,FALSE),VLOOKUP(tables_373100!C171,input_373100!A:H,8,FALSE))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input_373100!A$2</f>
        <v>373100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IFERROR(VLOOKUP(B172,input_373100!L:R,7,FALSE),VLOOKUP(tables_373100!C172,input_373100!A:H,8,FALSE))</f>
        <v>133570</v>
      </c>
      <c r="P172" s="46">
        <f t="shared" ca="1" si="8"/>
        <v>1.061764705882353E-2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input_373100!A$2</f>
        <v>373100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IFERROR(VLOOKUP(B173,input_373100!L:R,7,FALSE),VLOOKUP(tables_373100!C173,input_373100!A:H,8,FALSE))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input_373100!A$2</f>
        <v>373100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IFERROR(VLOOKUP(B174,input_373100!L:R,7,FALSE),VLOOKUP(tables_373100!C174,input_373100!A:H,8,FALSE))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input_373100!A$2</f>
        <v>373100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IFERROR(VLOOKUP(B175,input_373100!L:R,7,FALSE),VLOOKUP(tables_373100!C175,input_373100!A:H,8,FALSE))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input_373100!A$2</f>
        <v>373100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IFERROR(VLOOKUP(B176,input_373100!L:R,7,FALSE),VLOOKUP(tables_373100!C176,input_373100!A:H,8,FALSE))</f>
        <v>3230</v>
      </c>
      <c r="P176" s="46">
        <f t="shared" ca="1" si="8"/>
        <v>2.5675675675675678E-4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input_373100!A$2</f>
        <v>373100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IFERROR(VLOOKUP(B177,input_373100!L:R,7,FALSE),VLOOKUP(tables_373100!C177,input_373100!A:H,8,FALSE))</f>
        <v>170</v>
      </c>
      <c r="P177" s="46">
        <f t="shared" ca="1" si="8"/>
        <v>1.3513513513513513E-5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input_373100!A$2</f>
        <v>373100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IFERROR(VLOOKUP(B178,input_373100!L:R,7,FALSE),VLOOKUP(tables_373100!C178,input_373100!A:H,8,FALSE))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input_373100!A$2</f>
        <v>373100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IFERROR(VLOOKUP(B179,input_373100!L:R,7,FALSE),VLOOKUP(tables_373100!C179,input_373100!A:H,8,FALSE))</f>
        <v>133570</v>
      </c>
      <c r="P179" s="46">
        <f t="shared" ca="1" si="8"/>
        <v>1.061764705882353E-2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input_373100!A$2</f>
        <v>373100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IFERROR(VLOOKUP(B180,input_373100!L:R,7,FALSE),VLOOKUP(tables_373100!C180,input_373100!A:H,8,FALSE))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input_373100!A$2</f>
        <v>373100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IFERROR(VLOOKUP(B181,input_373100!L:R,7,FALSE),VLOOKUP(tables_373100!C181,input_373100!A:H,8,FALSE))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input_373100!A$2</f>
        <v>373100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IFERROR(VLOOKUP(B182,input_373100!L:R,7,FALSE),VLOOKUP(tables_373100!C182,input_373100!A:H,8,FALSE))</f>
        <v>133570</v>
      </c>
      <c r="P182" s="46">
        <f t="shared" ca="1" si="8"/>
        <v>1.061764705882353E-2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input_373100!A$2</f>
        <v>373100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IFERROR(VLOOKUP(B183,input_373100!L:R,7,FALSE),VLOOKUP(tables_373100!C183,input_373100!A:H,8,FALSE))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input_373100!A$2</f>
        <v>373100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IFERROR(VLOOKUP(B184,input_373100!L:R,7,FALSE),VLOOKUP(tables_373100!C184,input_373100!A:H,8,FALSE))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input_373100!A$2</f>
        <v>373100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IFERROR(VLOOKUP(B185,input_373100!L:R,7,FALSE),VLOOKUP(tables_373100!C185,input_373100!A:H,8,FALSE))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input_373100!A$2</f>
        <v>373100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IFERROR(VLOOKUP(B186,input_373100!L:R,7,FALSE),VLOOKUP(tables_373100!C186,input_373100!A:H,8,FALSE))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input_373100!A$2</f>
        <v>373100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IFERROR(VLOOKUP(B187,input_373100!L:R,7,FALSE),VLOOKUP(tables_373100!C187,input_373100!A:H,8,FALSE))</f>
        <v>133570</v>
      </c>
      <c r="P187" s="46">
        <f t="shared" ca="1" si="8"/>
        <v>1.061764705882353E-2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input_373100!A$2</f>
        <v>373100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IFERROR(VLOOKUP(B188,input_373100!L:R,7,FALSE),VLOOKUP(tables_373100!C188,input_373100!A:H,8,FALSE))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input_373100!A$2</f>
        <v>373100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IFERROR(VLOOKUP(B189,input_373100!L:R,7,FALSE),VLOOKUP(tables_373100!C189,input_373100!A:H,8,FALSE))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input_373100!A$2</f>
        <v>373100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IFERROR(VLOOKUP(B190,input_373100!L:R,7,FALSE),VLOOKUP(tables_373100!C190,input_373100!A:H,8,FALSE))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input_373100!A$2</f>
        <v>373100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IFERROR(VLOOKUP(B191,input_373100!L:R,7,FALSE),VLOOKUP(tables_373100!C191,input_373100!A:H,8,FALSE))</f>
        <v>3230</v>
      </c>
      <c r="P191" s="46">
        <f t="shared" ca="1" si="8"/>
        <v>2.5675675675675678E-4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input_373100!A$2</f>
        <v>373100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IFERROR(VLOOKUP(B192,input_373100!L:R,7,FALSE),VLOOKUP(tables_373100!C192,input_373100!A:H,8,FALSE))</f>
        <v>170</v>
      </c>
      <c r="P192" s="46">
        <f t="shared" ca="1" si="8"/>
        <v>1.3513513513513513E-5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input_373100!A$2</f>
        <v>373100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IFERROR(VLOOKUP(B193,input_373100!L:R,7,FALSE),VLOOKUP(tables_373100!C193,input_373100!A:H,8,FALSE))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input_373100!A$2</f>
        <v>373100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IFERROR(VLOOKUP(B194,input_373100!L:R,7,FALSE),VLOOKUP(tables_373100!C194,input_373100!A:H,8,FALSE))</f>
        <v>133570</v>
      </c>
      <c r="P194" s="46">
        <f t="shared" ref="P194:P257" ca="1" si="11">O194/SUM(O:O)</f>
        <v>1.061764705882353E-2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input_373100!A$2</f>
        <v>373100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IFERROR(VLOOKUP(B195,input_373100!L:R,7,FALSE),VLOOKUP(tables_373100!C195,input_373100!A:H,8,FALSE))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input_373100!A$2</f>
        <v>373100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IFERROR(VLOOKUP(B196,input_373100!L:R,7,FALSE),VLOOKUP(tables_373100!C196,input_373100!A:H,8,FALSE))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input_373100!A$2</f>
        <v>373100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IFERROR(VLOOKUP(B197,input_373100!L:R,7,FALSE),VLOOKUP(tables_373100!C197,input_373100!A:H,8,FALSE))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input_373100!A$2</f>
        <v>373100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IFERROR(VLOOKUP(B198,input_373100!L:R,7,FALSE),VLOOKUP(tables_373100!C198,input_373100!A:H,8,FALSE))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input_373100!A$2</f>
        <v>373100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IFERROR(VLOOKUP(B199,input_373100!L:R,7,FALSE),VLOOKUP(tables_373100!C199,input_373100!A:H,8,FALSE))</f>
        <v>133570</v>
      </c>
      <c r="P199" s="46">
        <f t="shared" ca="1" si="11"/>
        <v>1.061764705882353E-2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input_373100!A$2</f>
        <v>373100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IFERROR(VLOOKUP(B200,input_373100!L:R,7,FALSE),VLOOKUP(tables_373100!C200,input_373100!A:H,8,FALSE))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input_373100!A$2</f>
        <v>373100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IFERROR(VLOOKUP(B201,input_373100!L:R,7,FALSE),VLOOKUP(tables_373100!C201,input_373100!A:H,8,FALSE))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input_373100!A$2</f>
        <v>373100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IFERROR(VLOOKUP(B202,input_373100!L:R,7,FALSE),VLOOKUP(tables_373100!C202,input_373100!A:H,8,FALSE))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input_373100!A$2</f>
        <v>373100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IFERROR(VLOOKUP(B203,input_373100!L:R,7,FALSE),VLOOKUP(tables_373100!C203,input_373100!A:H,8,FALSE))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input_373100!A$2</f>
        <v>373100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IFERROR(VLOOKUP(B204,input_373100!L:R,7,FALSE),VLOOKUP(tables_373100!C204,input_373100!A:H,8,FALSE))</f>
        <v>133570</v>
      </c>
      <c r="P204" s="46">
        <f t="shared" ca="1" si="11"/>
        <v>1.061764705882353E-2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input_373100!A$2</f>
        <v>373100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IFERROR(VLOOKUP(B205,input_373100!L:R,7,FALSE),VLOOKUP(tables_373100!C205,input_373100!A:H,8,FALSE))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input_373100!A$2</f>
        <v>373100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IFERROR(VLOOKUP(B206,input_373100!L:R,7,FALSE),VLOOKUP(tables_373100!C206,input_373100!A:H,8,FALSE))</f>
        <v>3230</v>
      </c>
      <c r="P206" s="46">
        <f t="shared" ca="1" si="11"/>
        <v>2.5675675675675678E-4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input_373100!A$2</f>
        <v>373100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IFERROR(VLOOKUP(B207,input_373100!L:R,7,FALSE),VLOOKUP(tables_373100!C207,input_373100!A:H,8,FALSE))</f>
        <v>170</v>
      </c>
      <c r="P207" s="46">
        <f t="shared" ca="1" si="11"/>
        <v>1.3513513513513513E-5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input_373100!A$2</f>
        <v>373100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IFERROR(VLOOKUP(B208,input_373100!L:R,7,FALSE),VLOOKUP(tables_373100!C208,input_373100!A:H,8,FALSE))</f>
        <v>3230</v>
      </c>
      <c r="P208" s="46">
        <f t="shared" ca="1" si="11"/>
        <v>2.5675675675675678E-4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input_373100!A$2</f>
        <v>373100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IFERROR(VLOOKUP(B209,input_373100!L:R,7,FALSE),VLOOKUP(tables_373100!C209,input_373100!A:H,8,FALSE))</f>
        <v>170</v>
      </c>
      <c r="P209" s="46">
        <f t="shared" ca="1" si="11"/>
        <v>1.3513513513513513E-5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input_373100!A$2</f>
        <v>373100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IFERROR(VLOOKUP(B210,input_373100!L:R,7,FALSE),VLOOKUP(tables_373100!C210,input_373100!A:H,8,FALSE))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input_373100!A$2</f>
        <v>373100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IFERROR(VLOOKUP(B211,input_373100!L:R,7,FALSE),VLOOKUP(tables_373100!C211,input_373100!A:H,8,FALSE))</f>
        <v>133570</v>
      </c>
      <c r="P211" s="46">
        <f t="shared" ca="1" si="11"/>
        <v>1.061764705882353E-2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input_373100!A$2</f>
        <v>373100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IFERROR(VLOOKUP(B212,input_373100!L:R,7,FALSE),VLOOKUP(tables_373100!C212,input_373100!A:H,8,FALSE))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input_373100!A$2</f>
        <v>373100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IFERROR(VLOOKUP(B213,input_373100!L:R,7,FALSE),VLOOKUP(tables_373100!C213,input_373100!A:H,8,FALSE))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input_373100!A$2</f>
        <v>373100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IFERROR(VLOOKUP(B214,input_373100!L:R,7,FALSE),VLOOKUP(tables_373100!C214,input_373100!A:H,8,FALSE))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input_373100!A$2</f>
        <v>373100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IFERROR(VLOOKUP(B215,input_373100!L:R,7,FALSE),VLOOKUP(tables_373100!C215,input_373100!A:H,8,FALSE))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input_373100!A$2</f>
        <v>373100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IFERROR(VLOOKUP(B216,input_373100!L:R,7,FALSE),VLOOKUP(tables_373100!C216,input_373100!A:H,8,FALSE))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input_373100!A$2</f>
        <v>373100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IFERROR(VLOOKUP(B217,input_373100!L:R,7,FALSE),VLOOKUP(tables_373100!C217,input_373100!A:H,8,FALSE))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input_373100!A$2</f>
        <v>373100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IFERROR(VLOOKUP(B218,input_373100!L:R,7,FALSE),VLOOKUP(tables_373100!C218,input_373100!A:H,8,FALSE))</f>
        <v>133570</v>
      </c>
      <c r="P218" s="46">
        <f t="shared" ca="1" si="11"/>
        <v>1.061764705882353E-2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input_373100!A$2</f>
        <v>373100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IFERROR(VLOOKUP(B219,input_373100!L:R,7,FALSE),VLOOKUP(tables_373100!C219,input_373100!A:H,8,FALSE))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input_373100!A$2</f>
        <v>373100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IFERROR(VLOOKUP(B220,input_373100!L:R,7,FALSE),VLOOKUP(tables_373100!C220,input_373100!A:H,8,FALSE))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input_373100!A$2</f>
        <v>373100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IFERROR(VLOOKUP(B221,input_373100!L:R,7,FALSE),VLOOKUP(tables_373100!C221,input_373100!A:H,8,FALSE))</f>
        <v>133570</v>
      </c>
      <c r="P221" s="46">
        <f t="shared" ca="1" si="11"/>
        <v>1.061764705882353E-2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input_373100!A$2</f>
        <v>373100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IFERROR(VLOOKUP(B222,input_373100!L:R,7,FALSE),VLOOKUP(tables_373100!C222,input_373100!A:H,8,FALSE))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input_373100!A$2</f>
        <v>373100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IFERROR(VLOOKUP(B223,input_373100!L:R,7,FALSE),VLOOKUP(tables_373100!C223,input_373100!A:H,8,FALSE))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input_373100!A$2</f>
        <v>373100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IFERROR(VLOOKUP(B224,input_373100!L:R,7,FALSE),VLOOKUP(tables_373100!C224,input_373100!A:H,8,FALSE))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input_373100!A$2</f>
        <v>373100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IFERROR(VLOOKUP(B225,input_373100!L:R,7,FALSE),VLOOKUP(tables_373100!C225,input_373100!A:H,8,FALSE))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input_373100!A$2</f>
        <v>373100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IFERROR(VLOOKUP(B226,input_373100!L:R,7,FALSE),VLOOKUP(tables_373100!C226,input_373100!A:H,8,FALSE))</f>
        <v>133570</v>
      </c>
      <c r="P226" s="46">
        <f t="shared" ca="1" si="11"/>
        <v>1.061764705882353E-2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input_373100!A$2</f>
        <v>373100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IFERROR(VLOOKUP(B227,input_373100!L:R,7,FALSE),VLOOKUP(tables_373100!C227,input_373100!A:H,8,FALSE))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input_373100!A$2</f>
        <v>373100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IFERROR(VLOOKUP(B228,input_373100!L:R,7,FALSE),VLOOKUP(tables_373100!C228,input_373100!A:H,8,FALSE))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input_373100!A$2</f>
        <v>373100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IFERROR(VLOOKUP(B229,input_373100!L:R,7,FALSE),VLOOKUP(tables_373100!C229,input_373100!A:H,8,FALSE))</f>
        <v>133570</v>
      </c>
      <c r="P229" s="46">
        <f t="shared" ca="1" si="11"/>
        <v>1.061764705882353E-2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input_373100!A$2</f>
        <v>373100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IFERROR(VLOOKUP(B230,input_373100!L:R,7,FALSE),VLOOKUP(tables_373100!C230,input_373100!A:H,8,FALSE))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input_373100!A$2</f>
        <v>373100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IFERROR(VLOOKUP(B231,input_373100!L:R,7,FALSE),VLOOKUP(tables_373100!C231,input_373100!A:H,8,FALSE))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input_373100!A$2</f>
        <v>373100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IFERROR(VLOOKUP(B232,input_373100!L:R,7,FALSE),VLOOKUP(tables_373100!C232,input_373100!A:H,8,FALSE))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input_373100!A$2</f>
        <v>373100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IFERROR(VLOOKUP(B233,input_373100!L:R,7,FALSE),VLOOKUP(tables_373100!C233,input_373100!A:H,8,FALSE))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input_373100!A$2</f>
        <v>373100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IFERROR(VLOOKUP(B234,input_373100!L:R,7,FALSE),VLOOKUP(tables_373100!C234,input_373100!A:H,8,FALSE))</f>
        <v>133570</v>
      </c>
      <c r="P234" s="46">
        <f t="shared" ca="1" si="11"/>
        <v>1.061764705882353E-2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input_373100!A$2</f>
        <v>373100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IFERROR(VLOOKUP(B235,input_373100!L:R,7,FALSE),VLOOKUP(tables_373100!C235,input_373100!A:H,8,FALSE))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input_373100!A$2</f>
        <v>373100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IFERROR(VLOOKUP(B236,input_373100!L:R,7,FALSE),VLOOKUP(tables_373100!C236,input_373100!A:H,8,FALSE))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input_373100!A$2</f>
        <v>373100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IFERROR(VLOOKUP(B237,input_373100!L:R,7,FALSE),VLOOKUP(tables_373100!C237,input_373100!A:H,8,FALSE))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input_373100!A$2</f>
        <v>373100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IFERROR(VLOOKUP(B238,input_373100!L:R,7,FALSE),VLOOKUP(tables_373100!C238,input_373100!A:H,8,FALSE))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input_373100!A$2</f>
        <v>373100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IFERROR(VLOOKUP(B239,input_373100!L:R,7,FALSE),VLOOKUP(tables_373100!C239,input_373100!A:H,8,FALSE))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input_373100!A$2</f>
        <v>373100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IFERROR(VLOOKUP(B240,input_373100!L:R,7,FALSE),VLOOKUP(tables_373100!C240,input_373100!A:H,8,FALSE))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input_373100!A$2</f>
        <v>373100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IFERROR(VLOOKUP(B241,input_373100!L:R,7,FALSE),VLOOKUP(tables_373100!C241,input_373100!A:H,8,FALSE))</f>
        <v>133570</v>
      </c>
      <c r="P241" s="46">
        <f t="shared" ca="1" si="11"/>
        <v>1.061764705882353E-2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input_373100!A$2</f>
        <v>373100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IFERROR(VLOOKUP(B242,input_373100!L:R,7,FALSE),VLOOKUP(tables_373100!C242,input_373100!A:H,8,FALSE))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input_373100!A$2</f>
        <v>373100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IFERROR(VLOOKUP(B243,input_373100!L:R,7,FALSE),VLOOKUP(tables_373100!C243,input_373100!A:H,8,FALSE))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input_373100!A$2</f>
        <v>373100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IFERROR(VLOOKUP(B244,input_373100!L:R,7,FALSE),VLOOKUP(tables_373100!C244,input_373100!A:H,8,FALSE))</f>
        <v>133570</v>
      </c>
      <c r="P244" s="46">
        <f t="shared" ca="1" si="11"/>
        <v>1.061764705882353E-2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input_373100!A$2</f>
        <v>373100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IFERROR(VLOOKUP(B245,input_373100!L:R,7,FALSE),VLOOKUP(tables_373100!C245,input_373100!A:H,8,FALSE))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input_373100!A$2</f>
        <v>373100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IFERROR(VLOOKUP(B246,input_373100!L:R,7,FALSE),VLOOKUP(tables_373100!C246,input_373100!A:H,8,FALSE))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input_373100!A$2</f>
        <v>373100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IFERROR(VLOOKUP(B247,input_373100!L:R,7,FALSE),VLOOKUP(tables_373100!C247,input_373100!A:H,8,FALSE))</f>
        <v>133570</v>
      </c>
      <c r="P247" s="46">
        <f t="shared" ca="1" si="11"/>
        <v>1.061764705882353E-2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input_373100!A$2</f>
        <v>373100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IFERROR(VLOOKUP(B248,input_373100!L:R,7,FALSE),VLOOKUP(tables_373100!C248,input_373100!A:H,8,FALSE))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input_373100!A$2</f>
        <v>373100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IFERROR(VLOOKUP(B249,input_373100!L:R,7,FALSE),VLOOKUP(tables_373100!C249,input_373100!A:H,8,FALSE))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input_373100!A$2</f>
        <v>373100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IFERROR(VLOOKUP(B250,input_373100!L:R,7,FALSE),VLOOKUP(tables_373100!C250,input_373100!A:H,8,FALSE))</f>
        <v>133570</v>
      </c>
      <c r="P250" s="46">
        <f t="shared" ca="1" si="11"/>
        <v>1.061764705882353E-2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input_373100!A$2</f>
        <v>373100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IFERROR(VLOOKUP(B251,input_373100!L:R,7,FALSE),VLOOKUP(tables_373100!C251,input_373100!A:H,8,FALSE))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input_373100!A$2</f>
        <v>373100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IFERROR(VLOOKUP(B252,input_373100!L:R,7,FALSE),VLOOKUP(tables_373100!C252,input_373100!A:H,8,FALSE))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input_373100!A$2</f>
        <v>373100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IFERROR(VLOOKUP(B253,input_373100!L:R,7,FALSE),VLOOKUP(tables_373100!C253,input_373100!A:H,8,FALSE))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input_373100!A$2</f>
        <v>373100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IFERROR(VLOOKUP(B254,input_373100!L:R,7,FALSE),VLOOKUP(tables_373100!C254,input_373100!A:H,8,FALSE))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input_373100!A$2</f>
        <v>373100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IFERROR(VLOOKUP(B255,input_373100!L:R,7,FALSE),VLOOKUP(tables_373100!C255,input_373100!A:H,8,FALSE))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input_373100!A$2</f>
        <v>373100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IFERROR(VLOOKUP(B256,input_373100!L:R,7,FALSE),VLOOKUP(tables_373100!C256,input_373100!A:H,8,FALSE))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input_373100!A$2</f>
        <v>373100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IFERROR(VLOOKUP(B257,input_373100!L:R,7,FALSE),VLOOKUP(tables_373100!C257,input_373100!A:H,8,FALSE))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input_373100!A$2</f>
        <v>373100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IFERROR(VLOOKUP(B258,input_373100!L:R,7,FALSE),VLOOKUP(tables_373100!C258,input_373100!A:H,8,FALSE))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input_373100!A$2</f>
        <v>373100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IFERROR(VLOOKUP(B259,input_373100!L:R,7,FALSE),VLOOKUP(tables_373100!C259,input_373100!A:H,8,FALSE))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input_373100!A$2</f>
        <v>373100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IFERROR(VLOOKUP(B260,input_373100!L:R,7,FALSE),VLOOKUP(tables_373100!C260,input_373100!A:H,8,FALSE))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input_373100!A$2</f>
        <v>373100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IFERROR(VLOOKUP(B261,input_373100!L:R,7,FALSE),VLOOKUP(tables_373100!C261,input_373100!A:H,8,FALSE))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input_373100!A$2</f>
        <v>373100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IFERROR(VLOOKUP(B262,input_373100!L:R,7,FALSE),VLOOKUP(tables_373100!C262,input_373100!A:H,8,FALSE))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input_373100!A$2</f>
        <v>373100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IFERROR(VLOOKUP(B263,input_373100!L:R,7,FALSE),VLOOKUP(tables_373100!C263,input_373100!A:H,8,FALSE))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input_373100!A$2</f>
        <v>373100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IFERROR(VLOOKUP(B264,input_373100!L:R,7,FALSE),VLOOKUP(tables_373100!C264,input_373100!A:H,8,FALSE))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input_373100!A$2</f>
        <v>373100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IFERROR(VLOOKUP(B265,input_373100!L:R,7,FALSE),VLOOKUP(tables_373100!C265,input_373100!A:H,8,FALSE))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input_373100!A$2</f>
        <v>373100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IFERROR(VLOOKUP(B266,input_373100!L:R,7,FALSE),VLOOKUP(tables_373100!C266,input_373100!A:H,8,FALSE))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input_373100!A$2</f>
        <v>373100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IFERROR(VLOOKUP(B267,input_373100!L:R,7,FALSE),VLOOKUP(tables_373100!C267,input_373100!A:H,8,FALSE))</f>
        <v>133570</v>
      </c>
      <c r="P267" s="46">
        <f t="shared" ca="1" si="14"/>
        <v>1.061764705882353E-2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input_373100!A$2</f>
        <v>373100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IFERROR(VLOOKUP(B268,input_373100!L:R,7,FALSE),VLOOKUP(tables_373100!C268,input_373100!A:H,8,FALSE))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input_373100!A$2</f>
        <v>373100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IFERROR(VLOOKUP(B269,input_373100!L:R,7,FALSE),VLOOKUP(tables_373100!C269,input_373100!A:H,8,FALSE))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input_373100!A$2</f>
        <v>373100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IFERROR(VLOOKUP(B270,input_373100!L:R,7,FALSE),VLOOKUP(tables_373100!C270,input_373100!A:H,8,FALSE))</f>
        <v>133570</v>
      </c>
      <c r="P270" s="46">
        <f t="shared" ca="1" si="14"/>
        <v>1.061764705882353E-2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input_373100!A$2</f>
        <v>373100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IFERROR(VLOOKUP(B271,input_373100!L:R,7,FALSE),VLOOKUP(tables_373100!C271,input_373100!A:H,8,FALSE))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input_373100!A$2</f>
        <v>373100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IFERROR(VLOOKUP(B272,input_373100!L:R,7,FALSE),VLOOKUP(tables_373100!C272,input_373100!A:H,8,FALSE))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input_373100!A$2</f>
        <v>373100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IFERROR(VLOOKUP(B273,input_373100!L:R,7,FALSE),VLOOKUP(tables_373100!C273,input_373100!A:H,8,FALSE))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input_373100!A$2</f>
        <v>373100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IFERROR(VLOOKUP(B274,input_373100!L:R,7,FALSE),VLOOKUP(tables_373100!C274,input_373100!A:H,8,FALSE))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input_373100!A$2</f>
        <v>373100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IFERROR(VLOOKUP(B275,input_373100!L:R,7,FALSE),VLOOKUP(tables_373100!C275,input_373100!A:H,8,FALSE))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input_373100!A$2</f>
        <v>373100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IFERROR(VLOOKUP(B276,input_373100!L:R,7,FALSE),VLOOKUP(tables_373100!C276,input_373100!A:H,8,FALSE))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input_373100!A$2</f>
        <v>373100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IFERROR(VLOOKUP(B277,input_373100!L:R,7,FALSE),VLOOKUP(tables_373100!C277,input_373100!A:H,8,FALSE))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input_373100!A$2</f>
        <v>373100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IFERROR(VLOOKUP(B278,input_373100!L:R,7,FALSE),VLOOKUP(tables_373100!C278,input_373100!A:H,8,FALSE))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input_373100!A$2</f>
        <v>373100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IFERROR(VLOOKUP(B279,input_373100!L:R,7,FALSE),VLOOKUP(tables_373100!C279,input_373100!A:H,8,FALSE))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input_373100!A$2</f>
        <v>373100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IFERROR(VLOOKUP(B280,input_373100!L:R,7,FALSE),VLOOKUP(tables_373100!C280,input_373100!A:H,8,FALSE))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input_373100!A$2</f>
        <v>373100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IFERROR(VLOOKUP(B281,input_373100!L:R,7,FALSE),VLOOKUP(tables_373100!C281,input_373100!A:H,8,FALSE))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input_373100!A$2</f>
        <v>373100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IFERROR(VLOOKUP(B282,input_373100!L:R,7,FALSE),VLOOKUP(tables_373100!C282,input_373100!A:H,8,FALSE))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input_373100!A$2</f>
        <v>373100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IFERROR(VLOOKUP(B283,input_373100!L:R,7,FALSE),VLOOKUP(tables_373100!C283,input_373100!A:H,8,FALSE))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input_373100!A$2</f>
        <v>373100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IFERROR(VLOOKUP(B284,input_373100!L:R,7,FALSE),VLOOKUP(tables_373100!C284,input_373100!A:H,8,FALSE))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input_373100!A$2</f>
        <v>373100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IFERROR(VLOOKUP(B285,input_373100!L:R,7,FALSE),VLOOKUP(tables_373100!C285,input_373100!A:H,8,FALSE))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input_373100!A$2</f>
        <v>373100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IFERROR(VLOOKUP(B286,input_373100!L:R,7,FALSE),VLOOKUP(tables_373100!C286,input_373100!A:H,8,FALSE))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input_373100!A$2</f>
        <v>373100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IFERROR(VLOOKUP(B287,input_373100!L:R,7,FALSE),VLOOKUP(tables_373100!C287,input_373100!A:H,8,FALSE))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input_373100!A$2</f>
        <v>373100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IFERROR(VLOOKUP(B288,input_373100!L:R,7,FALSE),VLOOKUP(tables_373100!C288,input_373100!A:H,8,FALSE))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input_373100!A$2</f>
        <v>373100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IFERROR(VLOOKUP(B289,input_373100!L:R,7,FALSE),VLOOKUP(tables_373100!C289,input_373100!A:H,8,FALSE))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input_373100!A$2</f>
        <v>373100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IFERROR(VLOOKUP(B290,input_373100!L:R,7,FALSE),VLOOKUP(tables_373100!C290,input_373100!A:H,8,FALSE))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input_373100!A$2</f>
        <v>373100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IFERROR(VLOOKUP(B291,input_373100!L:R,7,FALSE),VLOOKUP(tables_373100!C291,input_373100!A:H,8,FALSE))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input_373100!A$2</f>
        <v>373100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IFERROR(VLOOKUP(B292,input_373100!L:R,7,FALSE),VLOOKUP(tables_373100!C292,input_373100!A:H,8,FALSE))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input_373100!A$2</f>
        <v>373100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IFERROR(VLOOKUP(B293,input_373100!L:R,7,FALSE),VLOOKUP(tables_373100!C293,input_373100!A:H,8,FALSE))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input_373100!A$2</f>
        <v>373100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IFERROR(VLOOKUP(B294,input_373100!L:R,7,FALSE),VLOOKUP(tables_373100!C294,input_373100!A:H,8,FALSE))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C17" sqref="C17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/>
      <c r="B3" s="37" t="e">
        <f>VLOOKUP(A3,[1]characters!$A:$C,3,FALSE)</f>
        <v>#N/A</v>
      </c>
    </row>
    <row r="4" spans="1:2" x14ac:dyDescent="0.15">
      <c r="A4" s="6"/>
      <c r="B4" s="37" t="e">
        <f>VLOOKUP(A4,[1]characters!$A:$C,3,FALSE)</f>
        <v>#N/A</v>
      </c>
    </row>
    <row r="5" spans="1:2" x14ac:dyDescent="0.15">
      <c r="A5" s="6"/>
      <c r="B5" s="37" t="e">
        <f>VLOOKUP(A5,[1]characters!$A:$C,3,FALSE)</f>
        <v>#N/A</v>
      </c>
    </row>
    <row r="6" spans="1:2" x14ac:dyDescent="0.15">
      <c r="A6" s="33"/>
      <c r="B6" s="37" t="e">
        <f>VLOOKUP(A6,[1]characters!$A:$C,3,FALSE)</f>
        <v>#N/A</v>
      </c>
    </row>
    <row r="7" spans="1:2" x14ac:dyDescent="0.15">
      <c r="A7" s="33"/>
      <c r="B7" s="37" t="e">
        <f>VLOOKUP(A7,[1]characters!$A:$C,3,FALSE)</f>
        <v>#N/A</v>
      </c>
    </row>
    <row r="8" spans="1:2" x14ac:dyDescent="0.15">
      <c r="A8" s="33"/>
      <c r="B8" s="37" t="e">
        <f>VLOOKUP(A8,[1]characters!$A:$C,3,FALSE)</f>
        <v>#N/A</v>
      </c>
    </row>
    <row r="9" spans="1:2" x14ac:dyDescent="0.15">
      <c r="A9" s="33"/>
      <c r="B9" s="37" t="e">
        <f>VLOOKUP(A9,[1]characters!$A:$C,3,FALSE)</f>
        <v>#N/A</v>
      </c>
    </row>
    <row r="10" spans="1:2" x14ac:dyDescent="0.15">
      <c r="A10" s="33"/>
      <c r="B10" s="37" t="e">
        <f>VLOOKUP(A10,[1]characters!$A:$C,3,FALSE)</f>
        <v>#N/A</v>
      </c>
    </row>
    <row r="11" spans="1:2" x14ac:dyDescent="0.15">
      <c r="A11" s="33"/>
      <c r="B11" s="37" t="e">
        <f>VLOOKUP(A11,[1]characters!$A:$C,3,FALSE)</f>
        <v>#N/A</v>
      </c>
    </row>
    <row r="12" spans="1:2" x14ac:dyDescent="0.15">
      <c r="A12" s="33"/>
      <c r="B12" s="37" t="e">
        <f>VLOOKUP(A12,[1]characters!$A:$C,3,FALSE)</f>
        <v>#N/A</v>
      </c>
    </row>
    <row r="13" spans="1:2" x14ac:dyDescent="0.15">
      <c r="A13" s="33"/>
      <c r="B13" s="37" t="e">
        <f>VLOOKUP(A13,[1]characters!$A:$C,3,FALSE)</f>
        <v>#N/A</v>
      </c>
    </row>
    <row r="14" spans="1:2" x14ac:dyDescent="0.15">
      <c r="A14" s="33"/>
      <c r="B14" s="37" t="e">
        <f>VLOOKUP(A14,[1]characters!$A:$C,3,FALSE)</f>
        <v>#N/A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input_373010</vt:lpstr>
      <vt:lpstr>tables_373010</vt:lpstr>
      <vt:lpstr>input_373100</vt:lpstr>
      <vt:lpstr>tables_373100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2016-07-22T01:58:08Z</dcterms:modified>
</cp:coreProperties>
</file>