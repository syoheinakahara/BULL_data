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2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zakihitoshi/BULL_data/master_excel/"/>
    </mc:Choice>
  </mc:AlternateContent>
  <bookViews>
    <workbookView xWindow="15440" yWindow="3200" windowWidth="22740" windowHeight="15440" tabRatio="936" activeTab="3"/>
  </bookViews>
  <sheets>
    <sheet name="output" sheetId="16" r:id="rId1"/>
    <sheet name="score_attack_expanded_floors" sheetId="2" r:id="rId2"/>
    <sheet name="score_attack_expanded_stages" sheetId="24" r:id="rId3"/>
    <sheet name="score_attack_params_damage_give" sheetId="30" r:id="rId4"/>
    <sheet name="score_attack_params_heal" sheetId="40" r:id="rId5"/>
    <sheet name="stage_evaluations" sheetId="28" r:id="rId6"/>
    <sheet name="stage_evaluation_gifts" sheetId="29" r:id="rId7"/>
    <sheet name="ranking_ACH" sheetId="22" r:id="rId8"/>
    <sheet name="unit_bonus_conditions" sheetId="32" r:id="rId9"/>
    <sheet name="floors" sheetId="41" r:id="rId10"/>
    <sheet name="enemy_habitats" sheetId="42" r:id="rId11"/>
    <sheet name="enemy_habitat_S" sheetId="43" r:id="rId12"/>
    <sheet name="enemy_skill_sets" sheetId="44" r:id="rId13"/>
    <sheet name="enemy_skills" sheetId="45" r:id="rId14"/>
    <sheet name="enemy_skill_triggers" sheetId="46" r:id="rId15"/>
    <sheet name="bugbonuses" sheetId="47" r:id="rId16"/>
    <sheet name="stage_hints_complete" sheetId="61" r:id="rId17"/>
    <sheet name="stage_hints_failure" sheetId="49" r:id="rId18"/>
    <sheet name="stage_bonuses" sheetId="50" r:id="rId19"/>
  </sheets>
  <externalReferences>
    <externalReference r:id="rId20"/>
    <externalReference r:id="rId21"/>
    <externalReference r:id="rId22"/>
    <externalReference r:id="rId23"/>
    <externalReference r:id="rId24"/>
  </externalReferences>
  <definedNames>
    <definedName name="_xlnm._FilterDatabase" localSheetId="11" hidden="1">enemy_habitat_S!$B$1:$Y$2</definedName>
    <definedName name="_xlnm._FilterDatabase" localSheetId="10" hidden="1">enemy_habitats!$B$1:$AH$1</definedName>
    <definedName name="_xlnm._FilterDatabase" localSheetId="12" hidden="1">enemy_skill_sets!$A$1:$R$1</definedName>
    <definedName name="_xlnm._FilterDatabase" localSheetId="14" hidden="1">enemy_skill_triggers!$A$1:$G$1</definedName>
    <definedName name="_xlnm._FilterDatabase" localSheetId="13" hidden="1">enemy_skills!$A$1:$AB$1</definedName>
    <definedName name="_xlnm._FilterDatabase" localSheetId="18" hidden="1">stage_bonuses!$B$1:$I$1</definedName>
    <definedName name="_xlnm._FilterDatabase" localSheetId="16" hidden="1">stage_hints_complete!$B$1:$L$1</definedName>
    <definedName name="_xlnm._FilterDatabase" localSheetId="17" hidden="1">stage_hints_failure!$B$1:$M$2</definedName>
    <definedName name="Excel_BuiltIn__FilterDatabase_6_1" localSheetId="12">[1]unit_skills!#REF!</definedName>
    <definedName name="Excel_BuiltIn__FilterDatabase_6_1" localSheetId="14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30" l="1"/>
  <c r="F12" i="30"/>
  <c r="F9" i="30"/>
  <c r="F6" i="30"/>
  <c r="F3" i="30"/>
  <c r="F15" i="40"/>
  <c r="F12" i="40"/>
  <c r="F9" i="40"/>
  <c r="F6" i="40"/>
  <c r="F3" i="40"/>
  <c r="A2" i="40"/>
  <c r="A16" i="40"/>
  <c r="B16" i="40"/>
  <c r="A14" i="40"/>
  <c r="C14" i="40"/>
  <c r="C16" i="40"/>
  <c r="G16" i="40"/>
  <c r="I16" i="40"/>
  <c r="M16" i="40"/>
  <c r="D19" i="40"/>
  <c r="E19" i="40"/>
  <c r="G15" i="40"/>
  <c r="M15" i="40"/>
  <c r="F14" i="40"/>
  <c r="G14" i="40"/>
  <c r="M14" i="40"/>
  <c r="G13" i="40"/>
  <c r="M13" i="40"/>
  <c r="G12" i="40"/>
  <c r="M12" i="40"/>
  <c r="F11" i="40"/>
  <c r="G11" i="40"/>
  <c r="M11" i="40"/>
  <c r="G10" i="40"/>
  <c r="M10" i="40"/>
  <c r="G9" i="40"/>
  <c r="M9" i="40"/>
  <c r="F8" i="40"/>
  <c r="G8" i="40"/>
  <c r="M8" i="40"/>
  <c r="G7" i="40"/>
  <c r="M7" i="40"/>
  <c r="G6" i="40"/>
  <c r="M6" i="40"/>
  <c r="F5" i="40"/>
  <c r="G5" i="40"/>
  <c r="M5" i="40"/>
  <c r="G4" i="40"/>
  <c r="M4" i="40"/>
  <c r="G3" i="40"/>
  <c r="M3" i="40"/>
  <c r="F2" i="40"/>
  <c r="G2" i="40"/>
  <c r="M2" i="40"/>
  <c r="G16" i="30"/>
  <c r="M16" i="30"/>
  <c r="G15" i="30"/>
  <c r="M15" i="30"/>
  <c r="F14" i="30"/>
  <c r="G14" i="30"/>
  <c r="M14" i="30"/>
  <c r="G13" i="30"/>
  <c r="M13" i="30"/>
  <c r="G12" i="30"/>
  <c r="M12" i="30"/>
  <c r="F11" i="30"/>
  <c r="G11" i="30"/>
  <c r="M11" i="30"/>
  <c r="G10" i="30"/>
  <c r="M10" i="30"/>
  <c r="G9" i="30"/>
  <c r="M9" i="30"/>
  <c r="F8" i="30"/>
  <c r="G8" i="30"/>
  <c r="M8" i="30"/>
  <c r="G7" i="30"/>
  <c r="M7" i="30"/>
  <c r="G6" i="30"/>
  <c r="M6" i="30"/>
  <c r="F5" i="30"/>
  <c r="G5" i="30"/>
  <c r="M5" i="30"/>
  <c r="G4" i="30"/>
  <c r="M4" i="30"/>
  <c r="F2" i="30"/>
  <c r="G2" i="30"/>
  <c r="M2" i="30"/>
  <c r="G3" i="30"/>
  <c r="M3" i="30"/>
  <c r="A2" i="30"/>
  <c r="A15" i="30"/>
  <c r="B15" i="30"/>
  <c r="C15" i="30"/>
  <c r="A16" i="30"/>
  <c r="B16" i="30"/>
  <c r="C16" i="30"/>
  <c r="A12" i="30"/>
  <c r="B12" i="30"/>
  <c r="C12" i="30"/>
  <c r="A13" i="30"/>
  <c r="B13" i="30"/>
  <c r="C13" i="30"/>
  <c r="C15" i="40"/>
  <c r="A11" i="40"/>
  <c r="C11" i="40"/>
  <c r="C13" i="40"/>
  <c r="C12" i="40"/>
  <c r="B15" i="40"/>
  <c r="B13" i="40"/>
  <c r="B12" i="40"/>
  <c r="C6" i="2"/>
  <c r="G6" i="2"/>
  <c r="H6" i="2"/>
  <c r="E6" i="2"/>
  <c r="D6" i="2"/>
  <c r="A6" i="2"/>
  <c r="B6" i="2"/>
  <c r="C5" i="2"/>
  <c r="G5" i="2"/>
  <c r="H5" i="2"/>
  <c r="E5" i="2"/>
  <c r="D5" i="2"/>
  <c r="A5" i="2"/>
  <c r="B5" i="2"/>
  <c r="D19" i="30"/>
  <c r="E19" i="30"/>
  <c r="I16" i="30"/>
  <c r="A8" i="30"/>
  <c r="C8" i="30"/>
  <c r="I15" i="30"/>
  <c r="I14" i="30"/>
  <c r="A14" i="30"/>
  <c r="C14" i="30"/>
  <c r="I13" i="30"/>
  <c r="A5" i="30"/>
  <c r="C5" i="30"/>
  <c r="I12" i="30"/>
  <c r="I11" i="30"/>
  <c r="A11" i="30"/>
  <c r="C11" i="30"/>
  <c r="A8" i="40"/>
  <c r="C8" i="40"/>
  <c r="I15" i="40"/>
  <c r="A15" i="40"/>
  <c r="I14" i="40"/>
  <c r="I13" i="40"/>
  <c r="A5" i="40"/>
  <c r="C5" i="40"/>
  <c r="A13" i="40"/>
  <c r="I12" i="40"/>
  <c r="A12" i="40"/>
  <c r="I11" i="40"/>
  <c r="R3" i="43"/>
  <c r="Q3" i="43"/>
  <c r="P3" i="43"/>
  <c r="O3" i="43"/>
  <c r="N3" i="43"/>
  <c r="H3" i="43"/>
  <c r="G2" i="41"/>
  <c r="A2" i="41"/>
  <c r="G3" i="41"/>
  <c r="A3" i="41"/>
  <c r="G4" i="41"/>
  <c r="A4" i="41"/>
  <c r="G5" i="41"/>
  <c r="A5" i="41"/>
  <c r="G6" i="41"/>
  <c r="A6" i="41"/>
  <c r="J3" i="43"/>
  <c r="I3" i="43"/>
  <c r="D3" i="43"/>
  <c r="F3" i="43"/>
  <c r="E3" i="43"/>
  <c r="A3" i="43"/>
  <c r="D2" i="42"/>
  <c r="E2" i="42"/>
  <c r="F2" i="42"/>
  <c r="D3" i="42"/>
  <c r="E3" i="42"/>
  <c r="F3" i="42"/>
  <c r="D4" i="42"/>
  <c r="E4" i="42"/>
  <c r="F4" i="42"/>
  <c r="D5" i="42"/>
  <c r="E5" i="42"/>
  <c r="F5" i="42"/>
  <c r="D6" i="42"/>
  <c r="E6" i="42"/>
  <c r="F6" i="42"/>
  <c r="D7" i="42"/>
  <c r="E7" i="42"/>
  <c r="F7" i="42"/>
  <c r="D8" i="42"/>
  <c r="E8" i="42"/>
  <c r="F8" i="42"/>
  <c r="D9" i="42"/>
  <c r="E9" i="42"/>
  <c r="F9" i="42"/>
  <c r="D10" i="42"/>
  <c r="E10" i="42"/>
  <c r="F10" i="42"/>
  <c r="D11" i="42"/>
  <c r="E11" i="42"/>
  <c r="F11" i="42"/>
  <c r="D12" i="42"/>
  <c r="E12" i="42"/>
  <c r="F12" i="42"/>
  <c r="AB12" i="42"/>
  <c r="AD12" i="42"/>
  <c r="AG12" i="42"/>
  <c r="AE12" i="42"/>
  <c r="AC12" i="42"/>
  <c r="Q12" i="42"/>
  <c r="P12" i="42"/>
  <c r="O12" i="42"/>
  <c r="N12" i="42"/>
  <c r="M12" i="42"/>
  <c r="H12" i="42"/>
  <c r="J12" i="42"/>
  <c r="I12" i="42"/>
  <c r="A12" i="42"/>
  <c r="AB11" i="42"/>
  <c r="AD11" i="42"/>
  <c r="AG11" i="42"/>
  <c r="AE11" i="42"/>
  <c r="AC11" i="42"/>
  <c r="Q11" i="42"/>
  <c r="P11" i="42"/>
  <c r="O11" i="42"/>
  <c r="N11" i="42"/>
  <c r="M11" i="42"/>
  <c r="H11" i="42"/>
  <c r="J11" i="42"/>
  <c r="I11" i="42"/>
  <c r="A11" i="42"/>
  <c r="AB10" i="42"/>
  <c r="AD10" i="42"/>
  <c r="AG10" i="42"/>
  <c r="AE10" i="42"/>
  <c r="AC10" i="42"/>
  <c r="Q10" i="42"/>
  <c r="P10" i="42"/>
  <c r="O10" i="42"/>
  <c r="N10" i="42"/>
  <c r="M10" i="42"/>
  <c r="H10" i="42"/>
  <c r="J10" i="42"/>
  <c r="I10" i="42"/>
  <c r="A10" i="42"/>
  <c r="AB9" i="42"/>
  <c r="AD9" i="42"/>
  <c r="AG9" i="42"/>
  <c r="AE9" i="42"/>
  <c r="AC9" i="42"/>
  <c r="Q9" i="42"/>
  <c r="P9" i="42"/>
  <c r="O9" i="42"/>
  <c r="N9" i="42"/>
  <c r="M9" i="42"/>
  <c r="H9" i="42"/>
  <c r="J9" i="42"/>
  <c r="I9" i="42"/>
  <c r="A9" i="42"/>
  <c r="AB8" i="42"/>
  <c r="AD8" i="42"/>
  <c r="AG8" i="42"/>
  <c r="AE8" i="42"/>
  <c r="AC8" i="42"/>
  <c r="Q8" i="42"/>
  <c r="P8" i="42"/>
  <c r="O8" i="42"/>
  <c r="N8" i="42"/>
  <c r="M8" i="42"/>
  <c r="H8" i="42"/>
  <c r="J8" i="42"/>
  <c r="I8" i="42"/>
  <c r="A8" i="42"/>
  <c r="AB7" i="42"/>
  <c r="AD7" i="42"/>
  <c r="AG7" i="42"/>
  <c r="AE7" i="42"/>
  <c r="AC7" i="42"/>
  <c r="Q7" i="42"/>
  <c r="P7" i="42"/>
  <c r="O7" i="42"/>
  <c r="N7" i="42"/>
  <c r="M7" i="42"/>
  <c r="H7" i="42"/>
  <c r="J7" i="42"/>
  <c r="I7" i="42"/>
  <c r="A7" i="42"/>
  <c r="AB6" i="42"/>
  <c r="AD6" i="42"/>
  <c r="AG6" i="42"/>
  <c r="AE6" i="42"/>
  <c r="AC6" i="42"/>
  <c r="Q6" i="42"/>
  <c r="P6" i="42"/>
  <c r="O6" i="42"/>
  <c r="N6" i="42"/>
  <c r="M6" i="42"/>
  <c r="H6" i="42"/>
  <c r="J6" i="42"/>
  <c r="I6" i="42"/>
  <c r="A6" i="42"/>
  <c r="AB5" i="42"/>
  <c r="AD5" i="42"/>
  <c r="AG5" i="42"/>
  <c r="AE5" i="42"/>
  <c r="AC5" i="42"/>
  <c r="Q5" i="42"/>
  <c r="P5" i="42"/>
  <c r="O5" i="42"/>
  <c r="N5" i="42"/>
  <c r="M5" i="42"/>
  <c r="H5" i="42"/>
  <c r="J5" i="42"/>
  <c r="I5" i="42"/>
  <c r="A5" i="42"/>
  <c r="AB4" i="42"/>
  <c r="AD4" i="42"/>
  <c r="AG4" i="42"/>
  <c r="AE4" i="42"/>
  <c r="AC4" i="42"/>
  <c r="Q4" i="42"/>
  <c r="P4" i="42"/>
  <c r="O4" i="42"/>
  <c r="N4" i="42"/>
  <c r="M4" i="42"/>
  <c r="H4" i="42"/>
  <c r="J4" i="42"/>
  <c r="I4" i="42"/>
  <c r="A4" i="42"/>
  <c r="AB3" i="42"/>
  <c r="AD3" i="42"/>
  <c r="AG3" i="42"/>
  <c r="AE3" i="42"/>
  <c r="AC3" i="42"/>
  <c r="Q3" i="42"/>
  <c r="P3" i="42"/>
  <c r="O3" i="42"/>
  <c r="N3" i="42"/>
  <c r="M3" i="42"/>
  <c r="H3" i="42"/>
  <c r="J3" i="42"/>
  <c r="I3" i="42"/>
  <c r="A3" i="42"/>
  <c r="AB2" i="42"/>
  <c r="AD2" i="42"/>
  <c r="AG2" i="42"/>
  <c r="AE2" i="42"/>
  <c r="AC2" i="42"/>
  <c r="Q2" i="42"/>
  <c r="P2" i="42"/>
  <c r="O2" i="42"/>
  <c r="N2" i="42"/>
  <c r="M2" i="42"/>
  <c r="H2" i="42"/>
  <c r="J2" i="42"/>
  <c r="I2" i="42"/>
  <c r="A2" i="42"/>
  <c r="H6" i="41"/>
  <c r="E6" i="41"/>
  <c r="D6" i="41"/>
  <c r="H5" i="41"/>
  <c r="E5" i="41"/>
  <c r="D5" i="41"/>
  <c r="H4" i="41"/>
  <c r="E4" i="41"/>
  <c r="D4" i="41"/>
  <c r="H3" i="41"/>
  <c r="E3" i="41"/>
  <c r="D3" i="41"/>
  <c r="H2" i="41"/>
  <c r="E2" i="41"/>
  <c r="D2" i="41"/>
  <c r="C16" i="16"/>
  <c r="C15" i="16"/>
  <c r="C14" i="16"/>
  <c r="B3" i="50"/>
  <c r="B2" i="50"/>
  <c r="I2" i="49"/>
  <c r="B2" i="49"/>
  <c r="J2" i="49"/>
  <c r="B2" i="32"/>
  <c r="B3" i="32"/>
  <c r="B2" i="29"/>
  <c r="E9" i="29"/>
  <c r="E8" i="29"/>
  <c r="E7" i="29"/>
  <c r="E6" i="29"/>
  <c r="E5" i="29"/>
  <c r="E4" i="29"/>
  <c r="E2" i="29"/>
  <c r="E3" i="29"/>
  <c r="B9" i="29"/>
  <c r="B4" i="29"/>
  <c r="B5" i="29"/>
  <c r="B6" i="29"/>
  <c r="B7" i="29"/>
  <c r="B8" i="29"/>
  <c r="B3" i="29"/>
  <c r="B2" i="28"/>
  <c r="B7" i="28"/>
  <c r="B4" i="28"/>
  <c r="B5" i="28"/>
  <c r="B6" i="28"/>
  <c r="B3" i="28"/>
  <c r="C2" i="2"/>
  <c r="C10" i="40"/>
  <c r="B10" i="40"/>
  <c r="A10" i="40"/>
  <c r="C9" i="40"/>
  <c r="B9" i="40"/>
  <c r="A9" i="40"/>
  <c r="C7" i="40"/>
  <c r="B7" i="40"/>
  <c r="A7" i="40"/>
  <c r="C6" i="40"/>
  <c r="B6" i="40"/>
  <c r="A6" i="40"/>
  <c r="C2" i="40"/>
  <c r="C4" i="40"/>
  <c r="B4" i="40"/>
  <c r="A4" i="40"/>
  <c r="C3" i="40"/>
  <c r="B3" i="40"/>
  <c r="A3" i="40"/>
  <c r="C10" i="30"/>
  <c r="C9" i="30"/>
  <c r="C7" i="30"/>
  <c r="C6" i="30"/>
  <c r="C2" i="30"/>
  <c r="C4" i="30"/>
  <c r="C3" i="30"/>
  <c r="B10" i="30"/>
  <c r="B9" i="30"/>
  <c r="B7" i="30"/>
  <c r="B6" i="30"/>
  <c r="B4" i="30"/>
  <c r="B3" i="30"/>
  <c r="A4" i="30"/>
  <c r="A6" i="30"/>
  <c r="A7" i="30"/>
  <c r="A9" i="30"/>
  <c r="A10" i="30"/>
  <c r="A3" i="30"/>
  <c r="A2" i="24"/>
  <c r="C4" i="2"/>
  <c r="C3" i="2"/>
  <c r="G4" i="2"/>
  <c r="A4" i="2"/>
  <c r="B4" i="2"/>
  <c r="G3" i="2"/>
  <c r="A3" i="2"/>
  <c r="B3" i="2"/>
  <c r="G2" i="2"/>
  <c r="A2" i="2"/>
  <c r="B2" i="2"/>
  <c r="N3" i="50"/>
  <c r="G3" i="50"/>
  <c r="F3" i="50"/>
  <c r="D3" i="50"/>
  <c r="C3" i="50"/>
  <c r="A3" i="50"/>
  <c r="N2" i="50"/>
  <c r="G2" i="50"/>
  <c r="F2" i="50"/>
  <c r="D2" i="50"/>
  <c r="C2" i="50"/>
  <c r="A2" i="50"/>
  <c r="G2" i="49"/>
  <c r="F2" i="49"/>
  <c r="D2" i="49"/>
  <c r="C2" i="49"/>
  <c r="A2" i="47"/>
  <c r="C2" i="47"/>
  <c r="D2" i="47"/>
  <c r="J2" i="46"/>
  <c r="M2" i="45"/>
  <c r="T2" i="45"/>
  <c r="W2" i="45"/>
  <c r="V2" i="45"/>
  <c r="X2" i="45"/>
  <c r="U2" i="45"/>
  <c r="Y2" i="45"/>
  <c r="N2" i="45"/>
  <c r="Q2" i="45"/>
  <c r="P2" i="45"/>
  <c r="R2" i="45"/>
  <c r="O2" i="45"/>
  <c r="S2" i="45"/>
  <c r="G2" i="45"/>
  <c r="J2" i="45"/>
  <c r="I2" i="45"/>
  <c r="K2" i="45"/>
  <c r="H2" i="45"/>
  <c r="L2" i="45"/>
  <c r="O2" i="44"/>
  <c r="N2" i="44"/>
  <c r="M2" i="44"/>
  <c r="L2" i="44"/>
  <c r="K2" i="44"/>
  <c r="J2" i="44"/>
  <c r="I2" i="44"/>
  <c r="H2" i="44"/>
  <c r="G2" i="44"/>
  <c r="E2" i="44"/>
  <c r="D2" i="44"/>
  <c r="A2" i="44"/>
  <c r="R2" i="43"/>
  <c r="Q2" i="43"/>
  <c r="P2" i="43"/>
  <c r="O2" i="43"/>
  <c r="N2" i="43"/>
  <c r="H2" i="43"/>
  <c r="J2" i="43"/>
  <c r="I2" i="43"/>
  <c r="D2" i="43"/>
  <c r="F2" i="43"/>
  <c r="E2" i="43"/>
  <c r="A2" i="43"/>
  <c r="C25" i="16"/>
  <c r="E25" i="16"/>
  <c r="C24" i="16"/>
  <c r="E24" i="16"/>
  <c r="C23" i="16"/>
  <c r="E23" i="16"/>
  <c r="C22" i="16"/>
  <c r="E22" i="16"/>
  <c r="C21" i="16"/>
  <c r="E21" i="16"/>
  <c r="C20" i="16"/>
  <c r="E20" i="16"/>
  <c r="C19" i="16"/>
  <c r="E19" i="16"/>
  <c r="C18" i="16"/>
  <c r="E18" i="16"/>
  <c r="C17" i="16"/>
  <c r="E17" i="16"/>
  <c r="E16" i="16"/>
  <c r="E15" i="16"/>
  <c r="E14" i="16"/>
  <c r="C4" i="16"/>
  <c r="E4" i="16"/>
  <c r="C3" i="16"/>
  <c r="C5" i="16"/>
  <c r="C7" i="16"/>
  <c r="C8" i="16"/>
  <c r="C6" i="16"/>
  <c r="C9" i="16"/>
  <c r="C10" i="16"/>
  <c r="C11" i="16"/>
  <c r="C12" i="16"/>
  <c r="C13" i="16"/>
  <c r="E3" i="16"/>
  <c r="E2" i="16"/>
  <c r="E10" i="16"/>
  <c r="E13" i="16"/>
  <c r="A2" i="22"/>
  <c r="B2" i="22"/>
  <c r="I10" i="40"/>
  <c r="I9" i="40"/>
  <c r="I8" i="40"/>
  <c r="I7" i="40"/>
  <c r="I6" i="40"/>
  <c r="I5" i="40"/>
  <c r="I4" i="40"/>
  <c r="I3" i="40"/>
  <c r="I2" i="40"/>
  <c r="I10" i="30"/>
  <c r="I9" i="30"/>
  <c r="I8" i="30"/>
  <c r="I7" i="30"/>
  <c r="I6" i="30"/>
  <c r="I5" i="30"/>
  <c r="I4" i="30"/>
  <c r="I3" i="30"/>
  <c r="I2" i="30"/>
  <c r="E5" i="16"/>
  <c r="A42" i="22"/>
  <c r="F42" i="22"/>
  <c r="F2" i="22"/>
  <c r="A3" i="22"/>
  <c r="F3" i="22"/>
  <c r="A4" i="22"/>
  <c r="F4" i="22"/>
  <c r="A5" i="22"/>
  <c r="F5" i="22"/>
  <c r="A6" i="22"/>
  <c r="F6" i="22"/>
  <c r="A7" i="22"/>
  <c r="F7" i="22"/>
  <c r="A8" i="22"/>
  <c r="F8" i="22"/>
  <c r="A9" i="22"/>
  <c r="F9" i="22"/>
  <c r="A10" i="22"/>
  <c r="F10" i="22"/>
  <c r="A11" i="22"/>
  <c r="F11" i="22"/>
  <c r="A12" i="22"/>
  <c r="F12" i="22"/>
  <c r="A13" i="22"/>
  <c r="F13" i="22"/>
  <c r="A14" i="22"/>
  <c r="F14" i="22"/>
  <c r="A15" i="22"/>
  <c r="F15" i="22"/>
  <c r="A16" i="22"/>
  <c r="F16" i="22"/>
  <c r="A17" i="22"/>
  <c r="F17" i="22"/>
  <c r="A18" i="22"/>
  <c r="F18" i="22"/>
  <c r="A19" i="22"/>
  <c r="F19" i="22"/>
  <c r="A20" i="22"/>
  <c r="F20" i="22"/>
  <c r="A21" i="22"/>
  <c r="F21" i="22"/>
  <c r="A22" i="22"/>
  <c r="F22" i="22"/>
  <c r="A23" i="22"/>
  <c r="F23" i="22"/>
  <c r="A24" i="22"/>
  <c r="F24" i="22"/>
  <c r="A25" i="22"/>
  <c r="F25" i="22"/>
  <c r="A26" i="22"/>
  <c r="F26" i="22"/>
  <c r="A27" i="22"/>
  <c r="F27" i="22"/>
  <c r="A28" i="22"/>
  <c r="F28" i="22"/>
  <c r="A29" i="22"/>
  <c r="F29" i="22"/>
  <c r="A30" i="22"/>
  <c r="F30" i="22"/>
  <c r="A31" i="22"/>
  <c r="F31" i="22"/>
  <c r="A32" i="22"/>
  <c r="F32" i="22"/>
  <c r="A33" i="22"/>
  <c r="F33" i="22"/>
  <c r="A34" i="22"/>
  <c r="F34" i="22"/>
  <c r="A35" i="22"/>
  <c r="F35" i="22"/>
  <c r="A36" i="22"/>
  <c r="F36" i="22"/>
  <c r="A37" i="22"/>
  <c r="F37" i="22"/>
  <c r="A38" i="22"/>
  <c r="F38" i="22"/>
  <c r="A39" i="22"/>
  <c r="F39" i="22"/>
  <c r="A40" i="22"/>
  <c r="F40" i="22"/>
  <c r="A41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H4" i="2"/>
  <c r="E4" i="2"/>
  <c r="D4" i="2"/>
  <c r="H3" i="2"/>
  <c r="E3" i="2"/>
  <c r="D3" i="2"/>
  <c r="E12" i="16"/>
  <c r="E11" i="16"/>
  <c r="E6" i="16"/>
  <c r="E7" i="16"/>
  <c r="E2" i="24"/>
  <c r="B2" i="24"/>
  <c r="D2" i="2"/>
  <c r="F2" i="24"/>
  <c r="C2" i="24"/>
  <c r="E2" i="2"/>
  <c r="E9" i="16"/>
  <c r="E8" i="16"/>
  <c r="G2" i="22"/>
  <c r="C2" i="22"/>
  <c r="H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E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E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4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5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<sst xmlns="http://schemas.openxmlformats.org/spreadsheetml/2006/main" count="940" uniqueCount="504">
  <si>
    <t>quest_id</t>
  </si>
  <si>
    <t>stage_id</t>
  </si>
  <si>
    <t>character_id</t>
  </si>
  <si>
    <t>level</t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</si>
  <si>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</si>
  <si>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</si>
  <si>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</si>
  <si>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</si>
  <si>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</si>
  <si>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</si>
  <si>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</si>
  <si>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</si>
  <si>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</si>
  <si>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</si>
  <si>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</si>
  <si>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11"/>
  </si>
  <si>
    <t>name</t>
    <phoneticPr fontId="11"/>
  </si>
  <si>
    <t>temp_stage</t>
    <phoneticPr fontId="11"/>
  </si>
  <si>
    <t>temp_floor</t>
    <phoneticPr fontId="11"/>
  </si>
  <si>
    <t>temp_stage</t>
    <phoneticPr fontId="11"/>
  </si>
  <si>
    <t>位置付け</t>
    <rPh sb="0" eb="3">
      <t>イチヅ</t>
    </rPh>
    <phoneticPr fontId="11"/>
  </si>
  <si>
    <t>name</t>
    <phoneticPr fontId="11"/>
  </si>
  <si>
    <t>status</t>
    <phoneticPr fontId="11"/>
  </si>
  <si>
    <t>hp_plus</t>
  </si>
  <si>
    <t>attack_plus</t>
  </si>
  <si>
    <t>defense_plus</t>
  </si>
  <si>
    <t>heal_plus</t>
  </si>
  <si>
    <t>bug</t>
  </si>
  <si>
    <t>作成者</t>
    <rPh sb="0" eb="3">
      <t>サクセイシャ</t>
    </rPh>
    <phoneticPr fontId="11"/>
  </si>
  <si>
    <t>更新日</t>
    <rPh sb="0" eb="3">
      <t>コウシンニチジ</t>
    </rPh>
    <phoneticPr fontId="11"/>
  </si>
  <si>
    <t>備考（使用箇所）</t>
    <rPh sb="0" eb="2">
      <t>ビコウ</t>
    </rPh>
    <rPh sb="3" eb="7">
      <t>シヨウカショ</t>
    </rPh>
    <phoneticPr fontId="11"/>
  </si>
  <si>
    <t>enemy_skill_id</t>
  </si>
  <si>
    <t>valid_flg</t>
  </si>
  <si>
    <t>重複チェック</t>
    <rPh sb="0" eb="2">
      <t>チョウフク</t>
    </rPh>
    <phoneticPr fontId="11"/>
  </si>
  <si>
    <t>接頭語</t>
    <rPh sb="0" eb="3">
      <t>セットウゴ</t>
    </rPh>
    <phoneticPr fontId="11"/>
  </si>
  <si>
    <t>識別子</t>
    <rPh sb="0" eb="3">
      <t>シキベツシ</t>
    </rPh>
    <phoneticPr fontId="11"/>
  </si>
  <si>
    <t>形式</t>
    <rPh sb="0" eb="2">
      <t>ケイシキ</t>
    </rPh>
    <phoneticPr fontId="11"/>
  </si>
  <si>
    <t>出力ファイル名</t>
    <rPh sb="0" eb="2">
      <t>シュツリョク</t>
    </rPh>
    <rPh sb="6" eb="7">
      <t>メイ</t>
    </rPh>
    <phoneticPr fontId="11"/>
  </si>
  <si>
    <t>入力シート名</t>
    <rPh sb="0" eb="2">
      <t>ニュウリョク</t>
    </rPh>
    <rPh sb="5" eb="6">
      <t>メイ</t>
    </rPh>
    <phoneticPr fontId="11"/>
  </si>
  <si>
    <t>出力データ</t>
    <rPh sb="0" eb="2">
      <t>シュツリョク</t>
    </rPh>
    <phoneticPr fontId="11"/>
  </si>
  <si>
    <t>.tmp</t>
    <phoneticPr fontId="11"/>
  </si>
  <si>
    <t>.tmp</t>
    <phoneticPr fontId="11"/>
  </si>
  <si>
    <t>出力flg</t>
    <rPh sb="0" eb="2">
      <t>シュツリョク</t>
    </rPh>
    <phoneticPr fontId="11"/>
  </si>
  <si>
    <t>中間文字列１</t>
    <rPh sb="0" eb="2">
      <t>チュウカン</t>
    </rPh>
    <rPh sb="2" eb="5">
      <t>モジレツ</t>
    </rPh>
    <phoneticPr fontId="11"/>
  </si>
  <si>
    <t>効果１文字列</t>
    <rPh sb="0" eb="2">
      <t>コウカ</t>
    </rPh>
    <rPh sb="3" eb="6">
      <t>モジレツ</t>
    </rPh>
    <phoneticPr fontId="11"/>
  </si>
  <si>
    <t>効果１簡易デコード</t>
    <rPh sb="0" eb="2">
      <t>コウカ</t>
    </rPh>
    <rPh sb="3" eb="5">
      <t>カンイ</t>
    </rPh>
    <phoneticPr fontId="11"/>
  </si>
  <si>
    <t>効果２文字列</t>
    <rPh sb="0" eb="2">
      <t>コウカ</t>
    </rPh>
    <rPh sb="3" eb="6">
      <t>モジレツ</t>
    </rPh>
    <phoneticPr fontId="11"/>
  </si>
  <si>
    <t>効果２簡易デコード</t>
    <rPh sb="0" eb="2">
      <t>コウカ</t>
    </rPh>
    <rPh sb="3" eb="5">
      <t>カンイ</t>
    </rPh>
    <phoneticPr fontId="11"/>
  </si>
  <si>
    <t>効果３文字列</t>
    <rPh sb="0" eb="2">
      <t>コウカ</t>
    </rPh>
    <rPh sb="3" eb="6">
      <t>モジレツ</t>
    </rPh>
    <phoneticPr fontId="11"/>
  </si>
  <si>
    <t>効果３簡易デコード</t>
    <rPh sb="0" eb="2">
      <t>コウカ</t>
    </rPh>
    <rPh sb="3" eb="5">
      <t>カンイ</t>
    </rPh>
    <phoneticPr fontId="11"/>
  </si>
  <si>
    <t>効果１efect位置</t>
    <rPh sb="0" eb="2">
      <t>コウカ</t>
    </rPh>
    <rPh sb="8" eb="10">
      <t>イチ</t>
    </rPh>
    <phoneticPr fontId="11"/>
  </si>
  <si>
    <t>効果１target位置</t>
    <rPh sb="0" eb="2">
      <t>コウカ</t>
    </rPh>
    <rPh sb="9" eb="11">
      <t>イチ</t>
    </rPh>
    <phoneticPr fontId="11"/>
  </si>
  <si>
    <t>効果1終了位置</t>
    <rPh sb="0" eb="2">
      <t>コウカ</t>
    </rPh>
    <rPh sb="3" eb="5">
      <t>シュウリョウ</t>
    </rPh>
    <rPh sb="5" eb="7">
      <t>イチ</t>
    </rPh>
    <phoneticPr fontId="11"/>
  </si>
  <si>
    <t>効果1target終了位置</t>
    <rPh sb="0" eb="2">
      <t>コウカ</t>
    </rPh>
    <rPh sb="9" eb="11">
      <t>シュウリョウ</t>
    </rPh>
    <rPh sb="11" eb="13">
      <t>イチ</t>
    </rPh>
    <phoneticPr fontId="11"/>
  </si>
  <si>
    <t>効果2efect位置</t>
    <rPh sb="0" eb="2">
      <t>コウカ</t>
    </rPh>
    <rPh sb="8" eb="10">
      <t>イチ</t>
    </rPh>
    <phoneticPr fontId="11"/>
  </si>
  <si>
    <t>効果2終了位置</t>
    <rPh sb="0" eb="2">
      <t>コウカ</t>
    </rPh>
    <rPh sb="3" eb="5">
      <t>シュウリョウ</t>
    </rPh>
    <rPh sb="5" eb="7">
      <t>イチ</t>
    </rPh>
    <phoneticPr fontId="11"/>
  </si>
  <si>
    <t>効果2target位置</t>
    <rPh sb="0" eb="2">
      <t>コウカ</t>
    </rPh>
    <rPh sb="9" eb="11">
      <t>イチ</t>
    </rPh>
    <phoneticPr fontId="11"/>
  </si>
  <si>
    <t>効果2target終了位置</t>
    <rPh sb="0" eb="2">
      <t>コウカ</t>
    </rPh>
    <rPh sb="9" eb="11">
      <t>シュウリョウ</t>
    </rPh>
    <rPh sb="11" eb="13">
      <t>イチ</t>
    </rPh>
    <phoneticPr fontId="11"/>
  </si>
  <si>
    <t>効果3efect位置</t>
    <rPh sb="0" eb="2">
      <t>コウカ</t>
    </rPh>
    <rPh sb="8" eb="10">
      <t>イチ</t>
    </rPh>
    <phoneticPr fontId="11"/>
  </si>
  <si>
    <t>効果3終了位置</t>
    <rPh sb="0" eb="2">
      <t>コウカ</t>
    </rPh>
    <rPh sb="3" eb="5">
      <t>シュウリョウ</t>
    </rPh>
    <rPh sb="5" eb="7">
      <t>イチ</t>
    </rPh>
    <phoneticPr fontId="11"/>
  </si>
  <si>
    <t>効果3target位置</t>
    <rPh sb="0" eb="2">
      <t>コウカ</t>
    </rPh>
    <rPh sb="9" eb="11">
      <t>イチ</t>
    </rPh>
    <phoneticPr fontId="11"/>
  </si>
  <si>
    <t>効果3target終了位置</t>
    <rPh sb="0" eb="2">
      <t>コウカ</t>
    </rPh>
    <rPh sb="9" eb="11">
      <t>シュウリョウ</t>
    </rPh>
    <rPh sb="11" eb="13">
      <t>イチ</t>
    </rPh>
    <phoneticPr fontId="11"/>
  </si>
  <si>
    <t>quest_id</t>
    <phoneticPr fontId="11"/>
  </si>
  <si>
    <t>bit</t>
  </si>
  <si>
    <t>upper_ranking</t>
    <phoneticPr fontId="11"/>
  </si>
  <si>
    <t>lower_ranking</t>
    <phoneticPr fontId="11"/>
  </si>
  <si>
    <t>gift_id</t>
    <phoneticPr fontId="11"/>
  </si>
  <si>
    <t>gift_type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</si>
  <si>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</si>
  <si>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</si>
  <si>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</si>
  <si>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</si>
  <si>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</si>
  <si>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</si>
  <si>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temp_gift_id</t>
    <phoneticPr fontId="11"/>
  </si>
  <si>
    <t>ranking_ACH</t>
    <phoneticPr fontId="11"/>
  </si>
  <si>
    <t>gifts_tmp_</t>
    <phoneticPr fontId="13"/>
  </si>
  <si>
    <t>gift_id</t>
    <phoneticPr fontId="13"/>
  </si>
  <si>
    <t>gifts_i18n_</t>
    <phoneticPr fontId="13"/>
  </si>
  <si>
    <t>title</t>
    <phoneticPr fontId="13"/>
  </si>
  <si>
    <t>detail</t>
    <phoneticPr fontId="13"/>
  </si>
  <si>
    <t>clear_bonus</t>
    <phoneticPr fontId="11"/>
  </si>
  <si>
    <t>param_code</t>
    <phoneticPr fontId="11"/>
  </si>
  <si>
    <t>x</t>
    <phoneticPr fontId="11"/>
  </si>
  <si>
    <t>a</t>
    <phoneticPr fontId="11"/>
  </si>
  <si>
    <t>b</t>
    <phoneticPr fontId="11"/>
  </si>
  <si>
    <t>evaluation_id</t>
    <phoneticPr fontId="11"/>
  </si>
  <si>
    <t>quest_id</t>
    <phoneticPr fontId="11"/>
  </si>
  <si>
    <t>stage_id</t>
    <phoneticPr fontId="11"/>
  </si>
  <si>
    <t>score</t>
    <phoneticPr fontId="11"/>
  </si>
  <si>
    <t>language</t>
    <phoneticPr fontId="11"/>
  </si>
  <si>
    <t>evaluation</t>
    <phoneticPr fontId="11"/>
  </si>
  <si>
    <t>animation_file_name</t>
    <phoneticPr fontId="11"/>
  </si>
  <si>
    <t>hp_plus</t>
    <phoneticPr fontId="11"/>
  </si>
  <si>
    <t>attack_plus</t>
    <phoneticPr fontId="11"/>
  </si>
  <si>
    <t>heal_plus</t>
    <phoneticPr fontId="11"/>
  </si>
  <si>
    <t>defense_plus</t>
    <phoneticPr fontId="11"/>
  </si>
  <si>
    <t>level</t>
    <phoneticPr fontId="11"/>
  </si>
  <si>
    <t>skill_level</t>
  </si>
  <si>
    <t>skill_level</t>
    <phoneticPr fontId="11"/>
  </si>
  <si>
    <t>bug</t>
    <phoneticPr fontId="11"/>
  </si>
  <si>
    <t>evaluation_id</t>
    <phoneticPr fontId="11"/>
  </si>
  <si>
    <t>quest_id</t>
    <phoneticPr fontId="11"/>
  </si>
  <si>
    <t>gift_id</t>
    <phoneticPr fontId="11"/>
  </si>
  <si>
    <t xml:space="preserve">gift_limit </t>
    <phoneticPr fontId="11"/>
  </si>
  <si>
    <t>gifts_tmp_</t>
    <phoneticPr fontId="11"/>
  </si>
  <si>
    <t>.tmp</t>
    <phoneticPr fontId="11"/>
  </si>
  <si>
    <t>gift_id</t>
    <phoneticPr fontId="13"/>
  </si>
  <si>
    <t>gift_type</t>
    <phoneticPr fontId="13"/>
  </si>
  <si>
    <t>gift_value</t>
    <phoneticPr fontId="13"/>
  </si>
  <si>
    <t>gift_count</t>
    <phoneticPr fontId="13"/>
  </si>
  <si>
    <t>gifts_i18n_</t>
    <phoneticPr fontId="11"/>
  </si>
  <si>
    <t>.tmp</t>
    <phoneticPr fontId="11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</si>
  <si>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</si>
  <si>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</si>
  <si>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</si>
  <si>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</si>
  <si>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.tmp</t>
    <phoneticPr fontId="11"/>
  </si>
  <si>
    <t>evaluation_id</t>
    <phoneticPr fontId="11"/>
  </si>
  <si>
    <t>quest_id</t>
    <phoneticPr fontId="11"/>
  </si>
  <si>
    <t>stage_id</t>
    <phoneticPr fontId="11"/>
  </si>
  <si>
    <t>score</t>
    <phoneticPr fontId="11"/>
  </si>
  <si>
    <t>gift_id</t>
    <phoneticPr fontId="11"/>
  </si>
  <si>
    <t>gift_type</t>
    <phoneticPr fontId="13"/>
  </si>
  <si>
    <t>gift_value</t>
    <phoneticPr fontId="13"/>
  </si>
  <si>
    <t>gift_count</t>
    <phoneticPr fontId="13"/>
  </si>
  <si>
    <t>hp_plus</t>
    <phoneticPr fontId="11"/>
  </si>
  <si>
    <t>attack_plus</t>
    <phoneticPr fontId="11"/>
  </si>
  <si>
    <t>heal_plus</t>
    <phoneticPr fontId="11"/>
  </si>
  <si>
    <t>defense_plus</t>
    <phoneticPr fontId="11"/>
  </si>
  <si>
    <t>level</t>
    <phoneticPr fontId="11"/>
  </si>
  <si>
    <t>skill_level</t>
    <phoneticPr fontId="11"/>
  </si>
  <si>
    <t>bug</t>
    <phoneticPr fontId="11"/>
  </si>
  <si>
    <t>language</t>
    <phoneticPr fontId="13"/>
  </si>
  <si>
    <t>title</t>
    <phoneticPr fontId="13"/>
  </si>
  <si>
    <t>detail</t>
    <phoneticPr fontId="13"/>
  </si>
  <si>
    <t>message</t>
    <phoneticPr fontId="13"/>
  </si>
  <si>
    <t xml:space="preserve">gift_limit </t>
    <phoneticPr fontId="11"/>
  </si>
  <si>
    <t>ja</t>
  </si>
  <si>
    <t>SSS</t>
  </si>
  <si>
    <t>View/RankingBattle_Evelution_SSS.ccbi</t>
  </si>
  <si>
    <t>SS</t>
  </si>
  <si>
    <t>View/RankingBattle_Evelution_SS.ccbi</t>
  </si>
  <si>
    <t>S</t>
  </si>
  <si>
    <t>View/RankingBattle_Evelution_S.ccbi</t>
  </si>
  <si>
    <t>A</t>
  </si>
  <si>
    <t>View/RankingBattle_Evelution_A.ccbi</t>
  </si>
  <si>
    <t>B</t>
  </si>
  <si>
    <t>View/RankingBattle_Evelution_B.ccbi</t>
  </si>
  <si>
    <t>C</t>
  </si>
  <si>
    <t>View/RankingBattle_Evelution_C.ccbi</t>
  </si>
  <si>
    <t>ja</t>
    <phoneticPr fontId="13"/>
  </si>
  <si>
    <t>item</t>
    <phoneticPr fontId="13"/>
  </si>
  <si>
    <t>polygon</t>
    <phoneticPr fontId="13"/>
  </si>
  <si>
    <t>null</t>
    <phoneticPr fontId="11"/>
  </si>
  <si>
    <t>bit</t>
    <phoneticPr fontId="13"/>
  </si>
  <si>
    <t>item</t>
  </si>
  <si>
    <t>刀のランキングチケット × 1</t>
  </si>
  <si>
    <t>ランキングクエスト報酬</t>
    <rPh sb="9" eb="11">
      <t>ホウシュウ</t>
    </rPh>
    <phoneticPr fontId="14"/>
  </si>
  <si>
    <t>オイラーチャレンジ
順位報酬</t>
    <rPh sb="10" eb="12">
      <t>ジュンイ</t>
    </rPh>
    <rPh sb="12" eb="14">
      <t>ホウシュウ</t>
    </rPh>
    <phoneticPr fontId="14"/>
  </si>
  <si>
    <t>刀のチケットピース × 2</t>
  </si>
  <si>
    <t>polygon</t>
  </si>
  <si>
    <t>null</t>
  </si>
  <si>
    <t>ポリゴン×10</t>
  </si>
  <si>
    <t>unit</t>
  </si>
  <si>
    <t>リトルハンプティ×1</t>
  </si>
  <si>
    <t>ギガ秘術の果実×1</t>
    <rPh sb="2" eb="4">
      <t>ヒジュツ</t>
    </rPh>
    <rPh sb="5" eb="7">
      <t>カジツ</t>
    </rPh>
    <phoneticPr fontId="14"/>
  </si>
  <si>
    <t>刀のチケットピース × 1</t>
  </si>
  <si>
    <t>ポリゴン×5</t>
  </si>
  <si>
    <t>メガ秘術の果実 ×1</t>
    <rPh sb="2" eb="4">
      <t>ヒジュツ</t>
    </rPh>
    <rPh sb="5" eb="7">
      <t>カジツ</t>
    </rPh>
    <phoneticPr fontId="14"/>
  </si>
  <si>
    <t>マスターキー×3</t>
  </si>
  <si>
    <t>刀のチケットピース × 3</t>
  </si>
  <si>
    <t>炎のメタルジェントル ×1</t>
    <rPh sb="0" eb="1">
      <t>ホノオ</t>
    </rPh>
    <phoneticPr fontId="14"/>
  </si>
  <si>
    <t>森のメタルジェントル ×1</t>
    <rPh sb="0" eb="1">
      <t>モリノ</t>
    </rPh>
    <phoneticPr fontId="14"/>
  </si>
  <si>
    <t>水のメタルジェントル ×1</t>
    <rPh sb="0" eb="1">
      <t>ミズノ</t>
    </rPh>
    <phoneticPr fontId="14"/>
  </si>
  <si>
    <t>雷のメタルジェントル ×1</t>
    <rPh sb="0" eb="1">
      <t>カミナリ</t>
    </rPh>
    <phoneticPr fontId="14"/>
  </si>
  <si>
    <t>秘術の果実 ×1</t>
    <rPh sb="0" eb="2">
      <t>ヒジュツ</t>
    </rPh>
    <rPh sb="3" eb="5">
      <t>カジツ</t>
    </rPh>
    <phoneticPr fontId="14"/>
  </si>
  <si>
    <t>マスターキー×1</t>
  </si>
  <si>
    <t>link</t>
  </si>
  <si>
    <t>2000リンク</t>
  </si>
  <si>
    <t>炎のメタルダック ×1</t>
    <rPh sb="0" eb="1">
      <t>ホノオ</t>
    </rPh>
    <phoneticPr fontId="14"/>
  </si>
  <si>
    <t>森のメタルダック ×1</t>
    <rPh sb="0" eb="1">
      <t>モリノ</t>
    </rPh>
    <phoneticPr fontId="14"/>
  </si>
  <si>
    <t>水のメタルダック ×1</t>
    <rPh sb="0" eb="1">
      <t>ミズノ</t>
    </rPh>
    <phoneticPr fontId="14"/>
  </si>
  <si>
    <t>雷のメタルダック ×1</t>
    <rPh sb="0" eb="1">
      <t>カミナリ</t>
    </rPh>
    <phoneticPr fontId="14"/>
  </si>
  <si>
    <t>ポリゴン×3</t>
  </si>
  <si>
    <t>20万ビット</t>
    <rPh sb="2" eb="3">
      <t>マン</t>
    </rPh>
    <phoneticPr fontId="14"/>
  </si>
  <si>
    <t>ポリゴン×2</t>
  </si>
  <si>
    <t>1000リンク</t>
  </si>
  <si>
    <t>15万ビット</t>
    <rPh sb="2" eb="3">
      <t>マン</t>
    </rPh>
    <phoneticPr fontId="14"/>
  </si>
  <si>
    <t>ポリゴン×1</t>
  </si>
  <si>
    <t>10万ビット</t>
    <rPh sb="2" eb="3">
      <t>マン</t>
    </rPh>
    <phoneticPr fontId="14"/>
  </si>
  <si>
    <t>次条係数</t>
    <rPh sb="0" eb="2">
      <t>jijyou</t>
    </rPh>
    <rPh sb="2" eb="4">
      <t>ケイス</t>
    </rPh>
    <phoneticPr fontId="11"/>
  </si>
  <si>
    <t>param_code</t>
    <phoneticPr fontId="11"/>
  </si>
  <si>
    <t>x</t>
    <phoneticPr fontId="11"/>
  </si>
  <si>
    <t>y</t>
    <phoneticPr fontId="11"/>
  </si>
  <si>
    <t>a</t>
    <phoneticPr fontId="11"/>
  </si>
  <si>
    <t>b</t>
    <phoneticPr fontId="11"/>
  </si>
  <si>
    <t>score_attack_expanded_floors</t>
  </si>
  <si>
    <t>param_code_damage_given</t>
    <phoneticPr fontId="11"/>
  </si>
  <si>
    <t>param_code_heal</t>
    <phoneticPr fontId="11"/>
  </si>
  <si>
    <t>clear_turn_border</t>
  </si>
  <si>
    <t>clear_turn_border</t>
    <phoneticPr fontId="11"/>
  </si>
  <si>
    <t>clear_turn_param</t>
  </si>
  <si>
    <t>clear_turn_param</t>
    <phoneticPr fontId="11"/>
  </si>
  <si>
    <t>damage_given_upper_limit</t>
  </si>
  <si>
    <t>damage_given_upper_limit</t>
    <phoneticPr fontId="11"/>
  </si>
  <si>
    <t>heal_upper_limit</t>
  </si>
  <si>
    <t>heal_upper_limit</t>
    <phoneticPr fontId="11"/>
  </si>
  <si>
    <t>score_attack_expanded_stages_</t>
    <phoneticPr fontId="11"/>
  </si>
  <si>
    <t>score_attack_expanded_stages</t>
  </si>
  <si>
    <t>score_attack_params_damage_give</t>
  </si>
  <si>
    <t>stage_evaluations</t>
    <phoneticPr fontId="11"/>
  </si>
  <si>
    <t>score_attack_stage_evaluations_i18n_</t>
    <phoneticPr fontId="11"/>
  </si>
  <si>
    <t>stage_evaluation_gifts</t>
  </si>
  <si>
    <t>stage_evaluation_gifts</t>
    <phoneticPr fontId="11"/>
  </si>
  <si>
    <t>score_attack_unit_bonus_condition_id</t>
  </si>
  <si>
    <t>bonus_type</t>
  </si>
  <si>
    <t>condition</t>
  </si>
  <si>
    <t>operator</t>
  </si>
  <si>
    <t>param</t>
  </si>
  <si>
    <t>start_date</t>
  </si>
  <si>
    <t>end_date</t>
  </si>
  <si>
    <t>type</t>
  </si>
  <si>
    <t>=</t>
  </si>
  <si>
    <t>unit_bonus_conditions</t>
    <phoneticPr fontId="11"/>
  </si>
  <si>
    <t>score_attack_unit_bonus_conditions_</t>
    <phoneticPr fontId="11"/>
  </si>
  <si>
    <t>SSS→ポリゴン3個</t>
  </si>
  <si>
    <t>SS→ポリゴン2個</t>
  </si>
  <si>
    <t>S→マスターキー1本</t>
  </si>
  <si>
    <t>A→ジェントル各色1体ずつ</t>
  </si>
  <si>
    <t>B→100,000ビット</t>
  </si>
  <si>
    <t>C→なし</t>
  </si>
  <si>
    <t>マスターキー × 1</t>
    <phoneticPr fontId="13"/>
  </si>
  <si>
    <t>ポリゴン × 3</t>
    <phoneticPr fontId="13"/>
  </si>
  <si>
    <t>ポリゴン × 2</t>
    <phoneticPr fontId="13"/>
  </si>
  <si>
    <t>unit</t>
    <phoneticPr fontId="13"/>
  </si>
  <si>
    <t>炎のメタルジェントル × 1</t>
    <phoneticPr fontId="13"/>
  </si>
  <si>
    <t>森のメタルジェントル × 1</t>
    <phoneticPr fontId="11"/>
  </si>
  <si>
    <t>水のメタルジェントル × 1</t>
    <phoneticPr fontId="11"/>
  </si>
  <si>
    <t>雷のメタルジェントル × 1</t>
    <phoneticPr fontId="11"/>
  </si>
  <si>
    <t>100000ビット</t>
    <phoneticPr fontId="13"/>
  </si>
  <si>
    <t>heal</t>
    <phoneticPr fontId="11"/>
  </si>
  <si>
    <t>2015-03-27 00:00:00</t>
  </si>
  <si>
    <t>2970-01-01 09:00:00</t>
  </si>
  <si>
    <t>failure</t>
  </si>
  <si>
    <t>攻略のヒント</t>
    <rPh sb="0" eb="2">
      <t>コウリャク</t>
    </rPh>
    <phoneticPr fontId="11"/>
  </si>
  <si>
    <t>スコア評価報酬</t>
    <rPh sb="3" eb="5">
      <t>ヒョウカ</t>
    </rPh>
    <rPh sb="5" eb="7">
      <t>ホウシュウ</t>
    </rPh>
    <phoneticPr fontId="13"/>
  </si>
  <si>
    <t>SSS</t>
    <phoneticPr fontId="13"/>
  </si>
  <si>
    <t>SS</t>
    <phoneticPr fontId="13"/>
  </si>
  <si>
    <t>S</t>
    <phoneticPr fontId="13"/>
  </si>
  <si>
    <t>A</t>
    <phoneticPr fontId="13"/>
  </si>
  <si>
    <t>A</t>
    <phoneticPr fontId="13"/>
  </si>
  <si>
    <t>A</t>
    <phoneticPr fontId="13"/>
  </si>
  <si>
    <t>B</t>
    <phoneticPr fontId="13"/>
  </si>
  <si>
    <t>stage_evaluation_gifts</t>
    <phoneticPr fontId="11"/>
  </si>
  <si>
    <t>score_attack_stage_evaluations_tmp_</t>
    <phoneticPr fontId="11"/>
  </si>
  <si>
    <t>score_attack_params_heal_</t>
    <phoneticPr fontId="11"/>
  </si>
  <si>
    <t>score_attack_params_heal</t>
    <phoneticPr fontId="11"/>
  </si>
  <si>
    <t xml:space="preserve"> </t>
    <phoneticPr fontId="11"/>
  </si>
  <si>
    <t>score_attack_stage_evaluation_gifts_</t>
    <phoneticPr fontId="11"/>
  </si>
  <si>
    <t>score_attack_expanded_floors_</t>
    <phoneticPr fontId="11"/>
  </si>
  <si>
    <t>score_attack_params_damage_given_</t>
    <phoneticPr fontId="11"/>
  </si>
  <si>
    <t>skip</t>
  </si>
  <si>
    <t>floors_</t>
    <phoneticPr fontId="11"/>
  </si>
  <si>
    <t>.tmp</t>
    <phoneticPr fontId="11"/>
  </si>
  <si>
    <t>floors</t>
    <phoneticPr fontId="11"/>
  </si>
  <si>
    <t>enemy_habitats_</t>
    <phoneticPr fontId="11"/>
  </si>
  <si>
    <t>.tmp</t>
    <phoneticPr fontId="11"/>
  </si>
  <si>
    <t>enemy_habitats</t>
    <phoneticPr fontId="11"/>
  </si>
  <si>
    <t>hp_coefficient</t>
  </si>
  <si>
    <t>attack_coefficient</t>
  </si>
  <si>
    <t>defense_correction</t>
  </si>
  <si>
    <t>skill_set_id</t>
  </si>
  <si>
    <t>seq_no</t>
    <phoneticPr fontId="11"/>
  </si>
  <si>
    <t>skill_level</t>
    <phoneticPr fontId="11"/>
  </si>
  <si>
    <t>enemy_habitat_S_</t>
    <phoneticPr fontId="11"/>
  </si>
  <si>
    <t>enemy_habitat_S</t>
    <phoneticPr fontId="11"/>
  </si>
  <si>
    <t>seq_no</t>
    <phoneticPr fontId="11"/>
  </si>
  <si>
    <t>state_no</t>
    <phoneticPr fontId="11"/>
  </si>
  <si>
    <t>character_id</t>
    <phoneticPr fontId="11"/>
  </si>
  <si>
    <t>level</t>
    <phoneticPr fontId="11"/>
  </si>
  <si>
    <t>speed</t>
    <phoneticPr fontId="11"/>
  </si>
  <si>
    <t>skill_set_id</t>
    <phoneticPr fontId="11"/>
  </si>
  <si>
    <t>hp_coefficient</t>
    <phoneticPr fontId="11"/>
  </si>
  <si>
    <t>attack_coefficient</t>
    <phoneticPr fontId="11"/>
  </si>
  <si>
    <t>defense_correction</t>
    <phoneticPr fontId="11"/>
  </si>
  <si>
    <t>enemy_skill_sets_</t>
    <phoneticPr fontId="11"/>
  </si>
  <si>
    <t>.tmp</t>
    <phoneticPr fontId="11"/>
  </si>
  <si>
    <t>enemy_skill_sets</t>
    <phoneticPr fontId="11"/>
  </si>
  <si>
    <t>skill_id</t>
  </si>
  <si>
    <t>skill_trigger_id</t>
  </si>
  <si>
    <t>enemy_skills_tmp_</t>
    <phoneticPr fontId="11"/>
  </si>
  <si>
    <t>.tmp</t>
    <phoneticPr fontId="11"/>
  </si>
  <si>
    <t>enemy_skills</t>
    <phoneticPr fontId="11"/>
  </si>
  <si>
    <t>effect_param</t>
    <phoneticPr fontId="11"/>
  </si>
  <si>
    <t>enemy_skills_i18n_</t>
    <phoneticPr fontId="11"/>
  </si>
  <si>
    <t>.tmp</t>
    <phoneticPr fontId="11"/>
  </si>
  <si>
    <t>enemy_skills</t>
    <phoneticPr fontId="11"/>
  </si>
  <si>
    <t>language</t>
  </si>
  <si>
    <t>name</t>
  </si>
  <si>
    <t>comment</t>
  </si>
  <si>
    <t>enemy_skill_triggers_</t>
    <phoneticPr fontId="11"/>
  </si>
  <si>
    <t>enemy_skill_triggers</t>
    <phoneticPr fontId="11"/>
  </si>
  <si>
    <t>first_time</t>
  </si>
  <si>
    <t>invoke_rate</t>
  </si>
  <si>
    <t>hp_threshold</t>
  </si>
  <si>
    <t>hp_termination</t>
    <phoneticPr fontId="11"/>
  </si>
  <si>
    <t>invoke_times</t>
  </si>
  <si>
    <t>invoke_weight</t>
    <phoneticPr fontId="11"/>
  </si>
  <si>
    <t>every_time_count</t>
    <phoneticPr fontId="11"/>
  </si>
  <si>
    <t>neighbor_dead_id</t>
    <phoneticPr fontId="11"/>
  </si>
  <si>
    <t>priority</t>
    <phoneticPr fontId="11"/>
  </si>
  <si>
    <t>stage_bug_bonuses_</t>
    <phoneticPr fontId="11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</si>
  <si>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11"/>
  </si>
  <si>
    <t>bugbonuses</t>
    <phoneticPr fontId="11"/>
  </si>
  <si>
    <t>quest_id</t>
    <phoneticPr fontId="11"/>
  </si>
  <si>
    <t>stage_id</t>
    <phoneticPr fontId="11"/>
  </si>
  <si>
    <t>stage_target</t>
    <phoneticPr fontId="11"/>
  </si>
  <si>
    <t>bonus_id</t>
    <phoneticPr fontId="11"/>
  </si>
  <si>
    <t>bonus_type</t>
    <phoneticPr fontId="11"/>
  </si>
  <si>
    <t>bonus_value</t>
    <phoneticPr fontId="11"/>
  </si>
  <si>
    <t>bonus_count</t>
    <phoneticPr fontId="11"/>
  </si>
  <si>
    <t>skill_level</t>
    <phoneticPr fontId="11"/>
  </si>
  <si>
    <t>hp_plus</t>
    <phoneticPr fontId="11"/>
  </si>
  <si>
    <t>attack_plus</t>
    <phoneticPr fontId="11"/>
  </si>
  <si>
    <t>defense_plus</t>
    <phoneticPr fontId="11"/>
  </si>
  <si>
    <t>heal_plus</t>
    <phoneticPr fontId="11"/>
  </si>
  <si>
    <t>bug</t>
    <phoneticPr fontId="11"/>
  </si>
  <si>
    <t>weight</t>
    <phoneticPr fontId="11"/>
  </si>
  <si>
    <t>definite_start_date</t>
    <phoneticPr fontId="11"/>
  </si>
  <si>
    <t>definite_end_date</t>
    <phoneticPr fontId="11"/>
  </si>
  <si>
    <t>stage_hints_data_c_</t>
    <phoneticPr fontId="11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</si>
  <si>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11"/>
  </si>
  <si>
    <t>hint_id</t>
    <phoneticPr fontId="11"/>
  </si>
  <si>
    <t>floor_id</t>
    <phoneticPr fontId="11"/>
  </si>
  <si>
    <t>hint_type</t>
    <phoneticPr fontId="11"/>
  </si>
  <si>
    <t>stage_hints_data_f_</t>
    <phoneticPr fontId="11"/>
  </si>
  <si>
    <t>stage_hints_failure</t>
    <phoneticPr fontId="11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</si>
  <si>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</si>
  <si>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language</t>
    <phoneticPr fontId="11"/>
  </si>
  <si>
    <t>hint</t>
    <phoneticPr fontId="11"/>
  </si>
  <si>
    <t>filename</t>
  </si>
  <si>
    <t>title</t>
    <phoneticPr fontId="11"/>
  </si>
  <si>
    <t>stage_bonuses_</t>
    <phoneticPr fontId="11"/>
  </si>
  <si>
    <t>stage_bonuses</t>
    <phoneticPr fontId="11"/>
  </si>
  <si>
    <t>quest_id</t>
    <phoneticPr fontId="11"/>
  </si>
  <si>
    <t>stage_id</t>
    <phoneticPr fontId="11"/>
  </si>
  <si>
    <t>stage_target</t>
    <phoneticPr fontId="11"/>
  </si>
  <si>
    <t>bonus_category</t>
    <phoneticPr fontId="11"/>
  </si>
  <si>
    <t>bonus_id</t>
    <phoneticPr fontId="11"/>
  </si>
  <si>
    <t>bonus_type</t>
    <phoneticPr fontId="11"/>
  </si>
  <si>
    <t>bonus_value</t>
    <phoneticPr fontId="11"/>
  </si>
  <si>
    <t>bonus_count</t>
    <phoneticPr fontId="11"/>
  </si>
  <si>
    <t>level</t>
    <phoneticPr fontId="11"/>
  </si>
  <si>
    <t>skill_level</t>
    <phoneticPr fontId="11"/>
  </si>
  <si>
    <t>hp_plus</t>
    <phoneticPr fontId="11"/>
  </si>
  <si>
    <t>attack_plus</t>
    <phoneticPr fontId="11"/>
  </si>
  <si>
    <t>defense_plus</t>
    <phoneticPr fontId="11"/>
  </si>
  <si>
    <t>heal_plus</t>
    <phoneticPr fontId="11"/>
  </si>
  <si>
    <t>bug</t>
    <phoneticPr fontId="11"/>
  </si>
  <si>
    <t>weight</t>
    <phoneticPr fontId="11"/>
  </si>
  <si>
    <t>definite_start_date</t>
    <phoneticPr fontId="11"/>
  </si>
  <si>
    <t>definite_end_date</t>
    <phoneticPr fontId="11"/>
  </si>
  <si>
    <t>temp_floor</t>
    <phoneticPr fontId="11"/>
  </si>
  <si>
    <t>status</t>
    <phoneticPr fontId="11"/>
  </si>
  <si>
    <t>name</t>
    <phoneticPr fontId="11"/>
  </si>
  <si>
    <t>temp_stage</t>
    <phoneticPr fontId="11"/>
  </si>
  <si>
    <t>temp_habitats</t>
    <phoneticPr fontId="11"/>
  </si>
  <si>
    <t>temp_stage</t>
    <phoneticPr fontId="11"/>
  </si>
  <si>
    <t>name</t>
    <phoneticPr fontId="11"/>
  </si>
  <si>
    <t>floor_id</t>
    <phoneticPr fontId="11"/>
  </si>
  <si>
    <t>temp_floor</t>
    <phoneticPr fontId="11"/>
  </si>
  <si>
    <t>seq_no</t>
    <phoneticPr fontId="11"/>
  </si>
  <si>
    <t>color</t>
    <phoneticPr fontId="11"/>
  </si>
  <si>
    <t>drop_label</t>
    <phoneticPr fontId="11"/>
  </si>
  <si>
    <t>character_main_tribe_id</t>
    <phoneticPr fontId="11"/>
  </si>
  <si>
    <t>size</t>
    <phoneticPr fontId="11"/>
  </si>
  <si>
    <t>hp_coefficient</t>
    <phoneticPr fontId="11"/>
  </si>
  <si>
    <t>attack_coefficient</t>
    <phoneticPr fontId="11"/>
  </si>
  <si>
    <t>defense_correction</t>
    <phoneticPr fontId="11"/>
  </si>
  <si>
    <t>スキル</t>
    <phoneticPr fontId="11"/>
  </si>
  <si>
    <t>skill_set_id</t>
    <phoneticPr fontId="11"/>
  </si>
  <si>
    <t>name</t>
    <phoneticPr fontId="11"/>
  </si>
  <si>
    <t>rare</t>
    <phoneticPr fontId="11"/>
  </si>
  <si>
    <t>drop_label</t>
    <phoneticPr fontId="13"/>
  </si>
  <si>
    <t>state_no</t>
    <phoneticPr fontId="11"/>
  </si>
  <si>
    <t>hp_coefficient</t>
    <phoneticPr fontId="11"/>
  </si>
  <si>
    <t>attack_coefficient</t>
    <phoneticPr fontId="11"/>
  </si>
  <si>
    <t>defense_correction</t>
    <phoneticPr fontId="11"/>
  </si>
  <si>
    <t>スキル</t>
    <phoneticPr fontId="11"/>
  </si>
  <si>
    <t>skill_set_id</t>
    <phoneticPr fontId="11"/>
  </si>
  <si>
    <t>temp_id</t>
    <phoneticPr fontId="11"/>
  </si>
  <si>
    <t>skill_set_id</t>
    <phoneticPr fontId="13"/>
  </si>
  <si>
    <t>skill_id</t>
    <phoneticPr fontId="13"/>
  </si>
  <si>
    <t>name</t>
    <phoneticPr fontId="13"/>
  </si>
  <si>
    <t>comment</t>
    <phoneticPr fontId="13"/>
  </si>
  <si>
    <t>skill_trigger_id</t>
    <phoneticPr fontId="13"/>
  </si>
  <si>
    <t>first_time</t>
    <phoneticPr fontId="11"/>
  </si>
  <si>
    <t>priority</t>
    <phoneticPr fontId="11"/>
  </si>
  <si>
    <t>invoke_rate</t>
    <phoneticPr fontId="11"/>
  </si>
  <si>
    <t>hp_threshold</t>
    <phoneticPr fontId="11"/>
  </si>
  <si>
    <t>hp_termination</t>
    <phoneticPr fontId="11"/>
  </si>
  <si>
    <t>invoke_times</t>
    <phoneticPr fontId="11"/>
  </si>
  <si>
    <t>every_time_count</t>
    <phoneticPr fontId="11"/>
  </si>
  <si>
    <t>neighbor_dead_id</t>
    <phoneticPr fontId="11"/>
  </si>
  <si>
    <t>invoke_weight</t>
    <phoneticPr fontId="11"/>
  </si>
  <si>
    <t>effect_param</t>
    <phoneticPr fontId="11"/>
  </si>
  <si>
    <t>language</t>
    <phoneticPr fontId="11"/>
  </si>
  <si>
    <t>name</t>
    <phoneticPr fontId="13"/>
  </si>
  <si>
    <t>comment</t>
    <phoneticPr fontId="13"/>
  </si>
  <si>
    <t>[effect:heal, target:enemy_one, val:0.1, animation:enemy_heal]</t>
    <phoneticPr fontId="11"/>
  </si>
  <si>
    <t>ja</t>
    <phoneticPr fontId="11"/>
  </si>
  <si>
    <t>恍惚の表情を浮かべている</t>
    <rPh sb="0" eb="2">
      <t>コウコツ</t>
    </rPh>
    <rPh sb="3" eb="5">
      <t>ヒョウジョウ</t>
    </rPh>
    <rPh sb="6" eb="7">
      <t>ウ</t>
    </rPh>
    <phoneticPr fontId="11"/>
  </si>
  <si>
    <t>回復</t>
    <rPh sb="0" eb="2">
      <t>カイフク</t>
    </rPh>
    <phoneticPr fontId="11"/>
  </si>
  <si>
    <t>skill_trigger_id</t>
    <phoneticPr fontId="13"/>
  </si>
  <si>
    <t>first_time</t>
    <phoneticPr fontId="11"/>
  </si>
  <si>
    <t>hp_termination</t>
    <phoneticPr fontId="11"/>
  </si>
  <si>
    <t>invoke_times</t>
    <phoneticPr fontId="11"/>
  </si>
  <si>
    <t>every_time_count</t>
    <phoneticPr fontId="11"/>
  </si>
  <si>
    <t>neighbor_dead_id</t>
    <phoneticPr fontId="11"/>
  </si>
  <si>
    <t>invoke_weight</t>
    <phoneticPr fontId="11"/>
  </si>
  <si>
    <t>null</t>
    <phoneticPr fontId="11"/>
  </si>
  <si>
    <t>quest_id</t>
    <phoneticPr fontId="11"/>
  </si>
  <si>
    <t>stage_id</t>
    <phoneticPr fontId="11"/>
  </si>
  <si>
    <t>temp_stage</t>
    <phoneticPr fontId="13"/>
  </si>
  <si>
    <t>stage_target</t>
    <phoneticPr fontId="11"/>
  </si>
  <si>
    <t>bonus_id</t>
    <phoneticPr fontId="11"/>
  </si>
  <si>
    <t>bonus_type</t>
    <phoneticPr fontId="11"/>
  </si>
  <si>
    <t>bonus_value</t>
    <phoneticPr fontId="11"/>
  </si>
  <si>
    <t>bonus_count</t>
    <phoneticPr fontId="11"/>
  </si>
  <si>
    <t>level</t>
    <phoneticPr fontId="11"/>
  </si>
  <si>
    <t>skill_level</t>
    <phoneticPr fontId="11"/>
  </si>
  <si>
    <t>hp_plus</t>
    <phoneticPr fontId="11"/>
  </si>
  <si>
    <t>attack_plus</t>
    <phoneticPr fontId="11"/>
  </si>
  <si>
    <t>defense_plus</t>
    <phoneticPr fontId="11"/>
  </si>
  <si>
    <t>heal_plus</t>
    <phoneticPr fontId="11"/>
  </si>
  <si>
    <t>bug</t>
    <phoneticPr fontId="11"/>
  </si>
  <si>
    <t>weight</t>
    <phoneticPr fontId="11"/>
  </si>
  <si>
    <t>definite_start_date</t>
    <phoneticPr fontId="11"/>
  </si>
  <si>
    <t>definite_end_date</t>
    <phoneticPr fontId="11"/>
  </si>
  <si>
    <t>null</t>
    <phoneticPr fontId="11"/>
  </si>
  <si>
    <t>quest_id</t>
    <phoneticPr fontId="11"/>
  </si>
  <si>
    <t>hint_type</t>
    <phoneticPr fontId="11"/>
  </si>
  <si>
    <t>quest_id</t>
    <phoneticPr fontId="11"/>
  </si>
  <si>
    <t>name</t>
    <phoneticPr fontId="11"/>
  </si>
  <si>
    <t>stage_id</t>
    <phoneticPr fontId="11"/>
  </si>
  <si>
    <t>floor_id</t>
    <phoneticPr fontId="11"/>
  </si>
  <si>
    <t>tmp_hint_id</t>
    <phoneticPr fontId="11"/>
  </si>
  <si>
    <t>hint_id</t>
    <phoneticPr fontId="11"/>
  </si>
  <si>
    <t>language</t>
    <phoneticPr fontId="11"/>
  </si>
  <si>
    <t>title</t>
    <phoneticPr fontId="11"/>
  </si>
  <si>
    <t>hint</t>
    <phoneticPr fontId="11"/>
  </si>
  <si>
    <t>filename</t>
    <phoneticPr fontId="11"/>
  </si>
  <si>
    <t>ja</t>
    <phoneticPr fontId="11"/>
  </si>
  <si>
    <t>NULL</t>
    <phoneticPr fontId="11"/>
  </si>
  <si>
    <t>temp_id</t>
    <phoneticPr fontId="11"/>
  </si>
  <si>
    <t>quest_id</t>
    <phoneticPr fontId="11"/>
  </si>
  <si>
    <t>name</t>
    <phoneticPr fontId="11"/>
  </si>
  <si>
    <t>stage_id</t>
    <phoneticPr fontId="11"/>
  </si>
  <si>
    <t>stage_target</t>
    <phoneticPr fontId="11"/>
  </si>
  <si>
    <t>bonus_category</t>
    <phoneticPr fontId="11"/>
  </si>
  <si>
    <t>bonus_id</t>
    <phoneticPr fontId="11"/>
  </si>
  <si>
    <t>weight</t>
    <phoneticPr fontId="11"/>
  </si>
  <si>
    <t>bonus_type</t>
    <phoneticPr fontId="11"/>
  </si>
  <si>
    <t>bonus_value</t>
    <phoneticPr fontId="11"/>
  </si>
  <si>
    <t>bonus_count</t>
    <phoneticPr fontId="11"/>
  </si>
  <si>
    <t>level</t>
    <phoneticPr fontId="11"/>
  </si>
  <si>
    <t>skill_level</t>
    <phoneticPr fontId="11"/>
  </si>
  <si>
    <t>hp_plus</t>
    <phoneticPr fontId="11"/>
  </si>
  <si>
    <t>attack_plus</t>
    <phoneticPr fontId="11"/>
  </si>
  <si>
    <t>defense_plus</t>
    <phoneticPr fontId="11"/>
  </si>
  <si>
    <t>heal_plus</t>
    <phoneticPr fontId="11"/>
  </si>
  <si>
    <t>bug</t>
    <phoneticPr fontId="11"/>
  </si>
  <si>
    <t>definite_start_date</t>
    <phoneticPr fontId="11"/>
  </si>
  <si>
    <t>definite_end_date</t>
    <phoneticPr fontId="11"/>
  </si>
  <si>
    <t>everyone</t>
    <phoneticPr fontId="11"/>
  </si>
  <si>
    <t>clear</t>
    <phoneticPr fontId="11"/>
  </si>
  <si>
    <t>unit</t>
    <phoneticPr fontId="11"/>
  </si>
  <si>
    <t>2016-5-27 0:00:00</t>
    <phoneticPr fontId="11"/>
  </si>
  <si>
    <t>2970-01-01 09:00:00</t>
    <phoneticPr fontId="11"/>
  </si>
  <si>
    <t>no_continue</t>
    <phoneticPr fontId="11"/>
  </si>
  <si>
    <t>2016-5-27 0:00:00</t>
    <phoneticPr fontId="11"/>
  </si>
  <si>
    <t>2970-01-01 09:00:00</t>
    <phoneticPr fontId="11"/>
  </si>
  <si>
    <t>quest_id</t>
    <phoneticPr fontId="11"/>
  </si>
  <si>
    <t>number</t>
    <phoneticPr fontId="11"/>
  </si>
  <si>
    <t>hint_type</t>
    <phoneticPr fontId="11"/>
  </si>
  <si>
    <t>name</t>
    <phoneticPr fontId="11"/>
  </si>
  <si>
    <t>stage_id</t>
    <phoneticPr fontId="11"/>
  </si>
  <si>
    <t>floor_id</t>
    <phoneticPr fontId="11"/>
  </si>
  <si>
    <t>hint_id</t>
    <phoneticPr fontId="11"/>
  </si>
  <si>
    <t>language</t>
    <phoneticPr fontId="11"/>
  </si>
  <si>
    <t>title</t>
    <phoneticPr fontId="11"/>
  </si>
  <si>
    <t>hint</t>
    <phoneticPr fontId="11"/>
  </si>
  <si>
    <t>filename</t>
    <phoneticPr fontId="11"/>
  </si>
  <si>
    <t>※evaluation_idは過去のクエストと被らないように指定してください</t>
    <phoneticPr fontId="11"/>
  </si>
  <si>
    <t>※evaluation_idは過去のクエストと被らないように指定してください</t>
    <phoneticPr fontId="11"/>
  </si>
  <si>
    <t>OK</t>
  </si>
  <si>
    <t>old</t>
  </si>
  <si>
    <t>tribe</t>
    <phoneticPr fontId="11"/>
  </si>
  <si>
    <t>human</t>
    <phoneticPr fontId="11"/>
  </si>
  <si>
    <t>想定ダメ？</t>
    <rPh sb="0" eb="2">
      <t>ソウテ</t>
    </rPh>
    <phoneticPr fontId="11"/>
  </si>
  <si>
    <t>スコア結果入力</t>
    <rPh sb="3" eb="5">
      <t>ケッk</t>
    </rPh>
    <rPh sb="5" eb="7">
      <t>ニュウry</t>
    </rPh>
    <phoneticPr fontId="11"/>
  </si>
  <si>
    <t>実ダメージ表示</t>
    <rPh sb="0" eb="1">
      <t>ジツダm</t>
    </rPh>
    <rPh sb="5" eb="7">
      <t>ヒョ</t>
    </rPh>
    <phoneticPr fontId="11"/>
  </si>
  <si>
    <t>実ゲイン値表示</t>
    <rPh sb="0" eb="1">
      <t>ジツダm</t>
    </rPh>
    <rPh sb="4" eb="5">
      <t>アタ</t>
    </rPh>
    <rPh sb="5" eb="7">
      <t>ヒョ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</si>
</sst>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6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theme="1"/>
      <name val="ＭＳ Ｐゴシック"/>
      <family val="2"/>
      <charset val="128"/>
    </font>
    <font>
      <b/>
      <sz val="11"/>
      <color indexed="81"/>
      <name val="ＭＳ Ｐゴシック"/>
      <family val="3"/>
      <charset val="128"/>
    </font>
    <font>
      <sz val="10"/>
      <color theme="1"/>
      <name val="Liberation Sans"/>
      <family val="2"/>
    </font>
    <font>
      <sz val="13"/>
      <color rgb="FF000000"/>
      <name val="Helvetica Neue"/>
    </font>
    <font>
      <sz val="12"/>
      <color rgb="FF000000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b/>
      <sz val="10"/>
      <color theme="1"/>
      <name val="ＭＳ Ｐゴシック"/>
      <family val="3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34998626667073579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7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737">
    <xf numFmtId="0" fontId="0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9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4" fillId="0" borderId="0"/>
    <xf numFmtId="38" fontId="25" fillId="0" borderId="0" applyFill="0" applyBorder="0" applyAlignment="0" applyProtection="0"/>
    <xf numFmtId="0" fontId="26" fillId="8" borderId="0" applyNumberFormat="0" applyBorder="0" applyAlignment="0" applyProtection="0"/>
    <xf numFmtId="0" fontId="27" fillId="9" borderId="0" applyNumberFormat="0" applyBorder="0" applyAlignment="0" applyProtection="0"/>
    <xf numFmtId="0" fontId="28" fillId="0" borderId="0"/>
    <xf numFmtId="0" fontId="29" fillId="0" borderId="0">
      <alignment vertical="center"/>
    </xf>
    <xf numFmtId="0" fontId="30" fillId="0" borderId="0">
      <alignment vertical="center"/>
    </xf>
    <xf numFmtId="0" fontId="31" fillId="10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8" fillId="0" borderId="0"/>
    <xf numFmtId="0" fontId="8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38" fontId="7" fillId="0" borderId="0" applyFont="0" applyFill="0" applyBorder="0" applyAlignment="0" applyProtection="0">
      <alignment vertical="center"/>
    </xf>
    <xf numFmtId="0" fontId="35" fillId="15" borderId="12" applyNumberFormat="0" applyAlignment="0" applyProtection="0"/>
    <xf numFmtId="0" fontId="36" fillId="16" borderId="0" applyNumberFormat="0" applyBorder="0" applyAlignment="0" applyProtection="0"/>
    <xf numFmtId="0" fontId="37" fillId="17" borderId="13" applyNumberFormat="0" applyAlignment="0" applyProtection="0"/>
    <xf numFmtId="0" fontId="38" fillId="0" borderId="0" applyNumberFormat="0" applyFill="0" applyBorder="0" applyAlignment="0" applyProtection="0"/>
    <xf numFmtId="0" fontId="39" fillId="18" borderId="0" applyNumberFormat="0" applyBorder="0" applyAlignment="0" applyProtection="0"/>
    <xf numFmtId="0" fontId="40" fillId="19" borderId="14" applyNumberFormat="0" applyAlignment="0" applyProtection="0"/>
    <xf numFmtId="0" fontId="41" fillId="0" borderId="0" applyNumberFormat="0" applyFill="0" applyBorder="0" applyAlignment="0" applyProtection="0"/>
    <xf numFmtId="0" fontId="42" fillId="0" borderId="15" applyNumberFormat="0" applyFill="0" applyAlignment="0" applyProtection="0"/>
    <xf numFmtId="0" fontId="43" fillId="0" borderId="16" applyNumberFormat="0" applyFill="0" applyAlignment="0" applyProtection="0"/>
    <xf numFmtId="0" fontId="44" fillId="0" borderId="17" applyNumberFormat="0" applyFill="0" applyAlignment="0" applyProtection="0"/>
    <xf numFmtId="0" fontId="44" fillId="0" borderId="0" applyNumberFormat="0" applyFill="0" applyBorder="0" applyAlignment="0" applyProtection="0"/>
    <xf numFmtId="0" fontId="45" fillId="17" borderId="0" applyNumberFormat="0" applyBorder="0" applyAlignment="0" applyProtection="0"/>
    <xf numFmtId="0" fontId="45" fillId="16" borderId="0" applyNumberFormat="0" applyBorder="0" applyAlignment="0" applyProtection="0"/>
    <xf numFmtId="0" fontId="45" fillId="20" borderId="0" applyNumberFormat="0" applyBorder="0" applyAlignment="0" applyProtection="0"/>
    <xf numFmtId="0" fontId="45" fillId="17" borderId="0" applyNumberFormat="0" applyBorder="0" applyAlignment="0" applyProtection="0"/>
    <xf numFmtId="0" fontId="45" fillId="21" borderId="0" applyNumberFormat="0" applyBorder="0" applyAlignment="0" applyProtection="0"/>
    <xf numFmtId="0" fontId="45" fillId="15" borderId="0" applyNumberFormat="0" applyBorder="0" applyAlignment="0" applyProtection="0"/>
    <xf numFmtId="0" fontId="45" fillId="17" borderId="0" applyNumberFormat="0" applyBorder="0" applyAlignment="0" applyProtection="0"/>
    <xf numFmtId="0" fontId="45" fillId="22" borderId="0" applyNumberFormat="0" applyBorder="0" applyAlignment="0" applyProtection="0"/>
    <xf numFmtId="0" fontId="45" fillId="20" borderId="0" applyNumberFormat="0" applyBorder="0" applyAlignment="0" applyProtection="0"/>
    <xf numFmtId="0" fontId="45" fillId="17" borderId="0" applyNumberFormat="0" applyBorder="0" applyAlignment="0" applyProtection="0"/>
    <xf numFmtId="0" fontId="45" fillId="23" borderId="0" applyNumberFormat="0" applyBorder="0" applyAlignment="0" applyProtection="0"/>
    <xf numFmtId="0" fontId="45" fillId="16" borderId="0" applyNumberFormat="0" applyBorder="0" applyAlignment="0" applyProtection="0"/>
    <xf numFmtId="0" fontId="46" fillId="24" borderId="0" applyNumberFormat="0" applyBorder="0" applyAlignment="0" applyProtection="0"/>
    <xf numFmtId="0" fontId="46" fillId="22" borderId="0" applyNumberFormat="0" applyBorder="0" applyAlignment="0" applyProtection="0"/>
    <xf numFmtId="0" fontId="46" fillId="20" borderId="0" applyNumberFormat="0" applyBorder="0" applyAlignment="0" applyProtection="0"/>
    <xf numFmtId="0" fontId="46" fillId="17" borderId="0" applyNumberFormat="0" applyBorder="0" applyAlignment="0" applyProtection="0"/>
    <xf numFmtId="0" fontId="46" fillId="24" borderId="0" applyNumberFormat="0" applyBorder="0" applyAlignment="0" applyProtection="0"/>
    <xf numFmtId="0" fontId="46" fillId="16" borderId="0" applyNumberFormat="0" applyBorder="0" applyAlignment="0" applyProtection="0"/>
    <xf numFmtId="0" fontId="38" fillId="0" borderId="0" applyNumberFormat="0" applyFill="0" applyBorder="0" applyAlignment="0" applyProtection="0"/>
    <xf numFmtId="0" fontId="46" fillId="24" borderId="0" applyNumberFormat="0" applyBorder="0" applyAlignment="0" applyProtection="0"/>
    <xf numFmtId="0" fontId="46" fillId="25" borderId="0" applyNumberFormat="0" applyBorder="0" applyAlignment="0" applyProtection="0"/>
    <xf numFmtId="0" fontId="46" fillId="20" borderId="0" applyNumberFormat="0" applyBorder="0" applyAlignment="0" applyProtection="0"/>
    <xf numFmtId="0" fontId="46" fillId="26" borderId="0" applyNumberFormat="0" applyBorder="0" applyAlignment="0" applyProtection="0"/>
    <xf numFmtId="0" fontId="46" fillId="24" borderId="0" applyNumberFormat="0" applyBorder="0" applyAlignment="0" applyProtection="0"/>
    <xf numFmtId="0" fontId="46" fillId="22" borderId="0" applyNumberFormat="0" applyBorder="0" applyAlignment="0" applyProtection="0"/>
    <xf numFmtId="0" fontId="47" fillId="27" borderId="0" applyNumberFormat="0" applyBorder="0" applyAlignment="0" applyProtection="0"/>
    <xf numFmtId="0" fontId="36" fillId="16" borderId="0" applyNumberFormat="0" applyBorder="0" applyAlignment="0" applyProtection="0"/>
    <xf numFmtId="0" fontId="48" fillId="0" borderId="18" applyNumberFormat="0" applyFill="0" applyAlignment="0" applyProtection="0"/>
    <xf numFmtId="0" fontId="49" fillId="17" borderId="19" applyNumberFormat="0" applyAlignment="0" applyProtection="0"/>
    <xf numFmtId="0" fontId="49" fillId="28" borderId="19" applyNumberFormat="0" applyAlignment="0" applyProtection="0"/>
    <xf numFmtId="0" fontId="37" fillId="16" borderId="13" applyNumberFormat="0" applyAlignment="0" applyProtection="0"/>
    <xf numFmtId="0" fontId="50" fillId="0" borderId="20" applyNumberFormat="0" applyFill="0" applyAlignment="0" applyProtection="0"/>
    <xf numFmtId="0" fontId="51" fillId="28" borderId="13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21" applyNumberFormat="0" applyFill="0" applyAlignment="0" applyProtection="0"/>
    <xf numFmtId="0" fontId="7" fillId="0" borderId="0"/>
    <xf numFmtId="0" fontId="7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38" fontId="4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" fillId="0" borderId="0"/>
    <xf numFmtId="0" fontId="2" fillId="0" borderId="0"/>
    <xf numFmtId="0" fontId="1" fillId="0" borderId="0"/>
    <xf numFmtId="0" fontId="1" fillId="0" borderId="0"/>
    <xf numFmtId="38" fontId="1" fillId="0" borderId="0" applyFont="0" applyFill="0" applyBorder="0" applyAlignment="0" applyProtection="0">
      <alignment vertical="center"/>
    </xf>
  </cellStyleXfs>
  <cellXfs count="191">
    <xf numFmtId="0" fontId="0" fillId="0" borderId="0" xfId="0"/>
    <xf numFmtId="0" fontId="10" fillId="2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2" fillId="5" borderId="3" xfId="0" applyFont="1" applyFill="1" applyBorder="1" applyAlignment="1">
      <alignment vertical="center"/>
    </xf>
    <xf numFmtId="0" fontId="14" fillId="0" borderId="4" xfId="0" applyFont="1" applyBorder="1" applyAlignment="1">
      <alignment vertical="center"/>
    </xf>
    <xf numFmtId="0" fontId="10" fillId="0" borderId="5" xfId="0" applyFont="1" applyBorder="1" applyAlignment="1">
      <alignment vertical="center"/>
    </xf>
    <xf numFmtId="0" fontId="10" fillId="0" borderId="1" xfId="0" applyFont="1" applyFill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12" fillId="5" borderId="1" xfId="0" applyFont="1" applyFill="1" applyBorder="1" applyAlignment="1">
      <alignment vertical="center"/>
    </xf>
    <xf numFmtId="0" fontId="10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vertical="center"/>
    </xf>
    <xf numFmtId="0" fontId="10" fillId="3" borderId="7" xfId="0" applyFont="1" applyFill="1" applyBorder="1" applyAlignment="1">
      <alignment horizontal="center" vertical="center"/>
    </xf>
    <xf numFmtId="0" fontId="18" fillId="7" borderId="0" xfId="0" applyFont="1" applyFill="1" applyAlignment="1">
      <alignment vertical="center"/>
    </xf>
    <xf numFmtId="0" fontId="12" fillId="5" borderId="9" xfId="0" applyFont="1" applyFill="1" applyBorder="1" applyAlignment="1">
      <alignment vertical="center"/>
    </xf>
    <xf numFmtId="0" fontId="12" fillId="5" borderId="7" xfId="0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10" fillId="0" borderId="1" xfId="0" applyFont="1" applyFill="1" applyBorder="1" applyAlignment="1">
      <alignment horizontal="center" vertical="center"/>
    </xf>
    <xf numFmtId="176" fontId="10" fillId="0" borderId="3" xfId="0" applyNumberFormat="1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vertical="center"/>
    </xf>
    <xf numFmtId="177" fontId="14" fillId="0" borderId="4" xfId="0" applyNumberFormat="1" applyFont="1" applyBorder="1" applyAlignment="1">
      <alignment vertical="center"/>
    </xf>
    <xf numFmtId="0" fontId="10" fillId="2" borderId="7" xfId="0" applyFont="1" applyFill="1" applyBorder="1" applyAlignment="1">
      <alignment horizontal="left" vertical="center"/>
    </xf>
    <xf numFmtId="0" fontId="18" fillId="7" borderId="0" xfId="0" applyFont="1" applyFill="1" applyAlignment="1">
      <alignment horizontal="left" vertical="center"/>
    </xf>
    <xf numFmtId="0" fontId="10" fillId="3" borderId="7" xfId="0" applyFont="1" applyFill="1" applyBorder="1" applyAlignment="1">
      <alignment horizontal="left" vertical="center"/>
    </xf>
    <xf numFmtId="0" fontId="10" fillId="3" borderId="8" xfId="0" applyFont="1" applyFill="1" applyBorder="1" applyAlignment="1">
      <alignment horizontal="left" vertical="center"/>
    </xf>
    <xf numFmtId="0" fontId="10" fillId="3" borderId="10" xfId="0" applyFont="1" applyFill="1" applyBorder="1" applyAlignment="1">
      <alignment horizontal="left" vertical="center"/>
    </xf>
    <xf numFmtId="0" fontId="10" fillId="2" borderId="2" xfId="0" applyFont="1" applyFill="1" applyBorder="1" applyAlignment="1">
      <alignment horizontal="left" vertical="center"/>
    </xf>
    <xf numFmtId="0" fontId="12" fillId="4" borderId="7" xfId="0" applyFont="1" applyFill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0" fillId="6" borderId="7" xfId="0" applyFont="1" applyFill="1" applyBorder="1" applyAlignment="1">
      <alignment horizontal="left" vertical="center"/>
    </xf>
    <xf numFmtId="0" fontId="10" fillId="6" borderId="1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vertical="center"/>
    </xf>
    <xf numFmtId="0" fontId="20" fillId="7" borderId="0" xfId="0" applyFont="1" applyFill="1" applyAlignment="1">
      <alignment vertical="center"/>
    </xf>
    <xf numFmtId="0" fontId="22" fillId="6" borderId="7" xfId="0" applyFont="1" applyFill="1" applyBorder="1" applyAlignment="1">
      <alignment horizontal="center" vertical="center"/>
    </xf>
    <xf numFmtId="0" fontId="22" fillId="3" borderId="7" xfId="0" applyFont="1" applyFill="1" applyBorder="1" applyAlignment="1">
      <alignment horizontal="center" vertical="center"/>
    </xf>
    <xf numFmtId="0" fontId="17" fillId="6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3" borderId="7" xfId="0" applyFont="1" applyFill="1" applyBorder="1" applyAlignment="1">
      <alignment horizontal="left" vertical="center"/>
    </xf>
    <xf numFmtId="0" fontId="22" fillId="0" borderId="7" xfId="0" applyFont="1" applyFill="1" applyBorder="1" applyAlignment="1">
      <alignment vertical="center"/>
    </xf>
    <xf numFmtId="0" fontId="22" fillId="3" borderId="7" xfId="0" applyFont="1" applyFill="1" applyBorder="1" applyAlignment="1">
      <alignment vertical="center"/>
    </xf>
    <xf numFmtId="0" fontId="22" fillId="0" borderId="0" xfId="0" applyFont="1" applyFill="1" applyAlignment="1">
      <alignment vertical="center"/>
    </xf>
    <xf numFmtId="0" fontId="22" fillId="0" borderId="7" xfId="0" applyFont="1" applyFill="1" applyBorder="1" applyAlignment="1">
      <alignment horizontal="left" vertical="center"/>
    </xf>
    <xf numFmtId="0" fontId="22" fillId="0" borderId="7" xfId="0" applyFont="1" applyFill="1" applyBorder="1" applyAlignment="1">
      <alignment horizontal="left" vertical="center" wrapText="1"/>
    </xf>
    <xf numFmtId="14" fontId="22" fillId="0" borderId="7" xfId="0" applyNumberFormat="1" applyFont="1" applyFill="1" applyBorder="1" applyAlignment="1">
      <alignment horizontal="left" vertical="center"/>
    </xf>
    <xf numFmtId="0" fontId="17" fillId="6" borderId="2" xfId="0" applyFont="1" applyFill="1" applyBorder="1" applyAlignment="1">
      <alignment horizontal="center" vertical="center"/>
    </xf>
    <xf numFmtId="0" fontId="20" fillId="7" borderId="0" xfId="0" applyFont="1" applyFill="1" applyAlignment="1">
      <alignment horizontal="center" vertical="center"/>
    </xf>
    <xf numFmtId="0" fontId="19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19" fillId="11" borderId="7" xfId="434" applyFont="1" applyFill="1" applyBorder="1" applyAlignment="1"/>
    <xf numFmtId="0" fontId="22" fillId="3" borderId="7" xfId="0" applyFont="1" applyFill="1" applyBorder="1" applyAlignment="1">
      <alignment horizontal="left" vertical="center" wrapText="1"/>
    </xf>
    <xf numFmtId="0" fontId="0" fillId="0" borderId="7" xfId="615" applyFont="1" applyBorder="1"/>
    <xf numFmtId="0" fontId="10" fillId="0" borderId="7" xfId="0" applyFont="1" applyBorder="1" applyAlignment="1">
      <alignment vertical="center"/>
    </xf>
    <xf numFmtId="0" fontId="22" fillId="6" borderId="7" xfId="0" applyFont="1" applyFill="1" applyBorder="1" applyAlignment="1">
      <alignment horizontal="center"/>
    </xf>
    <xf numFmtId="0" fontId="32" fillId="6" borderId="7" xfId="0" applyFont="1" applyFill="1" applyBorder="1" applyAlignment="1">
      <alignment horizontal="center"/>
    </xf>
    <xf numFmtId="0" fontId="22" fillId="3" borderId="7" xfId="0" applyFont="1" applyFill="1" applyBorder="1" applyAlignment="1">
      <alignment horizontal="center"/>
    </xf>
    <xf numFmtId="0" fontId="22" fillId="13" borderId="7" xfId="0" applyFont="1" applyFill="1" applyBorder="1" applyAlignment="1">
      <alignment horizontal="center"/>
    </xf>
    <xf numFmtId="0" fontId="22" fillId="14" borderId="7" xfId="0" applyFont="1" applyFill="1" applyBorder="1" applyAlignment="1">
      <alignment horizontal="center"/>
    </xf>
    <xf numFmtId="0" fontId="0" fillId="14" borderId="7" xfId="0" applyFill="1" applyBorder="1"/>
    <xf numFmtId="0" fontId="33" fillId="0" borderId="7" xfId="0" applyFont="1" applyFill="1" applyBorder="1"/>
    <xf numFmtId="0" fontId="34" fillId="3" borderId="11" xfId="0" applyFont="1" applyFill="1" applyBorder="1" applyAlignment="1">
      <alignment vertical="center"/>
    </xf>
    <xf numFmtId="0" fontId="32" fillId="0" borderId="0" xfId="0" applyFont="1" applyFill="1"/>
    <xf numFmtId="0" fontId="22" fillId="29" borderId="7" xfId="0" applyFont="1" applyFill="1" applyBorder="1" applyAlignment="1">
      <alignment horizontal="center"/>
    </xf>
    <xf numFmtId="0" fontId="22" fillId="12" borderId="7" xfId="0" applyFont="1" applyFill="1" applyBorder="1" applyAlignment="1">
      <alignment horizontal="center"/>
    </xf>
    <xf numFmtId="56" fontId="22" fillId="13" borderId="7" xfId="0" applyNumberFormat="1" applyFont="1" applyFill="1" applyBorder="1" applyAlignment="1">
      <alignment horizontal="center"/>
    </xf>
    <xf numFmtId="0" fontId="10" fillId="30" borderId="7" xfId="0" applyFont="1" applyFill="1" applyBorder="1" applyAlignment="1">
      <alignment vertical="center"/>
    </xf>
    <xf numFmtId="0" fontId="22" fillId="6" borderId="22" xfId="0" applyFont="1" applyFill="1" applyBorder="1" applyAlignment="1">
      <alignment horizontal="center"/>
    </xf>
    <xf numFmtId="0" fontId="14" fillId="32" borderId="7" xfId="0" applyFont="1" applyFill="1" applyBorder="1" applyAlignment="1">
      <alignment horizontal="left" vertical="center"/>
    </xf>
    <xf numFmtId="0" fontId="22" fillId="31" borderId="7" xfId="432" applyFont="1" applyFill="1" applyBorder="1" applyAlignment="1">
      <alignment horizontal="left" vertical="center"/>
    </xf>
    <xf numFmtId="0" fontId="34" fillId="0" borderId="0" xfId="0" applyFont="1" applyFill="1" applyBorder="1" applyAlignment="1">
      <alignment vertical="center"/>
    </xf>
    <xf numFmtId="0" fontId="22" fillId="13" borderId="22" xfId="0" applyFont="1" applyFill="1" applyBorder="1" applyAlignment="1">
      <alignment horizontal="center"/>
    </xf>
    <xf numFmtId="0" fontId="22" fillId="0" borderId="0" xfId="432" applyFont="1" applyAlignment="1">
      <alignment vertical="center"/>
    </xf>
    <xf numFmtId="0" fontId="22" fillId="0" borderId="0" xfId="432" applyFont="1" applyAlignment="1">
      <alignment vertical="center" wrapText="1"/>
    </xf>
    <xf numFmtId="0" fontId="7" fillId="0" borderId="7" xfId="676" applyBorder="1"/>
    <xf numFmtId="0" fontId="7" fillId="11" borderId="7" xfId="676" applyFill="1" applyBorder="1"/>
    <xf numFmtId="0" fontId="6" fillId="6" borderId="7" xfId="434" applyFont="1" applyFill="1" applyBorder="1" applyAlignment="1"/>
    <xf numFmtId="0" fontId="0" fillId="0" borderId="0" xfId="0" applyFill="1" applyBorder="1"/>
    <xf numFmtId="0" fontId="0" fillId="31" borderId="7" xfId="0" applyFill="1" applyBorder="1"/>
    <xf numFmtId="0" fontId="0" fillId="33" borderId="7" xfId="0" applyFill="1" applyBorder="1"/>
    <xf numFmtId="0" fontId="7" fillId="33" borderId="7" xfId="676" applyFill="1" applyBorder="1"/>
    <xf numFmtId="0" fontId="0" fillId="6" borderId="0" xfId="0" applyFill="1"/>
    <xf numFmtId="0" fontId="0" fillId="33" borderId="7" xfId="676" applyFont="1" applyFill="1" applyBorder="1"/>
    <xf numFmtId="0" fontId="0" fillId="0" borderId="7" xfId="615" applyFont="1" applyFill="1" applyBorder="1"/>
    <xf numFmtId="0" fontId="5" fillId="6" borderId="7" xfId="434" applyFont="1" applyFill="1" applyBorder="1" applyAlignment="1"/>
    <xf numFmtId="0" fontId="0" fillId="0" borderId="7" xfId="676" applyFont="1" applyFill="1" applyBorder="1"/>
    <xf numFmtId="0" fontId="54" fillId="34" borderId="7" xfId="0" applyFont="1" applyFill="1" applyBorder="1"/>
    <xf numFmtId="0" fontId="22" fillId="0" borderId="7" xfId="0" applyFont="1" applyBorder="1" applyAlignment="1">
      <alignment horizontal="left" vertical="center"/>
    </xf>
    <xf numFmtId="0" fontId="22" fillId="0" borderId="7" xfId="432" applyFont="1" applyBorder="1" applyAlignment="1">
      <alignment horizontal="left" vertical="center"/>
    </xf>
    <xf numFmtId="0" fontId="22" fillId="0" borderId="7" xfId="432" applyFont="1" applyBorder="1" applyAlignment="1">
      <alignment horizontal="left" vertical="center" wrapText="1"/>
    </xf>
    <xf numFmtId="3" fontId="10" fillId="0" borderId="7" xfId="0" applyNumberFormat="1" applyFont="1" applyFill="1" applyBorder="1" applyAlignment="1">
      <alignment horizontal="center" vertical="center"/>
    </xf>
    <xf numFmtId="0" fontId="33" fillId="0" borderId="7" xfId="0" applyFont="1" applyFill="1" applyBorder="1" applyAlignment="1">
      <alignment horizontal="left" vertical="center"/>
    </xf>
    <xf numFmtId="0" fontId="34" fillId="0" borderId="11" xfId="0" applyFont="1" applyFill="1" applyBorder="1" applyAlignment="1">
      <alignment horizontal="left" vertical="center"/>
    </xf>
    <xf numFmtId="0" fontId="10" fillId="0" borderId="7" xfId="0" applyFont="1" applyFill="1" applyBorder="1" applyAlignment="1">
      <alignment horizontal="center" vertical="center"/>
    </xf>
    <xf numFmtId="38" fontId="0" fillId="37" borderId="7" xfId="0" applyNumberFormat="1" applyFill="1" applyBorder="1"/>
    <xf numFmtId="9" fontId="0" fillId="0" borderId="0" xfId="0" applyNumberFormat="1"/>
    <xf numFmtId="40" fontId="0" fillId="35" borderId="7" xfId="0" applyNumberFormat="1" applyFill="1" applyBorder="1"/>
    <xf numFmtId="38" fontId="0" fillId="12" borderId="7" xfId="724" applyFont="1" applyFill="1" applyBorder="1"/>
    <xf numFmtId="40" fontId="0" fillId="37" borderId="7" xfId="725" applyNumberFormat="1" applyFont="1" applyFill="1" applyBorder="1"/>
    <xf numFmtId="38" fontId="0" fillId="37" borderId="7" xfId="725" applyFont="1" applyFill="1" applyBorder="1"/>
    <xf numFmtId="38" fontId="0" fillId="0" borderId="23" xfId="725" applyFont="1" applyFill="1" applyBorder="1"/>
    <xf numFmtId="38" fontId="0" fillId="0" borderId="0" xfId="725" applyFont="1" applyFill="1" applyBorder="1"/>
    <xf numFmtId="38" fontId="0" fillId="36" borderId="7" xfId="724" applyFont="1" applyFill="1" applyBorder="1"/>
    <xf numFmtId="38" fontId="0" fillId="6" borderId="7" xfId="724" applyFont="1" applyFill="1" applyBorder="1"/>
    <xf numFmtId="38" fontId="0" fillId="30" borderId="7" xfId="724" applyFont="1" applyFill="1" applyBorder="1"/>
    <xf numFmtId="38" fontId="0" fillId="0" borderId="23" xfId="0" applyNumberFormat="1" applyFill="1" applyBorder="1"/>
    <xf numFmtId="0" fontId="0" fillId="38" borderId="7" xfId="0" applyFill="1" applyBorder="1"/>
    <xf numFmtId="0" fontId="54" fillId="39" borderId="7" xfId="0" applyFont="1" applyFill="1" applyBorder="1"/>
    <xf numFmtId="0" fontId="22" fillId="38" borderId="0" xfId="0" applyFont="1" applyFill="1" applyBorder="1" applyAlignment="1">
      <alignment horizontal="left" vertical="center"/>
    </xf>
    <xf numFmtId="0" fontId="0" fillId="38" borderId="0" xfId="0" applyFill="1"/>
    <xf numFmtId="0" fontId="56" fillId="6" borderId="7" xfId="0" applyFont="1" applyFill="1" applyBorder="1"/>
    <xf numFmtId="0" fontId="56" fillId="0" borderId="7" xfId="0" applyFont="1" applyBorder="1"/>
    <xf numFmtId="22" fontId="56" fillId="0" borderId="7" xfId="0" applyNumberFormat="1" applyFont="1" applyBorder="1"/>
    <xf numFmtId="0" fontId="10" fillId="6" borderId="7" xfId="0" applyFont="1" applyFill="1" applyBorder="1" applyAlignment="1">
      <alignment vertical="center"/>
    </xf>
    <xf numFmtId="0" fontId="0" fillId="0" borderId="24" xfId="0" applyBorder="1"/>
    <xf numFmtId="0" fontId="57" fillId="0" borderId="0" xfId="0" applyFont="1"/>
    <xf numFmtId="0" fontId="58" fillId="0" borderId="7" xfId="0" applyFont="1" applyBorder="1"/>
    <xf numFmtId="0" fontId="58" fillId="0" borderId="11" xfId="0" applyFont="1" applyBorder="1"/>
    <xf numFmtId="0" fontId="58" fillId="0" borderId="25" xfId="0" applyFont="1" applyBorder="1"/>
    <xf numFmtId="0" fontId="54" fillId="40" borderId="7" xfId="0" applyFont="1" applyFill="1" applyBorder="1"/>
    <xf numFmtId="0" fontId="54" fillId="34" borderId="24" xfId="0" applyFont="1" applyFill="1" applyBorder="1"/>
    <xf numFmtId="0" fontId="54" fillId="39" borderId="24" xfId="0" applyFont="1" applyFill="1" applyBorder="1"/>
    <xf numFmtId="0" fontId="0" fillId="38" borderId="24" xfId="0" applyFill="1" applyBorder="1"/>
    <xf numFmtId="0" fontId="22" fillId="0" borderId="24" xfId="0" applyFont="1" applyBorder="1" applyAlignment="1">
      <alignment horizontal="left" vertical="center"/>
    </xf>
    <xf numFmtId="0" fontId="22" fillId="0" borderId="24" xfId="432" applyFont="1" applyBorder="1" applyAlignment="1">
      <alignment horizontal="left" vertical="center"/>
    </xf>
    <xf numFmtId="0" fontId="22" fillId="0" borderId="24" xfId="432" applyFont="1" applyBorder="1" applyAlignment="1">
      <alignment horizontal="left" vertical="center" wrapText="1"/>
    </xf>
    <xf numFmtId="0" fontId="56" fillId="0" borderId="24" xfId="0" applyFont="1" applyBorder="1"/>
    <xf numFmtId="22" fontId="56" fillId="0" borderId="24" xfId="0" applyNumberFormat="1" applyFont="1" applyBorder="1"/>
    <xf numFmtId="0" fontId="10" fillId="0" borderId="7" xfId="0" applyFont="1" applyBorder="1" applyAlignment="1">
      <alignment horizontal="center" vertical="center"/>
    </xf>
    <xf numFmtId="0" fontId="10" fillId="3" borderId="7" xfId="0" applyFont="1" applyFill="1" applyBorder="1" applyAlignment="1">
      <alignment vertical="center"/>
    </xf>
    <xf numFmtId="0" fontId="10" fillId="0" borderId="7" xfId="0" applyFont="1" applyFill="1" applyBorder="1" applyAlignment="1">
      <alignment vertical="center"/>
    </xf>
    <xf numFmtId="0" fontId="0" fillId="3" borderId="7" xfId="0" applyFill="1" applyBorder="1"/>
    <xf numFmtId="0" fontId="32" fillId="0" borderId="7" xfId="0" applyFont="1" applyFill="1" applyBorder="1"/>
    <xf numFmtId="0" fontId="59" fillId="0" borderId="7" xfId="0" applyFont="1" applyFill="1" applyBorder="1"/>
    <xf numFmtId="0" fontId="59" fillId="29" borderId="7" xfId="0" applyFont="1" applyFill="1" applyBorder="1"/>
    <xf numFmtId="0" fontId="59" fillId="13" borderId="7" xfId="0" applyFont="1" applyFill="1" applyBorder="1"/>
    <xf numFmtId="0" fontId="60" fillId="0" borderId="7" xfId="0" applyFont="1" applyFill="1" applyBorder="1"/>
    <xf numFmtId="0" fontId="34" fillId="0" borderId="11" xfId="0" applyFont="1" applyFill="1" applyBorder="1" applyAlignment="1">
      <alignment vertical="center"/>
    </xf>
    <xf numFmtId="0" fontId="30" fillId="6" borderId="7" xfId="434" applyFill="1" applyBorder="1" applyAlignment="1"/>
    <xf numFmtId="0" fontId="0" fillId="12" borderId="7" xfId="0" applyFill="1" applyBorder="1" applyAlignment="1">
      <alignment horizontal="right"/>
    </xf>
    <xf numFmtId="0" fontId="0" fillId="42" borderId="7" xfId="0" applyFill="1" applyBorder="1" applyAlignment="1">
      <alignment horizontal="right"/>
    </xf>
    <xf numFmtId="0" fontId="0" fillId="42" borderId="7" xfId="0" applyFont="1" applyFill="1" applyBorder="1" applyAlignment="1">
      <alignment horizontal="right"/>
    </xf>
    <xf numFmtId="0" fontId="30" fillId="0" borderId="7" xfId="434" applyBorder="1" applyAlignment="1"/>
    <xf numFmtId="0" fontId="0" fillId="12" borderId="7" xfId="0" applyFill="1" applyBorder="1"/>
    <xf numFmtId="0" fontId="58" fillId="41" borderId="7" xfId="0" applyFont="1" applyFill="1" applyBorder="1"/>
    <xf numFmtId="0" fontId="8" fillId="11" borderId="7" xfId="615" applyFill="1" applyBorder="1"/>
    <xf numFmtId="0" fontId="22" fillId="6" borderId="7" xfId="614" applyFont="1" applyFill="1" applyBorder="1" applyAlignment="1">
      <alignment horizontal="left"/>
    </xf>
    <xf numFmtId="0" fontId="0" fillId="6" borderId="7" xfId="615" applyFont="1" applyFill="1" applyBorder="1"/>
    <xf numFmtId="56" fontId="22" fillId="6" borderId="7" xfId="0" applyNumberFormat="1" applyFont="1" applyFill="1" applyBorder="1" applyAlignment="1">
      <alignment horizontal="center"/>
    </xf>
    <xf numFmtId="0" fontId="8" fillId="0" borderId="7" xfId="615" applyBorder="1"/>
    <xf numFmtId="0" fontId="22" fillId="6" borderId="7" xfId="11" applyFont="1" applyFill="1" applyBorder="1" applyAlignment="1">
      <alignment horizontal="left"/>
    </xf>
    <xf numFmtId="0" fontId="8" fillId="6" borderId="7" xfId="615" applyFill="1" applyBorder="1"/>
    <xf numFmtId="0" fontId="10" fillId="2" borderId="7" xfId="0" applyFont="1" applyFill="1" applyBorder="1" applyAlignment="1">
      <alignment horizontal="center" vertical="center"/>
    </xf>
    <xf numFmtId="0" fontId="10" fillId="0" borderId="6" xfId="0" applyFont="1" applyBorder="1" applyAlignment="1">
      <alignment vertical="center"/>
    </xf>
    <xf numFmtId="0" fontId="22" fillId="6" borderId="7" xfId="734" applyFont="1" applyFill="1" applyBorder="1" applyAlignment="1">
      <alignment horizontal="left"/>
    </xf>
    <xf numFmtId="0" fontId="20" fillId="7" borderId="0" xfId="734" applyFont="1" applyFill="1" applyAlignment="1">
      <alignment horizontal="center" vertical="center"/>
    </xf>
    <xf numFmtId="0" fontId="22" fillId="3" borderId="7" xfId="734" applyFont="1" applyFill="1" applyBorder="1" applyAlignment="1">
      <alignment horizontal="left"/>
    </xf>
    <xf numFmtId="0" fontId="0" fillId="6" borderId="7" xfId="735" applyFont="1" applyFill="1" applyBorder="1"/>
    <xf numFmtId="38" fontId="22" fillId="0" borderId="7" xfId="736" applyFont="1" applyFill="1" applyBorder="1" applyAlignment="1"/>
    <xf numFmtId="0" fontId="19" fillId="7" borderId="0" xfId="0" applyFont="1" applyFill="1" applyAlignment="1">
      <alignment horizontal="center"/>
    </xf>
    <xf numFmtId="0" fontId="61" fillId="6" borderId="7" xfId="0" applyFont="1" applyFill="1" applyBorder="1" applyAlignment="1">
      <alignment horizontal="center"/>
    </xf>
    <xf numFmtId="0" fontId="19" fillId="7" borderId="0" xfId="0" applyFont="1" applyFill="1" applyAlignment="1">
      <alignment horizontal="left" indent="1"/>
    </xf>
    <xf numFmtId="0" fontId="59" fillId="3" borderId="7" xfId="0" applyFont="1" applyFill="1" applyBorder="1"/>
    <xf numFmtId="22" fontId="59" fillId="0" borderId="7" xfId="0" quotePrefix="1" applyNumberFormat="1" applyFont="1" applyFill="1" applyBorder="1"/>
    <xf numFmtId="0" fontId="59" fillId="0" borderId="7" xfId="0" quotePrefix="1" applyFont="1" applyFill="1" applyBorder="1"/>
    <xf numFmtId="0" fontId="0" fillId="42" borderId="7" xfId="0" applyFill="1" applyBorder="1"/>
    <xf numFmtId="0" fontId="0" fillId="43" borderId="7" xfId="0" applyFill="1" applyBorder="1"/>
    <xf numFmtId="0" fontId="0" fillId="43" borderId="7" xfId="615" applyFont="1" applyFill="1" applyBorder="1"/>
    <xf numFmtId="0" fontId="0" fillId="35" borderId="7" xfId="0" applyFill="1" applyBorder="1" applyAlignment="1">
      <alignment horizontal="right"/>
    </xf>
    <xf numFmtId="0" fontId="0" fillId="30" borderId="7" xfId="0" applyFill="1" applyBorder="1" applyAlignment="1">
      <alignment horizontal="right"/>
    </xf>
    <xf numFmtId="38" fontId="0" fillId="35" borderId="7" xfId="724" applyFont="1" applyFill="1" applyBorder="1"/>
    <xf numFmtId="0" fontId="30" fillId="42" borderId="7" xfId="434" applyFill="1" applyBorder="1" applyAlignment="1"/>
    <xf numFmtId="0" fontId="0" fillId="0" borderId="0" xfId="0" applyAlignment="1"/>
    <xf numFmtId="0" fontId="18" fillId="7" borderId="7" xfId="0" applyFont="1" applyFill="1" applyBorder="1" applyAlignment="1">
      <alignment vertical="center"/>
    </xf>
    <xf numFmtId="0" fontId="10" fillId="38" borderId="7" xfId="0" applyFont="1" applyFill="1" applyBorder="1" applyAlignment="1">
      <alignment horizontal="center" vertical="center"/>
    </xf>
    <xf numFmtId="0" fontId="12" fillId="38" borderId="7" xfId="0" applyFont="1" applyFill="1" applyBorder="1" applyAlignment="1">
      <alignment vertical="center"/>
    </xf>
    <xf numFmtId="0" fontId="62" fillId="0" borderId="0" xfId="0" applyFont="1"/>
    <xf numFmtId="0" fontId="30" fillId="29" borderId="7" xfId="434" applyFill="1" applyBorder="1" applyAlignment="1"/>
    <xf numFmtId="0" fontId="10" fillId="44" borderId="7" xfId="0" applyFont="1" applyFill="1" applyBorder="1" applyAlignment="1">
      <alignment horizontal="center" vertical="center"/>
    </xf>
    <xf numFmtId="0" fontId="12" fillId="45" borderId="3" xfId="0" applyFont="1" applyFill="1" applyBorder="1" applyAlignment="1">
      <alignment vertical="center"/>
    </xf>
    <xf numFmtId="0" fontId="10" fillId="36" borderId="7" xfId="0" applyFont="1" applyFill="1" applyBorder="1" applyAlignment="1">
      <alignment horizontal="center" vertical="center"/>
    </xf>
    <xf numFmtId="0" fontId="63" fillId="0" borderId="11" xfId="0" applyFont="1" applyBorder="1" applyAlignment="1">
      <alignment vertical="center"/>
    </xf>
    <xf numFmtId="0" fontId="17" fillId="0" borderId="27" xfId="0" applyFont="1" applyBorder="1" applyAlignment="1">
      <alignment horizontal="right" vertical="center"/>
    </xf>
    <xf numFmtId="0" fontId="12" fillId="6" borderId="3" xfId="0" applyFont="1" applyFill="1" applyBorder="1" applyAlignment="1">
      <alignment vertical="center"/>
    </xf>
    <xf numFmtId="0" fontId="12" fillId="6" borderId="9" xfId="0" applyFont="1" applyFill="1" applyBorder="1" applyAlignment="1">
      <alignment vertical="center"/>
    </xf>
    <xf numFmtId="0" fontId="12" fillId="46" borderId="26" xfId="0" applyFont="1" applyFill="1" applyBorder="1" applyAlignment="1">
      <alignment vertical="center"/>
    </xf>
    <xf numFmtId="0" fontId="10" fillId="47" borderId="6" xfId="0" applyFont="1" applyFill="1" applyBorder="1" applyAlignment="1">
      <alignment vertical="center"/>
    </xf>
    <xf numFmtId="0" fontId="0" fillId="0" borderId="0" xfId="0" applyFill="1"/>
  </cellXfs>
  <cellStyles count="737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桁区切り 2" xfId="429"/>
    <cellStyle name="桁区切り 2 2" xfId="628"/>
    <cellStyle name="桁区切り 2 2 2" xfId="736"/>
    <cellStyle name="桁区切り [0]" xfId="724" builtinId="6"/>
    <cellStyle name="桁区切り [0] 2" xfId="725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4 2 2" xfId="732"/>
    <cellStyle name="標準 4 2 3" xfId="734"/>
    <cellStyle name="標準 5" xfId="676"/>
    <cellStyle name="標準 5 2" xfId="677"/>
    <cellStyle name="標準 6" xfId="615"/>
    <cellStyle name="標準 6 2" xfId="733"/>
    <cellStyle name="標準 6 3" xfId="73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1.xml"/><Relationship Id="rId21" Type="http://schemas.openxmlformats.org/officeDocument/2006/relationships/externalLink" Target="externalLinks/externalLink2.xml"/><Relationship Id="rId22" Type="http://schemas.openxmlformats.org/officeDocument/2006/relationships/externalLink" Target="externalLinks/externalLink3.xml"/><Relationship Id="rId23" Type="http://schemas.openxmlformats.org/officeDocument/2006/relationships/externalLink" Target="externalLinks/externalLink4.xml"/><Relationship Id="rId24" Type="http://schemas.openxmlformats.org/officeDocument/2006/relationships/externalLink" Target="externalLinks/externalLink5.xml"/><Relationship Id="rId25" Type="http://schemas.openxmlformats.org/officeDocument/2006/relationships/theme" Target="theme/theme1.xml"/><Relationship Id="rId26" Type="http://schemas.openxmlformats.org/officeDocument/2006/relationships/styles" Target="styles.xml"/><Relationship Id="rId27" Type="http://schemas.openxmlformats.org/officeDocument/2006/relationships/sharedStrings" Target="sharedStrings.xml"/><Relationship Id="rId28" Type="http://schemas.openxmlformats.org/officeDocument/2006/relationships/calcChain" Target="calcChain.xml"/><Relationship Id="rId29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48016</v>
          </cell>
        </row>
        <row r="259">
          <cell r="A259">
            <v>48101</v>
          </cell>
        </row>
        <row r="260">
          <cell r="A260">
            <v>48501</v>
          </cell>
        </row>
        <row r="261">
          <cell r="A261">
            <v>48502</v>
          </cell>
        </row>
        <row r="262">
          <cell r="A262">
            <v>48503</v>
          </cell>
        </row>
        <row r="263">
          <cell r="A263">
            <v>48504</v>
          </cell>
        </row>
        <row r="264">
          <cell r="A264">
            <v>48701</v>
          </cell>
        </row>
        <row r="265">
          <cell r="A265">
            <v>48702</v>
          </cell>
        </row>
        <row r="266">
          <cell r="A266">
            <v>48703</v>
          </cell>
        </row>
        <row r="267">
          <cell r="A267">
            <v>41001</v>
          </cell>
        </row>
        <row r="268">
          <cell r="A268">
            <v>41002</v>
          </cell>
        </row>
        <row r="269">
          <cell r="A269">
            <v>41003</v>
          </cell>
        </row>
        <row r="270">
          <cell r="A270">
            <v>41004</v>
          </cell>
        </row>
        <row r="271">
          <cell r="A271">
            <v>41005</v>
          </cell>
        </row>
        <row r="272">
          <cell r="A272">
            <v>41006</v>
          </cell>
        </row>
        <row r="273">
          <cell r="A273">
            <v>41007</v>
          </cell>
        </row>
        <row r="274">
          <cell r="A274">
            <v>41008</v>
          </cell>
        </row>
        <row r="275">
          <cell r="A275">
            <v>41009</v>
          </cell>
        </row>
        <row r="276">
          <cell r="A276">
            <v>41010</v>
          </cell>
        </row>
        <row r="277">
          <cell r="A277">
            <v>41011</v>
          </cell>
        </row>
        <row r="278">
          <cell r="A278">
            <v>41012</v>
          </cell>
        </row>
        <row r="279">
          <cell r="A279">
            <v>41013</v>
          </cell>
        </row>
        <row r="280">
          <cell r="A280">
            <v>41014</v>
          </cell>
        </row>
        <row r="281">
          <cell r="A281">
            <v>41015</v>
          </cell>
        </row>
        <row r="282">
          <cell r="A282">
            <v>47001</v>
          </cell>
        </row>
        <row r="283">
          <cell r="A283">
            <v>47002</v>
          </cell>
        </row>
        <row r="284">
          <cell r="A284">
            <v>47003</v>
          </cell>
        </row>
        <row r="285">
          <cell r="A285">
            <v>47004</v>
          </cell>
        </row>
        <row r="286">
          <cell r="A286">
            <v>47005</v>
          </cell>
        </row>
        <row r="287">
          <cell r="A287">
            <v>47006</v>
          </cell>
        </row>
        <row r="288">
          <cell r="A288">
            <v>47007</v>
          </cell>
        </row>
        <row r="289">
          <cell r="A289">
            <v>47008</v>
          </cell>
        </row>
        <row r="290">
          <cell r="A290">
            <v>47009</v>
          </cell>
        </row>
        <row r="291">
          <cell r="A291">
            <v>47010</v>
          </cell>
        </row>
        <row r="292">
          <cell r="A292">
            <v>47011</v>
          </cell>
        </row>
        <row r="293">
          <cell r="A293">
            <v>47012</v>
          </cell>
        </row>
        <row r="294">
          <cell r="A294">
            <v>47013</v>
          </cell>
        </row>
        <row r="295">
          <cell r="A295">
            <v>47014</v>
          </cell>
        </row>
        <row r="296">
          <cell r="A296">
            <v>47015</v>
          </cell>
        </row>
        <row r="297">
          <cell r="A297">
            <v>47016</v>
          </cell>
        </row>
        <row r="298">
          <cell r="A298">
            <v>49001</v>
          </cell>
        </row>
        <row r="299">
          <cell r="A299">
            <v>49002</v>
          </cell>
        </row>
        <row r="300">
          <cell r="A300">
            <v>49003</v>
          </cell>
        </row>
        <row r="301">
          <cell r="A301">
            <v>49004</v>
          </cell>
        </row>
        <row r="302">
          <cell r="A302">
            <v>49005</v>
          </cell>
        </row>
        <row r="303">
          <cell r="A303">
            <v>49006</v>
          </cell>
        </row>
        <row r="304">
          <cell r="A304">
            <v>49007</v>
          </cell>
        </row>
        <row r="305">
          <cell r="A305">
            <v>49008</v>
          </cell>
        </row>
        <row r="306">
          <cell r="A306">
            <v>49009</v>
          </cell>
        </row>
        <row r="307">
          <cell r="A307">
            <v>49010</v>
          </cell>
        </row>
        <row r="308">
          <cell r="A308">
            <v>49011</v>
          </cell>
        </row>
        <row r="309">
          <cell r="A309">
            <v>49012</v>
          </cell>
        </row>
        <row r="310">
          <cell r="A310">
            <v>49013</v>
          </cell>
        </row>
        <row r="311">
          <cell r="A311">
            <v>49014</v>
          </cell>
        </row>
        <row r="312">
          <cell r="A312">
            <v>49015</v>
          </cell>
        </row>
        <row r="313">
          <cell r="A313">
            <v>49016</v>
          </cell>
        </row>
        <row r="314">
          <cell r="A314">
            <v>50001</v>
          </cell>
        </row>
        <row r="315">
          <cell r="A315">
            <v>50002</v>
          </cell>
        </row>
        <row r="316">
          <cell r="A316">
            <v>50003</v>
          </cell>
        </row>
        <row r="317">
          <cell r="A317">
            <v>50004</v>
          </cell>
        </row>
        <row r="318">
          <cell r="A318">
            <v>50005</v>
          </cell>
        </row>
        <row r="319">
          <cell r="A319">
            <v>50006</v>
          </cell>
        </row>
        <row r="320">
          <cell r="A320">
            <v>50007</v>
          </cell>
        </row>
        <row r="321">
          <cell r="A321">
            <v>50008</v>
          </cell>
        </row>
        <row r="322">
          <cell r="A322">
            <v>50009</v>
          </cell>
        </row>
        <row r="323">
          <cell r="A323">
            <v>50010</v>
          </cell>
        </row>
        <row r="324">
          <cell r="A324">
            <v>50011</v>
          </cell>
        </row>
        <row r="325">
          <cell r="A325">
            <v>50012</v>
          </cell>
        </row>
        <row r="326">
          <cell r="A326">
            <v>50013</v>
          </cell>
        </row>
        <row r="327">
          <cell r="A327">
            <v>50014</v>
          </cell>
        </row>
        <row r="328">
          <cell r="A328">
            <v>50015</v>
          </cell>
        </row>
        <row r="329">
          <cell r="A329">
            <v>50016</v>
          </cell>
        </row>
        <row r="330">
          <cell r="A330">
            <v>51001</v>
          </cell>
        </row>
        <row r="331">
          <cell r="A331">
            <v>51002</v>
          </cell>
        </row>
        <row r="332">
          <cell r="A332">
            <v>58001</v>
          </cell>
        </row>
        <row r="333">
          <cell r="A333">
            <v>58002</v>
          </cell>
        </row>
        <row r="334">
          <cell r="A334">
            <v>58003</v>
          </cell>
        </row>
        <row r="335">
          <cell r="A335">
            <v>58101</v>
          </cell>
        </row>
        <row r="336">
          <cell r="A336">
            <v>59001</v>
          </cell>
        </row>
        <row r="337">
          <cell r="A337">
            <v>59002</v>
          </cell>
        </row>
        <row r="338">
          <cell r="A338">
            <v>59003</v>
          </cell>
        </row>
        <row r="339">
          <cell r="A339">
            <v>60001</v>
          </cell>
        </row>
        <row r="340">
          <cell r="A340">
            <v>60002</v>
          </cell>
        </row>
        <row r="341">
          <cell r="A341">
            <v>60003</v>
          </cell>
        </row>
        <row r="342">
          <cell r="A342">
            <v>60004</v>
          </cell>
        </row>
        <row r="343">
          <cell r="A343">
            <v>60005</v>
          </cell>
        </row>
        <row r="344">
          <cell r="A344">
            <v>60006</v>
          </cell>
        </row>
        <row r="345">
          <cell r="A345">
            <v>60007</v>
          </cell>
        </row>
        <row r="346">
          <cell r="A346">
            <v>60010</v>
          </cell>
        </row>
        <row r="347">
          <cell r="A347">
            <v>60011</v>
          </cell>
        </row>
        <row r="348">
          <cell r="A348">
            <v>61011</v>
          </cell>
        </row>
        <row r="349">
          <cell r="A349">
            <v>60012</v>
          </cell>
        </row>
        <row r="350">
          <cell r="A350">
            <v>60013</v>
          </cell>
        </row>
        <row r="351">
          <cell r="A351">
            <v>60014</v>
          </cell>
        </row>
        <row r="352">
          <cell r="A352">
            <v>60015</v>
          </cell>
        </row>
        <row r="353">
          <cell r="A353">
            <v>60016</v>
          </cell>
        </row>
        <row r="354">
          <cell r="A354">
            <v>60017</v>
          </cell>
        </row>
        <row r="355">
          <cell r="A355">
            <v>60018</v>
          </cell>
        </row>
        <row r="356">
          <cell r="A356">
            <v>60019</v>
          </cell>
        </row>
        <row r="357">
          <cell r="A357">
            <v>60020</v>
          </cell>
        </row>
        <row r="358">
          <cell r="A358">
            <v>60025</v>
          </cell>
        </row>
        <row r="359">
          <cell r="A359">
            <v>60026</v>
          </cell>
        </row>
        <row r="360">
          <cell r="A360">
            <v>60027</v>
          </cell>
        </row>
        <row r="361">
          <cell r="A361">
            <v>60028</v>
          </cell>
        </row>
        <row r="362">
          <cell r="A362">
            <v>60029</v>
          </cell>
        </row>
        <row r="363">
          <cell r="A363">
            <v>60030</v>
          </cell>
        </row>
        <row r="364">
          <cell r="A364">
            <v>60031</v>
          </cell>
        </row>
        <row r="365">
          <cell r="A365">
            <v>60032</v>
          </cell>
        </row>
        <row r="366">
          <cell r="A366">
            <v>61001</v>
          </cell>
        </row>
        <row r="367">
          <cell r="A367">
            <v>65523</v>
          </cell>
        </row>
        <row r="368">
          <cell r="A368">
            <v>65524</v>
          </cell>
        </row>
        <row r="369">
          <cell r="A369">
            <v>65525</v>
          </cell>
        </row>
        <row r="370">
          <cell r="A370">
            <v>65526</v>
          </cell>
        </row>
        <row r="371">
          <cell r="A371">
            <v>65527</v>
          </cell>
        </row>
        <row r="372">
          <cell r="A372">
            <v>65528</v>
          </cell>
        </row>
        <row r="373">
          <cell r="A373">
            <v>65529</v>
          </cell>
        </row>
        <row r="374">
          <cell r="A374">
            <v>65530</v>
          </cell>
        </row>
        <row r="375">
          <cell r="A375">
            <v>65531</v>
          </cell>
        </row>
        <row r="376">
          <cell r="A376">
            <v>65532</v>
          </cell>
        </row>
        <row r="377">
          <cell r="A377">
            <v>65533</v>
          </cell>
        </row>
        <row r="378">
          <cell r="A378">
            <v>65534</v>
          </cell>
        </row>
        <row r="379">
          <cell r="A379">
            <v>65535</v>
          </cell>
        </row>
        <row r="380">
          <cell r="A380">
            <v>60021</v>
          </cell>
        </row>
        <row r="381">
          <cell r="A381">
            <v>60022</v>
          </cell>
        </row>
        <row r="382">
          <cell r="A382">
            <v>60023</v>
          </cell>
        </row>
        <row r="383">
          <cell r="A38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41001_4</v>
          </cell>
        </row>
        <row r="813">
          <cell r="A813" t="str">
            <v>41002_1</v>
          </cell>
        </row>
        <row r="814">
          <cell r="A814" t="str">
            <v>41002_2</v>
          </cell>
        </row>
        <row r="815">
          <cell r="A815" t="str">
            <v>41002_3</v>
          </cell>
        </row>
        <row r="816">
          <cell r="A816" t="str">
            <v>41002_4</v>
          </cell>
        </row>
        <row r="817">
          <cell r="A817" t="str">
            <v>41003_1</v>
          </cell>
        </row>
        <row r="818">
          <cell r="A818" t="str">
            <v>41003_2</v>
          </cell>
        </row>
        <row r="819">
          <cell r="A819" t="str">
            <v>41003_3</v>
          </cell>
        </row>
        <row r="820">
          <cell r="A820" t="str">
            <v>41003_4</v>
          </cell>
        </row>
        <row r="821">
          <cell r="A821" t="str">
            <v>41004_1</v>
          </cell>
        </row>
        <row r="822">
          <cell r="A822" t="str">
            <v>41004_2</v>
          </cell>
        </row>
        <row r="823">
          <cell r="A823" t="str">
            <v>41004_3</v>
          </cell>
        </row>
        <row r="824">
          <cell r="A824" t="str">
            <v>41005_1</v>
          </cell>
        </row>
        <row r="825">
          <cell r="A825" t="str">
            <v>41005_2</v>
          </cell>
        </row>
        <row r="826">
          <cell r="A826" t="str">
            <v>41005_3</v>
          </cell>
        </row>
        <row r="827">
          <cell r="A827" t="str">
            <v>41006_1</v>
          </cell>
        </row>
        <row r="828">
          <cell r="A828" t="str">
            <v>41006_2</v>
          </cell>
        </row>
        <row r="829">
          <cell r="A829" t="str">
            <v>41006_3</v>
          </cell>
        </row>
        <row r="830">
          <cell r="A830" t="str">
            <v>41007_1</v>
          </cell>
        </row>
        <row r="831">
          <cell r="A831" t="str">
            <v>41007_2</v>
          </cell>
        </row>
        <row r="832">
          <cell r="A832" t="str">
            <v>41007_3</v>
          </cell>
        </row>
        <row r="833">
          <cell r="A833" t="str">
            <v>41008_1</v>
          </cell>
        </row>
        <row r="834">
          <cell r="A834" t="str">
            <v>41008_2</v>
          </cell>
        </row>
        <row r="835">
          <cell r="A835" t="str">
            <v>41008_3</v>
          </cell>
        </row>
        <row r="836">
          <cell r="A836" t="str">
            <v>41009_1</v>
          </cell>
        </row>
        <row r="837">
          <cell r="A837" t="str">
            <v>41009_2</v>
          </cell>
        </row>
        <row r="838">
          <cell r="A838" t="str">
            <v>41009_3</v>
          </cell>
        </row>
        <row r="839">
          <cell r="A839" t="str">
            <v>41010_1</v>
          </cell>
        </row>
        <row r="840">
          <cell r="A840" t="str">
            <v>41010_2</v>
          </cell>
        </row>
        <row r="841">
          <cell r="A841" t="str">
            <v>41010_3</v>
          </cell>
        </row>
        <row r="842">
          <cell r="A842" t="str">
            <v>41011_1</v>
          </cell>
        </row>
        <row r="843">
          <cell r="A843" t="str">
            <v>41011_2</v>
          </cell>
        </row>
        <row r="844">
          <cell r="A844" t="str">
            <v>41012_1</v>
          </cell>
        </row>
        <row r="845">
          <cell r="A845" t="str">
            <v>41012_2</v>
          </cell>
        </row>
        <row r="846">
          <cell r="A846" t="str">
            <v>41013_1</v>
          </cell>
        </row>
        <row r="847">
          <cell r="A847" t="str">
            <v>41013_2</v>
          </cell>
        </row>
        <row r="848">
          <cell r="A848" t="str">
            <v>41014_1</v>
          </cell>
        </row>
        <row r="849">
          <cell r="A849" t="str">
            <v>41014_2</v>
          </cell>
        </row>
        <row r="850">
          <cell r="A850" t="str">
            <v>41015_1</v>
          </cell>
        </row>
        <row r="851">
          <cell r="A851" t="str">
            <v>41015_2</v>
          </cell>
        </row>
        <row r="852">
          <cell r="A852" t="str">
            <v>47001_1</v>
          </cell>
        </row>
        <row r="853">
          <cell r="A853" t="str">
            <v>47001_2</v>
          </cell>
        </row>
        <row r="854">
          <cell r="A854" t="str">
            <v>47002_1</v>
          </cell>
        </row>
        <row r="855">
          <cell r="A855" t="str">
            <v>47002_2</v>
          </cell>
        </row>
        <row r="856">
          <cell r="A856" t="str">
            <v>47003_1</v>
          </cell>
        </row>
        <row r="857">
          <cell r="A857" t="str">
            <v>47003_2</v>
          </cell>
        </row>
        <row r="858">
          <cell r="A858" t="str">
            <v>47003_3</v>
          </cell>
        </row>
        <row r="859">
          <cell r="A859" t="str">
            <v>47003_4</v>
          </cell>
        </row>
        <row r="860">
          <cell r="A860" t="str">
            <v>47004_1</v>
          </cell>
        </row>
        <row r="861">
          <cell r="A861" t="str">
            <v>47004_2</v>
          </cell>
        </row>
        <row r="862">
          <cell r="A862" t="str">
            <v>47004_3</v>
          </cell>
        </row>
        <row r="863">
          <cell r="A863" t="str">
            <v>47004_4</v>
          </cell>
        </row>
        <row r="864">
          <cell r="A864" t="str">
            <v>47005_1</v>
          </cell>
        </row>
        <row r="865">
          <cell r="A865" t="str">
            <v>47006_1</v>
          </cell>
        </row>
        <row r="866">
          <cell r="A866" t="str">
            <v>47006_2</v>
          </cell>
        </row>
        <row r="867">
          <cell r="A867" t="str">
            <v>47007_1</v>
          </cell>
        </row>
        <row r="868">
          <cell r="A868" t="str">
            <v>47007_2</v>
          </cell>
        </row>
        <row r="869">
          <cell r="A869" t="str">
            <v>47008_1</v>
          </cell>
        </row>
        <row r="870">
          <cell r="A870" t="str">
            <v>47008_2</v>
          </cell>
        </row>
        <row r="871">
          <cell r="A871" t="str">
            <v>47009_1</v>
          </cell>
        </row>
        <row r="872">
          <cell r="A872" t="str">
            <v>47009_2</v>
          </cell>
        </row>
        <row r="873">
          <cell r="A873" t="str">
            <v>47010_1</v>
          </cell>
        </row>
        <row r="874">
          <cell r="A874" t="str">
            <v>47010_2</v>
          </cell>
        </row>
        <row r="875">
          <cell r="A875" t="str">
            <v>47011_1</v>
          </cell>
        </row>
        <row r="876">
          <cell r="A876" t="str">
            <v>47012_1</v>
          </cell>
        </row>
        <row r="877">
          <cell r="A877" t="str">
            <v>47012_2</v>
          </cell>
        </row>
        <row r="878">
          <cell r="A878" t="str">
            <v>47013_1</v>
          </cell>
        </row>
        <row r="879">
          <cell r="A879" t="str">
            <v>47013_2</v>
          </cell>
        </row>
        <row r="880">
          <cell r="A880" t="str">
            <v>47013_3</v>
          </cell>
        </row>
        <row r="881">
          <cell r="A881" t="str">
            <v>47013_4</v>
          </cell>
        </row>
        <row r="882">
          <cell r="A882" t="str">
            <v>47014_1</v>
          </cell>
        </row>
        <row r="883">
          <cell r="A883" t="str">
            <v>47014_2</v>
          </cell>
        </row>
        <row r="884">
          <cell r="A884" t="str">
            <v>47014_3</v>
          </cell>
        </row>
        <row r="885">
          <cell r="A885" t="str">
            <v>47015_1</v>
          </cell>
        </row>
        <row r="886">
          <cell r="A886" t="str">
            <v>47015_2</v>
          </cell>
        </row>
        <row r="887">
          <cell r="A887" t="str">
            <v>47015_3</v>
          </cell>
        </row>
        <row r="888">
          <cell r="A888" t="str">
            <v>47016_1</v>
          </cell>
        </row>
        <row r="889">
          <cell r="A889" t="str">
            <v>47016_2</v>
          </cell>
        </row>
        <row r="890">
          <cell r="A890" t="str">
            <v>47016_3</v>
          </cell>
        </row>
        <row r="891">
          <cell r="A891" t="str">
            <v>48001_1</v>
          </cell>
        </row>
        <row r="892">
          <cell r="A892" t="str">
            <v>48002_1</v>
          </cell>
        </row>
        <row r="893">
          <cell r="A893" t="str">
            <v>48002_2</v>
          </cell>
        </row>
        <row r="894">
          <cell r="A894" t="str">
            <v>48002_3</v>
          </cell>
        </row>
        <row r="895">
          <cell r="A895" t="str">
            <v>48003_1</v>
          </cell>
        </row>
        <row r="896">
          <cell r="A896" t="str">
            <v>48003_2</v>
          </cell>
        </row>
        <row r="897">
          <cell r="A897" t="str">
            <v>48004_1</v>
          </cell>
        </row>
        <row r="898">
          <cell r="A898" t="str">
            <v>48004_2</v>
          </cell>
        </row>
        <row r="899">
          <cell r="A899" t="str">
            <v>48005_1</v>
          </cell>
        </row>
        <row r="900">
          <cell r="A900" t="str">
            <v>48005_2</v>
          </cell>
        </row>
        <row r="901">
          <cell r="A901" t="str">
            <v>48006_1</v>
          </cell>
        </row>
        <row r="902">
          <cell r="A902" t="str">
            <v>48006_2</v>
          </cell>
        </row>
        <row r="903">
          <cell r="A903" t="str">
            <v>48007_1</v>
          </cell>
        </row>
        <row r="904">
          <cell r="A904" t="str">
            <v>48007_2</v>
          </cell>
        </row>
        <row r="905">
          <cell r="A905" t="str">
            <v>48008_1</v>
          </cell>
        </row>
        <row r="906">
          <cell r="A906" t="str">
            <v>48008_2</v>
          </cell>
        </row>
        <row r="907">
          <cell r="A907" t="str">
            <v>48009_1</v>
          </cell>
        </row>
        <row r="908">
          <cell r="A908" t="str">
            <v>48009_2</v>
          </cell>
        </row>
        <row r="909">
          <cell r="A909" t="str">
            <v>48010_1</v>
          </cell>
        </row>
        <row r="910">
          <cell r="A910" t="str">
            <v>48011_1</v>
          </cell>
        </row>
        <row r="911">
          <cell r="A911" t="str">
            <v>48011_2</v>
          </cell>
        </row>
        <row r="912">
          <cell r="A912" t="str">
            <v>48012_1</v>
          </cell>
        </row>
        <row r="913">
          <cell r="A913" t="str">
            <v>48012_2</v>
          </cell>
        </row>
        <row r="914">
          <cell r="A914" t="str">
            <v>48013_1</v>
          </cell>
        </row>
        <row r="915">
          <cell r="A915" t="str">
            <v>48013_2</v>
          </cell>
        </row>
        <row r="916">
          <cell r="A916" t="str">
            <v>48014_1</v>
          </cell>
        </row>
        <row r="917">
          <cell r="A917" t="str">
            <v>48014_2</v>
          </cell>
        </row>
        <row r="918">
          <cell r="A918" t="str">
            <v>48015_1</v>
          </cell>
        </row>
        <row r="919">
          <cell r="A919" t="str">
            <v>48015_2</v>
          </cell>
        </row>
        <row r="920">
          <cell r="A920" t="str">
            <v>48016_1</v>
          </cell>
        </row>
        <row r="921">
          <cell r="A921" t="str">
            <v>48016_2</v>
          </cell>
        </row>
        <row r="922">
          <cell r="A922" t="str">
            <v>48101_1</v>
          </cell>
        </row>
        <row r="923">
          <cell r="A923" t="str">
            <v>48101_2</v>
          </cell>
        </row>
        <row r="924">
          <cell r="A924" t="str">
            <v>48501_1</v>
          </cell>
        </row>
        <row r="925">
          <cell r="A925" t="str">
            <v>48501_2</v>
          </cell>
        </row>
        <row r="926">
          <cell r="A926" t="str">
            <v>48502_1</v>
          </cell>
        </row>
        <row r="927">
          <cell r="A927" t="str">
            <v>48502_2</v>
          </cell>
        </row>
        <row r="928">
          <cell r="A928" t="str">
            <v>48503_1</v>
          </cell>
        </row>
        <row r="929">
          <cell r="A929" t="str">
            <v>48503_2</v>
          </cell>
        </row>
        <row r="930">
          <cell r="A930" t="str">
            <v>48504_1</v>
          </cell>
        </row>
        <row r="931">
          <cell r="A931" t="str">
            <v>48504_2</v>
          </cell>
        </row>
        <row r="932">
          <cell r="A932" t="str">
            <v>48701_1</v>
          </cell>
        </row>
        <row r="933">
          <cell r="A933" t="str">
            <v>48701_2</v>
          </cell>
        </row>
        <row r="934">
          <cell r="A934" t="str">
            <v>48702_1</v>
          </cell>
        </row>
        <row r="935">
          <cell r="A935" t="str">
            <v>48702_2</v>
          </cell>
        </row>
        <row r="936">
          <cell r="A936" t="str">
            <v>48703_1</v>
          </cell>
        </row>
        <row r="937">
          <cell r="A937" t="str">
            <v>49001_1</v>
          </cell>
        </row>
        <row r="938">
          <cell r="A938" t="str">
            <v>49002_1</v>
          </cell>
        </row>
        <row r="939">
          <cell r="A939" t="str">
            <v>49002_2</v>
          </cell>
        </row>
        <row r="940">
          <cell r="A940" t="str">
            <v>49003_1</v>
          </cell>
        </row>
        <row r="941">
          <cell r="A941" t="str">
            <v>49003_2</v>
          </cell>
        </row>
        <row r="942">
          <cell r="A942" t="str">
            <v>49004_1</v>
          </cell>
        </row>
        <row r="943">
          <cell r="A943" t="str">
            <v>49004_2</v>
          </cell>
        </row>
        <row r="944">
          <cell r="A944" t="str">
            <v>49004_3</v>
          </cell>
        </row>
        <row r="945">
          <cell r="A945" t="str">
            <v>49005_1</v>
          </cell>
        </row>
        <row r="946">
          <cell r="A946" t="str">
            <v>49006_1</v>
          </cell>
        </row>
        <row r="947">
          <cell r="A947" t="str">
            <v>49006_2</v>
          </cell>
        </row>
        <row r="948">
          <cell r="A948" t="str">
            <v>49007_1</v>
          </cell>
        </row>
        <row r="949">
          <cell r="A949" t="str">
            <v>49007_2</v>
          </cell>
        </row>
        <row r="950">
          <cell r="A950" t="str">
            <v>49007_3</v>
          </cell>
        </row>
        <row r="951">
          <cell r="A951" t="str">
            <v>49008_1</v>
          </cell>
        </row>
        <row r="952">
          <cell r="A952" t="str">
            <v>49009_1</v>
          </cell>
        </row>
        <row r="953">
          <cell r="A953" t="str">
            <v>49010_1</v>
          </cell>
        </row>
        <row r="954">
          <cell r="A954" t="str">
            <v>49011_1</v>
          </cell>
        </row>
        <row r="955">
          <cell r="A955" t="str">
            <v>49012_1</v>
          </cell>
        </row>
        <row r="956">
          <cell r="A956" t="str">
            <v>49013_1</v>
          </cell>
        </row>
        <row r="957">
          <cell r="A957" t="str">
            <v>49014_1</v>
          </cell>
        </row>
        <row r="958">
          <cell r="A958" t="str">
            <v>49014_2</v>
          </cell>
        </row>
        <row r="959">
          <cell r="A959" t="str">
            <v>49015_1</v>
          </cell>
        </row>
        <row r="960">
          <cell r="A960" t="str">
            <v>49015_2</v>
          </cell>
        </row>
        <row r="961">
          <cell r="A961" t="str">
            <v>49015_3</v>
          </cell>
        </row>
        <row r="962">
          <cell r="A962" t="str">
            <v>49016_1</v>
          </cell>
        </row>
        <row r="963">
          <cell r="A963" t="str">
            <v>49016_2</v>
          </cell>
        </row>
        <row r="964">
          <cell r="A964" t="str">
            <v>50001_1</v>
          </cell>
        </row>
        <row r="965">
          <cell r="A965" t="str">
            <v>50002_1</v>
          </cell>
        </row>
        <row r="966">
          <cell r="A966" t="str">
            <v>50003_1</v>
          </cell>
        </row>
        <row r="967">
          <cell r="A967" t="str">
            <v>50004_1</v>
          </cell>
        </row>
        <row r="968">
          <cell r="A968" t="str">
            <v>50005_1</v>
          </cell>
        </row>
        <row r="969">
          <cell r="A969" t="str">
            <v>50006_1</v>
          </cell>
        </row>
        <row r="970">
          <cell r="A970" t="str">
            <v>50007_1</v>
          </cell>
        </row>
        <row r="971">
          <cell r="A971" t="str">
            <v>50008_1</v>
          </cell>
        </row>
        <row r="972">
          <cell r="A972" t="str">
            <v>50009_1</v>
          </cell>
        </row>
        <row r="973">
          <cell r="A973" t="str">
            <v>50010_1</v>
          </cell>
        </row>
        <row r="974">
          <cell r="A974" t="str">
            <v>50011_1</v>
          </cell>
        </row>
        <row r="975">
          <cell r="A975" t="str">
            <v>50012_1</v>
          </cell>
        </row>
        <row r="976">
          <cell r="A976" t="str">
            <v>50013_1</v>
          </cell>
        </row>
        <row r="977">
          <cell r="A977" t="str">
            <v>50014_1</v>
          </cell>
        </row>
        <row r="978">
          <cell r="A978" t="str">
            <v>50015_1</v>
          </cell>
        </row>
        <row r="979">
          <cell r="A979" t="str">
            <v>50016_1</v>
          </cell>
        </row>
        <row r="980">
          <cell r="A980" t="str">
            <v>51001_1</v>
          </cell>
        </row>
        <row r="981">
          <cell r="A981" t="str">
            <v>51002_1</v>
          </cell>
        </row>
        <row r="982">
          <cell r="A982" t="str">
            <v>58001_1</v>
          </cell>
        </row>
        <row r="983">
          <cell r="A983" t="str">
            <v>58002_1</v>
          </cell>
        </row>
        <row r="984">
          <cell r="A984" t="str">
            <v>58003_1</v>
          </cell>
        </row>
        <row r="985">
          <cell r="A985" t="str">
            <v>58101_1</v>
          </cell>
        </row>
        <row r="986">
          <cell r="A986" t="str">
            <v>59001_1</v>
          </cell>
        </row>
        <row r="987">
          <cell r="A987" t="str">
            <v>59002_1</v>
          </cell>
        </row>
        <row r="988">
          <cell r="A988" t="str">
            <v>59003_1</v>
          </cell>
        </row>
        <row r="989">
          <cell r="A989" t="str">
            <v>59003_2</v>
          </cell>
        </row>
        <row r="990">
          <cell r="A990" t="str">
            <v>60001_1</v>
          </cell>
        </row>
        <row r="991">
          <cell r="A991" t="str">
            <v>60002_1</v>
          </cell>
        </row>
        <row r="992">
          <cell r="A992" t="str">
            <v>60002_2</v>
          </cell>
        </row>
        <row r="993">
          <cell r="A993" t="str">
            <v>60003_1</v>
          </cell>
        </row>
        <row r="994">
          <cell r="A994" t="str">
            <v>60003_2</v>
          </cell>
        </row>
        <row r="995">
          <cell r="A995" t="str">
            <v>60003_3</v>
          </cell>
        </row>
        <row r="996">
          <cell r="A996" t="str">
            <v>60004_1</v>
          </cell>
        </row>
        <row r="997">
          <cell r="A997" t="str">
            <v>60005_1</v>
          </cell>
        </row>
        <row r="998">
          <cell r="A998" t="str">
            <v>60006_1</v>
          </cell>
        </row>
        <row r="999">
          <cell r="A999" t="str">
            <v>60006_2</v>
          </cell>
        </row>
        <row r="1000">
          <cell r="A1000" t="str">
            <v>60006_3</v>
          </cell>
        </row>
        <row r="1001">
          <cell r="A1001" t="str">
            <v>60007_1</v>
          </cell>
        </row>
        <row r="1002">
          <cell r="A1002" t="str">
            <v>60007_2</v>
          </cell>
        </row>
        <row r="1003">
          <cell r="A1003" t="str">
            <v>60007_3</v>
          </cell>
        </row>
        <row r="1004">
          <cell r="A1004" t="str">
            <v>60010_1</v>
          </cell>
        </row>
        <row r="1005">
          <cell r="A1005" t="str">
            <v>60011_1</v>
          </cell>
        </row>
        <row r="1006">
          <cell r="A1006" t="str">
            <v>60011_2</v>
          </cell>
        </row>
        <row r="1007">
          <cell r="A1007" t="str">
            <v>60012_1</v>
          </cell>
        </row>
        <row r="1008">
          <cell r="A1008" t="str">
            <v>60013_1</v>
          </cell>
        </row>
        <row r="1009">
          <cell r="A1009" t="str">
            <v>60013_2</v>
          </cell>
        </row>
        <row r="1010">
          <cell r="A1010" t="str">
            <v>60013_3</v>
          </cell>
        </row>
        <row r="1011">
          <cell r="A1011" t="str">
            <v>60014_1</v>
          </cell>
        </row>
        <row r="1012">
          <cell r="A1012" t="str">
            <v>60015_1</v>
          </cell>
        </row>
        <row r="1013">
          <cell r="A1013" t="str">
            <v>60016_1</v>
          </cell>
        </row>
        <row r="1014">
          <cell r="A1014" t="str">
            <v>60017_1</v>
          </cell>
        </row>
        <row r="1015">
          <cell r="A1015" t="str">
            <v>60018_1</v>
          </cell>
        </row>
        <row r="1016">
          <cell r="A1016" t="str">
            <v>60019_1</v>
          </cell>
        </row>
        <row r="1017">
          <cell r="A1017" t="str">
            <v>60020_1</v>
          </cell>
        </row>
        <row r="1018">
          <cell r="A1018" t="str">
            <v>60021_3</v>
          </cell>
        </row>
        <row r="1019">
          <cell r="A1019" t="str">
            <v>60022_3</v>
          </cell>
        </row>
        <row r="1020">
          <cell r="A1020" t="str">
            <v>60023_3</v>
          </cell>
        </row>
        <row r="1021">
          <cell r="A1021" t="str">
            <v>60024_3</v>
          </cell>
        </row>
        <row r="1022">
          <cell r="A1022" t="str">
            <v>60025_1</v>
          </cell>
        </row>
        <row r="1023">
          <cell r="A1023" t="str">
            <v>60026_1</v>
          </cell>
        </row>
        <row r="1024">
          <cell r="A1024" t="str">
            <v>61011_1</v>
          </cell>
        </row>
        <row r="1025">
          <cell r="A1025" t="str">
            <v>60027_1</v>
          </cell>
        </row>
        <row r="1026">
          <cell r="A1026" t="str">
            <v>60028_1</v>
          </cell>
        </row>
        <row r="1027">
          <cell r="A1027" t="str">
            <v>60029_1</v>
          </cell>
        </row>
        <row r="1028">
          <cell r="A1028" t="str">
            <v>60030_1</v>
          </cell>
        </row>
        <row r="1029">
          <cell r="A1029" t="str">
            <v>60031_1</v>
          </cell>
        </row>
        <row r="1030">
          <cell r="A1030" t="str">
            <v>60032_1</v>
          </cell>
        </row>
        <row r="1031">
          <cell r="A1031" t="str">
            <v>61001_1</v>
          </cell>
        </row>
        <row r="1032">
          <cell r="A1032" t="str">
            <v>61001_2</v>
          </cell>
        </row>
        <row r="1033">
          <cell r="A1033" t="str">
            <v>61001_3</v>
          </cell>
        </row>
        <row r="1034">
          <cell r="A1034" t="str">
            <v>61001_4</v>
          </cell>
        </row>
        <row r="1035">
          <cell r="A1035" t="str">
            <v>61001_5</v>
          </cell>
        </row>
        <row r="1036">
          <cell r="A1036" t="str">
            <v>61001_6</v>
          </cell>
        </row>
        <row r="1037">
          <cell r="A1037" t="str">
            <v>61001_7</v>
          </cell>
        </row>
        <row r="1038">
          <cell r="A1038" t="str">
            <v>65523_1</v>
          </cell>
        </row>
        <row r="1039">
          <cell r="A1039" t="str">
            <v>65523_2</v>
          </cell>
        </row>
        <row r="1040">
          <cell r="A1040" t="str">
            <v>65523_3</v>
          </cell>
        </row>
        <row r="1041">
          <cell r="A1041" t="str">
            <v>65524_1</v>
          </cell>
        </row>
        <row r="1042">
          <cell r="A1042" t="str">
            <v>65524_2</v>
          </cell>
        </row>
        <row r="1043">
          <cell r="A1043" t="str">
            <v>65525_1</v>
          </cell>
        </row>
        <row r="1044">
          <cell r="A1044" t="str">
            <v>65526_1</v>
          </cell>
        </row>
        <row r="1045">
          <cell r="A1045" t="str">
            <v>65526_2</v>
          </cell>
        </row>
        <row r="1046">
          <cell r="A1046" t="str">
            <v>65527_1</v>
          </cell>
        </row>
        <row r="1047">
          <cell r="A1047" t="str">
            <v>65528_1</v>
          </cell>
        </row>
        <row r="1048">
          <cell r="A1048" t="str">
            <v>65529_1</v>
          </cell>
        </row>
        <row r="1049">
          <cell r="A1049" t="str">
            <v>65530_1</v>
          </cell>
        </row>
        <row r="1050">
          <cell r="A1050" t="str">
            <v>65531_1</v>
          </cell>
        </row>
        <row r="1051">
          <cell r="A1051" t="str">
            <v>65531_2</v>
          </cell>
        </row>
        <row r="1052">
          <cell r="A1052" t="str">
            <v>65532_1</v>
          </cell>
        </row>
        <row r="1053">
          <cell r="A1053" t="str">
            <v>65532_2</v>
          </cell>
        </row>
        <row r="1054">
          <cell r="A1054" t="str">
            <v>65533_1</v>
          </cell>
        </row>
        <row r="1055">
          <cell r="A1055" t="str">
            <v>65533_2</v>
          </cell>
        </row>
        <row r="1056">
          <cell r="A1056" t="str">
            <v>65534_1</v>
          </cell>
        </row>
        <row r="1057">
          <cell r="A1057" t="str">
            <v>65535_1</v>
          </cell>
        </row>
        <row r="1058">
          <cell r="A1058" t="str">
            <v>65535_2</v>
          </cell>
        </row>
        <row r="1059">
          <cell r="A1059" t="str">
            <v>65535_3</v>
          </cell>
        </row>
        <row r="1060">
          <cell r="A1060" t="str">
            <v>65535_4</v>
          </cell>
        </row>
        <row r="1061">
          <cell r="A1061" t="str">
            <v>65535_5</v>
          </cell>
        </row>
        <row r="1062">
          <cell r="A1062" t="str">
            <v>65535_6</v>
          </cell>
        </row>
        <row r="1063">
          <cell r="A1063" t="str">
            <v>65535_7</v>
          </cell>
        </row>
        <row r="1064">
          <cell r="A1064" t="str">
            <v>65535_8</v>
          </cell>
        </row>
        <row r="1065">
          <cell r="A1065" t="str">
            <v>65535_9</v>
          </cell>
        </row>
        <row r="1066">
          <cell r="A106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5011</v>
          </cell>
        </row>
        <row r="1465">
          <cell r="A1465">
            <v>5012</v>
          </cell>
        </row>
        <row r="1466">
          <cell r="A1466">
            <v>6001</v>
          </cell>
        </row>
        <row r="1467">
          <cell r="A1467">
            <v>6002</v>
          </cell>
        </row>
        <row r="1468">
          <cell r="A1468">
            <v>6003</v>
          </cell>
        </row>
        <row r="1469">
          <cell r="A1469">
            <v>6004</v>
          </cell>
        </row>
        <row r="1470">
          <cell r="A1470">
            <v>6005</v>
          </cell>
        </row>
        <row r="1471">
          <cell r="A1471">
            <v>6006</v>
          </cell>
        </row>
        <row r="1472">
          <cell r="A1472">
            <v>6007</v>
          </cell>
        </row>
        <row r="1473">
          <cell r="A1473">
            <v>6008</v>
          </cell>
        </row>
        <row r="1474">
          <cell r="A1474">
            <v>6009</v>
          </cell>
        </row>
        <row r="1475">
          <cell r="A1475">
            <v>6010</v>
          </cell>
        </row>
        <row r="1476">
          <cell r="A1476">
            <v>6011</v>
          </cell>
        </row>
        <row r="1477">
          <cell r="A1477">
            <v>6012</v>
          </cell>
        </row>
        <row r="1478">
          <cell r="A1478">
            <v>6013</v>
          </cell>
        </row>
        <row r="1479">
          <cell r="A1479">
            <v>6014</v>
          </cell>
        </row>
        <row r="1480">
          <cell r="A1480">
            <v>6015</v>
          </cell>
        </row>
        <row r="1481">
          <cell r="A1481">
            <v>6016</v>
          </cell>
        </row>
        <row r="1482">
          <cell r="A1482">
            <v>6017</v>
          </cell>
        </row>
        <row r="1483">
          <cell r="A1483">
            <v>6018</v>
          </cell>
        </row>
        <row r="1484">
          <cell r="A1484">
            <v>6019</v>
          </cell>
        </row>
        <row r="1485">
          <cell r="A1485">
            <v>6020</v>
          </cell>
        </row>
        <row r="1486">
          <cell r="A1486">
            <v>8001</v>
          </cell>
        </row>
        <row r="1487">
          <cell r="A1487">
            <v>8002</v>
          </cell>
        </row>
        <row r="1488">
          <cell r="A1488">
            <v>8003</v>
          </cell>
        </row>
        <row r="1489">
          <cell r="A1489">
            <v>8004</v>
          </cell>
        </row>
        <row r="1490">
          <cell r="A1490">
            <v>8005</v>
          </cell>
        </row>
        <row r="1491">
          <cell r="A1491">
            <v>8006</v>
          </cell>
        </row>
        <row r="1492">
          <cell r="A1492">
            <v>8007</v>
          </cell>
        </row>
        <row r="1493">
          <cell r="A1493">
            <v>8008</v>
          </cell>
        </row>
        <row r="1494">
          <cell r="A1494">
            <v>8009</v>
          </cell>
        </row>
        <row r="1495">
          <cell r="A1495">
            <v>8010</v>
          </cell>
        </row>
        <row r="1496">
          <cell r="A1496">
            <v>8011</v>
          </cell>
        </row>
        <row r="1497">
          <cell r="A1497">
            <v>8012</v>
          </cell>
        </row>
        <row r="1498">
          <cell r="A1498">
            <v>8013</v>
          </cell>
        </row>
        <row r="1499">
          <cell r="A1499">
            <v>8014</v>
          </cell>
        </row>
        <row r="1500">
          <cell r="A1500">
            <v>8015</v>
          </cell>
        </row>
        <row r="1501">
          <cell r="A1501">
            <v>8016</v>
          </cell>
        </row>
        <row r="1502">
          <cell r="A1502">
            <v>8017</v>
          </cell>
        </row>
        <row r="1503">
          <cell r="A1503">
            <v>8018</v>
          </cell>
        </row>
        <row r="1504">
          <cell r="A1504">
            <v>8019</v>
          </cell>
        </row>
        <row r="1505">
          <cell r="A1505">
            <v>8020</v>
          </cell>
        </row>
        <row r="1506">
          <cell r="A1506">
            <v>8021</v>
          </cell>
        </row>
        <row r="1507">
          <cell r="A1507">
            <v>8022</v>
          </cell>
        </row>
        <row r="1508">
          <cell r="A1508">
            <v>8023</v>
          </cell>
        </row>
        <row r="1509">
          <cell r="A1509">
            <v>8024</v>
          </cell>
        </row>
        <row r="1510">
          <cell r="A1510">
            <v>8025</v>
          </cell>
        </row>
        <row r="1511">
          <cell r="A1511">
            <v>8026</v>
          </cell>
        </row>
        <row r="1512">
          <cell r="A1512">
            <v>8027</v>
          </cell>
        </row>
        <row r="1513">
          <cell r="A1513">
            <v>8028</v>
          </cell>
        </row>
        <row r="1514">
          <cell r="A1514">
            <v>8029</v>
          </cell>
        </row>
        <row r="1515">
          <cell r="A1515">
            <v>8030</v>
          </cell>
        </row>
        <row r="1516">
          <cell r="A1516">
            <v>8031</v>
          </cell>
        </row>
        <row r="1517">
          <cell r="A1517">
            <v>8032</v>
          </cell>
        </row>
        <row r="1518">
          <cell r="A1518">
            <v>8033</v>
          </cell>
        </row>
        <row r="1519">
          <cell r="A1519">
            <v>8034</v>
          </cell>
        </row>
        <row r="1520">
          <cell r="A1520">
            <v>8035</v>
          </cell>
        </row>
        <row r="1521">
          <cell r="A1521">
            <v>8036</v>
          </cell>
        </row>
        <row r="1522">
          <cell r="A1522">
            <v>8037</v>
          </cell>
        </row>
        <row r="1523">
          <cell r="A1523">
            <v>8038</v>
          </cell>
        </row>
        <row r="1524">
          <cell r="A1524">
            <v>8039</v>
          </cell>
        </row>
        <row r="1525">
          <cell r="A1525">
            <v>8040</v>
          </cell>
        </row>
        <row r="1526">
          <cell r="A1526">
            <v>8041</v>
          </cell>
        </row>
        <row r="1527">
          <cell r="A1527">
            <v>8042</v>
          </cell>
        </row>
        <row r="1528">
          <cell r="A1528">
            <v>8043</v>
          </cell>
        </row>
        <row r="1529">
          <cell r="A1529">
            <v>8044</v>
          </cell>
        </row>
        <row r="1530">
          <cell r="A1530">
            <v>8045</v>
          </cell>
        </row>
        <row r="1531">
          <cell r="A1531">
            <v>8046</v>
          </cell>
        </row>
        <row r="1532">
          <cell r="A1532">
            <v>8047</v>
          </cell>
        </row>
        <row r="1533">
          <cell r="A1533">
            <v>8048</v>
          </cell>
        </row>
        <row r="1534">
          <cell r="A1534">
            <v>8049</v>
          </cell>
        </row>
        <row r="1535">
          <cell r="A1535">
            <v>8050</v>
          </cell>
        </row>
        <row r="1536">
          <cell r="A1536">
            <v>8051</v>
          </cell>
        </row>
        <row r="1537">
          <cell r="A1537">
            <v>8052</v>
          </cell>
        </row>
        <row r="1538">
          <cell r="A1538">
            <v>8053</v>
          </cell>
        </row>
        <row r="1539">
          <cell r="A1539">
            <v>8054</v>
          </cell>
        </row>
        <row r="1540">
          <cell r="A1540">
            <v>8055</v>
          </cell>
        </row>
        <row r="1541">
          <cell r="A1541">
            <v>8056</v>
          </cell>
        </row>
        <row r="1542">
          <cell r="A1542">
            <v>8057</v>
          </cell>
        </row>
        <row r="1543">
          <cell r="A1543">
            <v>8058</v>
          </cell>
        </row>
        <row r="1544">
          <cell r="A1544">
            <v>8059</v>
          </cell>
        </row>
        <row r="1545">
          <cell r="A1545">
            <v>8060</v>
          </cell>
        </row>
        <row r="1546">
          <cell r="A1546">
            <v>8061</v>
          </cell>
        </row>
        <row r="1547">
          <cell r="A1547">
            <v>8062</v>
          </cell>
        </row>
        <row r="1548">
          <cell r="A1548">
            <v>8063</v>
          </cell>
        </row>
        <row r="1549">
          <cell r="A1549">
            <v>8064</v>
          </cell>
        </row>
        <row r="1550">
          <cell r="A1550">
            <v>8065</v>
          </cell>
        </row>
        <row r="1551">
          <cell r="A1551">
            <v>8066</v>
          </cell>
        </row>
        <row r="1552">
          <cell r="A1552">
            <v>8067</v>
          </cell>
        </row>
        <row r="1553">
          <cell r="A1553">
            <v>8068</v>
          </cell>
        </row>
        <row r="1554">
          <cell r="A1554">
            <v>8069</v>
          </cell>
        </row>
        <row r="1555">
          <cell r="A1555">
            <v>8070</v>
          </cell>
        </row>
        <row r="1556">
          <cell r="A1556">
            <v>8071</v>
          </cell>
        </row>
        <row r="1557">
          <cell r="A1557">
            <v>8072</v>
          </cell>
        </row>
        <row r="1558">
          <cell r="A1558">
            <v>8073</v>
          </cell>
        </row>
        <row r="1559">
          <cell r="A1559">
            <v>8074</v>
          </cell>
        </row>
        <row r="1560">
          <cell r="A1560">
            <v>8077</v>
          </cell>
        </row>
        <row r="1561">
          <cell r="A1561">
            <v>8078</v>
          </cell>
        </row>
        <row r="1562">
          <cell r="A1562">
            <v>8079</v>
          </cell>
        </row>
        <row r="1563">
          <cell r="A1563">
            <v>8080</v>
          </cell>
        </row>
        <row r="1564">
          <cell r="A1564">
            <v>8081</v>
          </cell>
        </row>
        <row r="1565">
          <cell r="A1565">
            <v>8082</v>
          </cell>
        </row>
        <row r="1566">
          <cell r="A1566">
            <v>8083</v>
          </cell>
        </row>
        <row r="1567">
          <cell r="A1567">
            <v>8084</v>
          </cell>
        </row>
        <row r="1568">
          <cell r="A1568">
            <v>8085</v>
          </cell>
        </row>
        <row r="1569">
          <cell r="A1569">
            <v>8086</v>
          </cell>
        </row>
        <row r="1570">
          <cell r="A1570">
            <v>8087</v>
          </cell>
        </row>
        <row r="1571">
          <cell r="A1571">
            <v>8088</v>
          </cell>
        </row>
        <row r="1572">
          <cell r="A1572">
            <v>8089</v>
          </cell>
        </row>
        <row r="1573">
          <cell r="A1573">
            <v>8090</v>
          </cell>
        </row>
        <row r="1574">
          <cell r="A1574">
            <v>8095</v>
          </cell>
        </row>
        <row r="1575">
          <cell r="A1575">
            <v>8096</v>
          </cell>
        </row>
        <row r="1576">
          <cell r="A1576">
            <v>8097</v>
          </cell>
        </row>
        <row r="1577">
          <cell r="A1577">
            <v>8098</v>
          </cell>
        </row>
        <row r="1578">
          <cell r="A1578">
            <v>8099</v>
          </cell>
        </row>
        <row r="1579">
          <cell r="A1579">
            <v>8100</v>
          </cell>
        </row>
        <row r="1580">
          <cell r="A1580">
            <v>8101</v>
          </cell>
        </row>
        <row r="1581">
          <cell r="A1581">
            <v>8102</v>
          </cell>
        </row>
        <row r="1582">
          <cell r="A1582">
            <v>8103</v>
          </cell>
        </row>
        <row r="1583">
          <cell r="A1583">
            <v>8104</v>
          </cell>
        </row>
        <row r="1584">
          <cell r="A1584">
            <v>8105</v>
          </cell>
        </row>
        <row r="1585">
          <cell r="A1585">
            <v>8106</v>
          </cell>
        </row>
        <row r="1586">
          <cell r="A1586">
            <v>8111</v>
          </cell>
        </row>
        <row r="1587">
          <cell r="A1587">
            <v>8112</v>
          </cell>
        </row>
        <row r="1588">
          <cell r="A1588">
            <v>8113</v>
          </cell>
        </row>
        <row r="1589">
          <cell r="A1589">
            <v>8114</v>
          </cell>
        </row>
        <row r="1590">
          <cell r="A1590">
            <v>8115</v>
          </cell>
        </row>
        <row r="1591">
          <cell r="A1591">
            <v>8116</v>
          </cell>
        </row>
        <row r="1592">
          <cell r="A1592">
            <v>8117</v>
          </cell>
        </row>
        <row r="1593">
          <cell r="A1593">
            <v>8118</v>
          </cell>
        </row>
        <row r="1594">
          <cell r="A1594">
            <v>8119</v>
          </cell>
        </row>
        <row r="1595">
          <cell r="A1595">
            <v>8120</v>
          </cell>
        </row>
        <row r="1596">
          <cell r="A1596">
            <v>8121</v>
          </cell>
        </row>
        <row r="1597">
          <cell r="A1597">
            <v>8122</v>
          </cell>
        </row>
        <row r="1598">
          <cell r="A1598">
            <v>8127</v>
          </cell>
        </row>
        <row r="1599">
          <cell r="A1599">
            <v>8128</v>
          </cell>
        </row>
        <row r="1600">
          <cell r="A1600">
            <v>8129</v>
          </cell>
        </row>
        <row r="1601">
          <cell r="A1601">
            <v>8130</v>
          </cell>
        </row>
        <row r="1602">
          <cell r="A1602">
            <v>8131</v>
          </cell>
        </row>
        <row r="1603">
          <cell r="A1603">
            <v>8132</v>
          </cell>
        </row>
        <row r="1604">
          <cell r="A1604">
            <v>8133</v>
          </cell>
        </row>
        <row r="1605">
          <cell r="A1605">
            <v>8134</v>
          </cell>
        </row>
        <row r="1606">
          <cell r="A1606">
            <v>8135</v>
          </cell>
        </row>
        <row r="1607">
          <cell r="A1607">
            <v>8136</v>
          </cell>
        </row>
        <row r="1608">
          <cell r="A1608">
            <v>8137</v>
          </cell>
        </row>
        <row r="1609">
          <cell r="A1609">
            <v>8138</v>
          </cell>
        </row>
        <row r="1610">
          <cell r="A1610">
            <v>9001</v>
          </cell>
        </row>
        <row r="1611">
          <cell r="A1611">
            <v>9002</v>
          </cell>
        </row>
        <row r="1612">
          <cell r="A1612">
            <v>9003</v>
          </cell>
        </row>
        <row r="1613">
          <cell r="A1613">
            <v>9004</v>
          </cell>
        </row>
        <row r="1614">
          <cell r="A1614">
            <v>9005</v>
          </cell>
        </row>
        <row r="1615">
          <cell r="A1615">
            <v>9006</v>
          </cell>
        </row>
        <row r="1616">
          <cell r="A1616">
            <v>9007</v>
          </cell>
        </row>
        <row r="1617">
          <cell r="A1617">
            <v>9008</v>
          </cell>
        </row>
        <row r="1618">
          <cell r="A1618">
            <v>10101</v>
          </cell>
        </row>
        <row r="1619">
          <cell r="A1619">
            <v>10102</v>
          </cell>
        </row>
        <row r="1620">
          <cell r="A1620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5"/>
  <sheetViews>
    <sheetView workbookViewId="0">
      <selection activeCell="A2" sqref="A2"/>
    </sheetView>
  </sheetViews>
  <sheetFormatPr baseColWidth="12" defaultRowHeight="15" x14ac:dyDescent="0.15"/>
  <cols>
    <col min="2" max="2" width="39.83203125" customWidth="1"/>
    <col min="5" max="5" width="44.6640625" customWidth="1"/>
    <col min="6" max="6" width="31.1640625" customWidth="1"/>
  </cols>
  <sheetData>
    <row r="1" spans="1:30" x14ac:dyDescent="0.15">
      <c r="A1" s="53" t="s">
        <v>42</v>
      </c>
      <c r="B1" s="49" t="s">
        <v>34</v>
      </c>
      <c r="C1" s="49" t="s">
        <v>35</v>
      </c>
      <c r="D1" s="49" t="s">
        <v>36</v>
      </c>
      <c r="E1" s="49" t="s">
        <v>37</v>
      </c>
      <c r="F1" s="49" t="s">
        <v>38</v>
      </c>
      <c r="G1" s="49" t="s">
        <v>39</v>
      </c>
      <c r="H1" s="49"/>
      <c r="I1" s="49"/>
      <c r="J1" s="49"/>
      <c r="K1" s="49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</row>
    <row r="2" spans="1:30" x14ac:dyDescent="0.15">
      <c r="A2" s="141" t="s">
        <v>497</v>
      </c>
      <c r="B2" s="82" t="s">
        <v>260</v>
      </c>
      <c r="C2" s="142">
        <v>41001</v>
      </c>
      <c r="D2" s="51" t="s">
        <v>40</v>
      </c>
      <c r="E2" s="50" t="str">
        <f>B2&amp;C2&amp;D2</f>
        <v>score_attack_expanded_floors_41001.tmp</v>
      </c>
      <c r="F2" s="51" t="s">
        <v>197</v>
      </c>
      <c r="G2" s="52" t="s">
        <v>0</v>
      </c>
      <c r="H2" s="52" t="s">
        <v>1</v>
      </c>
      <c r="I2" s="52" t="s">
        <v>12</v>
      </c>
      <c r="J2" s="69" t="s">
        <v>198</v>
      </c>
      <c r="K2" s="69" t="s">
        <v>199</v>
      </c>
      <c r="L2" s="69" t="s">
        <v>201</v>
      </c>
      <c r="M2" s="51" t="s">
        <v>203</v>
      </c>
      <c r="N2" s="51" t="s">
        <v>205</v>
      </c>
      <c r="O2" s="51" t="s">
        <v>207</v>
      </c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</row>
    <row r="3" spans="1:30" x14ac:dyDescent="0.15">
      <c r="A3" s="141" t="s">
        <v>497</v>
      </c>
      <c r="B3" s="82" t="s">
        <v>208</v>
      </c>
      <c r="C3" s="143">
        <f t="shared" ref="C3:C10" si="0">$C$2</f>
        <v>41001</v>
      </c>
      <c r="D3" s="51" t="s">
        <v>40</v>
      </c>
      <c r="E3" s="50" t="str">
        <f>B3&amp;C3&amp;D3</f>
        <v>score_attack_expanded_stages_41001.tmp</v>
      </c>
      <c r="F3" s="51" t="s">
        <v>209</v>
      </c>
      <c r="G3" s="52" t="s">
        <v>0</v>
      </c>
      <c r="H3" s="52" t="s">
        <v>1</v>
      </c>
      <c r="I3" s="31" t="s">
        <v>81</v>
      </c>
      <c r="J3" s="52"/>
      <c r="K3" s="52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</row>
    <row r="4" spans="1:30" x14ac:dyDescent="0.15">
      <c r="A4" s="141" t="s">
        <v>497</v>
      </c>
      <c r="B4" s="82" t="s">
        <v>261</v>
      </c>
      <c r="C4" s="143">
        <f t="shared" si="0"/>
        <v>41001</v>
      </c>
      <c r="D4" s="51" t="s">
        <v>40</v>
      </c>
      <c r="E4" s="50" t="str">
        <f>B4&amp;C4&amp;D4</f>
        <v>score_attack_params_damage_given_41001.tmp</v>
      </c>
      <c r="F4" s="51" t="s">
        <v>210</v>
      </c>
      <c r="G4" s="52" t="s">
        <v>82</v>
      </c>
      <c r="H4" s="52" t="s">
        <v>83</v>
      </c>
      <c r="I4" s="52" t="s">
        <v>84</v>
      </c>
      <c r="J4" s="52" t="s">
        <v>85</v>
      </c>
      <c r="K4" s="52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</row>
    <row r="5" spans="1:30" x14ac:dyDescent="0.15">
      <c r="A5" s="141" t="s">
        <v>497</v>
      </c>
      <c r="B5" s="82" t="s">
        <v>256</v>
      </c>
      <c r="C5" s="143">
        <f t="shared" si="0"/>
        <v>41001</v>
      </c>
      <c r="D5" s="51" t="s">
        <v>40</v>
      </c>
      <c r="E5" s="50" t="str">
        <f t="shared" ref="E5" si="1">B5&amp;C5&amp;D5</f>
        <v>score_attack_params_heal_41001.tmp</v>
      </c>
      <c r="F5" s="51" t="s">
        <v>257</v>
      </c>
      <c r="G5" s="52" t="s">
        <v>82</v>
      </c>
      <c r="H5" s="52" t="s">
        <v>83</v>
      </c>
      <c r="I5" s="52" t="s">
        <v>84</v>
      </c>
      <c r="J5" s="52" t="s">
        <v>85</v>
      </c>
      <c r="K5" s="52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</row>
    <row r="6" spans="1:30" x14ac:dyDescent="0.15">
      <c r="A6" s="141" t="s">
        <v>497</v>
      </c>
      <c r="B6" s="82" t="s">
        <v>255</v>
      </c>
      <c r="C6" s="143">
        <f t="shared" si="0"/>
        <v>41001</v>
      </c>
      <c r="D6" s="51" t="s">
        <v>40</v>
      </c>
      <c r="E6" s="50" t="str">
        <f t="shared" ref="E6:E7" si="2">B6&amp;C6&amp;D6</f>
        <v>score_attack_stage_evaluations_tmp_41001.tmp</v>
      </c>
      <c r="F6" s="51" t="s">
        <v>211</v>
      </c>
      <c r="G6" s="52" t="s">
        <v>86</v>
      </c>
      <c r="H6" s="52" t="s">
        <v>87</v>
      </c>
      <c r="I6" s="52" t="s">
        <v>88</v>
      </c>
      <c r="J6" s="52" t="s">
        <v>89</v>
      </c>
      <c r="K6" s="52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</row>
    <row r="7" spans="1:30" x14ac:dyDescent="0.15">
      <c r="A7" s="141" t="s">
        <v>497</v>
      </c>
      <c r="B7" s="82" t="s">
        <v>212</v>
      </c>
      <c r="C7" s="143">
        <f t="shared" si="0"/>
        <v>41001</v>
      </c>
      <c r="D7" s="51" t="s">
        <v>40</v>
      </c>
      <c r="E7" s="50" t="str">
        <f t="shared" si="2"/>
        <v>score_attack_stage_evaluations_i18n_41001.tmp</v>
      </c>
      <c r="F7" s="51" t="s">
        <v>211</v>
      </c>
      <c r="G7" s="52" t="s">
        <v>86</v>
      </c>
      <c r="H7" s="81" t="s">
        <v>90</v>
      </c>
      <c r="I7" s="81" t="s">
        <v>91</v>
      </c>
      <c r="J7" s="81" t="s">
        <v>92</v>
      </c>
      <c r="K7" s="52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</row>
    <row r="8" spans="1:30" x14ac:dyDescent="0.15">
      <c r="A8" s="174" t="s">
        <v>262</v>
      </c>
      <c r="B8" s="83" t="s">
        <v>76</v>
      </c>
      <c r="C8" s="143">
        <f t="shared" si="0"/>
        <v>41001</v>
      </c>
      <c r="D8" s="77" t="s">
        <v>41</v>
      </c>
      <c r="E8" s="78" t="str">
        <f>B8&amp;C8&amp;D8</f>
        <v>gifts_tmp_41001.tmp</v>
      </c>
      <c r="F8" s="55" t="s">
        <v>75</v>
      </c>
      <c r="G8" s="79" t="s">
        <v>77</v>
      </c>
      <c r="H8" s="79" t="s">
        <v>67</v>
      </c>
      <c r="I8" s="79" t="s">
        <v>68</v>
      </c>
      <c r="J8" s="79" t="s">
        <v>68</v>
      </c>
      <c r="K8" s="79" t="s">
        <v>68</v>
      </c>
      <c r="L8" s="79" t="s">
        <v>69</v>
      </c>
      <c r="M8" s="79" t="s">
        <v>69</v>
      </c>
      <c r="N8" s="79" t="s">
        <v>69</v>
      </c>
      <c r="O8" s="84" t="s">
        <v>25</v>
      </c>
      <c r="P8" s="84" t="s">
        <v>27</v>
      </c>
      <c r="Q8" s="84" t="s">
        <v>24</v>
      </c>
      <c r="R8" s="84" t="s">
        <v>98</v>
      </c>
      <c r="S8" s="84" t="s">
        <v>26</v>
      </c>
      <c r="T8" s="84" t="s">
        <v>3</v>
      </c>
      <c r="U8" s="84" t="s">
        <v>23</v>
      </c>
    </row>
    <row r="9" spans="1:30" x14ac:dyDescent="0.15">
      <c r="A9" s="174" t="s">
        <v>262</v>
      </c>
      <c r="B9" s="83" t="s">
        <v>78</v>
      </c>
      <c r="C9" s="143">
        <f t="shared" si="0"/>
        <v>41001</v>
      </c>
      <c r="D9" s="77" t="s">
        <v>41</v>
      </c>
      <c r="E9" s="78" t="str">
        <f>B9&amp;C9&amp;D9</f>
        <v>gifts_i18n_41001.tmp</v>
      </c>
      <c r="F9" s="55" t="s">
        <v>75</v>
      </c>
      <c r="G9" s="79" t="s">
        <v>77</v>
      </c>
      <c r="H9" s="79" t="s">
        <v>70</v>
      </c>
      <c r="I9" s="79" t="s">
        <v>79</v>
      </c>
      <c r="J9" s="79" t="s">
        <v>80</v>
      </c>
      <c r="K9" s="79" t="s">
        <v>73</v>
      </c>
      <c r="L9" s="79"/>
      <c r="M9" s="79"/>
      <c r="N9" s="79"/>
      <c r="O9" s="77"/>
    </row>
    <row r="10" spans="1:30" x14ac:dyDescent="0.15">
      <c r="A10" s="141" t="s">
        <v>497</v>
      </c>
      <c r="B10" s="85" t="s">
        <v>259</v>
      </c>
      <c r="C10" s="143">
        <f t="shared" si="0"/>
        <v>41001</v>
      </c>
      <c r="D10" s="88" t="s">
        <v>117</v>
      </c>
      <c r="E10" s="78" t="str">
        <f>B10&amp;C10&amp;D10</f>
        <v>score_attack_stage_evaluation_gifts_41001.tmp</v>
      </c>
      <c r="F10" s="86" t="s">
        <v>214</v>
      </c>
      <c r="G10" s="52" t="s">
        <v>101</v>
      </c>
      <c r="H10" s="52" t="s">
        <v>102</v>
      </c>
      <c r="I10" s="81" t="s">
        <v>103</v>
      </c>
      <c r="J10" s="72" t="s">
        <v>104</v>
      </c>
    </row>
    <row r="11" spans="1:30" x14ac:dyDescent="0.15">
      <c r="A11" s="141" t="s">
        <v>497</v>
      </c>
      <c r="B11" s="85" t="s">
        <v>105</v>
      </c>
      <c r="C11" s="144" t="str">
        <f>REPLACE($C$2,3,0,"0")</f>
        <v>410001</v>
      </c>
      <c r="D11" s="51" t="s">
        <v>106</v>
      </c>
      <c r="E11" s="78" t="str">
        <f t="shared" ref="E11:E12" si="3">B11&amp;C11&amp;D11</f>
        <v>gifts_tmp_410001.tmp</v>
      </c>
      <c r="F11" s="86" t="s">
        <v>254</v>
      </c>
      <c r="G11" s="87" t="s">
        <v>107</v>
      </c>
      <c r="H11" s="87" t="s">
        <v>108</v>
      </c>
      <c r="I11" s="87" t="s">
        <v>109</v>
      </c>
      <c r="J11" s="87" t="s">
        <v>109</v>
      </c>
      <c r="K11" s="87" t="s">
        <v>109</v>
      </c>
      <c r="L11" s="87" t="s">
        <v>110</v>
      </c>
      <c r="M11" s="87" t="s">
        <v>110</v>
      </c>
      <c r="N11" s="87" t="s">
        <v>110</v>
      </c>
      <c r="O11" s="84" t="s">
        <v>25</v>
      </c>
      <c r="P11" s="84" t="s">
        <v>27</v>
      </c>
      <c r="Q11" s="84" t="s">
        <v>24</v>
      </c>
      <c r="R11" s="84" t="s">
        <v>98</v>
      </c>
      <c r="S11" s="84" t="s">
        <v>26</v>
      </c>
      <c r="T11" s="84" t="s">
        <v>3</v>
      </c>
      <c r="U11" s="84" t="s">
        <v>23</v>
      </c>
    </row>
    <row r="12" spans="1:30" x14ac:dyDescent="0.15">
      <c r="A12" s="141" t="s">
        <v>497</v>
      </c>
      <c r="B12" s="85" t="s">
        <v>111</v>
      </c>
      <c r="C12" s="144" t="str">
        <f>REPLACE($C$2,3,0,"0")</f>
        <v>410001</v>
      </c>
      <c r="D12" s="51" t="s">
        <v>112</v>
      </c>
      <c r="E12" s="78" t="str">
        <f t="shared" si="3"/>
        <v>gifts_i18n_410001.tmp</v>
      </c>
      <c r="F12" s="86" t="s">
        <v>213</v>
      </c>
      <c r="G12" s="87" t="s">
        <v>107</v>
      </c>
      <c r="H12" s="87" t="s">
        <v>113</v>
      </c>
      <c r="I12" s="87" t="s">
        <v>114</v>
      </c>
      <c r="J12" s="87" t="s">
        <v>115</v>
      </c>
      <c r="K12" s="87" t="s">
        <v>116</v>
      </c>
      <c r="L12" s="87"/>
      <c r="M12" s="87"/>
      <c r="N12" s="87"/>
      <c r="O12" s="77"/>
    </row>
    <row r="13" spans="1:30" x14ac:dyDescent="0.15">
      <c r="A13" s="141" t="s">
        <v>497</v>
      </c>
      <c r="B13" s="85" t="s">
        <v>225</v>
      </c>
      <c r="C13" s="143">
        <f>$C$2</f>
        <v>41001</v>
      </c>
      <c r="D13" s="51" t="s">
        <v>40</v>
      </c>
      <c r="E13" s="78" t="str">
        <f>B13&amp;C13&amp;D13</f>
        <v>score_attack_unit_bonus_conditions_41001.tmp</v>
      </c>
      <c r="F13" s="86" t="s">
        <v>224</v>
      </c>
      <c r="G13" s="87" t="s">
        <v>215</v>
      </c>
      <c r="H13" s="87" t="s">
        <v>0</v>
      </c>
      <c r="I13" s="87" t="s">
        <v>1</v>
      </c>
      <c r="J13" s="87" t="s">
        <v>216</v>
      </c>
      <c r="K13" s="87" t="s">
        <v>217</v>
      </c>
      <c r="L13" s="87" t="s">
        <v>218</v>
      </c>
      <c r="M13" s="87" t="s">
        <v>219</v>
      </c>
      <c r="N13" s="87" t="s">
        <v>220</v>
      </c>
      <c r="O13" s="77" t="s">
        <v>221</v>
      </c>
    </row>
    <row r="14" spans="1:30" x14ac:dyDescent="0.15">
      <c r="A14" s="145" t="s">
        <v>497</v>
      </c>
      <c r="B14" s="169" t="s">
        <v>263</v>
      </c>
      <c r="C14" s="168" t="str">
        <f>C$2&amp;"_Score"</f>
        <v>41001_Score</v>
      </c>
      <c r="D14" s="51" t="s">
        <v>264</v>
      </c>
      <c r="E14" s="50" t="str">
        <f>B14&amp;C14&amp;D14</f>
        <v>floors_41001_Score.tmp</v>
      </c>
      <c r="F14" s="51" t="s">
        <v>265</v>
      </c>
      <c r="G14" s="52" t="s">
        <v>0</v>
      </c>
      <c r="H14" s="52" t="s">
        <v>1</v>
      </c>
      <c r="I14" s="52" t="s">
        <v>12</v>
      </c>
      <c r="J14" s="52" t="s">
        <v>13</v>
      </c>
      <c r="K14" s="52" t="s">
        <v>14</v>
      </c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</row>
    <row r="15" spans="1:30" x14ac:dyDescent="0.15">
      <c r="A15" s="145" t="s">
        <v>497</v>
      </c>
      <c r="B15" s="169" t="s">
        <v>266</v>
      </c>
      <c r="C15" s="168" t="str">
        <f t="shared" ref="C15:C16" si="4">C$2&amp;"_Score"</f>
        <v>41001_Score</v>
      </c>
      <c r="D15" s="51" t="s">
        <v>267</v>
      </c>
      <c r="E15" s="50" t="str">
        <f>B15&amp;C15&amp;D15</f>
        <v>enemy_habitats_41001_Score.tmp</v>
      </c>
      <c r="F15" s="51" t="s">
        <v>268</v>
      </c>
      <c r="G15" s="52" t="s">
        <v>0</v>
      </c>
      <c r="H15" s="52" t="s">
        <v>1</v>
      </c>
      <c r="I15" s="52" t="s">
        <v>12</v>
      </c>
      <c r="J15" s="52" t="s">
        <v>2</v>
      </c>
      <c r="K15" s="52" t="s">
        <v>3</v>
      </c>
      <c r="L15" s="52" t="s">
        <v>269</v>
      </c>
      <c r="M15" s="52" t="s">
        <v>270</v>
      </c>
      <c r="N15" s="52" t="s">
        <v>271</v>
      </c>
      <c r="O15" s="52" t="s">
        <v>272</v>
      </c>
      <c r="P15" s="52" t="s">
        <v>4</v>
      </c>
      <c r="Q15" s="52" t="s">
        <v>5</v>
      </c>
      <c r="R15" s="52" t="s">
        <v>6</v>
      </c>
      <c r="S15" s="52" t="s">
        <v>7</v>
      </c>
      <c r="T15" s="52" t="s">
        <v>8</v>
      </c>
      <c r="U15" s="52" t="s">
        <v>9</v>
      </c>
      <c r="V15" s="52" t="s">
        <v>10</v>
      </c>
      <c r="W15" s="52" t="s">
        <v>11</v>
      </c>
      <c r="X15" s="52" t="s">
        <v>23</v>
      </c>
      <c r="Y15" s="52" t="s">
        <v>24</v>
      </c>
      <c r="Z15" s="52" t="s">
        <v>25</v>
      </c>
      <c r="AA15" s="52" t="s">
        <v>26</v>
      </c>
      <c r="AB15" s="52" t="s">
        <v>27</v>
      </c>
      <c r="AC15" s="52" t="s">
        <v>273</v>
      </c>
      <c r="AD15" s="52" t="s">
        <v>274</v>
      </c>
    </row>
    <row r="16" spans="1:30" x14ac:dyDescent="0.15">
      <c r="A16" s="145" t="s">
        <v>497</v>
      </c>
      <c r="B16" s="169" t="s">
        <v>275</v>
      </c>
      <c r="C16" s="168" t="str">
        <f t="shared" si="4"/>
        <v>41001_Score</v>
      </c>
      <c r="D16" s="51" t="s">
        <v>264</v>
      </c>
      <c r="E16" s="50" t="str">
        <f>B16&amp;C16&amp;D16</f>
        <v>enemy_habitat_S_41001_Score.tmp</v>
      </c>
      <c r="F16" s="51" t="s">
        <v>276</v>
      </c>
      <c r="G16" s="52" t="s">
        <v>0</v>
      </c>
      <c r="H16" s="52" t="s">
        <v>1</v>
      </c>
      <c r="I16" s="52" t="s">
        <v>12</v>
      </c>
      <c r="J16" s="52" t="s">
        <v>277</v>
      </c>
      <c r="K16" s="52" t="s">
        <v>278</v>
      </c>
      <c r="L16" s="52" t="s">
        <v>279</v>
      </c>
      <c r="M16" s="52" t="s">
        <v>280</v>
      </c>
      <c r="N16" s="52" t="s">
        <v>281</v>
      </c>
      <c r="O16" s="52" t="s">
        <v>282</v>
      </c>
      <c r="P16" s="52" t="s">
        <v>283</v>
      </c>
      <c r="Q16" s="52" t="s">
        <v>284</v>
      </c>
      <c r="R16" s="52" t="s">
        <v>285</v>
      </c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</row>
    <row r="17" spans="1:30" x14ac:dyDescent="0.15">
      <c r="A17" s="180" t="s">
        <v>262</v>
      </c>
      <c r="B17" s="169" t="s">
        <v>286</v>
      </c>
      <c r="C17" s="168">
        <f t="shared" ref="C17:C25" si="5">C$2</f>
        <v>41001</v>
      </c>
      <c r="D17" s="51" t="s">
        <v>287</v>
      </c>
      <c r="E17" s="50" t="str">
        <f>B17&amp;C17&amp;D17</f>
        <v>enemy_skill_sets_41001.tmp</v>
      </c>
      <c r="F17" s="51" t="s">
        <v>288</v>
      </c>
      <c r="G17" s="147" t="s">
        <v>272</v>
      </c>
      <c r="H17" s="147" t="s">
        <v>289</v>
      </c>
      <c r="I17" s="147" t="s">
        <v>290</v>
      </c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</row>
    <row r="18" spans="1:30" x14ac:dyDescent="0.15">
      <c r="A18" s="180" t="s">
        <v>262</v>
      </c>
      <c r="B18" s="169" t="s">
        <v>291</v>
      </c>
      <c r="C18" s="168">
        <f t="shared" si="5"/>
        <v>41001</v>
      </c>
      <c r="D18" s="51" t="s">
        <v>292</v>
      </c>
      <c r="E18" s="50" t="str">
        <f t="shared" ref="E18:E25" si="6">B18&amp;C18&amp;D18</f>
        <v>enemy_skills_tmp_41001.tmp</v>
      </c>
      <c r="F18" s="51" t="s">
        <v>293</v>
      </c>
      <c r="G18" s="52" t="s">
        <v>31</v>
      </c>
      <c r="H18" s="52" t="s">
        <v>294</v>
      </c>
      <c r="I18" s="52" t="s">
        <v>32</v>
      </c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</row>
    <row r="19" spans="1:30" x14ac:dyDescent="0.15">
      <c r="A19" s="180" t="s">
        <v>262</v>
      </c>
      <c r="B19" s="169" t="s">
        <v>295</v>
      </c>
      <c r="C19" s="168">
        <f t="shared" si="5"/>
        <v>41001</v>
      </c>
      <c r="D19" s="51" t="s">
        <v>296</v>
      </c>
      <c r="E19" s="50" t="str">
        <f>B19&amp;C19&amp;D19</f>
        <v>enemy_skills_i18n_41001.tmp</v>
      </c>
      <c r="F19" s="51" t="s">
        <v>297</v>
      </c>
      <c r="G19" s="52" t="s">
        <v>31</v>
      </c>
      <c r="H19" s="52" t="s">
        <v>298</v>
      </c>
      <c r="I19" s="52" t="s">
        <v>299</v>
      </c>
      <c r="J19" s="52" t="s">
        <v>300</v>
      </c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</row>
    <row r="20" spans="1:30" x14ac:dyDescent="0.15">
      <c r="A20" s="180" t="s">
        <v>262</v>
      </c>
      <c r="B20" s="169" t="s">
        <v>301</v>
      </c>
      <c r="C20" s="168">
        <f t="shared" si="5"/>
        <v>41001</v>
      </c>
      <c r="D20" s="51" t="s">
        <v>296</v>
      </c>
      <c r="E20" s="50" t="str">
        <f t="shared" si="6"/>
        <v>enemy_skill_triggers_41001.tmp</v>
      </c>
      <c r="F20" s="51" t="s">
        <v>302</v>
      </c>
      <c r="G20" s="52" t="s">
        <v>290</v>
      </c>
      <c r="H20" s="52" t="s">
        <v>303</v>
      </c>
      <c r="I20" s="52" t="s">
        <v>304</v>
      </c>
      <c r="J20" s="52" t="s">
        <v>305</v>
      </c>
      <c r="K20" s="52" t="s">
        <v>306</v>
      </c>
      <c r="L20" s="52" t="s">
        <v>307</v>
      </c>
      <c r="M20" s="52" t="s">
        <v>308</v>
      </c>
      <c r="N20" s="52" t="s">
        <v>309</v>
      </c>
      <c r="O20" s="52" t="s">
        <v>310</v>
      </c>
      <c r="P20" s="52" t="s">
        <v>311</v>
      </c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</row>
    <row r="21" spans="1:30" x14ac:dyDescent="0.15">
      <c r="A21" s="180" t="s">
        <v>262</v>
      </c>
      <c r="B21" s="170" t="s">
        <v>312</v>
      </c>
      <c r="C21" s="168">
        <f t="shared" si="5"/>
        <v>41001</v>
      </c>
      <c r="D21" s="55" t="s">
        <v>313</v>
      </c>
      <c r="E21" s="148" t="str">
        <f t="shared" si="6"/>
        <v>stage_bug_bonuses_41001.tmp</v>
      </c>
      <c r="F21" s="55" t="s">
        <v>314</v>
      </c>
      <c r="G21" s="149" t="s">
        <v>315</v>
      </c>
      <c r="H21" s="149" t="s">
        <v>316</v>
      </c>
      <c r="I21" s="149" t="s">
        <v>317</v>
      </c>
      <c r="J21" s="150" t="s">
        <v>318</v>
      </c>
      <c r="K21" s="149" t="s">
        <v>319</v>
      </c>
      <c r="L21" s="149" t="s">
        <v>320</v>
      </c>
      <c r="M21" s="149" t="s">
        <v>321</v>
      </c>
      <c r="N21" s="149" t="s">
        <v>280</v>
      </c>
      <c r="O21" s="149" t="s">
        <v>322</v>
      </c>
      <c r="P21" s="149" t="s">
        <v>323</v>
      </c>
      <c r="Q21" s="149" t="s">
        <v>324</v>
      </c>
      <c r="R21" s="149" t="s">
        <v>325</v>
      </c>
      <c r="S21" s="149" t="s">
        <v>326</v>
      </c>
      <c r="T21" s="149" t="s">
        <v>327</v>
      </c>
      <c r="U21" s="149" t="s">
        <v>328</v>
      </c>
      <c r="V21" s="149" t="s">
        <v>329</v>
      </c>
      <c r="W21" s="149" t="s">
        <v>330</v>
      </c>
      <c r="X21" s="51"/>
      <c r="Y21" s="51"/>
      <c r="Z21" s="51"/>
      <c r="AA21" s="51"/>
      <c r="AB21" s="51"/>
      <c r="AC21" s="51"/>
      <c r="AD21" s="51"/>
    </row>
    <row r="22" spans="1:30" x14ac:dyDescent="0.15">
      <c r="A22" s="180" t="s">
        <v>262</v>
      </c>
      <c r="B22" s="170" t="s">
        <v>331</v>
      </c>
      <c r="C22" s="168">
        <f>C$2</f>
        <v>41001</v>
      </c>
      <c r="D22" s="55" t="s">
        <v>313</v>
      </c>
      <c r="E22" s="148" t="str">
        <f t="shared" si="6"/>
        <v>stage_hints_data_c_41001.tmp</v>
      </c>
      <c r="F22" s="55" t="s">
        <v>332</v>
      </c>
      <c r="G22" s="57" t="s">
        <v>315</v>
      </c>
      <c r="H22" s="57" t="s">
        <v>316</v>
      </c>
      <c r="I22" s="151" t="s">
        <v>333</v>
      </c>
      <c r="J22" s="150" t="s">
        <v>334</v>
      </c>
      <c r="K22" s="150" t="s">
        <v>335</v>
      </c>
      <c r="L22" s="152"/>
      <c r="M22" s="152"/>
      <c r="N22" s="152"/>
      <c r="O22" s="152"/>
      <c r="P22" s="152"/>
      <c r="Q22" s="152"/>
      <c r="R22" s="152"/>
      <c r="S22" s="152"/>
      <c r="T22" s="152"/>
      <c r="U22" s="152"/>
      <c r="V22" s="152"/>
      <c r="W22" s="152"/>
      <c r="X22" s="152"/>
      <c r="Y22" s="152"/>
      <c r="Z22" s="152"/>
      <c r="AA22" s="152"/>
      <c r="AB22" s="152"/>
      <c r="AC22" s="152"/>
      <c r="AD22" s="152"/>
    </row>
    <row r="23" spans="1:30" x14ac:dyDescent="0.15">
      <c r="A23" s="180" t="s">
        <v>262</v>
      </c>
      <c r="B23" s="170" t="s">
        <v>336</v>
      </c>
      <c r="C23" s="168">
        <f t="shared" si="5"/>
        <v>41001</v>
      </c>
      <c r="D23" s="55" t="s">
        <v>313</v>
      </c>
      <c r="E23" s="148" t="str">
        <f t="shared" si="6"/>
        <v>stage_hints_data_f_41001.tmp</v>
      </c>
      <c r="F23" s="55" t="s">
        <v>337</v>
      </c>
      <c r="G23" s="57" t="s">
        <v>315</v>
      </c>
      <c r="H23" s="57" t="s">
        <v>316</v>
      </c>
      <c r="I23" s="151" t="s">
        <v>333</v>
      </c>
      <c r="J23" s="150" t="s">
        <v>334</v>
      </c>
      <c r="K23" s="150" t="s">
        <v>335</v>
      </c>
      <c r="L23" s="152"/>
      <c r="M23" s="152"/>
      <c r="N23" s="152"/>
      <c r="O23" s="152"/>
      <c r="P23" s="152"/>
      <c r="Q23" s="152"/>
      <c r="R23" s="152"/>
      <c r="S23" s="152"/>
      <c r="T23" s="152"/>
      <c r="U23" s="152"/>
      <c r="V23" s="152"/>
      <c r="W23" s="152"/>
      <c r="X23" s="152"/>
      <c r="Y23" s="152"/>
      <c r="Z23" s="152"/>
      <c r="AA23" s="152"/>
      <c r="AB23" s="152"/>
      <c r="AC23" s="152"/>
      <c r="AD23" s="152"/>
    </row>
    <row r="24" spans="1:30" x14ac:dyDescent="0.15">
      <c r="A24" s="180" t="s">
        <v>262</v>
      </c>
      <c r="B24" s="170" t="s">
        <v>338</v>
      </c>
      <c r="C24" s="168">
        <f t="shared" si="5"/>
        <v>41001</v>
      </c>
      <c r="D24" s="55" t="s">
        <v>313</v>
      </c>
      <c r="E24" s="148" t="str">
        <f t="shared" si="6"/>
        <v>stage_hints_i18n_41001.tmp</v>
      </c>
      <c r="F24" s="55" t="s">
        <v>337</v>
      </c>
      <c r="G24" s="151" t="s">
        <v>333</v>
      </c>
      <c r="H24" s="153" t="s">
        <v>339</v>
      </c>
      <c r="I24" s="57" t="s">
        <v>340</v>
      </c>
      <c r="J24" s="154" t="s">
        <v>341</v>
      </c>
      <c r="K24" s="150" t="s">
        <v>342</v>
      </c>
      <c r="L24" s="152"/>
      <c r="M24" s="152"/>
      <c r="N24" s="152"/>
      <c r="O24" s="152"/>
      <c r="P24" s="152"/>
      <c r="Q24" s="152"/>
      <c r="R24" s="152"/>
      <c r="S24" s="152"/>
      <c r="T24" s="152"/>
      <c r="U24" s="152"/>
      <c r="V24" s="152"/>
      <c r="W24" s="152"/>
      <c r="X24" s="152"/>
      <c r="Y24" s="152"/>
      <c r="Z24" s="152"/>
      <c r="AA24" s="152"/>
      <c r="AB24" s="152"/>
      <c r="AC24" s="152"/>
      <c r="AD24" s="152"/>
    </row>
    <row r="25" spans="1:30" x14ac:dyDescent="0.15">
      <c r="A25" s="180" t="s">
        <v>262</v>
      </c>
      <c r="B25" s="170" t="s">
        <v>343</v>
      </c>
      <c r="C25" s="168">
        <f t="shared" si="5"/>
        <v>41001</v>
      </c>
      <c r="D25" s="55" t="s">
        <v>296</v>
      </c>
      <c r="E25" s="148" t="str">
        <f t="shared" si="6"/>
        <v>stage_bonuses_41001.tmp</v>
      </c>
      <c r="F25" s="55" t="s">
        <v>344</v>
      </c>
      <c r="G25" s="57" t="s">
        <v>345</v>
      </c>
      <c r="H25" s="57" t="s">
        <v>346</v>
      </c>
      <c r="I25" s="57" t="s">
        <v>347</v>
      </c>
      <c r="J25" s="57" t="s">
        <v>348</v>
      </c>
      <c r="K25" s="57" t="s">
        <v>349</v>
      </c>
      <c r="L25" s="57" t="s">
        <v>350</v>
      </c>
      <c r="M25" s="57" t="s">
        <v>351</v>
      </c>
      <c r="N25" s="57" t="s">
        <v>352</v>
      </c>
      <c r="O25" s="57" t="s">
        <v>353</v>
      </c>
      <c r="P25" s="57" t="s">
        <v>354</v>
      </c>
      <c r="Q25" s="57" t="s">
        <v>355</v>
      </c>
      <c r="R25" s="57" t="s">
        <v>356</v>
      </c>
      <c r="S25" s="57" t="s">
        <v>357</v>
      </c>
      <c r="T25" s="57" t="s">
        <v>358</v>
      </c>
      <c r="U25" s="57" t="s">
        <v>359</v>
      </c>
      <c r="V25" s="57" t="s">
        <v>360</v>
      </c>
      <c r="W25" s="57" t="s">
        <v>361</v>
      </c>
      <c r="X25" s="57" t="s">
        <v>362</v>
      </c>
      <c r="Y25" s="152"/>
      <c r="Z25" s="152"/>
      <c r="AA25" s="152"/>
      <c r="AB25" s="152"/>
      <c r="AC25" s="152"/>
      <c r="AD25" s="152"/>
    </row>
  </sheetData>
  <phoneticPr fontId="11"/>
  <dataValidations count="1">
    <dataValidation type="list" allowBlank="1" showInputMessage="1" showErrorMessage="1" sqref="A2:A25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Q7"/>
  <sheetViews>
    <sheetView showGridLines="0" topLeftCell="F1" workbookViewId="0">
      <pane ySplit="1" topLeftCell="A2" activePane="bottomLeft" state="frozen"/>
      <selection activeCell="V2" sqref="V2:X34"/>
      <selection pane="bottomLeft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7.6640625" style="17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7" customWidth="1" outlineLevel="1"/>
    <col min="8" max="8" width="27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5" width="13" style="3"/>
    <col min="16" max="16" width="18" style="3" customWidth="1"/>
    <col min="17" max="16384" width="13" style="3"/>
  </cols>
  <sheetData>
    <row r="1" spans="1:17" ht="21" customHeight="1" x14ac:dyDescent="0.15">
      <c r="A1" s="176" t="s">
        <v>18</v>
      </c>
      <c r="B1" s="176" t="s">
        <v>22</v>
      </c>
      <c r="C1" s="155" t="s">
        <v>0</v>
      </c>
      <c r="D1" s="13" t="s">
        <v>16</v>
      </c>
      <c r="E1" s="13" t="s">
        <v>20</v>
      </c>
      <c r="F1" s="155" t="s">
        <v>1</v>
      </c>
      <c r="G1" s="20" t="s">
        <v>19</v>
      </c>
      <c r="H1" s="13" t="s">
        <v>21</v>
      </c>
      <c r="I1" s="155" t="s">
        <v>12</v>
      </c>
      <c r="J1" s="177" t="s">
        <v>13</v>
      </c>
      <c r="K1" s="177" t="s">
        <v>14</v>
      </c>
      <c r="L1" s="69" t="s">
        <v>198</v>
      </c>
      <c r="M1" s="69" t="s">
        <v>199</v>
      </c>
      <c r="N1" s="69" t="s">
        <v>200</v>
      </c>
      <c r="O1" s="69" t="s">
        <v>202</v>
      </c>
      <c r="P1" s="69" t="s">
        <v>204</v>
      </c>
      <c r="Q1" s="69" t="s">
        <v>206</v>
      </c>
    </row>
    <row r="2" spans="1:17" ht="21" customHeight="1" x14ac:dyDescent="0.15">
      <c r="A2" s="176" t="str">
        <f>G2&amp;"-"&amp;I2</f>
        <v>41001_4-1</v>
      </c>
      <c r="B2" s="176" t="str">
        <f>IF(COUNTIF(enemy_habitats!$H:$H,A2),"OK","NG")</f>
        <v>OK</v>
      </c>
      <c r="C2" s="133">
        <f>output!C2</f>
        <v>41001</v>
      </c>
      <c r="D2" s="16" t="str">
        <f ca="1">VLOOKUP($C2,OFFSET([2]quests!$A$1,0,0,COUNTA([2]quests!$A:$A),MATCH(D$1,[2]quests!$1:$1,0)-MATCH($C$1,[2]quests!$1:$1,0)+1),MATCH(D$1,[2]quests!$1:$1,0)-MATCH($C$1,[2]quests!$1:$1,0)+1,FALSE)</f>
        <v>アマテラス襲来！</v>
      </c>
      <c r="E2" s="16" t="str">
        <f ca="1">VLOOKUP($C2,OFFSET([2]quests!$A$1,0,0,COUNTA([2]quests!$A:$A),MATCH(E$1,[2]quests!$1:$1,0)-MATCH($C$1,[2]quests!$1:$1,0)+1),MATCH(E$1,[2]quests!$1:$1,0)-MATCH($C$1,[2]quests!$1:$1,0)+1,FALSE)</f>
        <v>降臨1</v>
      </c>
      <c r="F2" s="96">
        <v>4</v>
      </c>
      <c r="G2" s="20" t="str">
        <f>C2&amp;"_"&amp;F2</f>
        <v>41001_4</v>
      </c>
      <c r="H2" s="13" t="str">
        <f ca="1">VLOOKUP($G2,OFFSET([2]stages!$A$1,0,0,COUNTA([2]stages!$A:$A),MATCH(H$1,[2]stages!$2:$2,0)-MATCH($G$1,[2]stages!$2:$2,0)+1),MATCH(H$1,[2]stages!$2:$2,0)-MATCH($G$1,[2]stages!$2:$2,0)+1,FALSE)</f>
        <v>【スコアアタック】アマテラス襲来</v>
      </c>
      <c r="I2" s="96">
        <v>1</v>
      </c>
      <c r="J2" s="178">
        <v>60</v>
      </c>
      <c r="K2" s="178">
        <v>60</v>
      </c>
      <c r="L2" s="116">
        <v>4100111</v>
      </c>
      <c r="M2" s="116">
        <v>4100121</v>
      </c>
      <c r="N2" s="56">
        <v>8</v>
      </c>
      <c r="O2" s="56">
        <v>-10000</v>
      </c>
      <c r="P2" s="56">
        <v>20000000</v>
      </c>
      <c r="Q2" s="56">
        <v>1000000</v>
      </c>
    </row>
    <row r="3" spans="1:17" ht="21" customHeight="1" x14ac:dyDescent="0.15">
      <c r="A3" s="176" t="str">
        <f t="shared" ref="A3:A4" si="0">G3&amp;"-"&amp;I3</f>
        <v>41001_4-2</v>
      </c>
      <c r="B3" s="176" t="str">
        <f>IF(COUNTIF(enemy_habitats!$H:$H,A3),"OK","NG")</f>
        <v>OK</v>
      </c>
      <c r="C3" s="133">
        <f>$C$2</f>
        <v>41001</v>
      </c>
      <c r="D3" s="16" t="str">
        <f ca="1">VLOOKUP($C3,OFFSET([2]quests!$A$1,0,0,COUNTA([2]quests!$A:$A),MATCH(D$1,[2]quests!$1:$1,0)-MATCH($C$1,[2]quests!$1:$1,0)+1),MATCH(D$1,[2]quests!$1:$1,0)-MATCH($C$1,[2]quests!$1:$1,0)+1,FALSE)</f>
        <v>アマテラス襲来！</v>
      </c>
      <c r="E3" s="16" t="str">
        <f ca="1">VLOOKUP($C3,OFFSET([2]quests!$A$1,0,0,COUNTA([2]quests!$A:$A),MATCH(E$1,[2]quests!$1:$1,0)-MATCH($C$1,[2]quests!$1:$1,0)+1),MATCH(E$1,[2]quests!$1:$1,0)-MATCH($C$1,[2]quests!$1:$1,0)+1,FALSE)</f>
        <v>降臨1</v>
      </c>
      <c r="F3" s="96">
        <v>4</v>
      </c>
      <c r="G3" s="20" t="str">
        <f t="shared" ref="G3:G4" si="1">C3&amp;"_"&amp;F3</f>
        <v>41001_4</v>
      </c>
      <c r="H3" s="13" t="str">
        <f ca="1">VLOOKUP($G3,OFFSET([2]stages!$A$1,0,0,COUNTA([2]stages!$A:$A),MATCH(H$1,[2]stages!$2:$2,0)-MATCH($G$1,[2]stages!$2:$2,0)+1),MATCH(H$1,[2]stages!$2:$2,0)-MATCH($G$1,[2]stages!$2:$2,0)+1,FALSE)</f>
        <v>【スコアアタック】アマテラス襲来</v>
      </c>
      <c r="I3" s="96">
        <v>2</v>
      </c>
      <c r="J3" s="178">
        <v>60</v>
      </c>
      <c r="K3" s="178">
        <v>60</v>
      </c>
      <c r="L3" s="116">
        <v>4100112</v>
      </c>
      <c r="M3" s="116">
        <v>4100122</v>
      </c>
      <c r="N3" s="56">
        <v>2</v>
      </c>
      <c r="O3" s="56">
        <v>-10000</v>
      </c>
      <c r="P3" s="56">
        <v>20000000</v>
      </c>
      <c r="Q3" s="56">
        <v>1000000</v>
      </c>
    </row>
    <row r="4" spans="1:17" ht="21" customHeight="1" x14ac:dyDescent="0.15">
      <c r="A4" s="176" t="str">
        <f t="shared" si="0"/>
        <v>41001_4-3</v>
      </c>
      <c r="B4" s="176" t="str">
        <f>IF(COUNTIF(enemy_habitats!$H:$H,A4),"OK","NG")</f>
        <v>OK</v>
      </c>
      <c r="C4" s="133">
        <f t="shared" ref="C4:C6" si="2">$C$2</f>
        <v>41001</v>
      </c>
      <c r="D4" s="16" t="str">
        <f ca="1">VLOOKUP($C4,OFFSET([2]quests!$A$1,0,0,COUNTA([2]quests!$A:$A),MATCH(D$1,[2]quests!$1:$1,0)-MATCH($C$1,[2]quests!$1:$1,0)+1),MATCH(D$1,[2]quests!$1:$1,0)-MATCH($C$1,[2]quests!$1:$1,0)+1,FALSE)</f>
        <v>アマテラス襲来！</v>
      </c>
      <c r="E4" s="16" t="str">
        <f ca="1">VLOOKUP($C4,OFFSET([2]quests!$A$1,0,0,COUNTA([2]quests!$A:$A),MATCH(E$1,[2]quests!$1:$1,0)-MATCH($C$1,[2]quests!$1:$1,0)+1),MATCH(E$1,[2]quests!$1:$1,0)-MATCH($C$1,[2]quests!$1:$1,0)+1,FALSE)</f>
        <v>降臨1</v>
      </c>
      <c r="F4" s="96">
        <v>4</v>
      </c>
      <c r="G4" s="20" t="str">
        <f t="shared" si="1"/>
        <v>41001_4</v>
      </c>
      <c r="H4" s="13" t="str">
        <f ca="1">VLOOKUP($G4,OFFSET([2]stages!$A$1,0,0,COUNTA([2]stages!$A:$A),MATCH(H$1,[2]stages!$2:$2,0)-MATCH($G$1,[2]stages!$2:$2,0)+1),MATCH(H$1,[2]stages!$2:$2,0)-MATCH($G$1,[2]stages!$2:$2,0)+1,FALSE)</f>
        <v>【スコアアタック】アマテラス襲来</v>
      </c>
      <c r="I4" s="96">
        <v>3</v>
      </c>
      <c r="J4" s="178">
        <v>60</v>
      </c>
      <c r="K4" s="178">
        <v>60</v>
      </c>
      <c r="L4" s="116">
        <v>4100113</v>
      </c>
      <c r="M4" s="116">
        <v>4100123</v>
      </c>
      <c r="N4" s="56">
        <v>2</v>
      </c>
      <c r="O4" s="56">
        <v>-20000</v>
      </c>
      <c r="P4" s="56">
        <v>20000000</v>
      </c>
      <c r="Q4" s="56">
        <v>1000000</v>
      </c>
    </row>
    <row r="5" spans="1:17" ht="21" customHeight="1" x14ac:dyDescent="0.15">
      <c r="A5" s="176" t="str">
        <f t="shared" ref="A5:A6" si="3">G5&amp;"-"&amp;I5</f>
        <v>41001_4-4</v>
      </c>
      <c r="B5" s="176" t="str">
        <f>IF(COUNTIF(enemy_habitats!$H:$H,A5),"OK","NG")</f>
        <v>OK</v>
      </c>
      <c r="C5" s="133">
        <f t="shared" si="2"/>
        <v>41001</v>
      </c>
      <c r="D5" s="16" t="str">
        <f ca="1">VLOOKUP($C5,OFFSET([2]quests!$A$1,0,0,COUNTA([2]quests!$A:$A),MATCH(D$1,[2]quests!$1:$1,0)-MATCH($C$1,[2]quests!$1:$1,0)+1),MATCH(D$1,[2]quests!$1:$1,0)-MATCH($C$1,[2]quests!$1:$1,0)+1,FALSE)</f>
        <v>アマテラス襲来！</v>
      </c>
      <c r="E5" s="16" t="str">
        <f ca="1">VLOOKUP($C5,OFFSET([2]quests!$A$1,0,0,COUNTA([2]quests!$A:$A),MATCH(E$1,[2]quests!$1:$1,0)-MATCH($C$1,[2]quests!$1:$1,0)+1),MATCH(E$1,[2]quests!$1:$1,0)-MATCH($C$1,[2]quests!$1:$1,0)+1,FALSE)</f>
        <v>降臨1</v>
      </c>
      <c r="F5" s="96">
        <v>4</v>
      </c>
      <c r="G5" s="20" t="str">
        <f t="shared" ref="G5:G6" si="4">C5&amp;"_"&amp;F5</f>
        <v>41001_4</v>
      </c>
      <c r="H5" s="13" t="str">
        <f ca="1">VLOOKUP($G5,OFFSET([2]stages!$A$1,0,0,COUNTA([2]stages!$A:$A),MATCH(H$1,[2]stages!$2:$2,0)-MATCH($G$1,[2]stages!$2:$2,0)+1),MATCH(H$1,[2]stages!$2:$2,0)-MATCH($G$1,[2]stages!$2:$2,0)+1,FALSE)</f>
        <v>【スコアアタック】アマテラス襲来</v>
      </c>
      <c r="I5" s="96">
        <v>4</v>
      </c>
      <c r="J5" s="178">
        <v>60</v>
      </c>
      <c r="K5" s="178">
        <v>60</v>
      </c>
      <c r="L5" s="116">
        <v>4100114</v>
      </c>
      <c r="M5" s="116">
        <v>4100124</v>
      </c>
      <c r="N5" s="56">
        <v>2</v>
      </c>
      <c r="O5" s="56">
        <v>-20000</v>
      </c>
      <c r="P5" s="56">
        <v>20000000</v>
      </c>
      <c r="Q5" s="56">
        <v>1000000</v>
      </c>
    </row>
    <row r="6" spans="1:17" ht="21" customHeight="1" x14ac:dyDescent="0.15">
      <c r="A6" s="176" t="str">
        <f t="shared" si="3"/>
        <v>41001_4-5</v>
      </c>
      <c r="B6" s="176" t="str">
        <f>IF(COUNTIF(enemy_habitats!$H:$H,A6),"OK","NG")</f>
        <v>OK</v>
      </c>
      <c r="C6" s="133">
        <f t="shared" si="2"/>
        <v>41001</v>
      </c>
      <c r="D6" s="16" t="str">
        <f ca="1">VLOOKUP($C6,OFFSET([2]quests!$A$1,0,0,COUNTA([2]quests!$A:$A),MATCH(D$1,[2]quests!$1:$1,0)-MATCH($C$1,[2]quests!$1:$1,0)+1),MATCH(D$1,[2]quests!$1:$1,0)-MATCH($C$1,[2]quests!$1:$1,0)+1,FALSE)</f>
        <v>アマテラス襲来！</v>
      </c>
      <c r="E6" s="16" t="str">
        <f ca="1">VLOOKUP($C6,OFFSET([2]quests!$A$1,0,0,COUNTA([2]quests!$A:$A),MATCH(E$1,[2]quests!$1:$1,0)-MATCH($C$1,[2]quests!$1:$1,0)+1),MATCH(E$1,[2]quests!$1:$1,0)-MATCH($C$1,[2]quests!$1:$1,0)+1,FALSE)</f>
        <v>降臨1</v>
      </c>
      <c r="F6" s="96">
        <v>4</v>
      </c>
      <c r="G6" s="20" t="str">
        <f t="shared" si="4"/>
        <v>41001_4</v>
      </c>
      <c r="H6" s="13" t="str">
        <f ca="1">VLOOKUP($G6,OFFSET([2]stages!$A$1,0,0,COUNTA([2]stages!$A:$A),MATCH(H$1,[2]stages!$2:$2,0)-MATCH($G$1,[2]stages!$2:$2,0)+1),MATCH(H$1,[2]stages!$2:$2,0)-MATCH($G$1,[2]stages!$2:$2,0)+1,FALSE)</f>
        <v>【スコアアタック】アマテラス襲来</v>
      </c>
      <c r="I6" s="96">
        <v>5</v>
      </c>
      <c r="J6" s="178">
        <v>60</v>
      </c>
      <c r="K6" s="178">
        <v>60</v>
      </c>
      <c r="L6" s="116">
        <v>4100115</v>
      </c>
      <c r="M6" s="116">
        <v>4100125</v>
      </c>
      <c r="N6" s="56">
        <v>12</v>
      </c>
      <c r="O6" s="56">
        <v>-50000</v>
      </c>
      <c r="P6" s="56">
        <v>20000000</v>
      </c>
      <c r="Q6" s="56">
        <v>1000000</v>
      </c>
    </row>
    <row r="7" spans="1:17" ht="21" customHeight="1" x14ac:dyDescent="0.15">
      <c r="D7" s="3" t="s">
        <v>258</v>
      </c>
    </row>
  </sheetData>
  <sheetProtection selectLockedCells="1" selectUnlockedCells="1"/>
  <phoneticPr fontId="1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/>
  </sheetViews>
  <sheetFormatPr baseColWidth="12" defaultRowHeight="15" outlineLevelCol="1" x14ac:dyDescent="0.15"/>
  <cols>
    <col min="1" max="1" width="9" style="3" customWidth="1"/>
    <col min="2" max="2" width="16" style="3" customWidth="1" outlineLevel="1"/>
    <col min="3" max="3" width="13" style="3" customWidth="1" outlineLevel="1"/>
    <col min="4" max="4" width="8" style="3" customWidth="1"/>
    <col min="5" max="5" width="11.6640625" style="17" customWidth="1" outlineLevel="1"/>
    <col min="6" max="6" width="25.6640625" style="3" customWidth="1" outlineLevel="1"/>
    <col min="7" max="7" width="12.83203125" style="3" customWidth="1"/>
  </cols>
  <sheetData>
    <row r="1" spans="1:7" ht="24" customHeight="1" x14ac:dyDescent="0.15">
      <c r="A1" s="1" t="s">
        <v>0</v>
      </c>
      <c r="B1" s="2" t="s">
        <v>15</v>
      </c>
      <c r="C1" s="13" t="s">
        <v>20</v>
      </c>
      <c r="D1" s="1" t="s">
        <v>1</v>
      </c>
      <c r="E1" s="20" t="s">
        <v>17</v>
      </c>
      <c r="F1" s="13" t="s">
        <v>15</v>
      </c>
      <c r="G1" s="1" t="s">
        <v>81</v>
      </c>
    </row>
    <row r="2" spans="1:7" ht="24" customHeight="1" x14ac:dyDescent="0.15">
      <c r="A2" s="7">
        <f>output!C2</f>
        <v>41001</v>
      </c>
      <c r="B2" s="10" t="str">
        <f ca="1">VLOOKUP($A2,OFFSET([2]quests!$A$1,0,0,COUNTA([2]quests!$A:$A),MATCH(B$1,[2]quests!$1:$1,0)-MATCH($A$1,[2]quests!$1:$1,0)+1),MATCH(B$1,[2]quests!$1:$1,0)-MATCH($A$1,[2]quests!$1:$1,0)+1,FALSE)</f>
        <v>アマテラス襲来！</v>
      </c>
      <c r="C2" s="16">
        <f ca="1">VLOOKUP($A2,OFFSET([2]quests!$A$1,0,0,COUNTA([2]quests!$A:$A),MATCH(C$1,[2]quests!$1:$1,0)-MATCH($C$1,[2]quests!$1:$1,0)+1),MATCH(C$1,[2]quests!$1:$1,0)-MATCH($C$1,[2]quests!$1:$1,0)+1,FALSE)</f>
        <v>41001</v>
      </c>
      <c r="D2" s="18">
        <v>4</v>
      </c>
      <c r="E2" s="20" t="str">
        <f>A2&amp;"_"&amp;D2</f>
        <v>41001_4</v>
      </c>
      <c r="F2" s="13" t="str">
        <f ca="1">VLOOKUP($E2,OFFSET([2]stages!$A$1,0,0,COUNTA([2]stages!$A:$A),MATCH(F$1,[2]stages!$2:$2,0)-MATCH($E$1,[2]stages!$2:$2,0)+1),MATCH(F$1,[2]stages!$2:$2,0)-MATCH($E$1,[2]stages!$2:$2,0)+1,FALSE)</f>
        <v>【スコアアタック】アマテラス襲来</v>
      </c>
      <c r="G2" s="93">
        <v>2000000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M23"/>
  <sheetViews>
    <sheetView tabSelected="1" workbookViewId="0">
      <selection activeCell="B2" sqref="B2"/>
    </sheetView>
  </sheetViews>
  <sheetFormatPr baseColWidth="12" defaultRowHeight="15" x14ac:dyDescent="0.15"/>
  <cols>
    <col min="5" max="5" width="13.83203125" bestFit="1" customWidth="1"/>
    <col min="8" max="8" width="15.83203125" customWidth="1"/>
    <col min="11" max="11" width="4" customWidth="1"/>
    <col min="12" max="12" width="14.1640625" customWidth="1"/>
    <col min="13" max="13" width="15.1640625" customWidth="1"/>
  </cols>
  <sheetData>
    <row r="1" spans="1:13" x14ac:dyDescent="0.15">
      <c r="A1" s="52" t="s">
        <v>441</v>
      </c>
      <c r="B1" s="52" t="s">
        <v>484</v>
      </c>
      <c r="C1" s="52" t="s">
        <v>192</v>
      </c>
      <c r="D1" s="52" t="s">
        <v>193</v>
      </c>
      <c r="E1" s="52" t="s">
        <v>194</v>
      </c>
      <c r="F1" s="52" t="s">
        <v>195</v>
      </c>
      <c r="G1" s="52" t="s">
        <v>196</v>
      </c>
      <c r="K1" t="s">
        <v>500</v>
      </c>
      <c r="L1" t="s">
        <v>501</v>
      </c>
      <c r="M1" t="s">
        <v>502</v>
      </c>
    </row>
    <row r="2" spans="1:13" x14ac:dyDescent="0.15">
      <c r="A2" s="168">
        <f>output!C2</f>
        <v>41001</v>
      </c>
      <c r="B2" s="146">
        <v>11</v>
      </c>
      <c r="C2" s="172" t="str">
        <f>A2&amp;B2</f>
        <v>4100111</v>
      </c>
      <c r="D2" s="105">
        <v>0</v>
      </c>
      <c r="E2" s="100">
        <v>0</v>
      </c>
      <c r="F2" s="101">
        <f>(E3-E2)/(D3-D2)</f>
        <v>2</v>
      </c>
      <c r="G2" s="97">
        <f t="shared" ref="G2:G3" si="0">E2-F2*D2</f>
        <v>0</v>
      </c>
      <c r="I2">
        <f t="shared" ref="I2:I10" si="1">D2*F2+G2</f>
        <v>0</v>
      </c>
      <c r="M2">
        <f t="shared" ref="M2" si="2">(L2-G2)/F2</f>
        <v>0</v>
      </c>
    </row>
    <row r="3" spans="1:13" x14ac:dyDescent="0.15">
      <c r="A3" s="168">
        <f>$A$2</f>
        <v>41001</v>
      </c>
      <c r="B3" s="168">
        <f>$B$2</f>
        <v>11</v>
      </c>
      <c r="C3" s="172" t="str">
        <f>$C$2</f>
        <v>4100111</v>
      </c>
      <c r="D3" s="105">
        <v>100000</v>
      </c>
      <c r="E3" s="100">
        <v>200000</v>
      </c>
      <c r="F3" s="101">
        <f>(E4-E3)/(D4-D3)</f>
        <v>0.86143000000000003</v>
      </c>
      <c r="G3" s="97">
        <f t="shared" si="0"/>
        <v>113857</v>
      </c>
      <c r="H3" s="98">
        <v>1</v>
      </c>
      <c r="I3">
        <f t="shared" si="1"/>
        <v>200000</v>
      </c>
      <c r="M3">
        <f>(L3-G3)/F3</f>
        <v>-132172.08595010621</v>
      </c>
    </row>
    <row r="4" spans="1:13" x14ac:dyDescent="0.15">
      <c r="A4" s="168">
        <f t="shared" ref="A4:A16" si="3">$A$2</f>
        <v>41001</v>
      </c>
      <c r="B4" s="168">
        <f t="shared" ref="B4" si="4">$B$2</f>
        <v>11</v>
      </c>
      <c r="C4" s="172" t="str">
        <f t="shared" ref="C4" si="5">$C$2</f>
        <v>4100111</v>
      </c>
      <c r="D4" s="107">
        <v>200000</v>
      </c>
      <c r="E4" s="100">
        <v>286143</v>
      </c>
      <c r="F4" s="99">
        <v>0.01</v>
      </c>
      <c r="G4" s="97">
        <f>E4-F4*D4</f>
        <v>284143</v>
      </c>
      <c r="H4" s="98">
        <v>2</v>
      </c>
      <c r="I4">
        <f t="shared" si="1"/>
        <v>286143</v>
      </c>
      <c r="M4">
        <f t="shared" ref="M4:M16" si="6">(L4-G4)/F4</f>
        <v>-28414300</v>
      </c>
    </row>
    <row r="5" spans="1:13" x14ac:dyDescent="0.15">
      <c r="A5" s="168">
        <f t="shared" si="3"/>
        <v>41001</v>
      </c>
      <c r="B5" s="146">
        <v>12</v>
      </c>
      <c r="C5" s="171" t="str">
        <f>A5&amp;B5</f>
        <v>4100112</v>
      </c>
      <c r="D5" s="106">
        <v>0</v>
      </c>
      <c r="E5" s="100">
        <v>0</v>
      </c>
      <c r="F5" s="101">
        <f>(E6-E5)/(D6-D5)</f>
        <v>1.1428571428571428</v>
      </c>
      <c r="G5" s="97">
        <f t="shared" ref="G5:G6" si="7">E5-F5*D5</f>
        <v>0</v>
      </c>
      <c r="I5">
        <f t="shared" si="1"/>
        <v>0</v>
      </c>
      <c r="M5">
        <f t="shared" si="6"/>
        <v>0</v>
      </c>
    </row>
    <row r="6" spans="1:13" x14ac:dyDescent="0.15">
      <c r="A6" s="168">
        <f t="shared" si="3"/>
        <v>41001</v>
      </c>
      <c r="B6" s="168">
        <f>$B$5</f>
        <v>12</v>
      </c>
      <c r="C6" s="171" t="str">
        <f>$C$5</f>
        <v>4100112</v>
      </c>
      <c r="D6" s="106">
        <v>175000</v>
      </c>
      <c r="E6" s="100">
        <v>200000</v>
      </c>
      <c r="F6" s="101">
        <f>(E7-E6)/(D7-D6)</f>
        <v>0.54862857142857147</v>
      </c>
      <c r="G6" s="97">
        <f t="shared" si="7"/>
        <v>103990</v>
      </c>
      <c r="H6" s="98">
        <v>1</v>
      </c>
      <c r="I6">
        <f t="shared" si="1"/>
        <v>200000</v>
      </c>
      <c r="M6">
        <f t="shared" si="6"/>
        <v>-189545.35985834806</v>
      </c>
    </row>
    <row r="7" spans="1:13" x14ac:dyDescent="0.15">
      <c r="A7" s="168">
        <f t="shared" si="3"/>
        <v>41001</v>
      </c>
      <c r="B7" s="168">
        <f t="shared" ref="B7" si="8">$B$5</f>
        <v>12</v>
      </c>
      <c r="C7" s="171" t="str">
        <f t="shared" ref="C7" si="9">$C$5</f>
        <v>4100112</v>
      </c>
      <c r="D7" s="173">
        <v>350000</v>
      </c>
      <c r="E7" s="100">
        <v>296010</v>
      </c>
      <c r="F7" s="99">
        <v>0.01</v>
      </c>
      <c r="G7" s="102">
        <f>E7-F7*D7</f>
        <v>292510</v>
      </c>
      <c r="H7" s="98">
        <v>2</v>
      </c>
      <c r="I7">
        <f t="shared" si="1"/>
        <v>296010</v>
      </c>
      <c r="L7">
        <v>297432</v>
      </c>
      <c r="M7">
        <f t="shared" si="6"/>
        <v>492200</v>
      </c>
    </row>
    <row r="8" spans="1:13" x14ac:dyDescent="0.15">
      <c r="A8" s="168">
        <f t="shared" si="3"/>
        <v>41001</v>
      </c>
      <c r="B8" s="146">
        <v>13</v>
      </c>
      <c r="C8" s="172" t="str">
        <f>A8&amp;B8</f>
        <v>4100113</v>
      </c>
      <c r="D8" s="105">
        <v>0</v>
      </c>
      <c r="E8" s="100">
        <v>0</v>
      </c>
      <c r="F8" s="101">
        <f>(E9-E8)/(D9-D8)</f>
        <v>1.6</v>
      </c>
      <c r="G8" s="97">
        <f t="shared" ref="G8:G9" si="10">E8-F8*D8</f>
        <v>0</v>
      </c>
      <c r="I8">
        <f t="shared" si="1"/>
        <v>0</v>
      </c>
      <c r="M8">
        <f t="shared" si="6"/>
        <v>0</v>
      </c>
    </row>
    <row r="9" spans="1:13" x14ac:dyDescent="0.15">
      <c r="A9" s="168">
        <f t="shared" si="3"/>
        <v>41001</v>
      </c>
      <c r="B9" s="168">
        <f>$B$8</f>
        <v>13</v>
      </c>
      <c r="C9" s="172" t="str">
        <f>$C$8</f>
        <v>4100113</v>
      </c>
      <c r="D9" s="105">
        <v>500000</v>
      </c>
      <c r="E9" s="100">
        <v>800000</v>
      </c>
      <c r="F9" s="101">
        <f>(E10-E9)/(D10-D9)</f>
        <v>0.73772000000000004</v>
      </c>
      <c r="G9" s="97">
        <f t="shared" si="10"/>
        <v>431140</v>
      </c>
      <c r="H9" s="98">
        <v>1</v>
      </c>
      <c r="I9">
        <f t="shared" si="1"/>
        <v>800000</v>
      </c>
      <c r="M9">
        <f t="shared" si="6"/>
        <v>-584422.27403350861</v>
      </c>
    </row>
    <row r="10" spans="1:13" x14ac:dyDescent="0.15">
      <c r="A10" s="168">
        <f t="shared" si="3"/>
        <v>41001</v>
      </c>
      <c r="B10" s="168">
        <f t="shared" ref="B10" si="11">$B$8</f>
        <v>13</v>
      </c>
      <c r="C10" s="172" t="str">
        <f t="shared" ref="C10" si="12">$C$8</f>
        <v>4100113</v>
      </c>
      <c r="D10" s="107">
        <v>1000000</v>
      </c>
      <c r="E10" s="100">
        <v>1168860</v>
      </c>
      <c r="F10" s="99">
        <v>0.01</v>
      </c>
      <c r="G10" s="102">
        <f>E10-F10*D10</f>
        <v>1158860</v>
      </c>
      <c r="H10" s="98">
        <v>2.5</v>
      </c>
      <c r="I10">
        <f t="shared" si="1"/>
        <v>1168860</v>
      </c>
      <c r="L10">
        <v>1172367</v>
      </c>
      <c r="M10">
        <f t="shared" si="6"/>
        <v>1350700</v>
      </c>
    </row>
    <row r="11" spans="1:13" x14ac:dyDescent="0.15">
      <c r="A11" s="168">
        <f t="shared" si="3"/>
        <v>41001</v>
      </c>
      <c r="B11" s="146">
        <v>14</v>
      </c>
      <c r="C11" s="171" t="str">
        <f>A11&amp;B11</f>
        <v>4100114</v>
      </c>
      <c r="D11" s="106">
        <v>0</v>
      </c>
      <c r="E11" s="100">
        <v>0</v>
      </c>
      <c r="F11" s="101">
        <f>(E12-E11)/(D12-D11)</f>
        <v>2.3809523809523809</v>
      </c>
      <c r="G11" s="97">
        <f t="shared" ref="G11:G12" si="13">E11-F11*D11</f>
        <v>0</v>
      </c>
      <c r="I11">
        <f t="shared" ref="I11:I16" si="14">D11*F11+G11</f>
        <v>0</v>
      </c>
      <c r="M11">
        <f t="shared" si="6"/>
        <v>0</v>
      </c>
    </row>
    <row r="12" spans="1:13" x14ac:dyDescent="0.15">
      <c r="A12" s="168">
        <f t="shared" si="3"/>
        <v>41001</v>
      </c>
      <c r="B12" s="168">
        <f>$B$11</f>
        <v>14</v>
      </c>
      <c r="C12" s="171" t="str">
        <f t="shared" ref="C12:C13" si="15">A12&amp;B12</f>
        <v>4100114</v>
      </c>
      <c r="D12" s="106">
        <v>210000</v>
      </c>
      <c r="E12" s="100">
        <v>500000</v>
      </c>
      <c r="F12" s="101">
        <f>(E13-E12)/(D13-D12)</f>
        <v>0.90804761904761899</v>
      </c>
      <c r="G12" s="97">
        <f t="shared" si="13"/>
        <v>309310</v>
      </c>
      <c r="H12" s="98">
        <v>1</v>
      </c>
      <c r="I12">
        <f t="shared" si="14"/>
        <v>500000</v>
      </c>
      <c r="M12">
        <f t="shared" si="6"/>
        <v>-340631.91567465523</v>
      </c>
    </row>
    <row r="13" spans="1:13" x14ac:dyDescent="0.15">
      <c r="A13" s="168">
        <f t="shared" si="3"/>
        <v>41001</v>
      </c>
      <c r="B13" s="168">
        <f t="shared" ref="B13" si="16">$B$11</f>
        <v>14</v>
      </c>
      <c r="C13" s="171" t="str">
        <f t="shared" si="15"/>
        <v>4100114</v>
      </c>
      <c r="D13" s="173">
        <v>420000</v>
      </c>
      <c r="E13" s="100">
        <v>690690</v>
      </c>
      <c r="F13" s="99">
        <v>0.01</v>
      </c>
      <c r="G13" s="102">
        <f>E13-F13*D13</f>
        <v>686490</v>
      </c>
      <c r="H13" s="98">
        <v>2.2999999999999998</v>
      </c>
      <c r="I13">
        <f t="shared" si="14"/>
        <v>690690</v>
      </c>
      <c r="M13">
        <f t="shared" si="6"/>
        <v>-68649000</v>
      </c>
    </row>
    <row r="14" spans="1:13" x14ac:dyDescent="0.15">
      <c r="A14" s="168">
        <f t="shared" si="3"/>
        <v>41001</v>
      </c>
      <c r="B14" s="146">
        <v>15</v>
      </c>
      <c r="C14" s="172" t="str">
        <f>A14&amp;B14</f>
        <v>4100115</v>
      </c>
      <c r="D14" s="105">
        <v>0</v>
      </c>
      <c r="E14" s="100">
        <v>0</v>
      </c>
      <c r="F14" s="101">
        <f t="shared" ref="F14" si="17">(E15-E14)/(D15-D14)</f>
        <v>0.66666666666666663</v>
      </c>
      <c r="G14" s="97">
        <f t="shared" ref="G14:G15" si="18">E14-F14*D14</f>
        <v>0</v>
      </c>
      <c r="I14">
        <f t="shared" si="14"/>
        <v>0</v>
      </c>
      <c r="M14">
        <f t="shared" si="6"/>
        <v>0</v>
      </c>
    </row>
    <row r="15" spans="1:13" x14ac:dyDescent="0.15">
      <c r="A15" s="168">
        <f t="shared" si="3"/>
        <v>41001</v>
      </c>
      <c r="B15" s="168">
        <f>$B$14</f>
        <v>15</v>
      </c>
      <c r="C15" s="172" t="str">
        <f t="shared" ref="C15:C16" si="19">A15&amp;B15</f>
        <v>4100115</v>
      </c>
      <c r="D15" s="105">
        <v>3000000</v>
      </c>
      <c r="E15" s="100">
        <v>2000000</v>
      </c>
      <c r="F15" s="101">
        <f>(E16-E15)/(D16-D15)</f>
        <v>0.34533333333333333</v>
      </c>
      <c r="G15" s="97">
        <f t="shared" si="18"/>
        <v>964000</v>
      </c>
      <c r="H15" s="98">
        <v>1</v>
      </c>
      <c r="I15">
        <f t="shared" si="14"/>
        <v>2000000</v>
      </c>
      <c r="M15">
        <f t="shared" si="6"/>
        <v>-2791505.7915057917</v>
      </c>
    </row>
    <row r="16" spans="1:13" x14ac:dyDescent="0.15">
      <c r="A16" s="168">
        <f t="shared" si="3"/>
        <v>41001</v>
      </c>
      <c r="B16" s="168">
        <f t="shared" ref="B16" si="20">$B$14</f>
        <v>15</v>
      </c>
      <c r="C16" s="172" t="str">
        <f t="shared" si="19"/>
        <v>4100115</v>
      </c>
      <c r="D16" s="107">
        <v>6000000</v>
      </c>
      <c r="E16" s="100">
        <v>3036000</v>
      </c>
      <c r="F16" s="99">
        <v>0.01</v>
      </c>
      <c r="G16" s="102">
        <f>E16-F16*D16</f>
        <v>2976000</v>
      </c>
      <c r="H16" s="98">
        <v>2</v>
      </c>
      <c r="I16">
        <f t="shared" si="14"/>
        <v>3036000</v>
      </c>
      <c r="L16">
        <v>3082621</v>
      </c>
      <c r="M16">
        <f t="shared" si="6"/>
        <v>10662100</v>
      </c>
    </row>
    <row r="17" spans="4:8" x14ac:dyDescent="0.15">
      <c r="H17" s="190"/>
    </row>
    <row r="18" spans="4:8" x14ac:dyDescent="0.15">
      <c r="F18" t="s">
        <v>191</v>
      </c>
    </row>
    <row r="19" spans="4:8" x14ac:dyDescent="0.15">
      <c r="D19" s="108">
        <f>D3+D6+D9+D12+D15</f>
        <v>3985000</v>
      </c>
      <c r="E19" s="103">
        <f>SUM(E4,E7,E10,E13,E16)</f>
        <v>5477703</v>
      </c>
      <c r="F19">
        <v>1</v>
      </c>
    </row>
    <row r="20" spans="4:8" x14ac:dyDescent="0.15">
      <c r="D20" s="80"/>
      <c r="E20" s="104"/>
      <c r="F20">
        <v>1.21</v>
      </c>
    </row>
    <row r="21" spans="4:8" x14ac:dyDescent="0.15">
      <c r="D21" s="80"/>
      <c r="E21" s="104"/>
      <c r="F21">
        <v>1.52</v>
      </c>
    </row>
    <row r="22" spans="4:8" x14ac:dyDescent="0.15">
      <c r="F22">
        <v>2.0299999999999998</v>
      </c>
    </row>
    <row r="23" spans="4:8" x14ac:dyDescent="0.15">
      <c r="F23">
        <v>2.5299999999999998</v>
      </c>
    </row>
  </sheetData>
  <phoneticPr fontId="11"/>
  <pageMargins left="0.7" right="0.7" top="0.75" bottom="0.75" header="0.3" footer="0.3"/>
  <pageSetup paperSize="9" orientation="portrait" horizontalDpi="0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 enableFormatConditionsCalculation="0">
    <tabColor rgb="FFFF0000"/>
  </sheetPr>
  <dimension ref="A1:M23"/>
  <sheetViews>
    <sheetView workbookViewId="0">
      <selection activeCell="A2" sqref="A2"/>
    </sheetView>
  </sheetViews>
  <sheetFormatPr baseColWidth="12" defaultRowHeight="15" x14ac:dyDescent="0.15"/>
  <cols>
    <col min="5" max="5" width="13.83203125" bestFit="1" customWidth="1"/>
    <col min="10" max="10" width="4.6640625" customWidth="1"/>
    <col min="11" max="11" width="9.5" customWidth="1"/>
    <col min="12" max="12" width="14.1640625" customWidth="1"/>
    <col min="13" max="13" width="15.1640625" customWidth="1"/>
  </cols>
  <sheetData>
    <row r="1" spans="1:13" x14ac:dyDescent="0.15">
      <c r="A1" s="52" t="s">
        <v>441</v>
      </c>
      <c r="B1" s="52" t="s">
        <v>484</v>
      </c>
      <c r="C1" s="52" t="s">
        <v>192</v>
      </c>
      <c r="D1" s="52" t="s">
        <v>83</v>
      </c>
      <c r="E1" s="52" t="s">
        <v>194</v>
      </c>
      <c r="F1" s="52" t="s">
        <v>84</v>
      </c>
      <c r="G1" s="52" t="s">
        <v>85</v>
      </c>
      <c r="L1" t="s">
        <v>501</v>
      </c>
      <c r="M1" t="s">
        <v>503</v>
      </c>
    </row>
    <row r="2" spans="1:13" x14ac:dyDescent="0.15">
      <c r="A2" s="168">
        <f>output!C2</f>
        <v>41001</v>
      </c>
      <c r="B2" s="146">
        <v>21</v>
      </c>
      <c r="C2" s="172" t="str">
        <f>A2&amp;B2</f>
        <v>4100121</v>
      </c>
      <c r="D2" s="105">
        <v>0</v>
      </c>
      <c r="E2" s="100">
        <v>0</v>
      </c>
      <c r="F2" s="101">
        <f>(E3-E2)/(D3-D2)</f>
        <v>9.5238095238095237</v>
      </c>
      <c r="G2" s="97">
        <f t="shared" ref="G2:G3" si="0">E2-F2*D2</f>
        <v>0</v>
      </c>
      <c r="I2">
        <f t="shared" ref="I2:I10" si="1">D2*F2+G2</f>
        <v>0</v>
      </c>
      <c r="M2">
        <f t="shared" ref="M2" si="2">(L2-G2)/F2</f>
        <v>0</v>
      </c>
    </row>
    <row r="3" spans="1:13" x14ac:dyDescent="0.15">
      <c r="A3" s="168">
        <f>$A$2</f>
        <v>41001</v>
      </c>
      <c r="B3" s="168">
        <f>$B$2</f>
        <v>21</v>
      </c>
      <c r="C3" s="172" t="str">
        <f>$C$2</f>
        <v>4100121</v>
      </c>
      <c r="D3" s="105">
        <v>10500</v>
      </c>
      <c r="E3" s="100">
        <v>100000</v>
      </c>
      <c r="F3" s="101">
        <f>(E4-E3)/(D4-D3)</f>
        <v>4.9333333333333336</v>
      </c>
      <c r="G3" s="97">
        <f t="shared" si="0"/>
        <v>48200</v>
      </c>
      <c r="H3" s="98"/>
      <c r="I3">
        <f t="shared" si="1"/>
        <v>100000</v>
      </c>
      <c r="M3">
        <f>(L3-G3)/F3</f>
        <v>-9770.27027027027</v>
      </c>
    </row>
    <row r="4" spans="1:13" x14ac:dyDescent="0.15">
      <c r="A4" s="168">
        <f t="shared" ref="A4:A16" si="3">$A$2</f>
        <v>41001</v>
      </c>
      <c r="B4" s="168">
        <f t="shared" ref="B4" si="4">$B$2</f>
        <v>21</v>
      </c>
      <c r="C4" s="172" t="str">
        <f t="shared" ref="C4" si="5">$C$2</f>
        <v>4100121</v>
      </c>
      <c r="D4" s="107">
        <v>21000</v>
      </c>
      <c r="E4" s="100">
        <v>151800</v>
      </c>
      <c r="F4" s="99">
        <v>0.01</v>
      </c>
      <c r="G4" s="97">
        <f>E4-F4*D4</f>
        <v>151590</v>
      </c>
      <c r="H4" s="98"/>
      <c r="I4">
        <f t="shared" si="1"/>
        <v>151800</v>
      </c>
      <c r="L4">
        <v>151837</v>
      </c>
      <c r="M4">
        <f t="shared" ref="M4:M16" si="6">(L4-G4)/F4</f>
        <v>24700</v>
      </c>
    </row>
    <row r="5" spans="1:13" x14ac:dyDescent="0.15">
      <c r="A5" s="168">
        <f t="shared" si="3"/>
        <v>41001</v>
      </c>
      <c r="B5" s="146">
        <v>22</v>
      </c>
      <c r="C5" s="171" t="str">
        <f>A5&amp;B5</f>
        <v>4100122</v>
      </c>
      <c r="D5" s="106">
        <v>0</v>
      </c>
      <c r="E5" s="100">
        <v>0</v>
      </c>
      <c r="F5" s="101">
        <f t="shared" ref="F5" si="7">(E6-E5)/(D6-D5)</f>
        <v>5</v>
      </c>
      <c r="G5" s="97">
        <f t="shared" ref="G5:G6" si="8">E5-F5*D5</f>
        <v>0</v>
      </c>
      <c r="I5">
        <f t="shared" si="1"/>
        <v>0</v>
      </c>
      <c r="M5">
        <f t="shared" si="6"/>
        <v>0</v>
      </c>
    </row>
    <row r="6" spans="1:13" x14ac:dyDescent="0.15">
      <c r="A6" s="168">
        <f t="shared" si="3"/>
        <v>41001</v>
      </c>
      <c r="B6" s="168">
        <f>$B$5</f>
        <v>22</v>
      </c>
      <c r="C6" s="171" t="str">
        <f>$C$5</f>
        <v>4100122</v>
      </c>
      <c r="D6" s="106">
        <v>10000</v>
      </c>
      <c r="E6" s="100">
        <v>50000</v>
      </c>
      <c r="F6" s="101">
        <f>(E7-E6)/(D7-D6)</f>
        <v>2.59</v>
      </c>
      <c r="G6" s="97">
        <f t="shared" si="8"/>
        <v>24100</v>
      </c>
      <c r="H6" s="98"/>
      <c r="I6">
        <f t="shared" si="1"/>
        <v>50000</v>
      </c>
      <c r="M6">
        <f t="shared" si="6"/>
        <v>-9305.0193050193047</v>
      </c>
    </row>
    <row r="7" spans="1:13" x14ac:dyDescent="0.15">
      <c r="A7" s="168">
        <f t="shared" si="3"/>
        <v>41001</v>
      </c>
      <c r="B7" s="168">
        <f t="shared" ref="B7" si="9">$B$5</f>
        <v>22</v>
      </c>
      <c r="C7" s="171" t="str">
        <f t="shared" ref="C7" si="10">$C$5</f>
        <v>4100122</v>
      </c>
      <c r="D7" s="173">
        <v>20000</v>
      </c>
      <c r="E7" s="100">
        <v>75900</v>
      </c>
      <c r="F7" s="99">
        <v>0.01</v>
      </c>
      <c r="G7" s="102">
        <f>E7-F7*D7</f>
        <v>75700</v>
      </c>
      <c r="H7" s="98"/>
      <c r="I7">
        <f t="shared" si="1"/>
        <v>75900</v>
      </c>
      <c r="L7">
        <v>76181</v>
      </c>
      <c r="M7">
        <f t="shared" si="6"/>
        <v>48100</v>
      </c>
    </row>
    <row r="8" spans="1:13" x14ac:dyDescent="0.15">
      <c r="A8" s="168">
        <f t="shared" si="3"/>
        <v>41001</v>
      </c>
      <c r="B8" s="146">
        <v>23</v>
      </c>
      <c r="C8" s="172" t="str">
        <f>A8&amp;B8</f>
        <v>4100123</v>
      </c>
      <c r="D8" s="105">
        <v>0</v>
      </c>
      <c r="E8" s="100">
        <v>0</v>
      </c>
      <c r="F8" s="101">
        <f t="shared" ref="F8" si="11">(E9-E8)/(D9-D8)</f>
        <v>10.476190476190476</v>
      </c>
      <c r="G8" s="97">
        <f t="shared" ref="G8:G9" si="12">E8-F8*D8</f>
        <v>0</v>
      </c>
      <c r="I8">
        <f t="shared" si="1"/>
        <v>0</v>
      </c>
      <c r="L8">
        <v>68306</v>
      </c>
      <c r="M8">
        <f t="shared" si="6"/>
        <v>6520.1181818181822</v>
      </c>
    </row>
    <row r="9" spans="1:13" x14ac:dyDescent="0.15">
      <c r="A9" s="168">
        <f t="shared" si="3"/>
        <v>41001</v>
      </c>
      <c r="B9" s="168">
        <f>$B$8</f>
        <v>23</v>
      </c>
      <c r="C9" s="172" t="str">
        <f>$C$8</f>
        <v>4100123</v>
      </c>
      <c r="D9" s="105">
        <v>10500</v>
      </c>
      <c r="E9" s="100">
        <v>110000</v>
      </c>
      <c r="F9" s="101">
        <f>(E10-E9)/(D10-D9)</f>
        <v>5.8347826086956518</v>
      </c>
      <c r="G9" s="97">
        <f t="shared" si="12"/>
        <v>48734.782608695656</v>
      </c>
      <c r="H9" s="98"/>
      <c r="I9">
        <f t="shared" si="1"/>
        <v>110000</v>
      </c>
      <c r="L9">
        <v>68306</v>
      </c>
      <c r="M9">
        <f t="shared" si="6"/>
        <v>3354.2324888226522</v>
      </c>
    </row>
    <row r="10" spans="1:13" x14ac:dyDescent="0.15">
      <c r="A10" s="168">
        <f t="shared" si="3"/>
        <v>41001</v>
      </c>
      <c r="B10" s="168">
        <f t="shared" ref="B10" si="13">$B$8</f>
        <v>23</v>
      </c>
      <c r="C10" s="172" t="str">
        <f t="shared" ref="C10" si="14">$C$8</f>
        <v>4100123</v>
      </c>
      <c r="D10" s="107">
        <v>22000</v>
      </c>
      <c r="E10" s="100">
        <v>177100</v>
      </c>
      <c r="F10" s="99">
        <v>0.01</v>
      </c>
      <c r="G10" s="102">
        <f>E10-F10*D10</f>
        <v>176880</v>
      </c>
      <c r="H10" s="98"/>
      <c r="I10">
        <f t="shared" si="1"/>
        <v>177100</v>
      </c>
      <c r="M10">
        <f t="shared" si="6"/>
        <v>-17688000</v>
      </c>
    </row>
    <row r="11" spans="1:13" x14ac:dyDescent="0.15">
      <c r="A11" s="168">
        <f t="shared" si="3"/>
        <v>41001</v>
      </c>
      <c r="B11" s="146">
        <v>24</v>
      </c>
      <c r="C11" s="171" t="str">
        <f>A11&amp;B11</f>
        <v>4100124</v>
      </c>
      <c r="D11" s="106">
        <v>0</v>
      </c>
      <c r="E11" s="100">
        <v>0</v>
      </c>
      <c r="F11" s="101">
        <f t="shared" ref="F11" si="15">(E12-E11)/(D12-D11)</f>
        <v>11.2</v>
      </c>
      <c r="G11" s="97">
        <f t="shared" ref="G11:G12" si="16">E11-F11*D11</f>
        <v>0</v>
      </c>
      <c r="I11">
        <f t="shared" ref="I11:I16" si="17">D11*F11+G11</f>
        <v>0</v>
      </c>
      <c r="M11">
        <f t="shared" si="6"/>
        <v>0</v>
      </c>
    </row>
    <row r="12" spans="1:13" x14ac:dyDescent="0.15">
      <c r="A12" s="168">
        <f t="shared" si="3"/>
        <v>41001</v>
      </c>
      <c r="B12" s="168">
        <f>$B$11</f>
        <v>24</v>
      </c>
      <c r="C12" s="171" t="str">
        <f>$C$11</f>
        <v>4100124</v>
      </c>
      <c r="D12" s="106">
        <v>12500</v>
      </c>
      <c r="E12" s="100">
        <v>140000</v>
      </c>
      <c r="F12" s="101">
        <f>(E13-E12)/(D13-D12)</f>
        <v>4.992</v>
      </c>
      <c r="G12" s="97">
        <f t="shared" si="16"/>
        <v>77600</v>
      </c>
      <c r="H12" s="98"/>
      <c r="I12">
        <f t="shared" si="17"/>
        <v>140000</v>
      </c>
      <c r="M12">
        <f t="shared" si="6"/>
        <v>-15544.871794871795</v>
      </c>
    </row>
    <row r="13" spans="1:13" x14ac:dyDescent="0.15">
      <c r="A13" s="168">
        <f t="shared" si="3"/>
        <v>41001</v>
      </c>
      <c r="B13" s="168">
        <f t="shared" ref="B13" si="18">$B$11</f>
        <v>24</v>
      </c>
      <c r="C13" s="171" t="str">
        <f t="shared" ref="C13" si="19">$C$11</f>
        <v>4100124</v>
      </c>
      <c r="D13" s="173">
        <v>25000</v>
      </c>
      <c r="E13" s="100">
        <v>202400</v>
      </c>
      <c r="F13" s="99">
        <v>0.01</v>
      </c>
      <c r="G13" s="102">
        <f>E13-F13*D13</f>
        <v>202150</v>
      </c>
      <c r="H13" s="98"/>
      <c r="I13">
        <f t="shared" si="17"/>
        <v>202400</v>
      </c>
      <c r="L13">
        <v>202420</v>
      </c>
      <c r="M13">
        <f t="shared" si="6"/>
        <v>27000</v>
      </c>
    </row>
    <row r="14" spans="1:13" x14ac:dyDescent="0.15">
      <c r="A14" s="168">
        <f t="shared" si="3"/>
        <v>41001</v>
      </c>
      <c r="B14" s="146">
        <v>25</v>
      </c>
      <c r="C14" s="172" t="str">
        <f>A14&amp;B14</f>
        <v>4100125</v>
      </c>
      <c r="D14" s="105">
        <v>0</v>
      </c>
      <c r="E14" s="100">
        <v>0</v>
      </c>
      <c r="F14" s="101">
        <f t="shared" ref="F14" si="20">(E15-E14)/(D15-D14)</f>
        <v>3.5</v>
      </c>
      <c r="G14" s="97">
        <f t="shared" ref="G14:G15" si="21">E14-F14*D14</f>
        <v>0</v>
      </c>
      <c r="I14">
        <f t="shared" si="17"/>
        <v>0</v>
      </c>
      <c r="M14">
        <f t="shared" si="6"/>
        <v>0</v>
      </c>
    </row>
    <row r="15" spans="1:13" x14ac:dyDescent="0.15">
      <c r="A15" s="168">
        <f t="shared" si="3"/>
        <v>41001</v>
      </c>
      <c r="B15" s="168">
        <f>$B$14</f>
        <v>25</v>
      </c>
      <c r="C15" s="172" t="str">
        <f>$C$14</f>
        <v>4100125</v>
      </c>
      <c r="D15" s="105">
        <v>40000</v>
      </c>
      <c r="E15" s="100">
        <v>140000</v>
      </c>
      <c r="F15" s="101">
        <f>(E16-E15)/(D16-D15)</f>
        <v>1.56</v>
      </c>
      <c r="G15" s="97">
        <f t="shared" si="21"/>
        <v>77600</v>
      </c>
      <c r="H15" s="98"/>
      <c r="I15">
        <f t="shared" si="17"/>
        <v>140000</v>
      </c>
      <c r="M15">
        <f t="shared" si="6"/>
        <v>-49743.589743589742</v>
      </c>
    </row>
    <row r="16" spans="1:13" x14ac:dyDescent="0.15">
      <c r="A16" s="168">
        <f t="shared" si="3"/>
        <v>41001</v>
      </c>
      <c r="B16" s="168">
        <f t="shared" ref="B16" si="22">$B$14</f>
        <v>25</v>
      </c>
      <c r="C16" s="172" t="str">
        <f t="shared" ref="C16" si="23">$C$14</f>
        <v>4100125</v>
      </c>
      <c r="D16" s="107">
        <v>80000</v>
      </c>
      <c r="E16" s="100">
        <v>202400</v>
      </c>
      <c r="F16" s="99">
        <v>0.01</v>
      </c>
      <c r="G16" s="102">
        <f>E16-F16*D16</f>
        <v>201600</v>
      </c>
      <c r="H16" s="98"/>
      <c r="I16">
        <f t="shared" si="17"/>
        <v>202400</v>
      </c>
      <c r="L16">
        <v>202767</v>
      </c>
      <c r="M16">
        <f t="shared" si="6"/>
        <v>116700</v>
      </c>
    </row>
    <row r="18" spans="4:6" x14ac:dyDescent="0.15">
      <c r="F18" t="s">
        <v>191</v>
      </c>
    </row>
    <row r="19" spans="4:6" x14ac:dyDescent="0.15">
      <c r="D19" s="108">
        <f>D3+D6+D9+D12+D15</f>
        <v>83500</v>
      </c>
      <c r="E19" s="103">
        <f>SUM(E4,E7,E10,E13,E16)</f>
        <v>809600</v>
      </c>
      <c r="F19">
        <v>1</v>
      </c>
    </row>
    <row r="20" spans="4:6" x14ac:dyDescent="0.15">
      <c r="D20" s="80"/>
      <c r="E20" s="104"/>
      <c r="F20">
        <v>1.21</v>
      </c>
    </row>
    <row r="21" spans="4:6" x14ac:dyDescent="0.15">
      <c r="D21" s="80"/>
      <c r="E21" s="104"/>
      <c r="F21">
        <v>1.52</v>
      </c>
    </row>
    <row r="22" spans="4:6" x14ac:dyDescent="0.15">
      <c r="F22">
        <v>2.0299999999999998</v>
      </c>
    </row>
    <row r="23" spans="4:6" x14ac:dyDescent="0.15">
      <c r="F23">
        <v>2.5299999999999998</v>
      </c>
    </row>
  </sheetData>
  <phoneticPr fontId="11"/>
  <pageMargins left="0.7" right="0.7" top="0.75" bottom="0.75" header="0.3" footer="0.3"/>
  <pageSetup paperSize="9" orientation="portrait" horizontalDpi="0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I8"/>
  <sheetViews>
    <sheetView workbookViewId="0">
      <selection activeCell="D2" sqref="D2"/>
    </sheetView>
  </sheetViews>
  <sheetFormatPr baseColWidth="12" defaultRowHeight="15" x14ac:dyDescent="0.15"/>
  <cols>
    <col min="7" max="7" width="34.5" bestFit="1" customWidth="1"/>
    <col min="8" max="8" width="3" customWidth="1"/>
  </cols>
  <sheetData>
    <row r="1" spans="1:9" x14ac:dyDescent="0.15">
      <c r="A1" s="52" t="s">
        <v>86</v>
      </c>
      <c r="B1" s="52" t="s">
        <v>87</v>
      </c>
      <c r="C1" s="52" t="s">
        <v>88</v>
      </c>
      <c r="D1" s="52" t="s">
        <v>89</v>
      </c>
      <c r="E1" s="81" t="s">
        <v>90</v>
      </c>
      <c r="F1" s="81" t="s">
        <v>91</v>
      </c>
      <c r="G1" s="81" t="s">
        <v>92</v>
      </c>
      <c r="H1" s="179"/>
    </row>
    <row r="2" spans="1:9" x14ac:dyDescent="0.15">
      <c r="A2" s="51">
        <v>100</v>
      </c>
      <c r="B2" s="51">
        <f>output!C2</f>
        <v>41001</v>
      </c>
      <c r="C2" s="51">
        <v>4</v>
      </c>
      <c r="D2" s="51">
        <v>10000000</v>
      </c>
      <c r="E2" s="51" t="s">
        <v>138</v>
      </c>
      <c r="F2" s="51" t="s">
        <v>139</v>
      </c>
      <c r="G2" s="51" t="s">
        <v>140</v>
      </c>
      <c r="I2" s="179" t="s">
        <v>494</v>
      </c>
    </row>
    <row r="3" spans="1:9" x14ac:dyDescent="0.15">
      <c r="A3" s="51">
        <v>101</v>
      </c>
      <c r="B3" s="51">
        <f>$B$2</f>
        <v>41001</v>
      </c>
      <c r="C3" s="51">
        <v>4</v>
      </c>
      <c r="D3" s="51">
        <v>8500000</v>
      </c>
      <c r="E3" s="51" t="s">
        <v>138</v>
      </c>
      <c r="F3" s="51" t="s">
        <v>141</v>
      </c>
      <c r="G3" s="51" t="s">
        <v>142</v>
      </c>
    </row>
    <row r="4" spans="1:9" x14ac:dyDescent="0.15">
      <c r="A4" s="51">
        <v>102</v>
      </c>
      <c r="B4" s="51">
        <f t="shared" ref="B4:B6" si="0">$B$2</f>
        <v>41001</v>
      </c>
      <c r="C4" s="51">
        <v>4</v>
      </c>
      <c r="D4" s="51">
        <v>7000000</v>
      </c>
      <c r="E4" s="51" t="s">
        <v>138</v>
      </c>
      <c r="F4" s="51" t="s">
        <v>143</v>
      </c>
      <c r="G4" s="51" t="s">
        <v>144</v>
      </c>
    </row>
    <row r="5" spans="1:9" x14ac:dyDescent="0.15">
      <c r="A5" s="51">
        <v>103</v>
      </c>
      <c r="B5" s="51">
        <f t="shared" si="0"/>
        <v>41001</v>
      </c>
      <c r="C5" s="51">
        <v>4</v>
      </c>
      <c r="D5" s="51">
        <v>3000000</v>
      </c>
      <c r="E5" s="51" t="s">
        <v>138</v>
      </c>
      <c r="F5" s="51" t="s">
        <v>145</v>
      </c>
      <c r="G5" s="51" t="s">
        <v>146</v>
      </c>
    </row>
    <row r="6" spans="1:9" x14ac:dyDescent="0.15">
      <c r="A6" s="51">
        <v>104</v>
      </c>
      <c r="B6" s="51">
        <f t="shared" si="0"/>
        <v>41001</v>
      </c>
      <c r="C6" s="51">
        <v>4</v>
      </c>
      <c r="D6" s="51">
        <v>2000000</v>
      </c>
      <c r="E6" s="51" t="s">
        <v>138</v>
      </c>
      <c r="F6" s="51" t="s">
        <v>147</v>
      </c>
      <c r="G6" s="51" t="s">
        <v>148</v>
      </c>
    </row>
    <row r="7" spans="1:9" ht="16" thickBot="1" x14ac:dyDescent="0.2">
      <c r="A7" s="51">
        <v>105</v>
      </c>
      <c r="B7" s="117">
        <f>$B$2</f>
        <v>41001</v>
      </c>
      <c r="C7" s="117">
        <v>4</v>
      </c>
      <c r="D7" s="117">
        <v>0</v>
      </c>
      <c r="E7" s="117" t="s">
        <v>138</v>
      </c>
      <c r="F7" s="117" t="s">
        <v>149</v>
      </c>
      <c r="G7" s="117" t="s">
        <v>150</v>
      </c>
    </row>
    <row r="8" spans="1:9" ht="16" thickTop="1" x14ac:dyDescent="0.15"/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FF0000"/>
  </sheetPr>
  <dimension ref="A1:W19"/>
  <sheetViews>
    <sheetView zoomScale="106" workbookViewId="0">
      <selection activeCell="E13" sqref="E13"/>
    </sheetView>
  </sheetViews>
  <sheetFormatPr baseColWidth="12" defaultRowHeight="15" x14ac:dyDescent="0.15"/>
  <cols>
    <col min="1" max="1" width="11.83203125" bestFit="1" customWidth="1"/>
    <col min="2" max="2" width="8" bestFit="1" customWidth="1"/>
    <col min="3" max="3" width="8" style="112" bestFit="1" customWidth="1"/>
    <col min="4" max="4" width="10.1640625" style="112" bestFit="1" customWidth="1"/>
    <col min="5" max="5" width="11.83203125" bestFit="1" customWidth="1"/>
    <col min="6" max="6" width="7.1640625" bestFit="1" customWidth="1"/>
    <col min="7" max="7" width="7.6640625" bestFit="1" customWidth="1"/>
    <col min="8" max="8" width="8" bestFit="1" customWidth="1"/>
    <col min="9" max="9" width="6.33203125" bestFit="1" customWidth="1"/>
    <col min="10" max="10" width="9" bestFit="1" customWidth="1"/>
    <col min="11" max="11" width="7.5" bestFit="1" customWidth="1"/>
    <col min="12" max="12" width="10.1640625" bestFit="1" customWidth="1"/>
    <col min="13" max="13" width="4.5" bestFit="1" customWidth="1"/>
    <col min="14" max="14" width="7.6640625" bestFit="1" customWidth="1"/>
    <col min="15" max="15" width="3.83203125" bestFit="1" customWidth="1"/>
    <col min="16" max="16" width="7.33203125" bestFit="1" customWidth="1"/>
    <col min="17" max="17" width="28.83203125" customWidth="1"/>
    <col min="18" max="18" width="16.83203125" customWidth="1"/>
    <col min="19" max="19" width="20.1640625" customWidth="1"/>
    <col min="20" max="20" width="7.5" bestFit="1" customWidth="1"/>
    <col min="21" max="21" width="2.5" customWidth="1"/>
  </cols>
  <sheetData>
    <row r="1" spans="1:23" x14ac:dyDescent="0.15">
      <c r="A1" s="52" t="s">
        <v>118</v>
      </c>
      <c r="B1" s="52" t="s">
        <v>119</v>
      </c>
      <c r="C1" s="109" t="s">
        <v>120</v>
      </c>
      <c r="D1" s="109" t="s">
        <v>121</v>
      </c>
      <c r="E1" s="81" t="s">
        <v>122</v>
      </c>
      <c r="F1" s="71" t="s">
        <v>123</v>
      </c>
      <c r="G1" s="71" t="s">
        <v>124</v>
      </c>
      <c r="H1" s="71" t="s">
        <v>125</v>
      </c>
      <c r="I1" s="71" t="s">
        <v>126</v>
      </c>
      <c r="J1" s="71" t="s">
        <v>127</v>
      </c>
      <c r="K1" s="72" t="s">
        <v>128</v>
      </c>
      <c r="L1" s="72" t="s">
        <v>129</v>
      </c>
      <c r="M1" s="72" t="s">
        <v>130</v>
      </c>
      <c r="N1" s="72" t="s">
        <v>131</v>
      </c>
      <c r="O1" s="72" t="s">
        <v>132</v>
      </c>
      <c r="P1" s="72" t="s">
        <v>133</v>
      </c>
      <c r="Q1" s="72" t="s">
        <v>134</v>
      </c>
      <c r="R1" s="72" t="s">
        <v>135</v>
      </c>
      <c r="S1" s="72" t="s">
        <v>136</v>
      </c>
      <c r="T1" s="72" t="s">
        <v>137</v>
      </c>
      <c r="V1" s="179" t="s">
        <v>495</v>
      </c>
    </row>
    <row r="2" spans="1:23" ht="47" customHeight="1" x14ac:dyDescent="0.2">
      <c r="A2" s="89">
        <v>100</v>
      </c>
      <c r="B2" s="89">
        <f>output!C2</f>
        <v>41001</v>
      </c>
      <c r="C2" s="110">
        <v>1</v>
      </c>
      <c r="D2" s="110">
        <v>10000000</v>
      </c>
      <c r="E2" s="90" t="str">
        <f>$B$2&amp;0&amp;1</f>
        <v>4100101</v>
      </c>
      <c r="F2" s="91" t="s">
        <v>153</v>
      </c>
      <c r="G2" s="91">
        <v>3</v>
      </c>
      <c r="H2" s="91" t="s">
        <v>154</v>
      </c>
      <c r="I2" s="91">
        <v>0</v>
      </c>
      <c r="J2" s="91">
        <v>0</v>
      </c>
      <c r="K2" s="91">
        <v>0</v>
      </c>
      <c r="L2" s="91">
        <v>0</v>
      </c>
      <c r="M2" s="91">
        <v>1</v>
      </c>
      <c r="N2" s="91">
        <v>1</v>
      </c>
      <c r="O2" s="91">
        <v>1</v>
      </c>
      <c r="P2" s="91" t="s">
        <v>151</v>
      </c>
      <c r="Q2" s="91" t="s">
        <v>233</v>
      </c>
      <c r="R2" s="91" t="s">
        <v>246</v>
      </c>
      <c r="S2" s="92" t="s">
        <v>247</v>
      </c>
      <c r="T2" s="51">
        <v>1</v>
      </c>
      <c r="V2" s="119">
        <v>1</v>
      </c>
      <c r="W2" s="118" t="s">
        <v>226</v>
      </c>
    </row>
    <row r="3" spans="1:23" ht="47" customHeight="1" x14ac:dyDescent="0.2">
      <c r="A3" s="89">
        <v>101</v>
      </c>
      <c r="B3" s="89">
        <f>$B$2</f>
        <v>41001</v>
      </c>
      <c r="C3" s="110">
        <v>1</v>
      </c>
      <c r="D3" s="110">
        <v>10000000</v>
      </c>
      <c r="E3" s="90" t="str">
        <f>$B$2&amp;0&amp;2</f>
        <v>4100102</v>
      </c>
      <c r="F3" s="91" t="s">
        <v>153</v>
      </c>
      <c r="G3" s="91">
        <v>2</v>
      </c>
      <c r="H3" s="91" t="s">
        <v>154</v>
      </c>
      <c r="I3" s="91">
        <v>0</v>
      </c>
      <c r="J3" s="91">
        <v>0</v>
      </c>
      <c r="K3" s="91">
        <v>0</v>
      </c>
      <c r="L3" s="91">
        <v>0</v>
      </c>
      <c r="M3" s="91">
        <v>1</v>
      </c>
      <c r="N3" s="91">
        <v>1</v>
      </c>
      <c r="O3" s="91">
        <v>1</v>
      </c>
      <c r="P3" s="91" t="s">
        <v>151</v>
      </c>
      <c r="Q3" s="91" t="s">
        <v>234</v>
      </c>
      <c r="R3" s="91" t="s">
        <v>246</v>
      </c>
      <c r="S3" s="92" t="s">
        <v>248</v>
      </c>
      <c r="T3" s="51">
        <v>1</v>
      </c>
      <c r="V3" s="120">
        <v>2</v>
      </c>
      <c r="W3" s="118" t="s">
        <v>227</v>
      </c>
    </row>
    <row r="4" spans="1:23" ht="47" customHeight="1" x14ac:dyDescent="0.2">
      <c r="A4" s="89">
        <v>102</v>
      </c>
      <c r="B4" s="89">
        <f t="shared" ref="B4:B8" si="0">$B$2</f>
        <v>41001</v>
      </c>
      <c r="C4" s="110">
        <v>1</v>
      </c>
      <c r="D4" s="110">
        <v>10000000</v>
      </c>
      <c r="E4" s="90" t="str">
        <f>$B$2&amp;0&amp;3</f>
        <v>4100103</v>
      </c>
      <c r="F4" s="91" t="s">
        <v>152</v>
      </c>
      <c r="G4" s="91">
        <v>1</v>
      </c>
      <c r="H4" s="91">
        <v>1</v>
      </c>
      <c r="I4" s="91">
        <v>0</v>
      </c>
      <c r="J4" s="91">
        <v>0</v>
      </c>
      <c r="K4" s="91">
        <v>0</v>
      </c>
      <c r="L4" s="91">
        <v>0</v>
      </c>
      <c r="M4" s="91">
        <v>1</v>
      </c>
      <c r="N4" s="91">
        <v>1</v>
      </c>
      <c r="O4" s="91">
        <v>1</v>
      </c>
      <c r="P4" s="91" t="s">
        <v>151</v>
      </c>
      <c r="Q4" s="91" t="s">
        <v>232</v>
      </c>
      <c r="R4" s="91" t="s">
        <v>246</v>
      </c>
      <c r="S4" s="92" t="s">
        <v>249</v>
      </c>
      <c r="T4" s="51">
        <v>1</v>
      </c>
      <c r="V4" s="120">
        <v>3</v>
      </c>
      <c r="W4" s="118" t="s">
        <v>228</v>
      </c>
    </row>
    <row r="5" spans="1:23" ht="47" customHeight="1" x14ac:dyDescent="0.2">
      <c r="A5" s="122">
        <v>103</v>
      </c>
      <c r="B5" s="89">
        <f t="shared" si="0"/>
        <v>41001</v>
      </c>
      <c r="C5" s="110">
        <v>1</v>
      </c>
      <c r="D5" s="110">
        <v>8500000</v>
      </c>
      <c r="E5" s="90" t="str">
        <f>$B$2&amp;0&amp;4</f>
        <v>4100104</v>
      </c>
      <c r="F5" s="91" t="s">
        <v>235</v>
      </c>
      <c r="G5" s="91">
        <v>335</v>
      </c>
      <c r="H5" s="91">
        <v>1</v>
      </c>
      <c r="I5" s="91">
        <v>0</v>
      </c>
      <c r="J5" s="91">
        <v>0</v>
      </c>
      <c r="K5" s="91">
        <v>0</v>
      </c>
      <c r="L5" s="91">
        <v>0</v>
      </c>
      <c r="M5" s="91">
        <v>1</v>
      </c>
      <c r="N5" s="91">
        <v>1</v>
      </c>
      <c r="O5" s="91">
        <v>1</v>
      </c>
      <c r="P5" s="91" t="s">
        <v>151</v>
      </c>
      <c r="Q5" s="91" t="s">
        <v>236</v>
      </c>
      <c r="R5" s="91" t="s">
        <v>246</v>
      </c>
      <c r="S5" s="92" t="s">
        <v>250</v>
      </c>
      <c r="T5" s="51">
        <v>1</v>
      </c>
      <c r="V5" s="120">
        <v>4</v>
      </c>
      <c r="W5" s="118" t="s">
        <v>229</v>
      </c>
    </row>
    <row r="6" spans="1:23" ht="47" customHeight="1" x14ac:dyDescent="0.2">
      <c r="A6" s="122">
        <v>104</v>
      </c>
      <c r="B6" s="89">
        <f t="shared" si="0"/>
        <v>41001</v>
      </c>
      <c r="C6" s="110">
        <v>1</v>
      </c>
      <c r="D6" s="110">
        <v>7000000</v>
      </c>
      <c r="E6" s="90" t="str">
        <f>$B$2&amp;0&amp;5</f>
        <v>4100105</v>
      </c>
      <c r="F6" s="91" t="s">
        <v>235</v>
      </c>
      <c r="G6" s="91">
        <v>339</v>
      </c>
      <c r="H6" s="91">
        <v>1</v>
      </c>
      <c r="I6" s="91">
        <v>0</v>
      </c>
      <c r="J6" s="91">
        <v>0</v>
      </c>
      <c r="K6" s="91">
        <v>0</v>
      </c>
      <c r="L6" s="91">
        <v>0</v>
      </c>
      <c r="M6" s="91">
        <v>1</v>
      </c>
      <c r="N6" s="91">
        <v>1</v>
      </c>
      <c r="O6" s="91">
        <v>1</v>
      </c>
      <c r="P6" s="91" t="s">
        <v>151</v>
      </c>
      <c r="Q6" s="91" t="s">
        <v>237</v>
      </c>
      <c r="R6" s="91" t="s">
        <v>246</v>
      </c>
      <c r="S6" s="92" t="s">
        <v>251</v>
      </c>
      <c r="T6" s="51">
        <v>1</v>
      </c>
      <c r="V6" s="120">
        <v>5</v>
      </c>
      <c r="W6" s="118" t="s">
        <v>230</v>
      </c>
    </row>
    <row r="7" spans="1:23" ht="47" customHeight="1" thickBot="1" x14ac:dyDescent="0.25">
      <c r="A7" s="122">
        <v>105</v>
      </c>
      <c r="B7" s="89">
        <f t="shared" si="0"/>
        <v>41001</v>
      </c>
      <c r="C7" s="110">
        <v>1</v>
      </c>
      <c r="D7" s="110">
        <v>5500000</v>
      </c>
      <c r="E7" s="90" t="str">
        <f>$B$2&amp;0&amp;6</f>
        <v>4100106</v>
      </c>
      <c r="F7" s="91" t="s">
        <v>235</v>
      </c>
      <c r="G7" s="91">
        <v>343</v>
      </c>
      <c r="H7" s="91">
        <v>1</v>
      </c>
      <c r="I7" s="91">
        <v>0</v>
      </c>
      <c r="J7" s="91">
        <v>0</v>
      </c>
      <c r="K7" s="91">
        <v>0</v>
      </c>
      <c r="L7" s="91">
        <v>0</v>
      </c>
      <c r="M7" s="91">
        <v>1</v>
      </c>
      <c r="N7" s="91">
        <v>1</v>
      </c>
      <c r="O7" s="91">
        <v>1</v>
      </c>
      <c r="P7" s="91" t="s">
        <v>151</v>
      </c>
      <c r="Q7" s="91" t="s">
        <v>238</v>
      </c>
      <c r="R7" s="91" t="s">
        <v>246</v>
      </c>
      <c r="S7" s="92" t="s">
        <v>252</v>
      </c>
      <c r="T7" s="51">
        <v>1</v>
      </c>
      <c r="V7" s="121">
        <v>6</v>
      </c>
      <c r="W7" s="118" t="s">
        <v>231</v>
      </c>
    </row>
    <row r="8" spans="1:23" ht="47" customHeight="1" thickTop="1" x14ac:dyDescent="0.15">
      <c r="A8" s="122">
        <v>106</v>
      </c>
      <c r="B8" s="89">
        <f t="shared" si="0"/>
        <v>41001</v>
      </c>
      <c r="C8" s="110">
        <v>1</v>
      </c>
      <c r="D8" s="110">
        <v>4000000</v>
      </c>
      <c r="E8" s="90" t="str">
        <f>$B$2&amp;0&amp;7</f>
        <v>4100107</v>
      </c>
      <c r="F8" s="91" t="s">
        <v>235</v>
      </c>
      <c r="G8" s="91">
        <v>347</v>
      </c>
      <c r="H8" s="91">
        <v>1</v>
      </c>
      <c r="I8" s="91">
        <v>0</v>
      </c>
      <c r="J8" s="91">
        <v>0</v>
      </c>
      <c r="K8" s="91">
        <v>0</v>
      </c>
      <c r="L8" s="91">
        <v>0</v>
      </c>
      <c r="M8" s="91">
        <v>1</v>
      </c>
      <c r="N8" s="91">
        <v>1</v>
      </c>
      <c r="O8" s="91">
        <v>1</v>
      </c>
      <c r="P8" s="91" t="s">
        <v>151</v>
      </c>
      <c r="Q8" s="91" t="s">
        <v>239</v>
      </c>
      <c r="R8" s="91" t="s">
        <v>246</v>
      </c>
      <c r="S8" s="92" t="s">
        <v>252</v>
      </c>
      <c r="T8" s="51">
        <v>1</v>
      </c>
    </row>
    <row r="9" spans="1:23" ht="47" customHeight="1" thickBot="1" x14ac:dyDescent="0.2">
      <c r="A9" s="123">
        <v>107</v>
      </c>
      <c r="B9" s="123">
        <f>$B$2</f>
        <v>41001</v>
      </c>
      <c r="C9" s="124">
        <v>1</v>
      </c>
      <c r="D9" s="125">
        <v>3000000</v>
      </c>
      <c r="E9" s="126" t="str">
        <f>$B$2&amp;0&amp;8</f>
        <v>4100108</v>
      </c>
      <c r="F9" s="127" t="s">
        <v>155</v>
      </c>
      <c r="G9" s="127">
        <v>100000</v>
      </c>
      <c r="H9" s="127" t="s">
        <v>154</v>
      </c>
      <c r="I9" s="127">
        <v>0</v>
      </c>
      <c r="J9" s="127">
        <v>0</v>
      </c>
      <c r="K9" s="127">
        <v>0</v>
      </c>
      <c r="L9" s="127">
        <v>0</v>
      </c>
      <c r="M9" s="127">
        <v>1</v>
      </c>
      <c r="N9" s="127">
        <v>1</v>
      </c>
      <c r="O9" s="127">
        <v>1</v>
      </c>
      <c r="P9" s="127" t="s">
        <v>151</v>
      </c>
      <c r="Q9" s="127" t="s">
        <v>240</v>
      </c>
      <c r="R9" s="127" t="s">
        <v>246</v>
      </c>
      <c r="S9" s="128" t="s">
        <v>253</v>
      </c>
      <c r="T9" s="117">
        <v>1</v>
      </c>
    </row>
    <row r="10" spans="1:23" ht="16" thickTop="1" x14ac:dyDescent="0.15"/>
    <row r="11" spans="1:23" x14ac:dyDescent="0.15">
      <c r="A11" s="175"/>
      <c r="C11" s="111"/>
    </row>
    <row r="14" spans="1:23" ht="17" x14ac:dyDescent="0.2">
      <c r="E14" s="118"/>
    </row>
    <row r="15" spans="1:23" ht="17" x14ac:dyDescent="0.2">
      <c r="E15" s="118"/>
    </row>
    <row r="16" spans="1:23" ht="17" x14ac:dyDescent="0.2">
      <c r="E16" s="118"/>
    </row>
    <row r="17" spans="5:5" ht="17" x14ac:dyDescent="0.2">
      <c r="E17" s="118"/>
    </row>
    <row r="18" spans="5:5" ht="17" x14ac:dyDescent="0.2">
      <c r="E18" s="118"/>
    </row>
    <row r="19" spans="5:5" ht="17" x14ac:dyDescent="0.2">
      <c r="E19" s="118"/>
    </row>
  </sheetData>
  <phoneticPr fontId="1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workbookViewId="0">
      <selection activeCell="A2" sqref="A2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57" t="s">
        <v>62</v>
      </c>
      <c r="B1" s="59" t="s">
        <v>15</v>
      </c>
      <c r="C1" s="59" t="s">
        <v>20</v>
      </c>
      <c r="D1" s="57" t="s">
        <v>64</v>
      </c>
      <c r="E1" s="57" t="s">
        <v>65</v>
      </c>
      <c r="F1" s="74" t="s">
        <v>74</v>
      </c>
      <c r="G1" s="70" t="s">
        <v>66</v>
      </c>
      <c r="H1" s="71" t="s">
        <v>67</v>
      </c>
      <c r="I1" s="71" t="s">
        <v>68</v>
      </c>
      <c r="J1" s="71" t="s">
        <v>69</v>
      </c>
      <c r="K1" s="71" t="s">
        <v>93</v>
      </c>
      <c r="L1" s="71" t="s">
        <v>94</v>
      </c>
      <c r="M1" s="72" t="s">
        <v>95</v>
      </c>
      <c r="N1" s="72" t="s">
        <v>96</v>
      </c>
      <c r="O1" s="72" t="s">
        <v>97</v>
      </c>
      <c r="P1" s="72" t="s">
        <v>99</v>
      </c>
      <c r="Q1" s="72" t="s">
        <v>100</v>
      </c>
      <c r="R1" s="72" t="s">
        <v>70</v>
      </c>
      <c r="S1" s="72" t="s">
        <v>71</v>
      </c>
      <c r="T1" s="72" t="s">
        <v>72</v>
      </c>
      <c r="U1" s="72" t="s">
        <v>73</v>
      </c>
    </row>
    <row r="2" spans="1:21" ht="28" x14ac:dyDescent="0.15">
      <c r="A2" s="63">
        <f>score_attack_expanded_floors!$C$2</f>
        <v>41001</v>
      </c>
      <c r="B2" s="64" t="str">
        <f ca="1">VLOOKUP($A2,OFFSET([2]quests!$A$1,0,0,COUNTA([2]quests!$A:$A),MATCH(B$1,[2]quests!$1:$1,0)-MATCH($A$1,[2]quests!$1:$1,0)+1),MATCH(B$1,[2]quests!$1:$1,0)-MATCH($A$1,[2]quests!$1:$1,0)+1,FALSE)</f>
        <v>アマテラス襲来！</v>
      </c>
      <c r="C2" s="64" t="str">
        <f ca="1">VLOOKUP($A2,OFFSET([2]quests!$A$1,0,0,COUNTA([2]quests!$A:$A),MATCH(C$1,[2]quests!$1:$1,0)-MATCH($A$1,[2]quests!$1:$1,0)+1),MATCH(C$1,[2]quests!$1:$1,0)-MATCH($A$1,[2]quests!$1:$1,0)+1,FALSE)</f>
        <v>降臨1</v>
      </c>
      <c r="D2" s="94">
        <v>1</v>
      </c>
      <c r="E2" s="95">
        <v>1</v>
      </c>
      <c r="F2" s="73" t="str">
        <f>A2&amp;TEXT(E2,"0000")</f>
        <v>410010001</v>
      </c>
      <c r="G2" t="str">
        <f>F2&amp;TEXT(COUNTIF(F$2:F2,F2),"00")</f>
        <v>41001000101</v>
      </c>
      <c r="H2" s="75" t="s">
        <v>156</v>
      </c>
      <c r="I2" s="75">
        <v>601</v>
      </c>
      <c r="J2" s="75">
        <v>1</v>
      </c>
      <c r="K2" s="75">
        <v>0</v>
      </c>
      <c r="L2" s="75">
        <v>0</v>
      </c>
      <c r="M2" s="75">
        <v>0</v>
      </c>
      <c r="N2" s="75">
        <v>0</v>
      </c>
      <c r="O2" s="75">
        <v>1</v>
      </c>
      <c r="P2" s="75">
        <v>1</v>
      </c>
      <c r="Q2" s="75">
        <v>1</v>
      </c>
      <c r="R2" s="75" t="s">
        <v>138</v>
      </c>
      <c r="S2" s="75" t="s">
        <v>157</v>
      </c>
      <c r="T2" s="75" t="s">
        <v>158</v>
      </c>
      <c r="U2" s="76" t="s">
        <v>159</v>
      </c>
    </row>
    <row r="3" spans="1:21" ht="28" x14ac:dyDescent="0.15">
      <c r="A3" s="63">
        <f>score_attack_expanded_floors!$C$2</f>
        <v>41001</v>
      </c>
      <c r="B3" s="64" t="str">
        <f ca="1">VLOOKUP($A3,OFFSET([2]quests!$A$1,0,0,COUNTA([2]quests!$A:$A),MATCH(B$1,[2]quests!$1:$1,0)-MATCH($A$1,[2]quests!$1:$1,0)+1),MATCH(B$1,[2]quests!$1:$1,0)-MATCH($A$1,[2]quests!$1:$1,0)+1,FALSE)</f>
        <v>アマテラス襲来！</v>
      </c>
      <c r="C3" s="64" t="str">
        <f ca="1">VLOOKUP($A3,OFFSET([2]quests!$A$1,0,0,COUNTA([2]quests!$A:$A),MATCH(C$1,[2]quests!$1:$1,0)-MATCH($A$1,[2]quests!$1:$1,0)+1),MATCH(C$1,[2]quests!$1:$1,0)-MATCH($A$1,[2]quests!$1:$1,0)+1,FALSE)</f>
        <v>降臨1</v>
      </c>
      <c r="D3" s="94">
        <v>1</v>
      </c>
      <c r="E3" s="95">
        <v>1</v>
      </c>
      <c r="F3" s="73" t="str">
        <f t="shared" ref="F3:F42" si="0">A3&amp;TEXT(E3,"0000")</f>
        <v>410010001</v>
      </c>
      <c r="G3" t="str">
        <f>F3&amp;TEXT(COUNTIF(F$2:F3,F3),"00")</f>
        <v>41001000102</v>
      </c>
      <c r="H3" s="75" t="s">
        <v>156</v>
      </c>
      <c r="I3" s="75">
        <v>600</v>
      </c>
      <c r="J3" s="75">
        <v>2</v>
      </c>
      <c r="K3" s="75">
        <v>0</v>
      </c>
      <c r="L3" s="75">
        <v>0</v>
      </c>
      <c r="M3" s="75">
        <v>0</v>
      </c>
      <c r="N3" s="75">
        <v>0</v>
      </c>
      <c r="O3" s="75">
        <v>1</v>
      </c>
      <c r="P3" s="75">
        <v>1</v>
      </c>
      <c r="Q3" s="75">
        <v>1</v>
      </c>
      <c r="R3" s="75" t="s">
        <v>138</v>
      </c>
      <c r="S3" s="75" t="s">
        <v>160</v>
      </c>
      <c r="T3" s="75" t="s">
        <v>158</v>
      </c>
      <c r="U3" s="76" t="s">
        <v>159</v>
      </c>
    </row>
    <row r="4" spans="1:21" ht="28" x14ac:dyDescent="0.15">
      <c r="A4" s="63">
        <f>score_attack_expanded_floors!$C$2</f>
        <v>41001</v>
      </c>
      <c r="B4" s="64" t="str">
        <f ca="1">VLOOKUP($A4,OFFSET([2]quests!$A$1,0,0,COUNTA([2]quests!$A:$A),MATCH(B$1,[2]quests!$1:$1,0)-MATCH($A$1,[2]quests!$1:$1,0)+1),MATCH(B$1,[2]quests!$1:$1,0)-MATCH($A$1,[2]quests!$1:$1,0)+1,FALSE)</f>
        <v>アマテラス襲来！</v>
      </c>
      <c r="C4" s="64" t="str">
        <f ca="1">VLOOKUP($A4,OFFSET([2]quests!$A$1,0,0,COUNTA([2]quests!$A:$A),MATCH(C$1,[2]quests!$1:$1,0)-MATCH($A$1,[2]quests!$1:$1,0)+1),MATCH(C$1,[2]quests!$1:$1,0)-MATCH($A$1,[2]quests!$1:$1,0)+1,FALSE)</f>
        <v>降臨1</v>
      </c>
      <c r="D4" s="94">
        <v>1</v>
      </c>
      <c r="E4" s="95">
        <v>1</v>
      </c>
      <c r="F4" s="73" t="str">
        <f t="shared" si="0"/>
        <v>410010001</v>
      </c>
      <c r="G4" t="str">
        <f>F4&amp;TEXT(COUNTIF(F$2:F4,F4),"00")</f>
        <v>41001000103</v>
      </c>
      <c r="H4" s="75" t="s">
        <v>161</v>
      </c>
      <c r="I4" s="75">
        <v>10</v>
      </c>
      <c r="J4" s="75" t="s">
        <v>162</v>
      </c>
      <c r="K4" s="75">
        <v>0</v>
      </c>
      <c r="L4" s="75">
        <v>0</v>
      </c>
      <c r="M4" s="75">
        <v>0</v>
      </c>
      <c r="N4" s="75">
        <v>0</v>
      </c>
      <c r="O4" s="75">
        <v>1</v>
      </c>
      <c r="P4" s="75">
        <v>1</v>
      </c>
      <c r="Q4" s="75">
        <v>1</v>
      </c>
      <c r="R4" s="75" t="s">
        <v>138</v>
      </c>
      <c r="S4" s="75" t="s">
        <v>163</v>
      </c>
      <c r="T4" s="75" t="s">
        <v>158</v>
      </c>
      <c r="U4" s="76" t="s">
        <v>159</v>
      </c>
    </row>
    <row r="5" spans="1:21" ht="28" x14ac:dyDescent="0.15">
      <c r="A5" s="63">
        <f>score_attack_expanded_floors!$C$2</f>
        <v>41001</v>
      </c>
      <c r="B5" s="64" t="str">
        <f ca="1">VLOOKUP($A5,OFFSET([2]quests!$A$1,0,0,COUNTA([2]quests!$A:$A),MATCH(B$1,[2]quests!$1:$1,0)-MATCH($A$1,[2]quests!$1:$1,0)+1),MATCH(B$1,[2]quests!$1:$1,0)-MATCH($A$1,[2]quests!$1:$1,0)+1,FALSE)</f>
        <v>アマテラス襲来！</v>
      </c>
      <c r="C5" s="64" t="str">
        <f ca="1">VLOOKUP($A5,OFFSET([2]quests!$A$1,0,0,COUNTA([2]quests!$A:$A),MATCH(C$1,[2]quests!$1:$1,0)-MATCH($A$1,[2]quests!$1:$1,0)+1),MATCH(C$1,[2]quests!$1:$1,0)-MATCH($A$1,[2]quests!$1:$1,0)+1,FALSE)</f>
        <v>降臨1</v>
      </c>
      <c r="D5" s="94">
        <v>1</v>
      </c>
      <c r="E5" s="95">
        <v>1</v>
      </c>
      <c r="F5" s="73" t="str">
        <f t="shared" si="0"/>
        <v>410010001</v>
      </c>
      <c r="G5" t="str">
        <f>F5&amp;TEXT(COUNTIF(F$2:F5,F5),"00")</f>
        <v>41001000104</v>
      </c>
      <c r="H5" s="75" t="s">
        <v>164</v>
      </c>
      <c r="I5" s="75">
        <v>837</v>
      </c>
      <c r="J5" s="75">
        <v>1</v>
      </c>
      <c r="K5" s="75">
        <v>0</v>
      </c>
      <c r="L5" s="75">
        <v>0</v>
      </c>
      <c r="M5" s="75">
        <v>0</v>
      </c>
      <c r="N5" s="75">
        <v>0</v>
      </c>
      <c r="O5" s="75">
        <v>1</v>
      </c>
      <c r="P5" s="75">
        <v>1</v>
      </c>
      <c r="Q5" s="75">
        <v>1</v>
      </c>
      <c r="R5" s="75" t="s">
        <v>138</v>
      </c>
      <c r="S5" s="75" t="s">
        <v>165</v>
      </c>
      <c r="T5" s="75" t="s">
        <v>158</v>
      </c>
      <c r="U5" s="76" t="s">
        <v>159</v>
      </c>
    </row>
    <row r="6" spans="1:21" ht="28" x14ac:dyDescent="0.15">
      <c r="A6" s="63">
        <f>score_attack_expanded_floors!$C$2</f>
        <v>41001</v>
      </c>
      <c r="B6" s="64" t="str">
        <f ca="1">VLOOKUP($A6,OFFSET([2]quests!$A$1,0,0,COUNTA([2]quests!$A:$A),MATCH(B$1,[2]quests!$1:$1,0)-MATCH($A$1,[2]quests!$1:$1,0)+1),MATCH(B$1,[2]quests!$1:$1,0)-MATCH($A$1,[2]quests!$1:$1,0)+1,FALSE)</f>
        <v>アマテラス襲来！</v>
      </c>
      <c r="C6" s="64" t="str">
        <f ca="1">VLOOKUP($A6,OFFSET([2]quests!$A$1,0,0,COUNTA([2]quests!$A:$A),MATCH(C$1,[2]quests!$1:$1,0)-MATCH($A$1,[2]quests!$1:$1,0)+1),MATCH(C$1,[2]quests!$1:$1,0)-MATCH($A$1,[2]quests!$1:$1,0)+1,FALSE)</f>
        <v>降臨1</v>
      </c>
      <c r="D6" s="94">
        <v>1</v>
      </c>
      <c r="E6" s="95">
        <v>1</v>
      </c>
      <c r="F6" s="73" t="str">
        <f t="shared" si="0"/>
        <v>410010001</v>
      </c>
      <c r="G6" t="str">
        <f>F6&amp;TEXT(COUNTIF(F$2:F6,F6),"00")</f>
        <v>41001000105</v>
      </c>
      <c r="H6" s="75" t="s">
        <v>164</v>
      </c>
      <c r="I6" s="75">
        <v>614</v>
      </c>
      <c r="J6" s="75">
        <v>1</v>
      </c>
      <c r="K6" s="75">
        <v>0</v>
      </c>
      <c r="L6" s="75">
        <v>0</v>
      </c>
      <c r="M6" s="75">
        <v>0</v>
      </c>
      <c r="N6" s="75">
        <v>0</v>
      </c>
      <c r="O6" s="75">
        <v>1</v>
      </c>
      <c r="P6" s="75">
        <v>1</v>
      </c>
      <c r="Q6" s="75">
        <v>1</v>
      </c>
      <c r="R6" s="75" t="s">
        <v>138</v>
      </c>
      <c r="S6" s="75" t="s">
        <v>166</v>
      </c>
      <c r="T6" s="75" t="s">
        <v>158</v>
      </c>
      <c r="U6" s="76" t="s">
        <v>159</v>
      </c>
    </row>
    <row r="7" spans="1:21" ht="28" x14ac:dyDescent="0.15">
      <c r="A7" s="63">
        <f>score_attack_expanded_floors!$C$2</f>
        <v>41001</v>
      </c>
      <c r="B7" s="64" t="str">
        <f ca="1">VLOOKUP($A7,OFFSET([2]quests!$A$1,0,0,COUNTA([2]quests!$A:$A),MATCH(B$1,[2]quests!$1:$1,0)-MATCH($A$1,[2]quests!$1:$1,0)+1),MATCH(B$1,[2]quests!$1:$1,0)-MATCH($A$1,[2]quests!$1:$1,0)+1,FALSE)</f>
        <v>アマテラス襲来！</v>
      </c>
      <c r="C7" s="64" t="str">
        <f ca="1">VLOOKUP($A7,OFFSET([2]quests!$A$1,0,0,COUNTA([2]quests!$A:$A),MATCH(C$1,[2]quests!$1:$1,0)-MATCH($A$1,[2]quests!$1:$1,0)+1),MATCH(C$1,[2]quests!$1:$1,0)-MATCH($A$1,[2]quests!$1:$1,0)+1,FALSE)</f>
        <v>降臨1</v>
      </c>
      <c r="D7" s="94">
        <v>2</v>
      </c>
      <c r="E7" s="95">
        <v>2</v>
      </c>
      <c r="F7" s="73" t="str">
        <f t="shared" si="0"/>
        <v>410010002</v>
      </c>
      <c r="G7" t="str">
        <f>F7&amp;TEXT(COUNTIF(F$2:F7,F7),"00")</f>
        <v>41001000201</v>
      </c>
      <c r="H7" s="75" t="s">
        <v>156</v>
      </c>
      <c r="I7" s="75">
        <v>601</v>
      </c>
      <c r="J7" s="75">
        <v>1</v>
      </c>
      <c r="K7" s="75">
        <v>0</v>
      </c>
      <c r="L7" s="75">
        <v>0</v>
      </c>
      <c r="M7" s="75">
        <v>0</v>
      </c>
      <c r="N7" s="75">
        <v>0</v>
      </c>
      <c r="O7" s="75">
        <v>1</v>
      </c>
      <c r="P7" s="75">
        <v>1</v>
      </c>
      <c r="Q7" s="75">
        <v>1</v>
      </c>
      <c r="R7" s="75" t="s">
        <v>138</v>
      </c>
      <c r="S7" s="75" t="s">
        <v>157</v>
      </c>
      <c r="T7" s="75" t="s">
        <v>158</v>
      </c>
      <c r="U7" s="76" t="s">
        <v>159</v>
      </c>
    </row>
    <row r="8" spans="1:21" ht="28" x14ac:dyDescent="0.15">
      <c r="A8" s="63">
        <f>score_attack_expanded_floors!$C$2</f>
        <v>41001</v>
      </c>
      <c r="B8" s="64" t="str">
        <f ca="1">VLOOKUP($A8,OFFSET([2]quests!$A$1,0,0,COUNTA([2]quests!$A:$A),MATCH(B$1,[2]quests!$1:$1,0)-MATCH($A$1,[2]quests!$1:$1,0)+1),MATCH(B$1,[2]quests!$1:$1,0)-MATCH($A$1,[2]quests!$1:$1,0)+1,FALSE)</f>
        <v>アマテラス襲来！</v>
      </c>
      <c r="C8" s="64" t="str">
        <f ca="1">VLOOKUP($A8,OFFSET([2]quests!$A$1,0,0,COUNTA([2]quests!$A:$A),MATCH(C$1,[2]quests!$1:$1,0)-MATCH($A$1,[2]quests!$1:$1,0)+1),MATCH(C$1,[2]quests!$1:$1,0)-MATCH($A$1,[2]quests!$1:$1,0)+1,FALSE)</f>
        <v>降臨1</v>
      </c>
      <c r="D8" s="94">
        <v>2</v>
      </c>
      <c r="E8" s="95">
        <v>2</v>
      </c>
      <c r="F8" s="73" t="str">
        <f t="shared" si="0"/>
        <v>410010002</v>
      </c>
      <c r="G8" t="str">
        <f>F8&amp;TEXT(COUNTIF(F$2:F8,F8),"00")</f>
        <v>41001000202</v>
      </c>
      <c r="H8" s="75" t="s">
        <v>156</v>
      </c>
      <c r="I8" s="75">
        <v>600</v>
      </c>
      <c r="J8" s="75">
        <v>1</v>
      </c>
      <c r="K8" s="75">
        <v>0</v>
      </c>
      <c r="L8" s="75">
        <v>0</v>
      </c>
      <c r="M8" s="75">
        <v>0</v>
      </c>
      <c r="N8" s="75">
        <v>0</v>
      </c>
      <c r="O8" s="75">
        <v>1</v>
      </c>
      <c r="P8" s="75">
        <v>1</v>
      </c>
      <c r="Q8" s="75">
        <v>1</v>
      </c>
      <c r="R8" s="75" t="s">
        <v>138</v>
      </c>
      <c r="S8" s="75" t="s">
        <v>167</v>
      </c>
      <c r="T8" s="75" t="s">
        <v>158</v>
      </c>
      <c r="U8" s="76" t="s">
        <v>159</v>
      </c>
    </row>
    <row r="9" spans="1:21" ht="28" x14ac:dyDescent="0.15">
      <c r="A9" s="63">
        <f>score_attack_expanded_floors!$C$2</f>
        <v>41001</v>
      </c>
      <c r="B9" s="64" t="str">
        <f ca="1">VLOOKUP($A9,OFFSET([2]quests!$A$1,0,0,COUNTA([2]quests!$A:$A),MATCH(B$1,[2]quests!$1:$1,0)-MATCH($A$1,[2]quests!$1:$1,0)+1),MATCH(B$1,[2]quests!$1:$1,0)-MATCH($A$1,[2]quests!$1:$1,0)+1,FALSE)</f>
        <v>アマテラス襲来！</v>
      </c>
      <c r="C9" s="64" t="str">
        <f ca="1">VLOOKUP($A9,OFFSET([2]quests!$A$1,0,0,COUNTA([2]quests!$A:$A),MATCH(C$1,[2]quests!$1:$1,0)-MATCH($A$1,[2]quests!$1:$1,0)+1),MATCH(C$1,[2]quests!$1:$1,0)-MATCH($A$1,[2]quests!$1:$1,0)+1,FALSE)</f>
        <v>降臨1</v>
      </c>
      <c r="D9" s="94">
        <v>2</v>
      </c>
      <c r="E9" s="95">
        <v>2</v>
      </c>
      <c r="F9" s="73" t="str">
        <f t="shared" si="0"/>
        <v>410010002</v>
      </c>
      <c r="G9" t="str">
        <f>F9&amp;TEXT(COUNTIF(F$2:F9,F9),"00")</f>
        <v>41001000203</v>
      </c>
      <c r="H9" s="75" t="s">
        <v>161</v>
      </c>
      <c r="I9" s="75">
        <v>5</v>
      </c>
      <c r="J9" s="75" t="s">
        <v>162</v>
      </c>
      <c r="K9" s="75">
        <v>0</v>
      </c>
      <c r="L9" s="75">
        <v>0</v>
      </c>
      <c r="M9" s="75">
        <v>0</v>
      </c>
      <c r="N9" s="75">
        <v>0</v>
      </c>
      <c r="O9" s="75">
        <v>1</v>
      </c>
      <c r="P9" s="75">
        <v>1</v>
      </c>
      <c r="Q9" s="75">
        <v>1</v>
      </c>
      <c r="R9" s="75" t="s">
        <v>138</v>
      </c>
      <c r="S9" s="75" t="s">
        <v>168</v>
      </c>
      <c r="T9" s="75" t="s">
        <v>158</v>
      </c>
      <c r="U9" s="76" t="s">
        <v>159</v>
      </c>
    </row>
    <row r="10" spans="1:21" ht="28" x14ac:dyDescent="0.15">
      <c r="A10" s="63">
        <f>score_attack_expanded_floors!$C$2</f>
        <v>41001</v>
      </c>
      <c r="B10" s="64" t="str">
        <f ca="1">VLOOKUP($A10,OFFSET([2]quests!$A$1,0,0,COUNTA([2]quests!$A:$A),MATCH(B$1,[2]quests!$1:$1,0)-MATCH($A$1,[2]quests!$1:$1,0)+1),MATCH(B$1,[2]quests!$1:$1,0)-MATCH($A$1,[2]quests!$1:$1,0)+1,FALSE)</f>
        <v>アマテラス襲来！</v>
      </c>
      <c r="C10" s="64" t="str">
        <f ca="1">VLOOKUP($A10,OFFSET([2]quests!$A$1,0,0,COUNTA([2]quests!$A:$A),MATCH(C$1,[2]quests!$1:$1,0)-MATCH($A$1,[2]quests!$1:$1,0)+1),MATCH(C$1,[2]quests!$1:$1,0)-MATCH($A$1,[2]quests!$1:$1,0)+1,FALSE)</f>
        <v>降臨1</v>
      </c>
      <c r="D10" s="94">
        <v>2</v>
      </c>
      <c r="E10" s="95">
        <v>2</v>
      </c>
      <c r="F10" s="73" t="str">
        <f t="shared" si="0"/>
        <v>410010002</v>
      </c>
      <c r="G10" t="str">
        <f>F10&amp;TEXT(COUNTIF(F$2:F10,F10),"00")</f>
        <v>41001000204</v>
      </c>
      <c r="H10" s="75" t="s">
        <v>164</v>
      </c>
      <c r="I10" s="75">
        <v>610</v>
      </c>
      <c r="J10" s="75">
        <v>1</v>
      </c>
      <c r="K10" s="75">
        <v>0</v>
      </c>
      <c r="L10" s="75">
        <v>0</v>
      </c>
      <c r="M10" s="75">
        <v>0</v>
      </c>
      <c r="N10" s="75">
        <v>0</v>
      </c>
      <c r="O10" s="75">
        <v>1</v>
      </c>
      <c r="P10" s="75">
        <v>1</v>
      </c>
      <c r="Q10" s="75">
        <v>1</v>
      </c>
      <c r="R10" s="75" t="s">
        <v>138</v>
      </c>
      <c r="S10" s="75" t="s">
        <v>169</v>
      </c>
      <c r="T10" s="75" t="s">
        <v>158</v>
      </c>
      <c r="U10" s="76" t="s">
        <v>159</v>
      </c>
    </row>
    <row r="11" spans="1:21" ht="28" x14ac:dyDescent="0.15">
      <c r="A11" s="63">
        <f>score_attack_expanded_floors!$C$2</f>
        <v>41001</v>
      </c>
      <c r="B11" s="64" t="str">
        <f ca="1">VLOOKUP($A11,OFFSET([2]quests!$A$1,0,0,COUNTA([2]quests!$A:$A),MATCH(B$1,[2]quests!$1:$1,0)-MATCH($A$1,[2]quests!$1:$1,0)+1),MATCH(B$1,[2]quests!$1:$1,0)-MATCH($A$1,[2]quests!$1:$1,0)+1,FALSE)</f>
        <v>アマテラス襲来！</v>
      </c>
      <c r="C11" s="64" t="str">
        <f ca="1">VLOOKUP($A11,OFFSET([2]quests!$A$1,0,0,COUNTA([2]quests!$A:$A),MATCH(C$1,[2]quests!$1:$1,0)-MATCH($A$1,[2]quests!$1:$1,0)+1),MATCH(C$1,[2]quests!$1:$1,0)-MATCH($A$1,[2]quests!$1:$1,0)+1,FALSE)</f>
        <v>降臨1</v>
      </c>
      <c r="D11" s="94">
        <v>2</v>
      </c>
      <c r="E11" s="95">
        <v>2</v>
      </c>
      <c r="F11" s="73" t="str">
        <f t="shared" si="0"/>
        <v>410010002</v>
      </c>
      <c r="G11" t="str">
        <f>F11&amp;TEXT(COUNTIF(F$2:F11,F11),"00")</f>
        <v>41001000205</v>
      </c>
      <c r="H11" s="75" t="s">
        <v>156</v>
      </c>
      <c r="I11" s="75">
        <v>1</v>
      </c>
      <c r="J11" s="75">
        <v>3</v>
      </c>
      <c r="K11" s="75">
        <v>0</v>
      </c>
      <c r="L11" s="75">
        <v>0</v>
      </c>
      <c r="M11" s="75">
        <v>0</v>
      </c>
      <c r="N11" s="75">
        <v>0</v>
      </c>
      <c r="O11" s="75">
        <v>1</v>
      </c>
      <c r="P11" s="75">
        <v>1</v>
      </c>
      <c r="Q11" s="75">
        <v>1</v>
      </c>
      <c r="R11" s="75" t="s">
        <v>138</v>
      </c>
      <c r="S11" s="75" t="s">
        <v>170</v>
      </c>
      <c r="T11" s="75" t="s">
        <v>158</v>
      </c>
      <c r="U11" s="76" t="s">
        <v>159</v>
      </c>
    </row>
    <row r="12" spans="1:21" ht="28" x14ac:dyDescent="0.15">
      <c r="A12" s="63">
        <f>score_attack_expanded_floors!$C$2</f>
        <v>41001</v>
      </c>
      <c r="B12" s="64" t="str">
        <f ca="1">VLOOKUP($A12,OFFSET([2]quests!$A$1,0,0,COUNTA([2]quests!$A:$A),MATCH(B$1,[2]quests!$1:$1,0)-MATCH($A$1,[2]quests!$1:$1,0)+1),MATCH(B$1,[2]quests!$1:$1,0)-MATCH($A$1,[2]quests!$1:$1,0)+1,FALSE)</f>
        <v>アマテラス襲来！</v>
      </c>
      <c r="C12" s="64" t="str">
        <f ca="1">VLOOKUP($A12,OFFSET([2]quests!$A$1,0,0,COUNTA([2]quests!$A:$A),MATCH(C$1,[2]quests!$1:$1,0)-MATCH($A$1,[2]quests!$1:$1,0)+1),MATCH(C$1,[2]quests!$1:$1,0)-MATCH($A$1,[2]quests!$1:$1,0)+1,FALSE)</f>
        <v>降臨1</v>
      </c>
      <c r="D12" s="94">
        <v>3</v>
      </c>
      <c r="E12" s="95">
        <v>3</v>
      </c>
      <c r="F12" s="73" t="str">
        <f t="shared" si="0"/>
        <v>410010003</v>
      </c>
      <c r="G12" t="str">
        <f>F12&amp;TEXT(COUNTIF(F$2:F12,F12),"00")</f>
        <v>41001000301</v>
      </c>
      <c r="H12" s="75" t="s">
        <v>156</v>
      </c>
      <c r="I12" s="75">
        <v>600</v>
      </c>
      <c r="J12" s="75">
        <v>3</v>
      </c>
      <c r="K12" s="75">
        <v>0</v>
      </c>
      <c r="L12" s="75">
        <v>0</v>
      </c>
      <c r="M12" s="75">
        <v>0</v>
      </c>
      <c r="N12" s="75">
        <v>0</v>
      </c>
      <c r="O12" s="75">
        <v>1</v>
      </c>
      <c r="P12" s="75">
        <v>1</v>
      </c>
      <c r="Q12" s="75">
        <v>1</v>
      </c>
      <c r="R12" s="75" t="s">
        <v>138</v>
      </c>
      <c r="S12" s="75" t="s">
        <v>171</v>
      </c>
      <c r="T12" s="75" t="s">
        <v>158</v>
      </c>
      <c r="U12" s="76" t="s">
        <v>159</v>
      </c>
    </row>
    <row r="13" spans="1:21" ht="28" x14ac:dyDescent="0.15">
      <c r="A13" s="63">
        <f>score_attack_expanded_floors!$C$2</f>
        <v>41001</v>
      </c>
      <c r="B13" s="64" t="str">
        <f ca="1">VLOOKUP($A13,OFFSET([2]quests!$A$1,0,0,COUNTA([2]quests!$A:$A),MATCH(B$1,[2]quests!$1:$1,0)-MATCH($A$1,[2]quests!$1:$1,0)+1),MATCH(B$1,[2]quests!$1:$1,0)-MATCH($A$1,[2]quests!$1:$1,0)+1,FALSE)</f>
        <v>アマテラス襲来！</v>
      </c>
      <c r="C13" s="64" t="str">
        <f ca="1">VLOOKUP($A13,OFFSET([2]quests!$A$1,0,0,COUNTA([2]quests!$A:$A),MATCH(C$1,[2]quests!$1:$1,0)-MATCH($A$1,[2]quests!$1:$1,0)+1),MATCH(C$1,[2]quests!$1:$1,0)-MATCH($A$1,[2]quests!$1:$1,0)+1,FALSE)</f>
        <v>降臨1</v>
      </c>
      <c r="D13" s="94">
        <v>3</v>
      </c>
      <c r="E13" s="95">
        <v>3</v>
      </c>
      <c r="F13" s="73" t="str">
        <f t="shared" si="0"/>
        <v>410010003</v>
      </c>
      <c r="G13" t="str">
        <f>F13&amp;TEXT(COUNTIF(F$2:F13,F13),"00")</f>
        <v>41001000302</v>
      </c>
      <c r="H13" s="75" t="s">
        <v>164</v>
      </c>
      <c r="I13" s="75">
        <v>335</v>
      </c>
      <c r="J13" s="75">
        <v>1</v>
      </c>
      <c r="K13" s="75">
        <v>0</v>
      </c>
      <c r="L13" s="75">
        <v>0</v>
      </c>
      <c r="M13" s="75">
        <v>0</v>
      </c>
      <c r="N13" s="75">
        <v>0</v>
      </c>
      <c r="O13" s="75">
        <v>1</v>
      </c>
      <c r="P13" s="75">
        <v>1</v>
      </c>
      <c r="Q13" s="75">
        <v>1</v>
      </c>
      <c r="R13" s="75" t="s">
        <v>138</v>
      </c>
      <c r="S13" s="75" t="s">
        <v>172</v>
      </c>
      <c r="T13" s="75" t="s">
        <v>158</v>
      </c>
      <c r="U13" s="76" t="s">
        <v>159</v>
      </c>
    </row>
    <row r="14" spans="1:21" ht="28" x14ac:dyDescent="0.15">
      <c r="A14" s="63">
        <f>score_attack_expanded_floors!$C$2</f>
        <v>41001</v>
      </c>
      <c r="B14" s="64" t="str">
        <f ca="1">VLOOKUP($A14,OFFSET([2]quests!$A$1,0,0,COUNTA([2]quests!$A:$A),MATCH(B$1,[2]quests!$1:$1,0)-MATCH($A$1,[2]quests!$1:$1,0)+1),MATCH(B$1,[2]quests!$1:$1,0)-MATCH($A$1,[2]quests!$1:$1,0)+1,FALSE)</f>
        <v>アマテラス襲来！</v>
      </c>
      <c r="C14" s="64" t="str">
        <f ca="1">VLOOKUP($A14,OFFSET([2]quests!$A$1,0,0,COUNTA([2]quests!$A:$A),MATCH(C$1,[2]quests!$1:$1,0)-MATCH($A$1,[2]quests!$1:$1,0)+1),MATCH(C$1,[2]quests!$1:$1,0)-MATCH($A$1,[2]quests!$1:$1,0)+1,FALSE)</f>
        <v>降臨1</v>
      </c>
      <c r="D14" s="94">
        <v>3</v>
      </c>
      <c r="E14" s="95">
        <v>3</v>
      </c>
      <c r="F14" s="73" t="str">
        <f t="shared" si="0"/>
        <v>410010003</v>
      </c>
      <c r="G14" t="str">
        <f>F14&amp;TEXT(COUNTIF(F$2:F14,F14),"00")</f>
        <v>41001000303</v>
      </c>
      <c r="H14" s="75" t="s">
        <v>164</v>
      </c>
      <c r="I14" s="75">
        <v>339</v>
      </c>
      <c r="J14" s="75">
        <v>1</v>
      </c>
      <c r="K14" s="75">
        <v>0</v>
      </c>
      <c r="L14" s="75">
        <v>0</v>
      </c>
      <c r="M14" s="75">
        <v>0</v>
      </c>
      <c r="N14" s="75">
        <v>0</v>
      </c>
      <c r="O14" s="75">
        <v>1</v>
      </c>
      <c r="P14" s="75">
        <v>1</v>
      </c>
      <c r="Q14" s="75">
        <v>1</v>
      </c>
      <c r="R14" s="75" t="s">
        <v>138</v>
      </c>
      <c r="S14" s="75" t="s">
        <v>173</v>
      </c>
      <c r="T14" s="75" t="s">
        <v>158</v>
      </c>
      <c r="U14" s="76" t="s">
        <v>159</v>
      </c>
    </row>
    <row r="15" spans="1:21" ht="28" x14ac:dyDescent="0.15">
      <c r="A15" s="63">
        <f>score_attack_expanded_floors!$C$2</f>
        <v>41001</v>
      </c>
      <c r="B15" s="64" t="str">
        <f ca="1">VLOOKUP($A15,OFFSET([2]quests!$A$1,0,0,COUNTA([2]quests!$A:$A),MATCH(B$1,[2]quests!$1:$1,0)-MATCH($A$1,[2]quests!$1:$1,0)+1),MATCH(B$1,[2]quests!$1:$1,0)-MATCH($A$1,[2]quests!$1:$1,0)+1,FALSE)</f>
        <v>アマテラス襲来！</v>
      </c>
      <c r="C15" s="64" t="str">
        <f ca="1">VLOOKUP($A15,OFFSET([2]quests!$A$1,0,0,COUNTA([2]quests!$A:$A),MATCH(C$1,[2]quests!$1:$1,0)-MATCH($A$1,[2]quests!$1:$1,0)+1),MATCH(C$1,[2]quests!$1:$1,0)-MATCH($A$1,[2]quests!$1:$1,0)+1,FALSE)</f>
        <v>降臨1</v>
      </c>
      <c r="D15" s="94">
        <v>3</v>
      </c>
      <c r="E15" s="95">
        <v>3</v>
      </c>
      <c r="F15" s="73" t="str">
        <f t="shared" si="0"/>
        <v>410010003</v>
      </c>
      <c r="G15" t="str">
        <f>F15&amp;TEXT(COUNTIF(F$2:F15,F15),"00")</f>
        <v>41001000304</v>
      </c>
      <c r="H15" s="75" t="s">
        <v>164</v>
      </c>
      <c r="I15" s="75">
        <v>343</v>
      </c>
      <c r="J15" s="75">
        <v>1</v>
      </c>
      <c r="K15" s="75">
        <v>0</v>
      </c>
      <c r="L15" s="75">
        <v>0</v>
      </c>
      <c r="M15" s="75">
        <v>0</v>
      </c>
      <c r="N15" s="75">
        <v>0</v>
      </c>
      <c r="O15" s="75">
        <v>1</v>
      </c>
      <c r="P15" s="75">
        <v>1</v>
      </c>
      <c r="Q15" s="75">
        <v>1</v>
      </c>
      <c r="R15" s="75" t="s">
        <v>138</v>
      </c>
      <c r="S15" s="75" t="s">
        <v>174</v>
      </c>
      <c r="T15" s="75" t="s">
        <v>158</v>
      </c>
      <c r="U15" s="76" t="s">
        <v>159</v>
      </c>
    </row>
    <row r="16" spans="1:21" ht="28" x14ac:dyDescent="0.15">
      <c r="A16" s="63">
        <f>score_attack_expanded_floors!$C$2</f>
        <v>41001</v>
      </c>
      <c r="B16" s="64" t="str">
        <f ca="1">VLOOKUP($A16,OFFSET([2]quests!$A$1,0,0,COUNTA([2]quests!$A:$A),MATCH(B$1,[2]quests!$1:$1,0)-MATCH($A$1,[2]quests!$1:$1,0)+1),MATCH(B$1,[2]quests!$1:$1,0)-MATCH($A$1,[2]quests!$1:$1,0)+1,FALSE)</f>
        <v>アマテラス襲来！</v>
      </c>
      <c r="C16" s="64" t="str">
        <f ca="1">VLOOKUP($A16,OFFSET([2]quests!$A$1,0,0,COUNTA([2]quests!$A:$A),MATCH(C$1,[2]quests!$1:$1,0)-MATCH($A$1,[2]quests!$1:$1,0)+1),MATCH(C$1,[2]quests!$1:$1,0)-MATCH($A$1,[2]quests!$1:$1,0)+1,FALSE)</f>
        <v>降臨1</v>
      </c>
      <c r="D16" s="94">
        <v>3</v>
      </c>
      <c r="E16" s="95">
        <v>3</v>
      </c>
      <c r="F16" s="73" t="str">
        <f t="shared" si="0"/>
        <v>410010003</v>
      </c>
      <c r="G16" t="str">
        <f>F16&amp;TEXT(COUNTIF(F$2:F16,F16),"00")</f>
        <v>41001000305</v>
      </c>
      <c r="H16" s="75" t="s">
        <v>164</v>
      </c>
      <c r="I16" s="75">
        <v>347</v>
      </c>
      <c r="J16" s="75">
        <v>1</v>
      </c>
      <c r="K16" s="75">
        <v>0</v>
      </c>
      <c r="L16" s="75">
        <v>0</v>
      </c>
      <c r="M16" s="75">
        <v>0</v>
      </c>
      <c r="N16" s="75">
        <v>0</v>
      </c>
      <c r="O16" s="75">
        <v>1</v>
      </c>
      <c r="P16" s="75">
        <v>1</v>
      </c>
      <c r="Q16" s="75">
        <v>1</v>
      </c>
      <c r="R16" s="75" t="s">
        <v>138</v>
      </c>
      <c r="S16" s="75" t="s">
        <v>175</v>
      </c>
      <c r="T16" s="75" t="s">
        <v>158</v>
      </c>
      <c r="U16" s="76" t="s">
        <v>159</v>
      </c>
    </row>
    <row r="17" spans="1:21" ht="28" x14ac:dyDescent="0.15">
      <c r="A17" s="63">
        <f>score_attack_expanded_floors!$C$2</f>
        <v>41001</v>
      </c>
      <c r="B17" s="64" t="str">
        <f ca="1">VLOOKUP($A17,OFFSET([2]quests!$A$1,0,0,COUNTA([2]quests!$A:$A),MATCH(B$1,[2]quests!$1:$1,0)-MATCH($A$1,[2]quests!$1:$1,0)+1),MATCH(B$1,[2]quests!$1:$1,0)-MATCH($A$1,[2]quests!$1:$1,0)+1,FALSE)</f>
        <v>アマテラス襲来！</v>
      </c>
      <c r="C17" s="64" t="str">
        <f ca="1">VLOOKUP($A17,OFFSET([2]quests!$A$1,0,0,COUNTA([2]quests!$A:$A),MATCH(C$1,[2]quests!$1:$1,0)-MATCH($A$1,[2]quests!$1:$1,0)+1),MATCH(C$1,[2]quests!$1:$1,0)-MATCH($A$1,[2]quests!$1:$1,0)+1,FALSE)</f>
        <v>降臨1</v>
      </c>
      <c r="D17" s="94">
        <v>3</v>
      </c>
      <c r="E17" s="95">
        <v>3</v>
      </c>
      <c r="F17" s="73" t="str">
        <f t="shared" si="0"/>
        <v>410010003</v>
      </c>
      <c r="G17" t="str">
        <f>F17&amp;TEXT(COUNTIF(F$2:F17,F17),"00")</f>
        <v>41001000306</v>
      </c>
      <c r="H17" s="75" t="s">
        <v>161</v>
      </c>
      <c r="I17" s="75">
        <v>5</v>
      </c>
      <c r="J17" s="75" t="s">
        <v>162</v>
      </c>
      <c r="K17" s="75">
        <v>0</v>
      </c>
      <c r="L17" s="75">
        <v>0</v>
      </c>
      <c r="M17" s="75">
        <v>0</v>
      </c>
      <c r="N17" s="75">
        <v>0</v>
      </c>
      <c r="O17" s="75">
        <v>1</v>
      </c>
      <c r="P17" s="75">
        <v>1</v>
      </c>
      <c r="Q17" s="75">
        <v>1</v>
      </c>
      <c r="R17" s="75" t="s">
        <v>138</v>
      </c>
      <c r="S17" s="75" t="s">
        <v>168</v>
      </c>
      <c r="T17" s="75" t="s">
        <v>158</v>
      </c>
      <c r="U17" s="76" t="s">
        <v>159</v>
      </c>
    </row>
    <row r="18" spans="1:21" ht="28" x14ac:dyDescent="0.15">
      <c r="A18" s="63">
        <f>score_attack_expanded_floors!$C$2</f>
        <v>41001</v>
      </c>
      <c r="B18" s="64" t="str">
        <f ca="1">VLOOKUP($A18,OFFSET([2]quests!$A$1,0,0,COUNTA([2]quests!$A:$A),MATCH(B$1,[2]quests!$1:$1,0)-MATCH($A$1,[2]quests!$1:$1,0)+1),MATCH(B$1,[2]quests!$1:$1,0)-MATCH($A$1,[2]quests!$1:$1,0)+1,FALSE)</f>
        <v>アマテラス襲来！</v>
      </c>
      <c r="C18" s="64" t="str">
        <f ca="1">VLOOKUP($A18,OFFSET([2]quests!$A$1,0,0,COUNTA([2]quests!$A:$A),MATCH(C$1,[2]quests!$1:$1,0)-MATCH($A$1,[2]quests!$1:$1,0)+1),MATCH(C$1,[2]quests!$1:$1,0)-MATCH($A$1,[2]quests!$1:$1,0)+1,FALSE)</f>
        <v>降臨1</v>
      </c>
      <c r="D18" s="94">
        <v>3</v>
      </c>
      <c r="E18" s="95">
        <v>3</v>
      </c>
      <c r="F18" s="73" t="str">
        <f t="shared" si="0"/>
        <v>410010003</v>
      </c>
      <c r="G18" t="str">
        <f>F18&amp;TEXT(COUNTIF(F$2:F18,F18),"00")</f>
        <v>41001000307</v>
      </c>
      <c r="H18" s="75" t="s">
        <v>164</v>
      </c>
      <c r="I18" s="75">
        <v>125</v>
      </c>
      <c r="J18" s="75">
        <v>1</v>
      </c>
      <c r="K18" s="75">
        <v>0</v>
      </c>
      <c r="L18" s="75">
        <v>0</v>
      </c>
      <c r="M18" s="75">
        <v>0</v>
      </c>
      <c r="N18" s="75">
        <v>0</v>
      </c>
      <c r="O18" s="75">
        <v>1</v>
      </c>
      <c r="P18" s="75">
        <v>1</v>
      </c>
      <c r="Q18" s="75">
        <v>1</v>
      </c>
      <c r="R18" s="75" t="s">
        <v>138</v>
      </c>
      <c r="S18" s="75" t="s">
        <v>176</v>
      </c>
      <c r="T18" s="75" t="s">
        <v>158</v>
      </c>
      <c r="U18" s="76" t="s">
        <v>159</v>
      </c>
    </row>
    <row r="19" spans="1:21" ht="28" x14ac:dyDescent="0.15">
      <c r="A19" s="63">
        <f>score_attack_expanded_floors!$C$2</f>
        <v>41001</v>
      </c>
      <c r="B19" s="64" t="str">
        <f ca="1">VLOOKUP($A19,OFFSET([2]quests!$A$1,0,0,COUNTA([2]quests!$A:$A),MATCH(B$1,[2]quests!$1:$1,0)-MATCH($A$1,[2]quests!$1:$1,0)+1),MATCH(B$1,[2]quests!$1:$1,0)-MATCH($A$1,[2]quests!$1:$1,0)+1,FALSE)</f>
        <v>アマテラス襲来！</v>
      </c>
      <c r="C19" s="64" t="str">
        <f ca="1">VLOOKUP($A19,OFFSET([2]quests!$A$1,0,0,COUNTA([2]quests!$A:$A),MATCH(C$1,[2]quests!$1:$1,0)-MATCH($A$1,[2]quests!$1:$1,0)+1),MATCH(C$1,[2]quests!$1:$1,0)-MATCH($A$1,[2]quests!$1:$1,0)+1,FALSE)</f>
        <v>降臨1</v>
      </c>
      <c r="D19" s="94">
        <v>3</v>
      </c>
      <c r="E19" s="95">
        <v>3</v>
      </c>
      <c r="F19" s="73" t="str">
        <f t="shared" si="0"/>
        <v>410010003</v>
      </c>
      <c r="G19" t="str">
        <f>F19&amp;TEXT(COUNTIF(F$2:F19,F19),"00")</f>
        <v>41001000308</v>
      </c>
      <c r="H19" s="75" t="s">
        <v>156</v>
      </c>
      <c r="I19" s="75">
        <v>1</v>
      </c>
      <c r="J19" s="75">
        <v>1</v>
      </c>
      <c r="K19" s="75">
        <v>0</v>
      </c>
      <c r="L19" s="75">
        <v>0</v>
      </c>
      <c r="M19" s="75">
        <v>0</v>
      </c>
      <c r="N19" s="75">
        <v>0</v>
      </c>
      <c r="O19" s="75">
        <v>1</v>
      </c>
      <c r="P19" s="75">
        <v>1</v>
      </c>
      <c r="Q19" s="75">
        <v>1</v>
      </c>
      <c r="R19" s="75" t="s">
        <v>138</v>
      </c>
      <c r="S19" s="75" t="s">
        <v>177</v>
      </c>
      <c r="T19" s="75" t="s">
        <v>158</v>
      </c>
      <c r="U19" s="76" t="s">
        <v>159</v>
      </c>
    </row>
    <row r="20" spans="1:21" ht="28" x14ac:dyDescent="0.15">
      <c r="A20" s="63">
        <f>score_attack_expanded_floors!$C$2</f>
        <v>41001</v>
      </c>
      <c r="B20" s="64" t="str">
        <f ca="1">VLOOKUP($A20,OFFSET([2]quests!$A$1,0,0,COUNTA([2]quests!$A:$A),MATCH(B$1,[2]quests!$1:$1,0)-MATCH($A$1,[2]quests!$1:$1,0)+1),MATCH(B$1,[2]quests!$1:$1,0)-MATCH($A$1,[2]quests!$1:$1,0)+1,FALSE)</f>
        <v>アマテラス襲来！</v>
      </c>
      <c r="C20" s="64" t="str">
        <f ca="1">VLOOKUP($A20,OFFSET([2]quests!$A$1,0,0,COUNTA([2]quests!$A:$A),MATCH(C$1,[2]quests!$1:$1,0)-MATCH($A$1,[2]quests!$1:$1,0)+1),MATCH(C$1,[2]quests!$1:$1,0)-MATCH($A$1,[2]quests!$1:$1,0)+1,FALSE)</f>
        <v>降臨1</v>
      </c>
      <c r="D20" s="94">
        <v>4</v>
      </c>
      <c r="E20" s="95">
        <v>5</v>
      </c>
      <c r="F20" s="73" t="str">
        <f t="shared" si="0"/>
        <v>410010005</v>
      </c>
      <c r="G20" t="str">
        <f>F20&amp;TEXT(COUNTIF(F$2:F20,F20),"00")</f>
        <v>41001000501</v>
      </c>
      <c r="H20" s="75" t="s">
        <v>156</v>
      </c>
      <c r="I20" s="75">
        <v>600</v>
      </c>
      <c r="J20" s="75">
        <v>2</v>
      </c>
      <c r="K20" s="75">
        <v>0</v>
      </c>
      <c r="L20" s="75">
        <v>0</v>
      </c>
      <c r="M20" s="75">
        <v>0</v>
      </c>
      <c r="N20" s="75">
        <v>0</v>
      </c>
      <c r="O20" s="75">
        <v>1</v>
      </c>
      <c r="P20" s="75">
        <v>1</v>
      </c>
      <c r="Q20" s="75">
        <v>1</v>
      </c>
      <c r="R20" s="75" t="s">
        <v>138</v>
      </c>
      <c r="S20" s="75" t="s">
        <v>160</v>
      </c>
      <c r="T20" s="75" t="s">
        <v>158</v>
      </c>
      <c r="U20" s="76" t="s">
        <v>159</v>
      </c>
    </row>
    <row r="21" spans="1:21" ht="28" x14ac:dyDescent="0.15">
      <c r="A21" s="63">
        <f>score_attack_expanded_floors!$C$2</f>
        <v>41001</v>
      </c>
      <c r="B21" s="64" t="str">
        <f ca="1">VLOOKUP($A21,OFFSET([2]quests!$A$1,0,0,COUNTA([2]quests!$A:$A),MATCH(B$1,[2]quests!$1:$1,0)-MATCH($A$1,[2]quests!$1:$1,0)+1),MATCH(B$1,[2]quests!$1:$1,0)-MATCH($A$1,[2]quests!$1:$1,0)+1,FALSE)</f>
        <v>アマテラス襲来！</v>
      </c>
      <c r="C21" s="64" t="str">
        <f ca="1">VLOOKUP($A21,OFFSET([2]quests!$A$1,0,0,COUNTA([2]quests!$A:$A),MATCH(C$1,[2]quests!$1:$1,0)-MATCH($A$1,[2]quests!$1:$1,0)+1),MATCH(C$1,[2]quests!$1:$1,0)-MATCH($A$1,[2]quests!$1:$1,0)+1,FALSE)</f>
        <v>降臨1</v>
      </c>
      <c r="D21" s="94">
        <v>4</v>
      </c>
      <c r="E21" s="95">
        <v>5</v>
      </c>
      <c r="F21" s="73" t="str">
        <f t="shared" si="0"/>
        <v>410010005</v>
      </c>
      <c r="G21" t="str">
        <f>F21&amp;TEXT(COUNTIF(F$2:F21,F21),"00")</f>
        <v>41001000502</v>
      </c>
      <c r="H21" s="75" t="s">
        <v>164</v>
      </c>
      <c r="I21" s="75">
        <v>335</v>
      </c>
      <c r="J21" s="75">
        <v>1</v>
      </c>
      <c r="K21" s="75">
        <v>0</v>
      </c>
      <c r="L21" s="75">
        <v>0</v>
      </c>
      <c r="M21" s="75">
        <v>0</v>
      </c>
      <c r="N21" s="75">
        <v>0</v>
      </c>
      <c r="O21" s="75">
        <v>1</v>
      </c>
      <c r="P21" s="75">
        <v>1</v>
      </c>
      <c r="Q21" s="75">
        <v>1</v>
      </c>
      <c r="R21" s="75" t="s">
        <v>138</v>
      </c>
      <c r="S21" s="75" t="s">
        <v>172</v>
      </c>
      <c r="T21" s="75" t="s">
        <v>158</v>
      </c>
      <c r="U21" s="76" t="s">
        <v>159</v>
      </c>
    </row>
    <row r="22" spans="1:21" ht="28" x14ac:dyDescent="0.15">
      <c r="A22" s="63">
        <f>score_attack_expanded_floors!$C$2</f>
        <v>41001</v>
      </c>
      <c r="B22" s="64" t="str">
        <f ca="1">VLOOKUP($A22,OFFSET([2]quests!$A$1,0,0,COUNTA([2]quests!$A:$A),MATCH(B$1,[2]quests!$1:$1,0)-MATCH($A$1,[2]quests!$1:$1,0)+1),MATCH(B$1,[2]quests!$1:$1,0)-MATCH($A$1,[2]quests!$1:$1,0)+1,FALSE)</f>
        <v>アマテラス襲来！</v>
      </c>
      <c r="C22" s="64" t="str">
        <f ca="1">VLOOKUP($A22,OFFSET([2]quests!$A$1,0,0,COUNTA([2]quests!$A:$A),MATCH(C$1,[2]quests!$1:$1,0)-MATCH($A$1,[2]quests!$1:$1,0)+1),MATCH(C$1,[2]quests!$1:$1,0)-MATCH($A$1,[2]quests!$1:$1,0)+1,FALSE)</f>
        <v>降臨1</v>
      </c>
      <c r="D22" s="94">
        <v>4</v>
      </c>
      <c r="E22" s="95">
        <v>5</v>
      </c>
      <c r="F22" s="73" t="str">
        <f t="shared" si="0"/>
        <v>410010005</v>
      </c>
      <c r="G22" t="str">
        <f>F22&amp;TEXT(COUNTIF(F$2:F22,F22),"00")</f>
        <v>41001000503</v>
      </c>
      <c r="H22" s="75" t="s">
        <v>164</v>
      </c>
      <c r="I22" s="75">
        <v>339</v>
      </c>
      <c r="J22" s="75">
        <v>1</v>
      </c>
      <c r="K22" s="75">
        <v>0</v>
      </c>
      <c r="L22" s="75">
        <v>0</v>
      </c>
      <c r="M22" s="75">
        <v>0</v>
      </c>
      <c r="N22" s="75">
        <v>0</v>
      </c>
      <c r="O22" s="75">
        <v>1</v>
      </c>
      <c r="P22" s="75">
        <v>1</v>
      </c>
      <c r="Q22" s="75">
        <v>1</v>
      </c>
      <c r="R22" s="75" t="s">
        <v>138</v>
      </c>
      <c r="S22" s="75" t="s">
        <v>173</v>
      </c>
      <c r="T22" s="75" t="s">
        <v>158</v>
      </c>
      <c r="U22" s="76" t="s">
        <v>159</v>
      </c>
    </row>
    <row r="23" spans="1:21" ht="28" x14ac:dyDescent="0.15">
      <c r="A23" s="63">
        <f>score_attack_expanded_floors!$C$2</f>
        <v>41001</v>
      </c>
      <c r="B23" s="64" t="str">
        <f ca="1">VLOOKUP($A23,OFFSET([2]quests!$A$1,0,0,COUNTA([2]quests!$A:$A),MATCH(B$1,[2]quests!$1:$1,0)-MATCH($A$1,[2]quests!$1:$1,0)+1),MATCH(B$1,[2]quests!$1:$1,0)-MATCH($A$1,[2]quests!$1:$1,0)+1,FALSE)</f>
        <v>アマテラス襲来！</v>
      </c>
      <c r="C23" s="64" t="str">
        <f ca="1">VLOOKUP($A23,OFFSET([2]quests!$A$1,0,0,COUNTA([2]quests!$A:$A),MATCH(C$1,[2]quests!$1:$1,0)-MATCH($A$1,[2]quests!$1:$1,0)+1),MATCH(C$1,[2]quests!$1:$1,0)-MATCH($A$1,[2]quests!$1:$1,0)+1,FALSE)</f>
        <v>降臨1</v>
      </c>
      <c r="D23" s="94">
        <v>4</v>
      </c>
      <c r="E23" s="95">
        <v>5</v>
      </c>
      <c r="F23" s="73" t="str">
        <f t="shared" si="0"/>
        <v>410010005</v>
      </c>
      <c r="G23" t="str">
        <f>F23&amp;TEXT(COUNTIF(F$2:F23,F23),"00")</f>
        <v>41001000504</v>
      </c>
      <c r="H23" s="75" t="s">
        <v>164</v>
      </c>
      <c r="I23" s="75">
        <v>343</v>
      </c>
      <c r="J23" s="75">
        <v>1</v>
      </c>
      <c r="K23" s="75">
        <v>0</v>
      </c>
      <c r="L23" s="75">
        <v>0</v>
      </c>
      <c r="M23" s="75">
        <v>0</v>
      </c>
      <c r="N23" s="75">
        <v>0</v>
      </c>
      <c r="O23" s="75">
        <v>1</v>
      </c>
      <c r="P23" s="75">
        <v>1</v>
      </c>
      <c r="Q23" s="75">
        <v>1</v>
      </c>
      <c r="R23" s="75" t="s">
        <v>138</v>
      </c>
      <c r="S23" s="75" t="s">
        <v>174</v>
      </c>
      <c r="T23" s="75" t="s">
        <v>158</v>
      </c>
      <c r="U23" s="76" t="s">
        <v>159</v>
      </c>
    </row>
    <row r="24" spans="1:21" ht="28" x14ac:dyDescent="0.15">
      <c r="A24" s="63">
        <f>score_attack_expanded_floors!$C$2</f>
        <v>41001</v>
      </c>
      <c r="B24" s="64" t="str">
        <f ca="1">VLOOKUP($A24,OFFSET([2]quests!$A$1,0,0,COUNTA([2]quests!$A:$A),MATCH(B$1,[2]quests!$1:$1,0)-MATCH($A$1,[2]quests!$1:$1,0)+1),MATCH(B$1,[2]quests!$1:$1,0)-MATCH($A$1,[2]quests!$1:$1,0)+1,FALSE)</f>
        <v>アマテラス襲来！</v>
      </c>
      <c r="C24" s="64" t="str">
        <f ca="1">VLOOKUP($A24,OFFSET([2]quests!$A$1,0,0,COUNTA([2]quests!$A:$A),MATCH(C$1,[2]quests!$1:$1,0)-MATCH($A$1,[2]quests!$1:$1,0)+1),MATCH(C$1,[2]quests!$1:$1,0)-MATCH($A$1,[2]quests!$1:$1,0)+1,FALSE)</f>
        <v>降臨1</v>
      </c>
      <c r="D24" s="94">
        <v>4</v>
      </c>
      <c r="E24" s="95">
        <v>5</v>
      </c>
      <c r="F24" s="73" t="str">
        <f t="shared" si="0"/>
        <v>410010005</v>
      </c>
      <c r="G24" t="str">
        <f>F24&amp;TEXT(COUNTIF(F$2:F24,F24),"00")</f>
        <v>41001000505</v>
      </c>
      <c r="H24" s="75" t="s">
        <v>164</v>
      </c>
      <c r="I24" s="75">
        <v>347</v>
      </c>
      <c r="J24" s="75">
        <v>1</v>
      </c>
      <c r="K24" s="75">
        <v>0</v>
      </c>
      <c r="L24" s="75">
        <v>0</v>
      </c>
      <c r="M24" s="75">
        <v>0</v>
      </c>
      <c r="N24" s="75">
        <v>0</v>
      </c>
      <c r="O24" s="75">
        <v>1</v>
      </c>
      <c r="P24" s="75">
        <v>1</v>
      </c>
      <c r="Q24" s="75">
        <v>1</v>
      </c>
      <c r="R24" s="75" t="s">
        <v>138</v>
      </c>
      <c r="S24" s="75" t="s">
        <v>175</v>
      </c>
      <c r="T24" s="75" t="s">
        <v>158</v>
      </c>
      <c r="U24" s="76" t="s">
        <v>159</v>
      </c>
    </row>
    <row r="25" spans="1:21" ht="28" x14ac:dyDescent="0.15">
      <c r="A25" s="63">
        <f>score_attack_expanded_floors!$C$2</f>
        <v>41001</v>
      </c>
      <c r="B25" s="64" t="str">
        <f ca="1">VLOOKUP($A25,OFFSET([2]quests!$A$1,0,0,COUNTA([2]quests!$A:$A),MATCH(B$1,[2]quests!$1:$1,0)-MATCH($A$1,[2]quests!$1:$1,0)+1),MATCH(B$1,[2]quests!$1:$1,0)-MATCH($A$1,[2]quests!$1:$1,0)+1,FALSE)</f>
        <v>アマテラス襲来！</v>
      </c>
      <c r="C25" s="64" t="str">
        <f ca="1">VLOOKUP($A25,OFFSET([2]quests!$A$1,0,0,COUNTA([2]quests!$A:$A),MATCH(C$1,[2]quests!$1:$1,0)-MATCH($A$1,[2]quests!$1:$1,0)+1),MATCH(C$1,[2]quests!$1:$1,0)-MATCH($A$1,[2]quests!$1:$1,0)+1,FALSE)</f>
        <v>降臨1</v>
      </c>
      <c r="D25" s="94">
        <v>4</v>
      </c>
      <c r="E25" s="95">
        <v>5</v>
      </c>
      <c r="F25" s="73" t="str">
        <f t="shared" si="0"/>
        <v>410010005</v>
      </c>
      <c r="G25" t="str">
        <f>F25&amp;TEXT(COUNTIF(F$2:F25,F25),"00")</f>
        <v>41001000506</v>
      </c>
      <c r="H25" s="75" t="s">
        <v>161</v>
      </c>
      <c r="I25" s="75">
        <v>5</v>
      </c>
      <c r="J25" s="75" t="s">
        <v>162</v>
      </c>
      <c r="K25" s="75">
        <v>0</v>
      </c>
      <c r="L25" s="75">
        <v>0</v>
      </c>
      <c r="M25" s="75">
        <v>0</v>
      </c>
      <c r="N25" s="75">
        <v>0</v>
      </c>
      <c r="O25" s="75">
        <v>1</v>
      </c>
      <c r="P25" s="75">
        <v>1</v>
      </c>
      <c r="Q25" s="75">
        <v>1</v>
      </c>
      <c r="R25" s="75" t="s">
        <v>138</v>
      </c>
      <c r="S25" s="75" t="s">
        <v>168</v>
      </c>
      <c r="T25" s="75" t="s">
        <v>158</v>
      </c>
      <c r="U25" s="76" t="s">
        <v>159</v>
      </c>
    </row>
    <row r="26" spans="1:21" ht="28" x14ac:dyDescent="0.15">
      <c r="A26" s="63">
        <f>score_attack_expanded_floors!$C$2</f>
        <v>41001</v>
      </c>
      <c r="B26" s="64" t="str">
        <f ca="1">VLOOKUP($A26,OFFSET([2]quests!$A$1,0,0,COUNTA([2]quests!$A:$A),MATCH(B$1,[2]quests!$1:$1,0)-MATCH($A$1,[2]quests!$1:$1,0)+1),MATCH(B$1,[2]quests!$1:$1,0)-MATCH($A$1,[2]quests!$1:$1,0)+1,FALSE)</f>
        <v>アマテラス襲来！</v>
      </c>
      <c r="C26" s="64" t="str">
        <f ca="1">VLOOKUP($A26,OFFSET([2]quests!$A$1,0,0,COUNTA([2]quests!$A:$A),MATCH(C$1,[2]quests!$1:$1,0)-MATCH($A$1,[2]quests!$1:$1,0)+1),MATCH(C$1,[2]quests!$1:$1,0)-MATCH($A$1,[2]quests!$1:$1,0)+1,FALSE)</f>
        <v>降臨1</v>
      </c>
      <c r="D26" s="94">
        <v>4</v>
      </c>
      <c r="E26" s="95">
        <v>5</v>
      </c>
      <c r="F26" s="73" t="str">
        <f t="shared" si="0"/>
        <v>410010005</v>
      </c>
      <c r="G26" t="str">
        <f>F26&amp;TEXT(COUNTIF(F$2:F26,F26),"00")</f>
        <v>41001000507</v>
      </c>
      <c r="H26" s="75" t="s">
        <v>178</v>
      </c>
      <c r="I26" s="75">
        <v>2000</v>
      </c>
      <c r="J26" s="75" t="s">
        <v>162</v>
      </c>
      <c r="K26" s="75">
        <v>0</v>
      </c>
      <c r="L26" s="75">
        <v>0</v>
      </c>
      <c r="M26" s="75">
        <v>0</v>
      </c>
      <c r="N26" s="75">
        <v>0</v>
      </c>
      <c r="O26" s="75">
        <v>1</v>
      </c>
      <c r="P26" s="75">
        <v>1</v>
      </c>
      <c r="Q26" s="75">
        <v>1</v>
      </c>
      <c r="R26" s="75" t="s">
        <v>138</v>
      </c>
      <c r="S26" s="75" t="s">
        <v>179</v>
      </c>
      <c r="T26" s="75" t="s">
        <v>158</v>
      </c>
      <c r="U26" s="76" t="s">
        <v>159</v>
      </c>
    </row>
    <row r="27" spans="1:21" ht="28" x14ac:dyDescent="0.15">
      <c r="A27" s="63">
        <f>score_attack_expanded_floors!$C$2</f>
        <v>41001</v>
      </c>
      <c r="B27" s="64" t="str">
        <f ca="1">VLOOKUP($A27,OFFSET([2]quests!$A$1,0,0,COUNTA([2]quests!$A:$A),MATCH(B$1,[2]quests!$1:$1,0)-MATCH($A$1,[2]quests!$1:$1,0)+1),MATCH(B$1,[2]quests!$1:$1,0)-MATCH($A$1,[2]quests!$1:$1,0)+1,FALSE)</f>
        <v>アマテラス襲来！</v>
      </c>
      <c r="C27" s="64" t="str">
        <f ca="1">VLOOKUP($A27,OFFSET([2]quests!$A$1,0,0,COUNTA([2]quests!$A:$A),MATCH(C$1,[2]quests!$1:$1,0)-MATCH($A$1,[2]quests!$1:$1,0)+1),MATCH(C$1,[2]quests!$1:$1,0)-MATCH($A$1,[2]quests!$1:$1,0)+1,FALSE)</f>
        <v>降臨1</v>
      </c>
      <c r="D27" s="94">
        <v>6</v>
      </c>
      <c r="E27" s="95">
        <v>10</v>
      </c>
      <c r="F27" s="73" t="str">
        <f t="shared" si="0"/>
        <v>410010010</v>
      </c>
      <c r="G27" t="str">
        <f>F27&amp;TEXT(COUNTIF(F$2:F27,F27),"00")</f>
        <v>41001001001</v>
      </c>
      <c r="H27" s="75" t="s">
        <v>156</v>
      </c>
      <c r="I27" s="75">
        <v>600</v>
      </c>
      <c r="J27" s="75">
        <v>1</v>
      </c>
      <c r="K27" s="75">
        <v>0</v>
      </c>
      <c r="L27" s="75">
        <v>0</v>
      </c>
      <c r="M27" s="75">
        <v>0</v>
      </c>
      <c r="N27" s="75">
        <v>0</v>
      </c>
      <c r="O27" s="75">
        <v>1</v>
      </c>
      <c r="P27" s="75">
        <v>1</v>
      </c>
      <c r="Q27" s="75">
        <v>1</v>
      </c>
      <c r="R27" s="75" t="s">
        <v>138</v>
      </c>
      <c r="S27" s="75" t="s">
        <v>167</v>
      </c>
      <c r="T27" s="75" t="s">
        <v>158</v>
      </c>
      <c r="U27" s="76" t="s">
        <v>159</v>
      </c>
    </row>
    <row r="28" spans="1:21" ht="28" x14ac:dyDescent="0.15">
      <c r="A28" s="63">
        <f>score_attack_expanded_floors!$C$2</f>
        <v>41001</v>
      </c>
      <c r="B28" s="64" t="str">
        <f ca="1">VLOOKUP($A28,OFFSET([2]quests!$A$1,0,0,COUNTA([2]quests!$A:$A),MATCH(B$1,[2]quests!$1:$1,0)-MATCH($A$1,[2]quests!$1:$1,0)+1),MATCH(B$1,[2]quests!$1:$1,0)-MATCH($A$1,[2]quests!$1:$1,0)+1,FALSE)</f>
        <v>アマテラス襲来！</v>
      </c>
      <c r="C28" s="64" t="str">
        <f ca="1">VLOOKUP($A28,OFFSET([2]quests!$A$1,0,0,COUNTA([2]quests!$A:$A),MATCH(C$1,[2]quests!$1:$1,0)-MATCH($A$1,[2]quests!$1:$1,0)+1),MATCH(C$1,[2]quests!$1:$1,0)-MATCH($A$1,[2]quests!$1:$1,0)+1,FALSE)</f>
        <v>降臨1</v>
      </c>
      <c r="D28" s="94">
        <v>6</v>
      </c>
      <c r="E28" s="95">
        <v>10</v>
      </c>
      <c r="F28" s="73" t="str">
        <f t="shared" si="0"/>
        <v>410010010</v>
      </c>
      <c r="G28" t="str">
        <f>F28&amp;TEXT(COUNTIF(F$2:F28,F28),"00")</f>
        <v>41001001002</v>
      </c>
      <c r="H28" s="75" t="s">
        <v>164</v>
      </c>
      <c r="I28" s="75">
        <v>334</v>
      </c>
      <c r="J28" s="75">
        <v>1</v>
      </c>
      <c r="K28" s="75">
        <v>0</v>
      </c>
      <c r="L28" s="75">
        <v>0</v>
      </c>
      <c r="M28" s="75">
        <v>0</v>
      </c>
      <c r="N28" s="75">
        <v>0</v>
      </c>
      <c r="O28" s="75">
        <v>1</v>
      </c>
      <c r="P28" s="75">
        <v>1</v>
      </c>
      <c r="Q28" s="75">
        <v>1</v>
      </c>
      <c r="R28" s="75" t="s">
        <v>138</v>
      </c>
      <c r="S28" s="75" t="s">
        <v>180</v>
      </c>
      <c r="T28" s="75" t="s">
        <v>158</v>
      </c>
      <c r="U28" s="76" t="s">
        <v>159</v>
      </c>
    </row>
    <row r="29" spans="1:21" ht="28" x14ac:dyDescent="0.15">
      <c r="A29" s="63">
        <f>score_attack_expanded_floors!$C$2</f>
        <v>41001</v>
      </c>
      <c r="B29" s="64" t="str">
        <f ca="1">VLOOKUP($A29,OFFSET([2]quests!$A$1,0,0,COUNTA([2]quests!$A:$A),MATCH(B$1,[2]quests!$1:$1,0)-MATCH($A$1,[2]quests!$1:$1,0)+1),MATCH(B$1,[2]quests!$1:$1,0)-MATCH($A$1,[2]quests!$1:$1,0)+1,FALSE)</f>
        <v>アマテラス襲来！</v>
      </c>
      <c r="C29" s="64" t="str">
        <f ca="1">VLOOKUP($A29,OFFSET([2]quests!$A$1,0,0,COUNTA([2]quests!$A:$A),MATCH(C$1,[2]quests!$1:$1,0)-MATCH($A$1,[2]quests!$1:$1,0)+1),MATCH(C$1,[2]quests!$1:$1,0)-MATCH($A$1,[2]quests!$1:$1,0)+1,FALSE)</f>
        <v>降臨1</v>
      </c>
      <c r="D29" s="94">
        <v>6</v>
      </c>
      <c r="E29" s="95">
        <v>10</v>
      </c>
      <c r="F29" s="73" t="str">
        <f t="shared" si="0"/>
        <v>410010010</v>
      </c>
      <c r="G29" t="str">
        <f>F29&amp;TEXT(COUNTIF(F$2:F29,F29),"00")</f>
        <v>41001001003</v>
      </c>
      <c r="H29" s="75" t="s">
        <v>164</v>
      </c>
      <c r="I29" s="75">
        <v>338</v>
      </c>
      <c r="J29" s="75">
        <v>1</v>
      </c>
      <c r="K29" s="75">
        <v>0</v>
      </c>
      <c r="L29" s="75">
        <v>0</v>
      </c>
      <c r="M29" s="75">
        <v>0</v>
      </c>
      <c r="N29" s="75">
        <v>0</v>
      </c>
      <c r="O29" s="75">
        <v>1</v>
      </c>
      <c r="P29" s="75">
        <v>1</v>
      </c>
      <c r="Q29" s="75">
        <v>1</v>
      </c>
      <c r="R29" s="75" t="s">
        <v>138</v>
      </c>
      <c r="S29" s="75" t="s">
        <v>181</v>
      </c>
      <c r="T29" s="75" t="s">
        <v>158</v>
      </c>
      <c r="U29" s="76" t="s">
        <v>159</v>
      </c>
    </row>
    <row r="30" spans="1:21" ht="28" x14ac:dyDescent="0.15">
      <c r="A30" s="63">
        <f>score_attack_expanded_floors!$C$2</f>
        <v>41001</v>
      </c>
      <c r="B30" s="64" t="str">
        <f ca="1">VLOOKUP($A30,OFFSET([2]quests!$A$1,0,0,COUNTA([2]quests!$A:$A),MATCH(B$1,[2]quests!$1:$1,0)-MATCH($A$1,[2]quests!$1:$1,0)+1),MATCH(B$1,[2]quests!$1:$1,0)-MATCH($A$1,[2]quests!$1:$1,0)+1,FALSE)</f>
        <v>アマテラス襲来！</v>
      </c>
      <c r="C30" s="64" t="str">
        <f ca="1">VLOOKUP($A30,OFFSET([2]quests!$A$1,0,0,COUNTA([2]quests!$A:$A),MATCH(C$1,[2]quests!$1:$1,0)-MATCH($A$1,[2]quests!$1:$1,0)+1),MATCH(C$1,[2]quests!$1:$1,0)-MATCH($A$1,[2]quests!$1:$1,0)+1,FALSE)</f>
        <v>降臨1</v>
      </c>
      <c r="D30" s="94">
        <v>6</v>
      </c>
      <c r="E30" s="95">
        <v>10</v>
      </c>
      <c r="F30" s="73" t="str">
        <f t="shared" si="0"/>
        <v>410010010</v>
      </c>
      <c r="G30" t="str">
        <f>F30&amp;TEXT(COUNTIF(F$2:F30,F30),"00")</f>
        <v>41001001004</v>
      </c>
      <c r="H30" s="75" t="s">
        <v>164</v>
      </c>
      <c r="I30" s="75">
        <v>342</v>
      </c>
      <c r="J30" s="75">
        <v>1</v>
      </c>
      <c r="K30" s="75">
        <v>0</v>
      </c>
      <c r="L30" s="75">
        <v>0</v>
      </c>
      <c r="M30" s="75">
        <v>0</v>
      </c>
      <c r="N30" s="75">
        <v>0</v>
      </c>
      <c r="O30" s="75">
        <v>1</v>
      </c>
      <c r="P30" s="75">
        <v>1</v>
      </c>
      <c r="Q30" s="75">
        <v>1</v>
      </c>
      <c r="R30" s="75" t="s">
        <v>138</v>
      </c>
      <c r="S30" s="75" t="s">
        <v>182</v>
      </c>
      <c r="T30" s="75" t="s">
        <v>158</v>
      </c>
      <c r="U30" s="76" t="s">
        <v>159</v>
      </c>
    </row>
    <row r="31" spans="1:21" ht="28" x14ac:dyDescent="0.15">
      <c r="A31" s="63">
        <f>score_attack_expanded_floors!$C$2</f>
        <v>41001</v>
      </c>
      <c r="B31" s="64" t="str">
        <f ca="1">VLOOKUP($A31,OFFSET([2]quests!$A$1,0,0,COUNTA([2]quests!$A:$A),MATCH(B$1,[2]quests!$1:$1,0)-MATCH($A$1,[2]quests!$1:$1,0)+1),MATCH(B$1,[2]quests!$1:$1,0)-MATCH($A$1,[2]quests!$1:$1,0)+1,FALSE)</f>
        <v>アマテラス襲来！</v>
      </c>
      <c r="C31" s="64" t="str">
        <f ca="1">VLOOKUP($A31,OFFSET([2]quests!$A$1,0,0,COUNTA([2]quests!$A:$A),MATCH(C$1,[2]quests!$1:$1,0)-MATCH($A$1,[2]quests!$1:$1,0)+1),MATCH(C$1,[2]quests!$1:$1,0)-MATCH($A$1,[2]quests!$1:$1,0)+1,FALSE)</f>
        <v>降臨1</v>
      </c>
      <c r="D31" s="94">
        <v>6</v>
      </c>
      <c r="E31" s="95">
        <v>10</v>
      </c>
      <c r="F31" s="73" t="str">
        <f t="shared" si="0"/>
        <v>410010010</v>
      </c>
      <c r="G31" t="str">
        <f>F31&amp;TEXT(COUNTIF(F$2:F31,F31),"00")</f>
        <v>41001001005</v>
      </c>
      <c r="H31" s="75" t="s">
        <v>164</v>
      </c>
      <c r="I31" s="75">
        <v>346</v>
      </c>
      <c r="J31" s="75">
        <v>1</v>
      </c>
      <c r="K31" s="75">
        <v>0</v>
      </c>
      <c r="L31" s="75">
        <v>0</v>
      </c>
      <c r="M31" s="75">
        <v>0</v>
      </c>
      <c r="N31" s="75">
        <v>0</v>
      </c>
      <c r="O31" s="75">
        <v>1</v>
      </c>
      <c r="P31" s="75">
        <v>1</v>
      </c>
      <c r="Q31" s="75">
        <v>1</v>
      </c>
      <c r="R31" s="75" t="s">
        <v>138</v>
      </c>
      <c r="S31" s="75" t="s">
        <v>183</v>
      </c>
      <c r="T31" s="75" t="s">
        <v>158</v>
      </c>
      <c r="U31" s="76" t="s">
        <v>159</v>
      </c>
    </row>
    <row r="32" spans="1:21" ht="28" x14ac:dyDescent="0.15">
      <c r="A32" s="63">
        <f>score_attack_expanded_floors!$C$2</f>
        <v>41001</v>
      </c>
      <c r="B32" s="64" t="str">
        <f ca="1">VLOOKUP($A32,OFFSET([2]quests!$A$1,0,0,COUNTA([2]quests!$A:$A),MATCH(B$1,[2]quests!$1:$1,0)-MATCH($A$1,[2]quests!$1:$1,0)+1),MATCH(B$1,[2]quests!$1:$1,0)-MATCH($A$1,[2]quests!$1:$1,0)+1,FALSE)</f>
        <v>アマテラス襲来！</v>
      </c>
      <c r="C32" s="64" t="str">
        <f ca="1">VLOOKUP($A32,OFFSET([2]quests!$A$1,0,0,COUNTA([2]quests!$A:$A),MATCH(C$1,[2]quests!$1:$1,0)-MATCH($A$1,[2]quests!$1:$1,0)+1),MATCH(C$1,[2]quests!$1:$1,0)-MATCH($A$1,[2]quests!$1:$1,0)+1,FALSE)</f>
        <v>降臨1</v>
      </c>
      <c r="D32" s="94">
        <v>6</v>
      </c>
      <c r="E32" s="95">
        <v>10</v>
      </c>
      <c r="F32" s="73" t="str">
        <f t="shared" si="0"/>
        <v>410010010</v>
      </c>
      <c r="G32" t="str">
        <f>F32&amp;TEXT(COUNTIF(F$2:F32,F32),"00")</f>
        <v>41001001006</v>
      </c>
      <c r="H32" s="75" t="s">
        <v>161</v>
      </c>
      <c r="I32" s="75">
        <v>3</v>
      </c>
      <c r="J32" s="75" t="s">
        <v>162</v>
      </c>
      <c r="K32" s="75">
        <v>0</v>
      </c>
      <c r="L32" s="75">
        <v>0</v>
      </c>
      <c r="M32" s="75">
        <v>0</v>
      </c>
      <c r="N32" s="75">
        <v>0</v>
      </c>
      <c r="O32" s="75">
        <v>1</v>
      </c>
      <c r="P32" s="75">
        <v>1</v>
      </c>
      <c r="Q32" s="75">
        <v>1</v>
      </c>
      <c r="R32" s="75" t="s">
        <v>138</v>
      </c>
      <c r="S32" s="75" t="s">
        <v>184</v>
      </c>
      <c r="T32" s="75" t="s">
        <v>158</v>
      </c>
      <c r="U32" s="76" t="s">
        <v>159</v>
      </c>
    </row>
    <row r="33" spans="1:21" ht="28" x14ac:dyDescent="0.15">
      <c r="A33" s="63">
        <f>score_attack_expanded_floors!$C$2</f>
        <v>41001</v>
      </c>
      <c r="B33" s="64" t="str">
        <f ca="1">VLOOKUP($A33,OFFSET([2]quests!$A$1,0,0,COUNTA([2]quests!$A:$A),MATCH(B$1,[2]quests!$1:$1,0)-MATCH($A$1,[2]quests!$1:$1,0)+1),MATCH(B$1,[2]quests!$1:$1,0)-MATCH($A$1,[2]quests!$1:$1,0)+1,FALSE)</f>
        <v>アマテラス襲来！</v>
      </c>
      <c r="C33" s="64" t="str">
        <f ca="1">VLOOKUP($A33,OFFSET([2]quests!$A$1,0,0,COUNTA([2]quests!$A:$A),MATCH(C$1,[2]quests!$1:$1,0)-MATCH($A$1,[2]quests!$1:$1,0)+1),MATCH(C$1,[2]quests!$1:$1,0)-MATCH($A$1,[2]quests!$1:$1,0)+1,FALSE)</f>
        <v>降臨1</v>
      </c>
      <c r="D33" s="94">
        <v>6</v>
      </c>
      <c r="E33" s="95">
        <v>10</v>
      </c>
      <c r="F33" s="73" t="str">
        <f t="shared" si="0"/>
        <v>410010010</v>
      </c>
      <c r="G33" t="str">
        <f>F33&amp;TEXT(COUNTIF(F$2:F33,F33),"00")</f>
        <v>41001001007</v>
      </c>
      <c r="H33" s="75" t="s">
        <v>178</v>
      </c>
      <c r="I33" s="75">
        <v>2000</v>
      </c>
      <c r="J33" s="75" t="s">
        <v>162</v>
      </c>
      <c r="K33" s="75">
        <v>0</v>
      </c>
      <c r="L33" s="75">
        <v>0</v>
      </c>
      <c r="M33" s="75">
        <v>0</v>
      </c>
      <c r="N33" s="75">
        <v>0</v>
      </c>
      <c r="O33" s="75">
        <v>1</v>
      </c>
      <c r="P33" s="75">
        <v>1</v>
      </c>
      <c r="Q33" s="75">
        <v>1</v>
      </c>
      <c r="R33" s="75" t="s">
        <v>138</v>
      </c>
      <c r="S33" s="75" t="s">
        <v>179</v>
      </c>
      <c r="T33" s="75" t="s">
        <v>158</v>
      </c>
      <c r="U33" s="76" t="s">
        <v>159</v>
      </c>
    </row>
    <row r="34" spans="1:21" ht="28" x14ac:dyDescent="0.15">
      <c r="A34" s="63">
        <f>score_attack_expanded_floors!$C$2</f>
        <v>41001</v>
      </c>
      <c r="B34" s="64" t="str">
        <f ca="1">VLOOKUP($A34,OFFSET([2]quests!$A$1,0,0,COUNTA([2]quests!$A:$A),MATCH(B$1,[2]quests!$1:$1,0)-MATCH($A$1,[2]quests!$1:$1,0)+1),MATCH(B$1,[2]quests!$1:$1,0)-MATCH($A$1,[2]quests!$1:$1,0)+1,FALSE)</f>
        <v>アマテラス襲来！</v>
      </c>
      <c r="C34" s="64" t="str">
        <f ca="1">VLOOKUP($A34,OFFSET([2]quests!$A$1,0,0,COUNTA([2]quests!$A:$A),MATCH(C$1,[2]quests!$1:$1,0)-MATCH($A$1,[2]quests!$1:$1,0)+1),MATCH(C$1,[2]quests!$1:$1,0)-MATCH($A$1,[2]quests!$1:$1,0)+1,FALSE)</f>
        <v>降臨1</v>
      </c>
      <c r="D34" s="94">
        <v>11</v>
      </c>
      <c r="E34" s="95">
        <v>25</v>
      </c>
      <c r="F34" s="73" t="str">
        <f t="shared" si="0"/>
        <v>410010025</v>
      </c>
      <c r="G34" t="str">
        <f>F34&amp;TEXT(COUNTIF(F$2:F34,F34),"00")</f>
        <v>41001002501</v>
      </c>
      <c r="H34" s="75" t="s">
        <v>161</v>
      </c>
      <c r="I34" s="75">
        <v>3</v>
      </c>
      <c r="J34" s="75" t="s">
        <v>162</v>
      </c>
      <c r="K34" s="75">
        <v>0</v>
      </c>
      <c r="L34" s="75">
        <v>0</v>
      </c>
      <c r="M34" s="75">
        <v>0</v>
      </c>
      <c r="N34" s="75">
        <v>0</v>
      </c>
      <c r="O34" s="75">
        <v>1</v>
      </c>
      <c r="P34" s="75">
        <v>1</v>
      </c>
      <c r="Q34" s="75">
        <v>1</v>
      </c>
      <c r="R34" s="75" t="s">
        <v>138</v>
      </c>
      <c r="S34" s="75" t="s">
        <v>184</v>
      </c>
      <c r="T34" s="75" t="s">
        <v>158</v>
      </c>
      <c r="U34" s="76" t="s">
        <v>159</v>
      </c>
    </row>
    <row r="35" spans="1:21" ht="28" x14ac:dyDescent="0.15">
      <c r="A35" s="63">
        <f>score_attack_expanded_floors!$C$2</f>
        <v>41001</v>
      </c>
      <c r="B35" s="64" t="str">
        <f ca="1">VLOOKUP($A35,OFFSET([2]quests!$A$1,0,0,COUNTA([2]quests!$A:$A),MATCH(B$1,[2]quests!$1:$1,0)-MATCH($A$1,[2]quests!$1:$1,0)+1),MATCH(B$1,[2]quests!$1:$1,0)-MATCH($A$1,[2]quests!$1:$1,0)+1,FALSE)</f>
        <v>アマテラス襲来！</v>
      </c>
      <c r="C35" s="64" t="str">
        <f ca="1">VLOOKUP($A35,OFFSET([2]quests!$A$1,0,0,COUNTA([2]quests!$A:$A),MATCH(C$1,[2]quests!$1:$1,0)-MATCH($A$1,[2]quests!$1:$1,0)+1),MATCH(C$1,[2]quests!$1:$1,0)-MATCH($A$1,[2]quests!$1:$1,0)+1,FALSE)</f>
        <v>降臨1</v>
      </c>
      <c r="D35" s="94">
        <v>11</v>
      </c>
      <c r="E35" s="95">
        <v>25</v>
      </c>
      <c r="F35" s="73" t="str">
        <f t="shared" si="0"/>
        <v>410010025</v>
      </c>
      <c r="G35" t="str">
        <f>F35&amp;TEXT(COUNTIF(F$2:F35,F35),"00")</f>
        <v>41001002502</v>
      </c>
      <c r="H35" s="75" t="s">
        <v>178</v>
      </c>
      <c r="I35" s="75">
        <v>2000</v>
      </c>
      <c r="J35" s="75" t="s">
        <v>162</v>
      </c>
      <c r="K35" s="75">
        <v>0</v>
      </c>
      <c r="L35" s="75">
        <v>0</v>
      </c>
      <c r="M35" s="75">
        <v>0</v>
      </c>
      <c r="N35" s="75">
        <v>0</v>
      </c>
      <c r="O35" s="75">
        <v>1</v>
      </c>
      <c r="P35" s="75">
        <v>1</v>
      </c>
      <c r="Q35" s="75">
        <v>1</v>
      </c>
      <c r="R35" s="75" t="s">
        <v>138</v>
      </c>
      <c r="S35" s="75" t="s">
        <v>179</v>
      </c>
      <c r="T35" s="75" t="s">
        <v>158</v>
      </c>
      <c r="U35" s="76" t="s">
        <v>159</v>
      </c>
    </row>
    <row r="36" spans="1:21" ht="28" x14ac:dyDescent="0.15">
      <c r="A36" s="63">
        <f>score_attack_expanded_floors!$C$2</f>
        <v>41001</v>
      </c>
      <c r="B36" s="64" t="str">
        <f ca="1">VLOOKUP($A36,OFFSET([2]quests!$A$1,0,0,COUNTA([2]quests!$A:$A),MATCH(B$1,[2]quests!$1:$1,0)-MATCH($A$1,[2]quests!$1:$1,0)+1),MATCH(B$1,[2]quests!$1:$1,0)-MATCH($A$1,[2]quests!$1:$1,0)+1,FALSE)</f>
        <v>アマテラス襲来！</v>
      </c>
      <c r="C36" s="64" t="str">
        <f ca="1">VLOOKUP($A36,OFFSET([2]quests!$A$1,0,0,COUNTA([2]quests!$A:$A),MATCH(C$1,[2]quests!$1:$1,0)-MATCH($A$1,[2]quests!$1:$1,0)+1),MATCH(C$1,[2]quests!$1:$1,0)-MATCH($A$1,[2]quests!$1:$1,0)+1,FALSE)</f>
        <v>降臨1</v>
      </c>
      <c r="D36" s="94">
        <v>11</v>
      </c>
      <c r="E36" s="95">
        <v>25</v>
      </c>
      <c r="F36" s="73" t="str">
        <f t="shared" si="0"/>
        <v>410010025</v>
      </c>
      <c r="G36" t="str">
        <f>F36&amp;TEXT(COUNTIF(F$2:F36,F36),"00")</f>
        <v>41001002503</v>
      </c>
      <c r="H36" s="75" t="s">
        <v>63</v>
      </c>
      <c r="I36" s="75">
        <v>200000</v>
      </c>
      <c r="J36" s="75" t="s">
        <v>162</v>
      </c>
      <c r="K36" s="75">
        <v>0</v>
      </c>
      <c r="L36" s="75">
        <v>0</v>
      </c>
      <c r="M36" s="75">
        <v>0</v>
      </c>
      <c r="N36" s="75">
        <v>0</v>
      </c>
      <c r="O36" s="75">
        <v>1</v>
      </c>
      <c r="P36" s="75">
        <v>1</v>
      </c>
      <c r="Q36" s="75">
        <v>1</v>
      </c>
      <c r="R36" s="75" t="s">
        <v>138</v>
      </c>
      <c r="S36" s="75" t="s">
        <v>185</v>
      </c>
      <c r="T36" s="75" t="s">
        <v>158</v>
      </c>
      <c r="U36" s="76" t="s">
        <v>159</v>
      </c>
    </row>
    <row r="37" spans="1:21" ht="28" x14ac:dyDescent="0.15">
      <c r="A37" s="63">
        <f>score_attack_expanded_floors!$C$2</f>
        <v>41001</v>
      </c>
      <c r="B37" s="64" t="str">
        <f ca="1">VLOOKUP($A37,OFFSET([2]quests!$A$1,0,0,COUNTA([2]quests!$A:$A),MATCH(B$1,[2]quests!$1:$1,0)-MATCH($A$1,[2]quests!$1:$1,0)+1),MATCH(B$1,[2]quests!$1:$1,0)-MATCH($A$1,[2]quests!$1:$1,0)+1,FALSE)</f>
        <v>アマテラス襲来！</v>
      </c>
      <c r="C37" s="64" t="str">
        <f ca="1">VLOOKUP($A37,OFFSET([2]quests!$A$1,0,0,COUNTA([2]quests!$A:$A),MATCH(C$1,[2]quests!$1:$1,0)-MATCH($A$1,[2]quests!$1:$1,0)+1),MATCH(C$1,[2]quests!$1:$1,0)-MATCH($A$1,[2]quests!$1:$1,0)+1,FALSE)</f>
        <v>降臨1</v>
      </c>
      <c r="D37" s="94">
        <v>26</v>
      </c>
      <c r="E37" s="95">
        <v>35</v>
      </c>
      <c r="F37" s="73" t="str">
        <f t="shared" si="0"/>
        <v>410010035</v>
      </c>
      <c r="G37" t="str">
        <f>F37&amp;TEXT(COUNTIF(F$2:F37,F37),"00")</f>
        <v>41001003501</v>
      </c>
      <c r="H37" s="75" t="s">
        <v>161</v>
      </c>
      <c r="I37" s="75">
        <v>2</v>
      </c>
      <c r="J37" s="75" t="s">
        <v>162</v>
      </c>
      <c r="K37" s="75">
        <v>0</v>
      </c>
      <c r="L37" s="75">
        <v>0</v>
      </c>
      <c r="M37" s="75">
        <v>0</v>
      </c>
      <c r="N37" s="75">
        <v>0</v>
      </c>
      <c r="O37" s="75">
        <v>1</v>
      </c>
      <c r="P37" s="75">
        <v>1</v>
      </c>
      <c r="Q37" s="75">
        <v>1</v>
      </c>
      <c r="R37" s="75" t="s">
        <v>138</v>
      </c>
      <c r="S37" s="75" t="s">
        <v>186</v>
      </c>
      <c r="T37" s="75" t="s">
        <v>158</v>
      </c>
      <c r="U37" s="76" t="s">
        <v>159</v>
      </c>
    </row>
    <row r="38" spans="1:21" ht="28" x14ac:dyDescent="0.15">
      <c r="A38" s="63">
        <f>score_attack_expanded_floors!$C$2</f>
        <v>41001</v>
      </c>
      <c r="B38" s="64" t="str">
        <f ca="1">VLOOKUP($A38,OFFSET([2]quests!$A$1,0,0,COUNTA([2]quests!$A:$A),MATCH(B$1,[2]quests!$1:$1,0)-MATCH($A$1,[2]quests!$1:$1,0)+1),MATCH(B$1,[2]quests!$1:$1,0)-MATCH($A$1,[2]quests!$1:$1,0)+1,FALSE)</f>
        <v>アマテラス襲来！</v>
      </c>
      <c r="C38" s="64" t="str">
        <f ca="1">VLOOKUP($A38,OFFSET([2]quests!$A$1,0,0,COUNTA([2]quests!$A:$A),MATCH(C$1,[2]quests!$1:$1,0)-MATCH($A$1,[2]quests!$1:$1,0)+1),MATCH(C$1,[2]quests!$1:$1,0)-MATCH($A$1,[2]quests!$1:$1,0)+1,FALSE)</f>
        <v>降臨1</v>
      </c>
      <c r="D38" s="94">
        <v>26</v>
      </c>
      <c r="E38" s="95">
        <v>35</v>
      </c>
      <c r="F38" s="73" t="str">
        <f t="shared" si="0"/>
        <v>410010035</v>
      </c>
      <c r="G38" t="str">
        <f>F38&amp;TEXT(COUNTIF(F$2:F38,F38),"00")</f>
        <v>41001003502</v>
      </c>
      <c r="H38" s="75" t="s">
        <v>178</v>
      </c>
      <c r="I38" s="75">
        <v>1000</v>
      </c>
      <c r="J38" s="75" t="s">
        <v>162</v>
      </c>
      <c r="K38" s="75">
        <v>0</v>
      </c>
      <c r="L38" s="75">
        <v>0</v>
      </c>
      <c r="M38" s="75">
        <v>0</v>
      </c>
      <c r="N38" s="75">
        <v>0</v>
      </c>
      <c r="O38" s="75">
        <v>1</v>
      </c>
      <c r="P38" s="75">
        <v>1</v>
      </c>
      <c r="Q38" s="75">
        <v>1</v>
      </c>
      <c r="R38" s="75" t="s">
        <v>138</v>
      </c>
      <c r="S38" s="75" t="s">
        <v>187</v>
      </c>
      <c r="T38" s="75" t="s">
        <v>158</v>
      </c>
      <c r="U38" s="76" t="s">
        <v>159</v>
      </c>
    </row>
    <row r="39" spans="1:21" ht="28" x14ac:dyDescent="0.15">
      <c r="A39" s="63">
        <f>score_attack_expanded_floors!$C$2</f>
        <v>41001</v>
      </c>
      <c r="B39" s="64" t="str">
        <f ca="1">VLOOKUP($A39,OFFSET([2]quests!$A$1,0,0,COUNTA([2]quests!$A:$A),MATCH(B$1,[2]quests!$1:$1,0)-MATCH($A$1,[2]quests!$1:$1,0)+1),MATCH(B$1,[2]quests!$1:$1,0)-MATCH($A$1,[2]quests!$1:$1,0)+1,FALSE)</f>
        <v>アマテラス襲来！</v>
      </c>
      <c r="C39" s="64" t="str">
        <f ca="1">VLOOKUP($A39,OFFSET([2]quests!$A$1,0,0,COUNTA([2]quests!$A:$A),MATCH(C$1,[2]quests!$1:$1,0)-MATCH($A$1,[2]quests!$1:$1,0)+1),MATCH(C$1,[2]quests!$1:$1,0)-MATCH($A$1,[2]quests!$1:$1,0)+1,FALSE)</f>
        <v>降臨1</v>
      </c>
      <c r="D39" s="94">
        <v>26</v>
      </c>
      <c r="E39" s="95">
        <v>35</v>
      </c>
      <c r="F39" s="73" t="str">
        <f t="shared" si="0"/>
        <v>410010035</v>
      </c>
      <c r="G39" t="str">
        <f>F39&amp;TEXT(COUNTIF(F$2:F39,F39),"00")</f>
        <v>41001003503</v>
      </c>
      <c r="H39" s="75" t="s">
        <v>63</v>
      </c>
      <c r="I39" s="75">
        <v>150000</v>
      </c>
      <c r="J39" s="75" t="s">
        <v>162</v>
      </c>
      <c r="K39" s="75">
        <v>0</v>
      </c>
      <c r="L39" s="75">
        <v>0</v>
      </c>
      <c r="M39" s="75">
        <v>0</v>
      </c>
      <c r="N39" s="75">
        <v>0</v>
      </c>
      <c r="O39" s="75">
        <v>1</v>
      </c>
      <c r="P39" s="75">
        <v>1</v>
      </c>
      <c r="Q39" s="75">
        <v>1</v>
      </c>
      <c r="R39" s="75" t="s">
        <v>138</v>
      </c>
      <c r="S39" s="75" t="s">
        <v>188</v>
      </c>
      <c r="T39" s="75" t="s">
        <v>158</v>
      </c>
      <c r="U39" s="76" t="s">
        <v>159</v>
      </c>
    </row>
    <row r="40" spans="1:21" ht="28" x14ac:dyDescent="0.15">
      <c r="A40" s="63">
        <f>score_attack_expanded_floors!$C$2</f>
        <v>41001</v>
      </c>
      <c r="B40" s="64" t="str">
        <f ca="1">VLOOKUP($A40,OFFSET([2]quests!$A$1,0,0,COUNTA([2]quests!$A:$A),MATCH(B$1,[2]quests!$1:$1,0)-MATCH($A$1,[2]quests!$1:$1,0)+1),MATCH(B$1,[2]quests!$1:$1,0)-MATCH($A$1,[2]quests!$1:$1,0)+1,FALSE)</f>
        <v>アマテラス襲来！</v>
      </c>
      <c r="C40" s="64" t="str">
        <f ca="1">VLOOKUP($A40,OFFSET([2]quests!$A$1,0,0,COUNTA([2]quests!$A:$A),MATCH(C$1,[2]quests!$1:$1,0)-MATCH($A$1,[2]quests!$1:$1,0)+1),MATCH(C$1,[2]quests!$1:$1,0)-MATCH($A$1,[2]quests!$1:$1,0)+1,FALSE)</f>
        <v>降臨1</v>
      </c>
      <c r="D40" s="94">
        <v>36</v>
      </c>
      <c r="E40" s="95">
        <v>1000</v>
      </c>
      <c r="F40" s="73" t="str">
        <f t="shared" si="0"/>
        <v>410011000</v>
      </c>
      <c r="G40" t="str">
        <f>F40&amp;TEXT(COUNTIF(F$2:F40,F40),"00")</f>
        <v>41001100001</v>
      </c>
      <c r="H40" s="75" t="s">
        <v>161</v>
      </c>
      <c r="I40" s="75">
        <v>1</v>
      </c>
      <c r="J40" s="75" t="s">
        <v>162</v>
      </c>
      <c r="K40" s="75">
        <v>0</v>
      </c>
      <c r="L40" s="75">
        <v>0</v>
      </c>
      <c r="M40" s="75">
        <v>0</v>
      </c>
      <c r="N40" s="75">
        <v>0</v>
      </c>
      <c r="O40" s="75">
        <v>1</v>
      </c>
      <c r="P40" s="75">
        <v>1</v>
      </c>
      <c r="Q40" s="75">
        <v>1</v>
      </c>
      <c r="R40" s="75" t="s">
        <v>138</v>
      </c>
      <c r="S40" s="75" t="s">
        <v>189</v>
      </c>
      <c r="T40" s="75" t="s">
        <v>158</v>
      </c>
      <c r="U40" s="76" t="s">
        <v>159</v>
      </c>
    </row>
    <row r="41" spans="1:21" ht="28" x14ac:dyDescent="0.15">
      <c r="A41" s="63">
        <f>score_attack_expanded_floors!$C$2</f>
        <v>41001</v>
      </c>
      <c r="B41" s="64" t="str">
        <f ca="1">VLOOKUP($A41,OFFSET([2]quests!$A$1,0,0,COUNTA([2]quests!$A:$A),MATCH(B$1,[2]quests!$1:$1,0)-MATCH($A$1,[2]quests!$1:$1,0)+1),MATCH(B$1,[2]quests!$1:$1,0)-MATCH($A$1,[2]quests!$1:$1,0)+1,FALSE)</f>
        <v>アマテラス襲来！</v>
      </c>
      <c r="C41" s="64" t="str">
        <f ca="1">VLOOKUP($A41,OFFSET([2]quests!$A$1,0,0,COUNTA([2]quests!$A:$A),MATCH(C$1,[2]quests!$1:$1,0)-MATCH($A$1,[2]quests!$1:$1,0)+1),MATCH(C$1,[2]quests!$1:$1,0)-MATCH($A$1,[2]quests!$1:$1,0)+1,FALSE)</f>
        <v>降臨1</v>
      </c>
      <c r="D41" s="94">
        <v>36</v>
      </c>
      <c r="E41" s="95">
        <v>1000</v>
      </c>
      <c r="F41" s="73" t="str">
        <f t="shared" si="0"/>
        <v>410011000</v>
      </c>
      <c r="G41" t="str">
        <f>F41&amp;TEXT(COUNTIF(F$2:F41,F41),"00")</f>
        <v>41001100002</v>
      </c>
      <c r="H41" s="75" t="s">
        <v>178</v>
      </c>
      <c r="I41" s="75">
        <v>1000</v>
      </c>
      <c r="J41" s="75" t="s">
        <v>162</v>
      </c>
      <c r="K41" s="75">
        <v>0</v>
      </c>
      <c r="L41" s="75">
        <v>0</v>
      </c>
      <c r="M41" s="75">
        <v>0</v>
      </c>
      <c r="N41" s="75">
        <v>0</v>
      </c>
      <c r="O41" s="75">
        <v>1</v>
      </c>
      <c r="P41" s="75">
        <v>1</v>
      </c>
      <c r="Q41" s="75">
        <v>1</v>
      </c>
      <c r="R41" s="75" t="s">
        <v>138</v>
      </c>
      <c r="S41" s="75" t="s">
        <v>187</v>
      </c>
      <c r="T41" s="75" t="s">
        <v>158</v>
      </c>
      <c r="U41" s="76" t="s">
        <v>159</v>
      </c>
    </row>
    <row r="42" spans="1:21" ht="28" x14ac:dyDescent="0.15">
      <c r="A42" s="63">
        <f>score_attack_expanded_floors!$C$2</f>
        <v>41001</v>
      </c>
      <c r="B42" s="64" t="str">
        <f ca="1">VLOOKUP($A42,OFFSET([2]quests!$A$1,0,0,COUNTA([2]quests!$A:$A),MATCH(B$1,[2]quests!$1:$1,0)-MATCH($A$1,[2]quests!$1:$1,0)+1),MATCH(B$1,[2]quests!$1:$1,0)-MATCH($A$1,[2]quests!$1:$1,0)+1,FALSE)</f>
        <v>アマテラス襲来！</v>
      </c>
      <c r="C42" s="64" t="str">
        <f ca="1">VLOOKUP($A42,OFFSET([2]quests!$A$1,0,0,COUNTA([2]quests!$A:$A),MATCH(C$1,[2]quests!$1:$1,0)-MATCH($A$1,[2]quests!$1:$1,0)+1),MATCH(C$1,[2]quests!$1:$1,0)-MATCH($A$1,[2]quests!$1:$1,0)+1,FALSE)</f>
        <v>降臨1</v>
      </c>
      <c r="D42" s="94">
        <v>36</v>
      </c>
      <c r="E42" s="95">
        <v>1000</v>
      </c>
      <c r="F42" s="73" t="str">
        <f t="shared" si="0"/>
        <v>410011000</v>
      </c>
      <c r="G42" t="str">
        <f>F42&amp;TEXT(COUNTIF(F$2:F42,F42),"00")</f>
        <v>41001100003</v>
      </c>
      <c r="H42" s="75" t="s">
        <v>63</v>
      </c>
      <c r="I42" s="75">
        <v>100000</v>
      </c>
      <c r="J42" s="75" t="s">
        <v>162</v>
      </c>
      <c r="K42" s="75">
        <v>0</v>
      </c>
      <c r="L42" s="75">
        <v>0</v>
      </c>
      <c r="M42" s="75">
        <v>0</v>
      </c>
      <c r="N42" s="75">
        <v>0</v>
      </c>
      <c r="O42" s="75">
        <v>1</v>
      </c>
      <c r="P42" s="75">
        <v>1</v>
      </c>
      <c r="Q42" s="75">
        <v>1</v>
      </c>
      <c r="R42" s="75" t="s">
        <v>138</v>
      </c>
      <c r="S42" s="75" t="s">
        <v>190</v>
      </c>
      <c r="T42" s="75" t="s">
        <v>158</v>
      </c>
      <c r="U42" s="76" t="s">
        <v>159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J4"/>
  <sheetViews>
    <sheetView workbookViewId="0">
      <selection activeCell="A2" sqref="A2"/>
    </sheetView>
  </sheetViews>
  <sheetFormatPr baseColWidth="12" defaultRowHeight="15" x14ac:dyDescent="0.15"/>
  <cols>
    <col min="1" max="1" width="27.1640625" bestFit="1" customWidth="1"/>
  </cols>
  <sheetData>
    <row r="1" spans="1:10" x14ac:dyDescent="0.15">
      <c r="A1" s="113" t="s">
        <v>215</v>
      </c>
      <c r="B1" s="113" t="s">
        <v>0</v>
      </c>
      <c r="C1" s="113" t="s">
        <v>1</v>
      </c>
      <c r="D1" s="113" t="s">
        <v>216</v>
      </c>
      <c r="E1" s="113" t="s">
        <v>217</v>
      </c>
      <c r="F1" s="113" t="s">
        <v>218</v>
      </c>
      <c r="G1" s="113" t="s">
        <v>219</v>
      </c>
      <c r="H1" s="113" t="s">
        <v>220</v>
      </c>
      <c r="I1" s="113" t="s">
        <v>221</v>
      </c>
      <c r="J1" s="179" t="s">
        <v>495</v>
      </c>
    </row>
    <row r="2" spans="1:10" ht="26" customHeight="1" x14ac:dyDescent="0.15">
      <c r="A2" s="114">
        <v>100</v>
      </c>
      <c r="B2" s="114">
        <f>output!C2</f>
        <v>41001</v>
      </c>
      <c r="C2" s="114">
        <v>4</v>
      </c>
      <c r="D2" s="114" t="s">
        <v>222</v>
      </c>
      <c r="E2" s="114" t="s">
        <v>241</v>
      </c>
      <c r="F2" s="114" t="s">
        <v>223</v>
      </c>
      <c r="G2" s="114">
        <v>0.01</v>
      </c>
      <c r="H2" s="115">
        <v>36526</v>
      </c>
      <c r="I2" s="115">
        <v>371454</v>
      </c>
    </row>
    <row r="3" spans="1:10" ht="26" customHeight="1" thickBot="1" x14ac:dyDescent="0.2">
      <c r="A3" s="129">
        <v>101</v>
      </c>
      <c r="B3" s="129">
        <f>$B$2</f>
        <v>41001</v>
      </c>
      <c r="C3" s="129">
        <v>4</v>
      </c>
      <c r="D3" s="129" t="s">
        <v>498</v>
      </c>
      <c r="E3" s="129" t="s">
        <v>499</v>
      </c>
      <c r="F3" s="129" t="s">
        <v>223</v>
      </c>
      <c r="G3" s="129">
        <v>7.0000000000000007E-2</v>
      </c>
      <c r="H3" s="130">
        <v>36526</v>
      </c>
      <c r="I3" s="130">
        <v>371454</v>
      </c>
    </row>
    <row r="4" spans="1:10" ht="16" thickTop="1" x14ac:dyDescent="0.15"/>
  </sheetData>
  <phoneticPr fontId="1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D2" sqref="D2"/>
      <selection pane="bottomLeft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5" style="17" bestFit="1" customWidth="1"/>
    <col min="3" max="3" width="7.1640625" style="3" bestFit="1" customWidth="1"/>
    <col min="4" max="4" width="17.6640625" style="3" customWidth="1" outlineLevel="1"/>
    <col min="5" max="5" width="10.33203125" style="3" customWidth="1" outlineLevel="1"/>
    <col min="6" max="6" width="7" style="3" bestFit="1" customWidth="1"/>
    <col min="7" max="7" width="8.83203125" style="17" customWidth="1" outlineLevel="1"/>
    <col min="8" max="8" width="27.332031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4" t="s">
        <v>363</v>
      </c>
      <c r="B1" s="14" t="s">
        <v>364</v>
      </c>
      <c r="C1" s="155" t="s">
        <v>0</v>
      </c>
      <c r="D1" s="13" t="s">
        <v>365</v>
      </c>
      <c r="E1" s="13" t="s">
        <v>20</v>
      </c>
      <c r="F1" s="155" t="s">
        <v>1</v>
      </c>
      <c r="G1" s="20" t="s">
        <v>366</v>
      </c>
      <c r="H1" s="13" t="s">
        <v>365</v>
      </c>
      <c r="I1" s="155" t="s">
        <v>12</v>
      </c>
      <c r="J1" s="155" t="s">
        <v>13</v>
      </c>
      <c r="K1" s="155" t="s">
        <v>14</v>
      </c>
    </row>
    <row r="2" spans="1:11" ht="21" customHeight="1" x14ac:dyDescent="0.15">
      <c r="A2" s="14" t="str">
        <f>G2&amp;"-"&amp;I2</f>
        <v>41001_4-1</v>
      </c>
      <c r="B2" s="14" t="s">
        <v>496</v>
      </c>
      <c r="C2" s="133">
        <v>41001</v>
      </c>
      <c r="D2" s="16" t="str">
        <f ca="1">VLOOKUP($C2,OFFSET([2]quests!$A$1,0,0,COUNTA([2]quests!$A:$A),MATCH(D$1,[2]quests!$1:$1,0)-MATCH($C$1,[2]quests!$1:$1,0)+1),MATCH(D$1,[2]quests!$1:$1,0)-MATCH($C$1,[2]quests!$1:$1,0)+1,FALSE)</f>
        <v>アマテラス襲来！</v>
      </c>
      <c r="E2" s="16" t="str">
        <f ca="1">VLOOKUP($C2,OFFSET([2]quests!$A$1,0,0,COUNTA([2]quests!$A:$A),MATCH(E$1,[2]quests!$1:$1,0)-MATCH($C$1,[2]quests!$1:$1,0)+1),MATCH(E$1,[2]quests!$1:$1,0)-MATCH($C$1,[2]quests!$1:$1,0)+1,FALSE)</f>
        <v>降臨1</v>
      </c>
      <c r="F2" s="96">
        <v>4</v>
      </c>
      <c r="G2" s="20" t="str">
        <f>C2&amp;"_"&amp;F2</f>
        <v>41001_4</v>
      </c>
      <c r="H2" s="13" t="str">
        <f ca="1">VLOOKUP($G2,OFFSET([2]stages!$A$1,0,0,COUNTA([2]stages!$A:$A),MATCH(H$1,[2]stages!$2:$2,0)-MATCH($G$1,[2]stages!$2:$2,0)+1),MATCH(H$1,[2]stages!$2:$2,0)-MATCH($G$1,[2]stages!$2:$2,0)+1,FALSE)</f>
        <v>【スコアアタック】アマテラス襲来</v>
      </c>
      <c r="I2" s="96">
        <v>1</v>
      </c>
      <c r="J2" s="32">
        <v>60</v>
      </c>
      <c r="K2" s="32">
        <v>60</v>
      </c>
    </row>
    <row r="3" spans="1:11" ht="21" customHeight="1" x14ac:dyDescent="0.15">
      <c r="A3" s="14" t="str">
        <f t="shared" ref="A3:A6" si="0">G3&amp;"-"&amp;I3</f>
        <v>41001_4-2</v>
      </c>
      <c r="B3" s="14" t="s">
        <v>496</v>
      </c>
      <c r="C3" s="133">
        <v>41001</v>
      </c>
      <c r="D3" s="16" t="str">
        <f ca="1">VLOOKUP($C3,OFFSET([2]quests!$A$1,0,0,COUNTA([2]quests!$A:$A),MATCH(D$1,[2]quests!$1:$1,0)-MATCH($C$1,[2]quests!$1:$1,0)+1),MATCH(D$1,[2]quests!$1:$1,0)-MATCH($C$1,[2]quests!$1:$1,0)+1,FALSE)</f>
        <v>アマテラス襲来！</v>
      </c>
      <c r="E3" s="16" t="str">
        <f ca="1">VLOOKUP($C3,OFFSET([2]quests!$A$1,0,0,COUNTA([2]quests!$A:$A),MATCH(E$1,[2]quests!$1:$1,0)-MATCH($C$1,[2]quests!$1:$1,0)+1),MATCH(E$1,[2]quests!$1:$1,0)-MATCH($C$1,[2]quests!$1:$1,0)+1,FALSE)</f>
        <v>降臨1</v>
      </c>
      <c r="F3" s="96">
        <v>4</v>
      </c>
      <c r="G3" s="20" t="str">
        <f t="shared" ref="G3:G6" si="1">C3&amp;"_"&amp;F3</f>
        <v>41001_4</v>
      </c>
      <c r="H3" s="13" t="str">
        <f ca="1">VLOOKUP($G3,OFFSET([2]stages!$A$1,0,0,COUNTA([2]stages!$A:$A),MATCH(H$1,[2]stages!$2:$2,0)-MATCH($G$1,[2]stages!$2:$2,0)+1),MATCH(H$1,[2]stages!$2:$2,0)-MATCH($G$1,[2]stages!$2:$2,0)+1,FALSE)</f>
        <v>【スコアアタック】アマテラス襲来</v>
      </c>
      <c r="I3" s="96">
        <v>2</v>
      </c>
      <c r="J3" s="32">
        <v>45</v>
      </c>
      <c r="K3" s="32">
        <v>45</v>
      </c>
    </row>
    <row r="4" spans="1:11" ht="21" customHeight="1" x14ac:dyDescent="0.15">
      <c r="A4" s="14" t="str">
        <f t="shared" si="0"/>
        <v>41001_4-3</v>
      </c>
      <c r="B4" s="14" t="s">
        <v>496</v>
      </c>
      <c r="C4" s="133">
        <v>41001</v>
      </c>
      <c r="D4" s="16" t="str">
        <f ca="1">VLOOKUP($C4,OFFSET([2]quests!$A$1,0,0,COUNTA([2]quests!$A:$A),MATCH(D$1,[2]quests!$1:$1,0)-MATCH($C$1,[2]quests!$1:$1,0)+1),MATCH(D$1,[2]quests!$1:$1,0)-MATCH($C$1,[2]quests!$1:$1,0)+1,FALSE)</f>
        <v>アマテラス襲来！</v>
      </c>
      <c r="E4" s="16" t="str">
        <f ca="1">VLOOKUP($C4,OFFSET([2]quests!$A$1,0,0,COUNTA([2]quests!$A:$A),MATCH(E$1,[2]quests!$1:$1,0)-MATCH($C$1,[2]quests!$1:$1,0)+1),MATCH(E$1,[2]quests!$1:$1,0)-MATCH($C$1,[2]quests!$1:$1,0)+1,FALSE)</f>
        <v>降臨1</v>
      </c>
      <c r="F4" s="96">
        <v>4</v>
      </c>
      <c r="G4" s="20" t="str">
        <f t="shared" si="1"/>
        <v>41001_4</v>
      </c>
      <c r="H4" s="13" t="str">
        <f ca="1">VLOOKUP($G4,OFFSET([2]stages!$A$1,0,0,COUNTA([2]stages!$A:$A),MATCH(H$1,[2]stages!$2:$2,0)-MATCH($G$1,[2]stages!$2:$2,0)+1),MATCH(H$1,[2]stages!$2:$2,0)-MATCH($G$1,[2]stages!$2:$2,0)+1,FALSE)</f>
        <v>【スコアアタック】アマテラス襲来</v>
      </c>
      <c r="I4" s="96">
        <v>3</v>
      </c>
      <c r="J4" s="32">
        <v>60</v>
      </c>
      <c r="K4" s="32">
        <v>60</v>
      </c>
    </row>
    <row r="5" spans="1:11" ht="21" customHeight="1" x14ac:dyDescent="0.15">
      <c r="A5" s="14" t="str">
        <f t="shared" si="0"/>
        <v>41001_4-4</v>
      </c>
      <c r="B5" s="14" t="s">
        <v>496</v>
      </c>
      <c r="C5" s="133">
        <v>41001</v>
      </c>
      <c r="D5" s="16" t="str">
        <f ca="1">VLOOKUP($C5,OFFSET([2]quests!$A$1,0,0,COUNTA([2]quests!$A:$A),MATCH(D$1,[2]quests!$1:$1,0)-MATCH($C$1,[2]quests!$1:$1,0)+1),MATCH(D$1,[2]quests!$1:$1,0)-MATCH($C$1,[2]quests!$1:$1,0)+1,FALSE)</f>
        <v>アマテラス襲来！</v>
      </c>
      <c r="E5" s="16" t="str">
        <f ca="1">VLOOKUP($C5,OFFSET([2]quests!$A$1,0,0,COUNTA([2]quests!$A:$A),MATCH(E$1,[2]quests!$1:$1,0)-MATCH($C$1,[2]quests!$1:$1,0)+1),MATCH(E$1,[2]quests!$1:$1,0)-MATCH($C$1,[2]quests!$1:$1,0)+1,FALSE)</f>
        <v>降臨1</v>
      </c>
      <c r="F5" s="96">
        <v>4</v>
      </c>
      <c r="G5" s="20" t="str">
        <f t="shared" si="1"/>
        <v>41001_4</v>
      </c>
      <c r="H5" s="13" t="str">
        <f ca="1">VLOOKUP($G5,OFFSET([2]stages!$A$1,0,0,COUNTA([2]stages!$A:$A),MATCH(H$1,[2]stages!$2:$2,0)-MATCH($G$1,[2]stages!$2:$2,0)+1),MATCH(H$1,[2]stages!$2:$2,0)-MATCH($G$1,[2]stages!$2:$2,0)+1,FALSE)</f>
        <v>【スコアアタック】アマテラス襲来</v>
      </c>
      <c r="I5" s="96">
        <v>4</v>
      </c>
      <c r="J5" s="32">
        <v>60</v>
      </c>
      <c r="K5" s="32">
        <v>60</v>
      </c>
    </row>
    <row r="6" spans="1:11" ht="21" customHeight="1" x14ac:dyDescent="0.15">
      <c r="A6" s="14" t="str">
        <f t="shared" si="0"/>
        <v>41001_4-5</v>
      </c>
      <c r="B6" s="14" t="s">
        <v>496</v>
      </c>
      <c r="C6" s="133">
        <v>41001</v>
      </c>
      <c r="D6" s="16" t="str">
        <f ca="1">VLOOKUP($C6,OFFSET([2]quests!$A$1,0,0,COUNTA([2]quests!$A:$A),MATCH(D$1,[2]quests!$1:$1,0)-MATCH($C$1,[2]quests!$1:$1,0)+1),MATCH(D$1,[2]quests!$1:$1,0)-MATCH($C$1,[2]quests!$1:$1,0)+1,FALSE)</f>
        <v>アマテラス襲来！</v>
      </c>
      <c r="E6" s="16" t="str">
        <f ca="1">VLOOKUP($C6,OFFSET([2]quests!$A$1,0,0,COUNTA([2]quests!$A:$A),MATCH(E$1,[2]quests!$1:$1,0)-MATCH($C$1,[2]quests!$1:$1,0)+1),MATCH(E$1,[2]quests!$1:$1,0)-MATCH($C$1,[2]quests!$1:$1,0)+1,FALSE)</f>
        <v>降臨1</v>
      </c>
      <c r="F6" s="96">
        <v>4</v>
      </c>
      <c r="G6" s="20" t="str">
        <f t="shared" si="1"/>
        <v>41001_4</v>
      </c>
      <c r="H6" s="13" t="str">
        <f ca="1">VLOOKUP($G6,OFFSET([2]stages!$A$1,0,0,COUNTA([2]stages!$A:$A),MATCH(H$1,[2]stages!$2:$2,0)-MATCH($G$1,[2]stages!$2:$2,0)+1),MATCH(H$1,[2]stages!$2:$2,0)-MATCH($G$1,[2]stages!$2:$2,0)+1,FALSE)</f>
        <v>【スコアアタック】アマテラス襲来</v>
      </c>
      <c r="I6" s="96">
        <v>5</v>
      </c>
      <c r="J6" s="32">
        <v>60</v>
      </c>
      <c r="K6" s="32">
        <v>60</v>
      </c>
    </row>
  </sheetData>
  <sheetProtection selectLockedCells="1" selectUnlockedCells="1"/>
  <phoneticPr fontId="1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N12"/>
  <sheetViews>
    <sheetView showGridLines="0" zoomScale="81" zoomScaleNormal="81" zoomScalePageLayoutView="81" workbookViewId="0">
      <pane xSplit="17" ySplit="1" topLeftCell="V2" activePane="bottomRight" state="frozen"/>
      <selection activeCell="D2" sqref="D2"/>
      <selection pane="topRight" activeCell="D2" sqref="D2"/>
      <selection pane="bottomLeft" activeCell="D2" sqref="D2"/>
      <selection pane="bottomRight"/>
    </sheetView>
  </sheetViews>
  <sheetFormatPr baseColWidth="12" defaultColWidth="13" defaultRowHeight="21" customHeight="1" outlineLevelCol="1" x14ac:dyDescent="0.15"/>
  <cols>
    <col min="1" max="1" width="15.83203125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8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1" bestFit="1" customWidth="1" outlineLevel="1"/>
    <col min="30" max="30" width="8" style="12" bestFit="1" customWidth="1" outlineLevel="1"/>
    <col min="31" max="31" width="12" style="12" bestFit="1" customWidth="1" outlineLevel="1"/>
    <col min="32" max="32" width="15" style="9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29" customFormat="1" ht="21" customHeight="1" x14ac:dyDescent="0.15">
      <c r="A1" s="23" t="s">
        <v>367</v>
      </c>
      <c r="B1" s="22" t="s">
        <v>0</v>
      </c>
      <c r="C1" s="22" t="s">
        <v>1</v>
      </c>
      <c r="D1" s="24" t="s">
        <v>368</v>
      </c>
      <c r="E1" s="24" t="s">
        <v>369</v>
      </c>
      <c r="F1" s="24" t="s">
        <v>369</v>
      </c>
      <c r="G1" s="22" t="s">
        <v>370</v>
      </c>
      <c r="H1" s="24" t="s">
        <v>371</v>
      </c>
      <c r="I1" s="24" t="s">
        <v>13</v>
      </c>
      <c r="J1" s="24" t="s">
        <v>14</v>
      </c>
      <c r="K1" s="30" t="s">
        <v>372</v>
      </c>
      <c r="L1" s="30" t="s">
        <v>2</v>
      </c>
      <c r="M1" s="25" t="s">
        <v>369</v>
      </c>
      <c r="N1" s="24" t="s">
        <v>373</v>
      </c>
      <c r="O1" s="24" t="s">
        <v>374</v>
      </c>
      <c r="P1" s="26" t="s">
        <v>375</v>
      </c>
      <c r="Q1" s="24" t="s">
        <v>376</v>
      </c>
      <c r="R1" s="22" t="s">
        <v>3</v>
      </c>
      <c r="S1" s="22" t="s">
        <v>377</v>
      </c>
      <c r="T1" s="22" t="s">
        <v>378</v>
      </c>
      <c r="U1" s="22" t="s">
        <v>379</v>
      </c>
      <c r="V1" s="24" t="s">
        <v>380</v>
      </c>
      <c r="W1" s="22" t="s">
        <v>381</v>
      </c>
      <c r="X1" s="22" t="s">
        <v>4</v>
      </c>
      <c r="Y1" s="22" t="s">
        <v>5</v>
      </c>
      <c r="Z1" s="22" t="s">
        <v>6</v>
      </c>
      <c r="AA1" s="22" t="s">
        <v>7</v>
      </c>
      <c r="AB1" s="27" t="s">
        <v>8</v>
      </c>
      <c r="AC1" s="28" t="s">
        <v>382</v>
      </c>
      <c r="AD1" s="28" t="s">
        <v>383</v>
      </c>
      <c r="AE1" s="28" t="s">
        <v>384</v>
      </c>
      <c r="AF1" s="27" t="s">
        <v>9</v>
      </c>
      <c r="AG1" s="22" t="s">
        <v>10</v>
      </c>
      <c r="AH1" s="22" t="s">
        <v>11</v>
      </c>
      <c r="AI1" s="22" t="s">
        <v>355</v>
      </c>
      <c r="AJ1" s="22" t="s">
        <v>356</v>
      </c>
      <c r="AK1" s="22" t="s">
        <v>357</v>
      </c>
      <c r="AL1" s="22" t="s">
        <v>358</v>
      </c>
      <c r="AM1" s="22" t="s">
        <v>359</v>
      </c>
      <c r="AN1" s="30" t="s">
        <v>354</v>
      </c>
    </row>
    <row r="2" spans="1:40" ht="21" customHeight="1" x14ac:dyDescent="0.15">
      <c r="A2" s="14" t="str">
        <f t="shared" ref="A2:A12" si="0">B2&amp;"_"&amp;C2&amp;"-"&amp;G2&amp;"/"&amp;L2&amp;"&lt;lv"&amp;R2&amp;"&gt;s"&amp;AA2</f>
        <v>41001_4-1/63&lt;lv80&gt;s2</v>
      </c>
      <c r="B2" s="19">
        <v>41001</v>
      </c>
      <c r="C2" s="183">
        <v>4</v>
      </c>
      <c r="D2" s="13" t="str">
        <f t="shared" ref="D2:D12" si="1">B2&amp;"_"&amp;C2</f>
        <v>41001_4</v>
      </c>
      <c r="E2" s="4" t="str">
        <f ca="1">VLOOKUP($B2,OFFSET([2]quests!$A$1,0,0,COUNTA([2]quests!$A:$A),MATCH(E$1,[2]quests!$1:$1,0)-MATCH($B$1,[2]quests!$1:$1,0)+1),MATCH(E$1,[2]quests!$1:$1,0)-MATCH($B$1,[2]quests!$1:$1,0)+1,FALSE)</f>
        <v>アマテラス襲来！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【スコアアタック】アマテラス襲来</v>
      </c>
      <c r="G2" s="181">
        <v>1</v>
      </c>
      <c r="H2" s="13" t="str">
        <f t="shared" ref="H2:H12" si="2">B2&amp;"_"&amp;C2&amp;"-"&amp;G2</f>
        <v>41001_4-1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184" t="s">
        <v>162</v>
      </c>
      <c r="L2" s="185">
        <v>63</v>
      </c>
      <c r="M2" s="15" t="str">
        <f ca="1">VLOOKUP($L2,OFFSET([3]enemies!$A$1,0,0,COUNTA([3]enemies!$A:$A),MATCH(M$1,[3]enemies!$1:$1,0)-MATCH($L$1,[3]enemies!$1:$1,0)+1),MATCH(M$1,[3]enemies!$1:$1,0)-MATCH($L$1,[3]enemies!$1:$1,0)+1,FALSE)</f>
        <v>トニー</v>
      </c>
      <c r="N2" s="15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5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5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5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80</v>
      </c>
      <c r="S2" s="21">
        <v>1.5</v>
      </c>
      <c r="T2" s="21">
        <v>1.2</v>
      </c>
      <c r="U2" s="5">
        <v>0</v>
      </c>
      <c r="V2" s="4"/>
      <c r="W2" s="182">
        <v>41001001</v>
      </c>
      <c r="X2" s="6">
        <v>1</v>
      </c>
      <c r="Y2" s="6">
        <v>100</v>
      </c>
      <c r="Z2" s="6">
        <v>0</v>
      </c>
      <c r="AA2" s="187">
        <v>2</v>
      </c>
      <c r="AB2" s="132">
        <f t="shared" ref="AB2:AB12" si="3">L2</f>
        <v>63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" s="133">
        <v>1</v>
      </c>
      <c r="AG2" s="132">
        <f t="shared" ref="AG2:AG12" ca="1" si="4">AD2</f>
        <v>2</v>
      </c>
      <c r="AH2" s="156">
        <v>0</v>
      </c>
      <c r="AI2" s="133">
        <v>0</v>
      </c>
      <c r="AJ2" s="133">
        <v>0</v>
      </c>
      <c r="AK2" s="133">
        <v>0</v>
      </c>
      <c r="AL2" s="133">
        <v>0</v>
      </c>
      <c r="AM2" s="133">
        <v>1</v>
      </c>
      <c r="AN2" s="56">
        <v>1</v>
      </c>
    </row>
    <row r="3" spans="1:40" ht="21" customHeight="1" x14ac:dyDescent="0.15">
      <c r="A3" s="14" t="str">
        <f t="shared" si="0"/>
        <v>41001_4-1/39&lt;lv80&gt;s3</v>
      </c>
      <c r="B3" s="19">
        <v>41001</v>
      </c>
      <c r="C3" s="183">
        <v>4</v>
      </c>
      <c r="D3" s="13" t="str">
        <f t="shared" si="1"/>
        <v>41001_4</v>
      </c>
      <c r="E3" s="4" t="str">
        <f ca="1">VLOOKUP($B3,OFFSET([2]quests!$A$1,0,0,COUNTA([2]quests!$A:$A),MATCH(E$1,[2]quests!$1:$1,0)-MATCH($B$1,[2]quests!$1:$1,0)+1),MATCH(E$1,[2]quests!$1:$1,0)-MATCH($B$1,[2]quests!$1:$1,0)+1,FALSE)</f>
        <v>アマテラス襲来！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【スコアアタック】アマテラス襲来</v>
      </c>
      <c r="G3" s="181">
        <v>1</v>
      </c>
      <c r="H3" s="13" t="str">
        <f t="shared" si="2"/>
        <v>41001_4-1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184" t="s">
        <v>162</v>
      </c>
      <c r="L3" s="185">
        <v>39</v>
      </c>
      <c r="M3" s="15" t="str">
        <f ca="1">VLOOKUP($L3,OFFSET([3]enemies!$A$1,0,0,COUNTA([3]enemies!$A:$A),MATCH(M$1,[3]enemies!$1:$1,0)-MATCH($L$1,[3]enemies!$1:$1,0)+1),MATCH(M$1,[3]enemies!$1:$1,0)-MATCH($L$1,[3]enemies!$1:$1,0)+1,FALSE)</f>
        <v>マーロン</v>
      </c>
      <c r="N3" s="15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5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5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5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80</v>
      </c>
      <c r="S3" s="21">
        <v>1.5</v>
      </c>
      <c r="T3" s="21">
        <v>1.2</v>
      </c>
      <c r="U3" s="5">
        <v>0</v>
      </c>
      <c r="V3" s="4"/>
      <c r="W3" s="182">
        <v>41001002</v>
      </c>
      <c r="X3" s="6">
        <v>1</v>
      </c>
      <c r="Y3" s="6">
        <v>100</v>
      </c>
      <c r="Z3" s="6">
        <v>0</v>
      </c>
      <c r="AA3" s="187">
        <v>3</v>
      </c>
      <c r="AB3" s="132">
        <f t="shared" si="3"/>
        <v>39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マーロン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Drop1S</v>
      </c>
      <c r="AF3" s="133">
        <v>1</v>
      </c>
      <c r="AG3" s="132">
        <f t="shared" ca="1" si="4"/>
        <v>2</v>
      </c>
      <c r="AH3" s="156">
        <v>0</v>
      </c>
      <c r="AI3" s="133">
        <v>0</v>
      </c>
      <c r="AJ3" s="133">
        <v>0</v>
      </c>
      <c r="AK3" s="133">
        <v>0</v>
      </c>
      <c r="AL3" s="133">
        <v>0</v>
      </c>
      <c r="AM3" s="133">
        <v>1</v>
      </c>
      <c r="AN3" s="56">
        <v>1</v>
      </c>
    </row>
    <row r="4" spans="1:40" ht="21" customHeight="1" x14ac:dyDescent="0.15">
      <c r="A4" s="14" t="str">
        <f t="shared" si="0"/>
        <v>41001_4-1/63&lt;lv79&gt;s3</v>
      </c>
      <c r="B4" s="19">
        <v>41001</v>
      </c>
      <c r="C4" s="183">
        <v>4</v>
      </c>
      <c r="D4" s="13" t="str">
        <f t="shared" si="1"/>
        <v>41001_4</v>
      </c>
      <c r="E4" s="4" t="str">
        <f ca="1">VLOOKUP($B4,OFFSET([2]quests!$A$1,0,0,COUNTA([2]quests!$A:$A),MATCH(E$1,[2]quests!$1:$1,0)-MATCH($B$1,[2]quests!$1:$1,0)+1),MATCH(E$1,[2]quests!$1:$1,0)-MATCH($B$1,[2]quests!$1:$1,0)+1,FALSE)</f>
        <v>アマテラス襲来！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【スコアアタック】アマテラス襲来</v>
      </c>
      <c r="G4" s="181">
        <v>1</v>
      </c>
      <c r="H4" s="13" t="str">
        <f t="shared" si="2"/>
        <v>41001_4-1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184" t="s">
        <v>162</v>
      </c>
      <c r="L4" s="185">
        <v>63</v>
      </c>
      <c r="M4" s="15" t="str">
        <f ca="1">VLOOKUP($L4,OFFSET([3]enemies!$A$1,0,0,COUNTA([3]enemies!$A:$A),MATCH(M$1,[3]enemies!$1:$1,0)-MATCH($L$1,[3]enemies!$1:$1,0)+1),MATCH(M$1,[3]enemies!$1:$1,0)-MATCH($L$1,[3]enemies!$1:$1,0)+1,FALSE)</f>
        <v>トニー</v>
      </c>
      <c r="N4" s="15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5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5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5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79</v>
      </c>
      <c r="S4" s="21">
        <v>1.5</v>
      </c>
      <c r="T4" s="21">
        <v>1.2</v>
      </c>
      <c r="U4" s="5">
        <v>0</v>
      </c>
      <c r="V4" s="4"/>
      <c r="W4" s="182">
        <v>41001001</v>
      </c>
      <c r="X4" s="6">
        <v>1</v>
      </c>
      <c r="Y4" s="6">
        <v>100</v>
      </c>
      <c r="Z4" s="6">
        <v>0</v>
      </c>
      <c r="AA4" s="187">
        <v>3</v>
      </c>
      <c r="AB4" s="132">
        <f t="shared" si="3"/>
        <v>63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133">
        <v>1</v>
      </c>
      <c r="AG4" s="132">
        <f t="shared" ca="1" si="4"/>
        <v>2</v>
      </c>
      <c r="AH4" s="156">
        <v>0</v>
      </c>
      <c r="AI4" s="133">
        <v>0</v>
      </c>
      <c r="AJ4" s="133">
        <v>0</v>
      </c>
      <c r="AK4" s="133">
        <v>0</v>
      </c>
      <c r="AL4" s="133">
        <v>0</v>
      </c>
      <c r="AM4" s="133">
        <v>1</v>
      </c>
      <c r="AN4" s="56">
        <v>1</v>
      </c>
    </row>
    <row r="5" spans="1:40" ht="21" customHeight="1" x14ac:dyDescent="0.15">
      <c r="A5" s="14" t="str">
        <f t="shared" si="0"/>
        <v>41001_4-1/39&lt;lv79&gt;s4</v>
      </c>
      <c r="B5" s="19">
        <v>41001</v>
      </c>
      <c r="C5" s="183">
        <v>4</v>
      </c>
      <c r="D5" s="13" t="str">
        <f t="shared" si="1"/>
        <v>41001_4</v>
      </c>
      <c r="E5" s="4" t="str">
        <f ca="1">VLOOKUP($B5,OFFSET([2]quests!$A$1,0,0,COUNTA([2]quests!$A:$A),MATCH(E$1,[2]quests!$1:$1,0)-MATCH($B$1,[2]quests!$1:$1,0)+1),MATCH(E$1,[2]quests!$1:$1,0)-MATCH($B$1,[2]quests!$1:$1,0)+1,FALSE)</f>
        <v>アマテラス襲来！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【スコアアタック】アマテラス襲来</v>
      </c>
      <c r="G5" s="181">
        <v>1</v>
      </c>
      <c r="H5" s="13" t="str">
        <f t="shared" si="2"/>
        <v>41001_4-1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184" t="s">
        <v>162</v>
      </c>
      <c r="L5" s="185">
        <v>39</v>
      </c>
      <c r="M5" s="15" t="str">
        <f ca="1">VLOOKUP($L5,OFFSET([3]enemies!$A$1,0,0,COUNTA([3]enemies!$A:$A),MATCH(M$1,[3]enemies!$1:$1,0)-MATCH($L$1,[3]enemies!$1:$1,0)+1),MATCH(M$1,[3]enemies!$1:$1,0)-MATCH($L$1,[3]enemies!$1:$1,0)+1,FALSE)</f>
        <v>マーロン</v>
      </c>
      <c r="N5" s="15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5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5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5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79</v>
      </c>
      <c r="S5" s="21">
        <v>1.5</v>
      </c>
      <c r="T5" s="21">
        <v>1.2</v>
      </c>
      <c r="U5" s="5">
        <v>0</v>
      </c>
      <c r="V5" s="4"/>
      <c r="W5" s="182">
        <v>41001002</v>
      </c>
      <c r="X5" s="6">
        <v>1</v>
      </c>
      <c r="Y5" s="6">
        <v>100</v>
      </c>
      <c r="Z5" s="6">
        <v>0</v>
      </c>
      <c r="AA5" s="187">
        <v>4</v>
      </c>
      <c r="AB5" s="132">
        <f t="shared" si="3"/>
        <v>39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マーロン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Drop1S</v>
      </c>
      <c r="AF5" s="133">
        <v>1</v>
      </c>
      <c r="AG5" s="132">
        <f t="shared" ca="1" si="4"/>
        <v>2</v>
      </c>
      <c r="AH5" s="156">
        <v>0</v>
      </c>
      <c r="AI5" s="133">
        <v>0</v>
      </c>
      <c r="AJ5" s="133">
        <v>0</v>
      </c>
      <c r="AK5" s="133">
        <v>0</v>
      </c>
      <c r="AL5" s="133">
        <v>0</v>
      </c>
      <c r="AM5" s="133">
        <v>1</v>
      </c>
      <c r="AN5" s="56">
        <v>1</v>
      </c>
    </row>
    <row r="6" spans="1:40" ht="21" customHeight="1" x14ac:dyDescent="0.15">
      <c r="A6" s="14" t="str">
        <f t="shared" si="0"/>
        <v>41001_4-2/33&lt;lv80&gt;s2</v>
      </c>
      <c r="B6" s="19">
        <v>41001</v>
      </c>
      <c r="C6" s="183">
        <v>4</v>
      </c>
      <c r="D6" s="13" t="str">
        <f t="shared" si="1"/>
        <v>41001_4</v>
      </c>
      <c r="E6" s="4" t="str">
        <f ca="1">VLOOKUP($B6,OFFSET([2]quests!$A$1,0,0,COUNTA([2]quests!$A:$A),MATCH(E$1,[2]quests!$1:$1,0)-MATCH($B$1,[2]quests!$1:$1,0)+1),MATCH(E$1,[2]quests!$1:$1,0)-MATCH($B$1,[2]quests!$1:$1,0)+1,FALSE)</f>
        <v>アマテラス襲来！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【スコアアタック】アマテラス襲来</v>
      </c>
      <c r="G6" s="181">
        <v>2</v>
      </c>
      <c r="H6" s="13" t="str">
        <f t="shared" si="2"/>
        <v>41001_4-2</v>
      </c>
      <c r="I6" s="4">
        <f ca="1">VLOOKUP($H6,OFFSET(floors!$A$1,0,0,COUNTA(floors!$A:$A),MATCH(I$1,floors!$1:$1,0)-MATCH($H$1,floors!$1:$1,0)+1),MATCH(I$1,floors!$1:$1,0)-MATCH($H$1,floors!$1:$1,0)+1,FALSE)</f>
        <v>45</v>
      </c>
      <c r="J6" s="4">
        <f ca="1">VLOOKUP($H6,OFFSET(floors!$A$1,0,0,COUNTA(floors!$A:$A),MATCH(J$1,floors!$1:$1,0)-MATCH($H$1,floors!$1:$1,0)+1),MATCH(J$1,floors!$1:$1,0)-MATCH($H$1,floors!$1:$1,0)+1,FALSE)</f>
        <v>45</v>
      </c>
      <c r="K6" s="184" t="s">
        <v>162</v>
      </c>
      <c r="L6" s="185">
        <v>33</v>
      </c>
      <c r="M6" s="15" t="str">
        <f ca="1">VLOOKUP($L6,OFFSET([3]enemies!$A$1,0,0,COUNTA([3]enemies!$A:$A),MATCH(M$1,[3]enemies!$1:$1,0)-MATCH($L$1,[3]enemies!$1:$1,0)+1),MATCH(M$1,[3]enemies!$1:$1,0)-MATCH($L$1,[3]enemies!$1:$1,0)+1,FALSE)</f>
        <v>ゴクウ</v>
      </c>
      <c r="N6" s="15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5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5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5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80</v>
      </c>
      <c r="S6" s="21">
        <v>1.7</v>
      </c>
      <c r="T6" s="21">
        <v>1.6</v>
      </c>
      <c r="U6" s="5">
        <v>0</v>
      </c>
      <c r="V6" s="4"/>
      <c r="W6" s="182">
        <v>41001003</v>
      </c>
      <c r="X6" s="6">
        <v>1</v>
      </c>
      <c r="Y6" s="6">
        <v>100</v>
      </c>
      <c r="Z6" s="6">
        <v>0</v>
      </c>
      <c r="AA6" s="187">
        <v>2</v>
      </c>
      <c r="AB6" s="132">
        <f t="shared" si="3"/>
        <v>33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ゴクウ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" s="133">
        <v>1</v>
      </c>
      <c r="AG6" s="132">
        <f t="shared" ca="1" si="4"/>
        <v>2</v>
      </c>
      <c r="AH6" s="156">
        <v>0</v>
      </c>
      <c r="AI6" s="133">
        <v>0</v>
      </c>
      <c r="AJ6" s="133">
        <v>0</v>
      </c>
      <c r="AK6" s="133">
        <v>0</v>
      </c>
      <c r="AL6" s="133">
        <v>0</v>
      </c>
      <c r="AM6" s="133">
        <v>1</v>
      </c>
      <c r="AN6" s="56">
        <v>1</v>
      </c>
    </row>
    <row r="7" spans="1:40" ht="21" customHeight="1" x14ac:dyDescent="0.15">
      <c r="A7" s="14" t="str">
        <f t="shared" si="0"/>
        <v>41001_4-2/57&lt;lv80&gt;s3</v>
      </c>
      <c r="B7" s="19">
        <v>41001</v>
      </c>
      <c r="C7" s="183">
        <v>4</v>
      </c>
      <c r="D7" s="13" t="str">
        <f t="shared" si="1"/>
        <v>41001_4</v>
      </c>
      <c r="E7" s="4" t="str">
        <f ca="1">VLOOKUP($B7,OFFSET([2]quests!$A$1,0,0,COUNTA([2]quests!$A:$A),MATCH(E$1,[2]quests!$1:$1,0)-MATCH($B$1,[2]quests!$1:$1,0)+1),MATCH(E$1,[2]quests!$1:$1,0)-MATCH($B$1,[2]quests!$1:$1,0)+1,FALSE)</f>
        <v>アマテラス襲来！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【スコアアタック】アマテラス襲来</v>
      </c>
      <c r="G7" s="181">
        <v>2</v>
      </c>
      <c r="H7" s="13" t="str">
        <f t="shared" si="2"/>
        <v>41001_4-2</v>
      </c>
      <c r="I7" s="4">
        <f ca="1">VLOOKUP($H7,OFFSET(floors!$A$1,0,0,COUNTA(floors!$A:$A),MATCH(I$1,floors!$1:$1,0)-MATCH($H$1,floors!$1:$1,0)+1),MATCH(I$1,floors!$1:$1,0)-MATCH($H$1,floors!$1:$1,0)+1,FALSE)</f>
        <v>45</v>
      </c>
      <c r="J7" s="4">
        <f ca="1">VLOOKUP($H7,OFFSET(floors!$A$1,0,0,COUNTA(floors!$A:$A),MATCH(J$1,floors!$1:$1,0)-MATCH($H$1,floors!$1:$1,0)+1),MATCH(J$1,floors!$1:$1,0)-MATCH($H$1,floors!$1:$1,0)+1,FALSE)</f>
        <v>45</v>
      </c>
      <c r="K7" s="184" t="s">
        <v>162</v>
      </c>
      <c r="L7" s="185">
        <v>57</v>
      </c>
      <c r="M7" s="15" t="str">
        <f ca="1">VLOOKUP($L7,OFFSET([3]enemies!$A$1,0,0,COUNTA([3]enemies!$A:$A),MATCH(M$1,[3]enemies!$1:$1,0)-MATCH($L$1,[3]enemies!$1:$1,0)+1),MATCH(M$1,[3]enemies!$1:$1,0)-MATCH($L$1,[3]enemies!$1:$1,0)+1,FALSE)</f>
        <v>チェン・リー</v>
      </c>
      <c r="N7" s="15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5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5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5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80</v>
      </c>
      <c r="S7" s="21">
        <v>1.9</v>
      </c>
      <c r="T7" s="21">
        <v>1.2</v>
      </c>
      <c r="U7" s="5">
        <v>0</v>
      </c>
      <c r="V7" s="4"/>
      <c r="W7" s="182">
        <v>41001004</v>
      </c>
      <c r="X7" s="6">
        <v>1</v>
      </c>
      <c r="Y7" s="6">
        <v>100</v>
      </c>
      <c r="Z7" s="6">
        <v>0</v>
      </c>
      <c r="AA7" s="187">
        <v>3</v>
      </c>
      <c r="AB7" s="132">
        <f t="shared" si="3"/>
        <v>57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チェン・リー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Drop1N</v>
      </c>
      <c r="AF7" s="133">
        <v>1</v>
      </c>
      <c r="AG7" s="132">
        <f t="shared" ca="1" si="4"/>
        <v>2</v>
      </c>
      <c r="AH7" s="156">
        <v>0</v>
      </c>
      <c r="AI7" s="133">
        <v>0</v>
      </c>
      <c r="AJ7" s="133">
        <v>0</v>
      </c>
      <c r="AK7" s="133">
        <v>0</v>
      </c>
      <c r="AL7" s="133">
        <v>0</v>
      </c>
      <c r="AM7" s="133">
        <v>1</v>
      </c>
      <c r="AN7" s="56">
        <v>1</v>
      </c>
    </row>
    <row r="8" spans="1:40" ht="21" customHeight="1" x14ac:dyDescent="0.15">
      <c r="A8" s="14" t="str">
        <f t="shared" si="0"/>
        <v>41001_4-2/41&lt;lv80&gt;s2</v>
      </c>
      <c r="B8" s="19">
        <v>41001</v>
      </c>
      <c r="C8" s="183">
        <v>4</v>
      </c>
      <c r="D8" s="13" t="str">
        <f t="shared" si="1"/>
        <v>41001_4</v>
      </c>
      <c r="E8" s="4" t="str">
        <f ca="1">VLOOKUP($B8,OFFSET([2]quests!$A$1,0,0,COUNTA([2]quests!$A:$A),MATCH(E$1,[2]quests!$1:$1,0)-MATCH($B$1,[2]quests!$1:$1,0)+1),MATCH(E$1,[2]quests!$1:$1,0)-MATCH($B$1,[2]quests!$1:$1,0)+1,FALSE)</f>
        <v>アマテラス襲来！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【スコアアタック】アマテラス襲来</v>
      </c>
      <c r="G8" s="181">
        <v>2</v>
      </c>
      <c r="H8" s="13" t="str">
        <f t="shared" si="2"/>
        <v>41001_4-2</v>
      </c>
      <c r="I8" s="4">
        <f ca="1">VLOOKUP($H8,OFFSET(floors!$A$1,0,0,COUNTA(floors!$A:$A),MATCH(I$1,floors!$1:$1,0)-MATCH($H$1,floors!$1:$1,0)+1),MATCH(I$1,floors!$1:$1,0)-MATCH($H$1,floors!$1:$1,0)+1,FALSE)</f>
        <v>45</v>
      </c>
      <c r="J8" s="4">
        <f ca="1">VLOOKUP($H8,OFFSET(floors!$A$1,0,0,COUNTA(floors!$A:$A),MATCH(J$1,floors!$1:$1,0)-MATCH($H$1,floors!$1:$1,0)+1),MATCH(J$1,floors!$1:$1,0)-MATCH($H$1,floors!$1:$1,0)+1,FALSE)</f>
        <v>45</v>
      </c>
      <c r="K8" s="184" t="s">
        <v>162</v>
      </c>
      <c r="L8" s="185">
        <v>41</v>
      </c>
      <c r="M8" s="15" t="str">
        <f ca="1">VLOOKUP($L8,OFFSET([3]enemies!$A$1,0,0,COUNTA([3]enemies!$A:$A),MATCH(M$1,[3]enemies!$1:$1,0)-MATCH($L$1,[3]enemies!$1:$1,0)+1),MATCH(M$1,[3]enemies!$1:$1,0)-MATCH($L$1,[3]enemies!$1:$1,0)+1,FALSE)</f>
        <v>ヒュウガ</v>
      </c>
      <c r="N8" s="15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5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5" t="str">
        <f ca="1">VLOOKUP($L8,OFFSET([3]enemies!$A$1,0,0,COUNTA([3]enemies!$A:$A),MATCH(P$1,[3]enemies!$1:$1,0)-MATCH($L$1,[3]enemies!$1:$1,0)+1),MATCH(P$1,[3]enemies!$1:$1,0)-MATCH($L$1,[3]enemies!$1:$1,0)+1,FALSE)</f>
        <v>dragon</v>
      </c>
      <c r="Q8" s="15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80</v>
      </c>
      <c r="S8" s="21">
        <v>1.7</v>
      </c>
      <c r="T8" s="21">
        <v>1.3</v>
      </c>
      <c r="U8" s="5">
        <v>0</v>
      </c>
      <c r="V8" s="4"/>
      <c r="W8" s="186">
        <v>0</v>
      </c>
      <c r="X8" s="6">
        <v>1</v>
      </c>
      <c r="Y8" s="6">
        <v>100</v>
      </c>
      <c r="Z8" s="6">
        <v>0</v>
      </c>
      <c r="AA8" s="187">
        <v>2</v>
      </c>
      <c r="AB8" s="132">
        <f t="shared" si="3"/>
        <v>41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ヒュウガ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Drop1N</v>
      </c>
      <c r="AF8" s="133">
        <v>1</v>
      </c>
      <c r="AG8" s="132">
        <f t="shared" ca="1" si="4"/>
        <v>2</v>
      </c>
      <c r="AH8" s="156">
        <v>0</v>
      </c>
      <c r="AI8" s="133">
        <v>0</v>
      </c>
      <c r="AJ8" s="133">
        <v>0</v>
      </c>
      <c r="AK8" s="133">
        <v>0</v>
      </c>
      <c r="AL8" s="133">
        <v>0</v>
      </c>
      <c r="AM8" s="133">
        <v>1</v>
      </c>
      <c r="AN8" s="56">
        <v>1</v>
      </c>
    </row>
    <row r="9" spans="1:40" ht="21" customHeight="1" x14ac:dyDescent="0.15">
      <c r="A9" s="14" t="str">
        <f t="shared" si="0"/>
        <v>41001_4-3/135&lt;lv80&gt;s2</v>
      </c>
      <c r="B9" s="19">
        <v>41001</v>
      </c>
      <c r="C9" s="183">
        <v>4</v>
      </c>
      <c r="D9" s="13" t="str">
        <f t="shared" si="1"/>
        <v>41001_4</v>
      </c>
      <c r="E9" s="4" t="str">
        <f ca="1">VLOOKUP($B9,OFFSET([2]quests!$A$1,0,0,COUNTA([2]quests!$A:$A),MATCH(E$1,[2]quests!$1:$1,0)-MATCH($B$1,[2]quests!$1:$1,0)+1),MATCH(E$1,[2]quests!$1:$1,0)-MATCH($B$1,[2]quests!$1:$1,0)+1,FALSE)</f>
        <v>アマテラス襲来！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【スコアアタック】アマテラス襲来</v>
      </c>
      <c r="G9" s="181">
        <v>3</v>
      </c>
      <c r="H9" s="13" t="str">
        <f t="shared" si="2"/>
        <v>41001_4-3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184" t="s">
        <v>162</v>
      </c>
      <c r="L9" s="185">
        <v>135</v>
      </c>
      <c r="M9" s="15" t="str">
        <f ca="1">VLOOKUP($L9,OFFSET([3]enemies!$A$1,0,0,COUNTA([3]enemies!$A:$A),MATCH(M$1,[3]enemies!$1:$1,0)-MATCH($L$1,[3]enemies!$1:$1,0)+1),MATCH(M$1,[3]enemies!$1:$1,0)-MATCH($L$1,[3]enemies!$1:$1,0)+1,FALSE)</f>
        <v>京の炎華夕霧</v>
      </c>
      <c r="N9" s="15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5" t="str">
        <f ca="1">VLOOKUP($L9,OFFSET([4]characters!$A$1,0,0,COUNTA([4]characters!$A:$A),MATCH(O$1,[4]characters!$1:$1,0)-MATCH($L$1,[4]characters!$1:$1,0)+1),MATCH(O$1,[4]characters!$1:$1,0)-MATCH($L$1,[4]characters!$1:$1,0)+1,FALSE)</f>
        <v>PremiumW</v>
      </c>
      <c r="P9" s="15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5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80</v>
      </c>
      <c r="S9" s="21">
        <v>2</v>
      </c>
      <c r="T9" s="21">
        <v>1</v>
      </c>
      <c r="U9" s="5">
        <v>0</v>
      </c>
      <c r="V9" s="4"/>
      <c r="W9" s="182">
        <v>41001005</v>
      </c>
      <c r="X9" s="6">
        <v>1</v>
      </c>
      <c r="Y9" s="6">
        <v>100</v>
      </c>
      <c r="Z9" s="6">
        <v>1</v>
      </c>
      <c r="AA9" s="187">
        <v>2</v>
      </c>
      <c r="AB9" s="132">
        <f t="shared" si="3"/>
        <v>135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京の炎華夕霧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9" s="133">
        <v>1</v>
      </c>
      <c r="AG9" s="132">
        <f t="shared" ca="1" si="4"/>
        <v>4</v>
      </c>
      <c r="AH9" s="156">
        <v>0</v>
      </c>
      <c r="AI9" s="133">
        <v>0</v>
      </c>
      <c r="AJ9" s="133">
        <v>0</v>
      </c>
      <c r="AK9" s="133">
        <v>0</v>
      </c>
      <c r="AL9" s="133">
        <v>0</v>
      </c>
      <c r="AM9" s="133">
        <v>1</v>
      </c>
      <c r="AN9" s="56">
        <v>1</v>
      </c>
    </row>
    <row r="10" spans="1:40" ht="21" customHeight="1" x14ac:dyDescent="0.15">
      <c r="A10" s="14" t="str">
        <f t="shared" si="0"/>
        <v>41001_4-3/370&lt;lv80&gt;s1</v>
      </c>
      <c r="B10" s="19">
        <v>41001</v>
      </c>
      <c r="C10" s="183">
        <v>4</v>
      </c>
      <c r="D10" s="13" t="str">
        <f t="shared" si="1"/>
        <v>41001_4</v>
      </c>
      <c r="E10" s="4" t="str">
        <f ca="1">VLOOKUP($B10,OFFSET([2]quests!$A$1,0,0,COUNTA([2]quests!$A:$A),MATCH(E$1,[2]quests!$1:$1,0)-MATCH($B$1,[2]quests!$1:$1,0)+1),MATCH(E$1,[2]quests!$1:$1,0)-MATCH($B$1,[2]quests!$1:$1,0)+1,FALSE)</f>
        <v>アマテラス襲来！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【スコアアタック】アマテラス襲来</v>
      </c>
      <c r="G10" s="181">
        <v>3</v>
      </c>
      <c r="H10" s="13" t="str">
        <f t="shared" si="2"/>
        <v>41001_4-3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184" t="s">
        <v>162</v>
      </c>
      <c r="L10" s="185">
        <v>370</v>
      </c>
      <c r="M10" s="15" t="str">
        <f ca="1">VLOOKUP($L10,OFFSET([3]enemies!$A$1,0,0,COUNTA([3]enemies!$A:$A),MATCH(M$1,[3]enemies!$1:$1,0)-MATCH($L$1,[3]enemies!$1:$1,0)+1),MATCH(M$1,[3]enemies!$1:$1,0)-MATCH($L$1,[3]enemies!$1:$1,0)+1,FALSE)</f>
        <v>タイチ</v>
      </c>
      <c r="N10" s="15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5" t="str">
        <f ca="1">VLOOKUP($L10,OFFSET([4]characters!$A$1,0,0,COUNTA([4]characters!$A:$A),MATCH(O$1,[4]characters!$1:$1,0)-MATCH($L$1,[4]characters!$1:$1,0)+1),MATCH(O$1,[4]characters!$1:$1,0)-MATCH($L$1,[4]characters!$1:$1,0)+1,FALSE)</f>
        <v>Drop1S</v>
      </c>
      <c r="P10" s="15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5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80</v>
      </c>
      <c r="S10" s="21">
        <v>2.2000000000000002</v>
      </c>
      <c r="T10" s="21">
        <v>1</v>
      </c>
      <c r="U10" s="5">
        <v>0</v>
      </c>
      <c r="V10" s="4"/>
      <c r="W10" s="182">
        <v>41001008</v>
      </c>
      <c r="X10" s="6">
        <v>2</v>
      </c>
      <c r="Y10" s="6">
        <v>100</v>
      </c>
      <c r="Z10" s="6">
        <v>0</v>
      </c>
      <c r="AA10" s="187">
        <v>1</v>
      </c>
      <c r="AB10" s="132">
        <f t="shared" si="3"/>
        <v>370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2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Drop1S</v>
      </c>
      <c r="AF10" s="133">
        <v>1</v>
      </c>
      <c r="AG10" s="132">
        <f t="shared" ca="1" si="4"/>
        <v>2</v>
      </c>
      <c r="AH10" s="156">
        <v>0</v>
      </c>
      <c r="AI10" s="133">
        <v>0</v>
      </c>
      <c r="AJ10" s="133">
        <v>0</v>
      </c>
      <c r="AK10" s="133">
        <v>0</v>
      </c>
      <c r="AL10" s="133">
        <v>0</v>
      </c>
      <c r="AM10" s="133">
        <v>1</v>
      </c>
      <c r="AN10" s="56">
        <v>1</v>
      </c>
    </row>
    <row r="11" spans="1:40" ht="21" customHeight="1" x14ac:dyDescent="0.15">
      <c r="A11" s="14" t="str">
        <f t="shared" si="0"/>
        <v>41001_4-4/192&lt;lv80&gt;s2</v>
      </c>
      <c r="B11" s="19">
        <v>41001</v>
      </c>
      <c r="C11" s="183">
        <v>4</v>
      </c>
      <c r="D11" s="13" t="str">
        <f t="shared" si="1"/>
        <v>41001_4</v>
      </c>
      <c r="E11" s="4" t="str">
        <f ca="1">VLOOKUP($B11,OFFSET([2]quests!$A$1,0,0,COUNTA([2]quests!$A:$A),MATCH(E$1,[2]quests!$1:$1,0)-MATCH($B$1,[2]quests!$1:$1,0)+1),MATCH(E$1,[2]quests!$1:$1,0)-MATCH($B$1,[2]quests!$1:$1,0)+1,FALSE)</f>
        <v>アマテラス襲来！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【スコアアタック】アマテラス襲来</v>
      </c>
      <c r="G11" s="181">
        <v>4</v>
      </c>
      <c r="H11" s="13" t="str">
        <f t="shared" si="2"/>
        <v>41001_4-4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184" t="s">
        <v>162</v>
      </c>
      <c r="L11" s="185">
        <v>192</v>
      </c>
      <c r="M11" s="15" t="str">
        <f ca="1">VLOOKUP($L11,OFFSET([3]enemies!$A$1,0,0,COUNTA([3]enemies!$A:$A),MATCH(M$1,[3]enemies!$1:$1,0)-MATCH($L$1,[3]enemies!$1:$1,0)+1),MATCH(M$1,[3]enemies!$1:$1,0)-MATCH($L$1,[3]enemies!$1:$1,0)+1,FALSE)</f>
        <v>荘厳なる始祖帝 卑弥呼</v>
      </c>
      <c r="N11" s="15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5" t="str">
        <f ca="1">VLOOKUP($L11,OFFSET([4]characters!$A$1,0,0,COUNTA([4]characters!$A:$A),MATCH(O$1,[4]characters!$1:$1,0)-MATCH($L$1,[4]characters!$1:$1,0)+1),MATCH(O$1,[4]characters!$1:$1,0)-MATCH($L$1,[4]characters!$1:$1,0)+1,FALSE)</f>
        <v>PremiumN</v>
      </c>
      <c r="P11" s="15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5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80</v>
      </c>
      <c r="S11" s="21">
        <v>1.5</v>
      </c>
      <c r="T11" s="21">
        <v>1</v>
      </c>
      <c r="U11" s="5">
        <v>0</v>
      </c>
      <c r="V11" s="4"/>
      <c r="W11" s="182">
        <v>41001009</v>
      </c>
      <c r="X11" s="6">
        <v>1</v>
      </c>
      <c r="Y11" s="6">
        <v>100</v>
      </c>
      <c r="Z11" s="6">
        <v>1</v>
      </c>
      <c r="AA11" s="187">
        <v>2</v>
      </c>
      <c r="AB11" s="132">
        <f t="shared" si="3"/>
        <v>192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荘厳なる始祖帝 卑弥呼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5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1" s="133">
        <v>1</v>
      </c>
      <c r="AG11" s="132">
        <f t="shared" ca="1" si="4"/>
        <v>5</v>
      </c>
      <c r="AH11" s="156">
        <v>0</v>
      </c>
      <c r="AI11" s="133">
        <v>0</v>
      </c>
      <c r="AJ11" s="133">
        <v>0</v>
      </c>
      <c r="AK11" s="133">
        <v>0</v>
      </c>
      <c r="AL11" s="133">
        <v>0</v>
      </c>
      <c r="AM11" s="133">
        <v>1</v>
      </c>
      <c r="AN11" s="56">
        <v>1</v>
      </c>
    </row>
    <row r="12" spans="1:40" ht="21" customHeight="1" x14ac:dyDescent="0.15">
      <c r="A12" s="14" t="str">
        <f t="shared" si="0"/>
        <v>41001_4-5/279&lt;lv80&gt;s2</v>
      </c>
      <c r="B12" s="19">
        <v>41001</v>
      </c>
      <c r="C12" s="183">
        <v>4</v>
      </c>
      <c r="D12" s="13" t="str">
        <f t="shared" si="1"/>
        <v>41001_4</v>
      </c>
      <c r="E12" s="4" t="str">
        <f ca="1">VLOOKUP($B12,OFFSET([2]quests!$A$1,0,0,COUNTA([2]quests!$A:$A),MATCH(E$1,[2]quests!$1:$1,0)-MATCH($B$1,[2]quests!$1:$1,0)+1),MATCH(E$1,[2]quests!$1:$1,0)-MATCH($B$1,[2]quests!$1:$1,0)+1,FALSE)</f>
        <v>アマテラス襲来！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【スコアアタック】アマテラス襲来</v>
      </c>
      <c r="G12" s="181">
        <v>5</v>
      </c>
      <c r="H12" s="13" t="str">
        <f t="shared" si="2"/>
        <v>41001_4-5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184">
        <v>2</v>
      </c>
      <c r="L12" s="185">
        <v>279</v>
      </c>
      <c r="M12" s="15" t="str">
        <f ca="1">VLOOKUP($L12,OFFSET([3]enemies!$A$1,0,0,COUNTA([3]enemies!$A:$A),MATCH(M$1,[3]enemies!$1:$1,0)-MATCH($L$1,[3]enemies!$1:$1,0)+1),MATCH(M$1,[3]enemies!$1:$1,0)-MATCH($L$1,[3]enemies!$1:$1,0)+1,FALSE)</f>
        <v>統空大神 アマテラス</v>
      </c>
      <c r="N12" s="15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5" t="str">
        <f ca="1">VLOOKUP($L12,OFFSET([4]characters!$A$1,0,0,COUNTA([4]characters!$A:$A),MATCH(O$1,[4]characters!$1:$1,0)-MATCH($L$1,[4]characters!$1:$1,0)+1),MATCH(O$1,[4]characters!$1:$1,0)-MATCH($L$1,[4]characters!$1:$1,0)+1,FALSE)</f>
        <v>DropWizS</v>
      </c>
      <c r="P12" s="15" t="str">
        <f ca="1">VLOOKUP($L12,OFFSET([3]enemies!$A$1,0,0,COUNTA([3]enemies!$A:$A),MATCH(P$1,[3]enemies!$1:$1,0)-MATCH($L$1,[3]enemies!$1:$1,0)+1),MATCH(P$1,[3]enemies!$1:$1,0)-MATCH($L$1,[3]enemies!$1:$1,0)+1,FALSE)</f>
        <v>god</v>
      </c>
      <c r="Q12" s="15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80</v>
      </c>
      <c r="S12" s="21">
        <v>1.9</v>
      </c>
      <c r="T12" s="21">
        <v>1.1000000000000001</v>
      </c>
      <c r="U12" s="5">
        <v>0</v>
      </c>
      <c r="V12" s="4"/>
      <c r="W12" s="182">
        <v>41001010</v>
      </c>
      <c r="X12" s="6">
        <v>1</v>
      </c>
      <c r="Y12" s="6">
        <v>100</v>
      </c>
      <c r="Z12" s="6">
        <v>1</v>
      </c>
      <c r="AA12" s="187">
        <v>2</v>
      </c>
      <c r="AB12" s="132">
        <f t="shared" si="3"/>
        <v>279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統空大神 アマテラス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5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2" s="133">
        <v>1</v>
      </c>
      <c r="AG12" s="132">
        <f t="shared" ca="1" si="4"/>
        <v>5</v>
      </c>
      <c r="AH12" s="189">
        <v>0</v>
      </c>
      <c r="AI12" s="133">
        <v>0</v>
      </c>
      <c r="AJ12" s="133">
        <v>0</v>
      </c>
      <c r="AK12" s="133">
        <v>0</v>
      </c>
      <c r="AL12" s="133">
        <v>0</v>
      </c>
      <c r="AM12" s="133">
        <v>1</v>
      </c>
      <c r="AN12" s="56">
        <v>1</v>
      </c>
    </row>
  </sheetData>
  <sheetProtection selectLockedCells="1" selectUnlockedCells="1"/>
  <autoFilter ref="B1:AH1"/>
  <phoneticPr fontId="1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  <outlinePr summaryBelow="0" summaryRight="0"/>
  </sheetPr>
  <dimension ref="A1:Y3"/>
  <sheetViews>
    <sheetView showGridLines="0" zoomScale="75" zoomScaleNormal="75" zoomScalePageLayoutView="75" workbookViewId="0">
      <pane xSplit="18" ySplit="1" topLeftCell="S2" activePane="bottomRight" state="frozen"/>
      <selection activeCell="D2" sqref="D2"/>
      <selection pane="topRight" activeCell="D2" sqref="D2"/>
      <selection pane="bottomLeft" activeCell="D2" sqref="D2"/>
      <selection pane="bottomRight"/>
    </sheetView>
  </sheetViews>
  <sheetFormatPr baseColWidth="12" defaultColWidth="13" defaultRowHeight="21" customHeight="1" outlineLevelCol="1" x14ac:dyDescent="0.15"/>
  <cols>
    <col min="1" max="1" width="17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2.33203125" style="3" customWidth="1" outlineLevel="1"/>
    <col min="25" max="25" width="9.33203125" style="3" bestFit="1" customWidth="1"/>
    <col min="26" max="16384" width="13" style="3"/>
  </cols>
  <sheetData>
    <row r="1" spans="1:25" s="29" customFormat="1" ht="21" customHeight="1" x14ac:dyDescent="0.15">
      <c r="A1" s="23" t="s">
        <v>367</v>
      </c>
      <c r="B1" s="22" t="s">
        <v>0</v>
      </c>
      <c r="C1" s="22" t="s">
        <v>1</v>
      </c>
      <c r="D1" s="24" t="s">
        <v>368</v>
      </c>
      <c r="E1" s="24" t="s">
        <v>369</v>
      </c>
      <c r="F1" s="24" t="s">
        <v>369</v>
      </c>
      <c r="G1" s="22" t="s">
        <v>370</v>
      </c>
      <c r="H1" s="24" t="s">
        <v>371</v>
      </c>
      <c r="I1" s="24" t="s">
        <v>13</v>
      </c>
      <c r="J1" s="24" t="s">
        <v>14</v>
      </c>
      <c r="K1" s="30" t="s">
        <v>372</v>
      </c>
      <c r="L1" s="30" t="s">
        <v>385</v>
      </c>
      <c r="M1" s="30" t="s">
        <v>2</v>
      </c>
      <c r="N1" s="25" t="s">
        <v>369</v>
      </c>
      <c r="O1" s="24" t="s">
        <v>373</v>
      </c>
      <c r="P1" s="24" t="s">
        <v>374</v>
      </c>
      <c r="Q1" s="26" t="s">
        <v>375</v>
      </c>
      <c r="R1" s="24" t="s">
        <v>376</v>
      </c>
      <c r="S1" s="22" t="s">
        <v>3</v>
      </c>
      <c r="T1" s="22" t="s">
        <v>386</v>
      </c>
      <c r="U1" s="22" t="s">
        <v>387</v>
      </c>
      <c r="V1" s="22" t="s">
        <v>388</v>
      </c>
      <c r="W1" s="22" t="s">
        <v>389</v>
      </c>
      <c r="X1" s="24" t="s">
        <v>390</v>
      </c>
      <c r="Y1" s="22" t="s">
        <v>7</v>
      </c>
    </row>
    <row r="2" spans="1:25" ht="21" customHeight="1" x14ac:dyDescent="0.15">
      <c r="A2" s="14" t="str">
        <f>B2&amp;"_"&amp;C2&amp;"-"&amp;G2&amp;"/"&amp;M2&amp;"&lt;lv"&amp;S2&amp;"&gt;sq"&amp;K2&amp;"st"&amp;L2</f>
        <v>41001_4-5/810&lt;lv80&gt;sq2st2</v>
      </c>
      <c r="B2" s="19">
        <v>41001</v>
      </c>
      <c r="C2" s="183">
        <v>4</v>
      </c>
      <c r="D2" s="13" t="str">
        <f>B2&amp;"_"&amp;C2</f>
        <v>41001_4</v>
      </c>
      <c r="E2" s="4" t="str">
        <f ca="1">VLOOKUP($B2,OFFSET([2]quests!$A$1,0,0,COUNTA([2]quests!$A:$A),MATCH(E$1,[2]quests!$1:$1,0)-MATCH($B$1,[2]quests!$1:$1,0)+1),MATCH(E$1,[2]quests!$1:$1,0)-MATCH($B$1,[2]quests!$1:$1,0)+1,FALSE)</f>
        <v>アマテラス襲来！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【スコアアタック】アマテラス襲来</v>
      </c>
      <c r="G2" s="96">
        <v>5</v>
      </c>
      <c r="H2" s="13" t="str">
        <f>B2&amp;"_"&amp;C2&amp;"-"&amp;G2</f>
        <v>41001_4-5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2">
        <v>2</v>
      </c>
      <c r="L2" s="32">
        <v>2</v>
      </c>
      <c r="M2" s="131">
        <v>810</v>
      </c>
      <c r="N2" s="15" t="str">
        <f ca="1">VLOOKUP($M2,OFFSET([3]enemies!$A$1,0,0,COUNTA([3]enemies!$A:$A),MATCH(N$1,[3]enemies!$1:$1,0)-MATCH($M$1,[3]enemies!$1:$1,0)+1),MATCH(N$1,[3]enemies!$1:$1,0)-MATCH($M$1,[3]enemies!$1:$1,0)+1,FALSE)</f>
        <v>君臨大御神 アマテラス</v>
      </c>
      <c r="O2" s="15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5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5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5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1">
        <v>2.1</v>
      </c>
      <c r="U2" s="21">
        <v>0.9</v>
      </c>
      <c r="V2" s="5">
        <v>0</v>
      </c>
      <c r="W2" s="4"/>
      <c r="X2" s="182">
        <v>41001011</v>
      </c>
      <c r="Y2" s="188">
        <v>1</v>
      </c>
    </row>
    <row r="3" spans="1:25" ht="21" customHeight="1" x14ac:dyDescent="0.15">
      <c r="A3" s="14" t="str">
        <f>B3&amp;"_"&amp;C3&amp;"-"&amp;G3&amp;"/"&amp;M3&amp;"&lt;lv"&amp;S3&amp;"&gt;sq"&amp;K3&amp;"st"&amp;L3</f>
        <v>41001_4-5/810&lt;lv80&gt;sq2st3</v>
      </c>
      <c r="B3" s="19">
        <v>41001</v>
      </c>
      <c r="C3" s="183">
        <v>4</v>
      </c>
      <c r="D3" s="13" t="str">
        <f>B3&amp;"_"&amp;C3</f>
        <v>41001_4</v>
      </c>
      <c r="E3" s="4" t="str">
        <f ca="1">VLOOKUP($B3,OFFSET([2]quests!$A$1,0,0,COUNTA([2]quests!$A:$A),MATCH(E$1,[2]quests!$1:$1,0)-MATCH($B$1,[2]quests!$1:$1,0)+1),MATCH(E$1,[2]quests!$1:$1,0)-MATCH($B$1,[2]quests!$1:$1,0)+1,FALSE)</f>
        <v>アマテラス襲来！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【スコアアタック】アマテラス襲来</v>
      </c>
      <c r="G3" s="96">
        <v>5</v>
      </c>
      <c r="H3" s="13" t="str">
        <f>B3&amp;"_"&amp;C3&amp;"-"&amp;G3</f>
        <v>41001_4-5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2">
        <v>2</v>
      </c>
      <c r="L3" s="32">
        <v>3</v>
      </c>
      <c r="M3" s="131">
        <v>810</v>
      </c>
      <c r="N3" s="15" t="str">
        <f ca="1">VLOOKUP($M3,OFFSET([3]enemies!$A$1,0,0,COUNTA([3]enemies!$A:$A),MATCH(N$1,[3]enemies!$1:$1,0)-MATCH($M$1,[3]enemies!$1:$1,0)+1),MATCH(N$1,[3]enemies!$1:$1,0)-MATCH($M$1,[3]enemies!$1:$1,0)+1,FALSE)</f>
        <v>君臨大御神 アマテラス</v>
      </c>
      <c r="O3" s="15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5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5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5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1">
        <v>2</v>
      </c>
      <c r="U3" s="21">
        <v>1.1000000000000001</v>
      </c>
      <c r="V3" s="5">
        <v>0</v>
      </c>
      <c r="W3" s="4"/>
      <c r="X3" s="182">
        <v>41001012</v>
      </c>
      <c r="Y3" s="188">
        <v>2</v>
      </c>
    </row>
  </sheetData>
  <sheetProtection selectLockedCells="1" selectUnlockedCells="1"/>
  <autoFilter ref="B1:Y2"/>
  <phoneticPr fontId="1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"/>
  <sheetViews>
    <sheetView showGridLines="0" workbookViewId="0">
      <pane xSplit="5" ySplit="1" topLeftCell="F2" activePane="bottomRight" state="frozen"/>
      <selection activeCell="D2" sqref="D2"/>
      <selection pane="topRight" activeCell="D2" sqref="D2"/>
      <selection pane="bottomLeft" activeCell="D2" sqref="D2"/>
      <selection pane="bottomRight" activeCell="C2" sqref="C2"/>
    </sheetView>
  </sheetViews>
  <sheetFormatPr baseColWidth="12" defaultColWidth="12.83203125" defaultRowHeight="21" customHeight="1" outlineLevelCol="1" x14ac:dyDescent="0.15"/>
  <cols>
    <col min="1" max="1" width="11.33203125" style="33" bestFit="1" customWidth="1"/>
    <col min="2" max="2" width="9.5" style="43" bestFit="1" customWidth="1"/>
    <col min="3" max="3" width="9.6640625" style="43" customWidth="1"/>
    <col min="4" max="4" width="18.5" style="43" customWidth="1" outlineLevel="1"/>
    <col min="5" max="5" width="44.1640625" style="43" bestFit="1" customWidth="1" outlineLevel="1"/>
    <col min="6" max="6" width="10.83203125" style="43" bestFit="1" customWidth="1"/>
    <col min="7" max="7" width="8.33203125" style="43" bestFit="1" customWidth="1" outlineLevel="1"/>
    <col min="8" max="9" width="12.83203125" style="43" outlineLevel="1"/>
    <col min="10" max="10" width="17.6640625" style="43" bestFit="1" customWidth="1" outlineLevel="1"/>
    <col min="11" max="15" width="12.83203125" style="43" outlineLevel="1"/>
    <col min="16" max="16" width="8.33203125" style="39" bestFit="1" customWidth="1"/>
    <col min="17" max="17" width="9.6640625" style="39" customWidth="1"/>
    <col min="18" max="18" width="56.5" style="39" bestFit="1" customWidth="1"/>
    <col min="19" max="16384" width="12.83203125" style="39"/>
  </cols>
  <sheetData>
    <row r="1" spans="1:18" ht="21" customHeight="1" x14ac:dyDescent="0.15">
      <c r="A1" s="33" t="s">
        <v>391</v>
      </c>
      <c r="B1" s="34" t="s">
        <v>392</v>
      </c>
      <c r="C1" s="34" t="s">
        <v>393</v>
      </c>
      <c r="D1" s="35" t="s">
        <v>394</v>
      </c>
      <c r="E1" s="35" t="s">
        <v>395</v>
      </c>
      <c r="F1" s="36" t="s">
        <v>396</v>
      </c>
      <c r="G1" s="37" t="s">
        <v>397</v>
      </c>
      <c r="H1" s="37" t="s">
        <v>398</v>
      </c>
      <c r="I1" s="37" t="s">
        <v>399</v>
      </c>
      <c r="J1" s="37" t="s">
        <v>400</v>
      </c>
      <c r="K1" s="38" t="s">
        <v>401</v>
      </c>
      <c r="L1" s="38" t="s">
        <v>402</v>
      </c>
      <c r="M1" s="37" t="s">
        <v>403</v>
      </c>
      <c r="N1" s="37" t="s">
        <v>404</v>
      </c>
      <c r="O1" s="37" t="s">
        <v>405</v>
      </c>
      <c r="P1" s="35" t="s">
        <v>28</v>
      </c>
      <c r="Q1" s="35" t="s">
        <v>29</v>
      </c>
      <c r="R1" s="35" t="s">
        <v>30</v>
      </c>
    </row>
    <row r="2" spans="1:18" ht="21" customHeight="1" x14ac:dyDescent="0.15">
      <c r="A2" s="33" t="str">
        <f t="shared" ref="A2" si="0">B2&amp;"_"&amp;C2</f>
        <v>65535010_65535010</v>
      </c>
      <c r="B2" s="41">
        <v>65535010</v>
      </c>
      <c r="C2" s="41">
        <v>65535010</v>
      </c>
      <c r="D2" s="40" t="str">
        <f ca="1">VLOOKUP($C2,OFFSET(enemy_skills!$A$1,0,0,COUNTA(enemy_skills!$A:$A),MATCH(D$1,enemy_skills!$1:$1,0)-MATCH("enemy_skill_id",enemy_skills!$1:$1,0)+1),MATCH(D$1,enemy_skills!$1:$1,0)-MATCH("enemy_skill_id",enemy_skills!$1:$1,0)+1,FALSE)</f>
        <v>恍惚の表情を浮かべている</v>
      </c>
      <c r="E2" s="40" t="str">
        <f ca="1">VLOOKUP($C2,OFFSET(enemy_skills!$A$1,0,0,COUNTA(enemy_skills!$A:$A),MATCH(E$1,enemy_skills!$1:$1,0)-MATCH("enemy_skill_id",enemy_skills!$1:$1,0)+1),MATCH(E$1,enemy_skills!$1:$1,0)-MATCH("enemy_skill_id",enemy_skills!$1:$1,0)+1,FALSE)</f>
        <v>回復</v>
      </c>
      <c r="F2" s="41">
        <v>65535010</v>
      </c>
      <c r="G2" s="42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2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2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2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2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2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2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2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2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1"/>
      <c r="Q2" s="41"/>
      <c r="R2" s="41"/>
    </row>
  </sheetData>
  <autoFilter ref="A1:R1"/>
  <phoneticPr fontId="1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"/>
  <sheetViews>
    <sheetView showGridLines="0" workbookViewId="0">
      <pane ySplit="1" topLeftCell="A2" activePane="bottomLeft" state="frozenSplit"/>
      <selection activeCell="D2" sqref="D2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3"/>
    <col min="2" max="2" width="67.1640625" style="43" customWidth="1"/>
    <col min="3" max="4" width="12.83203125" style="43"/>
    <col min="5" max="5" width="23.6640625" style="43" bestFit="1" customWidth="1"/>
    <col min="6" max="6" width="44.1640625" style="43" bestFit="1" customWidth="1"/>
    <col min="7" max="7" width="52" style="43" customWidth="1" outlineLevel="1"/>
    <col min="8" max="8" width="18.33203125" style="43" customWidth="1" outlineLevel="1"/>
    <col min="9" max="11" width="18.6640625" style="43" customWidth="1" outlineLevel="1"/>
    <col min="12" max="12" width="23.6640625" style="43" customWidth="1"/>
    <col min="13" max="18" width="23.6640625" style="43" customWidth="1" outlineLevel="1"/>
    <col min="19" max="19" width="23.6640625" style="43" customWidth="1"/>
    <col min="20" max="24" width="23.6640625" style="43" customWidth="1" outlineLevel="1"/>
    <col min="25" max="25" width="23.6640625" style="43" customWidth="1"/>
    <col min="26" max="27" width="12.83203125" style="43"/>
    <col min="28" max="28" width="44.5" style="43" customWidth="1"/>
    <col min="29" max="16384" width="12.83203125" style="43"/>
  </cols>
  <sheetData>
    <row r="1" spans="1:28" ht="21" customHeight="1" x14ac:dyDescent="0.15">
      <c r="A1" s="34" t="s">
        <v>31</v>
      </c>
      <c r="B1" s="34" t="s">
        <v>406</v>
      </c>
      <c r="C1" s="34" t="s">
        <v>32</v>
      </c>
      <c r="D1" s="34" t="s">
        <v>407</v>
      </c>
      <c r="E1" s="34" t="s">
        <v>408</v>
      </c>
      <c r="F1" s="34" t="s">
        <v>409</v>
      </c>
      <c r="G1" s="35" t="s">
        <v>44</v>
      </c>
      <c r="H1" s="35" t="s">
        <v>50</v>
      </c>
      <c r="I1" s="35" t="s">
        <v>52</v>
      </c>
      <c r="J1" s="35" t="s">
        <v>51</v>
      </c>
      <c r="K1" s="35" t="s">
        <v>53</v>
      </c>
      <c r="L1" s="35" t="s">
        <v>45</v>
      </c>
      <c r="M1" s="35" t="s">
        <v>43</v>
      </c>
      <c r="N1" s="35" t="s">
        <v>46</v>
      </c>
      <c r="O1" s="35" t="s">
        <v>54</v>
      </c>
      <c r="P1" s="35" t="s">
        <v>55</v>
      </c>
      <c r="Q1" s="35" t="s">
        <v>56</v>
      </c>
      <c r="R1" s="35" t="s">
        <v>57</v>
      </c>
      <c r="S1" s="35" t="s">
        <v>47</v>
      </c>
      <c r="T1" s="35" t="s">
        <v>48</v>
      </c>
      <c r="U1" s="35" t="s">
        <v>58</v>
      </c>
      <c r="V1" s="35" t="s">
        <v>59</v>
      </c>
      <c r="W1" s="35" t="s">
        <v>60</v>
      </c>
      <c r="X1" s="35" t="s">
        <v>61</v>
      </c>
      <c r="Y1" s="35" t="s">
        <v>49</v>
      </c>
      <c r="Z1" s="35" t="s">
        <v>28</v>
      </c>
      <c r="AA1" s="35" t="s">
        <v>29</v>
      </c>
      <c r="AB1" s="35" t="s">
        <v>30</v>
      </c>
    </row>
    <row r="2" spans="1:28" ht="21" customHeight="1" x14ac:dyDescent="0.15">
      <c r="A2" s="41">
        <v>65535010</v>
      </c>
      <c r="B2" s="41" t="s">
        <v>410</v>
      </c>
      <c r="C2" s="44">
        <v>1</v>
      </c>
      <c r="D2" s="44" t="s">
        <v>411</v>
      </c>
      <c r="E2" s="45" t="s">
        <v>412</v>
      </c>
      <c r="F2" s="45" t="s">
        <v>413</v>
      </c>
      <c r="G2" s="54" t="str">
        <f>IFERROR(LEFT(B2,FIND("],",B2)),B2)</f>
        <v>[effect:heal, target:enemy_one, val:0.1, animation:enemy_heal]</v>
      </c>
      <c r="H2" s="54">
        <f>FIND("effect:",G2)+7</f>
        <v>9</v>
      </c>
      <c r="I2" s="54">
        <f>IFERROR(FIND(",",G2),LEN(G2))</f>
        <v>13</v>
      </c>
      <c r="J2" s="54">
        <f>FIND("target:",G2)+7</f>
        <v>22</v>
      </c>
      <c r="K2" s="54">
        <f>FIND(",",G2,I2+1)</f>
        <v>31</v>
      </c>
      <c r="L2" s="54" t="str">
        <f>IFERROR(VLOOKUP(MID(G2,J2,K2-J2),[5]skilldef!$C:$D,2,FALSE),"-") &amp; " / " &amp; IFERROR(VLOOKUP(MID(G2,H2,I2-H2),[5]skilldef!$A:$B,2,FALSE),"-")</f>
        <v>敵単体に / 回復</v>
      </c>
      <c r="M2" s="54" t="str">
        <f>IFERROR(RIGHT(B2,LEN(B2)-FIND("],",B2)-1),"none")</f>
        <v>none</v>
      </c>
      <c r="N2" s="42" t="str">
        <f>IFERROR(LEFT(M2,FIND("],",M2)+S12),M2)</f>
        <v>none</v>
      </c>
      <c r="O2" s="54" t="e">
        <f>FIND("effect:",N2)+7</f>
        <v>#VALUE!</v>
      </c>
      <c r="P2" s="54">
        <f>IFERROR(FIND(",",N2),LEN(N2))</f>
        <v>4</v>
      </c>
      <c r="Q2" s="54" t="e">
        <f>FIND("target:",N2)+7</f>
        <v>#VALUE!</v>
      </c>
      <c r="R2" s="54" t="e">
        <f>FIND(",",N2,P2+1)</f>
        <v>#VALUE!</v>
      </c>
      <c r="S2" s="54" t="str">
        <f>IFERROR(VLOOKUP(MID(N2,Q2,R2-Q2),[5]skilldef!$C:$D,2,FALSE),"-") &amp; " / " &amp; IFERROR(VLOOKUP(MID(N2,O2,P2-O2),[5]skilldef!$A:$B,2,FALSE),"-")</f>
        <v>- / -</v>
      </c>
      <c r="T2" s="42" t="str">
        <f>IFERROR(RIGHT(M2,LEN(M2)-FIND("],",M2)-1),"none")</f>
        <v>none</v>
      </c>
      <c r="U2" s="54" t="e">
        <f>FIND("effect:",T2)+7</f>
        <v>#VALUE!</v>
      </c>
      <c r="V2" s="54">
        <f>IFERROR(FIND(",",T2),LEN(T2))</f>
        <v>4</v>
      </c>
      <c r="W2" s="54" t="e">
        <f>FIND("target:",T2)+7</f>
        <v>#VALUE!</v>
      </c>
      <c r="X2" s="54" t="e">
        <f>FIND(",",T2,V2+1)</f>
        <v>#VALUE!</v>
      </c>
      <c r="Y2" s="54" t="str">
        <f>IFERROR(VLOOKUP(MID(T2,W2,X2-W2),[5]skilldef!$C:$D,2,FALSE),"-") &amp; " / " &amp; IFERROR(VLOOKUP(MID(T2,U2,V2-U2),[5]skilldef!$A:$B,2,FALSE),"-")</f>
        <v>- / -</v>
      </c>
      <c r="Z2" s="44"/>
      <c r="AA2" s="46"/>
      <c r="AB2" s="44"/>
    </row>
  </sheetData>
  <autoFilter ref="A1:AB1"/>
  <phoneticPr fontId="11"/>
  <pageMargins left="0.75" right="0.75" top="1" bottom="1" header="0.3" footer="0.3"/>
  <pageSetup paperSize="9"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"/>
  <sheetViews>
    <sheetView showGridLines="0" workbookViewId="0">
      <pane ySplit="1" topLeftCell="A2" activePane="bottomLeft" state="frozenSplit"/>
      <selection activeCell="D2" sqref="D2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3" bestFit="1" customWidth="1"/>
    <col min="2" max="2" width="13.33203125" style="43" bestFit="1" customWidth="1"/>
    <col min="3" max="3" width="11.83203125" style="43" bestFit="1" customWidth="1"/>
    <col min="4" max="4" width="14.6640625" style="43" bestFit="1" customWidth="1"/>
    <col min="5" max="5" width="15.6640625" style="43" bestFit="1" customWidth="1"/>
    <col min="6" max="6" width="17" style="43" bestFit="1" customWidth="1"/>
    <col min="7" max="7" width="15.6640625" style="43" bestFit="1" customWidth="1"/>
    <col min="8" max="9" width="14.6640625" style="43" customWidth="1"/>
    <col min="10" max="10" width="14.6640625" style="43" bestFit="1" customWidth="1"/>
    <col min="11" max="11" width="22.83203125" style="33" bestFit="1" customWidth="1"/>
    <col min="12" max="16384" width="12.83203125" style="39"/>
  </cols>
  <sheetData>
    <row r="1" spans="1:11" ht="21" customHeight="1" x14ac:dyDescent="0.15">
      <c r="A1" s="36" t="s">
        <v>414</v>
      </c>
      <c r="B1" s="36" t="s">
        <v>415</v>
      </c>
      <c r="C1" s="36" t="s">
        <v>398</v>
      </c>
      <c r="D1" s="36" t="s">
        <v>399</v>
      </c>
      <c r="E1" s="36" t="s">
        <v>400</v>
      </c>
      <c r="F1" s="47" t="s">
        <v>416</v>
      </c>
      <c r="G1" s="47" t="s">
        <v>417</v>
      </c>
      <c r="H1" s="36" t="s">
        <v>418</v>
      </c>
      <c r="I1" s="36" t="s">
        <v>419</v>
      </c>
      <c r="J1" s="36" t="s">
        <v>420</v>
      </c>
      <c r="K1" s="48" t="s">
        <v>33</v>
      </c>
    </row>
    <row r="2" spans="1:11" ht="21" customHeight="1" x14ac:dyDescent="0.15">
      <c r="A2" s="41">
        <v>65535010</v>
      </c>
      <c r="B2" s="41">
        <v>0</v>
      </c>
      <c r="C2" s="41" t="s">
        <v>421</v>
      </c>
      <c r="D2" s="41">
        <v>100</v>
      </c>
      <c r="E2" s="41" t="s">
        <v>421</v>
      </c>
      <c r="F2" s="41" t="s">
        <v>421</v>
      </c>
      <c r="G2" s="41" t="s">
        <v>421</v>
      </c>
      <c r="H2" s="41" t="s">
        <v>421</v>
      </c>
      <c r="I2" s="41" t="s">
        <v>421</v>
      </c>
      <c r="J2" s="42">
        <f t="shared" ref="J2" si="0">D2</f>
        <v>100</v>
      </c>
    </row>
  </sheetData>
  <autoFilter ref="A1:G1"/>
  <phoneticPr fontId="11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</sheetPr>
  <dimension ref="A1:R5"/>
  <sheetViews>
    <sheetView workbookViewId="0">
      <selection activeCell="A2" sqref="A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157" t="s">
        <v>422</v>
      </c>
      <c r="B1" s="157" t="s">
        <v>423</v>
      </c>
      <c r="C1" s="158" t="s">
        <v>424</v>
      </c>
      <c r="D1" s="159" t="s">
        <v>425</v>
      </c>
      <c r="E1" s="160" t="s">
        <v>426</v>
      </c>
      <c r="F1" s="157" t="s">
        <v>427</v>
      </c>
      <c r="G1" s="157" t="s">
        <v>428</v>
      </c>
      <c r="H1" s="157" t="s">
        <v>429</v>
      </c>
      <c r="I1" s="157" t="s">
        <v>430</v>
      </c>
      <c r="J1" s="157" t="s">
        <v>431</v>
      </c>
      <c r="K1" s="157" t="s">
        <v>432</v>
      </c>
      <c r="L1" s="157" t="s">
        <v>433</v>
      </c>
      <c r="M1" s="157" t="s">
        <v>434</v>
      </c>
      <c r="N1" s="157" t="s">
        <v>435</v>
      </c>
      <c r="O1" s="157" t="s">
        <v>436</v>
      </c>
      <c r="P1" s="157" t="s">
        <v>437</v>
      </c>
      <c r="Q1" s="157" t="s">
        <v>438</v>
      </c>
      <c r="R1" s="157" t="s">
        <v>439</v>
      </c>
    </row>
    <row r="2" spans="1:18" x14ac:dyDescent="0.15">
      <c r="A2" s="51">
        <f>floors!C2</f>
        <v>41001</v>
      </c>
      <c r="B2" s="51">
        <v>10</v>
      </c>
      <c r="C2" s="134" t="str">
        <f>A2&amp; "_"&amp;B2</f>
        <v>41001_10</v>
      </c>
      <c r="D2" s="16" t="e">
        <f ca="1">VLOOKUP($C2,OFFSET([2]stages!$A$1,0,0,COUNTA([2]stages!$A:$A),MATCH(D$1,[2]stages!$2:$2,0)-MATCH($C$1,[2]stages!$2:$2,0)+1),MATCH(D$1,[2]stages!$2:$2,0)-MATCH($C$1,[2]stages!$2:$2,0)+1,FALSE)</f>
        <v>#N/A</v>
      </c>
      <c r="E2" s="51">
        <v>1</v>
      </c>
      <c r="F2" s="51" t="s">
        <v>63</v>
      </c>
      <c r="G2" s="51">
        <v>1000</v>
      </c>
      <c r="H2" s="51" t="s">
        <v>440</v>
      </c>
      <c r="I2" s="51">
        <v>1</v>
      </c>
      <c r="J2" s="51">
        <v>1</v>
      </c>
      <c r="K2" s="51">
        <v>0</v>
      </c>
      <c r="L2" s="51">
        <v>0</v>
      </c>
      <c r="M2" s="51">
        <v>0</v>
      </c>
      <c r="N2" s="51">
        <v>0</v>
      </c>
      <c r="O2" s="51">
        <v>1</v>
      </c>
      <c r="P2" s="51">
        <v>100</v>
      </c>
      <c r="Q2" s="51" t="s">
        <v>242</v>
      </c>
      <c r="R2" s="51" t="s">
        <v>243</v>
      </c>
    </row>
    <row r="3" spans="1:18" x14ac:dyDescent="0.15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</row>
    <row r="4" spans="1:18" x14ac:dyDescent="0.15">
      <c r="A4" s="51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</row>
    <row r="5" spans="1:18" x14ac:dyDescent="0.15">
      <c r="A5" s="51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</row>
  </sheetData>
  <phoneticPr fontId="11"/>
  <dataValidations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activeCell="D2" sqref="D2"/>
      <selection pane="bottomLeft" activeCell="H10" sqref="H10"/>
    </sheetView>
  </sheetViews>
  <sheetFormatPr baseColWidth="12" defaultColWidth="13" defaultRowHeight="15" outlineLevelCol="1" x14ac:dyDescent="0.15"/>
  <cols>
    <col min="1" max="1" width="13" style="6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58" t="s">
        <v>485</v>
      </c>
      <c r="B1" s="57" t="s">
        <v>483</v>
      </c>
      <c r="C1" s="59" t="s">
        <v>486</v>
      </c>
      <c r="D1" s="59" t="s">
        <v>20</v>
      </c>
      <c r="E1" s="57" t="s">
        <v>487</v>
      </c>
      <c r="F1" s="59" t="s">
        <v>486</v>
      </c>
      <c r="G1" s="59" t="s">
        <v>20</v>
      </c>
      <c r="H1" s="57" t="s">
        <v>488</v>
      </c>
      <c r="I1" s="67" t="s">
        <v>489</v>
      </c>
      <c r="J1" s="61" t="s">
        <v>490</v>
      </c>
      <c r="K1" s="60" t="s">
        <v>491</v>
      </c>
      <c r="L1" s="68" t="s">
        <v>492</v>
      </c>
      <c r="M1" s="62" t="s">
        <v>493</v>
      </c>
    </row>
  </sheetData>
  <phoneticPr fontId="11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activeCell="D2" sqref="D2"/>
      <selection pane="bottomLeft" activeCell="L2" sqref="L2"/>
    </sheetView>
  </sheetViews>
  <sheetFormatPr baseColWidth="12" defaultColWidth="13" defaultRowHeight="15" outlineLevelCol="1" x14ac:dyDescent="0.15"/>
  <cols>
    <col min="1" max="1" width="13" style="6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58" t="s">
        <v>442</v>
      </c>
      <c r="B1" s="57" t="s">
        <v>443</v>
      </c>
      <c r="C1" s="59" t="s">
        <v>444</v>
      </c>
      <c r="D1" s="59" t="s">
        <v>20</v>
      </c>
      <c r="E1" s="57" t="s">
        <v>445</v>
      </c>
      <c r="F1" s="59" t="s">
        <v>444</v>
      </c>
      <c r="G1" s="59" t="s">
        <v>20</v>
      </c>
      <c r="H1" s="57" t="s">
        <v>446</v>
      </c>
      <c r="I1" s="66" t="s">
        <v>447</v>
      </c>
      <c r="J1" s="67" t="s">
        <v>448</v>
      </c>
      <c r="K1" s="61" t="s">
        <v>449</v>
      </c>
      <c r="L1" s="60" t="s">
        <v>450</v>
      </c>
      <c r="M1" s="68" t="s">
        <v>451</v>
      </c>
      <c r="N1" s="62" t="s">
        <v>452</v>
      </c>
    </row>
    <row r="2" spans="1:14" x14ac:dyDescent="0.15">
      <c r="A2" s="135" t="s">
        <v>244</v>
      </c>
      <c r="B2" s="63">
        <f>floors!$C$2</f>
        <v>41001</v>
      </c>
      <c r="C2" s="64" t="str">
        <f ca="1">VLOOKUP($B2,OFFSET([2]quests!$A$1,0,0,COUNTA([2]quests!$A:$A),MATCH(C$1,[2]quests!$1:$1,0)-MATCH($B$1,[2]quests!$1:$1,0)+1),MATCH(C$1,[2]quests!$1:$1,0)-MATCH($B$1,[2]quests!$1:$1,0)+1,FALSE)</f>
        <v>アマテラス襲来！</v>
      </c>
      <c r="D2" s="64" t="str">
        <f ca="1">VLOOKUP($B2,OFFSET([2]quests!$A$1,0,0,COUNTA([2]quests!$A:$A),MATCH(D$1,[2]quests!$1:$1,0)-MATCH($B$1,[2]quests!$1:$1,0)+1),MATCH(D$1,[2]quests!$1:$1,0)-MATCH($B$1,[2]quests!$1:$1,0)+1,FALSE)</f>
        <v>降臨1</v>
      </c>
      <c r="E2" s="136">
        <v>10</v>
      </c>
      <c r="F2" s="6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6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140">
        <v>1</v>
      </c>
      <c r="I2" s="137">
        <f>ROW()-1</f>
        <v>1</v>
      </c>
      <c r="J2" s="138" t="str">
        <f>B2&amp;TEXT(I2,"00")</f>
        <v>4100101</v>
      </c>
      <c r="K2" s="136" t="s">
        <v>453</v>
      </c>
      <c r="L2" s="139" t="s">
        <v>245</v>
      </c>
      <c r="M2" s="161"/>
      <c r="N2" s="51" t="s">
        <v>454</v>
      </c>
    </row>
  </sheetData>
  <phoneticPr fontId="11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tabColor rgb="FF0000FF"/>
    <outlinePr summaryBelow="0" summaryRight="0"/>
  </sheetPr>
  <dimension ref="A1:X3"/>
  <sheetViews>
    <sheetView showGridLines="0" topLeftCell="B1" workbookViewId="0">
      <pane ySplit="1" topLeftCell="A2" activePane="bottomLeft" state="frozen"/>
      <selection activeCell="D2" sqref="D2"/>
      <selection pane="bottomLeft" activeCell="E2" sqref="E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162" t="s">
        <v>455</v>
      </c>
      <c r="B1" s="163" t="s">
        <v>456</v>
      </c>
      <c r="C1" s="59" t="s">
        <v>457</v>
      </c>
      <c r="D1" s="59" t="s">
        <v>20</v>
      </c>
      <c r="E1" s="163" t="s">
        <v>458</v>
      </c>
      <c r="F1" s="59" t="s">
        <v>457</v>
      </c>
      <c r="G1" s="59" t="s">
        <v>20</v>
      </c>
      <c r="H1" s="163" t="s">
        <v>459</v>
      </c>
      <c r="I1" s="163" t="s">
        <v>460</v>
      </c>
      <c r="J1" s="163" t="s">
        <v>461</v>
      </c>
      <c r="K1" s="57" t="s">
        <v>462</v>
      </c>
      <c r="L1" s="57" t="s">
        <v>463</v>
      </c>
      <c r="M1" s="57" t="s">
        <v>464</v>
      </c>
      <c r="N1" s="59" t="s">
        <v>457</v>
      </c>
      <c r="O1" s="57" t="s">
        <v>465</v>
      </c>
      <c r="P1" s="57" t="s">
        <v>466</v>
      </c>
      <c r="Q1" s="57" t="s">
        <v>467</v>
      </c>
      <c r="R1" s="57" t="s">
        <v>468</v>
      </c>
      <c r="S1" s="57" t="s">
        <v>469</v>
      </c>
      <c r="T1" s="57" t="s">
        <v>470</v>
      </c>
      <c r="U1" s="57" t="s">
        <v>471</v>
      </c>
      <c r="V1" s="57" t="s">
        <v>472</v>
      </c>
      <c r="W1" s="57" t="s">
        <v>473</v>
      </c>
      <c r="X1" s="57" t="s">
        <v>474</v>
      </c>
    </row>
    <row r="2" spans="1:24" x14ac:dyDescent="0.15">
      <c r="A2" s="164" t="str">
        <f>B2&amp;"_"&amp;E2&amp;"_"&amp;H2&amp;"_"&amp;I2&amp;"_"&amp;J2</f>
        <v>41001_10_everyone_clear_1</v>
      </c>
      <c r="B2" s="63">
        <f>floors!$C$2</f>
        <v>41001</v>
      </c>
      <c r="C2" s="64" t="str">
        <f ca="1">VLOOKUP($B2,OFFSET([2]quests!$A$1,0,0,COUNTA([2]quests!$A:$A),MATCH(C$1,[2]quests!$1:$1,0)-MATCH($B$1,[2]quests!$1:$1,0)+1),MATCH(C$1,[2]quests!$1:$1,0)-MATCH($B$1,[2]quests!$1:$1,0)+1,FALSE)</f>
        <v>アマテラス襲来！</v>
      </c>
      <c r="D2" s="64" t="str">
        <f ca="1">VLOOKUP($B2,OFFSET([2]quests!$A$1,0,0,COUNTA([2]quests!$A:$A),MATCH(D$1,[2]quests!$1:$1,0)-MATCH($B$1,[2]quests!$1:$1,0)+1),MATCH(D$1,[2]quests!$1:$1,0)-MATCH($B$1,[2]quests!$1:$1,0)+1,FALSE)</f>
        <v>降臨1</v>
      </c>
      <c r="E2" s="136">
        <v>10</v>
      </c>
      <c r="F2" s="6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6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140" t="s">
        <v>475</v>
      </c>
      <c r="I2" s="136" t="s">
        <v>476</v>
      </c>
      <c r="J2" s="136">
        <v>1</v>
      </c>
      <c r="K2" s="136">
        <v>610</v>
      </c>
      <c r="L2" s="136" t="s">
        <v>477</v>
      </c>
      <c r="M2" s="136">
        <v>334</v>
      </c>
      <c r="N2" s="16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136">
        <v>1</v>
      </c>
      <c r="P2" s="136">
        <v>1</v>
      </c>
      <c r="Q2" s="136">
        <v>1</v>
      </c>
      <c r="R2" s="136">
        <v>0</v>
      </c>
      <c r="S2" s="136">
        <v>0</v>
      </c>
      <c r="T2" s="136">
        <v>0</v>
      </c>
      <c r="U2" s="136">
        <v>0</v>
      </c>
      <c r="V2" s="136">
        <v>1</v>
      </c>
      <c r="W2" s="166" t="s">
        <v>478</v>
      </c>
      <c r="X2" s="167" t="s">
        <v>479</v>
      </c>
    </row>
    <row r="3" spans="1:24" x14ac:dyDescent="0.15">
      <c r="A3" s="164" t="str">
        <f>B3&amp;"_"&amp;E3&amp;"_"&amp;H3&amp;"_"&amp;I3&amp;"_"&amp;J3</f>
        <v>41001_10_everyone_no_continue_1</v>
      </c>
      <c r="B3" s="63">
        <f>floors!$C$2</f>
        <v>41001</v>
      </c>
      <c r="C3" s="64" t="str">
        <f ca="1">VLOOKUP($B3,OFFSET([2]quests!$A$1,0,0,COUNTA([2]quests!$A:$A),MATCH(C$1,[2]quests!$1:$1,0)-MATCH($B$1,[2]quests!$1:$1,0)+1),MATCH(C$1,[2]quests!$1:$1,0)-MATCH($B$1,[2]quests!$1:$1,0)+1,FALSE)</f>
        <v>アマテラス襲来！</v>
      </c>
      <c r="D3" s="64" t="str">
        <f ca="1">VLOOKUP($B3,OFFSET([2]quests!$A$1,0,0,COUNTA([2]quests!$A:$A),MATCH(D$1,[2]quests!$1:$1,0)-MATCH($B$1,[2]quests!$1:$1,0)+1),MATCH(D$1,[2]quests!$1:$1,0)-MATCH($B$1,[2]quests!$1:$1,0)+1,FALSE)</f>
        <v>降臨1</v>
      </c>
      <c r="E3" s="136">
        <v>10</v>
      </c>
      <c r="F3" s="6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6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140" t="s">
        <v>475</v>
      </c>
      <c r="I3" s="136" t="s">
        <v>480</v>
      </c>
      <c r="J3" s="136">
        <v>1</v>
      </c>
      <c r="K3" s="136">
        <v>610</v>
      </c>
      <c r="L3" s="136" t="s">
        <v>477</v>
      </c>
      <c r="M3" s="136">
        <v>334</v>
      </c>
      <c r="N3" s="165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136">
        <v>1</v>
      </c>
      <c r="P3" s="136">
        <v>1</v>
      </c>
      <c r="Q3" s="136">
        <v>1</v>
      </c>
      <c r="R3" s="136">
        <v>0</v>
      </c>
      <c r="S3" s="136">
        <v>0</v>
      </c>
      <c r="T3" s="136">
        <v>0</v>
      </c>
      <c r="U3" s="136">
        <v>0</v>
      </c>
      <c r="V3" s="136">
        <v>1</v>
      </c>
      <c r="W3" s="166" t="s">
        <v>481</v>
      </c>
      <c r="X3" s="167" t="s">
        <v>482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output</vt:lpstr>
      <vt:lpstr>score_attack_expanded_floors</vt:lpstr>
      <vt:lpstr>score_attack_expanded_stages</vt:lpstr>
      <vt:lpstr>score_attack_params_damage_give</vt:lpstr>
      <vt:lpstr>score_attack_params_heal</vt:lpstr>
      <vt:lpstr>stage_evaluations</vt:lpstr>
      <vt:lpstr>stage_evaluation_gifts</vt:lpstr>
      <vt:lpstr>ranking_ACH</vt:lpstr>
      <vt:lpstr>unit_bonus_conditions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2017-06-09T06:45:49Z</dcterms:modified>
</cp:coreProperties>
</file>