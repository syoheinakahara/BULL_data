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oshizawa/Projects/BULL/Repository/BULL_data/master_excel/"/>
    </mc:Choice>
  </mc:AlternateContent>
  <bookViews>
    <workbookView xWindow="3120" yWindow="1520" windowWidth="24480" windowHeight="14880" tabRatio="721" activeTab="1"/>
  </bookViews>
  <sheets>
    <sheet name="output" sheetId="10" r:id="rId1"/>
    <sheet name="stage_hints" sheetId="3" r:id="rId2"/>
    <sheet name="Sheet1" sheetId="11" r:id="rId3"/>
  </sheets>
  <externalReferences>
    <externalReference r:id="rId4"/>
    <externalReference r:id="rId5"/>
  </externalReferences>
  <definedNames>
    <definedName name="_xlnm._FilterDatabase" localSheetId="1" hidden="1">stage_hints!$C$1:$N$1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151" i="3" l="1"/>
  <c r="M151" i="3"/>
  <c r="J151" i="3"/>
  <c r="H151" i="3"/>
  <c r="G151" i="3"/>
  <c r="E151" i="3"/>
  <c r="D151" i="3"/>
  <c r="A151" i="3"/>
  <c r="N150" i="3"/>
  <c r="M150" i="3"/>
  <c r="J150" i="3"/>
  <c r="H150" i="3"/>
  <c r="G150" i="3"/>
  <c r="E150" i="3"/>
  <c r="D150" i="3"/>
  <c r="A150" i="3"/>
  <c r="N149" i="3"/>
  <c r="M149" i="3"/>
  <c r="J149" i="3"/>
  <c r="H149" i="3"/>
  <c r="G149" i="3"/>
  <c r="E149" i="3"/>
  <c r="D149" i="3"/>
  <c r="A149" i="3"/>
  <c r="N148" i="3"/>
  <c r="M148" i="3"/>
  <c r="J148" i="3"/>
  <c r="H148" i="3"/>
  <c r="G148" i="3"/>
  <c r="E148" i="3"/>
  <c r="D148" i="3"/>
  <c r="A148" i="3"/>
  <c r="N147" i="3"/>
  <c r="M147" i="3"/>
  <c r="J147" i="3"/>
  <c r="H147" i="3"/>
  <c r="G147" i="3"/>
  <c r="E147" i="3"/>
  <c r="D147" i="3"/>
  <c r="A147" i="3"/>
  <c r="N146" i="3"/>
  <c r="M146" i="3"/>
  <c r="J146" i="3"/>
  <c r="H146" i="3"/>
  <c r="G146" i="3"/>
  <c r="E146" i="3"/>
  <c r="D146" i="3"/>
  <c r="A146" i="3"/>
  <c r="N145" i="3"/>
  <c r="M145" i="3"/>
  <c r="J145" i="3"/>
  <c r="H145" i="3"/>
  <c r="G145" i="3"/>
  <c r="E145" i="3"/>
  <c r="D145" i="3"/>
  <c r="A145" i="3"/>
  <c r="N144" i="3"/>
  <c r="M144" i="3"/>
  <c r="J144" i="3"/>
  <c r="H144" i="3"/>
  <c r="G144" i="3"/>
  <c r="E144" i="3"/>
  <c r="D144" i="3"/>
  <c r="A144" i="3"/>
  <c r="N143" i="3"/>
  <c r="M143" i="3"/>
  <c r="J143" i="3"/>
  <c r="H143" i="3"/>
  <c r="G143" i="3"/>
  <c r="E143" i="3"/>
  <c r="D143" i="3"/>
  <c r="A143" i="3"/>
  <c r="N142" i="3"/>
  <c r="M142" i="3"/>
  <c r="J142" i="3"/>
  <c r="H142" i="3"/>
  <c r="G142" i="3"/>
  <c r="E142" i="3"/>
  <c r="D142" i="3"/>
  <c r="A142" i="3"/>
  <c r="N141" i="3"/>
  <c r="M141" i="3"/>
  <c r="J141" i="3"/>
  <c r="H141" i="3"/>
  <c r="G141" i="3"/>
  <c r="E141" i="3"/>
  <c r="D141" i="3"/>
  <c r="A141" i="3"/>
  <c r="N140" i="3"/>
  <c r="M140" i="3"/>
  <c r="J140" i="3"/>
  <c r="H140" i="3"/>
  <c r="G140" i="3"/>
  <c r="E140" i="3"/>
  <c r="D140" i="3"/>
  <c r="A140" i="3"/>
  <c r="N139" i="3"/>
  <c r="M139" i="3"/>
  <c r="J139" i="3"/>
  <c r="H139" i="3"/>
  <c r="G139" i="3"/>
  <c r="E139" i="3"/>
  <c r="D139" i="3"/>
  <c r="A139" i="3"/>
  <c r="N138" i="3"/>
  <c r="M138" i="3"/>
  <c r="J138" i="3"/>
  <c r="H138" i="3"/>
  <c r="G138" i="3"/>
  <c r="E138" i="3"/>
  <c r="D138" i="3"/>
  <c r="A138" i="3"/>
  <c r="N137" i="3"/>
  <c r="M137" i="3"/>
  <c r="J137" i="3"/>
  <c r="H137" i="3"/>
  <c r="G137" i="3"/>
  <c r="E137" i="3"/>
  <c r="D137" i="3"/>
  <c r="A137" i="3"/>
  <c r="N136" i="3"/>
  <c r="M136" i="3"/>
  <c r="J136" i="3"/>
  <c r="H136" i="3"/>
  <c r="G136" i="3"/>
  <c r="E136" i="3"/>
  <c r="D136" i="3"/>
  <c r="A136" i="3"/>
  <c r="N135" i="3"/>
  <c r="M135" i="3"/>
  <c r="J135" i="3"/>
  <c r="H135" i="3"/>
  <c r="G135" i="3"/>
  <c r="E135" i="3"/>
  <c r="D135" i="3"/>
  <c r="A135" i="3"/>
  <c r="N134" i="3"/>
  <c r="M134" i="3"/>
  <c r="J134" i="3"/>
  <c r="H134" i="3"/>
  <c r="G134" i="3"/>
  <c r="E134" i="3"/>
  <c r="D134" i="3"/>
  <c r="A134" i="3"/>
  <c r="N133" i="3"/>
  <c r="M133" i="3"/>
  <c r="J133" i="3"/>
  <c r="H133" i="3"/>
  <c r="G133" i="3"/>
  <c r="E133" i="3"/>
  <c r="D133" i="3"/>
  <c r="A133" i="3"/>
  <c r="N132" i="3"/>
  <c r="M132" i="3"/>
  <c r="J132" i="3"/>
  <c r="H132" i="3"/>
  <c r="G132" i="3"/>
  <c r="E132" i="3"/>
  <c r="D132" i="3"/>
  <c r="A132" i="3"/>
  <c r="N131" i="3"/>
  <c r="M131" i="3"/>
  <c r="J131" i="3"/>
  <c r="H131" i="3"/>
  <c r="G131" i="3"/>
  <c r="E131" i="3"/>
  <c r="D131" i="3"/>
  <c r="A131" i="3"/>
  <c r="N130" i="3"/>
  <c r="M130" i="3"/>
  <c r="J130" i="3"/>
  <c r="H130" i="3"/>
  <c r="G130" i="3"/>
  <c r="E130" i="3"/>
  <c r="D130" i="3"/>
  <c r="A130" i="3"/>
  <c r="N129" i="3"/>
  <c r="M129" i="3"/>
  <c r="J129" i="3"/>
  <c r="H129" i="3"/>
  <c r="G129" i="3"/>
  <c r="E129" i="3"/>
  <c r="D129" i="3"/>
  <c r="A129" i="3"/>
  <c r="N128" i="3"/>
  <c r="M128" i="3"/>
  <c r="J128" i="3"/>
  <c r="H128" i="3"/>
  <c r="G128" i="3"/>
  <c r="E128" i="3"/>
  <c r="D128" i="3"/>
  <c r="A128" i="3"/>
  <c r="N127" i="3"/>
  <c r="M127" i="3"/>
  <c r="J127" i="3"/>
  <c r="H127" i="3"/>
  <c r="G127" i="3"/>
  <c r="E127" i="3"/>
  <c r="D127" i="3"/>
  <c r="A127" i="3"/>
  <c r="N126" i="3"/>
  <c r="M126" i="3"/>
  <c r="J126" i="3"/>
  <c r="H126" i="3"/>
  <c r="G126" i="3"/>
  <c r="E126" i="3"/>
  <c r="D126" i="3"/>
  <c r="A126" i="3"/>
  <c r="N125" i="3"/>
  <c r="M125" i="3"/>
  <c r="J125" i="3"/>
  <c r="H125" i="3"/>
  <c r="G125" i="3"/>
  <c r="E125" i="3"/>
  <c r="D125" i="3"/>
  <c r="A125" i="3"/>
  <c r="N124" i="3"/>
  <c r="M124" i="3"/>
  <c r="J124" i="3"/>
  <c r="H124" i="3"/>
  <c r="G124" i="3"/>
  <c r="E124" i="3"/>
  <c r="D124" i="3"/>
  <c r="A124" i="3"/>
  <c r="N123" i="3"/>
  <c r="M123" i="3"/>
  <c r="J123" i="3"/>
  <c r="H123" i="3"/>
  <c r="G123" i="3"/>
  <c r="E123" i="3"/>
  <c r="D123" i="3"/>
  <c r="A123" i="3"/>
  <c r="N122" i="3"/>
  <c r="M122" i="3"/>
  <c r="J122" i="3"/>
  <c r="H122" i="3"/>
  <c r="G122" i="3"/>
  <c r="E122" i="3"/>
  <c r="D122" i="3"/>
  <c r="A122" i="3"/>
  <c r="N121" i="3"/>
  <c r="M121" i="3"/>
  <c r="J121" i="3"/>
  <c r="H121" i="3"/>
  <c r="G121" i="3"/>
  <c r="E121" i="3"/>
  <c r="D121" i="3"/>
  <c r="A121" i="3"/>
  <c r="N120" i="3"/>
  <c r="M120" i="3"/>
  <c r="J120" i="3"/>
  <c r="H120" i="3"/>
  <c r="G120" i="3"/>
  <c r="E120" i="3"/>
  <c r="D120" i="3"/>
  <c r="A120" i="3"/>
  <c r="N119" i="3"/>
  <c r="M119" i="3"/>
  <c r="J119" i="3"/>
  <c r="H119" i="3"/>
  <c r="G119" i="3"/>
  <c r="E119" i="3"/>
  <c r="D119" i="3"/>
  <c r="A119" i="3"/>
  <c r="N118" i="3"/>
  <c r="M118" i="3"/>
  <c r="J118" i="3"/>
  <c r="H118" i="3"/>
  <c r="G118" i="3"/>
  <c r="E118" i="3"/>
  <c r="D118" i="3"/>
  <c r="A118" i="3"/>
  <c r="N117" i="3"/>
  <c r="M117" i="3"/>
  <c r="J117" i="3"/>
  <c r="H117" i="3"/>
  <c r="G117" i="3"/>
  <c r="E117" i="3"/>
  <c r="D117" i="3"/>
  <c r="A117" i="3"/>
  <c r="N116" i="3"/>
  <c r="M116" i="3"/>
  <c r="J116" i="3"/>
  <c r="H116" i="3"/>
  <c r="G116" i="3"/>
  <c r="E116" i="3"/>
  <c r="D116" i="3"/>
  <c r="A116" i="3"/>
  <c r="N115" i="3"/>
  <c r="M115" i="3"/>
  <c r="J115" i="3"/>
  <c r="H115" i="3"/>
  <c r="G115" i="3"/>
  <c r="E115" i="3"/>
  <c r="D115" i="3"/>
  <c r="A115" i="3"/>
  <c r="N114" i="3"/>
  <c r="M114" i="3"/>
  <c r="J114" i="3"/>
  <c r="H114" i="3"/>
  <c r="G114" i="3"/>
  <c r="E114" i="3"/>
  <c r="D114" i="3"/>
  <c r="A114" i="3"/>
  <c r="N113" i="3"/>
  <c r="M113" i="3"/>
  <c r="J113" i="3"/>
  <c r="H113" i="3"/>
  <c r="G113" i="3"/>
  <c r="E113" i="3"/>
  <c r="D113" i="3"/>
  <c r="A113" i="3"/>
  <c r="N112" i="3"/>
  <c r="M112" i="3"/>
  <c r="J112" i="3"/>
  <c r="H112" i="3"/>
  <c r="G112" i="3"/>
  <c r="E112" i="3"/>
  <c r="D112" i="3"/>
  <c r="A112" i="3"/>
  <c r="N111" i="3"/>
  <c r="M111" i="3"/>
  <c r="J111" i="3"/>
  <c r="H111" i="3"/>
  <c r="G111" i="3"/>
  <c r="E111" i="3"/>
  <c r="D111" i="3"/>
  <c r="A111" i="3"/>
  <c r="N110" i="3"/>
  <c r="M110" i="3"/>
  <c r="J110" i="3"/>
  <c r="H110" i="3"/>
  <c r="G110" i="3"/>
  <c r="E110" i="3"/>
  <c r="D110" i="3"/>
  <c r="A110" i="3"/>
  <c r="N109" i="3"/>
  <c r="M109" i="3"/>
  <c r="J109" i="3"/>
  <c r="H109" i="3"/>
  <c r="G109" i="3"/>
  <c r="E109" i="3"/>
  <c r="D109" i="3"/>
  <c r="A109" i="3"/>
  <c r="N108" i="3"/>
  <c r="M108" i="3"/>
  <c r="J108" i="3"/>
  <c r="H108" i="3"/>
  <c r="G108" i="3"/>
  <c r="E108" i="3"/>
  <c r="D108" i="3"/>
  <c r="A108" i="3"/>
  <c r="N107" i="3"/>
  <c r="M107" i="3"/>
  <c r="J107" i="3"/>
  <c r="H107" i="3"/>
  <c r="G107" i="3"/>
  <c r="E107" i="3"/>
  <c r="D107" i="3"/>
  <c r="A107" i="3"/>
  <c r="N106" i="3"/>
  <c r="M106" i="3"/>
  <c r="J106" i="3"/>
  <c r="H106" i="3"/>
  <c r="G106" i="3"/>
  <c r="E106" i="3"/>
  <c r="D106" i="3"/>
  <c r="A106" i="3"/>
  <c r="N105" i="3"/>
  <c r="M105" i="3"/>
  <c r="J105" i="3"/>
  <c r="H105" i="3"/>
  <c r="G105" i="3"/>
  <c r="E105" i="3"/>
  <c r="D105" i="3"/>
  <c r="A105" i="3"/>
  <c r="N104" i="3"/>
  <c r="M104" i="3"/>
  <c r="J104" i="3"/>
  <c r="H104" i="3"/>
  <c r="G104" i="3"/>
  <c r="E104" i="3"/>
  <c r="D104" i="3"/>
  <c r="A104" i="3"/>
  <c r="N103" i="3"/>
  <c r="M103" i="3"/>
  <c r="J103" i="3"/>
  <c r="H103" i="3"/>
  <c r="G103" i="3"/>
  <c r="E103" i="3"/>
  <c r="D103" i="3"/>
  <c r="A103" i="3"/>
  <c r="N102" i="3"/>
  <c r="M102" i="3"/>
  <c r="J102" i="3"/>
  <c r="H102" i="3"/>
  <c r="G102" i="3"/>
  <c r="E102" i="3"/>
  <c r="D102" i="3"/>
  <c r="A102" i="3"/>
  <c r="M3" i="3"/>
  <c r="N3" i="3"/>
  <c r="M4" i="3"/>
  <c r="N4" i="3"/>
  <c r="M5" i="3"/>
  <c r="N5" i="3"/>
  <c r="M6" i="3"/>
  <c r="N6" i="3"/>
  <c r="M7" i="3"/>
  <c r="N7" i="3"/>
  <c r="M8" i="3"/>
  <c r="N8" i="3"/>
  <c r="M9" i="3"/>
  <c r="N9" i="3"/>
  <c r="M10" i="3"/>
  <c r="N10" i="3"/>
  <c r="M11" i="3"/>
  <c r="N11" i="3"/>
  <c r="M12" i="3"/>
  <c r="N12" i="3"/>
  <c r="M13" i="3"/>
  <c r="N13" i="3"/>
  <c r="M14" i="3"/>
  <c r="N14" i="3"/>
  <c r="M15" i="3"/>
  <c r="N15" i="3"/>
  <c r="M16" i="3"/>
  <c r="N16" i="3"/>
  <c r="M17" i="3"/>
  <c r="N17" i="3"/>
  <c r="M18" i="3"/>
  <c r="N18" i="3"/>
  <c r="M19" i="3"/>
  <c r="N19" i="3"/>
  <c r="M20" i="3"/>
  <c r="N20" i="3"/>
  <c r="M21" i="3"/>
  <c r="N21" i="3"/>
  <c r="M22" i="3"/>
  <c r="N22" i="3"/>
  <c r="M23" i="3"/>
  <c r="N23" i="3"/>
  <c r="M24" i="3"/>
  <c r="N24" i="3"/>
  <c r="M25" i="3"/>
  <c r="N25" i="3"/>
  <c r="M26" i="3"/>
  <c r="N26" i="3"/>
  <c r="M27" i="3"/>
  <c r="N27" i="3"/>
  <c r="M28" i="3"/>
  <c r="N28" i="3"/>
  <c r="M29" i="3"/>
  <c r="N29" i="3"/>
  <c r="M30" i="3"/>
  <c r="N30" i="3"/>
  <c r="M31" i="3"/>
  <c r="N31" i="3"/>
  <c r="M32" i="3"/>
  <c r="N32" i="3"/>
  <c r="M33" i="3"/>
  <c r="N33" i="3"/>
  <c r="M34" i="3"/>
  <c r="N34" i="3"/>
  <c r="M35" i="3"/>
  <c r="N35" i="3"/>
  <c r="M36" i="3"/>
  <c r="N36" i="3"/>
  <c r="M37" i="3"/>
  <c r="N37" i="3"/>
  <c r="M38" i="3"/>
  <c r="N38" i="3"/>
  <c r="M39" i="3"/>
  <c r="N39" i="3"/>
  <c r="M40" i="3"/>
  <c r="N40" i="3"/>
  <c r="M41" i="3"/>
  <c r="N41" i="3"/>
  <c r="M42" i="3"/>
  <c r="N42" i="3"/>
  <c r="M43" i="3"/>
  <c r="N43" i="3"/>
  <c r="M44" i="3"/>
  <c r="N44" i="3"/>
  <c r="M45" i="3"/>
  <c r="N45" i="3"/>
  <c r="M46" i="3"/>
  <c r="N46" i="3"/>
  <c r="M47" i="3"/>
  <c r="N47" i="3"/>
  <c r="M48" i="3"/>
  <c r="N48" i="3"/>
  <c r="M49" i="3"/>
  <c r="N49" i="3"/>
  <c r="M50" i="3"/>
  <c r="N50" i="3"/>
  <c r="M51" i="3"/>
  <c r="N51" i="3"/>
  <c r="M52" i="3"/>
  <c r="N52" i="3"/>
  <c r="M53" i="3"/>
  <c r="N53" i="3"/>
  <c r="M54" i="3"/>
  <c r="N54" i="3"/>
  <c r="M55" i="3"/>
  <c r="N55" i="3"/>
  <c r="M56" i="3"/>
  <c r="N56" i="3"/>
  <c r="M57" i="3"/>
  <c r="N57" i="3"/>
  <c r="M58" i="3"/>
  <c r="N58" i="3"/>
  <c r="M59" i="3"/>
  <c r="N59" i="3"/>
  <c r="M60" i="3"/>
  <c r="N60" i="3"/>
  <c r="M61" i="3"/>
  <c r="N61" i="3"/>
  <c r="M62" i="3"/>
  <c r="N62" i="3"/>
  <c r="M63" i="3"/>
  <c r="N63" i="3"/>
  <c r="M64" i="3"/>
  <c r="N64" i="3"/>
  <c r="M65" i="3"/>
  <c r="N65" i="3"/>
  <c r="M66" i="3"/>
  <c r="N66" i="3"/>
  <c r="M67" i="3"/>
  <c r="N67" i="3"/>
  <c r="M68" i="3"/>
  <c r="N68" i="3"/>
  <c r="M69" i="3"/>
  <c r="N69" i="3"/>
  <c r="M70" i="3"/>
  <c r="N70" i="3"/>
  <c r="M71" i="3"/>
  <c r="N71" i="3"/>
  <c r="M72" i="3"/>
  <c r="N72" i="3"/>
  <c r="M73" i="3"/>
  <c r="N73" i="3"/>
  <c r="M74" i="3"/>
  <c r="N74" i="3"/>
  <c r="M75" i="3"/>
  <c r="N75" i="3"/>
  <c r="M76" i="3"/>
  <c r="N76" i="3"/>
  <c r="M77" i="3"/>
  <c r="N77" i="3"/>
  <c r="M78" i="3"/>
  <c r="N78" i="3"/>
  <c r="M79" i="3"/>
  <c r="N79" i="3"/>
  <c r="M80" i="3"/>
  <c r="N80" i="3"/>
  <c r="M81" i="3"/>
  <c r="N81" i="3"/>
  <c r="M82" i="3"/>
  <c r="N82" i="3"/>
  <c r="M83" i="3"/>
  <c r="N83" i="3"/>
  <c r="M84" i="3"/>
  <c r="N84" i="3"/>
  <c r="M85" i="3"/>
  <c r="N85" i="3"/>
  <c r="M86" i="3"/>
  <c r="N86" i="3"/>
  <c r="M87" i="3"/>
  <c r="N87" i="3"/>
  <c r="M88" i="3"/>
  <c r="N88" i="3"/>
  <c r="M89" i="3"/>
  <c r="N89" i="3"/>
  <c r="M90" i="3"/>
  <c r="N90" i="3"/>
  <c r="M91" i="3"/>
  <c r="N91" i="3"/>
  <c r="M92" i="3"/>
  <c r="N92" i="3"/>
  <c r="M93" i="3"/>
  <c r="N93" i="3"/>
  <c r="M94" i="3"/>
  <c r="N94" i="3"/>
  <c r="M95" i="3"/>
  <c r="N95" i="3"/>
  <c r="M96" i="3"/>
  <c r="N96" i="3"/>
  <c r="M97" i="3"/>
  <c r="N97" i="3"/>
  <c r="M98" i="3"/>
  <c r="N98" i="3"/>
  <c r="M99" i="3"/>
  <c r="N99" i="3"/>
  <c r="M100" i="3"/>
  <c r="N100" i="3"/>
  <c r="M101" i="3"/>
  <c r="N101" i="3"/>
  <c r="M152" i="3"/>
  <c r="N152" i="3"/>
  <c r="M153" i="3"/>
  <c r="N153" i="3"/>
  <c r="M154" i="3"/>
  <c r="N154" i="3"/>
  <c r="M155" i="3"/>
  <c r="N155" i="3"/>
  <c r="M156" i="3"/>
  <c r="N156" i="3"/>
  <c r="M157" i="3"/>
  <c r="N157" i="3"/>
  <c r="M158" i="3"/>
  <c r="N158" i="3"/>
  <c r="M159" i="3"/>
  <c r="N159" i="3"/>
  <c r="M160" i="3"/>
  <c r="N160" i="3"/>
  <c r="M161" i="3"/>
  <c r="N161" i="3"/>
  <c r="M162" i="3"/>
  <c r="N162" i="3"/>
  <c r="M163" i="3"/>
  <c r="N163" i="3"/>
  <c r="M164" i="3"/>
  <c r="N164" i="3"/>
  <c r="M165" i="3"/>
  <c r="N165" i="3"/>
  <c r="M166" i="3"/>
  <c r="N166" i="3"/>
  <c r="M167" i="3"/>
  <c r="N167" i="3"/>
  <c r="M168" i="3"/>
  <c r="N168" i="3"/>
  <c r="M169" i="3"/>
  <c r="N169" i="3"/>
  <c r="M170" i="3"/>
  <c r="N170" i="3"/>
  <c r="M171" i="3"/>
  <c r="N171" i="3"/>
  <c r="M172" i="3"/>
  <c r="N172" i="3"/>
  <c r="M173" i="3"/>
  <c r="N173" i="3"/>
  <c r="M174" i="3"/>
  <c r="N174" i="3"/>
  <c r="M175" i="3"/>
  <c r="N175" i="3"/>
  <c r="M176" i="3"/>
  <c r="N176" i="3"/>
  <c r="M177" i="3"/>
  <c r="N177" i="3"/>
  <c r="M178" i="3"/>
  <c r="N178" i="3"/>
  <c r="M179" i="3"/>
  <c r="N179" i="3"/>
  <c r="M180" i="3"/>
  <c r="N180" i="3"/>
  <c r="M181" i="3"/>
  <c r="N181" i="3"/>
  <c r="M182" i="3"/>
  <c r="N182" i="3"/>
  <c r="M183" i="3"/>
  <c r="N183" i="3"/>
  <c r="M184" i="3"/>
  <c r="N184" i="3"/>
  <c r="M185" i="3"/>
  <c r="N185" i="3"/>
  <c r="M186" i="3"/>
  <c r="N186" i="3"/>
  <c r="M187" i="3"/>
  <c r="N187" i="3"/>
  <c r="M188" i="3"/>
  <c r="N188" i="3"/>
  <c r="M189" i="3"/>
  <c r="N189" i="3"/>
  <c r="M190" i="3"/>
  <c r="N190" i="3"/>
  <c r="M191" i="3"/>
  <c r="N191" i="3"/>
  <c r="M192" i="3"/>
  <c r="N192" i="3"/>
  <c r="M193" i="3"/>
  <c r="N193" i="3"/>
  <c r="M194" i="3"/>
  <c r="N194" i="3"/>
  <c r="M195" i="3"/>
  <c r="N195" i="3"/>
  <c r="M196" i="3"/>
  <c r="N196" i="3"/>
  <c r="M197" i="3"/>
  <c r="N197" i="3"/>
  <c r="M198" i="3"/>
  <c r="N198" i="3"/>
  <c r="M199" i="3"/>
  <c r="N199" i="3"/>
  <c r="M200" i="3"/>
  <c r="N200" i="3"/>
  <c r="M201" i="3"/>
  <c r="N201" i="3"/>
  <c r="M202" i="3"/>
  <c r="N202" i="3"/>
  <c r="M203" i="3"/>
  <c r="N203" i="3"/>
  <c r="M204" i="3"/>
  <c r="N204" i="3"/>
  <c r="M205" i="3"/>
  <c r="N205" i="3"/>
  <c r="M206" i="3"/>
  <c r="N206" i="3"/>
  <c r="M207" i="3"/>
  <c r="N207" i="3"/>
  <c r="M208" i="3"/>
  <c r="N208" i="3"/>
  <c r="M209" i="3"/>
  <c r="N209" i="3"/>
  <c r="M210" i="3"/>
  <c r="N210" i="3"/>
  <c r="M211" i="3"/>
  <c r="N211" i="3"/>
  <c r="M212" i="3"/>
  <c r="N212" i="3"/>
  <c r="M213" i="3"/>
  <c r="N213" i="3"/>
  <c r="M214" i="3"/>
  <c r="N214" i="3"/>
  <c r="M215" i="3"/>
  <c r="N215" i="3"/>
  <c r="M216" i="3"/>
  <c r="N216" i="3"/>
  <c r="M217" i="3"/>
  <c r="N217" i="3"/>
  <c r="M218" i="3"/>
  <c r="N218" i="3"/>
  <c r="M219" i="3"/>
  <c r="N219" i="3"/>
  <c r="M220" i="3"/>
  <c r="N220" i="3"/>
  <c r="M221" i="3"/>
  <c r="N221" i="3"/>
  <c r="M222" i="3"/>
  <c r="N222" i="3"/>
  <c r="M223" i="3"/>
  <c r="N223" i="3"/>
  <c r="M224" i="3"/>
  <c r="N224" i="3"/>
  <c r="M225" i="3"/>
  <c r="N225" i="3"/>
  <c r="M226" i="3"/>
  <c r="N226" i="3"/>
  <c r="M227" i="3"/>
  <c r="N227" i="3"/>
  <c r="M228" i="3"/>
  <c r="N228" i="3"/>
  <c r="M229" i="3"/>
  <c r="N229" i="3"/>
  <c r="M230" i="3"/>
  <c r="N230" i="3"/>
  <c r="M231" i="3"/>
  <c r="N231" i="3"/>
  <c r="M232" i="3"/>
  <c r="N232" i="3"/>
  <c r="M233" i="3"/>
  <c r="N233" i="3"/>
  <c r="M234" i="3"/>
  <c r="N234" i="3"/>
  <c r="M235" i="3"/>
  <c r="N235" i="3"/>
  <c r="M236" i="3"/>
  <c r="N236" i="3"/>
  <c r="M237" i="3"/>
  <c r="N237" i="3"/>
  <c r="M238" i="3"/>
  <c r="N238" i="3"/>
  <c r="M239" i="3"/>
  <c r="N239" i="3"/>
  <c r="M240" i="3"/>
  <c r="N240" i="3"/>
  <c r="M241" i="3"/>
  <c r="N241" i="3"/>
  <c r="M242" i="3"/>
  <c r="N242" i="3"/>
  <c r="M243" i="3"/>
  <c r="N243" i="3"/>
  <c r="M244" i="3"/>
  <c r="N244" i="3"/>
  <c r="M245" i="3"/>
  <c r="N245" i="3"/>
  <c r="M246" i="3"/>
  <c r="N246" i="3"/>
  <c r="M247" i="3"/>
  <c r="N247" i="3"/>
  <c r="M248" i="3"/>
  <c r="N248" i="3"/>
  <c r="M249" i="3"/>
  <c r="N249" i="3"/>
  <c r="M250" i="3"/>
  <c r="N250" i="3"/>
  <c r="M251" i="3"/>
  <c r="N251" i="3"/>
  <c r="M252" i="3"/>
  <c r="N252" i="3"/>
  <c r="M253" i="3"/>
  <c r="N253" i="3"/>
  <c r="M254" i="3"/>
  <c r="N254" i="3"/>
  <c r="M255" i="3"/>
  <c r="N255" i="3"/>
  <c r="M256" i="3"/>
  <c r="N256" i="3"/>
  <c r="M257" i="3"/>
  <c r="N257" i="3"/>
  <c r="M258" i="3"/>
  <c r="N258" i="3"/>
  <c r="M259" i="3"/>
  <c r="N259" i="3"/>
  <c r="M260" i="3"/>
  <c r="N260" i="3"/>
  <c r="M261" i="3"/>
  <c r="N261" i="3"/>
  <c r="M262" i="3"/>
  <c r="N262" i="3"/>
  <c r="M263" i="3"/>
  <c r="N263" i="3"/>
  <c r="M264" i="3"/>
  <c r="N264" i="3"/>
  <c r="M265" i="3"/>
  <c r="N265" i="3"/>
  <c r="M266" i="3"/>
  <c r="N266" i="3"/>
  <c r="M267" i="3"/>
  <c r="N267" i="3"/>
  <c r="M268" i="3"/>
  <c r="N268" i="3"/>
  <c r="M269" i="3"/>
  <c r="N269" i="3"/>
  <c r="M270" i="3"/>
  <c r="N270" i="3"/>
  <c r="M271" i="3"/>
  <c r="N271" i="3"/>
  <c r="M272" i="3"/>
  <c r="N272" i="3"/>
  <c r="M273" i="3"/>
  <c r="N273" i="3"/>
  <c r="M274" i="3"/>
  <c r="N274" i="3"/>
  <c r="M275" i="3"/>
  <c r="N275" i="3"/>
  <c r="M276" i="3"/>
  <c r="N276" i="3"/>
  <c r="M277" i="3"/>
  <c r="N277" i="3"/>
  <c r="M278" i="3"/>
  <c r="N278" i="3"/>
  <c r="M279" i="3"/>
  <c r="N279" i="3"/>
  <c r="M280" i="3"/>
  <c r="N280" i="3"/>
  <c r="M281" i="3"/>
  <c r="N281" i="3"/>
  <c r="M282" i="3"/>
  <c r="N282" i="3"/>
  <c r="M283" i="3"/>
  <c r="N283" i="3"/>
  <c r="M284" i="3"/>
  <c r="N284" i="3"/>
  <c r="M285" i="3"/>
  <c r="N285" i="3"/>
  <c r="M286" i="3"/>
  <c r="N286" i="3"/>
  <c r="M287" i="3"/>
  <c r="N287" i="3"/>
  <c r="M288" i="3"/>
  <c r="N288" i="3"/>
  <c r="M289" i="3"/>
  <c r="N289" i="3"/>
  <c r="M290" i="3"/>
  <c r="N290" i="3"/>
  <c r="M291" i="3"/>
  <c r="N291" i="3"/>
  <c r="M292" i="3"/>
  <c r="N292" i="3"/>
  <c r="M293" i="3"/>
  <c r="N293" i="3"/>
  <c r="M294" i="3"/>
  <c r="N294" i="3"/>
  <c r="M295" i="3"/>
  <c r="N295" i="3"/>
  <c r="M296" i="3"/>
  <c r="N296" i="3"/>
  <c r="M297" i="3"/>
  <c r="N297" i="3"/>
  <c r="M298" i="3"/>
  <c r="N298" i="3"/>
  <c r="M299" i="3"/>
  <c r="N299" i="3"/>
  <c r="M300" i="3"/>
  <c r="N300" i="3"/>
  <c r="M301" i="3"/>
  <c r="N301" i="3"/>
  <c r="M302" i="3"/>
  <c r="N302" i="3"/>
  <c r="M303" i="3"/>
  <c r="N303" i="3"/>
  <c r="M304" i="3"/>
  <c r="N304" i="3"/>
  <c r="M305" i="3"/>
  <c r="N305" i="3"/>
  <c r="M306" i="3"/>
  <c r="N306" i="3"/>
  <c r="M307" i="3"/>
  <c r="N307" i="3"/>
  <c r="M308" i="3"/>
  <c r="N308" i="3"/>
  <c r="M309" i="3"/>
  <c r="N309" i="3"/>
  <c r="M310" i="3"/>
  <c r="N310" i="3"/>
  <c r="M311" i="3"/>
  <c r="N311" i="3"/>
  <c r="M312" i="3"/>
  <c r="N312" i="3"/>
  <c r="M313" i="3"/>
  <c r="N313" i="3"/>
  <c r="M314" i="3"/>
  <c r="N314" i="3"/>
  <c r="M315" i="3"/>
  <c r="N315" i="3"/>
  <c r="M316" i="3"/>
  <c r="N316" i="3"/>
  <c r="M317" i="3"/>
  <c r="N317" i="3"/>
  <c r="M318" i="3"/>
  <c r="N318" i="3"/>
  <c r="M319" i="3"/>
  <c r="N319" i="3"/>
  <c r="M320" i="3"/>
  <c r="N320" i="3"/>
  <c r="M321" i="3"/>
  <c r="N321" i="3"/>
  <c r="M322" i="3"/>
  <c r="N322" i="3"/>
  <c r="M323" i="3"/>
  <c r="N323" i="3"/>
  <c r="M324" i="3"/>
  <c r="N324" i="3"/>
  <c r="M325" i="3"/>
  <c r="N325" i="3"/>
  <c r="M326" i="3"/>
  <c r="N326" i="3"/>
  <c r="M327" i="3"/>
  <c r="N327" i="3"/>
  <c r="M328" i="3"/>
  <c r="N328" i="3"/>
  <c r="M329" i="3"/>
  <c r="N329" i="3"/>
  <c r="M330" i="3"/>
  <c r="N330" i="3"/>
  <c r="M331" i="3"/>
  <c r="N331" i="3"/>
  <c r="M332" i="3"/>
  <c r="N332" i="3"/>
  <c r="M333" i="3"/>
  <c r="N333" i="3"/>
  <c r="M334" i="3"/>
  <c r="N334" i="3"/>
  <c r="M335" i="3"/>
  <c r="N335" i="3"/>
  <c r="M336" i="3"/>
  <c r="N336" i="3"/>
  <c r="M337" i="3"/>
  <c r="N337" i="3"/>
  <c r="M338" i="3"/>
  <c r="N338" i="3"/>
  <c r="M339" i="3"/>
  <c r="N339" i="3"/>
  <c r="M340" i="3"/>
  <c r="N340" i="3"/>
  <c r="M341" i="3"/>
  <c r="N341" i="3"/>
  <c r="M342" i="3"/>
  <c r="N342" i="3"/>
  <c r="M343" i="3"/>
  <c r="N343" i="3"/>
  <c r="M344" i="3"/>
  <c r="N344" i="3"/>
  <c r="M345" i="3"/>
  <c r="N345" i="3"/>
  <c r="M346" i="3"/>
  <c r="N346" i="3"/>
  <c r="M347" i="3"/>
  <c r="N347" i="3"/>
  <c r="M348" i="3"/>
  <c r="N348" i="3"/>
  <c r="M349" i="3"/>
  <c r="N349" i="3"/>
  <c r="M350" i="3"/>
  <c r="N350" i="3"/>
  <c r="M351" i="3"/>
  <c r="N351" i="3"/>
  <c r="M352" i="3"/>
  <c r="N352" i="3"/>
  <c r="M353" i="3"/>
  <c r="N353" i="3"/>
  <c r="M354" i="3"/>
  <c r="N354" i="3"/>
  <c r="M355" i="3"/>
  <c r="N355" i="3"/>
  <c r="M356" i="3"/>
  <c r="N356" i="3"/>
  <c r="M357" i="3"/>
  <c r="N357" i="3"/>
  <c r="M358" i="3"/>
  <c r="N358" i="3"/>
  <c r="M359" i="3"/>
  <c r="N359" i="3"/>
  <c r="M360" i="3"/>
  <c r="N360" i="3"/>
  <c r="M361" i="3"/>
  <c r="N361" i="3"/>
  <c r="M362" i="3"/>
  <c r="N362" i="3"/>
  <c r="M363" i="3"/>
  <c r="N363" i="3"/>
  <c r="M364" i="3"/>
  <c r="N364" i="3"/>
  <c r="M365" i="3"/>
  <c r="N365" i="3"/>
  <c r="M366" i="3"/>
  <c r="N366" i="3"/>
  <c r="M367" i="3"/>
  <c r="N367" i="3"/>
  <c r="M368" i="3"/>
  <c r="N368" i="3"/>
  <c r="M369" i="3"/>
  <c r="N369" i="3"/>
  <c r="M370" i="3"/>
  <c r="N370" i="3"/>
  <c r="M371" i="3"/>
  <c r="N371" i="3"/>
  <c r="M372" i="3"/>
  <c r="N372" i="3"/>
  <c r="M373" i="3"/>
  <c r="N373" i="3"/>
  <c r="M374" i="3"/>
  <c r="N374" i="3"/>
  <c r="M375" i="3"/>
  <c r="N375" i="3"/>
  <c r="M376" i="3"/>
  <c r="N376" i="3"/>
  <c r="M377" i="3"/>
  <c r="N377" i="3"/>
  <c r="M378" i="3"/>
  <c r="N378" i="3"/>
  <c r="M379" i="3"/>
  <c r="N379" i="3"/>
  <c r="M380" i="3"/>
  <c r="N380" i="3"/>
  <c r="M381" i="3"/>
  <c r="N381" i="3"/>
  <c r="M382" i="3"/>
  <c r="N382" i="3"/>
  <c r="M383" i="3"/>
  <c r="N383" i="3"/>
  <c r="M384" i="3"/>
  <c r="N384" i="3"/>
  <c r="M385" i="3"/>
  <c r="N385" i="3"/>
  <c r="M386" i="3"/>
  <c r="N386" i="3"/>
  <c r="M387" i="3"/>
  <c r="N387" i="3"/>
  <c r="M388" i="3"/>
  <c r="N388" i="3"/>
  <c r="M389" i="3"/>
  <c r="N389" i="3"/>
  <c r="M390" i="3"/>
  <c r="N390" i="3"/>
  <c r="M391" i="3"/>
  <c r="N391" i="3"/>
  <c r="M392" i="3"/>
  <c r="N392" i="3"/>
  <c r="M393" i="3"/>
  <c r="N393" i="3"/>
  <c r="M394" i="3"/>
  <c r="N394" i="3"/>
  <c r="M395" i="3"/>
  <c r="N395" i="3"/>
  <c r="M396" i="3"/>
  <c r="N396" i="3"/>
  <c r="M397" i="3"/>
  <c r="N397" i="3"/>
  <c r="M398" i="3"/>
  <c r="N398" i="3"/>
  <c r="M399" i="3"/>
  <c r="N399" i="3"/>
  <c r="M400" i="3"/>
  <c r="N400" i="3"/>
  <c r="M401" i="3"/>
  <c r="N401" i="3"/>
  <c r="M402" i="3"/>
  <c r="N402" i="3"/>
  <c r="M403" i="3"/>
  <c r="N403" i="3"/>
  <c r="M404" i="3"/>
  <c r="N404" i="3"/>
  <c r="M405" i="3"/>
  <c r="N405" i="3"/>
  <c r="M406" i="3"/>
  <c r="N406" i="3"/>
  <c r="M407" i="3"/>
  <c r="N407" i="3"/>
  <c r="M408" i="3"/>
  <c r="N408" i="3"/>
  <c r="M409" i="3"/>
  <c r="N409" i="3"/>
  <c r="M410" i="3"/>
  <c r="N410" i="3"/>
  <c r="M411" i="3"/>
  <c r="N411" i="3"/>
  <c r="M412" i="3"/>
  <c r="N412" i="3"/>
  <c r="M413" i="3"/>
  <c r="N413" i="3"/>
  <c r="M414" i="3"/>
  <c r="N414" i="3"/>
  <c r="M415" i="3"/>
  <c r="N415" i="3"/>
  <c r="M416" i="3"/>
  <c r="N416" i="3"/>
  <c r="M417" i="3"/>
  <c r="N417" i="3"/>
  <c r="M418" i="3"/>
  <c r="N418" i="3"/>
  <c r="M419" i="3"/>
  <c r="N419" i="3"/>
  <c r="M420" i="3"/>
  <c r="N420" i="3"/>
  <c r="M421" i="3"/>
  <c r="N421" i="3"/>
  <c r="M422" i="3"/>
  <c r="N422" i="3"/>
  <c r="M423" i="3"/>
  <c r="N423" i="3"/>
  <c r="M424" i="3"/>
  <c r="N424" i="3"/>
  <c r="M425" i="3"/>
  <c r="N425" i="3"/>
  <c r="M426" i="3"/>
  <c r="N426" i="3"/>
  <c r="M427" i="3"/>
  <c r="N427" i="3"/>
  <c r="M428" i="3"/>
  <c r="N428" i="3"/>
  <c r="M429" i="3"/>
  <c r="N429" i="3"/>
  <c r="M430" i="3"/>
  <c r="N430" i="3"/>
  <c r="M431" i="3"/>
  <c r="N431" i="3"/>
  <c r="M432" i="3"/>
  <c r="N432" i="3"/>
  <c r="M433" i="3"/>
  <c r="N433" i="3"/>
  <c r="M434" i="3"/>
  <c r="N434" i="3"/>
  <c r="M435" i="3"/>
  <c r="N435" i="3"/>
  <c r="M436" i="3"/>
  <c r="N436" i="3"/>
  <c r="M437" i="3"/>
  <c r="N437" i="3"/>
  <c r="M438" i="3"/>
  <c r="N438" i="3"/>
  <c r="M439" i="3"/>
  <c r="N439" i="3"/>
  <c r="M440" i="3"/>
  <c r="N440" i="3"/>
  <c r="M441" i="3"/>
  <c r="N441" i="3"/>
  <c r="M442" i="3"/>
  <c r="N442" i="3"/>
  <c r="M443" i="3"/>
  <c r="N443" i="3"/>
  <c r="M444" i="3"/>
  <c r="N444" i="3"/>
  <c r="M445" i="3"/>
  <c r="N445" i="3"/>
  <c r="M446" i="3"/>
  <c r="N446" i="3"/>
  <c r="M447" i="3"/>
  <c r="N447" i="3"/>
  <c r="M448" i="3"/>
  <c r="N448" i="3"/>
  <c r="M449" i="3"/>
  <c r="N449" i="3"/>
  <c r="M450" i="3"/>
  <c r="N450" i="3"/>
  <c r="M451" i="3"/>
  <c r="N451" i="3"/>
  <c r="M452" i="3"/>
  <c r="N452" i="3"/>
  <c r="M453" i="3"/>
  <c r="N453" i="3"/>
  <c r="M454" i="3"/>
  <c r="N454" i="3"/>
  <c r="M455" i="3"/>
  <c r="N455" i="3"/>
  <c r="M456" i="3"/>
  <c r="N456" i="3"/>
  <c r="M457" i="3"/>
  <c r="N457" i="3"/>
  <c r="M458" i="3"/>
  <c r="N458" i="3"/>
  <c r="M459" i="3"/>
  <c r="N459" i="3"/>
  <c r="M460" i="3"/>
  <c r="N460" i="3"/>
  <c r="M461" i="3"/>
  <c r="N461" i="3"/>
  <c r="M462" i="3"/>
  <c r="N462" i="3"/>
  <c r="M463" i="3"/>
  <c r="N463" i="3"/>
  <c r="M464" i="3"/>
  <c r="N464" i="3"/>
  <c r="M465" i="3"/>
  <c r="N465" i="3"/>
  <c r="M466" i="3"/>
  <c r="N466" i="3"/>
  <c r="M467" i="3"/>
  <c r="N467" i="3"/>
  <c r="M468" i="3"/>
  <c r="N468" i="3"/>
  <c r="M469" i="3"/>
  <c r="N469" i="3"/>
  <c r="M470" i="3"/>
  <c r="N470" i="3"/>
  <c r="M471" i="3"/>
  <c r="N471" i="3"/>
  <c r="M472" i="3"/>
  <c r="N472" i="3"/>
  <c r="M473" i="3"/>
  <c r="N473" i="3"/>
  <c r="M474" i="3"/>
  <c r="N474" i="3"/>
  <c r="M475" i="3"/>
  <c r="N475" i="3"/>
  <c r="M476" i="3"/>
  <c r="N476" i="3"/>
  <c r="M477" i="3"/>
  <c r="N477" i="3"/>
  <c r="M478" i="3"/>
  <c r="N478" i="3"/>
  <c r="M479" i="3"/>
  <c r="N479" i="3"/>
  <c r="M480" i="3"/>
  <c r="N480" i="3"/>
  <c r="M481" i="3"/>
  <c r="N481" i="3"/>
  <c r="M482" i="3"/>
  <c r="N482" i="3"/>
  <c r="M483" i="3"/>
  <c r="N483" i="3"/>
  <c r="M484" i="3"/>
  <c r="N484" i="3"/>
  <c r="M485" i="3"/>
  <c r="N485" i="3"/>
  <c r="M486" i="3"/>
  <c r="N486" i="3"/>
  <c r="M487" i="3"/>
  <c r="N487" i="3"/>
  <c r="M488" i="3"/>
  <c r="N488" i="3"/>
  <c r="M489" i="3"/>
  <c r="N489" i="3"/>
  <c r="M490" i="3"/>
  <c r="N490" i="3"/>
  <c r="M491" i="3"/>
  <c r="N491" i="3"/>
  <c r="M492" i="3"/>
  <c r="N492" i="3"/>
  <c r="M493" i="3"/>
  <c r="N493" i="3"/>
  <c r="M494" i="3"/>
  <c r="N494" i="3"/>
  <c r="M495" i="3"/>
  <c r="N495" i="3"/>
  <c r="M496" i="3"/>
  <c r="N496" i="3"/>
  <c r="M497" i="3"/>
  <c r="N497" i="3"/>
  <c r="M498" i="3"/>
  <c r="N498" i="3"/>
  <c r="M499" i="3"/>
  <c r="N499" i="3"/>
  <c r="M500" i="3"/>
  <c r="N500" i="3"/>
  <c r="M501" i="3"/>
  <c r="N501" i="3"/>
  <c r="M502" i="3"/>
  <c r="N502" i="3"/>
  <c r="M503" i="3"/>
  <c r="N503" i="3"/>
  <c r="M504" i="3"/>
  <c r="N504" i="3"/>
  <c r="M505" i="3"/>
  <c r="N505" i="3"/>
  <c r="M506" i="3"/>
  <c r="N506" i="3"/>
  <c r="M507" i="3"/>
  <c r="N507" i="3"/>
  <c r="M508" i="3"/>
  <c r="N508" i="3"/>
  <c r="M509" i="3"/>
  <c r="N509" i="3"/>
  <c r="M510" i="3"/>
  <c r="N510" i="3"/>
  <c r="M511" i="3"/>
  <c r="N511" i="3"/>
  <c r="M512" i="3"/>
  <c r="N512" i="3"/>
  <c r="M513" i="3"/>
  <c r="N513" i="3"/>
  <c r="M514" i="3"/>
  <c r="N514" i="3"/>
  <c r="M515" i="3"/>
  <c r="N515" i="3"/>
  <c r="M516" i="3"/>
  <c r="N516" i="3"/>
  <c r="M517" i="3"/>
  <c r="N517" i="3"/>
  <c r="M518" i="3"/>
  <c r="N518" i="3"/>
  <c r="M519" i="3"/>
  <c r="N519" i="3"/>
  <c r="M520" i="3"/>
  <c r="N520" i="3"/>
  <c r="M521" i="3"/>
  <c r="N521" i="3"/>
  <c r="M522" i="3"/>
  <c r="N522" i="3"/>
  <c r="M523" i="3"/>
  <c r="N523" i="3"/>
  <c r="M524" i="3"/>
  <c r="N524" i="3"/>
  <c r="M525" i="3"/>
  <c r="N525" i="3"/>
  <c r="M526" i="3"/>
  <c r="N526" i="3"/>
  <c r="M527" i="3"/>
  <c r="N527" i="3"/>
  <c r="M528" i="3"/>
  <c r="N528" i="3"/>
  <c r="M529" i="3"/>
  <c r="N529" i="3"/>
  <c r="M530" i="3"/>
  <c r="N530" i="3"/>
  <c r="M531" i="3"/>
  <c r="N531" i="3"/>
  <c r="M532" i="3"/>
  <c r="N532" i="3"/>
  <c r="M533" i="3"/>
  <c r="N533" i="3"/>
  <c r="M534" i="3"/>
  <c r="N534" i="3"/>
  <c r="M535" i="3"/>
  <c r="N535" i="3"/>
  <c r="M536" i="3"/>
  <c r="N536" i="3"/>
  <c r="M537" i="3"/>
  <c r="N537" i="3"/>
  <c r="M538" i="3"/>
  <c r="N538" i="3"/>
  <c r="M539" i="3"/>
  <c r="N539" i="3"/>
  <c r="M540" i="3"/>
  <c r="N540" i="3"/>
  <c r="M541" i="3"/>
  <c r="N541" i="3"/>
  <c r="M542" i="3"/>
  <c r="N542" i="3"/>
  <c r="M543" i="3"/>
  <c r="N543" i="3"/>
  <c r="M544" i="3"/>
  <c r="N544" i="3"/>
  <c r="M545" i="3"/>
  <c r="N545" i="3"/>
  <c r="M546" i="3"/>
  <c r="N546" i="3"/>
  <c r="M547" i="3"/>
  <c r="N547" i="3"/>
  <c r="M548" i="3"/>
  <c r="N548" i="3"/>
  <c r="M549" i="3"/>
  <c r="N549" i="3"/>
  <c r="M550" i="3"/>
  <c r="N550" i="3"/>
  <c r="M551" i="3"/>
  <c r="N551" i="3"/>
  <c r="M552" i="3"/>
  <c r="N552" i="3"/>
  <c r="M553" i="3"/>
  <c r="N553" i="3"/>
  <c r="M554" i="3"/>
  <c r="N554" i="3"/>
  <c r="M555" i="3"/>
  <c r="N555" i="3"/>
  <c r="M556" i="3"/>
  <c r="N556" i="3"/>
  <c r="M557" i="3"/>
  <c r="N557" i="3"/>
  <c r="M558" i="3"/>
  <c r="N558" i="3"/>
  <c r="M559" i="3"/>
  <c r="N559" i="3"/>
  <c r="M560" i="3"/>
  <c r="N560" i="3"/>
  <c r="M561" i="3"/>
  <c r="N561" i="3"/>
  <c r="M562" i="3"/>
  <c r="N562" i="3"/>
  <c r="M563" i="3"/>
  <c r="N563" i="3"/>
  <c r="M564" i="3"/>
  <c r="N564" i="3"/>
  <c r="M565" i="3"/>
  <c r="N565" i="3"/>
  <c r="M566" i="3"/>
  <c r="N566" i="3"/>
  <c r="M567" i="3"/>
  <c r="N567" i="3"/>
  <c r="M568" i="3"/>
  <c r="N568" i="3"/>
  <c r="M569" i="3"/>
  <c r="N569" i="3"/>
  <c r="M570" i="3"/>
  <c r="N570" i="3"/>
  <c r="M571" i="3"/>
  <c r="N571" i="3"/>
  <c r="M572" i="3"/>
  <c r="N572" i="3"/>
  <c r="M573" i="3"/>
  <c r="N573" i="3"/>
  <c r="M574" i="3"/>
  <c r="N574" i="3"/>
  <c r="M575" i="3"/>
  <c r="N575" i="3"/>
  <c r="M576" i="3"/>
  <c r="N576" i="3"/>
  <c r="M577" i="3"/>
  <c r="N577" i="3"/>
  <c r="M578" i="3"/>
  <c r="N578" i="3"/>
  <c r="M579" i="3"/>
  <c r="N579" i="3"/>
  <c r="M580" i="3"/>
  <c r="N580" i="3"/>
  <c r="M581" i="3"/>
  <c r="N581" i="3"/>
  <c r="M582" i="3"/>
  <c r="N582" i="3"/>
  <c r="M583" i="3"/>
  <c r="N583" i="3"/>
  <c r="M584" i="3"/>
  <c r="N584" i="3"/>
  <c r="M585" i="3"/>
  <c r="N585" i="3"/>
  <c r="M586" i="3"/>
  <c r="N586" i="3"/>
  <c r="M587" i="3"/>
  <c r="N587" i="3"/>
  <c r="M588" i="3"/>
  <c r="N588" i="3"/>
  <c r="M589" i="3"/>
  <c r="N589" i="3"/>
  <c r="M590" i="3"/>
  <c r="N590" i="3"/>
  <c r="M591" i="3"/>
  <c r="N591" i="3"/>
  <c r="M592" i="3"/>
  <c r="N592" i="3"/>
  <c r="M593" i="3"/>
  <c r="N593" i="3"/>
  <c r="M594" i="3"/>
  <c r="N594" i="3"/>
  <c r="M595" i="3"/>
  <c r="N595" i="3"/>
  <c r="M596" i="3"/>
  <c r="N596" i="3"/>
  <c r="M597" i="3"/>
  <c r="N597" i="3"/>
  <c r="M598" i="3"/>
  <c r="N598" i="3"/>
  <c r="M599" i="3"/>
  <c r="N599" i="3"/>
  <c r="M600" i="3"/>
  <c r="N600" i="3"/>
  <c r="M601" i="3"/>
  <c r="N601" i="3"/>
  <c r="N2" i="3"/>
  <c r="M2" i="3"/>
  <c r="E6" i="11"/>
  <c r="E3" i="11"/>
  <c r="F3" i="11"/>
  <c r="E4" i="11"/>
  <c r="F4" i="11"/>
  <c r="E5" i="11"/>
  <c r="F5" i="11"/>
  <c r="F6" i="11"/>
  <c r="E7" i="11"/>
  <c r="F7" i="11"/>
  <c r="E8" i="11"/>
  <c r="F8" i="11"/>
  <c r="E9" i="11"/>
  <c r="F9" i="11"/>
  <c r="E10" i="11"/>
  <c r="F10" i="11"/>
  <c r="E11" i="11"/>
  <c r="F11" i="11"/>
  <c r="E12" i="11"/>
  <c r="F12" i="11"/>
  <c r="E13" i="11"/>
  <c r="F13" i="11"/>
  <c r="E14" i="11"/>
  <c r="F14" i="11"/>
  <c r="E15" i="11"/>
  <c r="F15" i="11"/>
  <c r="E16" i="11"/>
  <c r="F16" i="11"/>
  <c r="E17" i="11"/>
  <c r="F17" i="11"/>
  <c r="E18" i="11"/>
  <c r="F18" i="11"/>
  <c r="E19" i="11"/>
  <c r="F19" i="11"/>
  <c r="E20" i="11"/>
  <c r="F20" i="11"/>
  <c r="E21" i="11"/>
  <c r="F21" i="11"/>
  <c r="E22" i="11"/>
  <c r="F22" i="11"/>
  <c r="E23" i="11"/>
  <c r="F23" i="11"/>
  <c r="E24" i="11"/>
  <c r="F24" i="11"/>
  <c r="E25" i="11"/>
  <c r="F25" i="11"/>
  <c r="E26" i="11"/>
  <c r="F26" i="11"/>
  <c r="E27" i="11"/>
  <c r="F27" i="11"/>
  <c r="E28" i="11"/>
  <c r="F28" i="11"/>
  <c r="E29" i="11"/>
  <c r="F29" i="11"/>
  <c r="E30" i="11"/>
  <c r="F30" i="11"/>
  <c r="E31" i="11"/>
  <c r="F31" i="11"/>
  <c r="E32" i="11"/>
  <c r="F32" i="11"/>
  <c r="E33" i="11"/>
  <c r="F33" i="11"/>
  <c r="E34" i="11"/>
  <c r="F34" i="11"/>
  <c r="E35" i="11"/>
  <c r="F35" i="11"/>
  <c r="E36" i="11"/>
  <c r="F36" i="11"/>
  <c r="E37" i="11"/>
  <c r="F37" i="11"/>
  <c r="E38" i="11"/>
  <c r="F38" i="11"/>
  <c r="E39" i="11"/>
  <c r="F39" i="11"/>
  <c r="E2" i="11"/>
  <c r="F2" i="1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2" i="3"/>
  <c r="H601" i="3"/>
  <c r="G601" i="3"/>
  <c r="E601" i="3"/>
  <c r="D601" i="3"/>
  <c r="A601" i="3"/>
  <c r="H600" i="3"/>
  <c r="G600" i="3"/>
  <c r="E600" i="3"/>
  <c r="D600" i="3"/>
  <c r="A600" i="3"/>
  <c r="H599" i="3"/>
  <c r="G599" i="3"/>
  <c r="E599" i="3"/>
  <c r="D599" i="3"/>
  <c r="A599" i="3"/>
  <c r="H598" i="3"/>
  <c r="G598" i="3"/>
  <c r="E598" i="3"/>
  <c r="D598" i="3"/>
  <c r="A598" i="3"/>
  <c r="H597" i="3"/>
  <c r="G597" i="3"/>
  <c r="E597" i="3"/>
  <c r="D597" i="3"/>
  <c r="A597" i="3"/>
  <c r="H596" i="3"/>
  <c r="G596" i="3"/>
  <c r="E596" i="3"/>
  <c r="D596" i="3"/>
  <c r="A596" i="3"/>
  <c r="H595" i="3"/>
  <c r="G595" i="3"/>
  <c r="E595" i="3"/>
  <c r="D595" i="3"/>
  <c r="A595" i="3"/>
  <c r="H594" i="3"/>
  <c r="G594" i="3"/>
  <c r="E594" i="3"/>
  <c r="D594" i="3"/>
  <c r="A594" i="3"/>
  <c r="H593" i="3"/>
  <c r="G593" i="3"/>
  <c r="E593" i="3"/>
  <c r="D593" i="3"/>
  <c r="A593" i="3"/>
  <c r="H592" i="3"/>
  <c r="G592" i="3"/>
  <c r="E592" i="3"/>
  <c r="D592" i="3"/>
  <c r="A592" i="3"/>
  <c r="H591" i="3"/>
  <c r="G591" i="3"/>
  <c r="E591" i="3"/>
  <c r="D591" i="3"/>
  <c r="A591" i="3"/>
  <c r="H590" i="3"/>
  <c r="G590" i="3"/>
  <c r="E590" i="3"/>
  <c r="D590" i="3"/>
  <c r="A590" i="3"/>
  <c r="H589" i="3"/>
  <c r="G589" i="3"/>
  <c r="E589" i="3"/>
  <c r="D589" i="3"/>
  <c r="A589" i="3"/>
  <c r="H588" i="3"/>
  <c r="G588" i="3"/>
  <c r="E588" i="3"/>
  <c r="D588" i="3"/>
  <c r="A588" i="3"/>
  <c r="H587" i="3"/>
  <c r="G587" i="3"/>
  <c r="E587" i="3"/>
  <c r="D587" i="3"/>
  <c r="A587" i="3"/>
  <c r="H586" i="3"/>
  <c r="G586" i="3"/>
  <c r="E586" i="3"/>
  <c r="D586" i="3"/>
  <c r="A586" i="3"/>
  <c r="H585" i="3"/>
  <c r="G585" i="3"/>
  <c r="E585" i="3"/>
  <c r="D585" i="3"/>
  <c r="A585" i="3"/>
  <c r="H584" i="3"/>
  <c r="G584" i="3"/>
  <c r="E584" i="3"/>
  <c r="D584" i="3"/>
  <c r="A584" i="3"/>
  <c r="H583" i="3"/>
  <c r="G583" i="3"/>
  <c r="E583" i="3"/>
  <c r="D583" i="3"/>
  <c r="A583" i="3"/>
  <c r="H582" i="3"/>
  <c r="G582" i="3"/>
  <c r="E582" i="3"/>
  <c r="D582" i="3"/>
  <c r="A582" i="3"/>
  <c r="H581" i="3"/>
  <c r="G581" i="3"/>
  <c r="E581" i="3"/>
  <c r="D581" i="3"/>
  <c r="A581" i="3"/>
  <c r="H580" i="3"/>
  <c r="G580" i="3"/>
  <c r="E580" i="3"/>
  <c r="D580" i="3"/>
  <c r="A580" i="3"/>
  <c r="H579" i="3"/>
  <c r="G579" i="3"/>
  <c r="E579" i="3"/>
  <c r="D579" i="3"/>
  <c r="A579" i="3"/>
  <c r="H578" i="3"/>
  <c r="G578" i="3"/>
  <c r="E578" i="3"/>
  <c r="D578" i="3"/>
  <c r="A578" i="3"/>
  <c r="H577" i="3"/>
  <c r="G577" i="3"/>
  <c r="E577" i="3"/>
  <c r="D577" i="3"/>
  <c r="A577" i="3"/>
  <c r="H576" i="3"/>
  <c r="G576" i="3"/>
  <c r="E576" i="3"/>
  <c r="D576" i="3"/>
  <c r="A576" i="3"/>
  <c r="H575" i="3"/>
  <c r="G575" i="3"/>
  <c r="E575" i="3"/>
  <c r="D575" i="3"/>
  <c r="A575" i="3"/>
  <c r="H574" i="3"/>
  <c r="G574" i="3"/>
  <c r="E574" i="3"/>
  <c r="D574" i="3"/>
  <c r="A574" i="3"/>
  <c r="H573" i="3"/>
  <c r="G573" i="3"/>
  <c r="E573" i="3"/>
  <c r="D573" i="3"/>
  <c r="A573" i="3"/>
  <c r="H572" i="3"/>
  <c r="G572" i="3"/>
  <c r="E572" i="3"/>
  <c r="D572" i="3"/>
  <c r="A572" i="3"/>
  <c r="H571" i="3"/>
  <c r="G571" i="3"/>
  <c r="E571" i="3"/>
  <c r="D571" i="3"/>
  <c r="A571" i="3"/>
  <c r="H570" i="3"/>
  <c r="G570" i="3"/>
  <c r="E570" i="3"/>
  <c r="D570" i="3"/>
  <c r="A570" i="3"/>
  <c r="H569" i="3"/>
  <c r="G569" i="3"/>
  <c r="E569" i="3"/>
  <c r="D569" i="3"/>
  <c r="A569" i="3"/>
  <c r="H568" i="3"/>
  <c r="G568" i="3"/>
  <c r="E568" i="3"/>
  <c r="D568" i="3"/>
  <c r="A568" i="3"/>
  <c r="H567" i="3"/>
  <c r="G567" i="3"/>
  <c r="E567" i="3"/>
  <c r="D567" i="3"/>
  <c r="A567" i="3"/>
  <c r="H566" i="3"/>
  <c r="G566" i="3"/>
  <c r="E566" i="3"/>
  <c r="D566" i="3"/>
  <c r="A566" i="3"/>
  <c r="H565" i="3"/>
  <c r="G565" i="3"/>
  <c r="E565" i="3"/>
  <c r="D565" i="3"/>
  <c r="A565" i="3"/>
  <c r="H564" i="3"/>
  <c r="G564" i="3"/>
  <c r="E564" i="3"/>
  <c r="D564" i="3"/>
  <c r="A564" i="3"/>
  <c r="H563" i="3"/>
  <c r="G563" i="3"/>
  <c r="E563" i="3"/>
  <c r="D563" i="3"/>
  <c r="A563" i="3"/>
  <c r="H562" i="3"/>
  <c r="G562" i="3"/>
  <c r="E562" i="3"/>
  <c r="D562" i="3"/>
  <c r="A562" i="3"/>
  <c r="H561" i="3"/>
  <c r="G561" i="3"/>
  <c r="E561" i="3"/>
  <c r="D561" i="3"/>
  <c r="A561" i="3"/>
  <c r="H560" i="3"/>
  <c r="G560" i="3"/>
  <c r="E560" i="3"/>
  <c r="D560" i="3"/>
  <c r="A560" i="3"/>
  <c r="H559" i="3"/>
  <c r="G559" i="3"/>
  <c r="E559" i="3"/>
  <c r="D559" i="3"/>
  <c r="A559" i="3"/>
  <c r="H558" i="3"/>
  <c r="G558" i="3"/>
  <c r="E558" i="3"/>
  <c r="D558" i="3"/>
  <c r="A558" i="3"/>
  <c r="H557" i="3"/>
  <c r="G557" i="3"/>
  <c r="E557" i="3"/>
  <c r="D557" i="3"/>
  <c r="A557" i="3"/>
  <c r="H556" i="3"/>
  <c r="G556" i="3"/>
  <c r="E556" i="3"/>
  <c r="D556" i="3"/>
  <c r="A556" i="3"/>
  <c r="H555" i="3"/>
  <c r="G555" i="3"/>
  <c r="E555" i="3"/>
  <c r="D555" i="3"/>
  <c r="A555" i="3"/>
  <c r="H554" i="3"/>
  <c r="G554" i="3"/>
  <c r="E554" i="3"/>
  <c r="D554" i="3"/>
  <c r="A554" i="3"/>
  <c r="H553" i="3"/>
  <c r="G553" i="3"/>
  <c r="E553" i="3"/>
  <c r="D553" i="3"/>
  <c r="A553" i="3"/>
  <c r="H552" i="3"/>
  <c r="G552" i="3"/>
  <c r="E552" i="3"/>
  <c r="D552" i="3"/>
  <c r="A552" i="3"/>
  <c r="H551" i="3"/>
  <c r="G551" i="3"/>
  <c r="E551" i="3"/>
  <c r="D551" i="3"/>
  <c r="A551" i="3"/>
  <c r="H550" i="3"/>
  <c r="G550" i="3"/>
  <c r="E550" i="3"/>
  <c r="D550" i="3"/>
  <c r="A550" i="3"/>
  <c r="H549" i="3"/>
  <c r="G549" i="3"/>
  <c r="E549" i="3"/>
  <c r="D549" i="3"/>
  <c r="A549" i="3"/>
  <c r="H548" i="3"/>
  <c r="G548" i="3"/>
  <c r="E548" i="3"/>
  <c r="D548" i="3"/>
  <c r="A548" i="3"/>
  <c r="H547" i="3"/>
  <c r="G547" i="3"/>
  <c r="E547" i="3"/>
  <c r="D547" i="3"/>
  <c r="A547" i="3"/>
  <c r="H546" i="3"/>
  <c r="G546" i="3"/>
  <c r="E546" i="3"/>
  <c r="D546" i="3"/>
  <c r="A546" i="3"/>
  <c r="H545" i="3"/>
  <c r="G545" i="3"/>
  <c r="E545" i="3"/>
  <c r="D545" i="3"/>
  <c r="A545" i="3"/>
  <c r="H544" i="3"/>
  <c r="G544" i="3"/>
  <c r="E544" i="3"/>
  <c r="D544" i="3"/>
  <c r="A544" i="3"/>
  <c r="H543" i="3"/>
  <c r="G543" i="3"/>
  <c r="E543" i="3"/>
  <c r="D543" i="3"/>
  <c r="A543" i="3"/>
  <c r="H542" i="3"/>
  <c r="G542" i="3"/>
  <c r="E542" i="3"/>
  <c r="D542" i="3"/>
  <c r="A542" i="3"/>
  <c r="H541" i="3"/>
  <c r="G541" i="3"/>
  <c r="E541" i="3"/>
  <c r="D541" i="3"/>
  <c r="A541" i="3"/>
  <c r="H540" i="3"/>
  <c r="G540" i="3"/>
  <c r="E540" i="3"/>
  <c r="D540" i="3"/>
  <c r="A540" i="3"/>
  <c r="H539" i="3"/>
  <c r="G539" i="3"/>
  <c r="E539" i="3"/>
  <c r="D539" i="3"/>
  <c r="A539" i="3"/>
  <c r="H538" i="3"/>
  <c r="G538" i="3"/>
  <c r="E538" i="3"/>
  <c r="D538" i="3"/>
  <c r="A538" i="3"/>
  <c r="H537" i="3"/>
  <c r="G537" i="3"/>
  <c r="E537" i="3"/>
  <c r="D537" i="3"/>
  <c r="A537" i="3"/>
  <c r="H536" i="3"/>
  <c r="G536" i="3"/>
  <c r="E536" i="3"/>
  <c r="D536" i="3"/>
  <c r="A536" i="3"/>
  <c r="H535" i="3"/>
  <c r="G535" i="3"/>
  <c r="E535" i="3"/>
  <c r="D535" i="3"/>
  <c r="A535" i="3"/>
  <c r="H534" i="3"/>
  <c r="G534" i="3"/>
  <c r="E534" i="3"/>
  <c r="D534" i="3"/>
  <c r="A534" i="3"/>
  <c r="H533" i="3"/>
  <c r="G533" i="3"/>
  <c r="E533" i="3"/>
  <c r="D533" i="3"/>
  <c r="A533" i="3"/>
  <c r="H532" i="3"/>
  <c r="G532" i="3"/>
  <c r="E532" i="3"/>
  <c r="D532" i="3"/>
  <c r="A532" i="3"/>
  <c r="H531" i="3"/>
  <c r="G531" i="3"/>
  <c r="E531" i="3"/>
  <c r="D531" i="3"/>
  <c r="A531" i="3"/>
  <c r="H530" i="3"/>
  <c r="G530" i="3"/>
  <c r="E530" i="3"/>
  <c r="D530" i="3"/>
  <c r="A530" i="3"/>
  <c r="H529" i="3"/>
  <c r="G529" i="3"/>
  <c r="E529" i="3"/>
  <c r="D529" i="3"/>
  <c r="A529" i="3"/>
  <c r="H528" i="3"/>
  <c r="G528" i="3"/>
  <c r="E528" i="3"/>
  <c r="D528" i="3"/>
  <c r="A528" i="3"/>
  <c r="H527" i="3"/>
  <c r="G527" i="3"/>
  <c r="E527" i="3"/>
  <c r="D527" i="3"/>
  <c r="A527" i="3"/>
  <c r="H526" i="3"/>
  <c r="G526" i="3"/>
  <c r="E526" i="3"/>
  <c r="D526" i="3"/>
  <c r="A526" i="3"/>
  <c r="H525" i="3"/>
  <c r="G525" i="3"/>
  <c r="E525" i="3"/>
  <c r="D525" i="3"/>
  <c r="A525" i="3"/>
  <c r="H524" i="3"/>
  <c r="G524" i="3"/>
  <c r="E524" i="3"/>
  <c r="D524" i="3"/>
  <c r="A524" i="3"/>
  <c r="H523" i="3"/>
  <c r="G523" i="3"/>
  <c r="E523" i="3"/>
  <c r="D523" i="3"/>
  <c r="A523" i="3"/>
  <c r="H522" i="3"/>
  <c r="G522" i="3"/>
  <c r="E522" i="3"/>
  <c r="D522" i="3"/>
  <c r="A522" i="3"/>
  <c r="H521" i="3"/>
  <c r="G521" i="3"/>
  <c r="E521" i="3"/>
  <c r="D521" i="3"/>
  <c r="A521" i="3"/>
  <c r="H520" i="3"/>
  <c r="G520" i="3"/>
  <c r="E520" i="3"/>
  <c r="D520" i="3"/>
  <c r="A520" i="3"/>
  <c r="H519" i="3"/>
  <c r="G519" i="3"/>
  <c r="E519" i="3"/>
  <c r="D519" i="3"/>
  <c r="A519" i="3"/>
  <c r="H518" i="3"/>
  <c r="G518" i="3"/>
  <c r="E518" i="3"/>
  <c r="D518" i="3"/>
  <c r="A518" i="3"/>
  <c r="H517" i="3"/>
  <c r="G517" i="3"/>
  <c r="E517" i="3"/>
  <c r="D517" i="3"/>
  <c r="A517" i="3"/>
  <c r="D489" i="3"/>
  <c r="E489" i="3"/>
  <c r="G489" i="3"/>
  <c r="H489" i="3"/>
  <c r="D490" i="3"/>
  <c r="E490" i="3"/>
  <c r="G490" i="3"/>
  <c r="H490" i="3"/>
  <c r="D491" i="3"/>
  <c r="E491" i="3"/>
  <c r="G491" i="3"/>
  <c r="H491" i="3"/>
  <c r="D492" i="3"/>
  <c r="E492" i="3"/>
  <c r="G492" i="3"/>
  <c r="H492" i="3"/>
  <c r="D493" i="3"/>
  <c r="E493" i="3"/>
  <c r="G493" i="3"/>
  <c r="H493" i="3"/>
  <c r="D494" i="3"/>
  <c r="E494" i="3"/>
  <c r="G494" i="3"/>
  <c r="H494" i="3"/>
  <c r="D495" i="3"/>
  <c r="E495" i="3"/>
  <c r="G495" i="3"/>
  <c r="H495" i="3"/>
  <c r="D496" i="3"/>
  <c r="E496" i="3"/>
  <c r="G496" i="3"/>
  <c r="H496" i="3"/>
  <c r="D497" i="3"/>
  <c r="E497" i="3"/>
  <c r="G497" i="3"/>
  <c r="H497" i="3"/>
  <c r="D498" i="3"/>
  <c r="E498" i="3"/>
  <c r="G498" i="3"/>
  <c r="H498" i="3"/>
  <c r="D499" i="3"/>
  <c r="E499" i="3"/>
  <c r="G499" i="3"/>
  <c r="H499" i="3"/>
  <c r="D500" i="3"/>
  <c r="E500" i="3"/>
  <c r="G500" i="3"/>
  <c r="H500" i="3"/>
  <c r="D501" i="3"/>
  <c r="E501" i="3"/>
  <c r="G501" i="3"/>
  <c r="H501" i="3"/>
  <c r="D502" i="3"/>
  <c r="E502" i="3"/>
  <c r="G502" i="3"/>
  <c r="H502" i="3"/>
  <c r="D503" i="3"/>
  <c r="E503" i="3"/>
  <c r="G503" i="3"/>
  <c r="H503" i="3"/>
  <c r="D504" i="3"/>
  <c r="E504" i="3"/>
  <c r="G504" i="3"/>
  <c r="H504" i="3"/>
  <c r="D505" i="3"/>
  <c r="E505" i="3"/>
  <c r="G505" i="3"/>
  <c r="H505" i="3"/>
  <c r="D506" i="3"/>
  <c r="E506" i="3"/>
  <c r="G506" i="3"/>
  <c r="H506" i="3"/>
  <c r="D507" i="3"/>
  <c r="E507" i="3"/>
  <c r="G507" i="3"/>
  <c r="H507" i="3"/>
  <c r="D508" i="3"/>
  <c r="E508" i="3"/>
  <c r="G508" i="3"/>
  <c r="H508" i="3"/>
  <c r="D509" i="3"/>
  <c r="E509" i="3"/>
  <c r="G509" i="3"/>
  <c r="H509" i="3"/>
  <c r="D510" i="3"/>
  <c r="E510" i="3"/>
  <c r="G510" i="3"/>
  <c r="H510" i="3"/>
  <c r="D511" i="3"/>
  <c r="E511" i="3"/>
  <c r="G511" i="3"/>
  <c r="H511" i="3"/>
  <c r="D512" i="3"/>
  <c r="E512" i="3"/>
  <c r="G512" i="3"/>
  <c r="H512" i="3"/>
  <c r="D513" i="3"/>
  <c r="E513" i="3"/>
  <c r="G513" i="3"/>
  <c r="H513" i="3"/>
  <c r="D514" i="3"/>
  <c r="E514" i="3"/>
  <c r="G514" i="3"/>
  <c r="H514" i="3"/>
  <c r="D515" i="3"/>
  <c r="E515" i="3"/>
  <c r="G515" i="3"/>
  <c r="H515" i="3"/>
  <c r="D516" i="3"/>
  <c r="E516" i="3"/>
  <c r="G516" i="3"/>
  <c r="H516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H488" i="3"/>
  <c r="G488" i="3"/>
  <c r="E488" i="3"/>
  <c r="D488" i="3"/>
  <c r="A488" i="3"/>
  <c r="H487" i="3"/>
  <c r="G487" i="3"/>
  <c r="E487" i="3"/>
  <c r="D487" i="3"/>
  <c r="A487" i="3"/>
  <c r="H486" i="3"/>
  <c r="G486" i="3"/>
  <c r="E486" i="3"/>
  <c r="D486" i="3"/>
  <c r="A486" i="3"/>
  <c r="H485" i="3"/>
  <c r="G485" i="3"/>
  <c r="E485" i="3"/>
  <c r="D485" i="3"/>
  <c r="A485" i="3"/>
  <c r="H484" i="3"/>
  <c r="G484" i="3"/>
  <c r="E484" i="3"/>
  <c r="D484" i="3"/>
  <c r="A484" i="3"/>
  <c r="H483" i="3"/>
  <c r="G483" i="3"/>
  <c r="E483" i="3"/>
  <c r="D483" i="3"/>
  <c r="A483" i="3"/>
  <c r="H482" i="3"/>
  <c r="G482" i="3"/>
  <c r="E482" i="3"/>
  <c r="D482" i="3"/>
  <c r="A482" i="3"/>
  <c r="H481" i="3"/>
  <c r="G481" i="3"/>
  <c r="E481" i="3"/>
  <c r="D481" i="3"/>
  <c r="A481" i="3"/>
  <c r="H480" i="3"/>
  <c r="G480" i="3"/>
  <c r="E480" i="3"/>
  <c r="D480" i="3"/>
  <c r="A480" i="3"/>
  <c r="H479" i="3"/>
  <c r="G479" i="3"/>
  <c r="E479" i="3"/>
  <c r="D479" i="3"/>
  <c r="A479" i="3"/>
  <c r="H478" i="3"/>
  <c r="G478" i="3"/>
  <c r="E478" i="3"/>
  <c r="D478" i="3"/>
  <c r="A478" i="3"/>
  <c r="H477" i="3"/>
  <c r="G477" i="3"/>
  <c r="E477" i="3"/>
  <c r="D477" i="3"/>
  <c r="A477" i="3"/>
  <c r="H476" i="3"/>
  <c r="G476" i="3"/>
  <c r="E476" i="3"/>
  <c r="D476" i="3"/>
  <c r="A476" i="3"/>
  <c r="H475" i="3"/>
  <c r="G475" i="3"/>
  <c r="E475" i="3"/>
  <c r="D475" i="3"/>
  <c r="A475" i="3"/>
  <c r="H474" i="3"/>
  <c r="G474" i="3"/>
  <c r="E474" i="3"/>
  <c r="D474" i="3"/>
  <c r="A474" i="3"/>
  <c r="H473" i="3"/>
  <c r="G473" i="3"/>
  <c r="E473" i="3"/>
  <c r="D473" i="3"/>
  <c r="A473" i="3"/>
  <c r="H472" i="3"/>
  <c r="G472" i="3"/>
  <c r="E472" i="3"/>
  <c r="D472" i="3"/>
  <c r="A472" i="3"/>
  <c r="H471" i="3"/>
  <c r="G471" i="3"/>
  <c r="E471" i="3"/>
  <c r="D471" i="3"/>
  <c r="A471" i="3"/>
  <c r="H470" i="3"/>
  <c r="G470" i="3"/>
  <c r="E470" i="3"/>
  <c r="D470" i="3"/>
  <c r="A470" i="3"/>
  <c r="H469" i="3"/>
  <c r="G469" i="3"/>
  <c r="E469" i="3"/>
  <c r="D469" i="3"/>
  <c r="A469" i="3"/>
  <c r="H468" i="3"/>
  <c r="G468" i="3"/>
  <c r="E468" i="3"/>
  <c r="D468" i="3"/>
  <c r="A468" i="3"/>
  <c r="H467" i="3"/>
  <c r="G467" i="3"/>
  <c r="E467" i="3"/>
  <c r="D467" i="3"/>
  <c r="A467" i="3"/>
  <c r="H466" i="3"/>
  <c r="G466" i="3"/>
  <c r="E466" i="3"/>
  <c r="D466" i="3"/>
  <c r="A466" i="3"/>
  <c r="H465" i="3"/>
  <c r="G465" i="3"/>
  <c r="E465" i="3"/>
  <c r="D465" i="3"/>
  <c r="A465" i="3"/>
  <c r="H464" i="3"/>
  <c r="G464" i="3"/>
  <c r="E464" i="3"/>
  <c r="D464" i="3"/>
  <c r="A464" i="3"/>
  <c r="H463" i="3"/>
  <c r="G463" i="3"/>
  <c r="E463" i="3"/>
  <c r="D463" i="3"/>
  <c r="A463" i="3"/>
  <c r="H462" i="3"/>
  <c r="G462" i="3"/>
  <c r="E462" i="3"/>
  <c r="D462" i="3"/>
  <c r="A462" i="3"/>
  <c r="H461" i="3"/>
  <c r="G461" i="3"/>
  <c r="E461" i="3"/>
  <c r="D461" i="3"/>
  <c r="A461" i="3"/>
  <c r="H460" i="3"/>
  <c r="G460" i="3"/>
  <c r="E460" i="3"/>
  <c r="D460" i="3"/>
  <c r="A460" i="3"/>
  <c r="H459" i="3"/>
  <c r="G459" i="3"/>
  <c r="E459" i="3"/>
  <c r="D459" i="3"/>
  <c r="A459" i="3"/>
  <c r="H458" i="3"/>
  <c r="G458" i="3"/>
  <c r="E458" i="3"/>
  <c r="D458" i="3"/>
  <c r="A458" i="3"/>
  <c r="H457" i="3"/>
  <c r="G457" i="3"/>
  <c r="E457" i="3"/>
  <c r="D457" i="3"/>
  <c r="A457" i="3"/>
  <c r="H456" i="3"/>
  <c r="G456" i="3"/>
  <c r="E456" i="3"/>
  <c r="D456" i="3"/>
  <c r="A456" i="3"/>
  <c r="H455" i="3"/>
  <c r="G455" i="3"/>
  <c r="E455" i="3"/>
  <c r="D455" i="3"/>
  <c r="A455" i="3"/>
  <c r="H454" i="3"/>
  <c r="G454" i="3"/>
  <c r="E454" i="3"/>
  <c r="D454" i="3"/>
  <c r="A454" i="3"/>
  <c r="H453" i="3"/>
  <c r="G453" i="3"/>
  <c r="E453" i="3"/>
  <c r="D453" i="3"/>
  <c r="A453" i="3"/>
  <c r="H452" i="3"/>
  <c r="G452" i="3"/>
  <c r="E452" i="3"/>
  <c r="D452" i="3"/>
  <c r="A452" i="3"/>
  <c r="H451" i="3"/>
  <c r="G451" i="3"/>
  <c r="E451" i="3"/>
  <c r="D451" i="3"/>
  <c r="A451" i="3"/>
  <c r="H450" i="3"/>
  <c r="G450" i="3"/>
  <c r="E450" i="3"/>
  <c r="D450" i="3"/>
  <c r="A450" i="3"/>
  <c r="H449" i="3"/>
  <c r="G449" i="3"/>
  <c r="E449" i="3"/>
  <c r="D449" i="3"/>
  <c r="A449" i="3"/>
  <c r="H448" i="3"/>
  <c r="G448" i="3"/>
  <c r="E448" i="3"/>
  <c r="D448" i="3"/>
  <c r="A448" i="3"/>
  <c r="H447" i="3"/>
  <c r="G447" i="3"/>
  <c r="E447" i="3"/>
  <c r="D447" i="3"/>
  <c r="A447" i="3"/>
  <c r="H446" i="3"/>
  <c r="G446" i="3"/>
  <c r="E446" i="3"/>
  <c r="D446" i="3"/>
  <c r="A446" i="3"/>
  <c r="H445" i="3"/>
  <c r="G445" i="3"/>
  <c r="E445" i="3"/>
  <c r="D445" i="3"/>
  <c r="A445" i="3"/>
  <c r="H444" i="3"/>
  <c r="G444" i="3"/>
  <c r="E444" i="3"/>
  <c r="D444" i="3"/>
  <c r="A444" i="3"/>
  <c r="H443" i="3"/>
  <c r="G443" i="3"/>
  <c r="E443" i="3"/>
  <c r="D443" i="3"/>
  <c r="A443" i="3"/>
  <c r="H442" i="3"/>
  <c r="G442" i="3"/>
  <c r="E442" i="3"/>
  <c r="D442" i="3"/>
  <c r="A442" i="3"/>
  <c r="H441" i="3"/>
  <c r="G441" i="3"/>
  <c r="E441" i="3"/>
  <c r="D441" i="3"/>
  <c r="A441" i="3"/>
  <c r="H440" i="3"/>
  <c r="G440" i="3"/>
  <c r="E440" i="3"/>
  <c r="D440" i="3"/>
  <c r="A440" i="3"/>
  <c r="H439" i="3"/>
  <c r="G439" i="3"/>
  <c r="E439" i="3"/>
  <c r="D439" i="3"/>
  <c r="A439" i="3"/>
  <c r="H438" i="3"/>
  <c r="G438" i="3"/>
  <c r="E438" i="3"/>
  <c r="D438" i="3"/>
  <c r="A438" i="3"/>
  <c r="H437" i="3"/>
  <c r="G437" i="3"/>
  <c r="E437" i="3"/>
  <c r="D437" i="3"/>
  <c r="A437" i="3"/>
  <c r="H436" i="3"/>
  <c r="G436" i="3"/>
  <c r="E436" i="3"/>
  <c r="D436" i="3"/>
  <c r="A436" i="3"/>
  <c r="H435" i="3"/>
  <c r="G435" i="3"/>
  <c r="E435" i="3"/>
  <c r="D435" i="3"/>
  <c r="A435" i="3"/>
  <c r="H434" i="3"/>
  <c r="G434" i="3"/>
  <c r="E434" i="3"/>
  <c r="D434" i="3"/>
  <c r="A434" i="3"/>
  <c r="H433" i="3"/>
  <c r="G433" i="3"/>
  <c r="E433" i="3"/>
  <c r="D433" i="3"/>
  <c r="A433" i="3"/>
  <c r="H432" i="3"/>
  <c r="G432" i="3"/>
  <c r="E432" i="3"/>
  <c r="D432" i="3"/>
  <c r="A432" i="3"/>
  <c r="H431" i="3"/>
  <c r="G431" i="3"/>
  <c r="E431" i="3"/>
  <c r="D431" i="3"/>
  <c r="A431" i="3"/>
  <c r="H430" i="3"/>
  <c r="G430" i="3"/>
  <c r="E430" i="3"/>
  <c r="D430" i="3"/>
  <c r="A430" i="3"/>
  <c r="H429" i="3"/>
  <c r="G429" i="3"/>
  <c r="E429" i="3"/>
  <c r="D429" i="3"/>
  <c r="A429" i="3"/>
  <c r="H428" i="3"/>
  <c r="G428" i="3"/>
  <c r="E428" i="3"/>
  <c r="D428" i="3"/>
  <c r="A428" i="3"/>
  <c r="H427" i="3"/>
  <c r="G427" i="3"/>
  <c r="E427" i="3"/>
  <c r="D427" i="3"/>
  <c r="A427" i="3"/>
  <c r="H426" i="3"/>
  <c r="G426" i="3"/>
  <c r="E426" i="3"/>
  <c r="D426" i="3"/>
  <c r="A426" i="3"/>
  <c r="H425" i="3"/>
  <c r="G425" i="3"/>
  <c r="E425" i="3"/>
  <c r="D425" i="3"/>
  <c r="A425" i="3"/>
  <c r="H424" i="3"/>
  <c r="G424" i="3"/>
  <c r="E424" i="3"/>
  <c r="D424" i="3"/>
  <c r="A424" i="3"/>
  <c r="H423" i="3"/>
  <c r="G423" i="3"/>
  <c r="E423" i="3"/>
  <c r="D423" i="3"/>
  <c r="A423" i="3"/>
  <c r="H422" i="3"/>
  <c r="G422" i="3"/>
  <c r="E422" i="3"/>
  <c r="D422" i="3"/>
  <c r="A422" i="3"/>
  <c r="H421" i="3"/>
  <c r="G421" i="3"/>
  <c r="E421" i="3"/>
  <c r="D421" i="3"/>
  <c r="A421" i="3"/>
  <c r="H420" i="3"/>
  <c r="G420" i="3"/>
  <c r="E420" i="3"/>
  <c r="D420" i="3"/>
  <c r="A420" i="3"/>
  <c r="H419" i="3"/>
  <c r="G419" i="3"/>
  <c r="E419" i="3"/>
  <c r="D419" i="3"/>
  <c r="A419" i="3"/>
  <c r="H418" i="3"/>
  <c r="G418" i="3"/>
  <c r="E418" i="3"/>
  <c r="D418" i="3"/>
  <c r="A418" i="3"/>
  <c r="H417" i="3"/>
  <c r="G417" i="3"/>
  <c r="E417" i="3"/>
  <c r="D417" i="3"/>
  <c r="A417" i="3"/>
  <c r="H416" i="3"/>
  <c r="G416" i="3"/>
  <c r="E416" i="3"/>
  <c r="D416" i="3"/>
  <c r="A416" i="3"/>
  <c r="H415" i="3"/>
  <c r="G415" i="3"/>
  <c r="E415" i="3"/>
  <c r="D415" i="3"/>
  <c r="A415" i="3"/>
  <c r="H414" i="3"/>
  <c r="G414" i="3"/>
  <c r="E414" i="3"/>
  <c r="D414" i="3"/>
  <c r="A414" i="3"/>
  <c r="H413" i="3"/>
  <c r="G413" i="3"/>
  <c r="E413" i="3"/>
  <c r="D413" i="3"/>
  <c r="A413" i="3"/>
  <c r="H412" i="3"/>
  <c r="G412" i="3"/>
  <c r="E412" i="3"/>
  <c r="D412" i="3"/>
  <c r="A412" i="3"/>
  <c r="H411" i="3"/>
  <c r="G411" i="3"/>
  <c r="E411" i="3"/>
  <c r="D411" i="3"/>
  <c r="A411" i="3"/>
  <c r="H410" i="3"/>
  <c r="G410" i="3"/>
  <c r="E410" i="3"/>
  <c r="D410" i="3"/>
  <c r="A410" i="3"/>
  <c r="H409" i="3"/>
  <c r="G409" i="3"/>
  <c r="E409" i="3"/>
  <c r="D409" i="3"/>
  <c r="A409" i="3"/>
  <c r="H408" i="3"/>
  <c r="G408" i="3"/>
  <c r="E408" i="3"/>
  <c r="D408" i="3"/>
  <c r="A408" i="3"/>
  <c r="H407" i="3"/>
  <c r="G407" i="3"/>
  <c r="E407" i="3"/>
  <c r="D407" i="3"/>
  <c r="A407" i="3"/>
  <c r="H406" i="3"/>
  <c r="G406" i="3"/>
  <c r="E406" i="3"/>
  <c r="D406" i="3"/>
  <c r="A406" i="3"/>
  <c r="H405" i="3"/>
  <c r="G405" i="3"/>
  <c r="E405" i="3"/>
  <c r="D405" i="3"/>
  <c r="A405" i="3"/>
  <c r="H404" i="3"/>
  <c r="G404" i="3"/>
  <c r="E404" i="3"/>
  <c r="D404" i="3"/>
  <c r="A404" i="3"/>
  <c r="H403" i="3"/>
  <c r="G403" i="3"/>
  <c r="E403" i="3"/>
  <c r="D403" i="3"/>
  <c r="A403" i="3"/>
  <c r="H402" i="3"/>
  <c r="G402" i="3"/>
  <c r="E402" i="3"/>
  <c r="D402" i="3"/>
  <c r="A402" i="3"/>
  <c r="H401" i="3"/>
  <c r="G401" i="3"/>
  <c r="E401" i="3"/>
  <c r="D401" i="3"/>
  <c r="A401" i="3"/>
  <c r="A372" i="3"/>
  <c r="D372" i="3"/>
  <c r="E372" i="3"/>
  <c r="G372" i="3"/>
  <c r="H372" i="3"/>
  <c r="A373" i="3"/>
  <c r="D373" i="3"/>
  <c r="E373" i="3"/>
  <c r="G373" i="3"/>
  <c r="H373" i="3"/>
  <c r="A374" i="3"/>
  <c r="D374" i="3"/>
  <c r="E374" i="3"/>
  <c r="G374" i="3"/>
  <c r="H374" i="3"/>
  <c r="A375" i="3"/>
  <c r="D375" i="3"/>
  <c r="E375" i="3"/>
  <c r="G375" i="3"/>
  <c r="H375" i="3"/>
  <c r="A376" i="3"/>
  <c r="D376" i="3"/>
  <c r="E376" i="3"/>
  <c r="G376" i="3"/>
  <c r="H376" i="3"/>
  <c r="A396" i="3"/>
  <c r="D396" i="3"/>
  <c r="E396" i="3"/>
  <c r="G396" i="3"/>
  <c r="H396" i="3"/>
  <c r="A397" i="3"/>
  <c r="D397" i="3"/>
  <c r="E397" i="3"/>
  <c r="G397" i="3"/>
  <c r="H397" i="3"/>
  <c r="A398" i="3"/>
  <c r="D398" i="3"/>
  <c r="E398" i="3"/>
  <c r="G398" i="3"/>
  <c r="H398" i="3"/>
  <c r="A399" i="3"/>
  <c r="D399" i="3"/>
  <c r="E399" i="3"/>
  <c r="G399" i="3"/>
  <c r="H399" i="3"/>
  <c r="A400" i="3"/>
  <c r="D400" i="3"/>
  <c r="E400" i="3"/>
  <c r="G400" i="3"/>
  <c r="H400" i="3"/>
  <c r="H395" i="3"/>
  <c r="G395" i="3"/>
  <c r="E395" i="3"/>
  <c r="D395" i="3"/>
  <c r="A395" i="3"/>
  <c r="H394" i="3"/>
  <c r="G394" i="3"/>
  <c r="E394" i="3"/>
  <c r="D394" i="3"/>
  <c r="A394" i="3"/>
  <c r="H393" i="3"/>
  <c r="G393" i="3"/>
  <c r="E393" i="3"/>
  <c r="D393" i="3"/>
  <c r="A393" i="3"/>
  <c r="H392" i="3"/>
  <c r="G392" i="3"/>
  <c r="E392" i="3"/>
  <c r="D392" i="3"/>
  <c r="A392" i="3"/>
  <c r="H391" i="3"/>
  <c r="G391" i="3"/>
  <c r="E391" i="3"/>
  <c r="D391" i="3"/>
  <c r="A391" i="3"/>
  <c r="H390" i="3"/>
  <c r="G390" i="3"/>
  <c r="E390" i="3"/>
  <c r="D390" i="3"/>
  <c r="A390" i="3"/>
  <c r="H389" i="3"/>
  <c r="G389" i="3"/>
  <c r="E389" i="3"/>
  <c r="D389" i="3"/>
  <c r="A389" i="3"/>
  <c r="H388" i="3"/>
  <c r="G388" i="3"/>
  <c r="E388" i="3"/>
  <c r="D388" i="3"/>
  <c r="A388" i="3"/>
  <c r="H387" i="3"/>
  <c r="G387" i="3"/>
  <c r="E387" i="3"/>
  <c r="D387" i="3"/>
  <c r="A387" i="3"/>
  <c r="H386" i="3"/>
  <c r="G386" i="3"/>
  <c r="E386" i="3"/>
  <c r="D386" i="3"/>
  <c r="A386" i="3"/>
  <c r="H385" i="3"/>
  <c r="G385" i="3"/>
  <c r="E385" i="3"/>
  <c r="D385" i="3"/>
  <c r="A385" i="3"/>
  <c r="H384" i="3"/>
  <c r="G384" i="3"/>
  <c r="E384" i="3"/>
  <c r="D384" i="3"/>
  <c r="A384" i="3"/>
  <c r="H383" i="3"/>
  <c r="G383" i="3"/>
  <c r="E383" i="3"/>
  <c r="D383" i="3"/>
  <c r="A383" i="3"/>
  <c r="H382" i="3"/>
  <c r="G382" i="3"/>
  <c r="E382" i="3"/>
  <c r="D382" i="3"/>
  <c r="A382" i="3"/>
  <c r="H381" i="3"/>
  <c r="G381" i="3"/>
  <c r="E381" i="3"/>
  <c r="D381" i="3"/>
  <c r="A381" i="3"/>
  <c r="H380" i="3"/>
  <c r="G380" i="3"/>
  <c r="E380" i="3"/>
  <c r="D380" i="3"/>
  <c r="A380" i="3"/>
  <c r="H379" i="3"/>
  <c r="G379" i="3"/>
  <c r="E379" i="3"/>
  <c r="D379" i="3"/>
  <c r="A379" i="3"/>
  <c r="H378" i="3"/>
  <c r="G378" i="3"/>
  <c r="E378" i="3"/>
  <c r="D378" i="3"/>
  <c r="A378" i="3"/>
  <c r="H377" i="3"/>
  <c r="G377" i="3"/>
  <c r="E377" i="3"/>
  <c r="D377" i="3"/>
  <c r="A377" i="3"/>
  <c r="A371" i="3"/>
  <c r="D371" i="3"/>
  <c r="E371" i="3"/>
  <c r="G371" i="3"/>
  <c r="H371" i="3"/>
  <c r="H370" i="3"/>
  <c r="G370" i="3"/>
  <c r="E370" i="3"/>
  <c r="D370" i="3"/>
  <c r="A370" i="3"/>
  <c r="H369" i="3"/>
  <c r="G369" i="3"/>
  <c r="E369" i="3"/>
  <c r="D369" i="3"/>
  <c r="A369" i="3"/>
  <c r="H368" i="3"/>
  <c r="G368" i="3"/>
  <c r="E368" i="3"/>
  <c r="D368" i="3"/>
  <c r="A368" i="3"/>
  <c r="H367" i="3"/>
  <c r="G367" i="3"/>
  <c r="E367" i="3"/>
  <c r="D367" i="3"/>
  <c r="A367" i="3"/>
  <c r="H366" i="3"/>
  <c r="G366" i="3"/>
  <c r="E366" i="3"/>
  <c r="D366" i="3"/>
  <c r="A366" i="3"/>
  <c r="H365" i="3"/>
  <c r="G365" i="3"/>
  <c r="E365" i="3"/>
  <c r="D365" i="3"/>
  <c r="A365" i="3"/>
  <c r="H364" i="3"/>
  <c r="G364" i="3"/>
  <c r="E364" i="3"/>
  <c r="D364" i="3"/>
  <c r="A364" i="3"/>
  <c r="H363" i="3"/>
  <c r="G363" i="3"/>
  <c r="E363" i="3"/>
  <c r="D363" i="3"/>
  <c r="A363" i="3"/>
  <c r="H362" i="3"/>
  <c r="G362" i="3"/>
  <c r="E362" i="3"/>
  <c r="D362" i="3"/>
  <c r="A362" i="3"/>
  <c r="H361" i="3"/>
  <c r="G361" i="3"/>
  <c r="E361" i="3"/>
  <c r="D361" i="3"/>
  <c r="A361" i="3"/>
  <c r="H360" i="3"/>
  <c r="G360" i="3"/>
  <c r="E360" i="3"/>
  <c r="D360" i="3"/>
  <c r="A360" i="3"/>
  <c r="H359" i="3"/>
  <c r="G359" i="3"/>
  <c r="E359" i="3"/>
  <c r="D359" i="3"/>
  <c r="A359" i="3"/>
  <c r="H358" i="3"/>
  <c r="G358" i="3"/>
  <c r="E358" i="3"/>
  <c r="D358" i="3"/>
  <c r="A358" i="3"/>
  <c r="H357" i="3"/>
  <c r="G357" i="3"/>
  <c r="E357" i="3"/>
  <c r="D357" i="3"/>
  <c r="A357" i="3"/>
  <c r="H356" i="3"/>
  <c r="G356" i="3"/>
  <c r="E356" i="3"/>
  <c r="D356" i="3"/>
  <c r="A356" i="3"/>
  <c r="H355" i="3"/>
  <c r="G355" i="3"/>
  <c r="E355" i="3"/>
  <c r="D355" i="3"/>
  <c r="A355" i="3"/>
  <c r="H354" i="3"/>
  <c r="G354" i="3"/>
  <c r="E354" i="3"/>
  <c r="D354" i="3"/>
  <c r="A354" i="3"/>
  <c r="H353" i="3"/>
  <c r="G353" i="3"/>
  <c r="E353" i="3"/>
  <c r="D353" i="3"/>
  <c r="A353" i="3"/>
  <c r="H352" i="3"/>
  <c r="G352" i="3"/>
  <c r="E352" i="3"/>
  <c r="D352" i="3"/>
  <c r="A352" i="3"/>
  <c r="H351" i="3"/>
  <c r="G351" i="3"/>
  <c r="E351" i="3"/>
  <c r="D351" i="3"/>
  <c r="A351" i="3"/>
  <c r="H350" i="3"/>
  <c r="G350" i="3"/>
  <c r="E350" i="3"/>
  <c r="D350" i="3"/>
  <c r="A350" i="3"/>
  <c r="H349" i="3"/>
  <c r="G349" i="3"/>
  <c r="E349" i="3"/>
  <c r="D349" i="3"/>
  <c r="A349" i="3"/>
  <c r="A348" i="3"/>
  <c r="D348" i="3"/>
  <c r="E348" i="3"/>
  <c r="G348" i="3"/>
  <c r="H348" i="3"/>
  <c r="D328" i="3"/>
  <c r="E328" i="3"/>
  <c r="D329" i="3"/>
  <c r="E329" i="3"/>
  <c r="D330" i="3"/>
  <c r="E330" i="3"/>
  <c r="D331" i="3"/>
  <c r="E331" i="3"/>
  <c r="D332" i="3"/>
  <c r="E332" i="3"/>
  <c r="D333" i="3"/>
  <c r="E333" i="3"/>
  <c r="D334" i="3"/>
  <c r="E334" i="3"/>
  <c r="D335" i="3"/>
  <c r="E335" i="3"/>
  <c r="D336" i="3"/>
  <c r="E336" i="3"/>
  <c r="D337" i="3"/>
  <c r="E337" i="3"/>
  <c r="D338" i="3"/>
  <c r="E338" i="3"/>
  <c r="D339" i="3"/>
  <c r="E339" i="3"/>
  <c r="D340" i="3"/>
  <c r="E340" i="3"/>
  <c r="D341" i="3"/>
  <c r="E341" i="3"/>
  <c r="D342" i="3"/>
  <c r="E342" i="3"/>
  <c r="D343" i="3"/>
  <c r="E343" i="3"/>
  <c r="D344" i="3"/>
  <c r="E344" i="3"/>
  <c r="D345" i="3"/>
  <c r="E345" i="3"/>
  <c r="D346" i="3"/>
  <c r="E346" i="3"/>
  <c r="D347" i="3"/>
  <c r="E347" i="3"/>
  <c r="H347" i="3"/>
  <c r="G347" i="3"/>
  <c r="A347" i="3"/>
  <c r="H346" i="3"/>
  <c r="G346" i="3"/>
  <c r="A346" i="3"/>
  <c r="H345" i="3"/>
  <c r="G345" i="3"/>
  <c r="A345" i="3"/>
  <c r="H344" i="3"/>
  <c r="G344" i="3"/>
  <c r="A344" i="3"/>
  <c r="H343" i="3"/>
  <c r="G343" i="3"/>
  <c r="A343" i="3"/>
  <c r="H342" i="3"/>
  <c r="G342" i="3"/>
  <c r="A342" i="3"/>
  <c r="H341" i="3"/>
  <c r="G341" i="3"/>
  <c r="A341" i="3"/>
  <c r="H340" i="3"/>
  <c r="G340" i="3"/>
  <c r="A340" i="3"/>
  <c r="H339" i="3"/>
  <c r="G339" i="3"/>
  <c r="A339" i="3"/>
  <c r="H338" i="3"/>
  <c r="G338" i="3"/>
  <c r="A338" i="3"/>
  <c r="H337" i="3"/>
  <c r="G337" i="3"/>
  <c r="A337" i="3"/>
  <c r="H336" i="3"/>
  <c r="G336" i="3"/>
  <c r="A336" i="3"/>
  <c r="H335" i="3"/>
  <c r="G335" i="3"/>
  <c r="A335" i="3"/>
  <c r="H334" i="3"/>
  <c r="G334" i="3"/>
  <c r="A334" i="3"/>
  <c r="H333" i="3"/>
  <c r="G333" i="3"/>
  <c r="A333" i="3"/>
  <c r="H332" i="3"/>
  <c r="G332" i="3"/>
  <c r="A332" i="3"/>
  <c r="H331" i="3"/>
  <c r="G331" i="3"/>
  <c r="A331" i="3"/>
  <c r="H330" i="3"/>
  <c r="G330" i="3"/>
  <c r="A330" i="3"/>
  <c r="H329" i="3"/>
  <c r="G329" i="3"/>
  <c r="A329" i="3"/>
  <c r="H328" i="3"/>
  <c r="G328" i="3"/>
  <c r="A328" i="3"/>
  <c r="H327" i="3"/>
  <c r="G327" i="3"/>
  <c r="E327" i="3"/>
  <c r="D327" i="3"/>
  <c r="A327" i="3"/>
  <c r="A326" i="3"/>
  <c r="D326" i="3"/>
  <c r="E326" i="3"/>
  <c r="G326" i="3"/>
  <c r="H326" i="3"/>
  <c r="H325" i="3"/>
  <c r="G325" i="3"/>
  <c r="E325" i="3"/>
  <c r="D325" i="3"/>
  <c r="A325" i="3"/>
  <c r="H324" i="3"/>
  <c r="G324" i="3"/>
  <c r="E324" i="3"/>
  <c r="D324" i="3"/>
  <c r="A324" i="3"/>
  <c r="H323" i="3"/>
  <c r="G323" i="3"/>
  <c r="E323" i="3"/>
  <c r="D323" i="3"/>
  <c r="A323" i="3"/>
  <c r="H322" i="3"/>
  <c r="G322" i="3"/>
  <c r="E322" i="3"/>
  <c r="D322" i="3"/>
  <c r="A322" i="3"/>
  <c r="H321" i="3"/>
  <c r="G321" i="3"/>
  <c r="E321" i="3"/>
  <c r="D321" i="3"/>
  <c r="A321" i="3"/>
  <c r="H320" i="3"/>
  <c r="G320" i="3"/>
  <c r="E320" i="3"/>
  <c r="D320" i="3"/>
  <c r="A320" i="3"/>
  <c r="H319" i="3"/>
  <c r="G319" i="3"/>
  <c r="E319" i="3"/>
  <c r="D319" i="3"/>
  <c r="A319" i="3"/>
  <c r="H318" i="3"/>
  <c r="G318" i="3"/>
  <c r="E318" i="3"/>
  <c r="D318" i="3"/>
  <c r="A318" i="3"/>
  <c r="H317" i="3"/>
  <c r="G317" i="3"/>
  <c r="E317" i="3"/>
  <c r="D317" i="3"/>
  <c r="A317" i="3"/>
  <c r="H316" i="3"/>
  <c r="G316" i="3"/>
  <c r="E316" i="3"/>
  <c r="D316" i="3"/>
  <c r="A316" i="3"/>
  <c r="H315" i="3"/>
  <c r="G315" i="3"/>
  <c r="E315" i="3"/>
  <c r="D315" i="3"/>
  <c r="A315" i="3"/>
  <c r="H314" i="3"/>
  <c r="G314" i="3"/>
  <c r="E314" i="3"/>
  <c r="D314" i="3"/>
  <c r="A314" i="3"/>
  <c r="H313" i="3"/>
  <c r="G313" i="3"/>
  <c r="E313" i="3"/>
  <c r="D313" i="3"/>
  <c r="A313" i="3"/>
  <c r="H312" i="3"/>
  <c r="G312" i="3"/>
  <c r="E312" i="3"/>
  <c r="D312" i="3"/>
  <c r="A312" i="3"/>
  <c r="H311" i="3"/>
  <c r="G311" i="3"/>
  <c r="E311" i="3"/>
  <c r="D311" i="3"/>
  <c r="A311" i="3"/>
  <c r="H310" i="3"/>
  <c r="G310" i="3"/>
  <c r="E310" i="3"/>
  <c r="D310" i="3"/>
  <c r="A310" i="3"/>
  <c r="H309" i="3"/>
  <c r="G309" i="3"/>
  <c r="E309" i="3"/>
  <c r="D309" i="3"/>
  <c r="A309" i="3"/>
  <c r="H308" i="3"/>
  <c r="G308" i="3"/>
  <c r="E308" i="3"/>
  <c r="D308" i="3"/>
  <c r="A308" i="3"/>
  <c r="H307" i="3"/>
  <c r="G307" i="3"/>
  <c r="E307" i="3"/>
  <c r="D307" i="3"/>
  <c r="A307" i="3"/>
  <c r="H306" i="3"/>
  <c r="G306" i="3"/>
  <c r="E306" i="3"/>
  <c r="D306" i="3"/>
  <c r="A306" i="3"/>
  <c r="A305" i="3"/>
  <c r="H305" i="3"/>
  <c r="G305" i="3"/>
  <c r="E305" i="3"/>
  <c r="D305" i="3"/>
  <c r="H304" i="3"/>
  <c r="G304" i="3"/>
  <c r="E304" i="3"/>
  <c r="D304" i="3"/>
  <c r="A304" i="3"/>
  <c r="H303" i="3"/>
  <c r="G303" i="3"/>
  <c r="E303" i="3"/>
  <c r="D303" i="3"/>
  <c r="A303" i="3"/>
  <c r="H302" i="3"/>
  <c r="G302" i="3"/>
  <c r="E302" i="3"/>
  <c r="D302" i="3"/>
  <c r="A302" i="3"/>
  <c r="H301" i="3"/>
  <c r="G301" i="3"/>
  <c r="E301" i="3"/>
  <c r="D301" i="3"/>
  <c r="A301" i="3"/>
  <c r="H300" i="3"/>
  <c r="G300" i="3"/>
  <c r="E300" i="3"/>
  <c r="D300" i="3"/>
  <c r="A300" i="3"/>
  <c r="H299" i="3"/>
  <c r="G299" i="3"/>
  <c r="E299" i="3"/>
  <c r="D299" i="3"/>
  <c r="A299" i="3"/>
  <c r="H298" i="3"/>
  <c r="G298" i="3"/>
  <c r="E298" i="3"/>
  <c r="D298" i="3"/>
  <c r="A298" i="3"/>
  <c r="H297" i="3"/>
  <c r="G297" i="3"/>
  <c r="E297" i="3"/>
  <c r="D297" i="3"/>
  <c r="A297" i="3"/>
  <c r="H296" i="3"/>
  <c r="G296" i="3"/>
  <c r="E296" i="3"/>
  <c r="D296" i="3"/>
  <c r="A296" i="3"/>
  <c r="H295" i="3"/>
  <c r="G295" i="3"/>
  <c r="E295" i="3"/>
  <c r="D295" i="3"/>
  <c r="A295" i="3"/>
  <c r="H294" i="3"/>
  <c r="G294" i="3"/>
  <c r="E294" i="3"/>
  <c r="D294" i="3"/>
  <c r="A294" i="3"/>
  <c r="H293" i="3"/>
  <c r="G293" i="3"/>
  <c r="E293" i="3"/>
  <c r="D293" i="3"/>
  <c r="A293" i="3"/>
  <c r="H292" i="3"/>
  <c r="G292" i="3"/>
  <c r="E292" i="3"/>
  <c r="D292" i="3"/>
  <c r="A292" i="3"/>
  <c r="H291" i="3"/>
  <c r="G291" i="3"/>
  <c r="E291" i="3"/>
  <c r="D291" i="3"/>
  <c r="A291" i="3"/>
  <c r="H290" i="3"/>
  <c r="G290" i="3"/>
  <c r="E290" i="3"/>
  <c r="D290" i="3"/>
  <c r="A290" i="3"/>
  <c r="H289" i="3"/>
  <c r="G289" i="3"/>
  <c r="E289" i="3"/>
  <c r="D289" i="3"/>
  <c r="A289" i="3"/>
  <c r="H288" i="3"/>
  <c r="G288" i="3"/>
  <c r="E288" i="3"/>
  <c r="D288" i="3"/>
  <c r="A288" i="3"/>
  <c r="H287" i="3"/>
  <c r="G287" i="3"/>
  <c r="E287" i="3"/>
  <c r="D287" i="3"/>
  <c r="A287" i="3"/>
  <c r="H286" i="3"/>
  <c r="G286" i="3"/>
  <c r="E286" i="3"/>
  <c r="D286" i="3"/>
  <c r="A286" i="3"/>
  <c r="H285" i="3"/>
  <c r="G285" i="3"/>
  <c r="E285" i="3"/>
  <c r="D285" i="3"/>
  <c r="A285" i="3"/>
  <c r="H284" i="3"/>
  <c r="G284" i="3"/>
  <c r="E284" i="3"/>
  <c r="D284" i="3"/>
  <c r="A284" i="3"/>
  <c r="H283" i="3"/>
  <c r="G283" i="3"/>
  <c r="E283" i="3"/>
  <c r="D283" i="3"/>
  <c r="A283" i="3"/>
  <c r="H282" i="3"/>
  <c r="G282" i="3"/>
  <c r="E282" i="3"/>
  <c r="D282" i="3"/>
  <c r="A282" i="3"/>
  <c r="H281" i="3"/>
  <c r="G281" i="3"/>
  <c r="E281" i="3"/>
  <c r="D281" i="3"/>
  <c r="A281" i="3"/>
  <c r="H280" i="3"/>
  <c r="G280" i="3"/>
  <c r="E280" i="3"/>
  <c r="D280" i="3"/>
  <c r="A280" i="3"/>
  <c r="H279" i="3"/>
  <c r="G279" i="3"/>
  <c r="E279" i="3"/>
  <c r="D279" i="3"/>
  <c r="A279" i="3"/>
  <c r="H278" i="3"/>
  <c r="G278" i="3"/>
  <c r="E278" i="3"/>
  <c r="D278" i="3"/>
  <c r="A278" i="3"/>
  <c r="H277" i="3"/>
  <c r="G277" i="3"/>
  <c r="E277" i="3"/>
  <c r="D277" i="3"/>
  <c r="A277" i="3"/>
  <c r="H276" i="3"/>
  <c r="G276" i="3"/>
  <c r="E276" i="3"/>
  <c r="D276" i="3"/>
  <c r="A276" i="3"/>
  <c r="H275" i="3"/>
  <c r="G275" i="3"/>
  <c r="E275" i="3"/>
  <c r="D275" i="3"/>
  <c r="A275" i="3"/>
  <c r="H274" i="3"/>
  <c r="G274" i="3"/>
  <c r="E274" i="3"/>
  <c r="D274" i="3"/>
  <c r="A274" i="3"/>
  <c r="H273" i="3"/>
  <c r="G273" i="3"/>
  <c r="E273" i="3"/>
  <c r="D273" i="3"/>
  <c r="A273" i="3"/>
  <c r="H272" i="3"/>
  <c r="G272" i="3"/>
  <c r="E272" i="3"/>
  <c r="D272" i="3"/>
  <c r="A272" i="3"/>
  <c r="H271" i="3"/>
  <c r="G271" i="3"/>
  <c r="E271" i="3"/>
  <c r="D271" i="3"/>
  <c r="A271" i="3"/>
  <c r="H270" i="3"/>
  <c r="G270" i="3"/>
  <c r="E270" i="3"/>
  <c r="D270" i="3"/>
  <c r="A270" i="3"/>
  <c r="H269" i="3"/>
  <c r="G269" i="3"/>
  <c r="E269" i="3"/>
  <c r="D269" i="3"/>
  <c r="A269" i="3"/>
  <c r="H268" i="3"/>
  <c r="G268" i="3"/>
  <c r="E268" i="3"/>
  <c r="D268" i="3"/>
  <c r="A268" i="3"/>
  <c r="H267" i="3"/>
  <c r="G267" i="3"/>
  <c r="E267" i="3"/>
  <c r="D267" i="3"/>
  <c r="A267" i="3"/>
  <c r="H266" i="3"/>
  <c r="G266" i="3"/>
  <c r="E266" i="3"/>
  <c r="D266" i="3"/>
  <c r="A266" i="3"/>
  <c r="A265" i="3"/>
  <c r="D265" i="3"/>
  <c r="E265" i="3"/>
  <c r="G265" i="3"/>
  <c r="H265" i="3"/>
  <c r="H264" i="3"/>
  <c r="G264" i="3"/>
  <c r="E264" i="3"/>
  <c r="D264" i="3"/>
  <c r="A264" i="3"/>
  <c r="H263" i="3"/>
  <c r="G263" i="3"/>
  <c r="E263" i="3"/>
  <c r="D263" i="3"/>
  <c r="A263" i="3"/>
  <c r="H262" i="3"/>
  <c r="G262" i="3"/>
  <c r="E262" i="3"/>
  <c r="D262" i="3"/>
  <c r="A262" i="3"/>
  <c r="H261" i="3"/>
  <c r="G261" i="3"/>
  <c r="E261" i="3"/>
  <c r="D261" i="3"/>
  <c r="A261" i="3"/>
  <c r="H260" i="3"/>
  <c r="G260" i="3"/>
  <c r="E260" i="3"/>
  <c r="D260" i="3"/>
  <c r="A260" i="3"/>
  <c r="H259" i="3"/>
  <c r="G259" i="3"/>
  <c r="E259" i="3"/>
  <c r="D259" i="3"/>
  <c r="A259" i="3"/>
  <c r="H258" i="3"/>
  <c r="G258" i="3"/>
  <c r="E258" i="3"/>
  <c r="D258" i="3"/>
  <c r="A258" i="3"/>
  <c r="H257" i="3"/>
  <c r="G257" i="3"/>
  <c r="E257" i="3"/>
  <c r="D257" i="3"/>
  <c r="A257" i="3"/>
  <c r="H256" i="3"/>
  <c r="G256" i="3"/>
  <c r="E256" i="3"/>
  <c r="D256" i="3"/>
  <c r="A256" i="3"/>
  <c r="H255" i="3"/>
  <c r="G255" i="3"/>
  <c r="E255" i="3"/>
  <c r="D255" i="3"/>
  <c r="A255" i="3"/>
  <c r="H254" i="3"/>
  <c r="G254" i="3"/>
  <c r="E254" i="3"/>
  <c r="D254" i="3"/>
  <c r="A254" i="3"/>
  <c r="H253" i="3"/>
  <c r="G253" i="3"/>
  <c r="E253" i="3"/>
  <c r="D253" i="3"/>
  <c r="A253" i="3"/>
  <c r="H252" i="3"/>
  <c r="G252" i="3"/>
  <c r="E252" i="3"/>
  <c r="D252" i="3"/>
  <c r="A252" i="3"/>
  <c r="H251" i="3"/>
  <c r="G251" i="3"/>
  <c r="E251" i="3"/>
  <c r="D251" i="3"/>
  <c r="A251" i="3"/>
  <c r="H250" i="3"/>
  <c r="G250" i="3"/>
  <c r="E250" i="3"/>
  <c r="D250" i="3"/>
  <c r="A250" i="3"/>
  <c r="H249" i="3"/>
  <c r="G249" i="3"/>
  <c r="E249" i="3"/>
  <c r="D249" i="3"/>
  <c r="A249" i="3"/>
  <c r="H248" i="3"/>
  <c r="G248" i="3"/>
  <c r="E248" i="3"/>
  <c r="D248" i="3"/>
  <c r="A248" i="3"/>
  <c r="H247" i="3"/>
  <c r="G247" i="3"/>
  <c r="E247" i="3"/>
  <c r="D247" i="3"/>
  <c r="A247" i="3"/>
  <c r="H246" i="3"/>
  <c r="G246" i="3"/>
  <c r="E246" i="3"/>
  <c r="D246" i="3"/>
  <c r="A246" i="3"/>
  <c r="A245" i="3"/>
  <c r="D245" i="3"/>
  <c r="E245" i="3"/>
  <c r="G245" i="3"/>
  <c r="H245" i="3"/>
  <c r="H244" i="3"/>
  <c r="G244" i="3"/>
  <c r="E244" i="3"/>
  <c r="D244" i="3"/>
  <c r="A244" i="3"/>
  <c r="H243" i="3"/>
  <c r="G243" i="3"/>
  <c r="E243" i="3"/>
  <c r="D243" i="3"/>
  <c r="A243" i="3"/>
  <c r="H242" i="3"/>
  <c r="G242" i="3"/>
  <c r="E242" i="3"/>
  <c r="D242" i="3"/>
  <c r="A242" i="3"/>
  <c r="H241" i="3"/>
  <c r="G241" i="3"/>
  <c r="E241" i="3"/>
  <c r="D241" i="3"/>
  <c r="A241" i="3"/>
  <c r="H240" i="3"/>
  <c r="G240" i="3"/>
  <c r="E240" i="3"/>
  <c r="D240" i="3"/>
  <c r="A240" i="3"/>
  <c r="H239" i="3"/>
  <c r="G239" i="3"/>
  <c r="E239" i="3"/>
  <c r="D239" i="3"/>
  <c r="A239" i="3"/>
  <c r="H238" i="3"/>
  <c r="G238" i="3"/>
  <c r="E238" i="3"/>
  <c r="D238" i="3"/>
  <c r="A238" i="3"/>
  <c r="H237" i="3"/>
  <c r="G237" i="3"/>
  <c r="E237" i="3"/>
  <c r="D237" i="3"/>
  <c r="A237" i="3"/>
  <c r="H236" i="3"/>
  <c r="G236" i="3"/>
  <c r="E236" i="3"/>
  <c r="D236" i="3"/>
  <c r="A236" i="3"/>
  <c r="H235" i="3"/>
  <c r="G235" i="3"/>
  <c r="E235" i="3"/>
  <c r="D235" i="3"/>
  <c r="A235" i="3"/>
  <c r="H234" i="3"/>
  <c r="G234" i="3"/>
  <c r="E234" i="3"/>
  <c r="D234" i="3"/>
  <c r="A234" i="3"/>
  <c r="H233" i="3"/>
  <c r="G233" i="3"/>
  <c r="E233" i="3"/>
  <c r="D233" i="3"/>
  <c r="A233" i="3"/>
  <c r="H232" i="3"/>
  <c r="G232" i="3"/>
  <c r="E232" i="3"/>
  <c r="D232" i="3"/>
  <c r="A232" i="3"/>
  <c r="H231" i="3"/>
  <c r="G231" i="3"/>
  <c r="E231" i="3"/>
  <c r="D231" i="3"/>
  <c r="A231" i="3"/>
  <c r="H230" i="3"/>
  <c r="G230" i="3"/>
  <c r="E230" i="3"/>
  <c r="D230" i="3"/>
  <c r="A230" i="3"/>
  <c r="H229" i="3"/>
  <c r="G229" i="3"/>
  <c r="E229" i="3"/>
  <c r="D229" i="3"/>
  <c r="A229" i="3"/>
  <c r="H228" i="3"/>
  <c r="G228" i="3"/>
  <c r="E228" i="3"/>
  <c r="D228" i="3"/>
  <c r="A228" i="3"/>
  <c r="H227" i="3"/>
  <c r="G227" i="3"/>
  <c r="E227" i="3"/>
  <c r="D227" i="3"/>
  <c r="A227" i="3"/>
  <c r="A226" i="3"/>
  <c r="D226" i="3"/>
  <c r="E226" i="3"/>
  <c r="G226" i="3"/>
  <c r="H226" i="3"/>
  <c r="D210" i="3"/>
  <c r="E210" i="3"/>
  <c r="D211" i="3"/>
  <c r="E211" i="3"/>
  <c r="D212" i="3"/>
  <c r="E212" i="3"/>
  <c r="D213" i="3"/>
  <c r="E213" i="3"/>
  <c r="D214" i="3"/>
  <c r="E214" i="3"/>
  <c r="D215" i="3"/>
  <c r="E215" i="3"/>
  <c r="D216" i="3"/>
  <c r="E216" i="3"/>
  <c r="D217" i="3"/>
  <c r="E217" i="3"/>
  <c r="D218" i="3"/>
  <c r="E218" i="3"/>
  <c r="D219" i="3"/>
  <c r="E219" i="3"/>
  <c r="D220" i="3"/>
  <c r="E220" i="3"/>
  <c r="D221" i="3"/>
  <c r="E221" i="3"/>
  <c r="D222" i="3"/>
  <c r="E222" i="3"/>
  <c r="D223" i="3"/>
  <c r="E223" i="3"/>
  <c r="D224" i="3"/>
  <c r="E224" i="3"/>
  <c r="D225" i="3"/>
  <c r="E225" i="3"/>
  <c r="H225" i="3"/>
  <c r="G225" i="3"/>
  <c r="A225" i="3"/>
  <c r="H224" i="3"/>
  <c r="G224" i="3"/>
  <c r="A224" i="3"/>
  <c r="H223" i="3"/>
  <c r="G223" i="3"/>
  <c r="A223" i="3"/>
  <c r="H222" i="3"/>
  <c r="G222" i="3"/>
  <c r="A222" i="3"/>
  <c r="H221" i="3"/>
  <c r="G221" i="3"/>
  <c r="A221" i="3"/>
  <c r="H220" i="3"/>
  <c r="G220" i="3"/>
  <c r="A220" i="3"/>
  <c r="H219" i="3"/>
  <c r="G219" i="3"/>
  <c r="A219" i="3"/>
  <c r="H218" i="3"/>
  <c r="G218" i="3"/>
  <c r="A218" i="3"/>
  <c r="H217" i="3"/>
  <c r="G217" i="3"/>
  <c r="A217" i="3"/>
  <c r="H216" i="3"/>
  <c r="G216" i="3"/>
  <c r="A216" i="3"/>
  <c r="H215" i="3"/>
  <c r="G215" i="3"/>
  <c r="A215" i="3"/>
  <c r="H214" i="3"/>
  <c r="G214" i="3"/>
  <c r="A214" i="3"/>
  <c r="H213" i="3"/>
  <c r="G213" i="3"/>
  <c r="A213" i="3"/>
  <c r="H212" i="3"/>
  <c r="G212" i="3"/>
  <c r="A212" i="3"/>
  <c r="H211" i="3"/>
  <c r="G211" i="3"/>
  <c r="A211" i="3"/>
  <c r="H210" i="3"/>
  <c r="G210" i="3"/>
  <c r="A210" i="3"/>
  <c r="H209" i="3"/>
  <c r="G209" i="3"/>
  <c r="E209" i="3"/>
  <c r="D209" i="3"/>
  <c r="A209" i="3"/>
  <c r="A208" i="3"/>
  <c r="D208" i="3"/>
  <c r="E208" i="3"/>
  <c r="G208" i="3"/>
  <c r="H208" i="3"/>
  <c r="H207" i="3"/>
  <c r="G207" i="3"/>
  <c r="E207" i="3"/>
  <c r="D207" i="3"/>
  <c r="A207" i="3"/>
  <c r="H206" i="3"/>
  <c r="G206" i="3"/>
  <c r="E206" i="3"/>
  <c r="D206" i="3"/>
  <c r="A206" i="3"/>
  <c r="H205" i="3"/>
  <c r="G205" i="3"/>
  <c r="E205" i="3"/>
  <c r="D205" i="3"/>
  <c r="A205" i="3"/>
  <c r="H204" i="3"/>
  <c r="G204" i="3"/>
  <c r="E204" i="3"/>
  <c r="D204" i="3"/>
  <c r="A204" i="3"/>
  <c r="H203" i="3"/>
  <c r="G203" i="3"/>
  <c r="E203" i="3"/>
  <c r="D203" i="3"/>
  <c r="A203" i="3"/>
  <c r="H202" i="3"/>
  <c r="G202" i="3"/>
  <c r="E202" i="3"/>
  <c r="D202" i="3"/>
  <c r="A202" i="3"/>
  <c r="H201" i="3"/>
  <c r="G201" i="3"/>
  <c r="E201" i="3"/>
  <c r="D201" i="3"/>
  <c r="A201" i="3"/>
  <c r="H200" i="3"/>
  <c r="G200" i="3"/>
  <c r="E200" i="3"/>
  <c r="D200" i="3"/>
  <c r="A200" i="3"/>
  <c r="H199" i="3"/>
  <c r="G199" i="3"/>
  <c r="E199" i="3"/>
  <c r="D199" i="3"/>
  <c r="A199" i="3"/>
  <c r="H198" i="3"/>
  <c r="G198" i="3"/>
  <c r="E198" i="3"/>
  <c r="D198" i="3"/>
  <c r="A198" i="3"/>
  <c r="H197" i="3"/>
  <c r="G197" i="3"/>
  <c r="E197" i="3"/>
  <c r="D197" i="3"/>
  <c r="A197" i="3"/>
  <c r="H196" i="3"/>
  <c r="G196" i="3"/>
  <c r="E196" i="3"/>
  <c r="D196" i="3"/>
  <c r="A196" i="3"/>
  <c r="H195" i="3"/>
  <c r="G195" i="3"/>
  <c r="E195" i="3"/>
  <c r="D195" i="3"/>
  <c r="A195" i="3"/>
  <c r="H194" i="3"/>
  <c r="G194" i="3"/>
  <c r="E194" i="3"/>
  <c r="D194" i="3"/>
  <c r="A194" i="3"/>
  <c r="H193" i="3"/>
  <c r="G193" i="3"/>
  <c r="E193" i="3"/>
  <c r="D193" i="3"/>
  <c r="A193" i="3"/>
  <c r="H192" i="3"/>
  <c r="G192" i="3"/>
  <c r="E192" i="3"/>
  <c r="D192" i="3"/>
  <c r="A192" i="3"/>
  <c r="H176" i="3"/>
  <c r="G176" i="3"/>
  <c r="E176" i="3"/>
  <c r="D176" i="3"/>
  <c r="A176" i="3"/>
  <c r="H161" i="3"/>
  <c r="G161" i="3"/>
  <c r="E161" i="3"/>
  <c r="D161" i="3"/>
  <c r="A161" i="3"/>
  <c r="A191" i="3"/>
  <c r="D191" i="3"/>
  <c r="E191" i="3"/>
  <c r="G191" i="3"/>
  <c r="H191" i="3"/>
  <c r="H190" i="3"/>
  <c r="G190" i="3"/>
  <c r="E190" i="3"/>
  <c r="D190" i="3"/>
  <c r="A190" i="3"/>
  <c r="H189" i="3"/>
  <c r="G189" i="3"/>
  <c r="E189" i="3"/>
  <c r="D189" i="3"/>
  <c r="A189" i="3"/>
  <c r="H188" i="3"/>
  <c r="G188" i="3"/>
  <c r="E188" i="3"/>
  <c r="D188" i="3"/>
  <c r="A188" i="3"/>
  <c r="H187" i="3"/>
  <c r="G187" i="3"/>
  <c r="E187" i="3"/>
  <c r="D187" i="3"/>
  <c r="A187" i="3"/>
  <c r="H186" i="3"/>
  <c r="G186" i="3"/>
  <c r="E186" i="3"/>
  <c r="D186" i="3"/>
  <c r="A186" i="3"/>
  <c r="H185" i="3"/>
  <c r="G185" i="3"/>
  <c r="E185" i="3"/>
  <c r="D185" i="3"/>
  <c r="A185" i="3"/>
  <c r="H184" i="3"/>
  <c r="G184" i="3"/>
  <c r="E184" i="3"/>
  <c r="D184" i="3"/>
  <c r="A184" i="3"/>
  <c r="H183" i="3"/>
  <c r="G183" i="3"/>
  <c r="E183" i="3"/>
  <c r="D183" i="3"/>
  <c r="A183" i="3"/>
  <c r="H182" i="3"/>
  <c r="G182" i="3"/>
  <c r="E182" i="3"/>
  <c r="D182" i="3"/>
  <c r="A182" i="3"/>
  <c r="H181" i="3"/>
  <c r="G181" i="3"/>
  <c r="E181" i="3"/>
  <c r="D181" i="3"/>
  <c r="A181" i="3"/>
  <c r="H180" i="3"/>
  <c r="G180" i="3"/>
  <c r="E180" i="3"/>
  <c r="D180" i="3"/>
  <c r="A180" i="3"/>
  <c r="H179" i="3"/>
  <c r="G179" i="3"/>
  <c r="E179" i="3"/>
  <c r="D179" i="3"/>
  <c r="A179" i="3"/>
  <c r="H178" i="3"/>
  <c r="G178" i="3"/>
  <c r="E178" i="3"/>
  <c r="D178" i="3"/>
  <c r="A178" i="3"/>
  <c r="H177" i="3"/>
  <c r="G177" i="3"/>
  <c r="E177" i="3"/>
  <c r="D177" i="3"/>
  <c r="A177" i="3"/>
  <c r="D163" i="3"/>
  <c r="E163" i="3"/>
  <c r="D164" i="3"/>
  <c r="E164" i="3"/>
  <c r="D165" i="3"/>
  <c r="E165" i="3"/>
  <c r="D166" i="3"/>
  <c r="E166" i="3"/>
  <c r="D167" i="3"/>
  <c r="E167" i="3"/>
  <c r="D168" i="3"/>
  <c r="E168" i="3"/>
  <c r="D169" i="3"/>
  <c r="E169" i="3"/>
  <c r="D170" i="3"/>
  <c r="E170" i="3"/>
  <c r="D171" i="3"/>
  <c r="E171" i="3"/>
  <c r="D172" i="3"/>
  <c r="E172" i="3"/>
  <c r="D173" i="3"/>
  <c r="E173" i="3"/>
  <c r="D174" i="3"/>
  <c r="E174" i="3"/>
  <c r="D175" i="3"/>
  <c r="E175" i="3"/>
  <c r="A175" i="3"/>
  <c r="G175" i="3"/>
  <c r="H175" i="3"/>
  <c r="H174" i="3"/>
  <c r="G174" i="3"/>
  <c r="A174" i="3"/>
  <c r="H173" i="3"/>
  <c r="G173" i="3"/>
  <c r="A173" i="3"/>
  <c r="H172" i="3"/>
  <c r="G172" i="3"/>
  <c r="A172" i="3"/>
  <c r="H171" i="3"/>
  <c r="G171" i="3"/>
  <c r="A171" i="3"/>
  <c r="H170" i="3"/>
  <c r="G170" i="3"/>
  <c r="A170" i="3"/>
  <c r="H169" i="3"/>
  <c r="G169" i="3"/>
  <c r="A169" i="3"/>
  <c r="H168" i="3"/>
  <c r="G168" i="3"/>
  <c r="A168" i="3"/>
  <c r="H167" i="3"/>
  <c r="G167" i="3"/>
  <c r="A167" i="3"/>
  <c r="H166" i="3"/>
  <c r="G166" i="3"/>
  <c r="A166" i="3"/>
  <c r="H165" i="3"/>
  <c r="G165" i="3"/>
  <c r="A165" i="3"/>
  <c r="H164" i="3"/>
  <c r="G164" i="3"/>
  <c r="A164" i="3"/>
  <c r="H163" i="3"/>
  <c r="G163" i="3"/>
  <c r="A163" i="3"/>
  <c r="H162" i="3"/>
  <c r="G162" i="3"/>
  <c r="E162" i="3"/>
  <c r="D162" i="3"/>
  <c r="A162" i="3"/>
  <c r="D99" i="3"/>
  <c r="E99" i="3"/>
  <c r="G99" i="3"/>
  <c r="H99" i="3"/>
  <c r="D100" i="3"/>
  <c r="E100" i="3"/>
  <c r="G100" i="3"/>
  <c r="H100" i="3"/>
  <c r="D101" i="3"/>
  <c r="E101" i="3"/>
  <c r="G101" i="3"/>
  <c r="H101" i="3"/>
  <c r="D152" i="3"/>
  <c r="E152" i="3"/>
  <c r="G152" i="3"/>
  <c r="H152" i="3"/>
  <c r="D153" i="3"/>
  <c r="E153" i="3"/>
  <c r="G153" i="3"/>
  <c r="H153" i="3"/>
  <c r="D154" i="3"/>
  <c r="E154" i="3"/>
  <c r="G154" i="3"/>
  <c r="H154" i="3"/>
  <c r="D155" i="3"/>
  <c r="E155" i="3"/>
  <c r="G155" i="3"/>
  <c r="H155" i="3"/>
  <c r="D156" i="3"/>
  <c r="E156" i="3"/>
  <c r="G156" i="3"/>
  <c r="H156" i="3"/>
  <c r="D157" i="3"/>
  <c r="E157" i="3"/>
  <c r="G157" i="3"/>
  <c r="H157" i="3"/>
  <c r="D158" i="3"/>
  <c r="E158" i="3"/>
  <c r="G158" i="3"/>
  <c r="H158" i="3"/>
  <c r="D159" i="3"/>
  <c r="E159" i="3"/>
  <c r="G159" i="3"/>
  <c r="H159" i="3"/>
  <c r="D160" i="3"/>
  <c r="E160" i="3"/>
  <c r="G160" i="3"/>
  <c r="H160" i="3"/>
  <c r="A160" i="3"/>
  <c r="A159" i="3"/>
  <c r="A158" i="3"/>
  <c r="A157" i="3"/>
  <c r="A156" i="3"/>
  <c r="A155" i="3"/>
  <c r="A154" i="3"/>
  <c r="A153" i="3"/>
  <c r="A152" i="3"/>
  <c r="A101" i="3"/>
  <c r="A100" i="3"/>
  <c r="A99" i="3"/>
  <c r="H98" i="3"/>
  <c r="G98" i="3"/>
  <c r="E98" i="3"/>
  <c r="D98" i="3"/>
  <c r="A98" i="3"/>
  <c r="H97" i="3"/>
  <c r="G97" i="3"/>
  <c r="E97" i="3"/>
  <c r="D97" i="3"/>
  <c r="A97" i="3"/>
  <c r="A72" i="3"/>
  <c r="A96" i="3"/>
  <c r="D96" i="3"/>
  <c r="E96" i="3"/>
  <c r="G96" i="3"/>
  <c r="H96" i="3"/>
  <c r="H95" i="3"/>
  <c r="G95" i="3"/>
  <c r="E95" i="3"/>
  <c r="D95" i="3"/>
  <c r="A95" i="3"/>
  <c r="H94" i="3"/>
  <c r="G94" i="3"/>
  <c r="E94" i="3"/>
  <c r="D94" i="3"/>
  <c r="A94" i="3"/>
  <c r="H93" i="3"/>
  <c r="G93" i="3"/>
  <c r="E93" i="3"/>
  <c r="D93" i="3"/>
  <c r="A93" i="3"/>
  <c r="H92" i="3"/>
  <c r="G92" i="3"/>
  <c r="E92" i="3"/>
  <c r="D92" i="3"/>
  <c r="A92" i="3"/>
  <c r="H91" i="3"/>
  <c r="G91" i="3"/>
  <c r="E91" i="3"/>
  <c r="D91" i="3"/>
  <c r="A91" i="3"/>
  <c r="H90" i="3"/>
  <c r="G90" i="3"/>
  <c r="E90" i="3"/>
  <c r="D90" i="3"/>
  <c r="A90" i="3"/>
  <c r="H89" i="3"/>
  <c r="G89" i="3"/>
  <c r="E89" i="3"/>
  <c r="D89" i="3"/>
  <c r="A89" i="3"/>
  <c r="H88" i="3"/>
  <c r="G88" i="3"/>
  <c r="E88" i="3"/>
  <c r="D88" i="3"/>
  <c r="A88" i="3"/>
  <c r="H87" i="3"/>
  <c r="G87" i="3"/>
  <c r="E87" i="3"/>
  <c r="D87" i="3"/>
  <c r="A87" i="3"/>
  <c r="H86" i="3"/>
  <c r="G86" i="3"/>
  <c r="E86" i="3"/>
  <c r="D86" i="3"/>
  <c r="A86" i="3"/>
  <c r="H85" i="3"/>
  <c r="G85" i="3"/>
  <c r="E85" i="3"/>
  <c r="D85" i="3"/>
  <c r="A85" i="3"/>
  <c r="H84" i="3"/>
  <c r="G84" i="3"/>
  <c r="E84" i="3"/>
  <c r="D84" i="3"/>
  <c r="A84" i="3"/>
  <c r="A83" i="3"/>
  <c r="D83" i="3"/>
  <c r="E83" i="3"/>
  <c r="G83" i="3"/>
  <c r="H83" i="3"/>
  <c r="H82" i="3"/>
  <c r="G82" i="3"/>
  <c r="E82" i="3"/>
  <c r="D82" i="3"/>
  <c r="A82" i="3"/>
  <c r="H81" i="3"/>
  <c r="G81" i="3"/>
  <c r="E81" i="3"/>
  <c r="D81" i="3"/>
  <c r="A81" i="3"/>
  <c r="H80" i="3"/>
  <c r="G80" i="3"/>
  <c r="E80" i="3"/>
  <c r="D80" i="3"/>
  <c r="A80" i="3"/>
  <c r="H79" i="3"/>
  <c r="G79" i="3"/>
  <c r="E79" i="3"/>
  <c r="D79" i="3"/>
  <c r="A79" i="3"/>
  <c r="H78" i="3"/>
  <c r="G78" i="3"/>
  <c r="E78" i="3"/>
  <c r="D78" i="3"/>
  <c r="A78" i="3"/>
  <c r="H77" i="3"/>
  <c r="G77" i="3"/>
  <c r="E77" i="3"/>
  <c r="D77" i="3"/>
  <c r="A77" i="3"/>
  <c r="H76" i="3"/>
  <c r="G76" i="3"/>
  <c r="E76" i="3"/>
  <c r="D76" i="3"/>
  <c r="A76" i="3"/>
  <c r="H75" i="3"/>
  <c r="G75" i="3"/>
  <c r="E75" i="3"/>
  <c r="D75" i="3"/>
  <c r="A75" i="3"/>
  <c r="H74" i="3"/>
  <c r="G74" i="3"/>
  <c r="E74" i="3"/>
  <c r="D74" i="3"/>
  <c r="A74" i="3"/>
  <c r="H73" i="3"/>
  <c r="G73" i="3"/>
  <c r="E73" i="3"/>
  <c r="D73" i="3"/>
  <c r="A73" i="3"/>
  <c r="H72" i="3"/>
  <c r="G72" i="3"/>
  <c r="E72" i="3"/>
  <c r="D72" i="3"/>
  <c r="A71" i="3"/>
  <c r="D71" i="3"/>
  <c r="E71" i="3"/>
  <c r="G71" i="3"/>
  <c r="H71" i="3"/>
  <c r="H70" i="3"/>
  <c r="G70" i="3"/>
  <c r="E70" i="3"/>
  <c r="D70" i="3"/>
  <c r="A70" i="3"/>
  <c r="H69" i="3"/>
  <c r="G69" i="3"/>
  <c r="E69" i="3"/>
  <c r="D69" i="3"/>
  <c r="A69" i="3"/>
  <c r="H68" i="3"/>
  <c r="G68" i="3"/>
  <c r="E68" i="3"/>
  <c r="D68" i="3"/>
  <c r="A68" i="3"/>
  <c r="H67" i="3"/>
  <c r="G67" i="3"/>
  <c r="E67" i="3"/>
  <c r="D67" i="3"/>
  <c r="A67" i="3"/>
  <c r="H66" i="3"/>
  <c r="G66" i="3"/>
  <c r="E66" i="3"/>
  <c r="D66" i="3"/>
  <c r="A66" i="3"/>
  <c r="H65" i="3"/>
  <c r="G65" i="3"/>
  <c r="E65" i="3"/>
  <c r="D65" i="3"/>
  <c r="A65" i="3"/>
  <c r="H64" i="3"/>
  <c r="G64" i="3"/>
  <c r="E64" i="3"/>
  <c r="D64" i="3"/>
  <c r="A64" i="3"/>
  <c r="H63" i="3"/>
  <c r="G63" i="3"/>
  <c r="E63" i="3"/>
  <c r="D63" i="3"/>
  <c r="A63" i="3"/>
  <c r="H62" i="3"/>
  <c r="G62" i="3"/>
  <c r="E62" i="3"/>
  <c r="D62" i="3"/>
  <c r="A62" i="3"/>
  <c r="H61" i="3"/>
  <c r="G61" i="3"/>
  <c r="E61" i="3"/>
  <c r="D61" i="3"/>
  <c r="A61" i="3"/>
  <c r="A60" i="3"/>
  <c r="D60" i="3"/>
  <c r="E60" i="3"/>
  <c r="G60" i="3"/>
  <c r="H60" i="3"/>
  <c r="D52" i="3"/>
  <c r="E52" i="3"/>
  <c r="D53" i="3"/>
  <c r="E53" i="3"/>
  <c r="D54" i="3"/>
  <c r="E54" i="3"/>
  <c r="D55" i="3"/>
  <c r="E55" i="3"/>
  <c r="D56" i="3"/>
  <c r="E56" i="3"/>
  <c r="D57" i="3"/>
  <c r="E57" i="3"/>
  <c r="D58" i="3"/>
  <c r="E58" i="3"/>
  <c r="D59" i="3"/>
  <c r="E59" i="3"/>
  <c r="H59" i="3"/>
  <c r="G59" i="3"/>
  <c r="A59" i="3"/>
  <c r="H58" i="3"/>
  <c r="G58" i="3"/>
  <c r="A58" i="3"/>
  <c r="H57" i="3"/>
  <c r="G57" i="3"/>
  <c r="A57" i="3"/>
  <c r="H56" i="3"/>
  <c r="G56" i="3"/>
  <c r="A56" i="3"/>
  <c r="H55" i="3"/>
  <c r="G55" i="3"/>
  <c r="A55" i="3"/>
  <c r="H54" i="3"/>
  <c r="G54" i="3"/>
  <c r="A54" i="3"/>
  <c r="H53" i="3"/>
  <c r="G53" i="3"/>
  <c r="A53" i="3"/>
  <c r="H52" i="3"/>
  <c r="G52" i="3"/>
  <c r="A52" i="3"/>
  <c r="H51" i="3"/>
  <c r="G51" i="3"/>
  <c r="E51" i="3"/>
  <c r="D51" i="3"/>
  <c r="A51" i="3"/>
  <c r="A50" i="3"/>
  <c r="D50" i="3"/>
  <c r="E50" i="3"/>
  <c r="G50" i="3"/>
  <c r="H50" i="3"/>
  <c r="H49" i="3"/>
  <c r="G49" i="3"/>
  <c r="E49" i="3"/>
  <c r="D49" i="3"/>
  <c r="A49" i="3"/>
  <c r="H48" i="3"/>
  <c r="G48" i="3"/>
  <c r="E48" i="3"/>
  <c r="D48" i="3"/>
  <c r="A48" i="3"/>
  <c r="H47" i="3"/>
  <c r="G47" i="3"/>
  <c r="E47" i="3"/>
  <c r="D47" i="3"/>
  <c r="A47" i="3"/>
  <c r="H46" i="3"/>
  <c r="G46" i="3"/>
  <c r="E46" i="3"/>
  <c r="D46" i="3"/>
  <c r="A46" i="3"/>
  <c r="H45" i="3"/>
  <c r="G45" i="3"/>
  <c r="E45" i="3"/>
  <c r="D45" i="3"/>
  <c r="A45" i="3"/>
  <c r="H44" i="3"/>
  <c r="G44" i="3"/>
  <c r="E44" i="3"/>
  <c r="D44" i="3"/>
  <c r="A44" i="3"/>
  <c r="H43" i="3"/>
  <c r="G43" i="3"/>
  <c r="E43" i="3"/>
  <c r="D43" i="3"/>
  <c r="A43" i="3"/>
  <c r="H42" i="3"/>
  <c r="G42" i="3"/>
  <c r="E42" i="3"/>
  <c r="D42" i="3"/>
  <c r="A42" i="3"/>
  <c r="A41" i="3"/>
  <c r="D41" i="3"/>
  <c r="E41" i="3"/>
  <c r="G41" i="3"/>
  <c r="H41" i="3"/>
  <c r="H40" i="3"/>
  <c r="G40" i="3"/>
  <c r="E40" i="3"/>
  <c r="D40" i="3"/>
  <c r="A40" i="3"/>
  <c r="H39" i="3"/>
  <c r="G39" i="3"/>
  <c r="E39" i="3"/>
  <c r="D39" i="3"/>
  <c r="A39" i="3"/>
  <c r="H38" i="3"/>
  <c r="G38" i="3"/>
  <c r="E38" i="3"/>
  <c r="D38" i="3"/>
  <c r="A38" i="3"/>
  <c r="H37" i="3"/>
  <c r="G37" i="3"/>
  <c r="E37" i="3"/>
  <c r="D37" i="3"/>
  <c r="A37" i="3"/>
  <c r="H36" i="3"/>
  <c r="G36" i="3"/>
  <c r="E36" i="3"/>
  <c r="D36" i="3"/>
  <c r="A36" i="3"/>
  <c r="H35" i="3"/>
  <c r="G35" i="3"/>
  <c r="E35" i="3"/>
  <c r="D35" i="3"/>
  <c r="A35" i="3"/>
  <c r="H34" i="3"/>
  <c r="G34" i="3"/>
  <c r="E34" i="3"/>
  <c r="D34" i="3"/>
  <c r="A34" i="3"/>
  <c r="A33" i="3"/>
  <c r="D33" i="3"/>
  <c r="E33" i="3"/>
  <c r="G33" i="3"/>
  <c r="H33" i="3"/>
  <c r="H32" i="3"/>
  <c r="G32" i="3"/>
  <c r="E32" i="3"/>
  <c r="D32" i="3"/>
  <c r="A32" i="3"/>
  <c r="H31" i="3"/>
  <c r="G31" i="3"/>
  <c r="E31" i="3"/>
  <c r="D31" i="3"/>
  <c r="A31" i="3"/>
  <c r="H30" i="3"/>
  <c r="G30" i="3"/>
  <c r="E30" i="3"/>
  <c r="D30" i="3"/>
  <c r="A30" i="3"/>
  <c r="H29" i="3"/>
  <c r="G29" i="3"/>
  <c r="E29" i="3"/>
  <c r="D29" i="3"/>
  <c r="A29" i="3"/>
  <c r="H28" i="3"/>
  <c r="G28" i="3"/>
  <c r="E28" i="3"/>
  <c r="D28" i="3"/>
  <c r="A28" i="3"/>
  <c r="H27" i="3"/>
  <c r="G27" i="3"/>
  <c r="E27" i="3"/>
  <c r="D27" i="3"/>
  <c r="A27" i="3"/>
  <c r="A26" i="3"/>
  <c r="D26" i="3"/>
  <c r="E26" i="3"/>
  <c r="G26" i="3"/>
  <c r="H26" i="3"/>
  <c r="H25" i="3"/>
  <c r="G25" i="3"/>
  <c r="E25" i="3"/>
  <c r="D25" i="3"/>
  <c r="A25" i="3"/>
  <c r="H24" i="3"/>
  <c r="G24" i="3"/>
  <c r="E24" i="3"/>
  <c r="D24" i="3"/>
  <c r="A24" i="3"/>
  <c r="H23" i="3"/>
  <c r="G23" i="3"/>
  <c r="E23" i="3"/>
  <c r="D23" i="3"/>
  <c r="A23" i="3"/>
  <c r="H22" i="3"/>
  <c r="G22" i="3"/>
  <c r="E22" i="3"/>
  <c r="D22" i="3"/>
  <c r="A22" i="3"/>
  <c r="H21" i="3"/>
  <c r="G21" i="3"/>
  <c r="E21" i="3"/>
  <c r="D21" i="3"/>
  <c r="A21" i="3"/>
  <c r="A20" i="3"/>
  <c r="D20" i="3"/>
  <c r="E20" i="3"/>
  <c r="G20" i="3"/>
  <c r="H20" i="3"/>
  <c r="H19" i="3"/>
  <c r="G19" i="3"/>
  <c r="E19" i="3"/>
  <c r="D19" i="3"/>
  <c r="A19" i="3"/>
  <c r="H18" i="3"/>
  <c r="G18" i="3"/>
  <c r="E18" i="3"/>
  <c r="D18" i="3"/>
  <c r="A18" i="3"/>
  <c r="H17" i="3"/>
  <c r="G17" i="3"/>
  <c r="E17" i="3"/>
  <c r="D17" i="3"/>
  <c r="A17" i="3"/>
  <c r="H16" i="3"/>
  <c r="G16" i="3"/>
  <c r="E16" i="3"/>
  <c r="D16" i="3"/>
  <c r="A16" i="3"/>
  <c r="A15" i="3"/>
  <c r="D15" i="3"/>
  <c r="E15" i="3"/>
  <c r="G15" i="3"/>
  <c r="H15" i="3"/>
  <c r="A3" i="3"/>
  <c r="D3" i="3"/>
  <c r="E3" i="3"/>
  <c r="G3" i="3"/>
  <c r="H3" i="3"/>
  <c r="A4" i="3"/>
  <c r="D4" i="3"/>
  <c r="E4" i="3"/>
  <c r="G4" i="3"/>
  <c r="H4" i="3"/>
  <c r="A5" i="3"/>
  <c r="D5" i="3"/>
  <c r="E5" i="3"/>
  <c r="G5" i="3"/>
  <c r="H5" i="3"/>
  <c r="A6" i="3"/>
  <c r="D6" i="3"/>
  <c r="E6" i="3"/>
  <c r="G6" i="3"/>
  <c r="H6" i="3"/>
  <c r="A7" i="3"/>
  <c r="D7" i="3"/>
  <c r="E7" i="3"/>
  <c r="G7" i="3"/>
  <c r="H7" i="3"/>
  <c r="A8" i="3"/>
  <c r="D8" i="3"/>
  <c r="E8" i="3"/>
  <c r="G8" i="3"/>
  <c r="H8" i="3"/>
  <c r="A9" i="3"/>
  <c r="D9" i="3"/>
  <c r="E9" i="3"/>
  <c r="G9" i="3"/>
  <c r="H9" i="3"/>
  <c r="A10" i="3"/>
  <c r="D10" i="3"/>
  <c r="E10" i="3"/>
  <c r="G10" i="3"/>
  <c r="H10" i="3"/>
  <c r="A11" i="3"/>
  <c r="D11" i="3"/>
  <c r="E11" i="3"/>
  <c r="G11" i="3"/>
  <c r="H11" i="3"/>
  <c r="A12" i="3"/>
  <c r="D12" i="3"/>
  <c r="E12" i="3"/>
  <c r="G12" i="3"/>
  <c r="H12" i="3"/>
  <c r="A13" i="3"/>
  <c r="D13" i="3"/>
  <c r="E13" i="3"/>
  <c r="G13" i="3"/>
  <c r="H13" i="3"/>
  <c r="A14" i="3"/>
  <c r="D14" i="3"/>
  <c r="E14" i="3"/>
  <c r="G14" i="3"/>
  <c r="H14" i="3"/>
  <c r="A2" i="3"/>
  <c r="D2" i="3"/>
  <c r="E2" i="3"/>
  <c r="G2" i="3"/>
  <c r="H2" i="3"/>
  <c r="E3" i="10"/>
  <c r="E2" i="10"/>
</calcChain>
</file>

<file path=xl/sharedStrings.xml><?xml version="1.0" encoding="utf-8"?>
<sst xmlns="http://schemas.openxmlformats.org/spreadsheetml/2006/main" count="1921" uniqueCount="118">
  <si>
    <t>stage_id</t>
    <phoneticPr fontId="5"/>
  </si>
  <si>
    <t>hint</t>
    <phoneticPr fontId="5"/>
  </si>
  <si>
    <t>temp_id</t>
    <phoneticPr fontId="5"/>
  </si>
  <si>
    <t>name</t>
    <phoneticPr fontId="5"/>
  </si>
  <si>
    <t>位置付け</t>
    <rPh sb="0" eb="3">
      <t>イチヅ</t>
    </rPh>
    <phoneticPr fontId="5"/>
  </si>
  <si>
    <t>quest_id</t>
    <phoneticPr fontId="5"/>
  </si>
  <si>
    <t>hint_id</t>
    <phoneticPr fontId="5"/>
  </si>
  <si>
    <t>language</t>
    <phoneticPr fontId="5"/>
  </si>
  <si>
    <t>hint</t>
    <phoneticPr fontId="5"/>
  </si>
  <si>
    <t>stage_hints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</si>
  <si>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</si>
  <si>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</si>
  <si>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</si>
  <si>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</si>
  <si>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</si>
  <si>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</si>
  <si>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language</t>
    <phoneticPr fontId="5"/>
  </si>
  <si>
    <t>ja</t>
    <phoneticPr fontId="5"/>
  </si>
  <si>
    <t>出力flg</t>
    <rPh sb="0" eb="2">
      <t>シュツリョク</t>
    </rPh>
    <phoneticPr fontId="5"/>
  </si>
  <si>
    <t>old</t>
    <phoneticPr fontId="38"/>
  </si>
  <si>
    <t>floor_id</t>
    <phoneticPr fontId="5"/>
  </si>
  <si>
    <t>floor_id</t>
    <phoneticPr fontId="5"/>
  </si>
  <si>
    <t>filename</t>
  </si>
  <si>
    <t>filename</t>
    <phoneticPr fontId="5"/>
  </si>
  <si>
    <t>title</t>
    <phoneticPr fontId="5"/>
  </si>
  <si>
    <t>title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</si>
  <si>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</si>
  <si>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_data_</t>
    </r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</si>
  <si>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</si>
  <si>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</si>
  <si>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tmp_hint_id</t>
    <phoneticPr fontId="5"/>
  </si>
  <si>
    <t>hint_type</t>
    <phoneticPr fontId="5"/>
  </si>
  <si>
    <t>hint_type</t>
    <phoneticPr fontId="5"/>
  </si>
  <si>
    <t>complete</t>
  </si>
  <si>
    <t>お気に入り登録</t>
  </si>
  <si>
    <t>マルチプレイが熱い！　その3</t>
  </si>
  <si>
    <t>title</t>
  </si>
  <si>
    <t>hint</t>
  </si>
  <si>
    <t>長くつなげて大ダメージ</t>
  </si>
  <si>
    <t>敵の属性に対抗しよう！</t>
  </si>
  <si>
    <t>ターゲット</t>
  </si>
  <si>
    <t>ボーナスクエスト</t>
  </si>
  <si>
    <t>ユニット強化</t>
  </si>
  <si>
    <t>強化の属性ボーナス</t>
  </si>
  <si>
    <t>メタルダックをつかって強化しよう！</t>
  </si>
  <si>
    <t>ゲリラを見逃すな！</t>
  </si>
  <si>
    <t>ゴールドダックを売却すると大量ビット</t>
  </si>
  <si>
    <t>土日クエストで大量ビットをGET！！</t>
  </si>
  <si>
    <t>ランク解放クエスト</t>
  </si>
  <si>
    <t>ユニットを覚醒させよう！</t>
  </si>
  <si>
    <t>覚醒するにはレベルをMAXに！</t>
  </si>
  <si>
    <t>覚醒素材をGETしよう！</t>
  </si>
  <si>
    <t>マルチプレイが熱い！　その1</t>
  </si>
  <si>
    <t>リンクガチャを引いてみよう</t>
  </si>
  <si>
    <t>マルチプレイが熱い！　その2</t>
  </si>
  <si>
    <t>チャレンジタワー</t>
  </si>
  <si>
    <t>スキルを有効に使おう</t>
  </si>
  <si>
    <t>フィーバーを使って一発逆転</t>
  </si>
  <si>
    <t>フィーバーは虹パネルを狙おう！</t>
  </si>
  <si>
    <t>リンゴをつかって限界突破！</t>
  </si>
  <si>
    <t>クリスタルリンゴはスキルLvUP！</t>
  </si>
  <si>
    <t>スキルLv</t>
  </si>
  <si>
    <t>ホーム画面からデッキを編成！</t>
  </si>
  <si>
    <t>詳細情報は長押しで！</t>
  </si>
  <si>
    <t>ステータスのバグって何？</t>
  </si>
  <si>
    <t>ステータスのバグを増やす方法</t>
  </si>
  <si>
    <t>連続攻撃をしてくる敵には</t>
  </si>
  <si>
    <t>カウンターブレイク！</t>
  </si>
  <si>
    <t>敵のDOWNを上書きしよう！</t>
  </si>
  <si>
    <t>敵のUPを上書きしよう！</t>
  </si>
  <si>
    <t>チャレンジタワーのボス</t>
  </si>
  <si>
    <t>限界突破の引継</t>
  </si>
  <si>
    <t>tips_all_id</t>
  </si>
  <si>
    <t>tips_all_id</t>
    <phoneticPr fontId="5"/>
  </si>
  <si>
    <t>イベントを見逃すな！</t>
  </si>
  <si>
    <t>syokyu</t>
    <phoneticPr fontId="5"/>
  </si>
  <si>
    <t>quest_id</t>
  </si>
  <si>
    <t>stage_id</t>
  </si>
  <si>
    <t>パネルを長くつなげればつなげるほど
敵に大ダメージを与えることが出来ます！</t>
    <rPh sb="4" eb="5">
      <t>ナガ</t>
    </rPh>
    <rPh sb="18" eb="19">
      <t>テキ</t>
    </rPh>
    <rPh sb="20" eb="21">
      <t>ダイ</t>
    </rPh>
    <rPh sb="26" eb="27">
      <t>アタ</t>
    </rPh>
    <rPh sb="32" eb="34">
      <t>デキ</t>
    </rPh>
    <phoneticPr fontId="5"/>
  </si>
  <si>
    <t>赤には青、青には黄、黄には緑、緑には赤
効果を発揮できるパーティ編成がオススメです！</t>
    <rPh sb="0" eb="1">
      <t>アカ</t>
    </rPh>
    <rPh sb="3" eb="4">
      <t>アオ</t>
    </rPh>
    <rPh sb="5" eb="6">
      <t>アオ</t>
    </rPh>
    <rPh sb="8" eb="9">
      <t>キイロ</t>
    </rPh>
    <rPh sb="10" eb="11">
      <t>キイロ</t>
    </rPh>
    <rPh sb="13" eb="14">
      <t>ミドリ</t>
    </rPh>
    <rPh sb="15" eb="16">
      <t>ミドリ</t>
    </rPh>
    <rPh sb="18" eb="19">
      <t>アカ</t>
    </rPh>
    <rPh sb="20" eb="22">
      <t>コウカ</t>
    </rPh>
    <rPh sb="23" eb="25">
      <t>ハッキ</t>
    </rPh>
    <rPh sb="32" eb="34">
      <t>ヘンセイ</t>
    </rPh>
    <phoneticPr fontId="5"/>
  </si>
  <si>
    <t>バグが高いとクエストの報酬確率がアップする！</t>
    <rPh sb="3" eb="4">
      <t>タカ</t>
    </rPh>
    <rPh sb="11" eb="15">
      <t>ホウシュウカクリツ</t>
    </rPh>
    <phoneticPr fontId="5"/>
  </si>
  <si>
    <t>チャレンジタワーのボス
（テスラ、シャルル、ボイル）は
一定確率でドロップします！</t>
    <rPh sb="28" eb="32">
      <t>イッテイカクリツ</t>
    </rPh>
    <phoneticPr fontId="5"/>
  </si>
  <si>
    <t>敵ユニットにタッチすると
その敵を狙い撃ちできます！</t>
    <rPh sb="15" eb="16">
      <t>テキ</t>
    </rPh>
    <phoneticPr fontId="5"/>
  </si>
  <si>
    <t>スキルLvが上がると
より短いターンでスキルを打つことができます！</t>
  </si>
  <si>
    <t>ホーム画面でパーティを確認している時
ユニットの画像を長押しすると
パーティ構成画面に移動することができます！</t>
    <rPh sb="3" eb="5">
      <t>ガメン</t>
    </rPh>
    <rPh sb="11" eb="13">
      <t>カクニン</t>
    </rPh>
    <rPh sb="17" eb="18">
      <t>トキ</t>
    </rPh>
    <rPh sb="24" eb="26">
      <t>ガゾウ</t>
    </rPh>
    <rPh sb="27" eb="29">
      <t>ナガオ</t>
    </rPh>
    <rPh sb="38" eb="40">
      <t>コウセイ</t>
    </rPh>
    <rPh sb="40" eb="42">
      <t>ガメン</t>
    </rPh>
    <rPh sb="43" eb="45">
      <t>イドウ</t>
    </rPh>
    <phoneticPr fontId="5"/>
  </si>
  <si>
    <t>ユニット強化やユニット覚醒などの画面で
ユニットを長押しすれば
ユニットの詳細情報を見ることができます！</t>
    <rPh sb="4" eb="6">
      <t>キョウカ</t>
    </rPh>
    <rPh sb="11" eb="13">
      <t>カクセイ</t>
    </rPh>
    <rPh sb="16" eb="18">
      <t>ガメン</t>
    </rPh>
    <rPh sb="25" eb="27">
      <t>ナガオ</t>
    </rPh>
    <rPh sb="37" eb="39">
      <t>ショウサイ</t>
    </rPh>
    <rPh sb="39" eb="41">
      <t>ジョウホウ</t>
    </rPh>
    <rPh sb="42" eb="43">
      <t>ミ</t>
    </rPh>
    <phoneticPr fontId="5"/>
  </si>
  <si>
    <t>同じユニット同士を使ってユニット強化をすると
バグを増やすことができます！</t>
    <rPh sb="0" eb="1">
      <t>オナ</t>
    </rPh>
    <rPh sb="6" eb="8">
      <t>ドウシ</t>
    </rPh>
    <rPh sb="9" eb="10">
      <t>ツカ</t>
    </rPh>
    <rPh sb="16" eb="18">
      <t>キョウカ</t>
    </rPh>
    <rPh sb="26" eb="27">
      <t>フ</t>
    </rPh>
    <phoneticPr fontId="5"/>
  </si>
  <si>
    <t>大事なユニットは
フォルダからお気に入り登録しましょう！</t>
  </si>
  <si>
    <t>メタルピヨピヨやメタルダックなどの
「メタルなアヒル」を素材にして
ユニット強化をすると大量の経験値が入ります！</t>
    <rPh sb="28" eb="30">
      <t>ソザイ</t>
    </rPh>
    <rPh sb="38" eb="40">
      <t>キョウカ</t>
    </rPh>
    <rPh sb="44" eb="46">
      <t>タイリョウ</t>
    </rPh>
    <rPh sb="47" eb="50">
      <t>ケイケンチ</t>
    </rPh>
    <rPh sb="51" eb="52">
      <t>ハイ</t>
    </rPh>
    <phoneticPr fontId="5"/>
  </si>
  <si>
    <t>ゴールドピヨピヨやゴールドダックなどの
「金アヒル」をユニット売却すると
大量のビットが手に入ります！</t>
    <rPh sb="21" eb="22">
      <t>キンイロ</t>
    </rPh>
    <rPh sb="31" eb="33">
      <t>バイキャク</t>
    </rPh>
    <rPh sb="37" eb="39">
      <t>タイリョウ</t>
    </rPh>
    <rPh sb="44" eb="45">
      <t>テ</t>
    </rPh>
    <rPh sb="46" eb="47">
      <t>ハイ</t>
    </rPh>
    <phoneticPr fontId="5"/>
  </si>
  <si>
    <t>ユニットの更なる力を引き出すのが覚醒！
覚醒するにはユニットのレベルを
最大まで上げる必要があります！</t>
    <rPh sb="5" eb="6">
      <t>サラ</t>
    </rPh>
    <rPh sb="8" eb="9">
      <t>チカラ</t>
    </rPh>
    <rPh sb="10" eb="11">
      <t>ヒ</t>
    </rPh>
    <rPh sb="12" eb="13">
      <t>ダ</t>
    </rPh>
    <rPh sb="16" eb="18">
      <t>カクセイ</t>
    </rPh>
    <rPh sb="20" eb="22">
      <t>カクセイ</t>
    </rPh>
    <rPh sb="36" eb="38">
      <t>サイダイ</t>
    </rPh>
    <rPh sb="40" eb="41">
      <t>ア</t>
    </rPh>
    <rPh sb="43" eb="45">
      <t>ヒツヨウ</t>
    </rPh>
    <phoneticPr fontId="5"/>
  </si>
  <si>
    <t>覚醒に必要な覚醒素材は
「曜日クエスト」で手に入ります！</t>
    <rPh sb="0" eb="2">
      <t>カクセイ</t>
    </rPh>
    <rPh sb="3" eb="5">
      <t>ヒツヨウ</t>
    </rPh>
    <rPh sb="6" eb="8">
      <t>カクセイ</t>
    </rPh>
    <rPh sb="8" eb="10">
      <t>ソザイ</t>
    </rPh>
    <rPh sb="13" eb="15">
      <t>ヨウビ</t>
    </rPh>
    <rPh sb="21" eb="22">
      <t>テ</t>
    </rPh>
    <rPh sb="23" eb="24">
      <t>ハイ</t>
    </rPh>
    <phoneticPr fontId="5"/>
  </si>
  <si>
    <t>ノーマルクエストを進めると
ボーナスクエストが登場します！
どんどん先に進んでボーナスをGETしましょう！</t>
    <rPh sb="9" eb="10">
      <t>スス</t>
    </rPh>
    <rPh sb="23" eb="25">
      <t>トウジョウ</t>
    </rPh>
    <rPh sb="34" eb="35">
      <t>サキ</t>
    </rPh>
    <rPh sb="36" eb="37">
      <t>スス</t>
    </rPh>
    <phoneticPr fontId="5"/>
  </si>
  <si>
    <t>ユニット強化の際に
同じ属性のユニットを素材にすると
経験値にボーナスがつきます！</t>
    <rPh sb="4" eb="6">
      <t>キョウカ</t>
    </rPh>
    <rPh sb="7" eb="8">
      <t>サイ</t>
    </rPh>
    <rPh sb="20" eb="22">
      <t>ソザイ</t>
    </rPh>
    <phoneticPr fontId="5"/>
  </si>
  <si>
    <t>一定ランクに到達すると
新たにクエストが開放される場合があります。
ランク開放クエストをクリアして報酬をGETしましょう！</t>
    <rPh sb="0" eb="2">
      <t>イッテイ</t>
    </rPh>
    <rPh sb="6" eb="8">
      <t>トウタツ</t>
    </rPh>
    <rPh sb="12" eb="13">
      <t>アラ</t>
    </rPh>
    <rPh sb="25" eb="27">
      <t>バアイ</t>
    </rPh>
    <rPh sb="37" eb="39">
      <t>カイホウ</t>
    </rPh>
    <rPh sb="49" eb="51">
      <t>ホウシュウ</t>
    </rPh>
    <phoneticPr fontId="5"/>
  </si>
  <si>
    <t>ユニットを覚醒させると
これまでとは比べものにならない強さを獲得できます！</t>
    <rPh sb="5" eb="7">
      <t>カクセイ</t>
    </rPh>
    <rPh sb="18" eb="19">
      <t>クラ</t>
    </rPh>
    <rPh sb="27" eb="28">
      <t>ツヨ</t>
    </rPh>
    <rPh sb="30" eb="32">
      <t>カクトク</t>
    </rPh>
    <phoneticPr fontId="5"/>
  </si>
  <si>
    <t>全国の友達とマルチプレイをすると
初顔合わせボーナスで100人まで
ポリゴンがもらえます！</t>
    <rPh sb="0" eb="2">
      <t>ゼンコク</t>
    </rPh>
    <rPh sb="3" eb="5">
      <t>トモダチ</t>
    </rPh>
    <rPh sb="17" eb="20">
      <t>ハツカオア</t>
    </rPh>
    <rPh sb="30" eb="31">
      <t>ニン</t>
    </rPh>
    <phoneticPr fontId="5"/>
  </si>
  <si>
    <t>リンクガチャを回すと
メタルダックやゴールドダックが出現しやすいです。
リンクガチャを回して強化素材をGETしましょう！</t>
    <rPh sb="7" eb="10">
      <t>マワs</t>
    </rPh>
    <rPh sb="26" eb="28">
      <t>シュツゲン</t>
    </rPh>
    <rPh sb="43" eb="44">
      <t>マワ</t>
    </rPh>
    <rPh sb="46" eb="50">
      <t>キョウカソザイ</t>
    </rPh>
    <phoneticPr fontId="5"/>
  </si>
  <si>
    <t>マルチプレイはもらえるリンクが2倍！
マルチで遊んでリンクガチャを回しましょう！</t>
    <rPh sb="16" eb="17">
      <t>バイ</t>
    </rPh>
    <rPh sb="23" eb="24">
      <t>アソ</t>
    </rPh>
    <rPh sb="33" eb="34">
      <t>マワ</t>
    </rPh>
    <phoneticPr fontId="5"/>
  </si>
  <si>
    <t>イベントクエストの「チャレンジタワー」を
クリアすると報酬がもらえます！
報酬を手に入れながら頂上を目指しましょう！</t>
    <rPh sb="27" eb="29">
      <t>ホウシュウ</t>
    </rPh>
    <rPh sb="37" eb="39">
      <t>ホウシュウ</t>
    </rPh>
    <rPh sb="40" eb="41">
      <t>テ</t>
    </rPh>
    <rPh sb="42" eb="43">
      <t>イ</t>
    </rPh>
    <rPh sb="47" eb="49">
      <t>チョウジョウ</t>
    </rPh>
    <rPh sb="50" eb="52">
      <t>メザ</t>
    </rPh>
    <phoneticPr fontId="5"/>
  </si>
  <si>
    <t>マルチプレイへの参加はエナジー消費がありません！
どんどん参加してどんどんユニットをGETしましょう！</t>
    <phoneticPr fontId="5"/>
  </si>
  <si>
    <t>ピンチの時はフィーバーで一発逆転を狙いましょう！</t>
    <rPh sb="4" eb="5">
      <t>トk</t>
    </rPh>
    <rPh sb="12" eb="16">
      <t>イッパツギャクテン</t>
    </rPh>
    <rPh sb="17" eb="18">
      <t>ネラ</t>
    </rPh>
    <phoneticPr fontId="5"/>
  </si>
  <si>
    <t>フィーバー中にたまに落ちてくる
虹色のパネルを壊すと
全てのパネルを壊すことができます！</t>
    <rPh sb="5" eb="6">
      <t>チュウ</t>
    </rPh>
    <rPh sb="10" eb="11">
      <t>オ</t>
    </rPh>
    <rPh sb="16" eb="18">
      <t>ニジイロ</t>
    </rPh>
    <rPh sb="23" eb="24">
      <t>コワ</t>
    </rPh>
    <rPh sb="27" eb="28">
      <t>スベ</t>
    </rPh>
    <rPh sb="34" eb="35">
      <t>コワ</t>
    </rPh>
    <phoneticPr fontId="5"/>
  </si>
  <si>
    <t>秘術の果実をユニット強化に使うと
スキルLvが上げることができます！
お気に入りユニットのスキルLvを上げてみましょう！</t>
    <rPh sb="0" eb="2">
      <t>ヒジュツ</t>
    </rPh>
    <rPh sb="3" eb="5">
      <t>カジツ</t>
    </rPh>
    <rPh sb="10" eb="12">
      <t>キョウカ</t>
    </rPh>
    <rPh sb="13" eb="16">
      <t>ツカ</t>
    </rPh>
    <rPh sb="23" eb="31">
      <t>アガr</t>
    </rPh>
    <rPh sb="36" eb="37">
      <t>キ</t>
    </rPh>
    <rPh sb="38" eb="39">
      <t>イ</t>
    </rPh>
    <rPh sb="51" eb="52">
      <t>ア</t>
    </rPh>
    <phoneticPr fontId="5"/>
  </si>
  <si>
    <t>各イベントでしか入手できない
ユニットがいるので要チェックです！</t>
    <phoneticPr fontId="5"/>
  </si>
  <si>
    <t>消すことの出来ないお邪魔パネルは
フィーバーを使うと下に落とすことができますよ！</t>
    <rPh sb="0" eb="1">
      <t>ケ</t>
    </rPh>
    <rPh sb="5" eb="7">
      <t>デキ</t>
    </rPh>
    <rPh sb="10" eb="12">
      <t>ジャマ</t>
    </rPh>
    <rPh sb="23" eb="24">
      <t>ツカ</t>
    </rPh>
    <rPh sb="26" eb="27">
      <t>シタ</t>
    </rPh>
    <rPh sb="28" eb="29">
      <t>オ</t>
    </rPh>
    <phoneticPr fontId="5"/>
  </si>
  <si>
    <t>連続攻撃する敵には「カウンター」スキルが有効です！
ダメージを受けた回数分カウンターを返せますよ！</t>
    <rPh sb="0" eb="4">
      <t>レンゾクコウゲキ</t>
    </rPh>
    <rPh sb="6" eb="7">
      <t>テキ</t>
    </rPh>
    <rPh sb="20" eb="22">
      <t>ユウコウ</t>
    </rPh>
    <rPh sb="31" eb="32">
      <t>ウ</t>
    </rPh>
    <rPh sb="34" eb="37">
      <t>カイスウブン</t>
    </rPh>
    <rPh sb="43" eb="44">
      <t>カエ</t>
    </rPh>
    <phoneticPr fontId="5"/>
  </si>
  <si>
    <t>攻撃力DOWNの攻撃を受けたときは
攻撃力UPスキルを使うと効果を上書きできます！</t>
    <rPh sb="0" eb="3">
      <t>コウゲキリョク</t>
    </rPh>
    <rPh sb="8" eb="10">
      <t>コウゲキ</t>
    </rPh>
    <rPh sb="11" eb="12">
      <t>ウ</t>
    </rPh>
    <rPh sb="18" eb="21">
      <t>コウゲキリョク</t>
    </rPh>
    <rPh sb="27" eb="28">
      <t>ツカ</t>
    </rPh>
    <rPh sb="30" eb="32">
      <t>コウカ</t>
    </rPh>
    <rPh sb="33" eb="35">
      <t>ウワガ</t>
    </rPh>
    <phoneticPr fontId="5"/>
  </si>
  <si>
    <t>敵の攻撃力がUPしたときは
攻撃力DOWNスキルを使うと
効果を上書きできます！</t>
    <rPh sb="0" eb="1">
      <t>テキ</t>
    </rPh>
    <rPh sb="2" eb="5">
      <t>コウゲキリョク</t>
    </rPh>
    <rPh sb="14" eb="17">
      <t>コウゲキリョク</t>
    </rPh>
    <rPh sb="25" eb="26">
      <t>ツカ</t>
    </rPh>
    <rPh sb="29" eb="31">
      <t>コウカ</t>
    </rPh>
    <rPh sb="32" eb="34">
      <t>ウワガ</t>
    </rPh>
    <phoneticPr fontId="5"/>
  </si>
  <si>
    <t>限界突破（+値）の引継ぎは同じユニットか
同じユニットの覚醒前後のみ可能です。
ユニット強化の際は注意しましょう！</t>
    <rPh sb="0" eb="4">
      <t>ゲンカイトッパ</t>
    </rPh>
    <rPh sb="6" eb="7">
      <t>アタイ</t>
    </rPh>
    <rPh sb="9" eb="11">
      <t>ヒキツ</t>
    </rPh>
    <rPh sb="13" eb="14">
      <t>オナ</t>
    </rPh>
    <rPh sb="21" eb="22">
      <t>オナ</t>
    </rPh>
    <rPh sb="28" eb="32">
      <t>カクセイケイ</t>
    </rPh>
    <rPh sb="34" eb="36">
      <t>カノウ</t>
    </rPh>
    <rPh sb="44" eb="46">
      <t>キョウカ</t>
    </rPh>
    <rPh sb="47" eb="48">
      <t>サイ</t>
    </rPh>
    <rPh sb="49" eb="51">
      <t>チュウイ</t>
    </rPh>
    <phoneticPr fontId="5"/>
  </si>
  <si>
    <t>時間限定ゲリラクエスト
「【緊急!!】アヒル捕獲作戦」ではメタルダック等
経験値素材ユニットが多く手に入ります。要チェックです！</t>
    <rPh sb="0" eb="4">
      <t>ジカンゲンテイ</t>
    </rPh>
    <rPh sb="47" eb="49">
      <t>オオk</t>
    </rPh>
    <rPh sb="49" eb="52">
      <t xml:space="preserve"> </t>
    </rPh>
    <rPh sb="56" eb="57">
      <t>ヨウ</t>
    </rPh>
    <phoneticPr fontId="5"/>
  </si>
  <si>
    <t>ユニットは「ユニット強化」をすることで
経験値を取得しレベルアップできます。
「ユニット強化」でクエストを有利に進めましょう！</t>
    <rPh sb="10" eb="12">
      <t>キョウカ</t>
    </rPh>
    <rPh sb="20" eb="23">
      <t>ケイケンチ</t>
    </rPh>
    <rPh sb="24" eb="26">
      <t>シュトク</t>
    </rPh>
    <rPh sb="44" eb="46">
      <t>キョウカ</t>
    </rPh>
    <rPh sb="53" eb="55">
      <t>ユウリ</t>
    </rPh>
    <rPh sb="56" eb="57">
      <t>スス</t>
    </rPh>
    <phoneticPr fontId="5"/>
  </si>
  <si>
    <t>攻めの果実、生命の果実、癒しの果実は
ユニット強化に使うと
各パラメーターを上げることができます
合計＋99まで強化できますよ！</t>
    <rPh sb="0" eb="1">
      <t>セ</t>
    </rPh>
    <rPh sb="3" eb="5">
      <t>カジツ</t>
    </rPh>
    <rPh sb="6" eb="8">
      <t>セイメイ</t>
    </rPh>
    <rPh sb="9" eb="11">
      <t>カジツ</t>
    </rPh>
    <rPh sb="12" eb="13">
      <t>イヤ</t>
    </rPh>
    <rPh sb="15" eb="17">
      <t>カジツ</t>
    </rPh>
    <rPh sb="23" eb="25">
      <t>キョウカ</t>
    </rPh>
    <rPh sb="26" eb="29">
      <t>ツカ</t>
    </rPh>
    <rPh sb="30" eb="31">
      <t>カク</t>
    </rPh>
    <rPh sb="38" eb="39">
      <t>ア</t>
    </rPh>
    <rPh sb="49" eb="51">
      <t>ゴウケ</t>
    </rPh>
    <rPh sb="56" eb="58">
      <t>キョウカ</t>
    </rPh>
    <phoneticPr fontId="5"/>
  </si>
  <si>
    <t>カウンターを使ってくる敵には
「カウンターブレイク」のスキルが有効です
カウンターを解除して大ダメージを
与えることができます！</t>
    <rPh sb="6" eb="7">
      <t>ツカ</t>
    </rPh>
    <rPh sb="11" eb="12">
      <t>テキ</t>
    </rPh>
    <rPh sb="31" eb="33">
      <t>ユウコウ</t>
    </rPh>
    <rPh sb="42" eb="44">
      <t>カイジョ</t>
    </rPh>
    <rPh sb="46" eb="47">
      <t>ダイ</t>
    </rPh>
    <rPh sb="53" eb="54">
      <t>アタ</t>
    </rPh>
    <phoneticPr fontId="5"/>
  </si>
  <si>
    <t>ユニットはターン経過で
スキルが使えるようになります。
「Skill OK」というアイコンが出たら
スキルを使うチャンス！</t>
    <rPh sb="8" eb="10">
      <t>ケイカ</t>
    </rPh>
    <rPh sb="16" eb="17">
      <t>ツカ</t>
    </rPh>
    <rPh sb="46" eb="47">
      <t>デ</t>
    </rPh>
    <rPh sb="54" eb="55">
      <t>ツカ</t>
    </rPh>
    <phoneticPr fontId="5"/>
  </si>
  <si>
    <t>売却すると大量ビットが手に入る
「ゴールドダック」は土日限定の
「ゴールドカジノ」で手に入ります</t>
    <rPh sb="0" eb="2">
      <t>バイキャク</t>
    </rPh>
    <rPh sb="5" eb="7">
      <t>タイリョウ</t>
    </rPh>
    <rPh sb="11" eb="12">
      <t>テ</t>
    </rPh>
    <rPh sb="13" eb="14">
      <t>ハイ</t>
    </rPh>
    <rPh sb="26" eb="28">
      <t>ドニチ</t>
    </rPh>
    <rPh sb="28" eb="30">
      <t>ゲンテイ</t>
    </rPh>
    <rPh sb="42" eb="43">
      <t>テ</t>
    </rPh>
    <rPh sb="44" eb="45">
      <t>ハイ</t>
    </rPh>
    <phoneticPr fontId="5"/>
  </si>
  <si>
    <t>skip</t>
    <phoneticPr fontId="38"/>
  </si>
  <si>
    <t>NULL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</si>
</sst>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.6"/>
      <color rgb="FF000000"/>
      <name val="Arial"/>
      <family val="2"/>
    </font>
    <font>
      <sz val="10"/>
      <color theme="1"/>
      <name val="ＭＳ Ｐゴシック"/>
      <family val="2"/>
      <charset val="128"/>
      <scheme val="minor"/>
    </font>
    <font>
      <sz val="10"/>
      <color rgb="FF000000"/>
      <name val="Arial"/>
      <family val="2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0"/>
      <color indexed="8"/>
      <name val="Arial"/>
      <family val="2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</font>
    <font>
      <sz val="9.6"/>
      <color rgb="FF000000"/>
      <name val="ＭＳ Ｐゴシック"/>
      <family val="2"/>
      <charset val="128"/>
    </font>
    <font>
      <sz val="12"/>
      <name val="ＭＳ Ｐゴシック"/>
      <charset val="128"/>
      <scheme val="minor"/>
    </font>
    <font>
      <sz val="10"/>
      <color rgb="FF000000"/>
      <name val="ＭＳ Ｐ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813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14" fillId="7" borderId="3" applyNumberFormat="0" applyAlignment="0" applyProtection="0"/>
    <xf numFmtId="0" fontId="15" fillId="8" borderId="0" applyNumberFormat="0" applyBorder="0" applyAlignment="0" applyProtection="0"/>
    <xf numFmtId="0" fontId="16" fillId="9" borderId="4" applyNumberFormat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5" applyNumberFormat="0" applyAlignment="0" applyProtection="0"/>
    <xf numFmtId="0" fontId="20" fillId="0" borderId="0" applyNumberFormat="0" applyFill="0" applyBorder="0" applyAlignment="0" applyProtection="0"/>
    <xf numFmtId="0" fontId="21" fillId="0" borderId="6" applyNumberFormat="0" applyFill="0" applyAlignment="0" applyProtection="0"/>
    <xf numFmtId="0" fontId="22" fillId="0" borderId="7" applyNumberFormat="0" applyFill="0" applyAlignment="0" applyProtection="0"/>
    <xf numFmtId="0" fontId="23" fillId="0" borderId="8" applyNumberFormat="0" applyFill="0" applyAlignment="0" applyProtection="0"/>
    <xf numFmtId="0" fontId="23" fillId="0" borderId="0" applyNumberFormat="0" applyFill="0" applyBorder="0" applyAlignment="0" applyProtection="0"/>
    <xf numFmtId="0" fontId="24" fillId="9" borderId="0" applyNumberFormat="0" applyBorder="0" applyAlignment="0" applyProtection="0"/>
    <xf numFmtId="0" fontId="24" fillId="8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3" borderId="0" applyNumberFormat="0" applyBorder="0" applyAlignment="0" applyProtection="0"/>
    <xf numFmtId="0" fontId="24" fillId="7" borderId="0" applyNumberFormat="0" applyBorder="0" applyAlignment="0" applyProtection="0"/>
    <xf numFmtId="0" fontId="24" fillId="9" borderId="0" applyNumberFormat="0" applyBorder="0" applyAlignment="0" applyProtection="0"/>
    <xf numFmtId="0" fontId="24" fillId="14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5" borderId="0" applyNumberFormat="0" applyBorder="0" applyAlignment="0" applyProtection="0"/>
    <xf numFmtId="0" fontId="24" fillId="8" borderId="0" applyNumberFormat="0" applyBorder="0" applyAlignment="0" applyProtection="0"/>
    <xf numFmtId="0" fontId="25" fillId="16" borderId="0" applyNumberFormat="0" applyBorder="0" applyAlignment="0" applyProtection="0"/>
    <xf numFmtId="0" fontId="25" fillId="14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6" borderId="0" applyNumberFormat="0" applyBorder="0" applyAlignment="0" applyProtection="0"/>
    <xf numFmtId="0" fontId="25" fillId="8" borderId="0" applyNumberFormat="0" applyBorder="0" applyAlignment="0" applyProtection="0"/>
    <xf numFmtId="0" fontId="17" fillId="0" borderId="0" applyNumberFormat="0" applyFill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2" borderId="0" applyNumberFormat="0" applyBorder="0" applyAlignment="0" applyProtection="0"/>
    <xf numFmtId="0" fontId="25" fillId="18" borderId="0" applyNumberFormat="0" applyBorder="0" applyAlignment="0" applyProtection="0"/>
    <xf numFmtId="0" fontId="25" fillId="16" borderId="0" applyNumberFormat="0" applyBorder="0" applyAlignment="0" applyProtection="0"/>
    <xf numFmtId="0" fontId="25" fillId="14" borderId="0" applyNumberFormat="0" applyBorder="0" applyAlignment="0" applyProtection="0"/>
    <xf numFmtId="0" fontId="26" fillId="19" borderId="0" applyNumberFormat="0" applyBorder="0" applyAlignment="0" applyProtection="0"/>
    <xf numFmtId="0" fontId="15" fillId="8" borderId="0" applyNumberFormat="0" applyBorder="0" applyAlignment="0" applyProtection="0"/>
    <xf numFmtId="0" fontId="27" fillId="0" borderId="0"/>
    <xf numFmtId="0" fontId="28" fillId="0" borderId="9" applyNumberFormat="0" applyFill="0" applyAlignment="0" applyProtection="0"/>
    <xf numFmtId="0" fontId="29" fillId="9" borderId="10" applyNumberFormat="0" applyAlignment="0" applyProtection="0"/>
    <xf numFmtId="0" fontId="29" fillId="20" borderId="10" applyNumberFormat="0" applyAlignment="0" applyProtection="0"/>
    <xf numFmtId="0" fontId="16" fillId="8" borderId="4" applyNumberFormat="0" applyAlignment="0" applyProtection="0"/>
    <xf numFmtId="0" fontId="30" fillId="0" borderId="11" applyNumberFormat="0" applyFill="0" applyAlignment="0" applyProtection="0"/>
    <xf numFmtId="0" fontId="31" fillId="20" borderId="4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2" applyNumberFormat="0" applyFill="0" applyAlignment="0" applyProtection="0"/>
    <xf numFmtId="0" fontId="34" fillId="21" borderId="0" applyNumberFormat="0" applyBorder="0" applyAlignment="0" applyProtection="0"/>
    <xf numFmtId="0" fontId="35" fillId="22" borderId="0" applyNumberFormat="0" applyBorder="0" applyAlignment="0" applyProtection="0"/>
    <xf numFmtId="0" fontId="36" fillId="0" borderId="0"/>
    <xf numFmtId="0" fontId="3" fillId="0" borderId="0"/>
    <xf numFmtId="0" fontId="3" fillId="0" borderId="0"/>
    <xf numFmtId="0" fontId="37" fillId="22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</cellStyleXfs>
  <cellXfs count="38">
    <xf numFmtId="0" fontId="0" fillId="0" borderId="0" xfId="0"/>
    <xf numFmtId="0" fontId="7" fillId="2" borderId="1" xfId="0" applyFont="1" applyFill="1" applyBorder="1" applyAlignment="1">
      <alignment horizontal="center"/>
    </xf>
    <xf numFmtId="56" fontId="7" fillId="3" borderId="1" xfId="0" applyNumberFormat="1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3" fillId="5" borderId="2" xfId="0" applyFont="1" applyFill="1" applyBorder="1" applyAlignment="1">
      <alignment vertical="center"/>
    </xf>
    <xf numFmtId="0" fontId="8" fillId="0" borderId="1" xfId="0" applyFont="1" applyFill="1" applyBorder="1"/>
    <xf numFmtId="0" fontId="6" fillId="0" borderId="1" xfId="0" applyFont="1" applyFill="1" applyBorder="1"/>
    <xf numFmtId="0" fontId="7" fillId="5" borderId="1" xfId="0" applyFont="1" applyFill="1" applyBorder="1" applyAlignment="1">
      <alignment horizontal="center"/>
    </xf>
    <xf numFmtId="0" fontId="12" fillId="6" borderId="1" xfId="455" applyFont="1" applyFill="1" applyBorder="1"/>
    <xf numFmtId="0" fontId="3" fillId="6" borderId="1" xfId="455" applyFill="1" applyBorder="1"/>
    <xf numFmtId="0" fontId="3" fillId="0" borderId="0" xfId="455"/>
    <xf numFmtId="0" fontId="3" fillId="0" borderId="1" xfId="455" applyBorder="1"/>
    <xf numFmtId="0" fontId="7" fillId="2" borderId="1" xfId="456" applyFont="1" applyFill="1" applyBorder="1" applyAlignment="1">
      <alignment horizontal="left"/>
    </xf>
    <xf numFmtId="0" fontId="7" fillId="3" borderId="1" xfId="0" applyFont="1" applyFill="1" applyBorder="1" applyAlignment="1">
      <alignment horizontal="center"/>
    </xf>
    <xf numFmtId="0" fontId="12" fillId="6" borderId="1" xfId="0" applyFont="1" applyFill="1" applyBorder="1"/>
    <xf numFmtId="0" fontId="2" fillId="0" borderId="1" xfId="455" applyFont="1" applyBorder="1"/>
    <xf numFmtId="56" fontId="7" fillId="2" borderId="1" xfId="0" applyNumberFormat="1" applyFont="1" applyFill="1" applyBorder="1" applyAlignment="1">
      <alignment horizontal="center"/>
    </xf>
    <xf numFmtId="0" fontId="3" fillId="23" borderId="1" xfId="455" applyFill="1" applyBorder="1"/>
    <xf numFmtId="0" fontId="0" fillId="2" borderId="1" xfId="455" applyFont="1" applyFill="1" applyBorder="1"/>
    <xf numFmtId="0" fontId="13" fillId="0" borderId="2" xfId="0" applyFont="1" applyFill="1" applyBorder="1" applyAlignment="1">
      <alignment vertical="center"/>
    </xf>
    <xf numFmtId="0" fontId="3" fillId="2" borderId="0" xfId="455" applyFill="1"/>
    <xf numFmtId="0" fontId="0" fillId="3" borderId="1" xfId="0" applyFill="1" applyBorder="1"/>
    <xf numFmtId="0" fontId="0" fillId="0" borderId="1" xfId="0" applyBorder="1"/>
    <xf numFmtId="0" fontId="0" fillId="2" borderId="0" xfId="455" applyFont="1" applyFill="1"/>
    <xf numFmtId="0" fontId="0" fillId="0" borderId="1" xfId="455" applyFont="1" applyBorder="1"/>
    <xf numFmtId="0" fontId="7" fillId="24" borderId="1" xfId="0" applyFont="1" applyFill="1" applyBorder="1" applyAlignment="1">
      <alignment horizontal="center"/>
    </xf>
    <xf numFmtId="0" fontId="40" fillId="2" borderId="1" xfId="0" applyFont="1" applyFill="1" applyBorder="1" applyAlignment="1">
      <alignment horizontal="center"/>
    </xf>
    <xf numFmtId="0" fontId="40" fillId="0" borderId="1" xfId="0" applyFont="1" applyFill="1" applyBorder="1"/>
    <xf numFmtId="0" fontId="40" fillId="0" borderId="0" xfId="0" applyFont="1" applyFill="1"/>
    <xf numFmtId="0" fontId="12" fillId="4" borderId="0" xfId="0" applyFont="1" applyFill="1" applyAlignment="1">
      <alignment horizontal="left" indent="1"/>
    </xf>
    <xf numFmtId="0" fontId="7" fillId="0" borderId="1" xfId="0" applyFont="1" applyBorder="1" applyAlignment="1">
      <alignment wrapText="1"/>
    </xf>
    <xf numFmtId="0" fontId="7" fillId="0" borderId="1" xfId="0" applyFont="1" applyFill="1" applyBorder="1" applyAlignment="1">
      <alignment wrapText="1"/>
    </xf>
    <xf numFmtId="0" fontId="41" fillId="0" borderId="13" xfId="0" applyFont="1" applyBorder="1" applyAlignment="1">
      <alignment wrapText="1"/>
    </xf>
    <xf numFmtId="0" fontId="7" fillId="0" borderId="1" xfId="0" applyFont="1" applyBorder="1"/>
    <xf numFmtId="0" fontId="7" fillId="0" borderId="14" xfId="0" applyFont="1" applyFill="1" applyBorder="1" applyAlignment="1">
      <alignment wrapText="1"/>
    </xf>
    <xf numFmtId="0" fontId="41" fillId="0" borderId="15" xfId="0" applyFont="1" applyBorder="1" applyAlignment="1">
      <alignment wrapText="1"/>
    </xf>
    <xf numFmtId="0" fontId="39" fillId="24" borderId="1" xfId="0" applyFont="1" applyFill="1" applyBorder="1"/>
    <xf numFmtId="38" fontId="7" fillId="24" borderId="1" xfId="812" applyFont="1" applyFill="1" applyBorder="1" applyAlignment="1"/>
  </cellXfs>
  <cellStyles count="813">
    <cellStyle name="20% - ANZg1" xfId="469"/>
    <cellStyle name="20% - ANZg2" xfId="470"/>
    <cellStyle name="20% - ANZg3" xfId="471"/>
    <cellStyle name="20% - ANZg4" xfId="472"/>
    <cellStyle name="20% - ANZg5" xfId="473"/>
    <cellStyle name="20% - ANZg6" xfId="474"/>
    <cellStyle name="40% - ANZg1" xfId="475"/>
    <cellStyle name="40% - ANZg2" xfId="476"/>
    <cellStyle name="40% - ANZg3" xfId="477"/>
    <cellStyle name="40% - ANZg4" xfId="478"/>
    <cellStyle name="40% - ANZg5" xfId="479"/>
    <cellStyle name="40% - ANZg6" xfId="480"/>
    <cellStyle name="60% - ANZg1" xfId="481"/>
    <cellStyle name="60% - ANZg2" xfId="482"/>
    <cellStyle name="60% - ANZg3" xfId="483"/>
    <cellStyle name="60% - ANZg4" xfId="484"/>
    <cellStyle name="60% - ANZg5" xfId="485"/>
    <cellStyle name="60% - ANZg6" xfId="486"/>
    <cellStyle name="Excel Built-in Normal" xfId="496"/>
    <cellStyle name="^Cg" xfId="464"/>
    <cellStyle name="`FbN Z" xfId="463"/>
    <cellStyle name="ANZg 1" xfId="488"/>
    <cellStyle name="ANZg 2" xfId="489"/>
    <cellStyle name="ANZg 3" xfId="490"/>
    <cellStyle name="ANZg 4" xfId="491"/>
    <cellStyle name="ANZg 5" xfId="492"/>
    <cellStyle name="ANZg 6" xfId="493"/>
    <cellStyle name="" xfId="458"/>
    <cellStyle name="N Z" xfId="497"/>
    <cellStyle name="_" xfId="459"/>
    <cellStyle name="«¢" xfId="462"/>
    <cellStyle name="vZ" xfId="502"/>
    <cellStyle name="x÷" xfId="504"/>
    <cellStyle name="x¶" xfId="503"/>
    <cellStyle name="ýo_ 1" xfId="505"/>
    <cellStyle name="©oµ 1" xfId="465"/>
    <cellStyle name="©oµ 2" xfId="466"/>
    <cellStyle name="©oµ 3" xfId="467"/>
    <cellStyle name="©oµ 4" xfId="468"/>
    <cellStyle name="v" xfId="501"/>
    <cellStyle name="o_" xfId="498"/>
    <cellStyle name="oÍ" xfId="499"/>
    <cellStyle name="__÷" xfId="461"/>
    <cellStyle name="à¾¶" xfId="487"/>
    <cellStyle name="__" xfId="460"/>
    <cellStyle name="üÍ" xfId="500"/>
    <cellStyle name="Ê" xfId="495"/>
    <cellStyle name="Ç¢" xfId="494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桁区切り 2" xfId="139"/>
    <cellStyle name="桁区切り 2 2" xfId="812"/>
    <cellStyle name="標準" xfId="0" builtinId="0"/>
    <cellStyle name="標準 2" xfId="238"/>
    <cellStyle name="標準 3" xfId="508"/>
    <cellStyle name="標準 4" xfId="456"/>
    <cellStyle name="標準 4 2" xfId="457"/>
    <cellStyle name="標準 5" xfId="509"/>
    <cellStyle name="標準 5 2" xfId="510"/>
    <cellStyle name="標準 6" xfId="455"/>
    <cellStyle name="無題1" xfId="5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赤字強調" xfId="507"/>
    <cellStyle name="青字強調" xfId="506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externalLink" Target="externalLinks/externalLink2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11207</v>
          </cell>
        </row>
        <row r="66">
          <cell r="A66">
            <v>11208</v>
          </cell>
        </row>
        <row r="67">
          <cell r="A67">
            <v>11209</v>
          </cell>
        </row>
        <row r="68">
          <cell r="A68">
            <v>11210</v>
          </cell>
        </row>
        <row r="69">
          <cell r="A69">
            <v>11211</v>
          </cell>
        </row>
        <row r="70">
          <cell r="A70">
            <v>11212</v>
          </cell>
        </row>
        <row r="71">
          <cell r="A71">
            <v>11213</v>
          </cell>
        </row>
        <row r="72">
          <cell r="A72">
            <v>11214</v>
          </cell>
        </row>
        <row r="73">
          <cell r="A73">
            <v>11215</v>
          </cell>
        </row>
        <row r="74">
          <cell r="A74">
            <v>11216</v>
          </cell>
        </row>
        <row r="75">
          <cell r="A75">
            <v>11217</v>
          </cell>
        </row>
        <row r="76">
          <cell r="A76">
            <v>11218</v>
          </cell>
        </row>
        <row r="77">
          <cell r="A77">
            <v>11219</v>
          </cell>
        </row>
        <row r="78">
          <cell r="A78">
            <v>11220</v>
          </cell>
        </row>
        <row r="79">
          <cell r="A79">
            <v>11221</v>
          </cell>
        </row>
        <row r="80">
          <cell r="A80">
            <v>11224</v>
          </cell>
        </row>
        <row r="81">
          <cell r="A81">
            <v>11225</v>
          </cell>
        </row>
        <row r="82">
          <cell r="A82">
            <v>11226</v>
          </cell>
        </row>
        <row r="83">
          <cell r="A83">
            <v>12001</v>
          </cell>
        </row>
        <row r="84">
          <cell r="A84">
            <v>12002</v>
          </cell>
        </row>
        <row r="85">
          <cell r="A85">
            <v>12003</v>
          </cell>
        </row>
        <row r="86">
          <cell r="A86">
            <v>12004</v>
          </cell>
        </row>
        <row r="87">
          <cell r="A87">
            <v>13001</v>
          </cell>
        </row>
        <row r="88">
          <cell r="A88">
            <v>14001</v>
          </cell>
        </row>
        <row r="89">
          <cell r="A89">
            <v>14002</v>
          </cell>
        </row>
        <row r="90">
          <cell r="A90">
            <v>14003</v>
          </cell>
        </row>
        <row r="91">
          <cell r="A91">
            <v>14004</v>
          </cell>
        </row>
        <row r="92">
          <cell r="A92">
            <v>14005</v>
          </cell>
        </row>
        <row r="93">
          <cell r="A93">
            <v>14006</v>
          </cell>
        </row>
        <row r="94">
          <cell r="A94">
            <v>15027</v>
          </cell>
        </row>
        <row r="95">
          <cell r="A95">
            <v>15028</v>
          </cell>
        </row>
        <row r="96">
          <cell r="A96">
            <v>15029</v>
          </cell>
        </row>
        <row r="97">
          <cell r="A97">
            <v>15030</v>
          </cell>
        </row>
        <row r="98">
          <cell r="A98">
            <v>15031</v>
          </cell>
        </row>
        <row r="99">
          <cell r="A99">
            <v>20001</v>
          </cell>
        </row>
        <row r="100">
          <cell r="A100">
            <v>20002</v>
          </cell>
        </row>
        <row r="101">
          <cell r="A101">
            <v>20003</v>
          </cell>
        </row>
        <row r="102">
          <cell r="A102">
            <v>20004</v>
          </cell>
        </row>
        <row r="103">
          <cell r="A103">
            <v>20005</v>
          </cell>
        </row>
        <row r="104">
          <cell r="A104">
            <v>20006</v>
          </cell>
        </row>
        <row r="105">
          <cell r="A105">
            <v>20007</v>
          </cell>
        </row>
        <row r="106">
          <cell r="A106">
            <v>20008</v>
          </cell>
        </row>
        <row r="107">
          <cell r="A107">
            <v>20009</v>
          </cell>
        </row>
        <row r="108">
          <cell r="A108">
            <v>20010</v>
          </cell>
        </row>
        <row r="109">
          <cell r="A109">
            <v>20011</v>
          </cell>
        </row>
        <row r="110">
          <cell r="A110">
            <v>20012</v>
          </cell>
        </row>
        <row r="111">
          <cell r="A111">
            <v>20013</v>
          </cell>
        </row>
        <row r="112">
          <cell r="A112">
            <v>20014</v>
          </cell>
        </row>
        <row r="113">
          <cell r="A113">
            <v>20015</v>
          </cell>
        </row>
        <row r="114">
          <cell r="A114">
            <v>20016</v>
          </cell>
        </row>
        <row r="115">
          <cell r="A115">
            <v>20017</v>
          </cell>
        </row>
        <row r="116">
          <cell r="A116">
            <v>20018</v>
          </cell>
        </row>
        <row r="117">
          <cell r="A117">
            <v>30001</v>
          </cell>
        </row>
        <row r="118">
          <cell r="A118">
            <v>30002</v>
          </cell>
        </row>
        <row r="119">
          <cell r="A119">
            <v>30003</v>
          </cell>
        </row>
        <row r="120">
          <cell r="A120">
            <v>30004</v>
          </cell>
        </row>
        <row r="121">
          <cell r="A121">
            <v>30005</v>
          </cell>
        </row>
        <row r="122">
          <cell r="A122">
            <v>30006</v>
          </cell>
        </row>
        <row r="123">
          <cell r="A123">
            <v>30007</v>
          </cell>
        </row>
        <row r="124">
          <cell r="A124">
            <v>30008</v>
          </cell>
        </row>
        <row r="125">
          <cell r="A125">
            <v>30009</v>
          </cell>
        </row>
        <row r="126">
          <cell r="A126">
            <v>30010</v>
          </cell>
        </row>
        <row r="127">
          <cell r="A127">
            <v>30011</v>
          </cell>
        </row>
        <row r="128">
          <cell r="A128">
            <v>30012</v>
          </cell>
        </row>
        <row r="129">
          <cell r="A129">
            <v>30013</v>
          </cell>
        </row>
        <row r="130">
          <cell r="A130">
            <v>30014</v>
          </cell>
        </row>
        <row r="131">
          <cell r="A131">
            <v>30015</v>
          </cell>
        </row>
        <row r="132">
          <cell r="A132">
            <v>30016</v>
          </cell>
        </row>
        <row r="133">
          <cell r="A133">
            <v>30017</v>
          </cell>
        </row>
        <row r="134">
          <cell r="A134">
            <v>30018</v>
          </cell>
        </row>
        <row r="135">
          <cell r="A135">
            <v>30019</v>
          </cell>
        </row>
        <row r="136">
          <cell r="A136">
            <v>30020</v>
          </cell>
        </row>
        <row r="137">
          <cell r="A137">
            <v>30021</v>
          </cell>
        </row>
        <row r="138">
          <cell r="A138">
            <v>30022</v>
          </cell>
        </row>
        <row r="139">
          <cell r="A139">
            <v>30023</v>
          </cell>
        </row>
        <row r="140">
          <cell r="A140">
            <v>30024</v>
          </cell>
        </row>
        <row r="141">
          <cell r="A141">
            <v>30025</v>
          </cell>
        </row>
        <row r="142">
          <cell r="A142">
            <v>30026</v>
          </cell>
        </row>
        <row r="143">
          <cell r="A143">
            <v>30027</v>
          </cell>
        </row>
        <row r="144">
          <cell r="A144">
            <v>30028</v>
          </cell>
        </row>
        <row r="145">
          <cell r="A145">
            <v>30029</v>
          </cell>
        </row>
        <row r="146">
          <cell r="A146">
            <v>30030</v>
          </cell>
        </row>
        <row r="147">
          <cell r="A147">
            <v>30031</v>
          </cell>
        </row>
        <row r="148">
          <cell r="A148">
            <v>30032</v>
          </cell>
        </row>
        <row r="149">
          <cell r="A149">
            <v>30033</v>
          </cell>
        </row>
        <row r="150">
          <cell r="A150">
            <v>30034</v>
          </cell>
        </row>
        <row r="151">
          <cell r="A151">
            <v>30035</v>
          </cell>
        </row>
        <row r="152">
          <cell r="A152">
            <v>30036</v>
          </cell>
        </row>
        <row r="153">
          <cell r="A153">
            <v>30037</v>
          </cell>
        </row>
        <row r="154">
          <cell r="A154">
            <v>30038</v>
          </cell>
        </row>
        <row r="155">
          <cell r="A155">
            <v>39001</v>
          </cell>
        </row>
        <row r="156">
          <cell r="A156">
            <v>39002</v>
          </cell>
        </row>
        <row r="157">
          <cell r="A157">
            <v>39003</v>
          </cell>
        </row>
        <row r="158">
          <cell r="A158">
            <v>39004</v>
          </cell>
        </row>
        <row r="159">
          <cell r="A159">
            <v>39005</v>
          </cell>
        </row>
        <row r="160">
          <cell r="A160">
            <v>39006</v>
          </cell>
        </row>
        <row r="161">
          <cell r="A161">
            <v>40001</v>
          </cell>
        </row>
        <row r="162">
          <cell r="A162">
            <v>40002</v>
          </cell>
        </row>
        <row r="163">
          <cell r="A163">
            <v>40003</v>
          </cell>
        </row>
        <row r="164">
          <cell r="A164">
            <v>40004</v>
          </cell>
        </row>
        <row r="165">
          <cell r="A165">
            <v>40005</v>
          </cell>
        </row>
        <row r="166">
          <cell r="A166">
            <v>40006</v>
          </cell>
        </row>
        <row r="167">
          <cell r="A167">
            <v>40007</v>
          </cell>
        </row>
        <row r="168">
          <cell r="A168">
            <v>40008</v>
          </cell>
        </row>
        <row r="169">
          <cell r="A169">
            <v>40009</v>
          </cell>
        </row>
        <row r="170">
          <cell r="A170">
            <v>40010</v>
          </cell>
        </row>
        <row r="171">
          <cell r="A171">
            <v>40011</v>
          </cell>
        </row>
        <row r="172">
          <cell r="A172">
            <v>40012</v>
          </cell>
        </row>
        <row r="173">
          <cell r="A173">
            <v>40013</v>
          </cell>
        </row>
        <row r="174">
          <cell r="A174">
            <v>40014</v>
          </cell>
        </row>
        <row r="175">
          <cell r="A175">
            <v>40015</v>
          </cell>
        </row>
        <row r="176">
          <cell r="A176">
            <v>40016</v>
          </cell>
        </row>
        <row r="177">
          <cell r="A177">
            <v>40017</v>
          </cell>
        </row>
        <row r="178">
          <cell r="A178">
            <v>40018</v>
          </cell>
        </row>
        <row r="179">
          <cell r="A179">
            <v>40019</v>
          </cell>
        </row>
        <row r="180">
          <cell r="A180">
            <v>40021</v>
          </cell>
        </row>
        <row r="181">
          <cell r="A181">
            <v>40022</v>
          </cell>
        </row>
        <row r="182">
          <cell r="A182">
            <v>48001</v>
          </cell>
        </row>
        <row r="183">
          <cell r="A183">
            <v>48002</v>
          </cell>
        </row>
        <row r="184">
          <cell r="A184">
            <v>41001</v>
          </cell>
        </row>
        <row r="185">
          <cell r="A185">
            <v>41002</v>
          </cell>
        </row>
        <row r="186">
          <cell r="A186">
            <v>41003</v>
          </cell>
        </row>
        <row r="187">
          <cell r="A187">
            <v>41004</v>
          </cell>
        </row>
        <row r="188">
          <cell r="A188">
            <v>41005</v>
          </cell>
        </row>
        <row r="189">
          <cell r="A189">
            <v>41006</v>
          </cell>
        </row>
        <row r="190">
          <cell r="A190">
            <v>41007</v>
          </cell>
        </row>
        <row r="191">
          <cell r="A191">
            <v>41008</v>
          </cell>
        </row>
        <row r="192">
          <cell r="A192">
            <v>41009</v>
          </cell>
        </row>
        <row r="193">
          <cell r="A193">
            <v>41010</v>
          </cell>
        </row>
        <row r="194">
          <cell r="A194">
            <v>41011</v>
          </cell>
        </row>
        <row r="195">
          <cell r="A195">
            <v>41012</v>
          </cell>
        </row>
        <row r="196">
          <cell r="A196">
            <v>41013</v>
          </cell>
        </row>
        <row r="197">
          <cell r="A197">
            <v>41014</v>
          </cell>
        </row>
        <row r="198">
          <cell r="A198">
            <v>47001</v>
          </cell>
        </row>
        <row r="199">
          <cell r="A199">
            <v>47002</v>
          </cell>
        </row>
        <row r="200">
          <cell r="A200">
            <v>49001</v>
          </cell>
        </row>
        <row r="201">
          <cell r="A201">
            <v>49002</v>
          </cell>
        </row>
        <row r="202">
          <cell r="A202">
            <v>49003</v>
          </cell>
        </row>
        <row r="203">
          <cell r="A203">
            <v>49004</v>
          </cell>
        </row>
        <row r="204">
          <cell r="A204">
            <v>49005</v>
          </cell>
        </row>
        <row r="205">
          <cell r="A205">
            <v>49006</v>
          </cell>
        </row>
        <row r="206">
          <cell r="A206">
            <v>50001</v>
          </cell>
        </row>
        <row r="207">
          <cell r="A207">
            <v>50002</v>
          </cell>
        </row>
        <row r="208">
          <cell r="A208">
            <v>50003</v>
          </cell>
        </row>
        <row r="209">
          <cell r="A209">
            <v>50004</v>
          </cell>
        </row>
        <row r="210">
          <cell r="A210">
            <v>50005</v>
          </cell>
        </row>
        <row r="211">
          <cell r="A211">
            <v>50006</v>
          </cell>
        </row>
        <row r="212">
          <cell r="A212">
            <v>51001</v>
          </cell>
        </row>
        <row r="213">
          <cell r="A213">
            <v>51002</v>
          </cell>
        </row>
        <row r="214">
          <cell r="A214">
            <v>60001</v>
          </cell>
        </row>
        <row r="215">
          <cell r="A215">
            <v>60002</v>
          </cell>
        </row>
        <row r="216">
          <cell r="A216">
            <v>60003</v>
          </cell>
        </row>
        <row r="217">
          <cell r="A217">
            <v>60004</v>
          </cell>
        </row>
        <row r="218">
          <cell r="A218">
            <v>60005</v>
          </cell>
        </row>
        <row r="219">
          <cell r="A219">
            <v>60006</v>
          </cell>
        </row>
        <row r="220">
          <cell r="A220">
            <v>60007</v>
          </cell>
        </row>
        <row r="221">
          <cell r="A221">
            <v>60010</v>
          </cell>
        </row>
        <row r="222">
          <cell r="A222">
            <v>60011</v>
          </cell>
        </row>
        <row r="223">
          <cell r="A223">
            <v>61011</v>
          </cell>
        </row>
        <row r="224">
          <cell r="A224">
            <v>60012</v>
          </cell>
        </row>
        <row r="225">
          <cell r="A225">
            <v>60013</v>
          </cell>
        </row>
        <row r="226">
          <cell r="A226">
            <v>65534</v>
          </cell>
        </row>
        <row r="227">
          <cell r="A227">
            <v>65535</v>
          </cell>
        </row>
        <row r="228">
          <cell r="A228">
            <v>60021</v>
          </cell>
        </row>
        <row r="229">
          <cell r="A229">
            <v>60022</v>
          </cell>
        </row>
        <row r="230">
          <cell r="A230">
            <v>60023</v>
          </cell>
        </row>
        <row r="231">
          <cell r="A23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11207_1</v>
          </cell>
        </row>
        <row r="265">
          <cell r="A265" t="str">
            <v>11207_2</v>
          </cell>
        </row>
        <row r="266">
          <cell r="A266" t="str">
            <v>11208_1</v>
          </cell>
        </row>
        <row r="267">
          <cell r="A267" t="str">
            <v>11208_2</v>
          </cell>
        </row>
        <row r="268">
          <cell r="A268" t="str">
            <v>11209_1</v>
          </cell>
        </row>
        <row r="269">
          <cell r="A269" t="str">
            <v>11209_2</v>
          </cell>
        </row>
        <row r="270">
          <cell r="A270" t="str">
            <v>11212_1</v>
          </cell>
        </row>
        <row r="271">
          <cell r="A271" t="str">
            <v>11213_1</v>
          </cell>
        </row>
        <row r="272">
          <cell r="A272" t="str">
            <v>11214_1</v>
          </cell>
        </row>
        <row r="273">
          <cell r="A273" t="str">
            <v>11214_2</v>
          </cell>
        </row>
        <row r="274">
          <cell r="A274" t="str">
            <v>11214_3</v>
          </cell>
        </row>
        <row r="275">
          <cell r="A275" t="str">
            <v>11215_1</v>
          </cell>
        </row>
        <row r="276">
          <cell r="A276" t="str">
            <v>11216_1</v>
          </cell>
        </row>
        <row r="277">
          <cell r="A277" t="str">
            <v>11217_1</v>
          </cell>
        </row>
        <row r="278">
          <cell r="A278" t="str">
            <v>11218_1</v>
          </cell>
        </row>
        <row r="279">
          <cell r="A279" t="str">
            <v>11219_1</v>
          </cell>
        </row>
        <row r="280">
          <cell r="A280" t="str">
            <v>11220_1</v>
          </cell>
        </row>
        <row r="281">
          <cell r="A281" t="str">
            <v>11221_1</v>
          </cell>
        </row>
        <row r="282">
          <cell r="A282" t="str">
            <v>11224_1</v>
          </cell>
        </row>
        <row r="283">
          <cell r="A283" t="str">
            <v>11225_1</v>
          </cell>
        </row>
        <row r="284">
          <cell r="A284" t="str">
            <v>11226_1</v>
          </cell>
        </row>
        <row r="285">
          <cell r="A285" t="str">
            <v>11226_2</v>
          </cell>
        </row>
        <row r="286">
          <cell r="A286" t="str">
            <v>11226_3</v>
          </cell>
        </row>
        <row r="287">
          <cell r="A287" t="str">
            <v>11226_4</v>
          </cell>
        </row>
        <row r="288">
          <cell r="A288" t="str">
            <v>11226_5</v>
          </cell>
        </row>
        <row r="289">
          <cell r="A289" t="str">
            <v>11226_6</v>
          </cell>
        </row>
        <row r="290">
          <cell r="A290" t="str">
            <v>11226_7</v>
          </cell>
        </row>
        <row r="291">
          <cell r="A291" t="str">
            <v>11226_8</v>
          </cell>
        </row>
        <row r="292">
          <cell r="A292" t="str">
            <v>12001_1</v>
          </cell>
        </row>
        <row r="293">
          <cell r="A293" t="str">
            <v>12001_2</v>
          </cell>
        </row>
        <row r="294">
          <cell r="A294" t="str">
            <v>12001_3</v>
          </cell>
        </row>
        <row r="295">
          <cell r="A295" t="str">
            <v>12002_1</v>
          </cell>
        </row>
        <row r="296">
          <cell r="A296" t="str">
            <v>12002_2</v>
          </cell>
        </row>
        <row r="297">
          <cell r="A297" t="str">
            <v>12003_1</v>
          </cell>
        </row>
        <row r="298">
          <cell r="A298" t="str">
            <v>12003_2</v>
          </cell>
        </row>
        <row r="299">
          <cell r="A299" t="str">
            <v>12003_3</v>
          </cell>
        </row>
        <row r="300">
          <cell r="A300" t="str">
            <v>12003_4</v>
          </cell>
        </row>
        <row r="301">
          <cell r="A301" t="str">
            <v>12004_1</v>
          </cell>
        </row>
        <row r="302">
          <cell r="A302" t="str">
            <v>13001_1</v>
          </cell>
        </row>
        <row r="303">
          <cell r="A303" t="str">
            <v>13001_2</v>
          </cell>
        </row>
        <row r="304">
          <cell r="A304" t="str">
            <v>13001_3</v>
          </cell>
        </row>
        <row r="305">
          <cell r="A305" t="str">
            <v>13001_4</v>
          </cell>
        </row>
        <row r="306">
          <cell r="A306" t="str">
            <v>13001_5</v>
          </cell>
        </row>
        <row r="307">
          <cell r="A307" t="str">
            <v>13001_6</v>
          </cell>
        </row>
        <row r="308">
          <cell r="A308" t="str">
            <v>13001_7</v>
          </cell>
        </row>
        <row r="309">
          <cell r="A309" t="str">
            <v>13001_8</v>
          </cell>
        </row>
        <row r="310">
          <cell r="A310" t="str">
            <v>13001_9</v>
          </cell>
        </row>
        <row r="311">
          <cell r="A311" t="str">
            <v>13001_10</v>
          </cell>
        </row>
        <row r="312">
          <cell r="A312" t="str">
            <v>13001_11</v>
          </cell>
        </row>
        <row r="313">
          <cell r="A313" t="str">
            <v>13001_12</v>
          </cell>
        </row>
        <row r="314">
          <cell r="A314" t="str">
            <v>13001_13</v>
          </cell>
        </row>
        <row r="315">
          <cell r="A315" t="str">
            <v>13001_14</v>
          </cell>
        </row>
        <row r="316">
          <cell r="A316" t="str">
            <v>13001_15</v>
          </cell>
        </row>
        <row r="317">
          <cell r="A317" t="str">
            <v>13001_16</v>
          </cell>
        </row>
        <row r="318">
          <cell r="A318" t="str">
            <v>13001_17</v>
          </cell>
        </row>
        <row r="319">
          <cell r="A319" t="str">
            <v>13001_18</v>
          </cell>
        </row>
        <row r="320">
          <cell r="A320" t="str">
            <v>13001_19</v>
          </cell>
        </row>
        <row r="321">
          <cell r="A321" t="str">
            <v>13001_20</v>
          </cell>
        </row>
        <row r="322">
          <cell r="A322" t="str">
            <v>13001_21</v>
          </cell>
        </row>
        <row r="323">
          <cell r="A323" t="str">
            <v>13001_22</v>
          </cell>
        </row>
        <row r="324">
          <cell r="A324" t="str">
            <v>13001_23</v>
          </cell>
        </row>
        <row r="325">
          <cell r="A325" t="str">
            <v>13001_24</v>
          </cell>
        </row>
        <row r="326">
          <cell r="A326" t="str">
            <v>13001_25</v>
          </cell>
        </row>
        <row r="327">
          <cell r="A327" t="str">
            <v>14001_1</v>
          </cell>
        </row>
        <row r="328">
          <cell r="A328" t="str">
            <v>14001_2</v>
          </cell>
        </row>
        <row r="329">
          <cell r="A329" t="str">
            <v>14001_3</v>
          </cell>
        </row>
        <row r="330">
          <cell r="A330" t="str">
            <v>14001_4</v>
          </cell>
        </row>
        <row r="331">
          <cell r="A331" t="str">
            <v>14001_5</v>
          </cell>
        </row>
        <row r="332">
          <cell r="A332" t="str">
            <v>14001_6</v>
          </cell>
        </row>
        <row r="333">
          <cell r="A333" t="str">
            <v>14001_7</v>
          </cell>
        </row>
        <row r="334">
          <cell r="A334" t="str">
            <v>14001_8</v>
          </cell>
        </row>
        <row r="335">
          <cell r="A335" t="str">
            <v>14002_1</v>
          </cell>
        </row>
        <row r="336">
          <cell r="A336" t="str">
            <v>14002_2</v>
          </cell>
        </row>
        <row r="337">
          <cell r="A337" t="str">
            <v>14003_1</v>
          </cell>
        </row>
        <row r="338">
          <cell r="A338" t="str">
            <v>14003_2</v>
          </cell>
        </row>
        <row r="339">
          <cell r="A339" t="str">
            <v>14003_3</v>
          </cell>
        </row>
        <row r="340">
          <cell r="A340" t="str">
            <v>14003_4</v>
          </cell>
        </row>
        <row r="341">
          <cell r="A341" t="str">
            <v>14004_1</v>
          </cell>
        </row>
        <row r="342">
          <cell r="A342" t="str">
            <v>14004_2</v>
          </cell>
        </row>
        <row r="343">
          <cell r="A343" t="str">
            <v>14004_3</v>
          </cell>
        </row>
        <row r="344">
          <cell r="A344" t="str">
            <v>14004_4</v>
          </cell>
        </row>
        <row r="345">
          <cell r="A345" t="str">
            <v>14005_1</v>
          </cell>
        </row>
        <row r="346">
          <cell r="A346" t="str">
            <v>14006_1</v>
          </cell>
        </row>
        <row r="347">
          <cell r="A347" t="str">
            <v>15027_1</v>
          </cell>
        </row>
        <row r="348">
          <cell r="A348" t="str">
            <v>15027_2</v>
          </cell>
        </row>
        <row r="349">
          <cell r="A349" t="str">
            <v>15027_3</v>
          </cell>
        </row>
        <row r="350">
          <cell r="A350" t="str">
            <v>15027_4</v>
          </cell>
        </row>
        <row r="351">
          <cell r="A351" t="str">
            <v>15028_1</v>
          </cell>
        </row>
        <row r="352">
          <cell r="A352" t="str">
            <v>15028_2</v>
          </cell>
        </row>
        <row r="353">
          <cell r="A353" t="str">
            <v>15028_3</v>
          </cell>
        </row>
        <row r="354">
          <cell r="A354" t="str">
            <v>15028_4</v>
          </cell>
        </row>
        <row r="355">
          <cell r="A355" t="str">
            <v>15029_1</v>
          </cell>
        </row>
        <row r="356">
          <cell r="A356" t="str">
            <v>15029_2</v>
          </cell>
        </row>
        <row r="357">
          <cell r="A357" t="str">
            <v>15029_3</v>
          </cell>
        </row>
        <row r="358">
          <cell r="A358" t="str">
            <v>15029_4</v>
          </cell>
        </row>
        <row r="359">
          <cell r="A359" t="str">
            <v>15030_1</v>
          </cell>
        </row>
        <row r="360">
          <cell r="A360" t="str">
            <v>15030_2</v>
          </cell>
        </row>
        <row r="361">
          <cell r="A361" t="str">
            <v>15030_3</v>
          </cell>
        </row>
        <row r="362">
          <cell r="A362" t="str">
            <v>15030_4</v>
          </cell>
        </row>
        <row r="363">
          <cell r="A363" t="str">
            <v>15031_1</v>
          </cell>
        </row>
        <row r="364">
          <cell r="A364" t="str">
            <v>15031_2</v>
          </cell>
        </row>
        <row r="365">
          <cell r="A365" t="str">
            <v>15031_3</v>
          </cell>
        </row>
        <row r="366">
          <cell r="A366" t="str">
            <v>15031_4</v>
          </cell>
        </row>
        <row r="367">
          <cell r="A367" t="str">
            <v>20001_1</v>
          </cell>
        </row>
        <row r="368">
          <cell r="A368" t="str">
            <v>20001_2</v>
          </cell>
        </row>
        <row r="369">
          <cell r="A369" t="str">
            <v>20001_3</v>
          </cell>
        </row>
        <row r="370">
          <cell r="A370" t="str">
            <v>20002_1</v>
          </cell>
        </row>
        <row r="371">
          <cell r="A371" t="str">
            <v>20002_2</v>
          </cell>
        </row>
        <row r="372">
          <cell r="A372" t="str">
            <v>20002_3</v>
          </cell>
        </row>
        <row r="373">
          <cell r="A373" t="str">
            <v>20003_1</v>
          </cell>
        </row>
        <row r="374">
          <cell r="A374" t="str">
            <v>20003_2</v>
          </cell>
        </row>
        <row r="375">
          <cell r="A375" t="str">
            <v>20003_3</v>
          </cell>
        </row>
        <row r="376">
          <cell r="A376" t="str">
            <v>20004_1</v>
          </cell>
        </row>
        <row r="377">
          <cell r="A377" t="str">
            <v>20004_2</v>
          </cell>
        </row>
        <row r="378">
          <cell r="A378" t="str">
            <v>20004_3</v>
          </cell>
        </row>
        <row r="379">
          <cell r="A379" t="str">
            <v>20005_1</v>
          </cell>
        </row>
        <row r="380">
          <cell r="A380" t="str">
            <v>20005_2</v>
          </cell>
        </row>
        <row r="381">
          <cell r="A381" t="str">
            <v>20005_3</v>
          </cell>
        </row>
        <row r="382">
          <cell r="A382" t="str">
            <v>20006_1</v>
          </cell>
        </row>
        <row r="383">
          <cell r="A383" t="str">
            <v>20006_2</v>
          </cell>
        </row>
        <row r="384">
          <cell r="A384" t="str">
            <v>20006_3</v>
          </cell>
        </row>
        <row r="385">
          <cell r="A385" t="str">
            <v>20007_1</v>
          </cell>
        </row>
        <row r="386">
          <cell r="A386" t="str">
            <v>20007_2</v>
          </cell>
        </row>
        <row r="387">
          <cell r="A387" t="str">
            <v>20007_3</v>
          </cell>
        </row>
        <row r="388">
          <cell r="A388" t="str">
            <v>20008_1</v>
          </cell>
        </row>
        <row r="389">
          <cell r="A389" t="str">
            <v>20008_2</v>
          </cell>
        </row>
        <row r="390">
          <cell r="A390" t="str">
            <v>20008_3</v>
          </cell>
        </row>
        <row r="391">
          <cell r="A391" t="str">
            <v>20009_1</v>
          </cell>
        </row>
        <row r="392">
          <cell r="A392" t="str">
            <v>20009_2</v>
          </cell>
        </row>
        <row r="393">
          <cell r="A393" t="str">
            <v>20009_3</v>
          </cell>
        </row>
        <row r="394">
          <cell r="A394" t="str">
            <v>20010_1</v>
          </cell>
        </row>
        <row r="395">
          <cell r="A395" t="str">
            <v>20010_2</v>
          </cell>
        </row>
        <row r="396">
          <cell r="A396" t="str">
            <v>20010_3</v>
          </cell>
        </row>
        <row r="397">
          <cell r="A397" t="str">
            <v>20011_1</v>
          </cell>
        </row>
        <row r="398">
          <cell r="A398" t="str">
            <v>20011_2</v>
          </cell>
        </row>
        <row r="399">
          <cell r="A399" t="str">
            <v>20011_3</v>
          </cell>
        </row>
        <row r="400">
          <cell r="A400" t="str">
            <v>20012_1</v>
          </cell>
        </row>
        <row r="401">
          <cell r="A401" t="str">
            <v>20012_2</v>
          </cell>
        </row>
        <row r="402">
          <cell r="A402" t="str">
            <v>20012_3</v>
          </cell>
        </row>
        <row r="403">
          <cell r="A403" t="str">
            <v>20013_1</v>
          </cell>
        </row>
        <row r="404">
          <cell r="A404" t="str">
            <v>20013_2</v>
          </cell>
        </row>
        <row r="405">
          <cell r="A405" t="str">
            <v>20013_3</v>
          </cell>
        </row>
        <row r="406">
          <cell r="A406" t="str">
            <v>20014_1</v>
          </cell>
        </row>
        <row r="407">
          <cell r="A407" t="str">
            <v>20014_2</v>
          </cell>
        </row>
        <row r="408">
          <cell r="A408" t="str">
            <v>20014_3</v>
          </cell>
        </row>
        <row r="409">
          <cell r="A409" t="str">
            <v>20015_1</v>
          </cell>
        </row>
        <row r="410">
          <cell r="A410" t="str">
            <v>20015_2</v>
          </cell>
        </row>
        <row r="411">
          <cell r="A411" t="str">
            <v>20015_3</v>
          </cell>
        </row>
        <row r="412">
          <cell r="A412" t="str">
            <v>20016_1</v>
          </cell>
        </row>
        <row r="413">
          <cell r="A413" t="str">
            <v>20016_2</v>
          </cell>
        </row>
        <row r="414">
          <cell r="A414" t="str">
            <v>20016_3</v>
          </cell>
        </row>
        <row r="415">
          <cell r="A415" t="str">
            <v>20017_1</v>
          </cell>
        </row>
        <row r="416">
          <cell r="A416" t="str">
            <v>20017_2</v>
          </cell>
        </row>
        <row r="417">
          <cell r="A417" t="str">
            <v>20017_3</v>
          </cell>
        </row>
        <row r="418">
          <cell r="A418" t="str">
            <v>20018_1</v>
          </cell>
        </row>
        <row r="419">
          <cell r="A419" t="str">
            <v>20018_2</v>
          </cell>
        </row>
        <row r="420">
          <cell r="A420" t="str">
            <v>20018_3</v>
          </cell>
        </row>
        <row r="421">
          <cell r="A421" t="str">
            <v>30001_1</v>
          </cell>
        </row>
        <row r="422">
          <cell r="A422" t="str">
            <v>30001_2</v>
          </cell>
        </row>
        <row r="423">
          <cell r="A423" t="str">
            <v>30001_3</v>
          </cell>
        </row>
        <row r="424">
          <cell r="A424" t="str">
            <v>30002_1</v>
          </cell>
        </row>
        <row r="425">
          <cell r="A425" t="str">
            <v>30002_2</v>
          </cell>
        </row>
        <row r="426">
          <cell r="A426" t="str">
            <v>30002_3</v>
          </cell>
        </row>
        <row r="427">
          <cell r="A427" t="str">
            <v>30003_1</v>
          </cell>
        </row>
        <row r="428">
          <cell r="A428" t="str">
            <v>30003_2</v>
          </cell>
        </row>
        <row r="429">
          <cell r="A429" t="str">
            <v>30003_3</v>
          </cell>
        </row>
        <row r="430">
          <cell r="A430" t="str">
            <v>30004_1</v>
          </cell>
        </row>
        <row r="431">
          <cell r="A431" t="str">
            <v>30004_2</v>
          </cell>
        </row>
        <row r="432">
          <cell r="A432" t="str">
            <v>30004_3</v>
          </cell>
        </row>
        <row r="433">
          <cell r="A433" t="str">
            <v>30005_1</v>
          </cell>
        </row>
        <row r="434">
          <cell r="A434" t="str">
            <v>30005_2</v>
          </cell>
        </row>
        <row r="435">
          <cell r="A435" t="str">
            <v>30005_3</v>
          </cell>
        </row>
        <row r="436">
          <cell r="A436" t="str">
            <v>30006_1</v>
          </cell>
        </row>
        <row r="437">
          <cell r="A437" t="str">
            <v>30006_2</v>
          </cell>
        </row>
        <row r="438">
          <cell r="A438" t="str">
            <v>30006_3</v>
          </cell>
        </row>
        <row r="439">
          <cell r="A439" t="str">
            <v>30007_1</v>
          </cell>
        </row>
        <row r="440">
          <cell r="A440" t="str">
            <v>30007_2</v>
          </cell>
        </row>
        <row r="441">
          <cell r="A441" t="str">
            <v>30007_3</v>
          </cell>
        </row>
        <row r="442">
          <cell r="A442" t="str">
            <v>30008_1</v>
          </cell>
        </row>
        <row r="443">
          <cell r="A443" t="str">
            <v>30008_2</v>
          </cell>
        </row>
        <row r="444">
          <cell r="A444" t="str">
            <v>30008_3</v>
          </cell>
        </row>
        <row r="445">
          <cell r="A445" t="str">
            <v>30009_3</v>
          </cell>
        </row>
        <row r="446">
          <cell r="A446" t="str">
            <v>30009_1</v>
          </cell>
        </row>
        <row r="447">
          <cell r="A447" t="str">
            <v>30009_2</v>
          </cell>
        </row>
        <row r="448">
          <cell r="A448" t="str">
            <v>30010_1</v>
          </cell>
        </row>
        <row r="449">
          <cell r="A449" t="str">
            <v>30010_2</v>
          </cell>
        </row>
        <row r="450">
          <cell r="A450" t="str">
            <v>30010_3</v>
          </cell>
        </row>
        <row r="451">
          <cell r="A451" t="str">
            <v>30011_1</v>
          </cell>
        </row>
        <row r="452">
          <cell r="A452" t="str">
            <v>30011_2</v>
          </cell>
        </row>
        <row r="453">
          <cell r="A453" t="str">
            <v>30011_3</v>
          </cell>
        </row>
        <row r="454">
          <cell r="A454" t="str">
            <v>30012_1</v>
          </cell>
        </row>
        <row r="455">
          <cell r="A455" t="str">
            <v>30012_2</v>
          </cell>
        </row>
        <row r="456">
          <cell r="A456" t="str">
            <v>30012_3</v>
          </cell>
        </row>
        <row r="457">
          <cell r="A457" t="str">
            <v>30013_1</v>
          </cell>
        </row>
        <row r="458">
          <cell r="A458" t="str">
            <v>30013_2</v>
          </cell>
        </row>
        <row r="459">
          <cell r="A459" t="str">
            <v>30014_1</v>
          </cell>
        </row>
        <row r="460">
          <cell r="A460" t="str">
            <v>30014_2</v>
          </cell>
        </row>
        <row r="461">
          <cell r="A461" t="str">
            <v>30015_1</v>
          </cell>
        </row>
        <row r="462">
          <cell r="A462" t="str">
            <v>30015_2</v>
          </cell>
        </row>
        <row r="463">
          <cell r="A463" t="str">
            <v>30016_1</v>
          </cell>
        </row>
        <row r="464">
          <cell r="A464" t="str">
            <v>30016_2</v>
          </cell>
        </row>
        <row r="465">
          <cell r="A465" t="str">
            <v>30017_1</v>
          </cell>
        </row>
        <row r="466">
          <cell r="A466" t="str">
            <v>30017_2</v>
          </cell>
        </row>
        <row r="467">
          <cell r="A467" t="str">
            <v>30018_1</v>
          </cell>
        </row>
        <row r="468">
          <cell r="A468" t="str">
            <v>30018_2</v>
          </cell>
        </row>
        <row r="469">
          <cell r="A469" t="str">
            <v>30019_1</v>
          </cell>
        </row>
        <row r="470">
          <cell r="A470" t="str">
            <v>30019_2</v>
          </cell>
        </row>
        <row r="471">
          <cell r="A471" t="str">
            <v>30020_1</v>
          </cell>
        </row>
        <row r="472">
          <cell r="A472" t="str">
            <v>30020_2</v>
          </cell>
        </row>
        <row r="473">
          <cell r="A473" t="str">
            <v>30021_1</v>
          </cell>
        </row>
        <row r="474">
          <cell r="A474" t="str">
            <v>30021_2</v>
          </cell>
        </row>
        <row r="475">
          <cell r="A475" t="str">
            <v>30021_3</v>
          </cell>
        </row>
        <row r="476">
          <cell r="A476" t="str">
            <v>30022_1</v>
          </cell>
        </row>
        <row r="477">
          <cell r="A477" t="str">
            <v>30022_2</v>
          </cell>
        </row>
        <row r="478">
          <cell r="A478" t="str">
            <v>30023_1</v>
          </cell>
        </row>
        <row r="479">
          <cell r="A479" t="str">
            <v>30023_2</v>
          </cell>
        </row>
        <row r="480">
          <cell r="A480" t="str">
            <v>30023_3</v>
          </cell>
        </row>
        <row r="481">
          <cell r="A481" t="str">
            <v>30024_1</v>
          </cell>
        </row>
        <row r="482">
          <cell r="A482" t="str">
            <v>30024_2</v>
          </cell>
        </row>
        <row r="483">
          <cell r="A483" t="str">
            <v>30024_3</v>
          </cell>
        </row>
        <row r="484">
          <cell r="A484" t="str">
            <v>30025_1</v>
          </cell>
        </row>
        <row r="485">
          <cell r="A485" t="str">
            <v>30025_2</v>
          </cell>
        </row>
        <row r="486">
          <cell r="A486" t="str">
            <v>30025_3</v>
          </cell>
        </row>
        <row r="487">
          <cell r="A487" t="str">
            <v>30026_1</v>
          </cell>
        </row>
        <row r="488">
          <cell r="A488" t="str">
            <v>30026_2</v>
          </cell>
        </row>
        <row r="489">
          <cell r="A489" t="str">
            <v>30026_3</v>
          </cell>
        </row>
        <row r="490">
          <cell r="A490" t="str">
            <v>30027_1</v>
          </cell>
        </row>
        <row r="491">
          <cell r="A491" t="str">
            <v>30027_2</v>
          </cell>
        </row>
        <row r="492">
          <cell r="A492" t="str">
            <v>30027_3</v>
          </cell>
        </row>
        <row r="493">
          <cell r="A493" t="str">
            <v>30028_1</v>
          </cell>
        </row>
        <row r="494">
          <cell r="A494" t="str">
            <v>30028_2</v>
          </cell>
        </row>
        <row r="495">
          <cell r="A495" t="str">
            <v>30028_3</v>
          </cell>
        </row>
        <row r="496">
          <cell r="A496" t="str">
            <v>30029_1</v>
          </cell>
        </row>
        <row r="497">
          <cell r="A497" t="str">
            <v>30029_2</v>
          </cell>
        </row>
        <row r="498">
          <cell r="A498" t="str">
            <v>30029_3</v>
          </cell>
        </row>
        <row r="499">
          <cell r="A499" t="str">
            <v>30030_1</v>
          </cell>
        </row>
        <row r="500">
          <cell r="A500" t="str">
            <v>30030_2</v>
          </cell>
        </row>
        <row r="501">
          <cell r="A501" t="str">
            <v>30030_3</v>
          </cell>
        </row>
        <row r="502">
          <cell r="A502" t="str">
            <v>30031_1</v>
          </cell>
        </row>
        <row r="503">
          <cell r="A503" t="str">
            <v>30031_2</v>
          </cell>
        </row>
        <row r="504">
          <cell r="A504" t="str">
            <v>30031_3</v>
          </cell>
        </row>
        <row r="505">
          <cell r="A505" t="str">
            <v>30032_1</v>
          </cell>
        </row>
        <row r="506">
          <cell r="A506" t="str">
            <v>30032_2</v>
          </cell>
        </row>
        <row r="507">
          <cell r="A507" t="str">
            <v>30032_3</v>
          </cell>
        </row>
        <row r="508">
          <cell r="A508" t="str">
            <v>30033_1</v>
          </cell>
        </row>
        <row r="509">
          <cell r="A509" t="str">
            <v>30033_2</v>
          </cell>
        </row>
        <row r="510">
          <cell r="A510" t="str">
            <v>30033_3</v>
          </cell>
        </row>
        <row r="511">
          <cell r="A511" t="str">
            <v>30034_1</v>
          </cell>
        </row>
        <row r="512">
          <cell r="A512" t="str">
            <v>30034_2</v>
          </cell>
        </row>
        <row r="513">
          <cell r="A513" t="str">
            <v>30034_3</v>
          </cell>
        </row>
        <row r="514">
          <cell r="A514" t="str">
            <v>30035_1</v>
          </cell>
        </row>
        <row r="515">
          <cell r="A515" t="str">
            <v>30035_2</v>
          </cell>
        </row>
        <row r="516">
          <cell r="A516" t="str">
            <v>30035_3</v>
          </cell>
        </row>
        <row r="517">
          <cell r="A517" t="str">
            <v>30036_1</v>
          </cell>
        </row>
        <row r="518">
          <cell r="A518" t="str">
            <v>30036_2</v>
          </cell>
        </row>
        <row r="519">
          <cell r="A519" t="str">
            <v>30036_3</v>
          </cell>
        </row>
        <row r="520">
          <cell r="A520" t="str">
            <v>30037_1</v>
          </cell>
        </row>
        <row r="521">
          <cell r="A521" t="str">
            <v>30037_2</v>
          </cell>
        </row>
        <row r="522">
          <cell r="A522" t="str">
            <v>30037_3</v>
          </cell>
        </row>
        <row r="523">
          <cell r="A523" t="str">
            <v>30038_1</v>
          </cell>
        </row>
        <row r="524">
          <cell r="A524" t="str">
            <v>30038_2</v>
          </cell>
        </row>
        <row r="525">
          <cell r="A525" t="str">
            <v>30038_3</v>
          </cell>
        </row>
        <row r="526">
          <cell r="A526" t="str">
            <v>39001_1</v>
          </cell>
        </row>
        <row r="527">
          <cell r="A527" t="str">
            <v>39001_2</v>
          </cell>
        </row>
        <row r="528">
          <cell r="A528" t="str">
            <v>39001_3</v>
          </cell>
        </row>
        <row r="529">
          <cell r="A529" t="str">
            <v>39001_4</v>
          </cell>
        </row>
        <row r="530">
          <cell r="A530" t="str">
            <v>39001_5</v>
          </cell>
        </row>
        <row r="531">
          <cell r="A531" t="str">
            <v>39002_1</v>
          </cell>
        </row>
        <row r="532">
          <cell r="A532" t="str">
            <v>39002_2</v>
          </cell>
        </row>
        <row r="533">
          <cell r="A533" t="str">
            <v>39002_3</v>
          </cell>
        </row>
        <row r="534">
          <cell r="A534" t="str">
            <v>39002_4</v>
          </cell>
        </row>
        <row r="535">
          <cell r="A535" t="str">
            <v>39003_1</v>
          </cell>
        </row>
        <row r="536">
          <cell r="A536" t="str">
            <v>39003_2</v>
          </cell>
        </row>
        <row r="537">
          <cell r="A537" t="str">
            <v>39003_3</v>
          </cell>
        </row>
        <row r="538">
          <cell r="A538" t="str">
            <v>39003_4</v>
          </cell>
        </row>
        <row r="539">
          <cell r="A539" t="str">
            <v>39004_1</v>
          </cell>
        </row>
        <row r="540">
          <cell r="A540" t="str">
            <v>39004_2</v>
          </cell>
        </row>
        <row r="541">
          <cell r="A541" t="str">
            <v>39004_3</v>
          </cell>
        </row>
        <row r="542">
          <cell r="A542" t="str">
            <v>39004_4</v>
          </cell>
        </row>
        <row r="543">
          <cell r="A543" t="str">
            <v>39005_1</v>
          </cell>
        </row>
        <row r="544">
          <cell r="A544" t="str">
            <v>39005_2</v>
          </cell>
        </row>
        <row r="545">
          <cell r="A545" t="str">
            <v>39005_3</v>
          </cell>
        </row>
        <row r="546">
          <cell r="A546" t="str">
            <v>39005_4</v>
          </cell>
        </row>
        <row r="547">
          <cell r="A547" t="str">
            <v>39005_5</v>
          </cell>
        </row>
        <row r="548">
          <cell r="A548" t="str">
            <v>39006_1</v>
          </cell>
        </row>
        <row r="549">
          <cell r="A549" t="str">
            <v>39006_2</v>
          </cell>
        </row>
        <row r="550">
          <cell r="A550" t="str">
            <v>39006_3</v>
          </cell>
        </row>
        <row r="551">
          <cell r="A551" t="str">
            <v>39006_4</v>
          </cell>
        </row>
        <row r="552">
          <cell r="A552" t="str">
            <v>40001_1</v>
          </cell>
        </row>
        <row r="553">
          <cell r="A553" t="str">
            <v>40002_1</v>
          </cell>
        </row>
        <row r="554">
          <cell r="A554" t="str">
            <v>40002_2</v>
          </cell>
        </row>
        <row r="555">
          <cell r="A555" t="str">
            <v>40002_3</v>
          </cell>
        </row>
        <row r="556">
          <cell r="A556" t="str">
            <v>40003_1</v>
          </cell>
        </row>
        <row r="557">
          <cell r="A557" t="str">
            <v>40004_1</v>
          </cell>
        </row>
        <row r="558">
          <cell r="A558" t="str">
            <v>40005_1</v>
          </cell>
        </row>
        <row r="559">
          <cell r="A559" t="str">
            <v>40006_1</v>
          </cell>
        </row>
        <row r="560">
          <cell r="A560" t="str">
            <v>40007_1</v>
          </cell>
        </row>
        <row r="561">
          <cell r="A561" t="str">
            <v>40008_1</v>
          </cell>
        </row>
        <row r="562">
          <cell r="A562" t="str">
            <v>40009_1</v>
          </cell>
        </row>
        <row r="563">
          <cell r="A563" t="str">
            <v>40010_1</v>
          </cell>
        </row>
        <row r="564">
          <cell r="A564" t="str">
            <v>40011_1</v>
          </cell>
        </row>
        <row r="565">
          <cell r="A565" t="str">
            <v>40012_1</v>
          </cell>
        </row>
        <row r="566">
          <cell r="A566" t="str">
            <v>40013_1</v>
          </cell>
        </row>
        <row r="567">
          <cell r="A567" t="str">
            <v>40014_1</v>
          </cell>
        </row>
        <row r="568">
          <cell r="A568" t="str">
            <v>40015_1</v>
          </cell>
        </row>
        <row r="569">
          <cell r="A569" t="str">
            <v>40016_1</v>
          </cell>
        </row>
        <row r="570">
          <cell r="A570" t="str">
            <v>40016_2</v>
          </cell>
        </row>
        <row r="571">
          <cell r="A571" t="str">
            <v>40017_1</v>
          </cell>
        </row>
        <row r="572">
          <cell r="A572" t="str">
            <v>40017_2</v>
          </cell>
        </row>
        <row r="573">
          <cell r="A573" t="str">
            <v>40017_3</v>
          </cell>
        </row>
        <row r="574">
          <cell r="A574" t="str">
            <v>40018_1</v>
          </cell>
        </row>
        <row r="575">
          <cell r="A575" t="str">
            <v>40018_2</v>
          </cell>
        </row>
        <row r="576">
          <cell r="A576" t="str">
            <v>40018_3</v>
          </cell>
        </row>
        <row r="577">
          <cell r="A577" t="str">
            <v>40019_1</v>
          </cell>
        </row>
        <row r="578">
          <cell r="A578" t="str">
            <v>40019_2</v>
          </cell>
        </row>
        <row r="579">
          <cell r="A579" t="str">
            <v>40019_3</v>
          </cell>
        </row>
        <row r="580">
          <cell r="A580" t="str">
            <v>40021_1</v>
          </cell>
        </row>
        <row r="581">
          <cell r="A581" t="str">
            <v>40021_2</v>
          </cell>
        </row>
        <row r="582">
          <cell r="A582" t="str">
            <v>40022_1</v>
          </cell>
        </row>
        <row r="583">
          <cell r="A583" t="str">
            <v>40022_2</v>
          </cell>
        </row>
        <row r="584">
          <cell r="A584" t="str">
            <v>48001_1</v>
          </cell>
        </row>
        <row r="585">
          <cell r="A585" t="str">
            <v>48002_1</v>
          </cell>
        </row>
        <row r="586">
          <cell r="A586" t="str">
            <v>48002_2</v>
          </cell>
        </row>
        <row r="587">
          <cell r="A587" t="str">
            <v>48002_3</v>
          </cell>
        </row>
        <row r="588">
          <cell r="A588" t="str">
            <v>41001_1</v>
          </cell>
        </row>
        <row r="589">
          <cell r="A589" t="str">
            <v>41001_2</v>
          </cell>
        </row>
        <row r="590">
          <cell r="A590" t="str">
            <v>41001_3</v>
          </cell>
        </row>
        <row r="591">
          <cell r="A591" t="str">
            <v>41002_1</v>
          </cell>
        </row>
        <row r="592">
          <cell r="A592" t="str">
            <v>41002_2</v>
          </cell>
        </row>
        <row r="593">
          <cell r="A593" t="str">
            <v>41002_3</v>
          </cell>
        </row>
        <row r="594">
          <cell r="A594" t="str">
            <v>41003_1</v>
          </cell>
        </row>
        <row r="595">
          <cell r="A595" t="str">
            <v>41003_2</v>
          </cell>
        </row>
        <row r="596">
          <cell r="A596" t="str">
            <v>41003_3</v>
          </cell>
        </row>
        <row r="597">
          <cell r="A597" t="str">
            <v>41004_1</v>
          </cell>
        </row>
        <row r="598">
          <cell r="A598" t="str">
            <v>41004_2</v>
          </cell>
        </row>
        <row r="599">
          <cell r="A599" t="str">
            <v>41004_3</v>
          </cell>
        </row>
        <row r="600">
          <cell r="A600" t="str">
            <v>41005_1</v>
          </cell>
        </row>
        <row r="601">
          <cell r="A601" t="str">
            <v>41005_2</v>
          </cell>
        </row>
        <row r="602">
          <cell r="A602" t="str">
            <v>41005_3</v>
          </cell>
        </row>
        <row r="603">
          <cell r="A603" t="str">
            <v>41006_1</v>
          </cell>
        </row>
        <row r="604">
          <cell r="A604" t="str">
            <v>41006_2</v>
          </cell>
        </row>
        <row r="605">
          <cell r="A605" t="str">
            <v>41006_3</v>
          </cell>
        </row>
        <row r="606">
          <cell r="A606" t="str">
            <v>41007_1</v>
          </cell>
        </row>
        <row r="607">
          <cell r="A607" t="str">
            <v>41007_2</v>
          </cell>
        </row>
        <row r="608">
          <cell r="A608" t="str">
            <v>41007_3</v>
          </cell>
        </row>
        <row r="609">
          <cell r="A609" t="str">
            <v>41008_1</v>
          </cell>
        </row>
        <row r="610">
          <cell r="A610" t="str">
            <v>41008_2</v>
          </cell>
        </row>
        <row r="611">
          <cell r="A611" t="str">
            <v>41008_3</v>
          </cell>
        </row>
        <row r="612">
          <cell r="A612" t="str">
            <v>41009_1</v>
          </cell>
        </row>
        <row r="613">
          <cell r="A613" t="str">
            <v>41009_2</v>
          </cell>
        </row>
        <row r="614">
          <cell r="A614" t="str">
            <v>41009_3</v>
          </cell>
        </row>
        <row r="615">
          <cell r="A615" t="str">
            <v>41010_1</v>
          </cell>
        </row>
        <row r="616">
          <cell r="A616" t="str">
            <v>41010_2</v>
          </cell>
        </row>
        <row r="617">
          <cell r="A617" t="str">
            <v>41010_3</v>
          </cell>
        </row>
        <row r="618">
          <cell r="A618" t="str">
            <v>41011_1</v>
          </cell>
        </row>
        <row r="619">
          <cell r="A619" t="str">
            <v>41011_2</v>
          </cell>
        </row>
        <row r="620">
          <cell r="A620" t="str">
            <v>41012_1</v>
          </cell>
        </row>
        <row r="621">
          <cell r="A621" t="str">
            <v>41012_2</v>
          </cell>
        </row>
        <row r="622">
          <cell r="A622" t="str">
            <v>41013_1</v>
          </cell>
        </row>
        <row r="623">
          <cell r="A623" t="str">
            <v>41013_2</v>
          </cell>
        </row>
        <row r="624">
          <cell r="A624" t="str">
            <v>41014_1</v>
          </cell>
        </row>
        <row r="625">
          <cell r="A625" t="str">
            <v>41014_2</v>
          </cell>
        </row>
        <row r="626">
          <cell r="A626" t="str">
            <v>47001_1</v>
          </cell>
        </row>
        <row r="627">
          <cell r="A627" t="str">
            <v>47001_2</v>
          </cell>
        </row>
        <row r="628">
          <cell r="A628" t="str">
            <v>47002_1</v>
          </cell>
        </row>
        <row r="629">
          <cell r="A629" t="str">
            <v>47002_2</v>
          </cell>
        </row>
        <row r="630">
          <cell r="A630" t="str">
            <v>49001_1</v>
          </cell>
        </row>
        <row r="631">
          <cell r="A631" t="str">
            <v>49002_1</v>
          </cell>
        </row>
        <row r="632">
          <cell r="A632" t="str">
            <v>49002_2</v>
          </cell>
        </row>
        <row r="633">
          <cell r="A633" t="str">
            <v>49003_1</v>
          </cell>
        </row>
        <row r="634">
          <cell r="A634" t="str">
            <v>49003_2</v>
          </cell>
        </row>
        <row r="635">
          <cell r="A635" t="str">
            <v>49004_1</v>
          </cell>
        </row>
        <row r="636">
          <cell r="A636" t="str">
            <v>49004_2</v>
          </cell>
        </row>
        <row r="637">
          <cell r="A637" t="str">
            <v>49004_3</v>
          </cell>
        </row>
        <row r="638">
          <cell r="A638" t="str">
            <v>49005_1</v>
          </cell>
        </row>
        <row r="639">
          <cell r="A639" t="str">
            <v>49006_1</v>
          </cell>
        </row>
        <row r="640">
          <cell r="A640" t="str">
            <v>49006_2</v>
          </cell>
        </row>
        <row r="641">
          <cell r="A641" t="str">
            <v>50001_1</v>
          </cell>
        </row>
        <row r="642">
          <cell r="A642" t="str">
            <v>50002_1</v>
          </cell>
        </row>
        <row r="643">
          <cell r="A643" t="str">
            <v>50003_1</v>
          </cell>
        </row>
        <row r="644">
          <cell r="A644" t="str">
            <v>50004_1</v>
          </cell>
        </row>
        <row r="645">
          <cell r="A645" t="str">
            <v>50005_1</v>
          </cell>
        </row>
        <row r="646">
          <cell r="A646" t="str">
            <v>50006_1</v>
          </cell>
        </row>
        <row r="647">
          <cell r="A647" t="str">
            <v>51001_1</v>
          </cell>
        </row>
        <row r="648">
          <cell r="A648" t="str">
            <v>51002_1</v>
          </cell>
        </row>
        <row r="649">
          <cell r="A649" t="str">
            <v>60001_1</v>
          </cell>
        </row>
        <row r="650">
          <cell r="A650" t="str">
            <v>60002_1</v>
          </cell>
        </row>
        <row r="651">
          <cell r="A651" t="str">
            <v>60002_2</v>
          </cell>
        </row>
        <row r="652">
          <cell r="A652" t="str">
            <v>60003_1</v>
          </cell>
        </row>
        <row r="653">
          <cell r="A653" t="str">
            <v>60003_2</v>
          </cell>
        </row>
        <row r="654">
          <cell r="A654" t="str">
            <v>60003_3</v>
          </cell>
        </row>
        <row r="655">
          <cell r="A655" t="str">
            <v>60004_1</v>
          </cell>
        </row>
        <row r="656">
          <cell r="A656" t="str">
            <v>60005_1</v>
          </cell>
        </row>
        <row r="657">
          <cell r="A657" t="str">
            <v>60006_1</v>
          </cell>
        </row>
        <row r="658">
          <cell r="A658" t="str">
            <v>60006_2</v>
          </cell>
        </row>
        <row r="659">
          <cell r="A659" t="str">
            <v>60006_3</v>
          </cell>
        </row>
        <row r="660">
          <cell r="A660" t="str">
            <v>60007_1</v>
          </cell>
        </row>
        <row r="661">
          <cell r="A661" t="str">
            <v>60007_2</v>
          </cell>
        </row>
        <row r="662">
          <cell r="A662" t="str">
            <v>60007_3</v>
          </cell>
        </row>
        <row r="663">
          <cell r="A663" t="str">
            <v>60010_1</v>
          </cell>
        </row>
        <row r="664">
          <cell r="A664" t="str">
            <v>60011_1</v>
          </cell>
        </row>
        <row r="665">
          <cell r="A665" t="str">
            <v>60011_2</v>
          </cell>
        </row>
        <row r="666">
          <cell r="A666" t="str">
            <v>61011_1</v>
          </cell>
        </row>
        <row r="667">
          <cell r="A667" t="str">
            <v>60012_1</v>
          </cell>
        </row>
        <row r="668">
          <cell r="A668" t="str">
            <v>60013_1</v>
          </cell>
        </row>
        <row r="669">
          <cell r="A669" t="str">
            <v>60013_2</v>
          </cell>
        </row>
        <row r="670">
          <cell r="A670" t="str">
            <v>60013_3</v>
          </cell>
        </row>
        <row r="671">
          <cell r="A671" t="str">
            <v>65535_1</v>
          </cell>
        </row>
        <row r="672">
          <cell r="A672" t="str">
            <v>65535_2</v>
          </cell>
        </row>
        <row r="673">
          <cell r="A673" t="str">
            <v>65535_3</v>
          </cell>
        </row>
        <row r="674">
          <cell r="A674" t="str">
            <v>65535_4</v>
          </cell>
        </row>
        <row r="675">
          <cell r="A675" t="str">
            <v>65535_5</v>
          </cell>
        </row>
        <row r="676">
          <cell r="A676" t="str">
            <v>65535_6</v>
          </cell>
        </row>
        <row r="677">
          <cell r="A677" t="str">
            <v>65535_7</v>
          </cell>
        </row>
        <row r="678">
          <cell r="A678" t="str">
            <v>65535_8</v>
          </cell>
        </row>
        <row r="679">
          <cell r="A679" t="str">
            <v>60021_3</v>
          </cell>
        </row>
        <row r="680">
          <cell r="A680" t="str">
            <v>60022_3</v>
          </cell>
        </row>
        <row r="681">
          <cell r="A681" t="str">
            <v>60023_3</v>
          </cell>
        </row>
        <row r="682">
          <cell r="A682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K3"/>
  <sheetViews>
    <sheetView workbookViewId="0">
      <selection activeCell="A4" sqref="A4"/>
    </sheetView>
  </sheetViews>
  <sheetFormatPr baseColWidth="12" defaultRowHeight="15" x14ac:dyDescent="0.15"/>
  <cols>
    <col min="1" max="1" width="12.83203125" style="10"/>
    <col min="2" max="2" width="17.1640625" style="10" bestFit="1" customWidth="1"/>
    <col min="3" max="4" width="12.83203125" style="10"/>
    <col min="5" max="5" width="20.5" style="10" bestFit="1" customWidth="1"/>
    <col min="6" max="6" width="16" style="10" bestFit="1" customWidth="1"/>
    <col min="7" max="16384" width="12.83203125" style="10"/>
  </cols>
  <sheetData>
    <row r="1" spans="1:11" x14ac:dyDescent="0.15">
      <c r="A1" s="14" t="s">
        <v>18</v>
      </c>
      <c r="B1" s="8" t="s">
        <v>10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9"/>
      <c r="I1" s="9"/>
      <c r="J1" s="17"/>
      <c r="K1" s="17"/>
    </row>
    <row r="2" spans="1:11" x14ac:dyDescent="0.15">
      <c r="A2" s="15" t="s">
        <v>19</v>
      </c>
      <c r="B2" s="24" t="s">
        <v>27</v>
      </c>
      <c r="C2" s="24" t="s">
        <v>75</v>
      </c>
      <c r="D2" s="24" t="s">
        <v>26</v>
      </c>
      <c r="E2" s="9" t="str">
        <f t="shared" ref="E2:E3" si="0">B2&amp;C2&amp;D2</f>
        <v>stage_hints_data_syokyu.tmp</v>
      </c>
      <c r="F2" s="11" t="s">
        <v>9</v>
      </c>
      <c r="G2" s="1" t="s">
        <v>5</v>
      </c>
      <c r="H2" s="1" t="s">
        <v>0</v>
      </c>
      <c r="I2" s="16" t="s">
        <v>6</v>
      </c>
      <c r="J2" s="18" t="s">
        <v>20</v>
      </c>
      <c r="K2" s="23" t="s">
        <v>31</v>
      </c>
    </row>
    <row r="3" spans="1:11" x14ac:dyDescent="0.15">
      <c r="A3" s="24" t="s">
        <v>116</v>
      </c>
      <c r="B3" s="24" t="s">
        <v>28</v>
      </c>
      <c r="C3" s="24" t="s">
        <v>75</v>
      </c>
      <c r="D3" s="24" t="s">
        <v>26</v>
      </c>
      <c r="E3" s="9" t="str">
        <f t="shared" si="0"/>
        <v>stage_hints_i18n_syokyu.tmp</v>
      </c>
      <c r="F3" s="11" t="s">
        <v>9</v>
      </c>
      <c r="G3" s="16" t="s">
        <v>6</v>
      </c>
      <c r="H3" s="12" t="s">
        <v>7</v>
      </c>
      <c r="I3" s="1" t="s">
        <v>8</v>
      </c>
      <c r="J3" s="20" t="s">
        <v>22</v>
      </c>
      <c r="K3" s="23" t="s">
        <v>24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P601"/>
  <sheetViews>
    <sheetView showGridLines="0" tabSelected="1" workbookViewId="0">
      <pane ySplit="1" topLeftCell="A130" activePane="bottomLeft" state="frozen"/>
      <selection pane="bottomLeft" activeCell="C127" sqref="C127:C151"/>
    </sheetView>
  </sheetViews>
  <sheetFormatPr baseColWidth="12" defaultColWidth="13" defaultRowHeight="15" outlineLevelCol="1" x14ac:dyDescent="0.15"/>
  <cols>
    <col min="2" max="2" width="13" style="28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0" width="11.1640625" bestFit="1" customWidth="1"/>
    <col min="11" max="13" width="11.1640625" customWidth="1"/>
    <col min="14" max="14" width="45.6640625" customWidth="1"/>
  </cols>
  <sheetData>
    <row r="1" spans="1:16" x14ac:dyDescent="0.15">
      <c r="A1" s="3" t="s">
        <v>2</v>
      </c>
      <c r="B1" s="26" t="s">
        <v>32</v>
      </c>
      <c r="C1" s="1" t="s">
        <v>76</v>
      </c>
      <c r="D1" s="7" t="s">
        <v>3</v>
      </c>
      <c r="E1" s="7" t="s">
        <v>4</v>
      </c>
      <c r="F1" s="1" t="s">
        <v>77</v>
      </c>
      <c r="G1" s="7" t="s">
        <v>3</v>
      </c>
      <c r="H1" s="7" t="s">
        <v>4</v>
      </c>
      <c r="I1" s="1" t="s">
        <v>21</v>
      </c>
      <c r="J1" s="1" t="s">
        <v>30</v>
      </c>
      <c r="K1" s="25" t="s">
        <v>29</v>
      </c>
      <c r="L1" s="13" t="s">
        <v>16</v>
      </c>
      <c r="M1" s="13" t="s">
        <v>25</v>
      </c>
      <c r="N1" s="2" t="s">
        <v>1</v>
      </c>
      <c r="O1" s="21" t="s">
        <v>23</v>
      </c>
      <c r="P1" t="s">
        <v>72</v>
      </c>
    </row>
    <row r="2" spans="1:16" x14ac:dyDescent="0.15">
      <c r="A2" s="29" t="str">
        <f t="shared" ref="A2" si="0">C2&amp;"_"&amp;F2&amp;"_"&amp;J2</f>
        <v>11001_1_1</v>
      </c>
      <c r="B2" s="27" t="s">
        <v>33</v>
      </c>
      <c r="C2" s="5">
        <v>11001</v>
      </c>
      <c r="D2" s="4" t="str">
        <f ca="1">VLOOKUP($C2,OFFSET([1]quests!$A$1,0,0,COUNTA([1]quests!$A:$A),MATCH(D$1,[1]quests!$1:$1,0)-MATCH($C$1,[1]quests!$1:$1,0)+1),MATCH(D$1,[1]quests!$1:$1,0)-MATCH($C$1,[1]quests!$1:$1,0)+1,FALSE)</f>
        <v>【月曜限定】 黄の素材</v>
      </c>
      <c r="E2" s="4" t="str">
        <f ca="1">VLOOKUP($C2,OFFSET([1]quests!$A$1,0,0,COUNTA([1]quests!$A:$A),MATCH(E$1,[1]quests!$1:$1,0)-MATCH($C$1,[1]quests!$1:$1,0)+1),MATCH(E$1,[1]quests!$1:$1,0)-MATCH($C$1,[1]quests!$1:$1,0)+1,FALSE)</f>
        <v>月曜クエスト</v>
      </c>
      <c r="F2" s="6">
        <v>1</v>
      </c>
      <c r="G2" s="4" t="str">
        <f ca="1">VLOOKUP($C2&amp;"_"&amp;$F2,OFFSET([1]stages!$A$1,0,0,COUNTA([1]stages!$A:$A),MATCH(G$1,[1]stages!$2:$2,0)-MATCH("temp_stage",[1]stages!$2:$2,0)+1),MATCH(G$1,[1]stages!$2:$2,0)-MATCH("temp_stage",[1]stages!$2:$2,0)+1,FALSE)</f>
        <v>【初級】雷のチェシャ猫</v>
      </c>
      <c r="H2" s="4" t="str">
        <f ca="1">VLOOKUP($C2&amp;"_"&amp;$F2,OFFSET([1]stages!$A$1,0,0,COUNTA([1]stages!$A:$A),MATCH(H$1,[1]stages!$2:$2,0)-MATCH("temp_stage",[1]stages!$2:$2,0)+1),MATCH(H$1,[1]stages!$2:$2,0)-MATCH("temp_stage",[1]stages!$2:$2,0)+1,FALSE)</f>
        <v>月曜クエスト</v>
      </c>
      <c r="I2" s="19">
        <v>0</v>
      </c>
      <c r="J2" s="6">
        <f>COUNTIF(C$1:C2,C2)</f>
        <v>1</v>
      </c>
      <c r="K2">
        <v>1</v>
      </c>
      <c r="L2" s="6" t="s">
        <v>17</v>
      </c>
      <c r="M2" s="36" t="str">
        <f>VLOOKUP(K2,[2]stage_hints!$A:$C,3,FALSE)</f>
        <v>長くつなげて大ダメージ</v>
      </c>
      <c r="N2" s="37" t="str">
        <f>VLOOKUP(K2,[2]stage_hints!$A:$D,4,FALSE)</f>
        <v>パネルを長くつなげるほど_x000D_大ダメージを与えることができます</v>
      </c>
      <c r="O2" s="22" t="s">
        <v>117</v>
      </c>
      <c r="P2">
        <v>1</v>
      </c>
    </row>
    <row r="3" spans="1:16" x14ac:dyDescent="0.15">
      <c r="A3" s="29" t="str">
        <f t="shared" ref="A3:A14" si="1">C3&amp;"_"&amp;F3&amp;"_"&amp;J3</f>
        <v>11001_1_2</v>
      </c>
      <c r="B3" s="27" t="s">
        <v>33</v>
      </c>
      <c r="C3" s="5">
        <v>11001</v>
      </c>
      <c r="D3" s="4" t="str">
        <f ca="1">VLOOKUP($C3,OFFSET([1]quests!$A$1,0,0,COUNTA([1]quests!$A:$A),MATCH(D$1,[1]quests!$1:$1,0)-MATCH($C$1,[1]quests!$1:$1,0)+1),MATCH(D$1,[1]quests!$1:$1,0)-MATCH($C$1,[1]quests!$1:$1,0)+1,FALSE)</f>
        <v>【月曜限定】 黄の素材</v>
      </c>
      <c r="E3" s="4" t="str">
        <f ca="1">VLOOKUP($C3,OFFSET([1]quests!$A$1,0,0,COUNTA([1]quests!$A:$A),MATCH(E$1,[1]quests!$1:$1,0)-MATCH($C$1,[1]quests!$1:$1,0)+1),MATCH(E$1,[1]quests!$1:$1,0)-MATCH($C$1,[1]quests!$1:$1,0)+1,FALSE)</f>
        <v>月曜クエスト</v>
      </c>
      <c r="F3" s="6">
        <v>1</v>
      </c>
      <c r="G3" s="4" t="str">
        <f ca="1">VLOOKUP($C3&amp;"_"&amp;$F3,OFFSET([1]stages!$A$1,0,0,COUNTA([1]stages!$A:$A),MATCH(G$1,[1]stages!$2:$2,0)-MATCH("temp_stage",[1]stages!$2:$2,0)+1),MATCH(G$1,[1]stages!$2:$2,0)-MATCH("temp_stage",[1]stages!$2:$2,0)+1,FALSE)</f>
        <v>【初級】雷のチェシャ猫</v>
      </c>
      <c r="H3" s="4" t="str">
        <f ca="1">VLOOKUP($C3&amp;"_"&amp;$F3,OFFSET([1]stages!$A$1,0,0,COUNTA([1]stages!$A:$A),MATCH(H$1,[1]stages!$2:$2,0)-MATCH("temp_stage",[1]stages!$2:$2,0)+1),MATCH(H$1,[1]stages!$2:$2,0)-MATCH("temp_stage",[1]stages!$2:$2,0)+1,FALSE)</f>
        <v>月曜クエスト</v>
      </c>
      <c r="I3" s="19">
        <v>0</v>
      </c>
      <c r="J3" s="6">
        <f>COUNTIF(C$1:C3,C3)</f>
        <v>2</v>
      </c>
      <c r="K3">
        <v>2</v>
      </c>
      <c r="L3" s="6" t="s">
        <v>17</v>
      </c>
      <c r="M3" s="36" t="str">
        <f>VLOOKUP(K3,[2]stage_hints!$A:$C,3,FALSE)</f>
        <v>属性の相性</v>
      </c>
      <c r="N3" s="37" t="str">
        <f>VLOOKUP(K3,[2]stage_hints!$A:$D,4,FALSE)</f>
        <v>赤＞青　青＞黄　黄＞緑　緑＞赤_x000D_敵属性に最適なパーティがオススメです</v>
      </c>
      <c r="O3" s="22" t="s">
        <v>117</v>
      </c>
      <c r="P3">
        <v>2</v>
      </c>
    </row>
    <row r="4" spans="1:16" x14ac:dyDescent="0.15">
      <c r="A4" s="29" t="str">
        <f t="shared" si="1"/>
        <v>11001_1_3</v>
      </c>
      <c r="B4" s="27" t="s">
        <v>33</v>
      </c>
      <c r="C4" s="5">
        <v>11001</v>
      </c>
      <c r="D4" s="4" t="str">
        <f ca="1">VLOOKUP($C4,OFFSET([1]quests!$A$1,0,0,COUNTA([1]quests!$A:$A),MATCH(D$1,[1]quests!$1:$1,0)-MATCH($C$1,[1]quests!$1:$1,0)+1),MATCH(D$1,[1]quests!$1:$1,0)-MATCH($C$1,[1]quests!$1:$1,0)+1,FALSE)</f>
        <v>【月曜限定】 黄の素材</v>
      </c>
      <c r="E4" s="4" t="str">
        <f ca="1">VLOOKUP($C4,OFFSET([1]quests!$A$1,0,0,COUNTA([1]quests!$A:$A),MATCH(E$1,[1]quests!$1:$1,0)-MATCH($C$1,[1]quests!$1:$1,0)+1),MATCH(E$1,[1]quests!$1:$1,0)-MATCH($C$1,[1]quests!$1:$1,0)+1,FALSE)</f>
        <v>月曜クエスト</v>
      </c>
      <c r="F4" s="6">
        <v>1</v>
      </c>
      <c r="G4" s="4" t="str">
        <f ca="1">VLOOKUP($C4&amp;"_"&amp;$F4,OFFSET([1]stages!$A$1,0,0,COUNTA([1]stages!$A:$A),MATCH(G$1,[1]stages!$2:$2,0)-MATCH("temp_stage",[1]stages!$2:$2,0)+1),MATCH(G$1,[1]stages!$2:$2,0)-MATCH("temp_stage",[1]stages!$2:$2,0)+1,FALSE)</f>
        <v>【初級】雷のチェシャ猫</v>
      </c>
      <c r="H4" s="4" t="str">
        <f ca="1">VLOOKUP($C4&amp;"_"&amp;$F4,OFFSET([1]stages!$A$1,0,0,COUNTA([1]stages!$A:$A),MATCH(H$1,[1]stages!$2:$2,0)-MATCH("temp_stage",[1]stages!$2:$2,0)+1),MATCH(H$1,[1]stages!$2:$2,0)-MATCH("temp_stage",[1]stages!$2:$2,0)+1,FALSE)</f>
        <v>月曜クエスト</v>
      </c>
      <c r="I4" s="19">
        <v>0</v>
      </c>
      <c r="J4" s="6">
        <f>COUNTIF(C$1:C4,C4)</f>
        <v>3</v>
      </c>
      <c r="K4">
        <v>3</v>
      </c>
      <c r="L4" s="6" t="s">
        <v>17</v>
      </c>
      <c r="M4" s="36" t="str">
        <f>VLOOKUP(K4,[2]stage_hints!$A:$C,3,FALSE)</f>
        <v>ターゲット</v>
      </c>
      <c r="N4" s="37" t="str">
        <f>VLOOKUP(K4,[2]stage_hints!$A:$D,4,FALSE)</f>
        <v>敵ユニットをタップすると_x000D_その敵を狙い撃ちできます</v>
      </c>
      <c r="O4" s="22" t="s">
        <v>117</v>
      </c>
      <c r="P4">
        <v>3</v>
      </c>
    </row>
    <row r="5" spans="1:16" x14ac:dyDescent="0.15">
      <c r="A5" s="29" t="str">
        <f t="shared" si="1"/>
        <v>11001_1_4</v>
      </c>
      <c r="B5" s="27" t="s">
        <v>33</v>
      </c>
      <c r="C5" s="5">
        <v>11001</v>
      </c>
      <c r="D5" s="4" t="str">
        <f ca="1">VLOOKUP($C5,OFFSET([1]quests!$A$1,0,0,COUNTA([1]quests!$A:$A),MATCH(D$1,[1]quests!$1:$1,0)-MATCH($C$1,[1]quests!$1:$1,0)+1),MATCH(D$1,[1]quests!$1:$1,0)-MATCH($C$1,[1]quests!$1:$1,0)+1,FALSE)</f>
        <v>【月曜限定】 黄の素材</v>
      </c>
      <c r="E5" s="4" t="str">
        <f ca="1">VLOOKUP($C5,OFFSET([1]quests!$A$1,0,0,COUNTA([1]quests!$A:$A),MATCH(E$1,[1]quests!$1:$1,0)-MATCH($C$1,[1]quests!$1:$1,0)+1),MATCH(E$1,[1]quests!$1:$1,0)-MATCH($C$1,[1]quests!$1:$1,0)+1,FALSE)</f>
        <v>月曜クエスト</v>
      </c>
      <c r="F5" s="6">
        <v>1</v>
      </c>
      <c r="G5" s="4" t="str">
        <f ca="1">VLOOKUP($C5&amp;"_"&amp;$F5,OFFSET([1]stages!$A$1,0,0,COUNTA([1]stages!$A:$A),MATCH(G$1,[1]stages!$2:$2,0)-MATCH("temp_stage",[1]stages!$2:$2,0)+1),MATCH(G$1,[1]stages!$2:$2,0)-MATCH("temp_stage",[1]stages!$2:$2,0)+1,FALSE)</f>
        <v>【初級】雷のチェシャ猫</v>
      </c>
      <c r="H5" s="4" t="str">
        <f ca="1">VLOOKUP($C5&amp;"_"&amp;$F5,OFFSET([1]stages!$A$1,0,0,COUNTA([1]stages!$A:$A),MATCH(H$1,[1]stages!$2:$2,0)-MATCH("temp_stage",[1]stages!$2:$2,0)+1),MATCH(H$1,[1]stages!$2:$2,0)-MATCH("temp_stage",[1]stages!$2:$2,0)+1,FALSE)</f>
        <v>月曜クエスト</v>
      </c>
      <c r="I5" s="19">
        <v>0</v>
      </c>
      <c r="J5" s="6">
        <f>COUNTIF(C$1:C5,C5)</f>
        <v>4</v>
      </c>
      <c r="K5">
        <v>5</v>
      </c>
      <c r="L5" s="6" t="s">
        <v>17</v>
      </c>
      <c r="M5" s="36" t="str">
        <f>VLOOKUP(K5,[2]stage_hints!$A:$C,3,FALSE)</f>
        <v>ユニット強化でレベルアップ</v>
      </c>
      <c r="N5" s="37" t="str">
        <f>VLOOKUP(K5,[2]stage_hints!$A:$D,4,FALSE)</f>
        <v>「ユニット強化」でレベルアップすると_x000D_勝てない敵にも勝てるようになります</v>
      </c>
      <c r="O5" s="22" t="s">
        <v>117</v>
      </c>
      <c r="P5">
        <v>5</v>
      </c>
    </row>
    <row r="6" spans="1:16" x14ac:dyDescent="0.15">
      <c r="A6" s="29" t="str">
        <f t="shared" si="1"/>
        <v>11001_1_5</v>
      </c>
      <c r="B6" s="27" t="s">
        <v>33</v>
      </c>
      <c r="C6" s="5">
        <v>11001</v>
      </c>
      <c r="D6" s="4" t="str">
        <f ca="1">VLOOKUP($C6,OFFSET([1]quests!$A$1,0,0,COUNTA([1]quests!$A:$A),MATCH(D$1,[1]quests!$1:$1,0)-MATCH($C$1,[1]quests!$1:$1,0)+1),MATCH(D$1,[1]quests!$1:$1,0)-MATCH($C$1,[1]quests!$1:$1,0)+1,FALSE)</f>
        <v>【月曜限定】 黄の素材</v>
      </c>
      <c r="E6" s="4" t="str">
        <f ca="1">VLOOKUP($C6,OFFSET([1]quests!$A$1,0,0,COUNTA([1]quests!$A:$A),MATCH(E$1,[1]quests!$1:$1,0)-MATCH($C$1,[1]quests!$1:$1,0)+1),MATCH(E$1,[1]quests!$1:$1,0)-MATCH($C$1,[1]quests!$1:$1,0)+1,FALSE)</f>
        <v>月曜クエスト</v>
      </c>
      <c r="F6" s="6">
        <v>1</v>
      </c>
      <c r="G6" s="4" t="str">
        <f ca="1">VLOOKUP($C6&amp;"_"&amp;$F6,OFFSET([1]stages!$A$1,0,0,COUNTA([1]stages!$A:$A),MATCH(G$1,[1]stages!$2:$2,0)-MATCH("temp_stage",[1]stages!$2:$2,0)+1),MATCH(G$1,[1]stages!$2:$2,0)-MATCH("temp_stage",[1]stages!$2:$2,0)+1,FALSE)</f>
        <v>【初級】雷のチェシャ猫</v>
      </c>
      <c r="H6" s="4" t="str">
        <f ca="1">VLOOKUP($C6&amp;"_"&amp;$F6,OFFSET([1]stages!$A$1,0,0,COUNTA([1]stages!$A:$A),MATCH(H$1,[1]stages!$2:$2,0)-MATCH("temp_stage",[1]stages!$2:$2,0)+1),MATCH(H$1,[1]stages!$2:$2,0)-MATCH("temp_stage",[1]stages!$2:$2,0)+1,FALSE)</f>
        <v>月曜クエスト</v>
      </c>
      <c r="I6" s="19">
        <v>0</v>
      </c>
      <c r="J6" s="6">
        <f>COUNTIF(C$1:C6,C6)</f>
        <v>5</v>
      </c>
      <c r="K6">
        <v>6</v>
      </c>
      <c r="L6" s="6" t="s">
        <v>17</v>
      </c>
      <c r="M6" s="36" t="str">
        <f>VLOOKUP(K6,[2]stage_hints!$A:$C,3,FALSE)</f>
        <v>ユニット強化の属性ボーナス</v>
      </c>
      <c r="N6" s="37" t="str">
        <f>VLOOKUP(K6,[2]stage_hints!$A:$D,4,FALSE)</f>
        <v>同属性ユニットを強化素材にすると_x000D_経験値が多くもらえます</v>
      </c>
      <c r="O6" s="22" t="s">
        <v>117</v>
      </c>
      <c r="P6">
        <v>6</v>
      </c>
    </row>
    <row r="7" spans="1:16" x14ac:dyDescent="0.15">
      <c r="A7" s="29" t="str">
        <f t="shared" si="1"/>
        <v>11001_1_6</v>
      </c>
      <c r="B7" s="27" t="s">
        <v>33</v>
      </c>
      <c r="C7" s="5">
        <v>11001</v>
      </c>
      <c r="D7" s="4" t="str">
        <f ca="1">VLOOKUP($C7,OFFSET([1]quests!$A$1,0,0,COUNTA([1]quests!$A:$A),MATCH(D$1,[1]quests!$1:$1,0)-MATCH($C$1,[1]quests!$1:$1,0)+1),MATCH(D$1,[1]quests!$1:$1,0)-MATCH($C$1,[1]quests!$1:$1,0)+1,FALSE)</f>
        <v>【月曜限定】 黄の素材</v>
      </c>
      <c r="E7" s="4" t="str">
        <f ca="1">VLOOKUP($C7,OFFSET([1]quests!$A$1,0,0,COUNTA([1]quests!$A:$A),MATCH(E$1,[1]quests!$1:$1,0)-MATCH($C$1,[1]quests!$1:$1,0)+1),MATCH(E$1,[1]quests!$1:$1,0)-MATCH($C$1,[1]quests!$1:$1,0)+1,FALSE)</f>
        <v>月曜クエスト</v>
      </c>
      <c r="F7" s="6">
        <v>1</v>
      </c>
      <c r="G7" s="4" t="str">
        <f ca="1">VLOOKUP($C7&amp;"_"&amp;$F7,OFFSET([1]stages!$A$1,0,0,COUNTA([1]stages!$A:$A),MATCH(G$1,[1]stages!$2:$2,0)-MATCH("temp_stage",[1]stages!$2:$2,0)+1),MATCH(G$1,[1]stages!$2:$2,0)-MATCH("temp_stage",[1]stages!$2:$2,0)+1,FALSE)</f>
        <v>【初級】雷のチェシャ猫</v>
      </c>
      <c r="H7" s="4" t="str">
        <f ca="1">VLOOKUP($C7&amp;"_"&amp;$F7,OFFSET([1]stages!$A$1,0,0,COUNTA([1]stages!$A:$A),MATCH(H$1,[1]stages!$2:$2,0)-MATCH("temp_stage",[1]stages!$2:$2,0)+1),MATCH(H$1,[1]stages!$2:$2,0)-MATCH("temp_stage",[1]stages!$2:$2,0)+1,FALSE)</f>
        <v>月曜クエスト</v>
      </c>
      <c r="I7" s="19">
        <v>0</v>
      </c>
      <c r="J7" s="6">
        <f>COUNTIF(C$1:C7,C7)</f>
        <v>6</v>
      </c>
      <c r="K7">
        <v>7</v>
      </c>
      <c r="L7" s="6" t="s">
        <v>17</v>
      </c>
      <c r="M7" s="36" t="str">
        <f>VLOOKUP(K7,[2]stage_hints!$A:$C,3,FALSE)</f>
        <v>メタルダックで経験値を獲得</v>
      </c>
      <c r="N7" s="37" t="str">
        <f>VLOOKUP(K7,[2]stage_hints!$A:$D,4,FALSE)</f>
        <v>「メタルなアヒル」を強化素材にすると_x000D_大量の経験値がもらえます</v>
      </c>
      <c r="O7" s="22" t="s">
        <v>117</v>
      </c>
      <c r="P7">
        <v>7</v>
      </c>
    </row>
    <row r="8" spans="1:16" x14ac:dyDescent="0.15">
      <c r="A8" s="29" t="str">
        <f t="shared" si="1"/>
        <v>11001_1_7</v>
      </c>
      <c r="B8" s="27" t="s">
        <v>33</v>
      </c>
      <c r="C8" s="5">
        <v>11001</v>
      </c>
      <c r="D8" s="4" t="str">
        <f ca="1">VLOOKUP($C8,OFFSET([1]quests!$A$1,0,0,COUNTA([1]quests!$A:$A),MATCH(D$1,[1]quests!$1:$1,0)-MATCH($C$1,[1]quests!$1:$1,0)+1),MATCH(D$1,[1]quests!$1:$1,0)-MATCH($C$1,[1]quests!$1:$1,0)+1,FALSE)</f>
        <v>【月曜限定】 黄の素材</v>
      </c>
      <c r="E8" s="4" t="str">
        <f ca="1">VLOOKUP($C8,OFFSET([1]quests!$A$1,0,0,COUNTA([1]quests!$A:$A),MATCH(E$1,[1]quests!$1:$1,0)-MATCH($C$1,[1]quests!$1:$1,0)+1),MATCH(E$1,[1]quests!$1:$1,0)-MATCH($C$1,[1]quests!$1:$1,0)+1,FALSE)</f>
        <v>月曜クエスト</v>
      </c>
      <c r="F8" s="6">
        <v>1</v>
      </c>
      <c r="G8" s="4" t="str">
        <f ca="1">VLOOKUP($C8&amp;"_"&amp;$F8,OFFSET([1]stages!$A$1,0,0,COUNTA([1]stages!$A:$A),MATCH(G$1,[1]stages!$2:$2,0)-MATCH("temp_stage",[1]stages!$2:$2,0)+1),MATCH(G$1,[1]stages!$2:$2,0)-MATCH("temp_stage",[1]stages!$2:$2,0)+1,FALSE)</f>
        <v>【初級】雷のチェシャ猫</v>
      </c>
      <c r="H8" s="4" t="str">
        <f ca="1">VLOOKUP($C8&amp;"_"&amp;$F8,OFFSET([1]stages!$A$1,0,0,COUNTA([1]stages!$A:$A),MATCH(H$1,[1]stages!$2:$2,0)-MATCH("temp_stage",[1]stages!$2:$2,0)+1),MATCH(H$1,[1]stages!$2:$2,0)-MATCH("temp_stage",[1]stages!$2:$2,0)+1,FALSE)</f>
        <v>月曜クエスト</v>
      </c>
      <c r="I8" s="19">
        <v>0</v>
      </c>
      <c r="J8" s="6">
        <f>COUNTIF(C$1:C8,C8)</f>
        <v>7</v>
      </c>
      <c r="K8">
        <v>8</v>
      </c>
      <c r="L8" s="6" t="s">
        <v>17</v>
      </c>
      <c r="M8" s="36" t="str">
        <f>VLOOKUP(K8,[2]stage_hints!$A:$C,3,FALSE)</f>
        <v>ゲリラクエストは要チェック</v>
      </c>
      <c r="N8" s="37" t="str">
        <f>VLOOKUP(K8,[2]stage_hints!$A:$D,4,FALSE)</f>
        <v>時間限定の「アヒル捕獲作戦」では_x000D_経験値素材ユニットが多く手に入ります</v>
      </c>
      <c r="O8" s="22" t="s">
        <v>117</v>
      </c>
      <c r="P8">
        <v>8</v>
      </c>
    </row>
    <row r="9" spans="1:16" x14ac:dyDescent="0.15">
      <c r="A9" s="29" t="str">
        <f t="shared" si="1"/>
        <v>11001_1_8</v>
      </c>
      <c r="B9" s="27" t="s">
        <v>33</v>
      </c>
      <c r="C9" s="5">
        <v>11001</v>
      </c>
      <c r="D9" s="4" t="str">
        <f ca="1">VLOOKUP($C9,OFFSET([1]quests!$A$1,0,0,COUNTA([1]quests!$A:$A),MATCH(D$1,[1]quests!$1:$1,0)-MATCH($C$1,[1]quests!$1:$1,0)+1),MATCH(D$1,[1]quests!$1:$1,0)-MATCH($C$1,[1]quests!$1:$1,0)+1,FALSE)</f>
        <v>【月曜限定】 黄の素材</v>
      </c>
      <c r="E9" s="4" t="str">
        <f ca="1">VLOOKUP($C9,OFFSET([1]quests!$A$1,0,0,COUNTA([1]quests!$A:$A),MATCH(E$1,[1]quests!$1:$1,0)-MATCH($C$1,[1]quests!$1:$1,0)+1),MATCH(E$1,[1]quests!$1:$1,0)-MATCH($C$1,[1]quests!$1:$1,0)+1,FALSE)</f>
        <v>月曜クエスト</v>
      </c>
      <c r="F9" s="6">
        <v>1</v>
      </c>
      <c r="G9" s="4" t="str">
        <f ca="1">VLOOKUP($C9&amp;"_"&amp;$F9,OFFSET([1]stages!$A$1,0,0,COUNTA([1]stages!$A:$A),MATCH(G$1,[1]stages!$2:$2,0)-MATCH("temp_stage",[1]stages!$2:$2,0)+1),MATCH(G$1,[1]stages!$2:$2,0)-MATCH("temp_stage",[1]stages!$2:$2,0)+1,FALSE)</f>
        <v>【初級】雷のチェシャ猫</v>
      </c>
      <c r="H9" s="4" t="str">
        <f ca="1">VLOOKUP($C9&amp;"_"&amp;$F9,OFFSET([1]stages!$A$1,0,0,COUNTA([1]stages!$A:$A),MATCH(H$1,[1]stages!$2:$2,0)-MATCH("temp_stage",[1]stages!$2:$2,0)+1),MATCH(H$1,[1]stages!$2:$2,0)-MATCH("temp_stage",[1]stages!$2:$2,0)+1,FALSE)</f>
        <v>月曜クエスト</v>
      </c>
      <c r="I9" s="19">
        <v>0</v>
      </c>
      <c r="J9" s="6">
        <f>COUNTIF(C$1:C9,C9)</f>
        <v>8</v>
      </c>
      <c r="K9">
        <v>9</v>
      </c>
      <c r="L9" s="6" t="s">
        <v>17</v>
      </c>
      <c r="M9" s="36" t="str">
        <f>VLOOKUP(K9,[2]stage_hints!$A:$C,3,FALSE)</f>
        <v>ゴールドダックでビットを獲得</v>
      </c>
      <c r="N9" s="37" t="str">
        <f>VLOOKUP(K9,[2]stage_hints!$A:$D,4,FALSE)</f>
        <v>「ゴールドなアヒル」を売却すると_x000D_大量のビットがもらえます</v>
      </c>
      <c r="O9" s="22" t="s">
        <v>117</v>
      </c>
      <c r="P9">
        <v>9</v>
      </c>
    </row>
    <row r="10" spans="1:16" x14ac:dyDescent="0.15">
      <c r="A10" s="29" t="str">
        <f t="shared" si="1"/>
        <v>11001_1_9</v>
      </c>
      <c r="B10" s="27" t="s">
        <v>33</v>
      </c>
      <c r="C10" s="5">
        <v>11001</v>
      </c>
      <c r="D10" s="4" t="str">
        <f ca="1">VLOOKUP($C10,OFFSET([1]quests!$A$1,0,0,COUNTA([1]quests!$A:$A),MATCH(D$1,[1]quests!$1:$1,0)-MATCH($C$1,[1]quests!$1:$1,0)+1),MATCH(D$1,[1]quests!$1:$1,0)-MATCH($C$1,[1]quests!$1:$1,0)+1,FALSE)</f>
        <v>【月曜限定】 黄の素材</v>
      </c>
      <c r="E10" s="4" t="str">
        <f ca="1">VLOOKUP($C10,OFFSET([1]quests!$A$1,0,0,COUNTA([1]quests!$A:$A),MATCH(E$1,[1]quests!$1:$1,0)-MATCH($C$1,[1]quests!$1:$1,0)+1),MATCH(E$1,[1]quests!$1:$1,0)-MATCH($C$1,[1]quests!$1:$1,0)+1,FALSE)</f>
        <v>月曜クエスト</v>
      </c>
      <c r="F10" s="6">
        <v>1</v>
      </c>
      <c r="G10" s="4" t="str">
        <f ca="1">VLOOKUP($C10&amp;"_"&amp;$F10,OFFSET([1]stages!$A$1,0,0,COUNTA([1]stages!$A:$A),MATCH(G$1,[1]stages!$2:$2,0)-MATCH("temp_stage",[1]stages!$2:$2,0)+1),MATCH(G$1,[1]stages!$2:$2,0)-MATCH("temp_stage",[1]stages!$2:$2,0)+1,FALSE)</f>
        <v>【初級】雷のチェシャ猫</v>
      </c>
      <c r="H10" s="4" t="str">
        <f ca="1">VLOOKUP($C10&amp;"_"&amp;$F10,OFFSET([1]stages!$A$1,0,0,COUNTA([1]stages!$A:$A),MATCH(H$1,[1]stages!$2:$2,0)-MATCH("temp_stage",[1]stages!$2:$2,0)+1),MATCH(H$1,[1]stages!$2:$2,0)-MATCH("temp_stage",[1]stages!$2:$2,0)+1,FALSE)</f>
        <v>月曜クエスト</v>
      </c>
      <c r="I10" s="19">
        <v>0</v>
      </c>
      <c r="J10" s="6">
        <f>COUNTIF(C$1:C10,C10)</f>
        <v>9</v>
      </c>
      <c r="K10">
        <v>10</v>
      </c>
      <c r="L10" s="6" t="s">
        <v>17</v>
      </c>
      <c r="M10" s="36" t="str">
        <f>VLOOKUP(K10,[2]stage_hints!$A:$C,3,FALSE)</f>
        <v>土日に大量のビットを獲得</v>
      </c>
      <c r="N10" s="37" t="str">
        <f>VLOOKUP(K10,[2]stage_hints!$A:$D,4,FALSE)</f>
        <v>土日限定の「ゴールドカジノ」では_x000D_売却素材ユニットが多く手に入ります</v>
      </c>
      <c r="O10" s="22" t="s">
        <v>117</v>
      </c>
      <c r="P10">
        <v>10</v>
      </c>
    </row>
    <row r="11" spans="1:16" x14ac:dyDescent="0.15">
      <c r="A11" s="29" t="str">
        <f t="shared" si="1"/>
        <v>11001_1_10</v>
      </c>
      <c r="B11" s="27" t="s">
        <v>33</v>
      </c>
      <c r="C11" s="5">
        <v>11001</v>
      </c>
      <c r="D11" s="4" t="str">
        <f ca="1">VLOOKUP($C11,OFFSET([1]quests!$A$1,0,0,COUNTA([1]quests!$A:$A),MATCH(D$1,[1]quests!$1:$1,0)-MATCH($C$1,[1]quests!$1:$1,0)+1),MATCH(D$1,[1]quests!$1:$1,0)-MATCH($C$1,[1]quests!$1:$1,0)+1,FALSE)</f>
        <v>【月曜限定】 黄の素材</v>
      </c>
      <c r="E11" s="4" t="str">
        <f ca="1">VLOOKUP($C11,OFFSET([1]quests!$A$1,0,0,COUNTA([1]quests!$A:$A),MATCH(E$1,[1]quests!$1:$1,0)-MATCH($C$1,[1]quests!$1:$1,0)+1),MATCH(E$1,[1]quests!$1:$1,0)-MATCH($C$1,[1]quests!$1:$1,0)+1,FALSE)</f>
        <v>月曜クエスト</v>
      </c>
      <c r="F11" s="6">
        <v>1</v>
      </c>
      <c r="G11" s="4" t="str">
        <f ca="1">VLOOKUP($C11&amp;"_"&amp;$F11,OFFSET([1]stages!$A$1,0,0,COUNTA([1]stages!$A:$A),MATCH(G$1,[1]stages!$2:$2,0)-MATCH("temp_stage",[1]stages!$2:$2,0)+1),MATCH(G$1,[1]stages!$2:$2,0)-MATCH("temp_stage",[1]stages!$2:$2,0)+1,FALSE)</f>
        <v>【初級】雷のチェシャ猫</v>
      </c>
      <c r="H11" s="4" t="str">
        <f ca="1">VLOOKUP($C11&amp;"_"&amp;$F11,OFFSET([1]stages!$A$1,0,0,COUNTA([1]stages!$A:$A),MATCH(H$1,[1]stages!$2:$2,0)-MATCH("temp_stage",[1]stages!$2:$2,0)+1),MATCH(H$1,[1]stages!$2:$2,0)-MATCH("temp_stage",[1]stages!$2:$2,0)+1,FALSE)</f>
        <v>月曜クエスト</v>
      </c>
      <c r="I11" s="19">
        <v>0</v>
      </c>
      <c r="J11" s="6">
        <f>COUNTIF(C$1:C11,C11)</f>
        <v>10</v>
      </c>
      <c r="K11">
        <v>11</v>
      </c>
      <c r="L11" s="6" t="s">
        <v>17</v>
      </c>
      <c r="M11" s="36" t="str">
        <f>VLOOKUP(K11,[2]stage_hints!$A:$C,3,FALSE)</f>
        <v>ランク解放クエスト</v>
      </c>
      <c r="N11" s="37" t="str">
        <f>VLOOKUP(K11,[2]stage_hints!$A:$D,4,FALSE)</f>
        <v>一定ランクに到達すると_x000D_報酬付きのランク開放クエストが現れます</v>
      </c>
      <c r="O11" s="22" t="s">
        <v>117</v>
      </c>
      <c r="P11">
        <v>11</v>
      </c>
    </row>
    <row r="12" spans="1:16" x14ac:dyDescent="0.15">
      <c r="A12" s="29" t="str">
        <f t="shared" si="1"/>
        <v>11001_1_11</v>
      </c>
      <c r="B12" s="27" t="s">
        <v>33</v>
      </c>
      <c r="C12" s="5">
        <v>11001</v>
      </c>
      <c r="D12" s="4" t="str">
        <f ca="1">VLOOKUP($C12,OFFSET([1]quests!$A$1,0,0,COUNTA([1]quests!$A:$A),MATCH(D$1,[1]quests!$1:$1,0)-MATCH($C$1,[1]quests!$1:$1,0)+1),MATCH(D$1,[1]quests!$1:$1,0)-MATCH($C$1,[1]quests!$1:$1,0)+1,FALSE)</f>
        <v>【月曜限定】 黄の素材</v>
      </c>
      <c r="E12" s="4" t="str">
        <f ca="1">VLOOKUP($C12,OFFSET([1]quests!$A$1,0,0,COUNTA([1]quests!$A:$A),MATCH(E$1,[1]quests!$1:$1,0)-MATCH($C$1,[1]quests!$1:$1,0)+1),MATCH(E$1,[1]quests!$1:$1,0)-MATCH($C$1,[1]quests!$1:$1,0)+1,FALSE)</f>
        <v>月曜クエスト</v>
      </c>
      <c r="F12" s="6">
        <v>1</v>
      </c>
      <c r="G12" s="4" t="str">
        <f ca="1">VLOOKUP($C12&amp;"_"&amp;$F12,OFFSET([1]stages!$A$1,0,0,COUNTA([1]stages!$A:$A),MATCH(G$1,[1]stages!$2:$2,0)-MATCH("temp_stage",[1]stages!$2:$2,0)+1),MATCH(G$1,[1]stages!$2:$2,0)-MATCH("temp_stage",[1]stages!$2:$2,0)+1,FALSE)</f>
        <v>【初級】雷のチェシャ猫</v>
      </c>
      <c r="H12" s="4" t="str">
        <f ca="1">VLOOKUP($C12&amp;"_"&amp;$F12,OFFSET([1]stages!$A$1,0,0,COUNTA([1]stages!$A:$A),MATCH(H$1,[1]stages!$2:$2,0)-MATCH("temp_stage",[1]stages!$2:$2,0)+1),MATCH(H$1,[1]stages!$2:$2,0)-MATCH("temp_stage",[1]stages!$2:$2,0)+1,FALSE)</f>
        <v>月曜クエスト</v>
      </c>
      <c r="I12" s="19">
        <v>0</v>
      </c>
      <c r="J12" s="6">
        <f>COUNTIF(C$1:C12,C12)</f>
        <v>11</v>
      </c>
      <c r="K12">
        <v>12</v>
      </c>
      <c r="L12" s="6" t="s">
        <v>17</v>
      </c>
      <c r="M12" s="36" t="str">
        <f>VLOOKUP(K12,[2]stage_hints!$A:$C,3,FALSE)</f>
        <v>ユニットのお気に入り登録</v>
      </c>
      <c r="N12" s="37" t="str">
        <f>VLOOKUP(K12,[2]stage_hints!$A:$D,4,FALSE)</f>
        <v>大事なユニットを誤って消さないように_x000D_フォルダから「お気に入り登録」しましょう</v>
      </c>
      <c r="O12" s="22" t="s">
        <v>117</v>
      </c>
      <c r="P12">
        <v>12</v>
      </c>
    </row>
    <row r="13" spans="1:16" x14ac:dyDescent="0.15">
      <c r="A13" s="29" t="str">
        <f t="shared" si="1"/>
        <v>11001_1_12</v>
      </c>
      <c r="B13" s="27" t="s">
        <v>33</v>
      </c>
      <c r="C13" s="5">
        <v>11001</v>
      </c>
      <c r="D13" s="4" t="str">
        <f ca="1">VLOOKUP($C13,OFFSET([1]quests!$A$1,0,0,COUNTA([1]quests!$A:$A),MATCH(D$1,[1]quests!$1:$1,0)-MATCH($C$1,[1]quests!$1:$1,0)+1),MATCH(D$1,[1]quests!$1:$1,0)-MATCH($C$1,[1]quests!$1:$1,0)+1,FALSE)</f>
        <v>【月曜限定】 黄の素材</v>
      </c>
      <c r="E13" s="4" t="str">
        <f ca="1">VLOOKUP($C13,OFFSET([1]quests!$A$1,0,0,COUNTA([1]quests!$A:$A),MATCH(E$1,[1]quests!$1:$1,0)-MATCH($C$1,[1]quests!$1:$1,0)+1),MATCH(E$1,[1]quests!$1:$1,0)-MATCH($C$1,[1]quests!$1:$1,0)+1,FALSE)</f>
        <v>月曜クエスト</v>
      </c>
      <c r="F13" s="6">
        <v>1</v>
      </c>
      <c r="G13" s="4" t="str">
        <f ca="1">VLOOKUP($C13&amp;"_"&amp;$F13,OFFSET([1]stages!$A$1,0,0,COUNTA([1]stages!$A:$A),MATCH(G$1,[1]stages!$2:$2,0)-MATCH("temp_stage",[1]stages!$2:$2,0)+1),MATCH(G$1,[1]stages!$2:$2,0)-MATCH("temp_stage",[1]stages!$2:$2,0)+1,FALSE)</f>
        <v>【初級】雷のチェシャ猫</v>
      </c>
      <c r="H13" s="4" t="str">
        <f ca="1">VLOOKUP($C13&amp;"_"&amp;$F13,OFFSET([1]stages!$A$1,0,0,COUNTA([1]stages!$A:$A),MATCH(H$1,[1]stages!$2:$2,0)-MATCH("temp_stage",[1]stages!$2:$2,0)+1),MATCH(H$1,[1]stages!$2:$2,0)-MATCH("temp_stage",[1]stages!$2:$2,0)+1,FALSE)</f>
        <v>月曜クエスト</v>
      </c>
      <c r="I13" s="19">
        <v>0</v>
      </c>
      <c r="J13" s="6">
        <f>COUNTIF(C$1:C13,C13)</f>
        <v>12</v>
      </c>
      <c r="K13">
        <v>13</v>
      </c>
      <c r="L13" s="6" t="s">
        <v>17</v>
      </c>
      <c r="M13" s="36" t="str">
        <f>VLOOKUP(K13,[2]stage_hints!$A:$C,3,FALSE)</f>
        <v>ユニットの覚醒</v>
      </c>
      <c r="N13" s="37" t="str">
        <f>VLOOKUP(K13,[2]stage_hints!$A:$D,4,FALSE)</f>
        <v>ユニットを覚醒させると_x000D_比べものにならない強さが手に入ります</v>
      </c>
      <c r="O13" s="22" t="s">
        <v>117</v>
      </c>
      <c r="P13">
        <v>13</v>
      </c>
    </row>
    <row r="14" spans="1:16" x14ac:dyDescent="0.15">
      <c r="A14" s="29" t="str">
        <f t="shared" si="1"/>
        <v>11001_1_13</v>
      </c>
      <c r="B14" s="27" t="s">
        <v>33</v>
      </c>
      <c r="C14" s="5">
        <v>11001</v>
      </c>
      <c r="D14" s="4" t="str">
        <f ca="1">VLOOKUP($C14,OFFSET([1]quests!$A$1,0,0,COUNTA([1]quests!$A:$A),MATCH(D$1,[1]quests!$1:$1,0)-MATCH($C$1,[1]quests!$1:$1,0)+1),MATCH(D$1,[1]quests!$1:$1,0)-MATCH($C$1,[1]quests!$1:$1,0)+1,FALSE)</f>
        <v>【月曜限定】 黄の素材</v>
      </c>
      <c r="E14" s="4" t="str">
        <f ca="1">VLOOKUP($C14,OFFSET([1]quests!$A$1,0,0,COUNTA([1]quests!$A:$A),MATCH(E$1,[1]quests!$1:$1,0)-MATCH($C$1,[1]quests!$1:$1,0)+1),MATCH(E$1,[1]quests!$1:$1,0)-MATCH($C$1,[1]quests!$1:$1,0)+1,FALSE)</f>
        <v>月曜クエスト</v>
      </c>
      <c r="F14" s="6">
        <v>1</v>
      </c>
      <c r="G14" s="4" t="str">
        <f ca="1">VLOOKUP($C14&amp;"_"&amp;$F14,OFFSET([1]stages!$A$1,0,0,COUNTA([1]stages!$A:$A),MATCH(G$1,[1]stages!$2:$2,0)-MATCH("temp_stage",[1]stages!$2:$2,0)+1),MATCH(G$1,[1]stages!$2:$2,0)-MATCH("temp_stage",[1]stages!$2:$2,0)+1,FALSE)</f>
        <v>【初級】雷のチェシャ猫</v>
      </c>
      <c r="H14" s="4" t="str">
        <f ca="1">VLOOKUP($C14&amp;"_"&amp;$F14,OFFSET([1]stages!$A$1,0,0,COUNTA([1]stages!$A:$A),MATCH(H$1,[1]stages!$2:$2,0)-MATCH("temp_stage",[1]stages!$2:$2,0)+1),MATCH(H$1,[1]stages!$2:$2,0)-MATCH("temp_stage",[1]stages!$2:$2,0)+1,FALSE)</f>
        <v>月曜クエスト</v>
      </c>
      <c r="I14" s="19">
        <v>0</v>
      </c>
      <c r="J14" s="6">
        <f>COUNTIF(C$1:C14,C14)</f>
        <v>13</v>
      </c>
      <c r="K14">
        <v>14</v>
      </c>
      <c r="L14" s="6" t="s">
        <v>17</v>
      </c>
      <c r="M14" s="36" t="str">
        <f>VLOOKUP(K14,[2]stage_hints!$A:$C,3,FALSE)</f>
        <v>覚醒するにはレベルを最大に</v>
      </c>
      <c r="N14" s="37" t="str">
        <f>VLOOKUP(K14,[2]stage_hints!$A:$D,4,FALSE)</f>
        <v>覚醒するにはユニットのレベルを_x000D_最大まで上げる必要があります</v>
      </c>
      <c r="O14" s="22" t="s">
        <v>117</v>
      </c>
      <c r="P14">
        <v>14</v>
      </c>
    </row>
    <row r="15" spans="1:16" x14ac:dyDescent="0.15">
      <c r="A15" s="29" t="str">
        <f t="shared" ref="A15:A18" si="2">C15&amp;"_"&amp;F15&amp;"_"&amp;J15</f>
        <v>11001_1_14</v>
      </c>
      <c r="B15" s="27" t="s">
        <v>33</v>
      </c>
      <c r="C15" s="5">
        <v>11001</v>
      </c>
      <c r="D15" s="4" t="str">
        <f ca="1">VLOOKUP($C15,OFFSET([1]quests!$A$1,0,0,COUNTA([1]quests!$A:$A),MATCH(D$1,[1]quests!$1:$1,0)-MATCH($C$1,[1]quests!$1:$1,0)+1),MATCH(D$1,[1]quests!$1:$1,0)-MATCH($C$1,[1]quests!$1:$1,0)+1,FALSE)</f>
        <v>【月曜限定】 黄の素材</v>
      </c>
      <c r="E15" s="4" t="str">
        <f ca="1">VLOOKUP($C15,OFFSET([1]quests!$A$1,0,0,COUNTA([1]quests!$A:$A),MATCH(E$1,[1]quests!$1:$1,0)-MATCH($C$1,[1]quests!$1:$1,0)+1),MATCH(E$1,[1]quests!$1:$1,0)-MATCH($C$1,[1]quests!$1:$1,0)+1,FALSE)</f>
        <v>月曜クエスト</v>
      </c>
      <c r="F15" s="6">
        <v>1</v>
      </c>
      <c r="G15" s="4" t="str">
        <f ca="1">VLOOKUP($C15&amp;"_"&amp;$F15,OFFSET([1]stages!$A$1,0,0,COUNTA([1]stages!$A:$A),MATCH(G$1,[1]stages!$2:$2,0)-MATCH("temp_stage",[1]stages!$2:$2,0)+1),MATCH(G$1,[1]stages!$2:$2,0)-MATCH("temp_stage",[1]stages!$2:$2,0)+1,FALSE)</f>
        <v>【初級】雷のチェシャ猫</v>
      </c>
      <c r="H15" s="4" t="str">
        <f ca="1">VLOOKUP($C15&amp;"_"&amp;$F15,OFFSET([1]stages!$A$1,0,0,COUNTA([1]stages!$A:$A),MATCH(H$1,[1]stages!$2:$2,0)-MATCH("temp_stage",[1]stages!$2:$2,0)+1),MATCH(H$1,[1]stages!$2:$2,0)-MATCH("temp_stage",[1]stages!$2:$2,0)+1,FALSE)</f>
        <v>月曜クエスト</v>
      </c>
      <c r="I15" s="19">
        <v>0</v>
      </c>
      <c r="J15" s="6">
        <f>COUNTIF(C$1:C15,C15)</f>
        <v>14</v>
      </c>
      <c r="K15">
        <v>15</v>
      </c>
      <c r="L15" s="6" t="s">
        <v>17</v>
      </c>
      <c r="M15" s="36" t="str">
        <f>VLOOKUP(K15,[2]stage_hints!$A:$C,3,FALSE)</f>
        <v>覚醒素材を獲得</v>
      </c>
      <c r="N15" s="37" t="str">
        <f>VLOOKUP(K15,[2]stage_hints!$A:$D,4,FALSE)</f>
        <v>「曜日クエスト」では_x000D_ユニットの覚醒に必要な素材が手に入ります</v>
      </c>
      <c r="O15" s="22" t="s">
        <v>117</v>
      </c>
      <c r="P15">
        <v>15</v>
      </c>
    </row>
    <row r="16" spans="1:16" x14ac:dyDescent="0.15">
      <c r="A16" s="29" t="str">
        <f t="shared" si="2"/>
        <v>11001_1_15</v>
      </c>
      <c r="B16" s="27" t="s">
        <v>33</v>
      </c>
      <c r="C16" s="5">
        <v>11001</v>
      </c>
      <c r="D16" s="4" t="str">
        <f ca="1">VLOOKUP($C16,OFFSET([1]quests!$A$1,0,0,COUNTA([1]quests!$A:$A),MATCH(D$1,[1]quests!$1:$1,0)-MATCH($C$1,[1]quests!$1:$1,0)+1),MATCH(D$1,[1]quests!$1:$1,0)-MATCH($C$1,[1]quests!$1:$1,0)+1,FALSE)</f>
        <v>【月曜限定】 黄の素材</v>
      </c>
      <c r="E16" s="4" t="str">
        <f ca="1">VLOOKUP($C16,OFFSET([1]quests!$A$1,0,0,COUNTA([1]quests!$A:$A),MATCH(E$1,[1]quests!$1:$1,0)-MATCH($C$1,[1]quests!$1:$1,0)+1),MATCH(E$1,[1]quests!$1:$1,0)-MATCH($C$1,[1]quests!$1:$1,0)+1,FALSE)</f>
        <v>月曜クエスト</v>
      </c>
      <c r="F16" s="6">
        <v>1</v>
      </c>
      <c r="G16" s="4" t="str">
        <f ca="1">VLOOKUP($C16&amp;"_"&amp;$F16,OFFSET([1]stages!$A$1,0,0,COUNTA([1]stages!$A:$A),MATCH(G$1,[1]stages!$2:$2,0)-MATCH("temp_stage",[1]stages!$2:$2,0)+1),MATCH(G$1,[1]stages!$2:$2,0)-MATCH("temp_stage",[1]stages!$2:$2,0)+1,FALSE)</f>
        <v>【初級】雷のチェシャ猫</v>
      </c>
      <c r="H16" s="4" t="str">
        <f ca="1">VLOOKUP($C16&amp;"_"&amp;$F16,OFFSET([1]stages!$A$1,0,0,COUNTA([1]stages!$A:$A),MATCH(H$1,[1]stages!$2:$2,0)-MATCH("temp_stage",[1]stages!$2:$2,0)+1),MATCH(H$1,[1]stages!$2:$2,0)-MATCH("temp_stage",[1]stages!$2:$2,0)+1,FALSE)</f>
        <v>月曜クエスト</v>
      </c>
      <c r="I16" s="19">
        <v>0</v>
      </c>
      <c r="J16" s="6">
        <f>COUNTIF(C$1:C16,C16)</f>
        <v>15</v>
      </c>
      <c r="K16">
        <v>16</v>
      </c>
      <c r="L16" s="6" t="s">
        <v>17</v>
      </c>
      <c r="M16" s="36" t="str">
        <f>VLOOKUP(K16,[2]stage_hints!$A:$C,3,FALSE)</f>
        <v>マルチプレイのメリット（その1）</v>
      </c>
      <c r="N16" s="37" t="str">
        <f>VLOOKUP(K16,[2]stage_hints!$A:$D,4,FALSE)</f>
        <v>他のプレイヤーとマルチプレイで遊ぶと_x000D_ポリゴンがもらえます（100人まで）</v>
      </c>
      <c r="O16" s="22" t="s">
        <v>117</v>
      </c>
      <c r="P16">
        <v>16</v>
      </c>
    </row>
    <row r="17" spans="1:16" x14ac:dyDescent="0.15">
      <c r="A17" s="29" t="str">
        <f t="shared" si="2"/>
        <v>11001_1_16</v>
      </c>
      <c r="B17" s="27" t="s">
        <v>33</v>
      </c>
      <c r="C17" s="5">
        <v>11001</v>
      </c>
      <c r="D17" s="4" t="str">
        <f ca="1">VLOOKUP($C17,OFFSET([1]quests!$A$1,0,0,COUNTA([1]quests!$A:$A),MATCH(D$1,[1]quests!$1:$1,0)-MATCH($C$1,[1]quests!$1:$1,0)+1),MATCH(D$1,[1]quests!$1:$1,0)-MATCH($C$1,[1]quests!$1:$1,0)+1,FALSE)</f>
        <v>【月曜限定】 黄の素材</v>
      </c>
      <c r="E17" s="4" t="str">
        <f ca="1">VLOOKUP($C17,OFFSET([1]quests!$A$1,0,0,COUNTA([1]quests!$A:$A),MATCH(E$1,[1]quests!$1:$1,0)-MATCH($C$1,[1]quests!$1:$1,0)+1),MATCH(E$1,[1]quests!$1:$1,0)-MATCH($C$1,[1]quests!$1:$1,0)+1,FALSE)</f>
        <v>月曜クエスト</v>
      </c>
      <c r="F17" s="6">
        <v>1</v>
      </c>
      <c r="G17" s="4" t="str">
        <f ca="1">VLOOKUP($C17&amp;"_"&amp;$F17,OFFSET([1]stages!$A$1,0,0,COUNTA([1]stages!$A:$A),MATCH(G$1,[1]stages!$2:$2,0)-MATCH("temp_stage",[1]stages!$2:$2,0)+1),MATCH(G$1,[1]stages!$2:$2,0)-MATCH("temp_stage",[1]stages!$2:$2,0)+1,FALSE)</f>
        <v>【初級】雷のチェシャ猫</v>
      </c>
      <c r="H17" s="4" t="str">
        <f ca="1">VLOOKUP($C17&amp;"_"&amp;$F17,OFFSET([1]stages!$A$1,0,0,COUNTA([1]stages!$A:$A),MATCH(H$1,[1]stages!$2:$2,0)-MATCH("temp_stage",[1]stages!$2:$2,0)+1),MATCH(H$1,[1]stages!$2:$2,0)-MATCH("temp_stage",[1]stages!$2:$2,0)+1,FALSE)</f>
        <v>月曜クエスト</v>
      </c>
      <c r="I17" s="19">
        <v>0</v>
      </c>
      <c r="J17" s="6">
        <f>COUNTIF(C$1:C17,C17)</f>
        <v>16</v>
      </c>
      <c r="K17">
        <v>17</v>
      </c>
      <c r="L17" s="6" t="s">
        <v>17</v>
      </c>
      <c r="M17" s="36" t="str">
        <f>VLOOKUP(K17,[2]stage_hints!$A:$C,3,FALSE)</f>
        <v>リンクガチャ</v>
      </c>
      <c r="N17" s="37" t="str">
        <f>VLOOKUP(K17,[2]stage_hints!$A:$D,4,FALSE)</f>
        <v>無料のリンクガチャを回して_x000D_経験値素材や売却素材を獲得しましょう</v>
      </c>
      <c r="O17" s="22" t="s">
        <v>117</v>
      </c>
      <c r="P17">
        <v>17</v>
      </c>
    </row>
    <row r="18" spans="1:16" x14ac:dyDescent="0.15">
      <c r="A18" s="29" t="str">
        <f t="shared" si="2"/>
        <v>11001_1_17</v>
      </c>
      <c r="B18" s="27" t="s">
        <v>33</v>
      </c>
      <c r="C18" s="5">
        <v>11001</v>
      </c>
      <c r="D18" s="4" t="str">
        <f ca="1">VLOOKUP($C18,OFFSET([1]quests!$A$1,0,0,COUNTA([1]quests!$A:$A),MATCH(D$1,[1]quests!$1:$1,0)-MATCH($C$1,[1]quests!$1:$1,0)+1),MATCH(D$1,[1]quests!$1:$1,0)-MATCH($C$1,[1]quests!$1:$1,0)+1,FALSE)</f>
        <v>【月曜限定】 黄の素材</v>
      </c>
      <c r="E18" s="4" t="str">
        <f ca="1">VLOOKUP($C18,OFFSET([1]quests!$A$1,0,0,COUNTA([1]quests!$A:$A),MATCH(E$1,[1]quests!$1:$1,0)-MATCH($C$1,[1]quests!$1:$1,0)+1),MATCH(E$1,[1]quests!$1:$1,0)-MATCH($C$1,[1]quests!$1:$1,0)+1,FALSE)</f>
        <v>月曜クエスト</v>
      </c>
      <c r="F18" s="6">
        <v>1</v>
      </c>
      <c r="G18" s="4" t="str">
        <f ca="1">VLOOKUP($C18&amp;"_"&amp;$F18,OFFSET([1]stages!$A$1,0,0,COUNTA([1]stages!$A:$A),MATCH(G$1,[1]stages!$2:$2,0)-MATCH("temp_stage",[1]stages!$2:$2,0)+1),MATCH(G$1,[1]stages!$2:$2,0)-MATCH("temp_stage",[1]stages!$2:$2,0)+1,FALSE)</f>
        <v>【初級】雷のチェシャ猫</v>
      </c>
      <c r="H18" s="4" t="str">
        <f ca="1">VLOOKUP($C18&amp;"_"&amp;$F18,OFFSET([1]stages!$A$1,0,0,COUNTA([1]stages!$A:$A),MATCH(H$1,[1]stages!$2:$2,0)-MATCH("temp_stage",[1]stages!$2:$2,0)+1),MATCH(H$1,[1]stages!$2:$2,0)-MATCH("temp_stage",[1]stages!$2:$2,0)+1,FALSE)</f>
        <v>月曜クエスト</v>
      </c>
      <c r="I18" s="19">
        <v>0</v>
      </c>
      <c r="J18" s="6">
        <f>COUNTIF(C$1:C18,C18)</f>
        <v>17</v>
      </c>
      <c r="K18">
        <v>18</v>
      </c>
      <c r="L18" s="6" t="s">
        <v>17</v>
      </c>
      <c r="M18" s="36" t="str">
        <f>VLOOKUP(K18,[2]stage_hints!$A:$C,3,FALSE)</f>
        <v>マルチプレイのメリット（その2）</v>
      </c>
      <c r="N18" s="37" t="str">
        <f>VLOOKUP(K18,[2]stage_hints!$A:$D,4,FALSE)</f>
        <v>マルチプレイならリンクが2倍もらえます_x000D_リンクガチャをたくさん回しましょう</v>
      </c>
      <c r="O18" s="22" t="s">
        <v>117</v>
      </c>
      <c r="P18">
        <v>18</v>
      </c>
    </row>
    <row r="19" spans="1:16" x14ac:dyDescent="0.15">
      <c r="A19" s="29" t="str">
        <f t="shared" ref="A19" si="3">C19&amp;"_"&amp;F19&amp;"_"&amp;J19</f>
        <v>11001_1_18</v>
      </c>
      <c r="B19" s="27" t="s">
        <v>33</v>
      </c>
      <c r="C19" s="5">
        <v>11001</v>
      </c>
      <c r="D19" s="4" t="str">
        <f ca="1">VLOOKUP($C19,OFFSET([1]quests!$A$1,0,0,COUNTA([1]quests!$A:$A),MATCH(D$1,[1]quests!$1:$1,0)-MATCH($C$1,[1]quests!$1:$1,0)+1),MATCH(D$1,[1]quests!$1:$1,0)-MATCH($C$1,[1]quests!$1:$1,0)+1,FALSE)</f>
        <v>【月曜限定】 黄の素材</v>
      </c>
      <c r="E19" s="4" t="str">
        <f ca="1">VLOOKUP($C19,OFFSET([1]quests!$A$1,0,0,COUNTA([1]quests!$A:$A),MATCH(E$1,[1]quests!$1:$1,0)-MATCH($C$1,[1]quests!$1:$1,0)+1),MATCH(E$1,[1]quests!$1:$1,0)-MATCH($C$1,[1]quests!$1:$1,0)+1,FALSE)</f>
        <v>月曜クエスト</v>
      </c>
      <c r="F19" s="6">
        <v>1</v>
      </c>
      <c r="G19" s="4" t="str">
        <f ca="1">VLOOKUP($C19&amp;"_"&amp;$F19,OFFSET([1]stages!$A$1,0,0,COUNTA([1]stages!$A:$A),MATCH(G$1,[1]stages!$2:$2,0)-MATCH("temp_stage",[1]stages!$2:$2,0)+1),MATCH(G$1,[1]stages!$2:$2,0)-MATCH("temp_stage",[1]stages!$2:$2,0)+1,FALSE)</f>
        <v>【初級】雷のチェシャ猫</v>
      </c>
      <c r="H19" s="4" t="str">
        <f ca="1">VLOOKUP($C19&amp;"_"&amp;$F19,OFFSET([1]stages!$A$1,0,0,COUNTA([1]stages!$A:$A),MATCH(H$1,[1]stages!$2:$2,0)-MATCH("temp_stage",[1]stages!$2:$2,0)+1),MATCH(H$1,[1]stages!$2:$2,0)-MATCH("temp_stage",[1]stages!$2:$2,0)+1,FALSE)</f>
        <v>月曜クエスト</v>
      </c>
      <c r="I19" s="19">
        <v>0</v>
      </c>
      <c r="J19" s="6">
        <f>COUNTIF(C$1:C19,C19)</f>
        <v>18</v>
      </c>
      <c r="K19">
        <v>19</v>
      </c>
      <c r="L19" s="6" t="s">
        <v>17</v>
      </c>
      <c r="M19" s="36" t="str">
        <f>VLOOKUP(K19,[2]stage_hints!$A:$C,3,FALSE)</f>
        <v>ソロ専用チャレンジタワー</v>
      </c>
      <c r="N19" s="37" t="str">
        <f>VLOOKUP(K19,[2]stage_hints!$A:$D,4,FALSE)</f>
        <v>ソロ専用の「チャレンジタワー」では_x000D_各フロアごとにクリア報酬がもらえます</v>
      </c>
      <c r="O19" s="22" t="s">
        <v>117</v>
      </c>
      <c r="P19">
        <v>19</v>
      </c>
    </row>
    <row r="20" spans="1:16" x14ac:dyDescent="0.15">
      <c r="A20" s="29" t="str">
        <f t="shared" ref="A20:A24" si="4">C20&amp;"_"&amp;F20&amp;"_"&amp;J20</f>
        <v>11001_1_19</v>
      </c>
      <c r="B20" s="27" t="s">
        <v>33</v>
      </c>
      <c r="C20" s="5">
        <v>11001</v>
      </c>
      <c r="D20" s="4" t="str">
        <f ca="1">VLOOKUP($C20,OFFSET([1]quests!$A$1,0,0,COUNTA([1]quests!$A:$A),MATCH(D$1,[1]quests!$1:$1,0)-MATCH($C$1,[1]quests!$1:$1,0)+1),MATCH(D$1,[1]quests!$1:$1,0)-MATCH($C$1,[1]quests!$1:$1,0)+1,FALSE)</f>
        <v>【月曜限定】 黄の素材</v>
      </c>
      <c r="E20" s="4" t="str">
        <f ca="1">VLOOKUP($C20,OFFSET([1]quests!$A$1,0,0,COUNTA([1]quests!$A:$A),MATCH(E$1,[1]quests!$1:$1,0)-MATCH($C$1,[1]quests!$1:$1,0)+1),MATCH(E$1,[1]quests!$1:$1,0)-MATCH($C$1,[1]quests!$1:$1,0)+1,FALSE)</f>
        <v>月曜クエスト</v>
      </c>
      <c r="F20" s="6">
        <v>1</v>
      </c>
      <c r="G20" s="4" t="str">
        <f ca="1">VLOOKUP($C20&amp;"_"&amp;$F20,OFFSET([1]stages!$A$1,0,0,COUNTA([1]stages!$A:$A),MATCH(G$1,[1]stages!$2:$2,0)-MATCH("temp_stage",[1]stages!$2:$2,0)+1),MATCH(G$1,[1]stages!$2:$2,0)-MATCH("temp_stage",[1]stages!$2:$2,0)+1,FALSE)</f>
        <v>【初級】雷のチェシャ猫</v>
      </c>
      <c r="H20" s="4" t="str">
        <f ca="1">VLOOKUP($C20&amp;"_"&amp;$F20,OFFSET([1]stages!$A$1,0,0,COUNTA([1]stages!$A:$A),MATCH(H$1,[1]stages!$2:$2,0)-MATCH("temp_stage",[1]stages!$2:$2,0)+1),MATCH(H$1,[1]stages!$2:$2,0)-MATCH("temp_stage",[1]stages!$2:$2,0)+1,FALSE)</f>
        <v>月曜クエスト</v>
      </c>
      <c r="I20" s="19">
        <v>0</v>
      </c>
      <c r="J20" s="6">
        <f>COUNTIF(C$1:C20,C20)</f>
        <v>19</v>
      </c>
      <c r="K20">
        <v>20</v>
      </c>
      <c r="L20" s="6" t="s">
        <v>17</v>
      </c>
      <c r="M20" s="36" t="str">
        <f>VLOOKUP(K20,[2]stage_hints!$A:$C,3,FALSE)</f>
        <v>マルチプレイのメリット（その3）</v>
      </c>
      <c r="N20" s="37" t="str">
        <f>VLOOKUP(K20,[2]stage_hints!$A:$D,4,FALSE)</f>
        <v>マルチプレイへの参加はエナジー消費ゼロ_x000D_いつでも好きなだけ遊ぶことができます</v>
      </c>
      <c r="O20" s="22" t="s">
        <v>117</v>
      </c>
      <c r="P20">
        <v>20</v>
      </c>
    </row>
    <row r="21" spans="1:16" x14ac:dyDescent="0.15">
      <c r="A21" s="29" t="str">
        <f t="shared" si="4"/>
        <v>11001_1_20</v>
      </c>
      <c r="B21" s="27" t="s">
        <v>33</v>
      </c>
      <c r="C21" s="5">
        <v>11001</v>
      </c>
      <c r="D21" s="4" t="str">
        <f ca="1">VLOOKUP($C21,OFFSET([1]quests!$A$1,0,0,COUNTA([1]quests!$A:$A),MATCH(D$1,[1]quests!$1:$1,0)-MATCH($C$1,[1]quests!$1:$1,0)+1),MATCH(D$1,[1]quests!$1:$1,0)-MATCH($C$1,[1]quests!$1:$1,0)+1,FALSE)</f>
        <v>【月曜限定】 黄の素材</v>
      </c>
      <c r="E21" s="4" t="str">
        <f ca="1">VLOOKUP($C21,OFFSET([1]quests!$A$1,0,0,COUNTA([1]quests!$A:$A),MATCH(E$1,[1]quests!$1:$1,0)-MATCH($C$1,[1]quests!$1:$1,0)+1),MATCH(E$1,[1]quests!$1:$1,0)-MATCH($C$1,[1]quests!$1:$1,0)+1,FALSE)</f>
        <v>月曜クエスト</v>
      </c>
      <c r="F21" s="6">
        <v>1</v>
      </c>
      <c r="G21" s="4" t="str">
        <f ca="1">VLOOKUP($C21&amp;"_"&amp;$F21,OFFSET([1]stages!$A$1,0,0,COUNTA([1]stages!$A:$A),MATCH(G$1,[1]stages!$2:$2,0)-MATCH("temp_stage",[1]stages!$2:$2,0)+1),MATCH(G$1,[1]stages!$2:$2,0)-MATCH("temp_stage",[1]stages!$2:$2,0)+1,FALSE)</f>
        <v>【初級】雷のチェシャ猫</v>
      </c>
      <c r="H21" s="4" t="str">
        <f ca="1">VLOOKUP($C21&amp;"_"&amp;$F21,OFFSET([1]stages!$A$1,0,0,COUNTA([1]stages!$A:$A),MATCH(H$1,[1]stages!$2:$2,0)-MATCH("temp_stage",[1]stages!$2:$2,0)+1),MATCH(H$1,[1]stages!$2:$2,0)-MATCH("temp_stage",[1]stages!$2:$2,0)+1,FALSE)</f>
        <v>月曜クエスト</v>
      </c>
      <c r="I21" s="19">
        <v>0</v>
      </c>
      <c r="J21" s="6">
        <f>COUNTIF(C$1:C21,C21)</f>
        <v>20</v>
      </c>
      <c r="K21">
        <v>21</v>
      </c>
      <c r="L21" s="6" t="s">
        <v>17</v>
      </c>
      <c r="M21" s="36" t="str">
        <f>VLOOKUP(K21,[2]stage_hints!$A:$C,3,FALSE)</f>
        <v>スキルを有効に</v>
      </c>
      <c r="N21" s="37" t="str">
        <f>VLOOKUP(K21,[2]stage_hints!$A:$D,4,FALSE)</f>
        <v>ターン経過でユニットのスキルが使えます_x000D_強力スキルでバトルを有利に進めましょう</v>
      </c>
      <c r="O21" s="22" t="s">
        <v>117</v>
      </c>
      <c r="P21">
        <v>21</v>
      </c>
    </row>
    <row r="22" spans="1:16" x14ac:dyDescent="0.15">
      <c r="A22" s="29" t="str">
        <f t="shared" si="4"/>
        <v>11001_1_21</v>
      </c>
      <c r="B22" s="27" t="s">
        <v>33</v>
      </c>
      <c r="C22" s="5">
        <v>11001</v>
      </c>
      <c r="D22" s="4" t="str">
        <f ca="1">VLOOKUP($C22,OFFSET([1]quests!$A$1,0,0,COUNTA([1]quests!$A:$A),MATCH(D$1,[1]quests!$1:$1,0)-MATCH($C$1,[1]quests!$1:$1,0)+1),MATCH(D$1,[1]quests!$1:$1,0)-MATCH($C$1,[1]quests!$1:$1,0)+1,FALSE)</f>
        <v>【月曜限定】 黄の素材</v>
      </c>
      <c r="E22" s="4" t="str">
        <f ca="1">VLOOKUP($C22,OFFSET([1]quests!$A$1,0,0,COUNTA([1]quests!$A:$A),MATCH(E$1,[1]quests!$1:$1,0)-MATCH($C$1,[1]quests!$1:$1,0)+1),MATCH(E$1,[1]quests!$1:$1,0)-MATCH($C$1,[1]quests!$1:$1,0)+1,FALSE)</f>
        <v>月曜クエスト</v>
      </c>
      <c r="F22" s="6">
        <v>1</v>
      </c>
      <c r="G22" s="4" t="str">
        <f ca="1">VLOOKUP($C22&amp;"_"&amp;$F22,OFFSET([1]stages!$A$1,0,0,COUNTA([1]stages!$A:$A),MATCH(G$1,[1]stages!$2:$2,0)-MATCH("temp_stage",[1]stages!$2:$2,0)+1),MATCH(G$1,[1]stages!$2:$2,0)-MATCH("temp_stage",[1]stages!$2:$2,0)+1,FALSE)</f>
        <v>【初級】雷のチェシャ猫</v>
      </c>
      <c r="H22" s="4" t="str">
        <f ca="1">VLOOKUP($C22&amp;"_"&amp;$F22,OFFSET([1]stages!$A$1,0,0,COUNTA([1]stages!$A:$A),MATCH(H$1,[1]stages!$2:$2,0)-MATCH("temp_stage",[1]stages!$2:$2,0)+1),MATCH(H$1,[1]stages!$2:$2,0)-MATCH("temp_stage",[1]stages!$2:$2,0)+1,FALSE)</f>
        <v>月曜クエスト</v>
      </c>
      <c r="I22" s="19">
        <v>0</v>
      </c>
      <c r="J22" s="6">
        <f>COUNTIF(C$1:C22,C22)</f>
        <v>21</v>
      </c>
      <c r="K22">
        <v>22</v>
      </c>
      <c r="L22" s="6" t="s">
        <v>17</v>
      </c>
      <c r="M22" s="36" t="str">
        <f>VLOOKUP(K22,[2]stage_hints!$A:$C,3,FALSE)</f>
        <v>フィーバーで一発逆転（その1）</v>
      </c>
      <c r="N22" s="37" t="str">
        <f>VLOOKUP(K22,[2]stage_hints!$A:$D,4,FALSE)</f>
        <v>フィーバーは攻撃と回復を兼ね備えます_x000D_ピンチからの一発逆転を狙いましょう</v>
      </c>
      <c r="O22" s="22" t="s">
        <v>117</v>
      </c>
      <c r="P22">
        <v>22</v>
      </c>
    </row>
    <row r="23" spans="1:16" x14ac:dyDescent="0.15">
      <c r="A23" s="29" t="str">
        <f t="shared" si="4"/>
        <v>11001_1_22</v>
      </c>
      <c r="B23" s="27" t="s">
        <v>33</v>
      </c>
      <c r="C23" s="5">
        <v>11001</v>
      </c>
      <c r="D23" s="4" t="str">
        <f ca="1">VLOOKUP($C23,OFFSET([1]quests!$A$1,0,0,COUNTA([1]quests!$A:$A),MATCH(D$1,[1]quests!$1:$1,0)-MATCH($C$1,[1]quests!$1:$1,0)+1),MATCH(D$1,[1]quests!$1:$1,0)-MATCH($C$1,[1]quests!$1:$1,0)+1,FALSE)</f>
        <v>【月曜限定】 黄の素材</v>
      </c>
      <c r="E23" s="4" t="str">
        <f ca="1">VLOOKUP($C23,OFFSET([1]quests!$A$1,0,0,COUNTA([1]quests!$A:$A),MATCH(E$1,[1]quests!$1:$1,0)-MATCH($C$1,[1]quests!$1:$1,0)+1),MATCH(E$1,[1]quests!$1:$1,0)-MATCH($C$1,[1]quests!$1:$1,0)+1,FALSE)</f>
        <v>月曜クエスト</v>
      </c>
      <c r="F23" s="6">
        <v>1</v>
      </c>
      <c r="G23" s="4" t="str">
        <f ca="1">VLOOKUP($C23&amp;"_"&amp;$F23,OFFSET([1]stages!$A$1,0,0,COUNTA([1]stages!$A:$A),MATCH(G$1,[1]stages!$2:$2,0)-MATCH("temp_stage",[1]stages!$2:$2,0)+1),MATCH(G$1,[1]stages!$2:$2,0)-MATCH("temp_stage",[1]stages!$2:$2,0)+1,FALSE)</f>
        <v>【初級】雷のチェシャ猫</v>
      </c>
      <c r="H23" s="4" t="str">
        <f ca="1">VLOOKUP($C23&amp;"_"&amp;$F23,OFFSET([1]stages!$A$1,0,0,COUNTA([1]stages!$A:$A),MATCH(H$1,[1]stages!$2:$2,0)-MATCH("temp_stage",[1]stages!$2:$2,0)+1),MATCH(H$1,[1]stages!$2:$2,0)-MATCH("temp_stage",[1]stages!$2:$2,0)+1,FALSE)</f>
        <v>月曜クエスト</v>
      </c>
      <c r="I23" s="19">
        <v>0</v>
      </c>
      <c r="J23" s="6">
        <f>COUNTIF(C$1:C23,C23)</f>
        <v>22</v>
      </c>
      <c r="K23">
        <v>23</v>
      </c>
      <c r="L23" s="6" t="s">
        <v>17</v>
      </c>
      <c r="M23" s="36" t="str">
        <f>VLOOKUP(K23,[2]stage_hints!$A:$C,3,FALSE)</f>
        <v>フィーバーで一発逆転（その2）</v>
      </c>
      <c r="N23" s="37" t="str">
        <f>VLOOKUP(K23,[2]stage_hints!$A:$D,4,FALSE)</f>
        <v>フィーバー中は虹色のボムパネルを狙って_x000D_画面上のパネルを一気に破壊しましょう</v>
      </c>
      <c r="O23" s="22" t="s">
        <v>117</v>
      </c>
      <c r="P23">
        <v>23</v>
      </c>
    </row>
    <row r="24" spans="1:16" x14ac:dyDescent="0.15">
      <c r="A24" s="29" t="str">
        <f t="shared" si="4"/>
        <v>11001_1_23</v>
      </c>
      <c r="B24" s="27" t="s">
        <v>33</v>
      </c>
      <c r="C24" s="5">
        <v>11001</v>
      </c>
      <c r="D24" s="4" t="str">
        <f ca="1">VLOOKUP($C24,OFFSET([1]quests!$A$1,0,0,COUNTA([1]quests!$A:$A),MATCH(D$1,[1]quests!$1:$1,0)-MATCH($C$1,[1]quests!$1:$1,0)+1),MATCH(D$1,[1]quests!$1:$1,0)-MATCH($C$1,[1]quests!$1:$1,0)+1,FALSE)</f>
        <v>【月曜限定】 黄の素材</v>
      </c>
      <c r="E24" s="4" t="str">
        <f ca="1">VLOOKUP($C24,OFFSET([1]quests!$A$1,0,0,COUNTA([1]quests!$A:$A),MATCH(E$1,[1]quests!$1:$1,0)-MATCH($C$1,[1]quests!$1:$1,0)+1),MATCH(E$1,[1]quests!$1:$1,0)-MATCH($C$1,[1]quests!$1:$1,0)+1,FALSE)</f>
        <v>月曜クエスト</v>
      </c>
      <c r="F24" s="6">
        <v>1</v>
      </c>
      <c r="G24" s="4" t="str">
        <f ca="1">VLOOKUP($C24&amp;"_"&amp;$F24,OFFSET([1]stages!$A$1,0,0,COUNTA([1]stages!$A:$A),MATCH(G$1,[1]stages!$2:$2,0)-MATCH("temp_stage",[1]stages!$2:$2,0)+1),MATCH(G$1,[1]stages!$2:$2,0)-MATCH("temp_stage",[1]stages!$2:$2,0)+1,FALSE)</f>
        <v>【初級】雷のチェシャ猫</v>
      </c>
      <c r="H24" s="4" t="str">
        <f ca="1">VLOOKUP($C24&amp;"_"&amp;$F24,OFFSET([1]stages!$A$1,0,0,COUNTA([1]stages!$A:$A),MATCH(H$1,[1]stages!$2:$2,0)-MATCH("temp_stage",[1]stages!$2:$2,0)+1),MATCH(H$1,[1]stages!$2:$2,0)-MATCH("temp_stage",[1]stages!$2:$2,0)+1,FALSE)</f>
        <v>月曜クエスト</v>
      </c>
      <c r="I24" s="19">
        <v>0</v>
      </c>
      <c r="J24" s="6">
        <f>COUNTIF(C$1:C24,C24)</f>
        <v>23</v>
      </c>
      <c r="K24">
        <v>24</v>
      </c>
      <c r="L24" s="6" t="s">
        <v>17</v>
      </c>
      <c r="M24" s="36" t="str">
        <f>VLOOKUP(K24,[2]stage_hints!$A:$C,3,FALSE)</f>
        <v>りんごを使って限界突破</v>
      </c>
      <c r="N24" s="37" t="str">
        <f>VLOOKUP(K24,[2]stage_hints!$A:$D,4,FALSE)</f>
        <v>赤りんご(攻撃力) 青りんご(回復力)_x000D_緑りんご(体力)をユニット強化に使うと_x000D_ステータスが限界突破します（計99個迄）</v>
      </c>
      <c r="O24" s="22" t="s">
        <v>117</v>
      </c>
      <c r="P24">
        <v>24</v>
      </c>
    </row>
    <row r="25" spans="1:16" x14ac:dyDescent="0.15">
      <c r="A25" s="29" t="str">
        <f t="shared" ref="A25" si="5">C25&amp;"_"&amp;F25&amp;"_"&amp;J25</f>
        <v>11001_1_24</v>
      </c>
      <c r="B25" s="27" t="s">
        <v>33</v>
      </c>
      <c r="C25" s="5">
        <v>11001</v>
      </c>
      <c r="D25" s="4" t="str">
        <f ca="1">VLOOKUP($C25,OFFSET([1]quests!$A$1,0,0,COUNTA([1]quests!$A:$A),MATCH(D$1,[1]quests!$1:$1,0)-MATCH($C$1,[1]quests!$1:$1,0)+1),MATCH(D$1,[1]quests!$1:$1,0)-MATCH($C$1,[1]quests!$1:$1,0)+1,FALSE)</f>
        <v>【月曜限定】 黄の素材</v>
      </c>
      <c r="E25" s="4" t="str">
        <f ca="1">VLOOKUP($C25,OFFSET([1]quests!$A$1,0,0,COUNTA([1]quests!$A:$A),MATCH(E$1,[1]quests!$1:$1,0)-MATCH($C$1,[1]quests!$1:$1,0)+1),MATCH(E$1,[1]quests!$1:$1,0)-MATCH($C$1,[1]quests!$1:$1,0)+1,FALSE)</f>
        <v>月曜クエスト</v>
      </c>
      <c r="F25" s="6">
        <v>1</v>
      </c>
      <c r="G25" s="4" t="str">
        <f ca="1">VLOOKUP($C25&amp;"_"&amp;$F25,OFFSET([1]stages!$A$1,0,0,COUNTA([1]stages!$A:$A),MATCH(G$1,[1]stages!$2:$2,0)-MATCH("temp_stage",[1]stages!$2:$2,0)+1),MATCH(G$1,[1]stages!$2:$2,0)-MATCH("temp_stage",[1]stages!$2:$2,0)+1,FALSE)</f>
        <v>【初級】雷のチェシャ猫</v>
      </c>
      <c r="H25" s="4" t="str">
        <f ca="1">VLOOKUP($C25&amp;"_"&amp;$F25,OFFSET([1]stages!$A$1,0,0,COUNTA([1]stages!$A:$A),MATCH(H$1,[1]stages!$2:$2,0)-MATCH("temp_stage",[1]stages!$2:$2,0)+1),MATCH(H$1,[1]stages!$2:$2,0)-MATCH("temp_stage",[1]stages!$2:$2,0)+1,FALSE)</f>
        <v>月曜クエスト</v>
      </c>
      <c r="I25" s="19">
        <v>0</v>
      </c>
      <c r="J25" s="6">
        <f>COUNTIF(C$1:C25,C25)</f>
        <v>24</v>
      </c>
      <c r="K25">
        <v>25</v>
      </c>
      <c r="L25" s="6" t="s">
        <v>17</v>
      </c>
      <c r="M25" s="36" t="str">
        <f>VLOOKUP(K25,[2]stage_hints!$A:$C,3,FALSE)</f>
        <v>スキルレベルアップ</v>
      </c>
      <c r="N25" s="37" t="str">
        <f>VLOOKUP(K25,[2]stage_hints!$A:$D,4,FALSE)</f>
        <v>「クリスタルのりんご」を強化に使うと_x000D_スキルレベルを上げることができます</v>
      </c>
      <c r="O25" s="22" t="s">
        <v>117</v>
      </c>
      <c r="P25">
        <v>25</v>
      </c>
    </row>
    <row r="26" spans="1:16" x14ac:dyDescent="0.15">
      <c r="A26" s="29" t="str">
        <f t="shared" ref="A26:A31" si="6">C26&amp;"_"&amp;F26&amp;"_"&amp;J26</f>
        <v>11001_1_25</v>
      </c>
      <c r="B26" s="27" t="s">
        <v>33</v>
      </c>
      <c r="C26" s="5">
        <v>11001</v>
      </c>
      <c r="D26" s="4" t="str">
        <f ca="1">VLOOKUP($C26,OFFSET([1]quests!$A$1,0,0,COUNTA([1]quests!$A:$A),MATCH(D$1,[1]quests!$1:$1,0)-MATCH($C$1,[1]quests!$1:$1,0)+1),MATCH(D$1,[1]quests!$1:$1,0)-MATCH($C$1,[1]quests!$1:$1,0)+1,FALSE)</f>
        <v>【月曜限定】 黄の素材</v>
      </c>
      <c r="E26" s="4" t="str">
        <f ca="1">VLOOKUP($C26,OFFSET([1]quests!$A$1,0,0,COUNTA([1]quests!$A:$A),MATCH(E$1,[1]quests!$1:$1,0)-MATCH($C$1,[1]quests!$1:$1,0)+1),MATCH(E$1,[1]quests!$1:$1,0)-MATCH($C$1,[1]quests!$1:$1,0)+1,FALSE)</f>
        <v>月曜クエスト</v>
      </c>
      <c r="F26" s="6">
        <v>1</v>
      </c>
      <c r="G26" s="4" t="str">
        <f ca="1">VLOOKUP($C26&amp;"_"&amp;$F26,OFFSET([1]stages!$A$1,0,0,COUNTA([1]stages!$A:$A),MATCH(G$1,[1]stages!$2:$2,0)-MATCH("temp_stage",[1]stages!$2:$2,0)+1),MATCH(G$1,[1]stages!$2:$2,0)-MATCH("temp_stage",[1]stages!$2:$2,0)+1,FALSE)</f>
        <v>【初級】雷のチェシャ猫</v>
      </c>
      <c r="H26" s="4" t="str">
        <f ca="1">VLOOKUP($C26&amp;"_"&amp;$F26,OFFSET([1]stages!$A$1,0,0,COUNTA([1]stages!$A:$A),MATCH(H$1,[1]stages!$2:$2,0)-MATCH("temp_stage",[1]stages!$2:$2,0)+1),MATCH(H$1,[1]stages!$2:$2,0)-MATCH("temp_stage",[1]stages!$2:$2,0)+1,FALSE)</f>
        <v>月曜クエスト</v>
      </c>
      <c r="I26" s="19">
        <v>0</v>
      </c>
      <c r="J26" s="6">
        <f>COUNTIF(C$1:C26,C26)</f>
        <v>25</v>
      </c>
      <c r="K26">
        <v>26</v>
      </c>
      <c r="L26" s="6" t="s">
        <v>17</v>
      </c>
      <c r="M26" s="36" t="str">
        <f>VLOOKUP(K26,[2]stage_hints!$A:$C,3,FALSE)</f>
        <v>スキルレベルの効果</v>
      </c>
      <c r="N26" s="37" t="str">
        <f>VLOOKUP(K26,[2]stage_hints!$A:$D,4,FALSE)</f>
        <v>スキルレベルが上がると_x000D_短いターンでスキルを使うことができます</v>
      </c>
      <c r="O26" s="22" t="s">
        <v>117</v>
      </c>
      <c r="P26">
        <v>26</v>
      </c>
    </row>
    <row r="27" spans="1:16" x14ac:dyDescent="0.15">
      <c r="A27" s="29" t="str">
        <f t="shared" si="6"/>
        <v>11002_1_1</v>
      </c>
      <c r="B27" s="27" t="s">
        <v>33</v>
      </c>
      <c r="C27" s="5">
        <v>11002</v>
      </c>
      <c r="D27" s="4" t="str">
        <f ca="1">VLOOKUP($C27,OFFSET([1]quests!$A$1,0,0,COUNTA([1]quests!$A:$A),MATCH(D$1,[1]quests!$1:$1,0)-MATCH($C$1,[1]quests!$1:$1,0)+1),MATCH(D$1,[1]quests!$1:$1,0)-MATCH($C$1,[1]quests!$1:$1,0)+1,FALSE)</f>
        <v>【火曜限定】 赤の素材</v>
      </c>
      <c r="E27" s="4" t="str">
        <f ca="1">VLOOKUP($C27,OFFSET([1]quests!$A$1,0,0,COUNTA([1]quests!$A:$A),MATCH(E$1,[1]quests!$1:$1,0)-MATCH($C$1,[1]quests!$1:$1,0)+1),MATCH(E$1,[1]quests!$1:$1,0)-MATCH($C$1,[1]quests!$1:$1,0)+1,FALSE)</f>
        <v>火曜クエスト</v>
      </c>
      <c r="F27" s="6">
        <v>1</v>
      </c>
      <c r="G27" s="4" t="str">
        <f ca="1">VLOOKUP($C27&amp;"_"&amp;$F27,OFFSET([1]stages!$A$1,0,0,COUNTA([1]stages!$A:$A),MATCH(G$1,[1]stages!$2:$2,0)-MATCH("temp_stage",[1]stages!$2:$2,0)+1),MATCH(G$1,[1]stages!$2:$2,0)-MATCH("temp_stage",[1]stages!$2:$2,0)+1,FALSE)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27" s="4" t="str">
        <f ca="1">VLOOKUP($C27&amp;"_"&amp;$F27,OFFSET([1]stages!$A$1,0,0,COUNTA([1]stages!$A:$A),MATCH(H$1,[1]stages!$2:$2,0)-MATCH("temp_stage",[1]stages!$2:$2,0)+1),MATCH(H$1,[1]stages!$2:$2,0)-MATCH("temp_stage",[1]stages!$2:$2,0)+1,FALSE)</f>
        <v>火曜クエスト</v>
      </c>
      <c r="I27" s="19">
        <v>0</v>
      </c>
      <c r="J27" s="6">
        <f>COUNTIF(C$1:C27,C27)</f>
        <v>1</v>
      </c>
      <c r="K27">
        <v>1</v>
      </c>
      <c r="L27" s="6" t="s">
        <v>17</v>
      </c>
      <c r="M27" s="36" t="str">
        <f>VLOOKUP(K27,[2]stage_hints!$A:$C,3,FALSE)</f>
        <v>長くつなげて大ダメージ</v>
      </c>
      <c r="N27" s="37" t="str">
        <f>VLOOKUP(K27,[2]stage_hints!$A:$D,4,FALSE)</f>
        <v>パネルを長くつなげるほど_x000D_大ダメージを与えることができます</v>
      </c>
      <c r="O27" s="22" t="s">
        <v>117</v>
      </c>
      <c r="P27">
        <v>1</v>
      </c>
    </row>
    <row r="28" spans="1:16" x14ac:dyDescent="0.15">
      <c r="A28" s="29" t="str">
        <f t="shared" si="6"/>
        <v>11002_1_2</v>
      </c>
      <c r="B28" s="27" t="s">
        <v>33</v>
      </c>
      <c r="C28" s="5">
        <v>11002</v>
      </c>
      <c r="D28" s="4" t="str">
        <f ca="1">VLOOKUP($C28,OFFSET([1]quests!$A$1,0,0,COUNTA([1]quests!$A:$A),MATCH(D$1,[1]quests!$1:$1,0)-MATCH($C$1,[1]quests!$1:$1,0)+1),MATCH(D$1,[1]quests!$1:$1,0)-MATCH($C$1,[1]quests!$1:$1,0)+1,FALSE)</f>
        <v>【火曜限定】 赤の素材</v>
      </c>
      <c r="E28" s="4" t="str">
        <f ca="1">VLOOKUP($C28,OFFSET([1]quests!$A$1,0,0,COUNTA([1]quests!$A:$A),MATCH(E$1,[1]quests!$1:$1,0)-MATCH($C$1,[1]quests!$1:$1,0)+1),MATCH(E$1,[1]quests!$1:$1,0)-MATCH($C$1,[1]quests!$1:$1,0)+1,FALSE)</f>
        <v>火曜クエスト</v>
      </c>
      <c r="F28" s="6">
        <v>1</v>
      </c>
      <c r="G28" s="4" t="str">
        <f ca="1">VLOOKUP($C28&amp;"_"&amp;$F28,OFFSET([1]stages!$A$1,0,0,COUNTA([1]stages!$A:$A),MATCH(G$1,[1]stages!$2:$2,0)-MATCH("temp_stage",[1]stages!$2:$2,0)+1),MATCH(G$1,[1]stages!$2:$2,0)-MATCH("temp_stage",[1]stages!$2:$2,0)+1,FALSE)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28" s="4" t="str">
        <f ca="1">VLOOKUP($C28&amp;"_"&amp;$F28,OFFSET([1]stages!$A$1,0,0,COUNTA([1]stages!$A:$A),MATCH(H$1,[1]stages!$2:$2,0)-MATCH("temp_stage",[1]stages!$2:$2,0)+1),MATCH(H$1,[1]stages!$2:$2,0)-MATCH("temp_stage",[1]stages!$2:$2,0)+1,FALSE)</f>
        <v>火曜クエスト</v>
      </c>
      <c r="I28" s="19">
        <v>0</v>
      </c>
      <c r="J28" s="6">
        <f>COUNTIF(C$1:C28,C28)</f>
        <v>2</v>
      </c>
      <c r="K28">
        <v>2</v>
      </c>
      <c r="L28" s="6" t="s">
        <v>17</v>
      </c>
      <c r="M28" s="36" t="str">
        <f>VLOOKUP(K28,[2]stage_hints!$A:$C,3,FALSE)</f>
        <v>属性の相性</v>
      </c>
      <c r="N28" s="37" t="str">
        <f>VLOOKUP(K28,[2]stage_hints!$A:$D,4,FALSE)</f>
        <v>赤＞青　青＞黄　黄＞緑　緑＞赤_x000D_敵属性に最適なパーティがオススメです</v>
      </c>
      <c r="O28" s="22" t="s">
        <v>117</v>
      </c>
      <c r="P28">
        <v>2</v>
      </c>
    </row>
    <row r="29" spans="1:16" x14ac:dyDescent="0.15">
      <c r="A29" s="29" t="str">
        <f t="shared" si="6"/>
        <v>11002_1_3</v>
      </c>
      <c r="B29" s="27" t="s">
        <v>33</v>
      </c>
      <c r="C29" s="5">
        <v>11002</v>
      </c>
      <c r="D29" s="4" t="str">
        <f ca="1">VLOOKUP($C29,OFFSET([1]quests!$A$1,0,0,COUNTA([1]quests!$A:$A),MATCH(D$1,[1]quests!$1:$1,0)-MATCH($C$1,[1]quests!$1:$1,0)+1),MATCH(D$1,[1]quests!$1:$1,0)-MATCH($C$1,[1]quests!$1:$1,0)+1,FALSE)</f>
        <v>【火曜限定】 赤の素材</v>
      </c>
      <c r="E29" s="4" t="str">
        <f ca="1">VLOOKUP($C29,OFFSET([1]quests!$A$1,0,0,COUNTA([1]quests!$A:$A),MATCH(E$1,[1]quests!$1:$1,0)-MATCH($C$1,[1]quests!$1:$1,0)+1),MATCH(E$1,[1]quests!$1:$1,0)-MATCH($C$1,[1]quests!$1:$1,0)+1,FALSE)</f>
        <v>火曜クエスト</v>
      </c>
      <c r="F29" s="6">
        <v>1</v>
      </c>
      <c r="G29" s="4" t="str">
        <f ca="1">VLOOKUP($C29&amp;"_"&amp;$F29,OFFSET([1]stages!$A$1,0,0,COUNTA([1]stages!$A:$A),MATCH(G$1,[1]stages!$2:$2,0)-MATCH("temp_stage",[1]stages!$2:$2,0)+1),MATCH(G$1,[1]stages!$2:$2,0)-MATCH("temp_stage",[1]stages!$2:$2,0)+1,FALSE)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29" s="4" t="str">
        <f ca="1">VLOOKUP($C29&amp;"_"&amp;$F29,OFFSET([1]stages!$A$1,0,0,COUNTA([1]stages!$A:$A),MATCH(H$1,[1]stages!$2:$2,0)-MATCH("temp_stage",[1]stages!$2:$2,0)+1),MATCH(H$1,[1]stages!$2:$2,0)-MATCH("temp_stage",[1]stages!$2:$2,0)+1,FALSE)</f>
        <v>火曜クエスト</v>
      </c>
      <c r="I29" s="19">
        <v>0</v>
      </c>
      <c r="J29" s="6">
        <f>COUNTIF(C$1:C29,C29)</f>
        <v>3</v>
      </c>
      <c r="K29">
        <v>3</v>
      </c>
      <c r="L29" s="6" t="s">
        <v>17</v>
      </c>
      <c r="M29" s="36" t="str">
        <f>VLOOKUP(K29,[2]stage_hints!$A:$C,3,FALSE)</f>
        <v>ターゲット</v>
      </c>
      <c r="N29" s="37" t="str">
        <f>VLOOKUP(K29,[2]stage_hints!$A:$D,4,FALSE)</f>
        <v>敵ユニットをタップすると_x000D_その敵を狙い撃ちできます</v>
      </c>
      <c r="O29" s="22" t="s">
        <v>117</v>
      </c>
      <c r="P29">
        <v>3</v>
      </c>
    </row>
    <row r="30" spans="1:16" x14ac:dyDescent="0.15">
      <c r="A30" s="29" t="str">
        <f t="shared" si="6"/>
        <v>11002_1_4</v>
      </c>
      <c r="B30" s="27" t="s">
        <v>33</v>
      </c>
      <c r="C30" s="5">
        <v>11002</v>
      </c>
      <c r="D30" s="4" t="str">
        <f ca="1">VLOOKUP($C30,OFFSET([1]quests!$A$1,0,0,COUNTA([1]quests!$A:$A),MATCH(D$1,[1]quests!$1:$1,0)-MATCH($C$1,[1]quests!$1:$1,0)+1),MATCH(D$1,[1]quests!$1:$1,0)-MATCH($C$1,[1]quests!$1:$1,0)+1,FALSE)</f>
        <v>【火曜限定】 赤の素材</v>
      </c>
      <c r="E30" s="4" t="str">
        <f ca="1">VLOOKUP($C30,OFFSET([1]quests!$A$1,0,0,COUNTA([1]quests!$A:$A),MATCH(E$1,[1]quests!$1:$1,0)-MATCH($C$1,[1]quests!$1:$1,0)+1),MATCH(E$1,[1]quests!$1:$1,0)-MATCH($C$1,[1]quests!$1:$1,0)+1,FALSE)</f>
        <v>火曜クエスト</v>
      </c>
      <c r="F30" s="6">
        <v>1</v>
      </c>
      <c r="G30" s="4" t="str">
        <f ca="1">VLOOKUP($C30&amp;"_"&amp;$F30,OFFSET([1]stages!$A$1,0,0,COUNTA([1]stages!$A:$A),MATCH(G$1,[1]stages!$2:$2,0)-MATCH("temp_stage",[1]stages!$2:$2,0)+1),MATCH(G$1,[1]stages!$2:$2,0)-MATCH("temp_stage",[1]stages!$2:$2,0)+1,FALSE)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30" s="4" t="str">
        <f ca="1">VLOOKUP($C30&amp;"_"&amp;$F30,OFFSET([1]stages!$A$1,0,0,COUNTA([1]stages!$A:$A),MATCH(H$1,[1]stages!$2:$2,0)-MATCH("temp_stage",[1]stages!$2:$2,0)+1),MATCH(H$1,[1]stages!$2:$2,0)-MATCH("temp_stage",[1]stages!$2:$2,0)+1,FALSE)</f>
        <v>火曜クエスト</v>
      </c>
      <c r="I30" s="19">
        <v>0</v>
      </c>
      <c r="J30" s="6">
        <f>COUNTIF(C$1:C30,C30)</f>
        <v>4</v>
      </c>
      <c r="K30">
        <v>5</v>
      </c>
      <c r="L30" s="6" t="s">
        <v>17</v>
      </c>
      <c r="M30" s="36" t="str">
        <f>VLOOKUP(K30,[2]stage_hints!$A:$C,3,FALSE)</f>
        <v>ユニット強化でレベルアップ</v>
      </c>
      <c r="N30" s="37" t="str">
        <f>VLOOKUP(K30,[2]stage_hints!$A:$D,4,FALSE)</f>
        <v>「ユニット強化」でレベルアップすると_x000D_勝てない敵にも勝てるようになります</v>
      </c>
      <c r="O30" s="22" t="s">
        <v>117</v>
      </c>
      <c r="P30">
        <v>5</v>
      </c>
    </row>
    <row r="31" spans="1:16" x14ac:dyDescent="0.15">
      <c r="A31" s="29" t="str">
        <f t="shared" si="6"/>
        <v>11002_1_5</v>
      </c>
      <c r="B31" s="27" t="s">
        <v>33</v>
      </c>
      <c r="C31" s="5">
        <v>11002</v>
      </c>
      <c r="D31" s="4" t="str">
        <f ca="1">VLOOKUP($C31,OFFSET([1]quests!$A$1,0,0,COUNTA([1]quests!$A:$A),MATCH(D$1,[1]quests!$1:$1,0)-MATCH($C$1,[1]quests!$1:$1,0)+1),MATCH(D$1,[1]quests!$1:$1,0)-MATCH($C$1,[1]quests!$1:$1,0)+1,FALSE)</f>
        <v>【火曜限定】 赤の素材</v>
      </c>
      <c r="E31" s="4" t="str">
        <f ca="1">VLOOKUP($C31,OFFSET([1]quests!$A$1,0,0,COUNTA([1]quests!$A:$A),MATCH(E$1,[1]quests!$1:$1,0)-MATCH($C$1,[1]quests!$1:$1,0)+1),MATCH(E$1,[1]quests!$1:$1,0)-MATCH($C$1,[1]quests!$1:$1,0)+1,FALSE)</f>
        <v>火曜クエスト</v>
      </c>
      <c r="F31" s="6">
        <v>1</v>
      </c>
      <c r="G31" s="4" t="str">
        <f ca="1">VLOOKUP($C31&amp;"_"&amp;$F31,OFFSET([1]stages!$A$1,0,0,COUNTA([1]stages!$A:$A),MATCH(G$1,[1]stages!$2:$2,0)-MATCH("temp_stage",[1]stages!$2:$2,0)+1),MATCH(G$1,[1]stages!$2:$2,0)-MATCH("temp_stage",[1]stages!$2:$2,0)+1,FALSE)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31" s="4" t="str">
        <f ca="1">VLOOKUP($C31&amp;"_"&amp;$F31,OFFSET([1]stages!$A$1,0,0,COUNTA([1]stages!$A:$A),MATCH(H$1,[1]stages!$2:$2,0)-MATCH("temp_stage",[1]stages!$2:$2,0)+1),MATCH(H$1,[1]stages!$2:$2,0)-MATCH("temp_stage",[1]stages!$2:$2,0)+1,FALSE)</f>
        <v>火曜クエスト</v>
      </c>
      <c r="I31" s="19">
        <v>0</v>
      </c>
      <c r="J31" s="6">
        <f>COUNTIF(C$1:C31,C31)</f>
        <v>5</v>
      </c>
      <c r="K31">
        <v>6</v>
      </c>
      <c r="L31" s="6" t="s">
        <v>17</v>
      </c>
      <c r="M31" s="36" t="str">
        <f>VLOOKUP(K31,[2]stage_hints!$A:$C,3,FALSE)</f>
        <v>ユニット強化の属性ボーナス</v>
      </c>
      <c r="N31" s="37" t="str">
        <f>VLOOKUP(K31,[2]stage_hints!$A:$D,4,FALSE)</f>
        <v>同属性ユニットを強化素材にすると_x000D_経験値が多くもらえます</v>
      </c>
      <c r="O31" s="22" t="s">
        <v>117</v>
      </c>
      <c r="P31">
        <v>6</v>
      </c>
    </row>
    <row r="32" spans="1:16" x14ac:dyDescent="0.15">
      <c r="A32" s="29" t="str">
        <f t="shared" ref="A32" si="7">C32&amp;"_"&amp;F32&amp;"_"&amp;J32</f>
        <v>11002_1_6</v>
      </c>
      <c r="B32" s="27" t="s">
        <v>33</v>
      </c>
      <c r="C32" s="5">
        <v>11002</v>
      </c>
      <c r="D32" s="4" t="str">
        <f ca="1">VLOOKUP($C32,OFFSET([1]quests!$A$1,0,0,COUNTA([1]quests!$A:$A),MATCH(D$1,[1]quests!$1:$1,0)-MATCH($C$1,[1]quests!$1:$1,0)+1),MATCH(D$1,[1]quests!$1:$1,0)-MATCH($C$1,[1]quests!$1:$1,0)+1,FALSE)</f>
        <v>【火曜限定】 赤の素材</v>
      </c>
      <c r="E32" s="4" t="str">
        <f ca="1">VLOOKUP($C32,OFFSET([1]quests!$A$1,0,0,COUNTA([1]quests!$A:$A),MATCH(E$1,[1]quests!$1:$1,0)-MATCH($C$1,[1]quests!$1:$1,0)+1),MATCH(E$1,[1]quests!$1:$1,0)-MATCH($C$1,[1]quests!$1:$1,0)+1,FALSE)</f>
        <v>火曜クエスト</v>
      </c>
      <c r="F32" s="6">
        <v>1</v>
      </c>
      <c r="G32" s="4" t="str">
        <f ca="1">VLOOKUP($C32&amp;"_"&amp;$F32,OFFSET([1]stages!$A$1,0,0,COUNTA([1]stages!$A:$A),MATCH(G$1,[1]stages!$2:$2,0)-MATCH("temp_stage",[1]stages!$2:$2,0)+1),MATCH(G$1,[1]stages!$2:$2,0)-MATCH("temp_stage",[1]stages!$2:$2,0)+1,FALSE)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32" s="4" t="str">
        <f ca="1">VLOOKUP($C32&amp;"_"&amp;$F32,OFFSET([1]stages!$A$1,0,0,COUNTA([1]stages!$A:$A),MATCH(H$1,[1]stages!$2:$2,0)-MATCH("temp_stage",[1]stages!$2:$2,0)+1),MATCH(H$1,[1]stages!$2:$2,0)-MATCH("temp_stage",[1]stages!$2:$2,0)+1,FALSE)</f>
        <v>火曜クエスト</v>
      </c>
      <c r="I32" s="19">
        <v>0</v>
      </c>
      <c r="J32" s="6">
        <f>COUNTIF(C$1:C32,C32)</f>
        <v>6</v>
      </c>
      <c r="K32">
        <v>7</v>
      </c>
      <c r="L32" s="6" t="s">
        <v>17</v>
      </c>
      <c r="M32" s="36" t="str">
        <f>VLOOKUP(K32,[2]stage_hints!$A:$C,3,FALSE)</f>
        <v>メタルダックで経験値を獲得</v>
      </c>
      <c r="N32" s="37" t="str">
        <f>VLOOKUP(K32,[2]stage_hints!$A:$D,4,FALSE)</f>
        <v>「メタルなアヒル」を強化素材にすると_x000D_大量の経験値がもらえます</v>
      </c>
      <c r="O32" s="22" t="s">
        <v>117</v>
      </c>
      <c r="P32">
        <v>7</v>
      </c>
    </row>
    <row r="33" spans="1:16" x14ac:dyDescent="0.15">
      <c r="A33" s="29" t="str">
        <f t="shared" ref="A33:A39" si="8">C33&amp;"_"&amp;F33&amp;"_"&amp;J33</f>
        <v>11002_1_7</v>
      </c>
      <c r="B33" s="27" t="s">
        <v>33</v>
      </c>
      <c r="C33" s="5">
        <v>11002</v>
      </c>
      <c r="D33" s="4" t="str">
        <f ca="1">VLOOKUP($C33,OFFSET([1]quests!$A$1,0,0,COUNTA([1]quests!$A:$A),MATCH(D$1,[1]quests!$1:$1,0)-MATCH($C$1,[1]quests!$1:$1,0)+1),MATCH(D$1,[1]quests!$1:$1,0)-MATCH($C$1,[1]quests!$1:$1,0)+1,FALSE)</f>
        <v>【火曜限定】 赤の素材</v>
      </c>
      <c r="E33" s="4" t="str">
        <f ca="1">VLOOKUP($C33,OFFSET([1]quests!$A$1,0,0,COUNTA([1]quests!$A:$A),MATCH(E$1,[1]quests!$1:$1,0)-MATCH($C$1,[1]quests!$1:$1,0)+1),MATCH(E$1,[1]quests!$1:$1,0)-MATCH($C$1,[1]quests!$1:$1,0)+1,FALSE)</f>
        <v>火曜クエスト</v>
      </c>
      <c r="F33" s="6">
        <v>1</v>
      </c>
      <c r="G33" s="4" t="str">
        <f ca="1">VLOOKUP($C33&amp;"_"&amp;$F33,OFFSET([1]stages!$A$1,0,0,COUNTA([1]stages!$A:$A),MATCH(G$1,[1]stages!$2:$2,0)-MATCH("temp_stage",[1]stages!$2:$2,0)+1),MATCH(G$1,[1]stages!$2:$2,0)-MATCH("temp_stage",[1]stages!$2:$2,0)+1,FALSE)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33" s="4" t="str">
        <f ca="1">VLOOKUP($C33&amp;"_"&amp;$F33,OFFSET([1]stages!$A$1,0,0,COUNTA([1]stages!$A:$A),MATCH(H$1,[1]stages!$2:$2,0)-MATCH("temp_stage",[1]stages!$2:$2,0)+1),MATCH(H$1,[1]stages!$2:$2,0)-MATCH("temp_stage",[1]stages!$2:$2,0)+1,FALSE)</f>
        <v>火曜クエスト</v>
      </c>
      <c r="I33" s="19">
        <v>0</v>
      </c>
      <c r="J33" s="6">
        <f>COUNTIF(C$1:C33,C33)</f>
        <v>7</v>
      </c>
      <c r="K33">
        <v>8</v>
      </c>
      <c r="L33" s="6" t="s">
        <v>17</v>
      </c>
      <c r="M33" s="36" t="str">
        <f>VLOOKUP(K33,[2]stage_hints!$A:$C,3,FALSE)</f>
        <v>ゲリラクエストは要チェック</v>
      </c>
      <c r="N33" s="37" t="str">
        <f>VLOOKUP(K33,[2]stage_hints!$A:$D,4,FALSE)</f>
        <v>時間限定の「アヒル捕獲作戦」では_x000D_経験値素材ユニットが多く手に入ります</v>
      </c>
      <c r="O33" s="22" t="s">
        <v>117</v>
      </c>
      <c r="P33">
        <v>8</v>
      </c>
    </row>
    <row r="34" spans="1:16" x14ac:dyDescent="0.15">
      <c r="A34" s="29" t="str">
        <f t="shared" si="8"/>
        <v>11002_1_8</v>
      </c>
      <c r="B34" s="27" t="s">
        <v>33</v>
      </c>
      <c r="C34" s="5">
        <v>11002</v>
      </c>
      <c r="D34" s="4" t="str">
        <f ca="1">VLOOKUP($C34,OFFSET([1]quests!$A$1,0,0,COUNTA([1]quests!$A:$A),MATCH(D$1,[1]quests!$1:$1,0)-MATCH($C$1,[1]quests!$1:$1,0)+1),MATCH(D$1,[1]quests!$1:$1,0)-MATCH($C$1,[1]quests!$1:$1,0)+1,FALSE)</f>
        <v>【火曜限定】 赤の素材</v>
      </c>
      <c r="E34" s="4" t="str">
        <f ca="1">VLOOKUP($C34,OFFSET([1]quests!$A$1,0,0,COUNTA([1]quests!$A:$A),MATCH(E$1,[1]quests!$1:$1,0)-MATCH($C$1,[1]quests!$1:$1,0)+1),MATCH(E$1,[1]quests!$1:$1,0)-MATCH($C$1,[1]quests!$1:$1,0)+1,FALSE)</f>
        <v>火曜クエスト</v>
      </c>
      <c r="F34" s="6">
        <v>1</v>
      </c>
      <c r="G34" s="4" t="str">
        <f ca="1">VLOOKUP($C34&amp;"_"&amp;$F34,OFFSET([1]stages!$A$1,0,0,COUNTA([1]stages!$A:$A),MATCH(G$1,[1]stages!$2:$2,0)-MATCH("temp_stage",[1]stages!$2:$2,0)+1),MATCH(G$1,[1]stages!$2:$2,0)-MATCH("temp_stage",[1]stages!$2:$2,0)+1,FALSE)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34" s="4" t="str">
        <f ca="1">VLOOKUP($C34&amp;"_"&amp;$F34,OFFSET([1]stages!$A$1,0,0,COUNTA([1]stages!$A:$A),MATCH(H$1,[1]stages!$2:$2,0)-MATCH("temp_stage",[1]stages!$2:$2,0)+1),MATCH(H$1,[1]stages!$2:$2,0)-MATCH("temp_stage",[1]stages!$2:$2,0)+1,FALSE)</f>
        <v>火曜クエスト</v>
      </c>
      <c r="I34" s="19">
        <v>0</v>
      </c>
      <c r="J34" s="6">
        <f>COUNTIF(C$1:C34,C34)</f>
        <v>8</v>
      </c>
      <c r="K34">
        <v>9</v>
      </c>
      <c r="L34" s="6" t="s">
        <v>17</v>
      </c>
      <c r="M34" s="36" t="str">
        <f>VLOOKUP(K34,[2]stage_hints!$A:$C,3,FALSE)</f>
        <v>ゴールドダックでビットを獲得</v>
      </c>
      <c r="N34" s="37" t="str">
        <f>VLOOKUP(K34,[2]stage_hints!$A:$D,4,FALSE)</f>
        <v>「ゴールドなアヒル」を売却すると_x000D_大量のビットがもらえます</v>
      </c>
      <c r="O34" s="22" t="s">
        <v>117</v>
      </c>
      <c r="P34">
        <v>9</v>
      </c>
    </row>
    <row r="35" spans="1:16" x14ac:dyDescent="0.15">
      <c r="A35" s="29" t="str">
        <f t="shared" si="8"/>
        <v>11002_1_9</v>
      </c>
      <c r="B35" s="27" t="s">
        <v>33</v>
      </c>
      <c r="C35" s="5">
        <v>11002</v>
      </c>
      <c r="D35" s="4" t="str">
        <f ca="1">VLOOKUP($C35,OFFSET([1]quests!$A$1,0,0,COUNTA([1]quests!$A:$A),MATCH(D$1,[1]quests!$1:$1,0)-MATCH($C$1,[1]quests!$1:$1,0)+1),MATCH(D$1,[1]quests!$1:$1,0)-MATCH($C$1,[1]quests!$1:$1,0)+1,FALSE)</f>
        <v>【火曜限定】 赤の素材</v>
      </c>
      <c r="E35" s="4" t="str">
        <f ca="1">VLOOKUP($C35,OFFSET([1]quests!$A$1,0,0,COUNTA([1]quests!$A:$A),MATCH(E$1,[1]quests!$1:$1,0)-MATCH($C$1,[1]quests!$1:$1,0)+1),MATCH(E$1,[1]quests!$1:$1,0)-MATCH($C$1,[1]quests!$1:$1,0)+1,FALSE)</f>
        <v>火曜クエスト</v>
      </c>
      <c r="F35" s="6">
        <v>1</v>
      </c>
      <c r="G35" s="4" t="str">
        <f ca="1">VLOOKUP($C35&amp;"_"&amp;$F35,OFFSET([1]stages!$A$1,0,0,COUNTA([1]stages!$A:$A),MATCH(G$1,[1]stages!$2:$2,0)-MATCH("temp_stage",[1]stages!$2:$2,0)+1),MATCH(G$1,[1]stages!$2:$2,0)-MATCH("temp_stage",[1]stages!$2:$2,0)+1,FALSE)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35" s="4" t="str">
        <f ca="1">VLOOKUP($C35&amp;"_"&amp;$F35,OFFSET([1]stages!$A$1,0,0,COUNTA([1]stages!$A:$A),MATCH(H$1,[1]stages!$2:$2,0)-MATCH("temp_stage",[1]stages!$2:$2,0)+1),MATCH(H$1,[1]stages!$2:$2,0)-MATCH("temp_stage",[1]stages!$2:$2,0)+1,FALSE)</f>
        <v>火曜クエスト</v>
      </c>
      <c r="I35" s="19">
        <v>0</v>
      </c>
      <c r="J35" s="6">
        <f>COUNTIF(C$1:C35,C35)</f>
        <v>9</v>
      </c>
      <c r="K35">
        <v>10</v>
      </c>
      <c r="L35" s="6" t="s">
        <v>17</v>
      </c>
      <c r="M35" s="36" t="str">
        <f>VLOOKUP(K35,[2]stage_hints!$A:$C,3,FALSE)</f>
        <v>土日に大量のビットを獲得</v>
      </c>
      <c r="N35" s="37" t="str">
        <f>VLOOKUP(K35,[2]stage_hints!$A:$D,4,FALSE)</f>
        <v>土日限定の「ゴールドカジノ」では_x000D_売却素材ユニットが多く手に入ります</v>
      </c>
      <c r="O35" s="22" t="s">
        <v>117</v>
      </c>
      <c r="P35">
        <v>10</v>
      </c>
    </row>
    <row r="36" spans="1:16" x14ac:dyDescent="0.15">
      <c r="A36" s="29" t="str">
        <f t="shared" si="8"/>
        <v>11002_1_10</v>
      </c>
      <c r="B36" s="27" t="s">
        <v>33</v>
      </c>
      <c r="C36" s="5">
        <v>11002</v>
      </c>
      <c r="D36" s="4" t="str">
        <f ca="1">VLOOKUP($C36,OFFSET([1]quests!$A$1,0,0,COUNTA([1]quests!$A:$A),MATCH(D$1,[1]quests!$1:$1,0)-MATCH($C$1,[1]quests!$1:$1,0)+1),MATCH(D$1,[1]quests!$1:$1,0)-MATCH($C$1,[1]quests!$1:$1,0)+1,FALSE)</f>
        <v>【火曜限定】 赤の素材</v>
      </c>
      <c r="E36" s="4" t="str">
        <f ca="1">VLOOKUP($C36,OFFSET([1]quests!$A$1,0,0,COUNTA([1]quests!$A:$A),MATCH(E$1,[1]quests!$1:$1,0)-MATCH($C$1,[1]quests!$1:$1,0)+1),MATCH(E$1,[1]quests!$1:$1,0)-MATCH($C$1,[1]quests!$1:$1,0)+1,FALSE)</f>
        <v>火曜クエスト</v>
      </c>
      <c r="F36" s="6">
        <v>1</v>
      </c>
      <c r="G36" s="4" t="str">
        <f ca="1">VLOOKUP($C36&amp;"_"&amp;$F36,OFFSET([1]stages!$A$1,0,0,COUNTA([1]stages!$A:$A),MATCH(G$1,[1]stages!$2:$2,0)-MATCH("temp_stage",[1]stages!$2:$2,0)+1),MATCH(G$1,[1]stages!$2:$2,0)-MATCH("temp_stage",[1]stages!$2:$2,0)+1,FALSE)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36" s="4" t="str">
        <f ca="1">VLOOKUP($C36&amp;"_"&amp;$F36,OFFSET([1]stages!$A$1,0,0,COUNTA([1]stages!$A:$A),MATCH(H$1,[1]stages!$2:$2,0)-MATCH("temp_stage",[1]stages!$2:$2,0)+1),MATCH(H$1,[1]stages!$2:$2,0)-MATCH("temp_stage",[1]stages!$2:$2,0)+1,FALSE)</f>
        <v>火曜クエスト</v>
      </c>
      <c r="I36" s="19">
        <v>0</v>
      </c>
      <c r="J36" s="6">
        <f>COUNTIF(C$1:C36,C36)</f>
        <v>10</v>
      </c>
      <c r="K36">
        <v>11</v>
      </c>
      <c r="L36" s="6" t="s">
        <v>17</v>
      </c>
      <c r="M36" s="36" t="str">
        <f>VLOOKUP(K36,[2]stage_hints!$A:$C,3,FALSE)</f>
        <v>ランク解放クエスト</v>
      </c>
      <c r="N36" s="37" t="str">
        <f>VLOOKUP(K36,[2]stage_hints!$A:$D,4,FALSE)</f>
        <v>一定ランクに到達すると_x000D_報酬付きのランク開放クエストが現れます</v>
      </c>
      <c r="O36" s="22" t="s">
        <v>117</v>
      </c>
      <c r="P36">
        <v>11</v>
      </c>
    </row>
    <row r="37" spans="1:16" x14ac:dyDescent="0.15">
      <c r="A37" s="29" t="str">
        <f t="shared" si="8"/>
        <v>11002_1_11</v>
      </c>
      <c r="B37" s="27" t="s">
        <v>33</v>
      </c>
      <c r="C37" s="5">
        <v>11002</v>
      </c>
      <c r="D37" s="4" t="str">
        <f ca="1">VLOOKUP($C37,OFFSET([1]quests!$A$1,0,0,COUNTA([1]quests!$A:$A),MATCH(D$1,[1]quests!$1:$1,0)-MATCH($C$1,[1]quests!$1:$1,0)+1),MATCH(D$1,[1]quests!$1:$1,0)-MATCH($C$1,[1]quests!$1:$1,0)+1,FALSE)</f>
        <v>【火曜限定】 赤の素材</v>
      </c>
      <c r="E37" s="4" t="str">
        <f ca="1">VLOOKUP($C37,OFFSET([1]quests!$A$1,0,0,COUNTA([1]quests!$A:$A),MATCH(E$1,[1]quests!$1:$1,0)-MATCH($C$1,[1]quests!$1:$1,0)+1),MATCH(E$1,[1]quests!$1:$1,0)-MATCH($C$1,[1]quests!$1:$1,0)+1,FALSE)</f>
        <v>火曜クエスト</v>
      </c>
      <c r="F37" s="6">
        <v>1</v>
      </c>
      <c r="G37" s="4" t="str">
        <f ca="1">VLOOKUP($C37&amp;"_"&amp;$F37,OFFSET([1]stages!$A$1,0,0,COUNTA([1]stages!$A:$A),MATCH(G$1,[1]stages!$2:$2,0)-MATCH("temp_stage",[1]stages!$2:$2,0)+1),MATCH(G$1,[1]stages!$2:$2,0)-MATCH("temp_stage",[1]stages!$2:$2,0)+1,FALSE)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37" s="4" t="str">
        <f ca="1">VLOOKUP($C37&amp;"_"&amp;$F37,OFFSET([1]stages!$A$1,0,0,COUNTA([1]stages!$A:$A),MATCH(H$1,[1]stages!$2:$2,0)-MATCH("temp_stage",[1]stages!$2:$2,0)+1),MATCH(H$1,[1]stages!$2:$2,0)-MATCH("temp_stage",[1]stages!$2:$2,0)+1,FALSE)</f>
        <v>火曜クエスト</v>
      </c>
      <c r="I37" s="19">
        <v>0</v>
      </c>
      <c r="J37" s="6">
        <f>COUNTIF(C$1:C37,C37)</f>
        <v>11</v>
      </c>
      <c r="K37">
        <v>12</v>
      </c>
      <c r="L37" s="6" t="s">
        <v>17</v>
      </c>
      <c r="M37" s="36" t="str">
        <f>VLOOKUP(K37,[2]stage_hints!$A:$C,3,FALSE)</f>
        <v>ユニットのお気に入り登録</v>
      </c>
      <c r="N37" s="37" t="str">
        <f>VLOOKUP(K37,[2]stage_hints!$A:$D,4,FALSE)</f>
        <v>大事なユニットを誤って消さないように_x000D_フォルダから「お気に入り登録」しましょう</v>
      </c>
      <c r="O37" s="22" t="s">
        <v>117</v>
      </c>
      <c r="P37">
        <v>12</v>
      </c>
    </row>
    <row r="38" spans="1:16" x14ac:dyDescent="0.15">
      <c r="A38" s="29" t="str">
        <f t="shared" si="8"/>
        <v>11002_1_12</v>
      </c>
      <c r="B38" s="27" t="s">
        <v>33</v>
      </c>
      <c r="C38" s="5">
        <v>11002</v>
      </c>
      <c r="D38" s="4" t="str">
        <f ca="1">VLOOKUP($C38,OFFSET([1]quests!$A$1,0,0,COUNTA([1]quests!$A:$A),MATCH(D$1,[1]quests!$1:$1,0)-MATCH($C$1,[1]quests!$1:$1,0)+1),MATCH(D$1,[1]quests!$1:$1,0)-MATCH($C$1,[1]quests!$1:$1,0)+1,FALSE)</f>
        <v>【火曜限定】 赤の素材</v>
      </c>
      <c r="E38" s="4" t="str">
        <f ca="1">VLOOKUP($C38,OFFSET([1]quests!$A$1,0,0,COUNTA([1]quests!$A:$A),MATCH(E$1,[1]quests!$1:$1,0)-MATCH($C$1,[1]quests!$1:$1,0)+1),MATCH(E$1,[1]quests!$1:$1,0)-MATCH($C$1,[1]quests!$1:$1,0)+1,FALSE)</f>
        <v>火曜クエスト</v>
      </c>
      <c r="F38" s="6">
        <v>1</v>
      </c>
      <c r="G38" s="4" t="str">
        <f ca="1">VLOOKUP($C38&amp;"_"&amp;$F38,OFFSET([1]stages!$A$1,0,0,COUNTA([1]stages!$A:$A),MATCH(G$1,[1]stages!$2:$2,0)-MATCH("temp_stage",[1]stages!$2:$2,0)+1),MATCH(G$1,[1]stages!$2:$2,0)-MATCH("temp_stage",[1]stages!$2:$2,0)+1,FALSE)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38" s="4" t="str">
        <f ca="1">VLOOKUP($C38&amp;"_"&amp;$F38,OFFSET([1]stages!$A$1,0,0,COUNTA([1]stages!$A:$A),MATCH(H$1,[1]stages!$2:$2,0)-MATCH("temp_stage",[1]stages!$2:$2,0)+1),MATCH(H$1,[1]stages!$2:$2,0)-MATCH("temp_stage",[1]stages!$2:$2,0)+1,FALSE)</f>
        <v>火曜クエスト</v>
      </c>
      <c r="I38" s="19">
        <v>0</v>
      </c>
      <c r="J38" s="6">
        <f>COUNTIF(C$1:C38,C38)</f>
        <v>12</v>
      </c>
      <c r="K38">
        <v>13</v>
      </c>
      <c r="L38" s="6" t="s">
        <v>17</v>
      </c>
      <c r="M38" s="36" t="str">
        <f>VLOOKUP(K38,[2]stage_hints!$A:$C,3,FALSE)</f>
        <v>ユニットの覚醒</v>
      </c>
      <c r="N38" s="37" t="str">
        <f>VLOOKUP(K38,[2]stage_hints!$A:$D,4,FALSE)</f>
        <v>ユニットを覚醒させると_x000D_比べものにならない強さが手に入ります</v>
      </c>
      <c r="O38" s="22" t="s">
        <v>117</v>
      </c>
      <c r="P38">
        <v>13</v>
      </c>
    </row>
    <row r="39" spans="1:16" x14ac:dyDescent="0.15">
      <c r="A39" s="29" t="str">
        <f t="shared" si="8"/>
        <v>11002_1_13</v>
      </c>
      <c r="B39" s="27" t="s">
        <v>33</v>
      </c>
      <c r="C39" s="5">
        <v>11002</v>
      </c>
      <c r="D39" s="4" t="str">
        <f ca="1">VLOOKUP($C39,OFFSET([1]quests!$A$1,0,0,COUNTA([1]quests!$A:$A),MATCH(D$1,[1]quests!$1:$1,0)-MATCH($C$1,[1]quests!$1:$1,0)+1),MATCH(D$1,[1]quests!$1:$1,0)-MATCH($C$1,[1]quests!$1:$1,0)+1,FALSE)</f>
        <v>【火曜限定】 赤の素材</v>
      </c>
      <c r="E39" s="4" t="str">
        <f ca="1">VLOOKUP($C39,OFFSET([1]quests!$A$1,0,0,COUNTA([1]quests!$A:$A),MATCH(E$1,[1]quests!$1:$1,0)-MATCH($C$1,[1]quests!$1:$1,0)+1),MATCH(E$1,[1]quests!$1:$1,0)-MATCH($C$1,[1]quests!$1:$1,0)+1,FALSE)</f>
        <v>火曜クエスト</v>
      </c>
      <c r="F39" s="6">
        <v>1</v>
      </c>
      <c r="G39" s="4" t="str">
        <f ca="1">VLOOKUP($C39&amp;"_"&amp;$F39,OFFSET([1]stages!$A$1,0,0,COUNTA([1]stages!$A:$A),MATCH(G$1,[1]stages!$2:$2,0)-MATCH("temp_stage",[1]stages!$2:$2,0)+1),MATCH(G$1,[1]stages!$2:$2,0)-MATCH("temp_stage",[1]stages!$2:$2,0)+1,FALSE)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39" s="4" t="str">
        <f ca="1">VLOOKUP($C39&amp;"_"&amp;$F39,OFFSET([1]stages!$A$1,0,0,COUNTA([1]stages!$A:$A),MATCH(H$1,[1]stages!$2:$2,0)-MATCH("temp_stage",[1]stages!$2:$2,0)+1),MATCH(H$1,[1]stages!$2:$2,0)-MATCH("temp_stage",[1]stages!$2:$2,0)+1,FALSE)</f>
        <v>火曜クエスト</v>
      </c>
      <c r="I39" s="19">
        <v>0</v>
      </c>
      <c r="J39" s="6">
        <f>COUNTIF(C$1:C39,C39)</f>
        <v>13</v>
      </c>
      <c r="K39">
        <v>14</v>
      </c>
      <c r="L39" s="6" t="s">
        <v>17</v>
      </c>
      <c r="M39" s="36" t="str">
        <f>VLOOKUP(K39,[2]stage_hints!$A:$C,3,FALSE)</f>
        <v>覚醒するにはレベルを最大に</v>
      </c>
      <c r="N39" s="37" t="str">
        <f>VLOOKUP(K39,[2]stage_hints!$A:$D,4,FALSE)</f>
        <v>覚醒するにはユニットのレベルを_x000D_最大まで上げる必要があります</v>
      </c>
      <c r="O39" s="22" t="s">
        <v>117</v>
      </c>
      <c r="P39">
        <v>14</v>
      </c>
    </row>
    <row r="40" spans="1:16" x14ac:dyDescent="0.15">
      <c r="A40" s="29" t="str">
        <f t="shared" ref="A40" si="9">C40&amp;"_"&amp;F40&amp;"_"&amp;J40</f>
        <v>11002_1_14</v>
      </c>
      <c r="B40" s="27" t="s">
        <v>33</v>
      </c>
      <c r="C40" s="5">
        <v>11002</v>
      </c>
      <c r="D40" s="4" t="str">
        <f ca="1">VLOOKUP($C40,OFFSET([1]quests!$A$1,0,0,COUNTA([1]quests!$A:$A),MATCH(D$1,[1]quests!$1:$1,0)-MATCH($C$1,[1]quests!$1:$1,0)+1),MATCH(D$1,[1]quests!$1:$1,0)-MATCH($C$1,[1]quests!$1:$1,0)+1,FALSE)</f>
        <v>【火曜限定】 赤の素材</v>
      </c>
      <c r="E40" s="4" t="str">
        <f ca="1">VLOOKUP($C40,OFFSET([1]quests!$A$1,0,0,COUNTA([1]quests!$A:$A),MATCH(E$1,[1]quests!$1:$1,0)-MATCH($C$1,[1]quests!$1:$1,0)+1),MATCH(E$1,[1]quests!$1:$1,0)-MATCH($C$1,[1]quests!$1:$1,0)+1,FALSE)</f>
        <v>火曜クエスト</v>
      </c>
      <c r="F40" s="6">
        <v>1</v>
      </c>
      <c r="G40" s="4" t="str">
        <f ca="1">VLOOKUP($C40&amp;"_"&amp;$F40,OFFSET([1]stages!$A$1,0,0,COUNTA([1]stages!$A:$A),MATCH(G$1,[1]stages!$2:$2,0)-MATCH("temp_stage",[1]stages!$2:$2,0)+1),MATCH(G$1,[1]stages!$2:$2,0)-MATCH("temp_stage",[1]stages!$2:$2,0)+1,FALSE)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40" s="4" t="str">
        <f ca="1">VLOOKUP($C40&amp;"_"&amp;$F40,OFFSET([1]stages!$A$1,0,0,COUNTA([1]stages!$A:$A),MATCH(H$1,[1]stages!$2:$2,0)-MATCH("temp_stage",[1]stages!$2:$2,0)+1),MATCH(H$1,[1]stages!$2:$2,0)-MATCH("temp_stage",[1]stages!$2:$2,0)+1,FALSE)</f>
        <v>火曜クエスト</v>
      </c>
      <c r="I40" s="19">
        <v>0</v>
      </c>
      <c r="J40" s="6">
        <f>COUNTIF(C$1:C40,C40)</f>
        <v>14</v>
      </c>
      <c r="K40">
        <v>15</v>
      </c>
      <c r="L40" s="6" t="s">
        <v>17</v>
      </c>
      <c r="M40" s="36" t="str">
        <f>VLOOKUP(K40,[2]stage_hints!$A:$C,3,FALSE)</f>
        <v>覚醒素材を獲得</v>
      </c>
      <c r="N40" s="37" t="str">
        <f>VLOOKUP(K40,[2]stage_hints!$A:$D,4,FALSE)</f>
        <v>「曜日クエスト」では_x000D_ユニットの覚醒に必要な素材が手に入ります</v>
      </c>
      <c r="O40" s="22" t="s">
        <v>117</v>
      </c>
      <c r="P40">
        <v>15</v>
      </c>
    </row>
    <row r="41" spans="1:16" x14ac:dyDescent="0.15">
      <c r="A41" s="29" t="str">
        <f t="shared" ref="A41:A48" si="10">C41&amp;"_"&amp;F41&amp;"_"&amp;J41</f>
        <v>11002_1_15</v>
      </c>
      <c r="B41" s="27" t="s">
        <v>33</v>
      </c>
      <c r="C41" s="5">
        <v>11002</v>
      </c>
      <c r="D41" s="4" t="str">
        <f ca="1">VLOOKUP($C41,OFFSET([1]quests!$A$1,0,0,COUNTA([1]quests!$A:$A),MATCH(D$1,[1]quests!$1:$1,0)-MATCH($C$1,[1]quests!$1:$1,0)+1),MATCH(D$1,[1]quests!$1:$1,0)-MATCH($C$1,[1]quests!$1:$1,0)+1,FALSE)</f>
        <v>【火曜限定】 赤の素材</v>
      </c>
      <c r="E41" s="4" t="str">
        <f ca="1">VLOOKUP($C41,OFFSET([1]quests!$A$1,0,0,COUNTA([1]quests!$A:$A),MATCH(E$1,[1]quests!$1:$1,0)-MATCH($C$1,[1]quests!$1:$1,0)+1),MATCH(E$1,[1]quests!$1:$1,0)-MATCH($C$1,[1]quests!$1:$1,0)+1,FALSE)</f>
        <v>火曜クエスト</v>
      </c>
      <c r="F41" s="6">
        <v>1</v>
      </c>
      <c r="G41" s="4" t="str">
        <f ca="1">VLOOKUP($C41&amp;"_"&amp;$F41,OFFSET([1]stages!$A$1,0,0,COUNTA([1]stages!$A:$A),MATCH(G$1,[1]stages!$2:$2,0)-MATCH("temp_stage",[1]stages!$2:$2,0)+1),MATCH(G$1,[1]stages!$2:$2,0)-MATCH("temp_stage",[1]stages!$2:$2,0)+1,FALSE)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41" s="4" t="str">
        <f ca="1">VLOOKUP($C41&amp;"_"&amp;$F41,OFFSET([1]stages!$A$1,0,0,COUNTA([1]stages!$A:$A),MATCH(H$1,[1]stages!$2:$2,0)-MATCH("temp_stage",[1]stages!$2:$2,0)+1),MATCH(H$1,[1]stages!$2:$2,0)-MATCH("temp_stage",[1]stages!$2:$2,0)+1,FALSE)</f>
        <v>火曜クエスト</v>
      </c>
      <c r="I41" s="19">
        <v>0</v>
      </c>
      <c r="J41" s="6">
        <f>COUNTIF(C$1:C41,C41)</f>
        <v>15</v>
      </c>
      <c r="K41">
        <v>16</v>
      </c>
      <c r="L41" s="6" t="s">
        <v>17</v>
      </c>
      <c r="M41" s="36" t="str">
        <f>VLOOKUP(K41,[2]stage_hints!$A:$C,3,FALSE)</f>
        <v>マルチプレイのメリット（その1）</v>
      </c>
      <c r="N41" s="37" t="str">
        <f>VLOOKUP(K41,[2]stage_hints!$A:$D,4,FALSE)</f>
        <v>他のプレイヤーとマルチプレイで遊ぶと_x000D_ポリゴンがもらえます（100人まで）</v>
      </c>
      <c r="O41" s="22" t="s">
        <v>117</v>
      </c>
      <c r="P41">
        <v>16</v>
      </c>
    </row>
    <row r="42" spans="1:16" x14ac:dyDescent="0.15">
      <c r="A42" s="29" t="str">
        <f t="shared" si="10"/>
        <v>11002_1_16</v>
      </c>
      <c r="B42" s="27" t="s">
        <v>33</v>
      </c>
      <c r="C42" s="5">
        <v>11002</v>
      </c>
      <c r="D42" s="4" t="str">
        <f ca="1">VLOOKUP($C42,OFFSET([1]quests!$A$1,0,0,COUNTA([1]quests!$A:$A),MATCH(D$1,[1]quests!$1:$1,0)-MATCH($C$1,[1]quests!$1:$1,0)+1),MATCH(D$1,[1]quests!$1:$1,0)-MATCH($C$1,[1]quests!$1:$1,0)+1,FALSE)</f>
        <v>【火曜限定】 赤の素材</v>
      </c>
      <c r="E42" s="4" t="str">
        <f ca="1">VLOOKUP($C42,OFFSET([1]quests!$A$1,0,0,COUNTA([1]quests!$A:$A),MATCH(E$1,[1]quests!$1:$1,0)-MATCH($C$1,[1]quests!$1:$1,0)+1),MATCH(E$1,[1]quests!$1:$1,0)-MATCH($C$1,[1]quests!$1:$1,0)+1,FALSE)</f>
        <v>火曜クエスト</v>
      </c>
      <c r="F42" s="6">
        <v>1</v>
      </c>
      <c r="G42" s="4" t="str">
        <f ca="1">VLOOKUP($C42&amp;"_"&amp;$F42,OFFSET([1]stages!$A$1,0,0,COUNTA([1]stages!$A:$A),MATCH(G$1,[1]stages!$2:$2,0)-MATCH("temp_stage",[1]stages!$2:$2,0)+1),MATCH(G$1,[1]stages!$2:$2,0)-MATCH("temp_stage",[1]stages!$2:$2,0)+1,FALSE)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42" s="4" t="str">
        <f ca="1">VLOOKUP($C42&amp;"_"&amp;$F42,OFFSET([1]stages!$A$1,0,0,COUNTA([1]stages!$A:$A),MATCH(H$1,[1]stages!$2:$2,0)-MATCH("temp_stage",[1]stages!$2:$2,0)+1),MATCH(H$1,[1]stages!$2:$2,0)-MATCH("temp_stage",[1]stages!$2:$2,0)+1,FALSE)</f>
        <v>火曜クエスト</v>
      </c>
      <c r="I42" s="19">
        <v>0</v>
      </c>
      <c r="J42" s="6">
        <f>COUNTIF(C$1:C42,C42)</f>
        <v>16</v>
      </c>
      <c r="K42">
        <v>17</v>
      </c>
      <c r="L42" s="6" t="s">
        <v>17</v>
      </c>
      <c r="M42" s="36" t="str">
        <f>VLOOKUP(K42,[2]stage_hints!$A:$C,3,FALSE)</f>
        <v>リンクガチャ</v>
      </c>
      <c r="N42" s="37" t="str">
        <f>VLOOKUP(K42,[2]stage_hints!$A:$D,4,FALSE)</f>
        <v>無料のリンクガチャを回して_x000D_経験値素材や売却素材を獲得しましょう</v>
      </c>
      <c r="O42" s="22" t="s">
        <v>117</v>
      </c>
      <c r="P42">
        <v>17</v>
      </c>
    </row>
    <row r="43" spans="1:16" x14ac:dyDescent="0.15">
      <c r="A43" s="29" t="str">
        <f t="shared" si="10"/>
        <v>11002_1_17</v>
      </c>
      <c r="B43" s="27" t="s">
        <v>33</v>
      </c>
      <c r="C43" s="5">
        <v>11002</v>
      </c>
      <c r="D43" s="4" t="str">
        <f ca="1">VLOOKUP($C43,OFFSET([1]quests!$A$1,0,0,COUNTA([1]quests!$A:$A),MATCH(D$1,[1]quests!$1:$1,0)-MATCH($C$1,[1]quests!$1:$1,0)+1),MATCH(D$1,[1]quests!$1:$1,0)-MATCH($C$1,[1]quests!$1:$1,0)+1,FALSE)</f>
        <v>【火曜限定】 赤の素材</v>
      </c>
      <c r="E43" s="4" t="str">
        <f ca="1">VLOOKUP($C43,OFFSET([1]quests!$A$1,0,0,COUNTA([1]quests!$A:$A),MATCH(E$1,[1]quests!$1:$1,0)-MATCH($C$1,[1]quests!$1:$1,0)+1),MATCH(E$1,[1]quests!$1:$1,0)-MATCH($C$1,[1]quests!$1:$1,0)+1,FALSE)</f>
        <v>火曜クエスト</v>
      </c>
      <c r="F43" s="6">
        <v>1</v>
      </c>
      <c r="G43" s="4" t="str">
        <f ca="1">VLOOKUP($C43&amp;"_"&amp;$F43,OFFSET([1]stages!$A$1,0,0,COUNTA([1]stages!$A:$A),MATCH(G$1,[1]stages!$2:$2,0)-MATCH("temp_stage",[1]stages!$2:$2,0)+1),MATCH(G$1,[1]stages!$2:$2,0)-MATCH("temp_stage",[1]stages!$2:$2,0)+1,FALSE)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43" s="4" t="str">
        <f ca="1">VLOOKUP($C43&amp;"_"&amp;$F43,OFFSET([1]stages!$A$1,0,0,COUNTA([1]stages!$A:$A),MATCH(H$1,[1]stages!$2:$2,0)-MATCH("temp_stage",[1]stages!$2:$2,0)+1),MATCH(H$1,[1]stages!$2:$2,0)-MATCH("temp_stage",[1]stages!$2:$2,0)+1,FALSE)</f>
        <v>火曜クエスト</v>
      </c>
      <c r="I43" s="19">
        <v>0</v>
      </c>
      <c r="J43" s="6">
        <f>COUNTIF(C$1:C43,C43)</f>
        <v>17</v>
      </c>
      <c r="K43">
        <v>18</v>
      </c>
      <c r="L43" s="6" t="s">
        <v>17</v>
      </c>
      <c r="M43" s="36" t="str">
        <f>VLOOKUP(K43,[2]stage_hints!$A:$C,3,FALSE)</f>
        <v>マルチプレイのメリット（その2）</v>
      </c>
      <c r="N43" s="37" t="str">
        <f>VLOOKUP(K43,[2]stage_hints!$A:$D,4,FALSE)</f>
        <v>マルチプレイならリンクが2倍もらえます_x000D_リンクガチャをたくさん回しましょう</v>
      </c>
      <c r="O43" s="22" t="s">
        <v>117</v>
      </c>
      <c r="P43">
        <v>18</v>
      </c>
    </row>
    <row r="44" spans="1:16" x14ac:dyDescent="0.15">
      <c r="A44" s="29" t="str">
        <f t="shared" si="10"/>
        <v>11002_1_18</v>
      </c>
      <c r="B44" s="27" t="s">
        <v>33</v>
      </c>
      <c r="C44" s="5">
        <v>11002</v>
      </c>
      <c r="D44" s="4" t="str">
        <f ca="1">VLOOKUP($C44,OFFSET([1]quests!$A$1,0,0,COUNTA([1]quests!$A:$A),MATCH(D$1,[1]quests!$1:$1,0)-MATCH($C$1,[1]quests!$1:$1,0)+1),MATCH(D$1,[1]quests!$1:$1,0)-MATCH($C$1,[1]quests!$1:$1,0)+1,FALSE)</f>
        <v>【火曜限定】 赤の素材</v>
      </c>
      <c r="E44" s="4" t="str">
        <f ca="1">VLOOKUP($C44,OFFSET([1]quests!$A$1,0,0,COUNTA([1]quests!$A:$A),MATCH(E$1,[1]quests!$1:$1,0)-MATCH($C$1,[1]quests!$1:$1,0)+1),MATCH(E$1,[1]quests!$1:$1,0)-MATCH($C$1,[1]quests!$1:$1,0)+1,FALSE)</f>
        <v>火曜クエスト</v>
      </c>
      <c r="F44" s="6">
        <v>1</v>
      </c>
      <c r="G44" s="4" t="str">
        <f ca="1">VLOOKUP($C44&amp;"_"&amp;$F44,OFFSET([1]stages!$A$1,0,0,COUNTA([1]stages!$A:$A),MATCH(G$1,[1]stages!$2:$2,0)-MATCH("temp_stage",[1]stages!$2:$2,0)+1),MATCH(G$1,[1]stages!$2:$2,0)-MATCH("temp_stage",[1]stages!$2:$2,0)+1,FALSE)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44" s="4" t="str">
        <f ca="1">VLOOKUP($C44&amp;"_"&amp;$F44,OFFSET([1]stages!$A$1,0,0,COUNTA([1]stages!$A:$A),MATCH(H$1,[1]stages!$2:$2,0)-MATCH("temp_stage",[1]stages!$2:$2,0)+1),MATCH(H$1,[1]stages!$2:$2,0)-MATCH("temp_stage",[1]stages!$2:$2,0)+1,FALSE)</f>
        <v>火曜クエスト</v>
      </c>
      <c r="I44" s="19">
        <v>0</v>
      </c>
      <c r="J44" s="6">
        <f>COUNTIF(C$1:C44,C44)</f>
        <v>18</v>
      </c>
      <c r="K44">
        <v>19</v>
      </c>
      <c r="L44" s="6" t="s">
        <v>17</v>
      </c>
      <c r="M44" s="36" t="str">
        <f>VLOOKUP(K44,[2]stage_hints!$A:$C,3,FALSE)</f>
        <v>ソロ専用チャレンジタワー</v>
      </c>
      <c r="N44" s="37" t="str">
        <f>VLOOKUP(K44,[2]stage_hints!$A:$D,4,FALSE)</f>
        <v>ソロ専用の「チャレンジタワー」では_x000D_各フロアごとにクリア報酬がもらえます</v>
      </c>
      <c r="O44" s="22" t="s">
        <v>117</v>
      </c>
      <c r="P44">
        <v>19</v>
      </c>
    </row>
    <row r="45" spans="1:16" x14ac:dyDescent="0.15">
      <c r="A45" s="29" t="str">
        <f t="shared" si="10"/>
        <v>11002_1_19</v>
      </c>
      <c r="B45" s="27" t="s">
        <v>33</v>
      </c>
      <c r="C45" s="5">
        <v>11002</v>
      </c>
      <c r="D45" s="4" t="str">
        <f ca="1">VLOOKUP($C45,OFFSET([1]quests!$A$1,0,0,COUNTA([1]quests!$A:$A),MATCH(D$1,[1]quests!$1:$1,0)-MATCH($C$1,[1]quests!$1:$1,0)+1),MATCH(D$1,[1]quests!$1:$1,0)-MATCH($C$1,[1]quests!$1:$1,0)+1,FALSE)</f>
        <v>【火曜限定】 赤の素材</v>
      </c>
      <c r="E45" s="4" t="str">
        <f ca="1">VLOOKUP($C45,OFFSET([1]quests!$A$1,0,0,COUNTA([1]quests!$A:$A),MATCH(E$1,[1]quests!$1:$1,0)-MATCH($C$1,[1]quests!$1:$1,0)+1),MATCH(E$1,[1]quests!$1:$1,0)-MATCH($C$1,[1]quests!$1:$1,0)+1,FALSE)</f>
        <v>火曜クエスト</v>
      </c>
      <c r="F45" s="6">
        <v>1</v>
      </c>
      <c r="G45" s="4" t="str">
        <f ca="1">VLOOKUP($C45&amp;"_"&amp;$F45,OFFSET([1]stages!$A$1,0,0,COUNTA([1]stages!$A:$A),MATCH(G$1,[1]stages!$2:$2,0)-MATCH("temp_stage",[1]stages!$2:$2,0)+1),MATCH(G$1,[1]stages!$2:$2,0)-MATCH("temp_stage",[1]stages!$2:$2,0)+1,FALSE)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45" s="4" t="str">
        <f ca="1">VLOOKUP($C45&amp;"_"&amp;$F45,OFFSET([1]stages!$A$1,0,0,COUNTA([1]stages!$A:$A),MATCH(H$1,[1]stages!$2:$2,0)-MATCH("temp_stage",[1]stages!$2:$2,0)+1),MATCH(H$1,[1]stages!$2:$2,0)-MATCH("temp_stage",[1]stages!$2:$2,0)+1,FALSE)</f>
        <v>火曜クエスト</v>
      </c>
      <c r="I45" s="19">
        <v>0</v>
      </c>
      <c r="J45" s="6">
        <f>COUNTIF(C$1:C45,C45)</f>
        <v>19</v>
      </c>
      <c r="K45">
        <v>20</v>
      </c>
      <c r="L45" s="6" t="s">
        <v>17</v>
      </c>
      <c r="M45" s="36" t="str">
        <f>VLOOKUP(K45,[2]stage_hints!$A:$C,3,FALSE)</f>
        <v>マルチプレイのメリット（その3）</v>
      </c>
      <c r="N45" s="37" t="str">
        <f>VLOOKUP(K45,[2]stage_hints!$A:$D,4,FALSE)</f>
        <v>マルチプレイへの参加はエナジー消費ゼロ_x000D_いつでも好きなだけ遊ぶことができます</v>
      </c>
      <c r="O45" s="22" t="s">
        <v>117</v>
      </c>
      <c r="P45">
        <v>20</v>
      </c>
    </row>
    <row r="46" spans="1:16" x14ac:dyDescent="0.15">
      <c r="A46" s="29" t="str">
        <f t="shared" si="10"/>
        <v>11002_1_20</v>
      </c>
      <c r="B46" s="27" t="s">
        <v>33</v>
      </c>
      <c r="C46" s="5">
        <v>11002</v>
      </c>
      <c r="D46" s="4" t="str">
        <f ca="1">VLOOKUP($C46,OFFSET([1]quests!$A$1,0,0,COUNTA([1]quests!$A:$A),MATCH(D$1,[1]quests!$1:$1,0)-MATCH($C$1,[1]quests!$1:$1,0)+1),MATCH(D$1,[1]quests!$1:$1,0)-MATCH($C$1,[1]quests!$1:$1,0)+1,FALSE)</f>
        <v>【火曜限定】 赤の素材</v>
      </c>
      <c r="E46" s="4" t="str">
        <f ca="1">VLOOKUP($C46,OFFSET([1]quests!$A$1,0,0,COUNTA([1]quests!$A:$A),MATCH(E$1,[1]quests!$1:$1,0)-MATCH($C$1,[1]quests!$1:$1,0)+1),MATCH(E$1,[1]quests!$1:$1,0)-MATCH($C$1,[1]quests!$1:$1,0)+1,FALSE)</f>
        <v>火曜クエスト</v>
      </c>
      <c r="F46" s="6">
        <v>1</v>
      </c>
      <c r="G46" s="4" t="str">
        <f ca="1">VLOOKUP($C46&amp;"_"&amp;$F46,OFFSET([1]stages!$A$1,0,0,COUNTA([1]stages!$A:$A),MATCH(G$1,[1]stages!$2:$2,0)-MATCH("temp_stage",[1]stages!$2:$2,0)+1),MATCH(G$1,[1]stages!$2:$2,0)-MATCH("temp_stage",[1]stages!$2:$2,0)+1,FALSE)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46" s="4" t="str">
        <f ca="1">VLOOKUP($C46&amp;"_"&amp;$F46,OFFSET([1]stages!$A$1,0,0,COUNTA([1]stages!$A:$A),MATCH(H$1,[1]stages!$2:$2,0)-MATCH("temp_stage",[1]stages!$2:$2,0)+1),MATCH(H$1,[1]stages!$2:$2,0)-MATCH("temp_stage",[1]stages!$2:$2,0)+1,FALSE)</f>
        <v>火曜クエスト</v>
      </c>
      <c r="I46" s="19">
        <v>0</v>
      </c>
      <c r="J46" s="6">
        <f>COUNTIF(C$1:C46,C46)</f>
        <v>20</v>
      </c>
      <c r="K46">
        <v>21</v>
      </c>
      <c r="L46" s="6" t="s">
        <v>17</v>
      </c>
      <c r="M46" s="36" t="str">
        <f>VLOOKUP(K46,[2]stage_hints!$A:$C,3,FALSE)</f>
        <v>スキルを有効に</v>
      </c>
      <c r="N46" s="37" t="str">
        <f>VLOOKUP(K46,[2]stage_hints!$A:$D,4,FALSE)</f>
        <v>ターン経過でユニットのスキルが使えます_x000D_強力スキルでバトルを有利に進めましょう</v>
      </c>
      <c r="O46" s="22" t="s">
        <v>117</v>
      </c>
      <c r="P46">
        <v>21</v>
      </c>
    </row>
    <row r="47" spans="1:16" x14ac:dyDescent="0.15">
      <c r="A47" s="29" t="str">
        <f t="shared" si="10"/>
        <v>11002_1_21</v>
      </c>
      <c r="B47" s="27" t="s">
        <v>33</v>
      </c>
      <c r="C47" s="5">
        <v>11002</v>
      </c>
      <c r="D47" s="4" t="str">
        <f ca="1">VLOOKUP($C47,OFFSET([1]quests!$A$1,0,0,COUNTA([1]quests!$A:$A),MATCH(D$1,[1]quests!$1:$1,0)-MATCH($C$1,[1]quests!$1:$1,0)+1),MATCH(D$1,[1]quests!$1:$1,0)-MATCH($C$1,[1]quests!$1:$1,0)+1,FALSE)</f>
        <v>【火曜限定】 赤の素材</v>
      </c>
      <c r="E47" s="4" t="str">
        <f ca="1">VLOOKUP($C47,OFFSET([1]quests!$A$1,0,0,COUNTA([1]quests!$A:$A),MATCH(E$1,[1]quests!$1:$1,0)-MATCH($C$1,[1]quests!$1:$1,0)+1),MATCH(E$1,[1]quests!$1:$1,0)-MATCH($C$1,[1]quests!$1:$1,0)+1,FALSE)</f>
        <v>火曜クエスト</v>
      </c>
      <c r="F47" s="6">
        <v>1</v>
      </c>
      <c r="G47" s="4" t="str">
        <f ca="1">VLOOKUP($C47&amp;"_"&amp;$F47,OFFSET([1]stages!$A$1,0,0,COUNTA([1]stages!$A:$A),MATCH(G$1,[1]stages!$2:$2,0)-MATCH("temp_stage",[1]stages!$2:$2,0)+1),MATCH(G$1,[1]stages!$2:$2,0)-MATCH("temp_stage",[1]stages!$2:$2,0)+1,FALSE)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47" s="4" t="str">
        <f ca="1">VLOOKUP($C47&amp;"_"&amp;$F47,OFFSET([1]stages!$A$1,0,0,COUNTA([1]stages!$A:$A),MATCH(H$1,[1]stages!$2:$2,0)-MATCH("temp_stage",[1]stages!$2:$2,0)+1),MATCH(H$1,[1]stages!$2:$2,0)-MATCH("temp_stage",[1]stages!$2:$2,0)+1,FALSE)</f>
        <v>火曜クエスト</v>
      </c>
      <c r="I47" s="19">
        <v>0</v>
      </c>
      <c r="J47" s="6">
        <f>COUNTIF(C$1:C47,C47)</f>
        <v>21</v>
      </c>
      <c r="K47">
        <v>22</v>
      </c>
      <c r="L47" s="6" t="s">
        <v>17</v>
      </c>
      <c r="M47" s="36" t="str">
        <f>VLOOKUP(K47,[2]stage_hints!$A:$C,3,FALSE)</f>
        <v>フィーバーで一発逆転（その1）</v>
      </c>
      <c r="N47" s="37" t="str">
        <f>VLOOKUP(K47,[2]stage_hints!$A:$D,4,FALSE)</f>
        <v>フィーバーは攻撃と回復を兼ね備えます_x000D_ピンチからの一発逆転を狙いましょう</v>
      </c>
      <c r="O47" s="22" t="s">
        <v>117</v>
      </c>
      <c r="P47">
        <v>22</v>
      </c>
    </row>
    <row r="48" spans="1:16" x14ac:dyDescent="0.15">
      <c r="A48" s="29" t="str">
        <f t="shared" si="10"/>
        <v>11002_1_22</v>
      </c>
      <c r="B48" s="27" t="s">
        <v>33</v>
      </c>
      <c r="C48" s="5">
        <v>11002</v>
      </c>
      <c r="D48" s="4" t="str">
        <f ca="1">VLOOKUP($C48,OFFSET([1]quests!$A$1,0,0,COUNTA([1]quests!$A:$A),MATCH(D$1,[1]quests!$1:$1,0)-MATCH($C$1,[1]quests!$1:$1,0)+1),MATCH(D$1,[1]quests!$1:$1,0)-MATCH($C$1,[1]quests!$1:$1,0)+1,FALSE)</f>
        <v>【火曜限定】 赤の素材</v>
      </c>
      <c r="E48" s="4" t="str">
        <f ca="1">VLOOKUP($C48,OFFSET([1]quests!$A$1,0,0,COUNTA([1]quests!$A:$A),MATCH(E$1,[1]quests!$1:$1,0)-MATCH($C$1,[1]quests!$1:$1,0)+1),MATCH(E$1,[1]quests!$1:$1,0)-MATCH($C$1,[1]quests!$1:$1,0)+1,FALSE)</f>
        <v>火曜クエスト</v>
      </c>
      <c r="F48" s="6">
        <v>1</v>
      </c>
      <c r="G48" s="4" t="str">
        <f ca="1">VLOOKUP($C48&amp;"_"&amp;$F48,OFFSET([1]stages!$A$1,0,0,COUNTA([1]stages!$A:$A),MATCH(G$1,[1]stages!$2:$2,0)-MATCH("temp_stage",[1]stages!$2:$2,0)+1),MATCH(G$1,[1]stages!$2:$2,0)-MATCH("temp_stage",[1]stages!$2:$2,0)+1,FALSE)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48" s="4" t="str">
        <f ca="1">VLOOKUP($C48&amp;"_"&amp;$F48,OFFSET([1]stages!$A$1,0,0,COUNTA([1]stages!$A:$A),MATCH(H$1,[1]stages!$2:$2,0)-MATCH("temp_stage",[1]stages!$2:$2,0)+1),MATCH(H$1,[1]stages!$2:$2,0)-MATCH("temp_stage",[1]stages!$2:$2,0)+1,FALSE)</f>
        <v>火曜クエスト</v>
      </c>
      <c r="I48" s="19">
        <v>0</v>
      </c>
      <c r="J48" s="6">
        <f>COUNTIF(C$1:C48,C48)</f>
        <v>22</v>
      </c>
      <c r="K48">
        <v>23</v>
      </c>
      <c r="L48" s="6" t="s">
        <v>17</v>
      </c>
      <c r="M48" s="36" t="str">
        <f>VLOOKUP(K48,[2]stage_hints!$A:$C,3,FALSE)</f>
        <v>フィーバーで一発逆転（その2）</v>
      </c>
      <c r="N48" s="37" t="str">
        <f>VLOOKUP(K48,[2]stage_hints!$A:$D,4,FALSE)</f>
        <v>フィーバー中は虹色のボムパネルを狙って_x000D_画面上のパネルを一気に破壊しましょう</v>
      </c>
      <c r="O48" s="22" t="s">
        <v>117</v>
      </c>
      <c r="P48">
        <v>23</v>
      </c>
    </row>
    <row r="49" spans="1:16" x14ac:dyDescent="0.15">
      <c r="A49" s="29" t="str">
        <f t="shared" ref="A49" si="11">C49&amp;"_"&amp;F49&amp;"_"&amp;J49</f>
        <v>11002_1_23</v>
      </c>
      <c r="B49" s="27" t="s">
        <v>33</v>
      </c>
      <c r="C49" s="5">
        <v>11002</v>
      </c>
      <c r="D49" s="4" t="str">
        <f ca="1">VLOOKUP($C49,OFFSET([1]quests!$A$1,0,0,COUNTA([1]quests!$A:$A),MATCH(D$1,[1]quests!$1:$1,0)-MATCH($C$1,[1]quests!$1:$1,0)+1),MATCH(D$1,[1]quests!$1:$1,0)-MATCH($C$1,[1]quests!$1:$1,0)+1,FALSE)</f>
        <v>【火曜限定】 赤の素材</v>
      </c>
      <c r="E49" s="4" t="str">
        <f ca="1">VLOOKUP($C49,OFFSET([1]quests!$A$1,0,0,COUNTA([1]quests!$A:$A),MATCH(E$1,[1]quests!$1:$1,0)-MATCH($C$1,[1]quests!$1:$1,0)+1),MATCH(E$1,[1]quests!$1:$1,0)-MATCH($C$1,[1]quests!$1:$1,0)+1,FALSE)</f>
        <v>火曜クエスト</v>
      </c>
      <c r="F49" s="6">
        <v>1</v>
      </c>
      <c r="G49" s="4" t="str">
        <f ca="1">VLOOKUP($C49&amp;"_"&amp;$F49,OFFSET([1]stages!$A$1,0,0,COUNTA([1]stages!$A:$A),MATCH(G$1,[1]stages!$2:$2,0)-MATCH("temp_stage",[1]stages!$2:$2,0)+1),MATCH(G$1,[1]stages!$2:$2,0)-MATCH("temp_stage",[1]stages!$2:$2,0)+1,FALSE)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49" s="4" t="str">
        <f ca="1">VLOOKUP($C49&amp;"_"&amp;$F49,OFFSET([1]stages!$A$1,0,0,COUNTA([1]stages!$A:$A),MATCH(H$1,[1]stages!$2:$2,0)-MATCH("temp_stage",[1]stages!$2:$2,0)+1),MATCH(H$1,[1]stages!$2:$2,0)-MATCH("temp_stage",[1]stages!$2:$2,0)+1,FALSE)</f>
        <v>火曜クエスト</v>
      </c>
      <c r="I49" s="19">
        <v>0</v>
      </c>
      <c r="J49" s="6">
        <f>COUNTIF(C$1:C49,C49)</f>
        <v>23</v>
      </c>
      <c r="K49">
        <v>24</v>
      </c>
      <c r="L49" s="6" t="s">
        <v>17</v>
      </c>
      <c r="M49" s="36" t="str">
        <f>VLOOKUP(K49,[2]stage_hints!$A:$C,3,FALSE)</f>
        <v>りんごを使って限界突破</v>
      </c>
      <c r="N49" s="37" t="str">
        <f>VLOOKUP(K49,[2]stage_hints!$A:$D,4,FALSE)</f>
        <v>赤りんご(攻撃力) 青りんご(回復力)_x000D_緑りんご(体力)をユニット強化に使うと_x000D_ステータスが限界突破します（計99個迄）</v>
      </c>
      <c r="O49" s="22" t="s">
        <v>117</v>
      </c>
      <c r="P49">
        <v>24</v>
      </c>
    </row>
    <row r="50" spans="1:16" x14ac:dyDescent="0.15">
      <c r="A50" s="29" t="str">
        <f t="shared" ref="A50:A58" si="12">C50&amp;"_"&amp;F50&amp;"_"&amp;J50</f>
        <v>11002_1_24</v>
      </c>
      <c r="B50" s="27" t="s">
        <v>33</v>
      </c>
      <c r="C50" s="5">
        <v>11002</v>
      </c>
      <c r="D50" s="4" t="str">
        <f ca="1">VLOOKUP($C50,OFFSET([1]quests!$A$1,0,0,COUNTA([1]quests!$A:$A),MATCH(D$1,[1]quests!$1:$1,0)-MATCH($C$1,[1]quests!$1:$1,0)+1),MATCH(D$1,[1]quests!$1:$1,0)-MATCH($C$1,[1]quests!$1:$1,0)+1,FALSE)</f>
        <v>【火曜限定】 赤の素材</v>
      </c>
      <c r="E50" s="4" t="str">
        <f ca="1">VLOOKUP($C50,OFFSET([1]quests!$A$1,0,0,COUNTA([1]quests!$A:$A),MATCH(E$1,[1]quests!$1:$1,0)-MATCH($C$1,[1]quests!$1:$1,0)+1),MATCH(E$1,[1]quests!$1:$1,0)-MATCH($C$1,[1]quests!$1:$1,0)+1,FALSE)</f>
        <v>火曜クエスト</v>
      </c>
      <c r="F50" s="6">
        <v>1</v>
      </c>
      <c r="G50" s="4" t="str">
        <f ca="1">VLOOKUP($C50&amp;"_"&amp;$F50,OFFSET([1]stages!$A$1,0,0,COUNTA([1]stages!$A:$A),MATCH(G$1,[1]stages!$2:$2,0)-MATCH("temp_stage",[1]stages!$2:$2,0)+1),MATCH(G$1,[1]stages!$2:$2,0)-MATCH("temp_stage",[1]stages!$2:$2,0)+1,FALSE)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50" s="4" t="str">
        <f ca="1">VLOOKUP($C50&amp;"_"&amp;$F50,OFFSET([1]stages!$A$1,0,0,COUNTA([1]stages!$A:$A),MATCH(H$1,[1]stages!$2:$2,0)-MATCH("temp_stage",[1]stages!$2:$2,0)+1),MATCH(H$1,[1]stages!$2:$2,0)-MATCH("temp_stage",[1]stages!$2:$2,0)+1,FALSE)</f>
        <v>火曜クエスト</v>
      </c>
      <c r="I50" s="19">
        <v>0</v>
      </c>
      <c r="J50" s="6">
        <f>COUNTIF(C$1:C50,C50)</f>
        <v>24</v>
      </c>
      <c r="K50">
        <v>25</v>
      </c>
      <c r="L50" s="6" t="s">
        <v>17</v>
      </c>
      <c r="M50" s="36" t="str">
        <f>VLOOKUP(K50,[2]stage_hints!$A:$C,3,FALSE)</f>
        <v>スキルレベルアップ</v>
      </c>
      <c r="N50" s="37" t="str">
        <f>VLOOKUP(K50,[2]stage_hints!$A:$D,4,FALSE)</f>
        <v>「クリスタルのりんご」を強化に使うと_x000D_スキルレベルを上げることができます</v>
      </c>
      <c r="O50" s="22" t="s">
        <v>117</v>
      </c>
      <c r="P50">
        <v>25</v>
      </c>
    </row>
    <row r="51" spans="1:16" x14ac:dyDescent="0.15">
      <c r="A51" s="29" t="str">
        <f t="shared" si="12"/>
        <v>11002_1_25</v>
      </c>
      <c r="B51" s="27" t="s">
        <v>33</v>
      </c>
      <c r="C51" s="5">
        <v>11002</v>
      </c>
      <c r="D51" s="4" t="str">
        <f ca="1">VLOOKUP($C51,OFFSET([1]quests!$A$1,0,0,COUNTA([1]quests!$A:$A),MATCH(D$1,[1]quests!$1:$1,0)-MATCH($C$1,[1]quests!$1:$1,0)+1),MATCH(D$1,[1]quests!$1:$1,0)-MATCH($C$1,[1]quests!$1:$1,0)+1,FALSE)</f>
        <v>【火曜限定】 赤の素材</v>
      </c>
      <c r="E51" s="4" t="str">
        <f ca="1">VLOOKUP($C51,OFFSET([1]quests!$A$1,0,0,COUNTA([1]quests!$A:$A),MATCH(E$1,[1]quests!$1:$1,0)-MATCH($C$1,[1]quests!$1:$1,0)+1),MATCH(E$1,[1]quests!$1:$1,0)-MATCH($C$1,[1]quests!$1:$1,0)+1,FALSE)</f>
        <v>火曜クエスト</v>
      </c>
      <c r="F51" s="6">
        <v>1</v>
      </c>
      <c r="G51" s="4" t="str">
        <f ca="1">VLOOKUP($C51&amp;"_"&amp;$F51,OFFSET([1]stages!$A$1,0,0,COUNTA([1]stages!$A:$A),MATCH(G$1,[1]stages!$2:$2,0)-MATCH("temp_stage",[1]stages!$2:$2,0)+1),MATCH(G$1,[1]stages!$2:$2,0)-MATCH("temp_stage",[1]stages!$2:$2,0)+1,FALSE)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51" s="4" t="str">
        <f ca="1">VLOOKUP($C51&amp;"_"&amp;$F51,OFFSET([1]stages!$A$1,0,0,COUNTA([1]stages!$A:$A),MATCH(H$1,[1]stages!$2:$2,0)-MATCH("temp_stage",[1]stages!$2:$2,0)+1),MATCH(H$1,[1]stages!$2:$2,0)-MATCH("temp_stage",[1]stages!$2:$2,0)+1,FALSE)</f>
        <v>火曜クエスト</v>
      </c>
      <c r="I51" s="19">
        <v>0</v>
      </c>
      <c r="J51" s="6">
        <f>COUNTIF(C$1:C51,C51)</f>
        <v>25</v>
      </c>
      <c r="K51">
        <v>26</v>
      </c>
      <c r="L51" s="6" t="s">
        <v>17</v>
      </c>
      <c r="M51" s="36" t="str">
        <f>VLOOKUP(K51,[2]stage_hints!$A:$C,3,FALSE)</f>
        <v>スキルレベルの効果</v>
      </c>
      <c r="N51" s="37" t="str">
        <f>VLOOKUP(K51,[2]stage_hints!$A:$D,4,FALSE)</f>
        <v>スキルレベルが上がると_x000D_短いターンでスキルを使うことができます</v>
      </c>
      <c r="O51" s="22" t="s">
        <v>117</v>
      </c>
      <c r="P51">
        <v>26</v>
      </c>
    </row>
    <row r="52" spans="1:16" x14ac:dyDescent="0.15">
      <c r="A52" s="29" t="str">
        <f t="shared" si="12"/>
        <v>11003_1_1</v>
      </c>
      <c r="B52" s="27" t="s">
        <v>33</v>
      </c>
      <c r="C52" s="5">
        <v>11003</v>
      </c>
      <c r="D52" s="4" t="str">
        <f ca="1">VLOOKUP($C52,OFFSET([1]quests!$A$1,0,0,COUNTA([1]quests!$A:$A),MATCH(D$1,[1]quests!$1:$1,0)-MATCH($C$1,[1]quests!$1:$1,0)+1),MATCH(D$1,[1]quests!$1:$1,0)-MATCH($C$1,[1]quests!$1:$1,0)+1,FALSE)</f>
        <v>【水曜限定】 青の素材</v>
      </c>
      <c r="E52" s="4" t="str">
        <f ca="1">VLOOKUP($C52,OFFSET([1]quests!$A$1,0,0,COUNTA([1]quests!$A:$A),MATCH(E$1,[1]quests!$1:$1,0)-MATCH($C$1,[1]quests!$1:$1,0)+1),MATCH(E$1,[1]quests!$1:$1,0)-MATCH($C$1,[1]quests!$1:$1,0)+1,FALSE)</f>
        <v>水曜クエスト</v>
      </c>
      <c r="F52" s="6">
        <v>1</v>
      </c>
      <c r="G52" s="4" t="str">
        <f ca="1">VLOOKUP($C52&amp;"_"&amp;$F52,OFFSET([1]stages!$A$1,0,0,COUNTA([1]stages!$A:$A),MATCH(G$1,[1]stages!$2:$2,0)-MATCH("temp_stage",[1]stages!$2:$2,0)+1),MATCH(G$1,[1]stages!$2:$2,0)-MATCH("temp_stage",[1]stages!$2:$2,0)+1,FALSE)</f>
        <v>【初級】水のチェシャ猫</v>
      </c>
      <c r="H52" s="4" t="str">
        <f ca="1">VLOOKUP($C52&amp;"_"&amp;$F52,OFFSET([1]stages!$A$1,0,0,COUNTA([1]stages!$A:$A),MATCH(H$1,[1]stages!$2:$2,0)-MATCH("temp_stage",[1]stages!$2:$2,0)+1),MATCH(H$1,[1]stages!$2:$2,0)-MATCH("temp_stage",[1]stages!$2:$2,0)+1,FALSE)</f>
        <v>水曜クエスト</v>
      </c>
      <c r="I52" s="19">
        <v>0</v>
      </c>
      <c r="J52" s="6">
        <f>COUNTIF(C$1:C52,C52)</f>
        <v>1</v>
      </c>
      <c r="K52">
        <v>1</v>
      </c>
      <c r="L52" s="6" t="s">
        <v>17</v>
      </c>
      <c r="M52" s="36" t="str">
        <f>VLOOKUP(K52,[2]stage_hints!$A:$C,3,FALSE)</f>
        <v>長くつなげて大ダメージ</v>
      </c>
      <c r="N52" s="37" t="str">
        <f>VLOOKUP(K52,[2]stage_hints!$A:$D,4,FALSE)</f>
        <v>パネルを長くつなげるほど_x000D_大ダメージを与えることができます</v>
      </c>
      <c r="O52" s="22" t="s">
        <v>117</v>
      </c>
      <c r="P52">
        <v>1</v>
      </c>
    </row>
    <row r="53" spans="1:16" x14ac:dyDescent="0.15">
      <c r="A53" s="29" t="str">
        <f t="shared" si="12"/>
        <v>11003_1_2</v>
      </c>
      <c r="B53" s="27" t="s">
        <v>33</v>
      </c>
      <c r="C53" s="5">
        <v>11003</v>
      </c>
      <c r="D53" s="4" t="str">
        <f ca="1">VLOOKUP($C53,OFFSET([1]quests!$A$1,0,0,COUNTA([1]quests!$A:$A),MATCH(D$1,[1]quests!$1:$1,0)-MATCH($C$1,[1]quests!$1:$1,0)+1),MATCH(D$1,[1]quests!$1:$1,0)-MATCH($C$1,[1]quests!$1:$1,0)+1,FALSE)</f>
        <v>【水曜限定】 青の素材</v>
      </c>
      <c r="E53" s="4" t="str">
        <f ca="1">VLOOKUP($C53,OFFSET([1]quests!$A$1,0,0,COUNTA([1]quests!$A:$A),MATCH(E$1,[1]quests!$1:$1,0)-MATCH($C$1,[1]quests!$1:$1,0)+1),MATCH(E$1,[1]quests!$1:$1,0)-MATCH($C$1,[1]quests!$1:$1,0)+1,FALSE)</f>
        <v>水曜クエスト</v>
      </c>
      <c r="F53" s="6">
        <v>1</v>
      </c>
      <c r="G53" s="4" t="str">
        <f ca="1">VLOOKUP($C53&amp;"_"&amp;$F53,OFFSET([1]stages!$A$1,0,0,COUNTA([1]stages!$A:$A),MATCH(G$1,[1]stages!$2:$2,0)-MATCH("temp_stage",[1]stages!$2:$2,0)+1),MATCH(G$1,[1]stages!$2:$2,0)-MATCH("temp_stage",[1]stages!$2:$2,0)+1,FALSE)</f>
        <v>【初級】水のチェシャ猫</v>
      </c>
      <c r="H53" s="4" t="str">
        <f ca="1">VLOOKUP($C53&amp;"_"&amp;$F53,OFFSET([1]stages!$A$1,0,0,COUNTA([1]stages!$A:$A),MATCH(H$1,[1]stages!$2:$2,0)-MATCH("temp_stage",[1]stages!$2:$2,0)+1),MATCH(H$1,[1]stages!$2:$2,0)-MATCH("temp_stage",[1]stages!$2:$2,0)+1,FALSE)</f>
        <v>水曜クエスト</v>
      </c>
      <c r="I53" s="19">
        <v>0</v>
      </c>
      <c r="J53" s="6">
        <f>COUNTIF(C$1:C53,C53)</f>
        <v>2</v>
      </c>
      <c r="K53">
        <v>2</v>
      </c>
      <c r="L53" s="6" t="s">
        <v>17</v>
      </c>
      <c r="M53" s="36" t="str">
        <f>VLOOKUP(K53,[2]stage_hints!$A:$C,3,FALSE)</f>
        <v>属性の相性</v>
      </c>
      <c r="N53" s="37" t="str">
        <f>VLOOKUP(K53,[2]stage_hints!$A:$D,4,FALSE)</f>
        <v>赤＞青　青＞黄　黄＞緑　緑＞赤_x000D_敵属性に最適なパーティがオススメです</v>
      </c>
      <c r="O53" s="22" t="s">
        <v>117</v>
      </c>
      <c r="P53">
        <v>2</v>
      </c>
    </row>
    <row r="54" spans="1:16" x14ac:dyDescent="0.15">
      <c r="A54" s="29" t="str">
        <f t="shared" si="12"/>
        <v>11003_1_3</v>
      </c>
      <c r="B54" s="27" t="s">
        <v>33</v>
      </c>
      <c r="C54" s="5">
        <v>11003</v>
      </c>
      <c r="D54" s="4" t="str">
        <f ca="1">VLOOKUP($C54,OFFSET([1]quests!$A$1,0,0,COUNTA([1]quests!$A:$A),MATCH(D$1,[1]quests!$1:$1,0)-MATCH($C$1,[1]quests!$1:$1,0)+1),MATCH(D$1,[1]quests!$1:$1,0)-MATCH($C$1,[1]quests!$1:$1,0)+1,FALSE)</f>
        <v>【水曜限定】 青の素材</v>
      </c>
      <c r="E54" s="4" t="str">
        <f ca="1">VLOOKUP($C54,OFFSET([1]quests!$A$1,0,0,COUNTA([1]quests!$A:$A),MATCH(E$1,[1]quests!$1:$1,0)-MATCH($C$1,[1]quests!$1:$1,0)+1),MATCH(E$1,[1]quests!$1:$1,0)-MATCH($C$1,[1]quests!$1:$1,0)+1,FALSE)</f>
        <v>水曜クエスト</v>
      </c>
      <c r="F54" s="6">
        <v>1</v>
      </c>
      <c r="G54" s="4" t="str">
        <f ca="1">VLOOKUP($C54&amp;"_"&amp;$F54,OFFSET([1]stages!$A$1,0,0,COUNTA([1]stages!$A:$A),MATCH(G$1,[1]stages!$2:$2,0)-MATCH("temp_stage",[1]stages!$2:$2,0)+1),MATCH(G$1,[1]stages!$2:$2,0)-MATCH("temp_stage",[1]stages!$2:$2,0)+1,FALSE)</f>
        <v>【初級】水のチェシャ猫</v>
      </c>
      <c r="H54" s="4" t="str">
        <f ca="1">VLOOKUP($C54&amp;"_"&amp;$F54,OFFSET([1]stages!$A$1,0,0,COUNTA([1]stages!$A:$A),MATCH(H$1,[1]stages!$2:$2,0)-MATCH("temp_stage",[1]stages!$2:$2,0)+1),MATCH(H$1,[1]stages!$2:$2,0)-MATCH("temp_stage",[1]stages!$2:$2,0)+1,FALSE)</f>
        <v>水曜クエスト</v>
      </c>
      <c r="I54" s="19">
        <v>0</v>
      </c>
      <c r="J54" s="6">
        <f>COUNTIF(C$1:C54,C54)</f>
        <v>3</v>
      </c>
      <c r="K54">
        <v>3</v>
      </c>
      <c r="L54" s="6" t="s">
        <v>17</v>
      </c>
      <c r="M54" s="36" t="str">
        <f>VLOOKUP(K54,[2]stage_hints!$A:$C,3,FALSE)</f>
        <v>ターゲット</v>
      </c>
      <c r="N54" s="37" t="str">
        <f>VLOOKUP(K54,[2]stage_hints!$A:$D,4,FALSE)</f>
        <v>敵ユニットをタップすると_x000D_その敵を狙い撃ちできます</v>
      </c>
      <c r="O54" s="22" t="s">
        <v>117</v>
      </c>
      <c r="P54">
        <v>3</v>
      </c>
    </row>
    <row r="55" spans="1:16" x14ac:dyDescent="0.15">
      <c r="A55" s="29" t="str">
        <f t="shared" si="12"/>
        <v>11003_1_4</v>
      </c>
      <c r="B55" s="27" t="s">
        <v>33</v>
      </c>
      <c r="C55" s="5">
        <v>11003</v>
      </c>
      <c r="D55" s="4" t="str">
        <f ca="1">VLOOKUP($C55,OFFSET([1]quests!$A$1,0,0,COUNTA([1]quests!$A:$A),MATCH(D$1,[1]quests!$1:$1,0)-MATCH($C$1,[1]quests!$1:$1,0)+1),MATCH(D$1,[1]quests!$1:$1,0)-MATCH($C$1,[1]quests!$1:$1,0)+1,FALSE)</f>
        <v>【水曜限定】 青の素材</v>
      </c>
      <c r="E55" s="4" t="str">
        <f ca="1">VLOOKUP($C55,OFFSET([1]quests!$A$1,0,0,COUNTA([1]quests!$A:$A),MATCH(E$1,[1]quests!$1:$1,0)-MATCH($C$1,[1]quests!$1:$1,0)+1),MATCH(E$1,[1]quests!$1:$1,0)-MATCH($C$1,[1]quests!$1:$1,0)+1,FALSE)</f>
        <v>水曜クエスト</v>
      </c>
      <c r="F55" s="6">
        <v>1</v>
      </c>
      <c r="G55" s="4" t="str">
        <f ca="1">VLOOKUP($C55&amp;"_"&amp;$F55,OFFSET([1]stages!$A$1,0,0,COUNTA([1]stages!$A:$A),MATCH(G$1,[1]stages!$2:$2,0)-MATCH("temp_stage",[1]stages!$2:$2,0)+1),MATCH(G$1,[1]stages!$2:$2,0)-MATCH("temp_stage",[1]stages!$2:$2,0)+1,FALSE)</f>
        <v>【初級】水のチェシャ猫</v>
      </c>
      <c r="H55" s="4" t="str">
        <f ca="1">VLOOKUP($C55&amp;"_"&amp;$F55,OFFSET([1]stages!$A$1,0,0,COUNTA([1]stages!$A:$A),MATCH(H$1,[1]stages!$2:$2,0)-MATCH("temp_stage",[1]stages!$2:$2,0)+1),MATCH(H$1,[1]stages!$2:$2,0)-MATCH("temp_stage",[1]stages!$2:$2,0)+1,FALSE)</f>
        <v>水曜クエスト</v>
      </c>
      <c r="I55" s="19">
        <v>0</v>
      </c>
      <c r="J55" s="6">
        <f>COUNTIF(C$1:C55,C55)</f>
        <v>4</v>
      </c>
      <c r="K55">
        <v>5</v>
      </c>
      <c r="L55" s="6" t="s">
        <v>17</v>
      </c>
      <c r="M55" s="36" t="str">
        <f>VLOOKUP(K55,[2]stage_hints!$A:$C,3,FALSE)</f>
        <v>ユニット強化でレベルアップ</v>
      </c>
      <c r="N55" s="37" t="str">
        <f>VLOOKUP(K55,[2]stage_hints!$A:$D,4,FALSE)</f>
        <v>「ユニット強化」でレベルアップすると_x000D_勝てない敵にも勝てるようになります</v>
      </c>
      <c r="O55" s="22" t="s">
        <v>117</v>
      </c>
      <c r="P55">
        <v>5</v>
      </c>
    </row>
    <row r="56" spans="1:16" x14ac:dyDescent="0.15">
      <c r="A56" s="29" t="str">
        <f t="shared" si="12"/>
        <v>11003_1_5</v>
      </c>
      <c r="B56" s="27" t="s">
        <v>33</v>
      </c>
      <c r="C56" s="5">
        <v>11003</v>
      </c>
      <c r="D56" s="4" t="str">
        <f ca="1">VLOOKUP($C56,OFFSET([1]quests!$A$1,0,0,COUNTA([1]quests!$A:$A),MATCH(D$1,[1]quests!$1:$1,0)-MATCH($C$1,[1]quests!$1:$1,0)+1),MATCH(D$1,[1]quests!$1:$1,0)-MATCH($C$1,[1]quests!$1:$1,0)+1,FALSE)</f>
        <v>【水曜限定】 青の素材</v>
      </c>
      <c r="E56" s="4" t="str">
        <f ca="1">VLOOKUP($C56,OFFSET([1]quests!$A$1,0,0,COUNTA([1]quests!$A:$A),MATCH(E$1,[1]quests!$1:$1,0)-MATCH($C$1,[1]quests!$1:$1,0)+1),MATCH(E$1,[1]quests!$1:$1,0)-MATCH($C$1,[1]quests!$1:$1,0)+1,FALSE)</f>
        <v>水曜クエスト</v>
      </c>
      <c r="F56" s="6">
        <v>1</v>
      </c>
      <c r="G56" s="4" t="str">
        <f ca="1">VLOOKUP($C56&amp;"_"&amp;$F56,OFFSET([1]stages!$A$1,0,0,COUNTA([1]stages!$A:$A),MATCH(G$1,[1]stages!$2:$2,0)-MATCH("temp_stage",[1]stages!$2:$2,0)+1),MATCH(G$1,[1]stages!$2:$2,0)-MATCH("temp_stage",[1]stages!$2:$2,0)+1,FALSE)</f>
        <v>【初級】水のチェシャ猫</v>
      </c>
      <c r="H56" s="4" t="str">
        <f ca="1">VLOOKUP($C56&amp;"_"&amp;$F56,OFFSET([1]stages!$A$1,0,0,COUNTA([1]stages!$A:$A),MATCH(H$1,[1]stages!$2:$2,0)-MATCH("temp_stage",[1]stages!$2:$2,0)+1),MATCH(H$1,[1]stages!$2:$2,0)-MATCH("temp_stage",[1]stages!$2:$2,0)+1,FALSE)</f>
        <v>水曜クエスト</v>
      </c>
      <c r="I56" s="19">
        <v>0</v>
      </c>
      <c r="J56" s="6">
        <f>COUNTIF(C$1:C56,C56)</f>
        <v>5</v>
      </c>
      <c r="K56">
        <v>6</v>
      </c>
      <c r="L56" s="6" t="s">
        <v>17</v>
      </c>
      <c r="M56" s="36" t="str">
        <f>VLOOKUP(K56,[2]stage_hints!$A:$C,3,FALSE)</f>
        <v>ユニット強化の属性ボーナス</v>
      </c>
      <c r="N56" s="37" t="str">
        <f>VLOOKUP(K56,[2]stage_hints!$A:$D,4,FALSE)</f>
        <v>同属性ユニットを強化素材にすると_x000D_経験値が多くもらえます</v>
      </c>
      <c r="O56" s="22" t="s">
        <v>117</v>
      </c>
      <c r="P56">
        <v>6</v>
      </c>
    </row>
    <row r="57" spans="1:16" x14ac:dyDescent="0.15">
      <c r="A57" s="29" t="str">
        <f t="shared" si="12"/>
        <v>11003_1_6</v>
      </c>
      <c r="B57" s="27" t="s">
        <v>33</v>
      </c>
      <c r="C57" s="5">
        <v>11003</v>
      </c>
      <c r="D57" s="4" t="str">
        <f ca="1">VLOOKUP($C57,OFFSET([1]quests!$A$1,0,0,COUNTA([1]quests!$A:$A),MATCH(D$1,[1]quests!$1:$1,0)-MATCH($C$1,[1]quests!$1:$1,0)+1),MATCH(D$1,[1]quests!$1:$1,0)-MATCH($C$1,[1]quests!$1:$1,0)+1,FALSE)</f>
        <v>【水曜限定】 青の素材</v>
      </c>
      <c r="E57" s="4" t="str">
        <f ca="1">VLOOKUP($C57,OFFSET([1]quests!$A$1,0,0,COUNTA([1]quests!$A:$A),MATCH(E$1,[1]quests!$1:$1,0)-MATCH($C$1,[1]quests!$1:$1,0)+1),MATCH(E$1,[1]quests!$1:$1,0)-MATCH($C$1,[1]quests!$1:$1,0)+1,FALSE)</f>
        <v>水曜クエスト</v>
      </c>
      <c r="F57" s="6">
        <v>1</v>
      </c>
      <c r="G57" s="4" t="str">
        <f ca="1">VLOOKUP($C57&amp;"_"&amp;$F57,OFFSET([1]stages!$A$1,0,0,COUNTA([1]stages!$A:$A),MATCH(G$1,[1]stages!$2:$2,0)-MATCH("temp_stage",[1]stages!$2:$2,0)+1),MATCH(G$1,[1]stages!$2:$2,0)-MATCH("temp_stage",[1]stages!$2:$2,0)+1,FALSE)</f>
        <v>【初級】水のチェシャ猫</v>
      </c>
      <c r="H57" s="4" t="str">
        <f ca="1">VLOOKUP($C57&amp;"_"&amp;$F57,OFFSET([1]stages!$A$1,0,0,COUNTA([1]stages!$A:$A),MATCH(H$1,[1]stages!$2:$2,0)-MATCH("temp_stage",[1]stages!$2:$2,0)+1),MATCH(H$1,[1]stages!$2:$2,0)-MATCH("temp_stage",[1]stages!$2:$2,0)+1,FALSE)</f>
        <v>水曜クエスト</v>
      </c>
      <c r="I57" s="19">
        <v>0</v>
      </c>
      <c r="J57" s="6">
        <f>COUNTIF(C$1:C57,C57)</f>
        <v>6</v>
      </c>
      <c r="K57">
        <v>7</v>
      </c>
      <c r="L57" s="6" t="s">
        <v>17</v>
      </c>
      <c r="M57" s="36" t="str">
        <f>VLOOKUP(K57,[2]stage_hints!$A:$C,3,FALSE)</f>
        <v>メタルダックで経験値を獲得</v>
      </c>
      <c r="N57" s="37" t="str">
        <f>VLOOKUP(K57,[2]stage_hints!$A:$D,4,FALSE)</f>
        <v>「メタルなアヒル」を強化素材にすると_x000D_大量の経験値がもらえます</v>
      </c>
      <c r="O57" s="22" t="s">
        <v>117</v>
      </c>
      <c r="P57">
        <v>7</v>
      </c>
    </row>
    <row r="58" spans="1:16" x14ac:dyDescent="0.15">
      <c r="A58" s="29" t="str">
        <f t="shared" si="12"/>
        <v>11003_1_7</v>
      </c>
      <c r="B58" s="27" t="s">
        <v>33</v>
      </c>
      <c r="C58" s="5">
        <v>11003</v>
      </c>
      <c r="D58" s="4" t="str">
        <f ca="1">VLOOKUP($C58,OFFSET([1]quests!$A$1,0,0,COUNTA([1]quests!$A:$A),MATCH(D$1,[1]quests!$1:$1,0)-MATCH($C$1,[1]quests!$1:$1,0)+1),MATCH(D$1,[1]quests!$1:$1,0)-MATCH($C$1,[1]quests!$1:$1,0)+1,FALSE)</f>
        <v>【水曜限定】 青の素材</v>
      </c>
      <c r="E58" s="4" t="str">
        <f ca="1">VLOOKUP($C58,OFFSET([1]quests!$A$1,0,0,COUNTA([1]quests!$A:$A),MATCH(E$1,[1]quests!$1:$1,0)-MATCH($C$1,[1]quests!$1:$1,0)+1),MATCH(E$1,[1]quests!$1:$1,0)-MATCH($C$1,[1]quests!$1:$1,0)+1,FALSE)</f>
        <v>水曜クエスト</v>
      </c>
      <c r="F58" s="6">
        <v>1</v>
      </c>
      <c r="G58" s="4" t="str">
        <f ca="1">VLOOKUP($C58&amp;"_"&amp;$F58,OFFSET([1]stages!$A$1,0,0,COUNTA([1]stages!$A:$A),MATCH(G$1,[1]stages!$2:$2,0)-MATCH("temp_stage",[1]stages!$2:$2,0)+1),MATCH(G$1,[1]stages!$2:$2,0)-MATCH("temp_stage",[1]stages!$2:$2,0)+1,FALSE)</f>
        <v>【初級】水のチェシャ猫</v>
      </c>
      <c r="H58" s="4" t="str">
        <f ca="1">VLOOKUP($C58&amp;"_"&amp;$F58,OFFSET([1]stages!$A$1,0,0,COUNTA([1]stages!$A:$A),MATCH(H$1,[1]stages!$2:$2,0)-MATCH("temp_stage",[1]stages!$2:$2,0)+1),MATCH(H$1,[1]stages!$2:$2,0)-MATCH("temp_stage",[1]stages!$2:$2,0)+1,FALSE)</f>
        <v>水曜クエスト</v>
      </c>
      <c r="I58" s="19">
        <v>0</v>
      </c>
      <c r="J58" s="6">
        <f>COUNTIF(C$1:C58,C58)</f>
        <v>7</v>
      </c>
      <c r="K58">
        <v>8</v>
      </c>
      <c r="L58" s="6" t="s">
        <v>17</v>
      </c>
      <c r="M58" s="36" t="str">
        <f>VLOOKUP(K58,[2]stage_hints!$A:$C,3,FALSE)</f>
        <v>ゲリラクエストは要チェック</v>
      </c>
      <c r="N58" s="37" t="str">
        <f>VLOOKUP(K58,[2]stage_hints!$A:$D,4,FALSE)</f>
        <v>時間限定の「アヒル捕獲作戦」では_x000D_経験値素材ユニットが多く手に入ります</v>
      </c>
      <c r="O58" s="22" t="s">
        <v>117</v>
      </c>
      <c r="P58">
        <v>8</v>
      </c>
    </row>
    <row r="59" spans="1:16" x14ac:dyDescent="0.15">
      <c r="A59" s="29" t="str">
        <f t="shared" ref="A59" si="13">C59&amp;"_"&amp;F59&amp;"_"&amp;J59</f>
        <v>11003_1_8</v>
      </c>
      <c r="B59" s="27" t="s">
        <v>33</v>
      </c>
      <c r="C59" s="5">
        <v>11003</v>
      </c>
      <c r="D59" s="4" t="str">
        <f ca="1">VLOOKUP($C59,OFFSET([1]quests!$A$1,0,0,COUNTA([1]quests!$A:$A),MATCH(D$1,[1]quests!$1:$1,0)-MATCH($C$1,[1]quests!$1:$1,0)+1),MATCH(D$1,[1]quests!$1:$1,0)-MATCH($C$1,[1]quests!$1:$1,0)+1,FALSE)</f>
        <v>【水曜限定】 青の素材</v>
      </c>
      <c r="E59" s="4" t="str">
        <f ca="1">VLOOKUP($C59,OFFSET([1]quests!$A$1,0,0,COUNTA([1]quests!$A:$A),MATCH(E$1,[1]quests!$1:$1,0)-MATCH($C$1,[1]quests!$1:$1,0)+1),MATCH(E$1,[1]quests!$1:$1,0)-MATCH($C$1,[1]quests!$1:$1,0)+1,FALSE)</f>
        <v>水曜クエスト</v>
      </c>
      <c r="F59" s="6">
        <v>1</v>
      </c>
      <c r="G59" s="4" t="str">
        <f ca="1">VLOOKUP($C59&amp;"_"&amp;$F59,OFFSET([1]stages!$A$1,0,0,COUNTA([1]stages!$A:$A),MATCH(G$1,[1]stages!$2:$2,0)-MATCH("temp_stage",[1]stages!$2:$2,0)+1),MATCH(G$1,[1]stages!$2:$2,0)-MATCH("temp_stage",[1]stages!$2:$2,0)+1,FALSE)</f>
        <v>【初級】水のチェシャ猫</v>
      </c>
      <c r="H59" s="4" t="str">
        <f ca="1">VLOOKUP($C59&amp;"_"&amp;$F59,OFFSET([1]stages!$A$1,0,0,COUNTA([1]stages!$A:$A),MATCH(H$1,[1]stages!$2:$2,0)-MATCH("temp_stage",[1]stages!$2:$2,0)+1),MATCH(H$1,[1]stages!$2:$2,0)-MATCH("temp_stage",[1]stages!$2:$2,0)+1,FALSE)</f>
        <v>水曜クエスト</v>
      </c>
      <c r="I59" s="19">
        <v>0</v>
      </c>
      <c r="J59" s="6">
        <f>COUNTIF(C$1:C59,C59)</f>
        <v>8</v>
      </c>
      <c r="K59">
        <v>9</v>
      </c>
      <c r="L59" s="6" t="s">
        <v>17</v>
      </c>
      <c r="M59" s="36" t="str">
        <f>VLOOKUP(K59,[2]stage_hints!$A:$C,3,FALSE)</f>
        <v>ゴールドダックでビットを獲得</v>
      </c>
      <c r="N59" s="37" t="str">
        <f>VLOOKUP(K59,[2]stage_hints!$A:$D,4,FALSE)</f>
        <v>「ゴールドなアヒル」を売却すると_x000D_大量のビットがもらえます</v>
      </c>
      <c r="O59" s="22" t="s">
        <v>117</v>
      </c>
      <c r="P59">
        <v>9</v>
      </c>
    </row>
    <row r="60" spans="1:16" x14ac:dyDescent="0.15">
      <c r="A60" s="29" t="str">
        <f t="shared" ref="A60:A69" si="14">C60&amp;"_"&amp;F60&amp;"_"&amp;J60</f>
        <v>11003_1_9</v>
      </c>
      <c r="B60" s="27" t="s">
        <v>33</v>
      </c>
      <c r="C60" s="5">
        <v>11003</v>
      </c>
      <c r="D60" s="4" t="str">
        <f ca="1">VLOOKUP($C60,OFFSET([1]quests!$A$1,0,0,COUNTA([1]quests!$A:$A),MATCH(D$1,[1]quests!$1:$1,0)-MATCH($C$1,[1]quests!$1:$1,0)+1),MATCH(D$1,[1]quests!$1:$1,0)-MATCH($C$1,[1]quests!$1:$1,0)+1,FALSE)</f>
        <v>【水曜限定】 青の素材</v>
      </c>
      <c r="E60" s="4" t="str">
        <f ca="1">VLOOKUP($C60,OFFSET([1]quests!$A$1,0,0,COUNTA([1]quests!$A:$A),MATCH(E$1,[1]quests!$1:$1,0)-MATCH($C$1,[1]quests!$1:$1,0)+1),MATCH(E$1,[1]quests!$1:$1,0)-MATCH($C$1,[1]quests!$1:$1,0)+1,FALSE)</f>
        <v>水曜クエスト</v>
      </c>
      <c r="F60" s="6">
        <v>1</v>
      </c>
      <c r="G60" s="4" t="str">
        <f ca="1">VLOOKUP($C60&amp;"_"&amp;$F60,OFFSET([1]stages!$A$1,0,0,COUNTA([1]stages!$A:$A),MATCH(G$1,[1]stages!$2:$2,0)-MATCH("temp_stage",[1]stages!$2:$2,0)+1),MATCH(G$1,[1]stages!$2:$2,0)-MATCH("temp_stage",[1]stages!$2:$2,0)+1,FALSE)</f>
        <v>【初級】水のチェシャ猫</v>
      </c>
      <c r="H60" s="4" t="str">
        <f ca="1">VLOOKUP($C60&amp;"_"&amp;$F60,OFFSET([1]stages!$A$1,0,0,COUNTA([1]stages!$A:$A),MATCH(H$1,[1]stages!$2:$2,0)-MATCH("temp_stage",[1]stages!$2:$2,0)+1),MATCH(H$1,[1]stages!$2:$2,0)-MATCH("temp_stage",[1]stages!$2:$2,0)+1,FALSE)</f>
        <v>水曜クエスト</v>
      </c>
      <c r="I60" s="19">
        <v>0</v>
      </c>
      <c r="J60" s="6">
        <f>COUNTIF(C$1:C60,C60)</f>
        <v>9</v>
      </c>
      <c r="K60">
        <v>10</v>
      </c>
      <c r="L60" s="6" t="s">
        <v>17</v>
      </c>
      <c r="M60" s="36" t="str">
        <f>VLOOKUP(K60,[2]stage_hints!$A:$C,3,FALSE)</f>
        <v>土日に大量のビットを獲得</v>
      </c>
      <c r="N60" s="37" t="str">
        <f>VLOOKUP(K60,[2]stage_hints!$A:$D,4,FALSE)</f>
        <v>土日限定の「ゴールドカジノ」では_x000D_売却素材ユニットが多く手に入ります</v>
      </c>
      <c r="O60" s="22" t="s">
        <v>117</v>
      </c>
      <c r="P60">
        <v>10</v>
      </c>
    </row>
    <row r="61" spans="1:16" x14ac:dyDescent="0.15">
      <c r="A61" s="29" t="str">
        <f t="shared" si="14"/>
        <v>11003_1_10</v>
      </c>
      <c r="B61" s="27" t="s">
        <v>33</v>
      </c>
      <c r="C61" s="5">
        <v>11003</v>
      </c>
      <c r="D61" s="4" t="str">
        <f ca="1">VLOOKUP($C61,OFFSET([1]quests!$A$1,0,0,COUNTA([1]quests!$A:$A),MATCH(D$1,[1]quests!$1:$1,0)-MATCH($C$1,[1]quests!$1:$1,0)+1),MATCH(D$1,[1]quests!$1:$1,0)-MATCH($C$1,[1]quests!$1:$1,0)+1,FALSE)</f>
        <v>【水曜限定】 青の素材</v>
      </c>
      <c r="E61" s="4" t="str">
        <f ca="1">VLOOKUP($C61,OFFSET([1]quests!$A$1,0,0,COUNTA([1]quests!$A:$A),MATCH(E$1,[1]quests!$1:$1,0)-MATCH($C$1,[1]quests!$1:$1,0)+1),MATCH(E$1,[1]quests!$1:$1,0)-MATCH($C$1,[1]quests!$1:$1,0)+1,FALSE)</f>
        <v>水曜クエスト</v>
      </c>
      <c r="F61" s="6">
        <v>1</v>
      </c>
      <c r="G61" s="4" t="str">
        <f ca="1">VLOOKUP($C61&amp;"_"&amp;$F61,OFFSET([1]stages!$A$1,0,0,COUNTA([1]stages!$A:$A),MATCH(G$1,[1]stages!$2:$2,0)-MATCH("temp_stage",[1]stages!$2:$2,0)+1),MATCH(G$1,[1]stages!$2:$2,0)-MATCH("temp_stage",[1]stages!$2:$2,0)+1,FALSE)</f>
        <v>【初級】水のチェシャ猫</v>
      </c>
      <c r="H61" s="4" t="str">
        <f ca="1">VLOOKUP($C61&amp;"_"&amp;$F61,OFFSET([1]stages!$A$1,0,0,COUNTA([1]stages!$A:$A),MATCH(H$1,[1]stages!$2:$2,0)-MATCH("temp_stage",[1]stages!$2:$2,0)+1),MATCH(H$1,[1]stages!$2:$2,0)-MATCH("temp_stage",[1]stages!$2:$2,0)+1,FALSE)</f>
        <v>水曜クエスト</v>
      </c>
      <c r="I61" s="19">
        <v>0</v>
      </c>
      <c r="J61" s="6">
        <f>COUNTIF(C$1:C61,C61)</f>
        <v>10</v>
      </c>
      <c r="K61">
        <v>11</v>
      </c>
      <c r="L61" s="6" t="s">
        <v>17</v>
      </c>
      <c r="M61" s="36" t="str">
        <f>VLOOKUP(K61,[2]stage_hints!$A:$C,3,FALSE)</f>
        <v>ランク解放クエスト</v>
      </c>
      <c r="N61" s="37" t="str">
        <f>VLOOKUP(K61,[2]stage_hints!$A:$D,4,FALSE)</f>
        <v>一定ランクに到達すると_x000D_報酬付きのランク開放クエストが現れます</v>
      </c>
      <c r="O61" s="22" t="s">
        <v>117</v>
      </c>
      <c r="P61">
        <v>11</v>
      </c>
    </row>
    <row r="62" spans="1:16" x14ac:dyDescent="0.15">
      <c r="A62" s="29" t="str">
        <f t="shared" si="14"/>
        <v>11003_1_11</v>
      </c>
      <c r="B62" s="27" t="s">
        <v>33</v>
      </c>
      <c r="C62" s="5">
        <v>11003</v>
      </c>
      <c r="D62" s="4" t="str">
        <f ca="1">VLOOKUP($C62,OFFSET([1]quests!$A$1,0,0,COUNTA([1]quests!$A:$A),MATCH(D$1,[1]quests!$1:$1,0)-MATCH($C$1,[1]quests!$1:$1,0)+1),MATCH(D$1,[1]quests!$1:$1,0)-MATCH($C$1,[1]quests!$1:$1,0)+1,FALSE)</f>
        <v>【水曜限定】 青の素材</v>
      </c>
      <c r="E62" s="4" t="str">
        <f ca="1">VLOOKUP($C62,OFFSET([1]quests!$A$1,0,0,COUNTA([1]quests!$A:$A),MATCH(E$1,[1]quests!$1:$1,0)-MATCH($C$1,[1]quests!$1:$1,0)+1),MATCH(E$1,[1]quests!$1:$1,0)-MATCH($C$1,[1]quests!$1:$1,0)+1,FALSE)</f>
        <v>水曜クエスト</v>
      </c>
      <c r="F62" s="6">
        <v>1</v>
      </c>
      <c r="G62" s="4" t="str">
        <f ca="1">VLOOKUP($C62&amp;"_"&amp;$F62,OFFSET([1]stages!$A$1,0,0,COUNTA([1]stages!$A:$A),MATCH(G$1,[1]stages!$2:$2,0)-MATCH("temp_stage",[1]stages!$2:$2,0)+1),MATCH(G$1,[1]stages!$2:$2,0)-MATCH("temp_stage",[1]stages!$2:$2,0)+1,FALSE)</f>
        <v>【初級】水のチェシャ猫</v>
      </c>
      <c r="H62" s="4" t="str">
        <f ca="1">VLOOKUP($C62&amp;"_"&amp;$F62,OFFSET([1]stages!$A$1,0,0,COUNTA([1]stages!$A:$A),MATCH(H$1,[1]stages!$2:$2,0)-MATCH("temp_stage",[1]stages!$2:$2,0)+1),MATCH(H$1,[1]stages!$2:$2,0)-MATCH("temp_stage",[1]stages!$2:$2,0)+1,FALSE)</f>
        <v>水曜クエスト</v>
      </c>
      <c r="I62" s="19">
        <v>0</v>
      </c>
      <c r="J62" s="6">
        <f>COUNTIF(C$1:C62,C62)</f>
        <v>11</v>
      </c>
      <c r="K62">
        <v>12</v>
      </c>
      <c r="L62" s="6" t="s">
        <v>17</v>
      </c>
      <c r="M62" s="36" t="str">
        <f>VLOOKUP(K62,[2]stage_hints!$A:$C,3,FALSE)</f>
        <v>ユニットのお気に入り登録</v>
      </c>
      <c r="N62" s="37" t="str">
        <f>VLOOKUP(K62,[2]stage_hints!$A:$D,4,FALSE)</f>
        <v>大事なユニットを誤って消さないように_x000D_フォルダから「お気に入り登録」しましょう</v>
      </c>
      <c r="O62" s="22" t="s">
        <v>117</v>
      </c>
      <c r="P62">
        <v>12</v>
      </c>
    </row>
    <row r="63" spans="1:16" x14ac:dyDescent="0.15">
      <c r="A63" s="29" t="str">
        <f t="shared" si="14"/>
        <v>11003_1_12</v>
      </c>
      <c r="B63" s="27" t="s">
        <v>33</v>
      </c>
      <c r="C63" s="5">
        <v>11003</v>
      </c>
      <c r="D63" s="4" t="str">
        <f ca="1">VLOOKUP($C63,OFFSET([1]quests!$A$1,0,0,COUNTA([1]quests!$A:$A),MATCH(D$1,[1]quests!$1:$1,0)-MATCH($C$1,[1]quests!$1:$1,0)+1),MATCH(D$1,[1]quests!$1:$1,0)-MATCH($C$1,[1]quests!$1:$1,0)+1,FALSE)</f>
        <v>【水曜限定】 青の素材</v>
      </c>
      <c r="E63" s="4" t="str">
        <f ca="1">VLOOKUP($C63,OFFSET([1]quests!$A$1,0,0,COUNTA([1]quests!$A:$A),MATCH(E$1,[1]quests!$1:$1,0)-MATCH($C$1,[1]quests!$1:$1,0)+1),MATCH(E$1,[1]quests!$1:$1,0)-MATCH($C$1,[1]quests!$1:$1,0)+1,FALSE)</f>
        <v>水曜クエスト</v>
      </c>
      <c r="F63" s="6">
        <v>1</v>
      </c>
      <c r="G63" s="4" t="str">
        <f ca="1">VLOOKUP($C63&amp;"_"&amp;$F63,OFFSET([1]stages!$A$1,0,0,COUNTA([1]stages!$A:$A),MATCH(G$1,[1]stages!$2:$2,0)-MATCH("temp_stage",[1]stages!$2:$2,0)+1),MATCH(G$1,[1]stages!$2:$2,0)-MATCH("temp_stage",[1]stages!$2:$2,0)+1,FALSE)</f>
        <v>【初級】水のチェシャ猫</v>
      </c>
      <c r="H63" s="4" t="str">
        <f ca="1">VLOOKUP($C63&amp;"_"&amp;$F63,OFFSET([1]stages!$A$1,0,0,COUNTA([1]stages!$A:$A),MATCH(H$1,[1]stages!$2:$2,0)-MATCH("temp_stage",[1]stages!$2:$2,0)+1),MATCH(H$1,[1]stages!$2:$2,0)-MATCH("temp_stage",[1]stages!$2:$2,0)+1,FALSE)</f>
        <v>水曜クエスト</v>
      </c>
      <c r="I63" s="19">
        <v>0</v>
      </c>
      <c r="J63" s="6">
        <f>COUNTIF(C$1:C63,C63)</f>
        <v>12</v>
      </c>
      <c r="K63">
        <v>13</v>
      </c>
      <c r="L63" s="6" t="s">
        <v>17</v>
      </c>
      <c r="M63" s="36" t="str">
        <f>VLOOKUP(K63,[2]stage_hints!$A:$C,3,FALSE)</f>
        <v>ユニットの覚醒</v>
      </c>
      <c r="N63" s="37" t="str">
        <f>VLOOKUP(K63,[2]stage_hints!$A:$D,4,FALSE)</f>
        <v>ユニットを覚醒させると_x000D_比べものにならない強さが手に入ります</v>
      </c>
      <c r="O63" s="22" t="s">
        <v>117</v>
      </c>
      <c r="P63">
        <v>13</v>
      </c>
    </row>
    <row r="64" spans="1:16" x14ac:dyDescent="0.15">
      <c r="A64" s="29" t="str">
        <f t="shared" si="14"/>
        <v>11003_1_13</v>
      </c>
      <c r="B64" s="27" t="s">
        <v>33</v>
      </c>
      <c r="C64" s="5">
        <v>11003</v>
      </c>
      <c r="D64" s="4" t="str">
        <f ca="1">VLOOKUP($C64,OFFSET([1]quests!$A$1,0,0,COUNTA([1]quests!$A:$A),MATCH(D$1,[1]quests!$1:$1,0)-MATCH($C$1,[1]quests!$1:$1,0)+1),MATCH(D$1,[1]quests!$1:$1,0)-MATCH($C$1,[1]quests!$1:$1,0)+1,FALSE)</f>
        <v>【水曜限定】 青の素材</v>
      </c>
      <c r="E64" s="4" t="str">
        <f ca="1">VLOOKUP($C64,OFFSET([1]quests!$A$1,0,0,COUNTA([1]quests!$A:$A),MATCH(E$1,[1]quests!$1:$1,0)-MATCH($C$1,[1]quests!$1:$1,0)+1),MATCH(E$1,[1]quests!$1:$1,0)-MATCH($C$1,[1]quests!$1:$1,0)+1,FALSE)</f>
        <v>水曜クエスト</v>
      </c>
      <c r="F64" s="6">
        <v>1</v>
      </c>
      <c r="G64" s="4" t="str">
        <f ca="1">VLOOKUP($C64&amp;"_"&amp;$F64,OFFSET([1]stages!$A$1,0,0,COUNTA([1]stages!$A:$A),MATCH(G$1,[1]stages!$2:$2,0)-MATCH("temp_stage",[1]stages!$2:$2,0)+1),MATCH(G$1,[1]stages!$2:$2,0)-MATCH("temp_stage",[1]stages!$2:$2,0)+1,FALSE)</f>
        <v>【初級】水のチェシャ猫</v>
      </c>
      <c r="H64" s="4" t="str">
        <f ca="1">VLOOKUP($C64&amp;"_"&amp;$F64,OFFSET([1]stages!$A$1,0,0,COUNTA([1]stages!$A:$A),MATCH(H$1,[1]stages!$2:$2,0)-MATCH("temp_stage",[1]stages!$2:$2,0)+1),MATCH(H$1,[1]stages!$2:$2,0)-MATCH("temp_stage",[1]stages!$2:$2,0)+1,FALSE)</f>
        <v>水曜クエスト</v>
      </c>
      <c r="I64" s="19">
        <v>0</v>
      </c>
      <c r="J64" s="6">
        <f>COUNTIF(C$1:C64,C64)</f>
        <v>13</v>
      </c>
      <c r="K64">
        <v>14</v>
      </c>
      <c r="L64" s="6" t="s">
        <v>17</v>
      </c>
      <c r="M64" s="36" t="str">
        <f>VLOOKUP(K64,[2]stage_hints!$A:$C,3,FALSE)</f>
        <v>覚醒するにはレベルを最大に</v>
      </c>
      <c r="N64" s="37" t="str">
        <f>VLOOKUP(K64,[2]stage_hints!$A:$D,4,FALSE)</f>
        <v>覚醒するにはユニットのレベルを_x000D_最大まで上げる必要があります</v>
      </c>
      <c r="O64" s="22" t="s">
        <v>117</v>
      </c>
      <c r="P64">
        <v>14</v>
      </c>
    </row>
    <row r="65" spans="1:16" x14ac:dyDescent="0.15">
      <c r="A65" s="29" t="str">
        <f t="shared" si="14"/>
        <v>11003_1_14</v>
      </c>
      <c r="B65" s="27" t="s">
        <v>33</v>
      </c>
      <c r="C65" s="5">
        <v>11003</v>
      </c>
      <c r="D65" s="4" t="str">
        <f ca="1">VLOOKUP($C65,OFFSET([1]quests!$A$1,0,0,COUNTA([1]quests!$A:$A),MATCH(D$1,[1]quests!$1:$1,0)-MATCH($C$1,[1]quests!$1:$1,0)+1),MATCH(D$1,[1]quests!$1:$1,0)-MATCH($C$1,[1]quests!$1:$1,0)+1,FALSE)</f>
        <v>【水曜限定】 青の素材</v>
      </c>
      <c r="E65" s="4" t="str">
        <f ca="1">VLOOKUP($C65,OFFSET([1]quests!$A$1,0,0,COUNTA([1]quests!$A:$A),MATCH(E$1,[1]quests!$1:$1,0)-MATCH($C$1,[1]quests!$1:$1,0)+1),MATCH(E$1,[1]quests!$1:$1,0)-MATCH($C$1,[1]quests!$1:$1,0)+1,FALSE)</f>
        <v>水曜クエスト</v>
      </c>
      <c r="F65" s="6">
        <v>1</v>
      </c>
      <c r="G65" s="4" t="str">
        <f ca="1">VLOOKUP($C65&amp;"_"&amp;$F65,OFFSET([1]stages!$A$1,0,0,COUNTA([1]stages!$A:$A),MATCH(G$1,[1]stages!$2:$2,0)-MATCH("temp_stage",[1]stages!$2:$2,0)+1),MATCH(G$1,[1]stages!$2:$2,0)-MATCH("temp_stage",[1]stages!$2:$2,0)+1,FALSE)</f>
        <v>【初級】水のチェシャ猫</v>
      </c>
      <c r="H65" s="4" t="str">
        <f ca="1">VLOOKUP($C65&amp;"_"&amp;$F65,OFFSET([1]stages!$A$1,0,0,COUNTA([1]stages!$A:$A),MATCH(H$1,[1]stages!$2:$2,0)-MATCH("temp_stage",[1]stages!$2:$2,0)+1),MATCH(H$1,[1]stages!$2:$2,0)-MATCH("temp_stage",[1]stages!$2:$2,0)+1,FALSE)</f>
        <v>水曜クエスト</v>
      </c>
      <c r="I65" s="19">
        <v>0</v>
      </c>
      <c r="J65" s="6">
        <f>COUNTIF(C$1:C65,C65)</f>
        <v>14</v>
      </c>
      <c r="K65">
        <v>15</v>
      </c>
      <c r="L65" s="6" t="s">
        <v>17</v>
      </c>
      <c r="M65" s="36" t="str">
        <f>VLOOKUP(K65,[2]stage_hints!$A:$C,3,FALSE)</f>
        <v>覚醒素材を獲得</v>
      </c>
      <c r="N65" s="37" t="str">
        <f>VLOOKUP(K65,[2]stage_hints!$A:$D,4,FALSE)</f>
        <v>「曜日クエスト」では_x000D_ユニットの覚醒に必要な素材が手に入ります</v>
      </c>
      <c r="O65" s="22" t="s">
        <v>117</v>
      </c>
      <c r="P65">
        <v>15</v>
      </c>
    </row>
    <row r="66" spans="1:16" x14ac:dyDescent="0.15">
      <c r="A66" s="29" t="str">
        <f t="shared" si="14"/>
        <v>11003_1_15</v>
      </c>
      <c r="B66" s="27" t="s">
        <v>33</v>
      </c>
      <c r="C66" s="5">
        <v>11003</v>
      </c>
      <c r="D66" s="4" t="str">
        <f ca="1">VLOOKUP($C66,OFFSET([1]quests!$A$1,0,0,COUNTA([1]quests!$A:$A),MATCH(D$1,[1]quests!$1:$1,0)-MATCH($C$1,[1]quests!$1:$1,0)+1),MATCH(D$1,[1]quests!$1:$1,0)-MATCH($C$1,[1]quests!$1:$1,0)+1,FALSE)</f>
        <v>【水曜限定】 青の素材</v>
      </c>
      <c r="E66" s="4" t="str">
        <f ca="1">VLOOKUP($C66,OFFSET([1]quests!$A$1,0,0,COUNTA([1]quests!$A:$A),MATCH(E$1,[1]quests!$1:$1,0)-MATCH($C$1,[1]quests!$1:$1,0)+1),MATCH(E$1,[1]quests!$1:$1,0)-MATCH($C$1,[1]quests!$1:$1,0)+1,FALSE)</f>
        <v>水曜クエスト</v>
      </c>
      <c r="F66" s="6">
        <v>1</v>
      </c>
      <c r="G66" s="4" t="str">
        <f ca="1">VLOOKUP($C66&amp;"_"&amp;$F66,OFFSET([1]stages!$A$1,0,0,COUNTA([1]stages!$A:$A),MATCH(G$1,[1]stages!$2:$2,0)-MATCH("temp_stage",[1]stages!$2:$2,0)+1),MATCH(G$1,[1]stages!$2:$2,0)-MATCH("temp_stage",[1]stages!$2:$2,0)+1,FALSE)</f>
        <v>【初級】水のチェシャ猫</v>
      </c>
      <c r="H66" s="4" t="str">
        <f ca="1">VLOOKUP($C66&amp;"_"&amp;$F66,OFFSET([1]stages!$A$1,0,0,COUNTA([1]stages!$A:$A),MATCH(H$1,[1]stages!$2:$2,0)-MATCH("temp_stage",[1]stages!$2:$2,0)+1),MATCH(H$1,[1]stages!$2:$2,0)-MATCH("temp_stage",[1]stages!$2:$2,0)+1,FALSE)</f>
        <v>水曜クエスト</v>
      </c>
      <c r="I66" s="19">
        <v>0</v>
      </c>
      <c r="J66" s="6">
        <f>COUNTIF(C$1:C66,C66)</f>
        <v>15</v>
      </c>
      <c r="K66">
        <v>16</v>
      </c>
      <c r="L66" s="6" t="s">
        <v>17</v>
      </c>
      <c r="M66" s="36" t="str">
        <f>VLOOKUP(K66,[2]stage_hints!$A:$C,3,FALSE)</f>
        <v>マルチプレイのメリット（その1）</v>
      </c>
      <c r="N66" s="37" t="str">
        <f>VLOOKUP(K66,[2]stage_hints!$A:$D,4,FALSE)</f>
        <v>他のプレイヤーとマルチプレイで遊ぶと_x000D_ポリゴンがもらえます（100人まで）</v>
      </c>
      <c r="O66" s="22" t="s">
        <v>117</v>
      </c>
      <c r="P66">
        <v>16</v>
      </c>
    </row>
    <row r="67" spans="1:16" x14ac:dyDescent="0.15">
      <c r="A67" s="29" t="str">
        <f t="shared" si="14"/>
        <v>11003_1_16</v>
      </c>
      <c r="B67" s="27" t="s">
        <v>33</v>
      </c>
      <c r="C67" s="5">
        <v>11003</v>
      </c>
      <c r="D67" s="4" t="str">
        <f ca="1">VLOOKUP($C67,OFFSET([1]quests!$A$1,0,0,COUNTA([1]quests!$A:$A),MATCH(D$1,[1]quests!$1:$1,0)-MATCH($C$1,[1]quests!$1:$1,0)+1),MATCH(D$1,[1]quests!$1:$1,0)-MATCH($C$1,[1]quests!$1:$1,0)+1,FALSE)</f>
        <v>【水曜限定】 青の素材</v>
      </c>
      <c r="E67" s="4" t="str">
        <f ca="1">VLOOKUP($C67,OFFSET([1]quests!$A$1,0,0,COUNTA([1]quests!$A:$A),MATCH(E$1,[1]quests!$1:$1,0)-MATCH($C$1,[1]quests!$1:$1,0)+1),MATCH(E$1,[1]quests!$1:$1,0)-MATCH($C$1,[1]quests!$1:$1,0)+1,FALSE)</f>
        <v>水曜クエスト</v>
      </c>
      <c r="F67" s="6">
        <v>1</v>
      </c>
      <c r="G67" s="4" t="str">
        <f ca="1">VLOOKUP($C67&amp;"_"&amp;$F67,OFFSET([1]stages!$A$1,0,0,COUNTA([1]stages!$A:$A),MATCH(G$1,[1]stages!$2:$2,0)-MATCH("temp_stage",[1]stages!$2:$2,0)+1),MATCH(G$1,[1]stages!$2:$2,0)-MATCH("temp_stage",[1]stages!$2:$2,0)+1,FALSE)</f>
        <v>【初級】水のチェシャ猫</v>
      </c>
      <c r="H67" s="4" t="str">
        <f ca="1">VLOOKUP($C67&amp;"_"&amp;$F67,OFFSET([1]stages!$A$1,0,0,COUNTA([1]stages!$A:$A),MATCH(H$1,[1]stages!$2:$2,0)-MATCH("temp_stage",[1]stages!$2:$2,0)+1),MATCH(H$1,[1]stages!$2:$2,0)-MATCH("temp_stage",[1]stages!$2:$2,0)+1,FALSE)</f>
        <v>水曜クエスト</v>
      </c>
      <c r="I67" s="19">
        <v>0</v>
      </c>
      <c r="J67" s="6">
        <f>COUNTIF(C$1:C67,C67)</f>
        <v>16</v>
      </c>
      <c r="K67">
        <v>17</v>
      </c>
      <c r="L67" s="6" t="s">
        <v>17</v>
      </c>
      <c r="M67" s="36" t="str">
        <f>VLOOKUP(K67,[2]stage_hints!$A:$C,3,FALSE)</f>
        <v>リンクガチャ</v>
      </c>
      <c r="N67" s="37" t="str">
        <f>VLOOKUP(K67,[2]stage_hints!$A:$D,4,FALSE)</f>
        <v>無料のリンクガチャを回して_x000D_経験値素材や売却素材を獲得しましょう</v>
      </c>
      <c r="O67" s="22" t="s">
        <v>117</v>
      </c>
      <c r="P67">
        <v>17</v>
      </c>
    </row>
    <row r="68" spans="1:16" x14ac:dyDescent="0.15">
      <c r="A68" s="29" t="str">
        <f t="shared" si="14"/>
        <v>11003_1_17</v>
      </c>
      <c r="B68" s="27" t="s">
        <v>33</v>
      </c>
      <c r="C68" s="5">
        <v>11003</v>
      </c>
      <c r="D68" s="4" t="str">
        <f ca="1">VLOOKUP($C68,OFFSET([1]quests!$A$1,0,0,COUNTA([1]quests!$A:$A),MATCH(D$1,[1]quests!$1:$1,0)-MATCH($C$1,[1]quests!$1:$1,0)+1),MATCH(D$1,[1]quests!$1:$1,0)-MATCH($C$1,[1]quests!$1:$1,0)+1,FALSE)</f>
        <v>【水曜限定】 青の素材</v>
      </c>
      <c r="E68" s="4" t="str">
        <f ca="1">VLOOKUP($C68,OFFSET([1]quests!$A$1,0,0,COUNTA([1]quests!$A:$A),MATCH(E$1,[1]quests!$1:$1,0)-MATCH($C$1,[1]quests!$1:$1,0)+1),MATCH(E$1,[1]quests!$1:$1,0)-MATCH($C$1,[1]quests!$1:$1,0)+1,FALSE)</f>
        <v>水曜クエスト</v>
      </c>
      <c r="F68" s="6">
        <v>1</v>
      </c>
      <c r="G68" s="4" t="str">
        <f ca="1">VLOOKUP($C68&amp;"_"&amp;$F68,OFFSET([1]stages!$A$1,0,0,COUNTA([1]stages!$A:$A),MATCH(G$1,[1]stages!$2:$2,0)-MATCH("temp_stage",[1]stages!$2:$2,0)+1),MATCH(G$1,[1]stages!$2:$2,0)-MATCH("temp_stage",[1]stages!$2:$2,0)+1,FALSE)</f>
        <v>【初級】水のチェシャ猫</v>
      </c>
      <c r="H68" s="4" t="str">
        <f ca="1">VLOOKUP($C68&amp;"_"&amp;$F68,OFFSET([1]stages!$A$1,0,0,COUNTA([1]stages!$A:$A),MATCH(H$1,[1]stages!$2:$2,0)-MATCH("temp_stage",[1]stages!$2:$2,0)+1),MATCH(H$1,[1]stages!$2:$2,0)-MATCH("temp_stage",[1]stages!$2:$2,0)+1,FALSE)</f>
        <v>水曜クエスト</v>
      </c>
      <c r="I68" s="19">
        <v>0</v>
      </c>
      <c r="J68" s="6">
        <f>COUNTIF(C$1:C68,C68)</f>
        <v>17</v>
      </c>
      <c r="K68">
        <v>18</v>
      </c>
      <c r="L68" s="6" t="s">
        <v>17</v>
      </c>
      <c r="M68" s="36" t="str">
        <f>VLOOKUP(K68,[2]stage_hints!$A:$C,3,FALSE)</f>
        <v>マルチプレイのメリット（その2）</v>
      </c>
      <c r="N68" s="37" t="str">
        <f>VLOOKUP(K68,[2]stage_hints!$A:$D,4,FALSE)</f>
        <v>マルチプレイならリンクが2倍もらえます_x000D_リンクガチャをたくさん回しましょう</v>
      </c>
      <c r="O68" s="22" t="s">
        <v>117</v>
      </c>
      <c r="P68">
        <v>18</v>
      </c>
    </row>
    <row r="69" spans="1:16" x14ac:dyDescent="0.15">
      <c r="A69" s="29" t="str">
        <f t="shared" si="14"/>
        <v>11003_1_18</v>
      </c>
      <c r="B69" s="27" t="s">
        <v>33</v>
      </c>
      <c r="C69" s="5">
        <v>11003</v>
      </c>
      <c r="D69" s="4" t="str">
        <f ca="1">VLOOKUP($C69,OFFSET([1]quests!$A$1,0,0,COUNTA([1]quests!$A:$A),MATCH(D$1,[1]quests!$1:$1,0)-MATCH($C$1,[1]quests!$1:$1,0)+1),MATCH(D$1,[1]quests!$1:$1,0)-MATCH($C$1,[1]quests!$1:$1,0)+1,FALSE)</f>
        <v>【水曜限定】 青の素材</v>
      </c>
      <c r="E69" s="4" t="str">
        <f ca="1">VLOOKUP($C69,OFFSET([1]quests!$A$1,0,0,COUNTA([1]quests!$A:$A),MATCH(E$1,[1]quests!$1:$1,0)-MATCH($C$1,[1]quests!$1:$1,0)+1),MATCH(E$1,[1]quests!$1:$1,0)-MATCH($C$1,[1]quests!$1:$1,0)+1,FALSE)</f>
        <v>水曜クエスト</v>
      </c>
      <c r="F69" s="6">
        <v>1</v>
      </c>
      <c r="G69" s="4" t="str">
        <f ca="1">VLOOKUP($C69&amp;"_"&amp;$F69,OFFSET([1]stages!$A$1,0,0,COUNTA([1]stages!$A:$A),MATCH(G$1,[1]stages!$2:$2,0)-MATCH("temp_stage",[1]stages!$2:$2,0)+1),MATCH(G$1,[1]stages!$2:$2,0)-MATCH("temp_stage",[1]stages!$2:$2,0)+1,FALSE)</f>
        <v>【初級】水のチェシャ猫</v>
      </c>
      <c r="H69" s="4" t="str">
        <f ca="1">VLOOKUP($C69&amp;"_"&amp;$F69,OFFSET([1]stages!$A$1,0,0,COUNTA([1]stages!$A:$A),MATCH(H$1,[1]stages!$2:$2,0)-MATCH("temp_stage",[1]stages!$2:$2,0)+1),MATCH(H$1,[1]stages!$2:$2,0)-MATCH("temp_stage",[1]stages!$2:$2,0)+1,FALSE)</f>
        <v>水曜クエスト</v>
      </c>
      <c r="I69" s="19">
        <v>0</v>
      </c>
      <c r="J69" s="6">
        <f>COUNTIF(C$1:C69,C69)</f>
        <v>18</v>
      </c>
      <c r="K69">
        <v>19</v>
      </c>
      <c r="L69" s="6" t="s">
        <v>17</v>
      </c>
      <c r="M69" s="36" t="str">
        <f>VLOOKUP(K69,[2]stage_hints!$A:$C,3,FALSE)</f>
        <v>ソロ専用チャレンジタワー</v>
      </c>
      <c r="N69" s="37" t="str">
        <f>VLOOKUP(K69,[2]stage_hints!$A:$D,4,FALSE)</f>
        <v>ソロ専用の「チャレンジタワー」では_x000D_各フロアごとにクリア報酬がもらえます</v>
      </c>
      <c r="O69" s="22" t="s">
        <v>117</v>
      </c>
      <c r="P69">
        <v>19</v>
      </c>
    </row>
    <row r="70" spans="1:16" x14ac:dyDescent="0.15">
      <c r="A70" s="29" t="str">
        <f t="shared" ref="A70" si="15">C70&amp;"_"&amp;F70&amp;"_"&amp;J70</f>
        <v>11003_1_19</v>
      </c>
      <c r="B70" s="27" t="s">
        <v>33</v>
      </c>
      <c r="C70" s="5">
        <v>11003</v>
      </c>
      <c r="D70" s="4" t="str">
        <f ca="1">VLOOKUP($C70,OFFSET([1]quests!$A$1,0,0,COUNTA([1]quests!$A:$A),MATCH(D$1,[1]quests!$1:$1,0)-MATCH($C$1,[1]quests!$1:$1,0)+1),MATCH(D$1,[1]quests!$1:$1,0)-MATCH($C$1,[1]quests!$1:$1,0)+1,FALSE)</f>
        <v>【水曜限定】 青の素材</v>
      </c>
      <c r="E70" s="4" t="str">
        <f ca="1">VLOOKUP($C70,OFFSET([1]quests!$A$1,0,0,COUNTA([1]quests!$A:$A),MATCH(E$1,[1]quests!$1:$1,0)-MATCH($C$1,[1]quests!$1:$1,0)+1),MATCH(E$1,[1]quests!$1:$1,0)-MATCH($C$1,[1]quests!$1:$1,0)+1,FALSE)</f>
        <v>水曜クエスト</v>
      </c>
      <c r="F70" s="6">
        <v>1</v>
      </c>
      <c r="G70" s="4" t="str">
        <f ca="1">VLOOKUP($C70&amp;"_"&amp;$F70,OFFSET([1]stages!$A$1,0,0,COUNTA([1]stages!$A:$A),MATCH(G$1,[1]stages!$2:$2,0)-MATCH("temp_stage",[1]stages!$2:$2,0)+1),MATCH(G$1,[1]stages!$2:$2,0)-MATCH("temp_stage",[1]stages!$2:$2,0)+1,FALSE)</f>
        <v>【初級】水のチェシャ猫</v>
      </c>
      <c r="H70" s="4" t="str">
        <f ca="1">VLOOKUP($C70&amp;"_"&amp;$F70,OFFSET([1]stages!$A$1,0,0,COUNTA([1]stages!$A:$A),MATCH(H$1,[1]stages!$2:$2,0)-MATCH("temp_stage",[1]stages!$2:$2,0)+1),MATCH(H$1,[1]stages!$2:$2,0)-MATCH("temp_stage",[1]stages!$2:$2,0)+1,FALSE)</f>
        <v>水曜クエスト</v>
      </c>
      <c r="I70" s="19">
        <v>0</v>
      </c>
      <c r="J70" s="6">
        <f>COUNTIF(C$1:C70,C70)</f>
        <v>19</v>
      </c>
      <c r="K70">
        <v>20</v>
      </c>
      <c r="L70" s="6" t="s">
        <v>17</v>
      </c>
      <c r="M70" s="36" t="str">
        <f>VLOOKUP(K70,[2]stage_hints!$A:$C,3,FALSE)</f>
        <v>マルチプレイのメリット（その3）</v>
      </c>
      <c r="N70" s="37" t="str">
        <f>VLOOKUP(K70,[2]stage_hints!$A:$D,4,FALSE)</f>
        <v>マルチプレイへの参加はエナジー消費ゼロ_x000D_いつでも好きなだけ遊ぶことができます</v>
      </c>
      <c r="O70" s="22" t="s">
        <v>117</v>
      </c>
      <c r="P70">
        <v>20</v>
      </c>
    </row>
    <row r="71" spans="1:16" x14ac:dyDescent="0.15">
      <c r="A71" s="29" t="str">
        <f t="shared" ref="A71" si="16">C71&amp;"_"&amp;F71&amp;"_"&amp;J71</f>
        <v>11003_1_20</v>
      </c>
      <c r="B71" s="27" t="s">
        <v>33</v>
      </c>
      <c r="C71" s="5">
        <v>11003</v>
      </c>
      <c r="D71" s="4" t="str">
        <f ca="1">VLOOKUP($C71,OFFSET([1]quests!$A$1,0,0,COUNTA([1]quests!$A:$A),MATCH(D$1,[1]quests!$1:$1,0)-MATCH($C$1,[1]quests!$1:$1,0)+1),MATCH(D$1,[1]quests!$1:$1,0)-MATCH($C$1,[1]quests!$1:$1,0)+1,FALSE)</f>
        <v>【水曜限定】 青の素材</v>
      </c>
      <c r="E71" s="4" t="str">
        <f ca="1">VLOOKUP($C71,OFFSET([1]quests!$A$1,0,0,COUNTA([1]quests!$A:$A),MATCH(E$1,[1]quests!$1:$1,0)-MATCH($C$1,[1]quests!$1:$1,0)+1),MATCH(E$1,[1]quests!$1:$1,0)-MATCH($C$1,[1]quests!$1:$1,0)+1,FALSE)</f>
        <v>水曜クエスト</v>
      </c>
      <c r="F71" s="6">
        <v>1</v>
      </c>
      <c r="G71" s="4" t="str">
        <f ca="1">VLOOKUP($C71&amp;"_"&amp;$F71,OFFSET([1]stages!$A$1,0,0,COUNTA([1]stages!$A:$A),MATCH(G$1,[1]stages!$2:$2,0)-MATCH("temp_stage",[1]stages!$2:$2,0)+1),MATCH(G$1,[1]stages!$2:$2,0)-MATCH("temp_stage",[1]stages!$2:$2,0)+1,FALSE)</f>
        <v>【初級】水のチェシャ猫</v>
      </c>
      <c r="H71" s="4" t="str">
        <f ca="1">VLOOKUP($C71&amp;"_"&amp;$F71,OFFSET([1]stages!$A$1,0,0,COUNTA([1]stages!$A:$A),MATCH(H$1,[1]stages!$2:$2,0)-MATCH("temp_stage",[1]stages!$2:$2,0)+1),MATCH(H$1,[1]stages!$2:$2,0)-MATCH("temp_stage",[1]stages!$2:$2,0)+1,FALSE)</f>
        <v>水曜クエスト</v>
      </c>
      <c r="I71" s="19">
        <v>0</v>
      </c>
      <c r="J71" s="6">
        <f>COUNTIF(C$1:C71,C71)</f>
        <v>20</v>
      </c>
      <c r="K71">
        <v>21</v>
      </c>
      <c r="L71" s="6" t="s">
        <v>17</v>
      </c>
      <c r="M71" s="36" t="str">
        <f>VLOOKUP(K71,[2]stage_hints!$A:$C,3,FALSE)</f>
        <v>スキルを有効に</v>
      </c>
      <c r="N71" s="37" t="str">
        <f>VLOOKUP(K71,[2]stage_hints!$A:$D,4,FALSE)</f>
        <v>ターン経過でユニットのスキルが使えます_x000D_強力スキルでバトルを有利に進めましょう</v>
      </c>
      <c r="O71" s="22" t="s">
        <v>117</v>
      </c>
      <c r="P71">
        <v>21</v>
      </c>
    </row>
    <row r="72" spans="1:16" x14ac:dyDescent="0.15">
      <c r="A72" s="29" t="str">
        <f t="shared" ref="A72:A81" si="17">C72&amp;"_"&amp;F72&amp;"_"&amp;J72</f>
        <v>11003_1_21</v>
      </c>
      <c r="B72" s="27" t="s">
        <v>33</v>
      </c>
      <c r="C72" s="5">
        <v>11003</v>
      </c>
      <c r="D72" s="4" t="str">
        <f ca="1">VLOOKUP($C72,OFFSET([1]quests!$A$1,0,0,COUNTA([1]quests!$A:$A),MATCH(D$1,[1]quests!$1:$1,0)-MATCH($C$1,[1]quests!$1:$1,0)+1),MATCH(D$1,[1]quests!$1:$1,0)-MATCH($C$1,[1]quests!$1:$1,0)+1,FALSE)</f>
        <v>【水曜限定】 青の素材</v>
      </c>
      <c r="E72" s="4" t="str">
        <f ca="1">VLOOKUP($C72,OFFSET([1]quests!$A$1,0,0,COUNTA([1]quests!$A:$A),MATCH(E$1,[1]quests!$1:$1,0)-MATCH($C$1,[1]quests!$1:$1,0)+1),MATCH(E$1,[1]quests!$1:$1,0)-MATCH($C$1,[1]quests!$1:$1,0)+1,FALSE)</f>
        <v>水曜クエスト</v>
      </c>
      <c r="F72" s="6">
        <v>1</v>
      </c>
      <c r="G72" s="4" t="str">
        <f ca="1">VLOOKUP($C72&amp;"_"&amp;$F72,OFFSET([1]stages!$A$1,0,0,COUNTA([1]stages!$A:$A),MATCH(G$1,[1]stages!$2:$2,0)-MATCH("temp_stage",[1]stages!$2:$2,0)+1),MATCH(G$1,[1]stages!$2:$2,0)-MATCH("temp_stage",[1]stages!$2:$2,0)+1,FALSE)</f>
        <v>【初級】水のチェシャ猫</v>
      </c>
      <c r="H72" s="4" t="str">
        <f ca="1">VLOOKUP($C72&amp;"_"&amp;$F72,OFFSET([1]stages!$A$1,0,0,COUNTA([1]stages!$A:$A),MATCH(H$1,[1]stages!$2:$2,0)-MATCH("temp_stage",[1]stages!$2:$2,0)+1),MATCH(H$1,[1]stages!$2:$2,0)-MATCH("temp_stage",[1]stages!$2:$2,0)+1,FALSE)</f>
        <v>水曜クエスト</v>
      </c>
      <c r="I72" s="19">
        <v>0</v>
      </c>
      <c r="J72" s="6">
        <f>COUNTIF(C$1:C72,C72)</f>
        <v>21</v>
      </c>
      <c r="K72">
        <v>22</v>
      </c>
      <c r="L72" s="6" t="s">
        <v>17</v>
      </c>
      <c r="M72" s="36" t="str">
        <f>VLOOKUP(K72,[2]stage_hints!$A:$C,3,FALSE)</f>
        <v>フィーバーで一発逆転（その1）</v>
      </c>
      <c r="N72" s="37" t="str">
        <f>VLOOKUP(K72,[2]stage_hints!$A:$D,4,FALSE)</f>
        <v>フィーバーは攻撃と回復を兼ね備えます_x000D_ピンチからの一発逆転を狙いましょう</v>
      </c>
      <c r="O72" s="22" t="s">
        <v>117</v>
      </c>
      <c r="P72">
        <v>22</v>
      </c>
    </row>
    <row r="73" spans="1:16" x14ac:dyDescent="0.15">
      <c r="A73" s="29" t="str">
        <f t="shared" si="17"/>
        <v>11003_1_22</v>
      </c>
      <c r="B73" s="27" t="s">
        <v>33</v>
      </c>
      <c r="C73" s="5">
        <v>11003</v>
      </c>
      <c r="D73" s="4" t="str">
        <f ca="1">VLOOKUP($C73,OFFSET([1]quests!$A$1,0,0,COUNTA([1]quests!$A:$A),MATCH(D$1,[1]quests!$1:$1,0)-MATCH($C$1,[1]quests!$1:$1,0)+1),MATCH(D$1,[1]quests!$1:$1,0)-MATCH($C$1,[1]quests!$1:$1,0)+1,FALSE)</f>
        <v>【水曜限定】 青の素材</v>
      </c>
      <c r="E73" s="4" t="str">
        <f ca="1">VLOOKUP($C73,OFFSET([1]quests!$A$1,0,0,COUNTA([1]quests!$A:$A),MATCH(E$1,[1]quests!$1:$1,0)-MATCH($C$1,[1]quests!$1:$1,0)+1),MATCH(E$1,[1]quests!$1:$1,0)-MATCH($C$1,[1]quests!$1:$1,0)+1,FALSE)</f>
        <v>水曜クエスト</v>
      </c>
      <c r="F73" s="6">
        <v>1</v>
      </c>
      <c r="G73" s="4" t="str">
        <f ca="1">VLOOKUP($C73&amp;"_"&amp;$F73,OFFSET([1]stages!$A$1,0,0,COUNTA([1]stages!$A:$A),MATCH(G$1,[1]stages!$2:$2,0)-MATCH("temp_stage",[1]stages!$2:$2,0)+1),MATCH(G$1,[1]stages!$2:$2,0)-MATCH("temp_stage",[1]stages!$2:$2,0)+1,FALSE)</f>
        <v>【初級】水のチェシャ猫</v>
      </c>
      <c r="H73" s="4" t="str">
        <f ca="1">VLOOKUP($C73&amp;"_"&amp;$F73,OFFSET([1]stages!$A$1,0,0,COUNTA([1]stages!$A:$A),MATCH(H$1,[1]stages!$2:$2,0)-MATCH("temp_stage",[1]stages!$2:$2,0)+1),MATCH(H$1,[1]stages!$2:$2,0)-MATCH("temp_stage",[1]stages!$2:$2,0)+1,FALSE)</f>
        <v>水曜クエスト</v>
      </c>
      <c r="I73" s="19">
        <v>0</v>
      </c>
      <c r="J73" s="6">
        <f>COUNTIF(C$1:C73,C73)</f>
        <v>22</v>
      </c>
      <c r="K73">
        <v>23</v>
      </c>
      <c r="L73" s="6" t="s">
        <v>17</v>
      </c>
      <c r="M73" s="36" t="str">
        <f>VLOOKUP(K73,[2]stage_hints!$A:$C,3,FALSE)</f>
        <v>フィーバーで一発逆転（その2）</v>
      </c>
      <c r="N73" s="37" t="str">
        <f>VLOOKUP(K73,[2]stage_hints!$A:$D,4,FALSE)</f>
        <v>フィーバー中は虹色のボムパネルを狙って_x000D_画面上のパネルを一気に破壊しましょう</v>
      </c>
      <c r="O73" s="22" t="s">
        <v>117</v>
      </c>
      <c r="P73">
        <v>23</v>
      </c>
    </row>
    <row r="74" spans="1:16" x14ac:dyDescent="0.15">
      <c r="A74" s="29" t="str">
        <f t="shared" si="17"/>
        <v>11003_1_23</v>
      </c>
      <c r="B74" s="27" t="s">
        <v>33</v>
      </c>
      <c r="C74" s="5">
        <v>11003</v>
      </c>
      <c r="D74" s="4" t="str">
        <f ca="1">VLOOKUP($C74,OFFSET([1]quests!$A$1,0,0,COUNTA([1]quests!$A:$A),MATCH(D$1,[1]quests!$1:$1,0)-MATCH($C$1,[1]quests!$1:$1,0)+1),MATCH(D$1,[1]quests!$1:$1,0)-MATCH($C$1,[1]quests!$1:$1,0)+1,FALSE)</f>
        <v>【水曜限定】 青の素材</v>
      </c>
      <c r="E74" s="4" t="str">
        <f ca="1">VLOOKUP($C74,OFFSET([1]quests!$A$1,0,0,COUNTA([1]quests!$A:$A),MATCH(E$1,[1]quests!$1:$1,0)-MATCH($C$1,[1]quests!$1:$1,0)+1),MATCH(E$1,[1]quests!$1:$1,0)-MATCH($C$1,[1]quests!$1:$1,0)+1,FALSE)</f>
        <v>水曜クエスト</v>
      </c>
      <c r="F74" s="6">
        <v>1</v>
      </c>
      <c r="G74" s="4" t="str">
        <f ca="1">VLOOKUP($C74&amp;"_"&amp;$F74,OFFSET([1]stages!$A$1,0,0,COUNTA([1]stages!$A:$A),MATCH(G$1,[1]stages!$2:$2,0)-MATCH("temp_stage",[1]stages!$2:$2,0)+1),MATCH(G$1,[1]stages!$2:$2,0)-MATCH("temp_stage",[1]stages!$2:$2,0)+1,FALSE)</f>
        <v>【初級】水のチェシャ猫</v>
      </c>
      <c r="H74" s="4" t="str">
        <f ca="1">VLOOKUP($C74&amp;"_"&amp;$F74,OFFSET([1]stages!$A$1,0,0,COUNTA([1]stages!$A:$A),MATCH(H$1,[1]stages!$2:$2,0)-MATCH("temp_stage",[1]stages!$2:$2,0)+1),MATCH(H$1,[1]stages!$2:$2,0)-MATCH("temp_stage",[1]stages!$2:$2,0)+1,FALSE)</f>
        <v>水曜クエスト</v>
      </c>
      <c r="I74" s="19">
        <v>0</v>
      </c>
      <c r="J74" s="6">
        <f>COUNTIF(C$1:C74,C74)</f>
        <v>23</v>
      </c>
      <c r="K74">
        <v>24</v>
      </c>
      <c r="L74" s="6" t="s">
        <v>17</v>
      </c>
      <c r="M74" s="36" t="str">
        <f>VLOOKUP(K74,[2]stage_hints!$A:$C,3,FALSE)</f>
        <v>りんごを使って限界突破</v>
      </c>
      <c r="N74" s="37" t="str">
        <f>VLOOKUP(K74,[2]stage_hints!$A:$D,4,FALSE)</f>
        <v>赤りんご(攻撃力) 青りんご(回復力)_x000D_緑りんご(体力)をユニット強化に使うと_x000D_ステータスが限界突破します（計99個迄）</v>
      </c>
      <c r="O74" s="22" t="s">
        <v>117</v>
      </c>
      <c r="P74">
        <v>24</v>
      </c>
    </row>
    <row r="75" spans="1:16" x14ac:dyDescent="0.15">
      <c r="A75" s="29" t="str">
        <f t="shared" si="17"/>
        <v>11003_1_24</v>
      </c>
      <c r="B75" s="27" t="s">
        <v>33</v>
      </c>
      <c r="C75" s="5">
        <v>11003</v>
      </c>
      <c r="D75" s="4" t="str">
        <f ca="1">VLOOKUP($C75,OFFSET([1]quests!$A$1,0,0,COUNTA([1]quests!$A:$A),MATCH(D$1,[1]quests!$1:$1,0)-MATCH($C$1,[1]quests!$1:$1,0)+1),MATCH(D$1,[1]quests!$1:$1,0)-MATCH($C$1,[1]quests!$1:$1,0)+1,FALSE)</f>
        <v>【水曜限定】 青の素材</v>
      </c>
      <c r="E75" s="4" t="str">
        <f ca="1">VLOOKUP($C75,OFFSET([1]quests!$A$1,0,0,COUNTA([1]quests!$A:$A),MATCH(E$1,[1]quests!$1:$1,0)-MATCH($C$1,[1]quests!$1:$1,0)+1),MATCH(E$1,[1]quests!$1:$1,0)-MATCH($C$1,[1]quests!$1:$1,0)+1,FALSE)</f>
        <v>水曜クエスト</v>
      </c>
      <c r="F75" s="6">
        <v>1</v>
      </c>
      <c r="G75" s="4" t="str">
        <f ca="1">VLOOKUP($C75&amp;"_"&amp;$F75,OFFSET([1]stages!$A$1,0,0,COUNTA([1]stages!$A:$A),MATCH(G$1,[1]stages!$2:$2,0)-MATCH("temp_stage",[1]stages!$2:$2,0)+1),MATCH(G$1,[1]stages!$2:$2,0)-MATCH("temp_stage",[1]stages!$2:$2,0)+1,FALSE)</f>
        <v>【初級】水のチェシャ猫</v>
      </c>
      <c r="H75" s="4" t="str">
        <f ca="1">VLOOKUP($C75&amp;"_"&amp;$F75,OFFSET([1]stages!$A$1,0,0,COUNTA([1]stages!$A:$A),MATCH(H$1,[1]stages!$2:$2,0)-MATCH("temp_stage",[1]stages!$2:$2,0)+1),MATCH(H$1,[1]stages!$2:$2,0)-MATCH("temp_stage",[1]stages!$2:$2,0)+1,FALSE)</f>
        <v>水曜クエスト</v>
      </c>
      <c r="I75" s="19">
        <v>0</v>
      </c>
      <c r="J75" s="6">
        <f>COUNTIF(C$1:C75,C75)</f>
        <v>24</v>
      </c>
      <c r="K75">
        <v>25</v>
      </c>
      <c r="L75" s="6" t="s">
        <v>17</v>
      </c>
      <c r="M75" s="36" t="str">
        <f>VLOOKUP(K75,[2]stage_hints!$A:$C,3,FALSE)</f>
        <v>スキルレベルアップ</v>
      </c>
      <c r="N75" s="37" t="str">
        <f>VLOOKUP(K75,[2]stage_hints!$A:$D,4,FALSE)</f>
        <v>「クリスタルのりんご」を強化に使うと_x000D_スキルレベルを上げることができます</v>
      </c>
      <c r="O75" s="22" t="s">
        <v>117</v>
      </c>
      <c r="P75">
        <v>25</v>
      </c>
    </row>
    <row r="76" spans="1:16" x14ac:dyDescent="0.15">
      <c r="A76" s="29" t="str">
        <f t="shared" si="17"/>
        <v>11003_1_25</v>
      </c>
      <c r="B76" s="27" t="s">
        <v>33</v>
      </c>
      <c r="C76" s="5">
        <v>11003</v>
      </c>
      <c r="D76" s="4" t="str">
        <f ca="1">VLOOKUP($C76,OFFSET([1]quests!$A$1,0,0,COUNTA([1]quests!$A:$A),MATCH(D$1,[1]quests!$1:$1,0)-MATCH($C$1,[1]quests!$1:$1,0)+1),MATCH(D$1,[1]quests!$1:$1,0)-MATCH($C$1,[1]quests!$1:$1,0)+1,FALSE)</f>
        <v>【水曜限定】 青の素材</v>
      </c>
      <c r="E76" s="4" t="str">
        <f ca="1">VLOOKUP($C76,OFFSET([1]quests!$A$1,0,0,COUNTA([1]quests!$A:$A),MATCH(E$1,[1]quests!$1:$1,0)-MATCH($C$1,[1]quests!$1:$1,0)+1),MATCH(E$1,[1]quests!$1:$1,0)-MATCH($C$1,[1]quests!$1:$1,0)+1,FALSE)</f>
        <v>水曜クエスト</v>
      </c>
      <c r="F76" s="6">
        <v>1</v>
      </c>
      <c r="G76" s="4" t="str">
        <f ca="1">VLOOKUP($C76&amp;"_"&amp;$F76,OFFSET([1]stages!$A$1,0,0,COUNTA([1]stages!$A:$A),MATCH(G$1,[1]stages!$2:$2,0)-MATCH("temp_stage",[1]stages!$2:$2,0)+1),MATCH(G$1,[1]stages!$2:$2,0)-MATCH("temp_stage",[1]stages!$2:$2,0)+1,FALSE)</f>
        <v>【初級】水のチェシャ猫</v>
      </c>
      <c r="H76" s="4" t="str">
        <f ca="1">VLOOKUP($C76&amp;"_"&amp;$F76,OFFSET([1]stages!$A$1,0,0,COUNTA([1]stages!$A:$A),MATCH(H$1,[1]stages!$2:$2,0)-MATCH("temp_stage",[1]stages!$2:$2,0)+1),MATCH(H$1,[1]stages!$2:$2,0)-MATCH("temp_stage",[1]stages!$2:$2,0)+1,FALSE)</f>
        <v>水曜クエスト</v>
      </c>
      <c r="I76" s="19">
        <v>0</v>
      </c>
      <c r="J76" s="6">
        <f>COUNTIF(C$1:C76,C76)</f>
        <v>25</v>
      </c>
      <c r="K76">
        <v>26</v>
      </c>
      <c r="L76" s="6" t="s">
        <v>17</v>
      </c>
      <c r="M76" s="36" t="str">
        <f>VLOOKUP(K76,[2]stage_hints!$A:$C,3,FALSE)</f>
        <v>スキルレベルの効果</v>
      </c>
      <c r="N76" s="37" t="str">
        <f>VLOOKUP(K76,[2]stage_hints!$A:$D,4,FALSE)</f>
        <v>スキルレベルが上がると_x000D_短いターンでスキルを使うことができます</v>
      </c>
      <c r="O76" s="22" t="s">
        <v>117</v>
      </c>
      <c r="P76">
        <v>26</v>
      </c>
    </row>
    <row r="77" spans="1:16" x14ac:dyDescent="0.15">
      <c r="A77" s="29" t="str">
        <f t="shared" si="17"/>
        <v>11004_1_1</v>
      </c>
      <c r="B77" s="27" t="s">
        <v>33</v>
      </c>
      <c r="C77" s="5">
        <v>11004</v>
      </c>
      <c r="D77" s="4" t="str">
        <f ca="1">VLOOKUP($C77,OFFSET([1]quests!$A$1,0,0,COUNTA([1]quests!$A:$A),MATCH(D$1,[1]quests!$1:$1,0)-MATCH($C$1,[1]quests!$1:$1,0)+1),MATCH(D$1,[1]quests!$1:$1,0)-MATCH($C$1,[1]quests!$1:$1,0)+1,FALSE)</f>
        <v>【木曜限定】 緑の素材</v>
      </c>
      <c r="E77" s="4" t="str">
        <f ca="1">VLOOKUP($C77,OFFSET([1]quests!$A$1,0,0,COUNTA([1]quests!$A:$A),MATCH(E$1,[1]quests!$1:$1,0)-MATCH($C$1,[1]quests!$1:$1,0)+1),MATCH(E$1,[1]quests!$1:$1,0)-MATCH($C$1,[1]quests!$1:$1,0)+1,FALSE)</f>
        <v>木曜クエスト</v>
      </c>
      <c r="F77" s="6">
        <v>1</v>
      </c>
      <c r="G77" s="4" t="str">
        <f ca="1">VLOOKUP($C77&amp;"_"&amp;$F77,OFFSET([1]stages!$A$1,0,0,COUNTA([1]stages!$A:$A),MATCH(G$1,[1]stages!$2:$2,0)-MATCH("temp_stage",[1]stages!$2:$2,0)+1),MATCH(G$1,[1]stages!$2:$2,0)-MATCH("temp_stage",[1]stages!$2:$2,0)+1,FALSE)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77" s="4" t="str">
        <f ca="1">VLOOKUP($C77&amp;"_"&amp;$F77,OFFSET([1]stages!$A$1,0,0,COUNTA([1]stages!$A:$A),MATCH(H$1,[1]stages!$2:$2,0)-MATCH("temp_stage",[1]stages!$2:$2,0)+1),MATCH(H$1,[1]stages!$2:$2,0)-MATCH("temp_stage",[1]stages!$2:$2,0)+1,FALSE)</f>
        <v>木曜クエスト</v>
      </c>
      <c r="I77" s="19">
        <v>0</v>
      </c>
      <c r="J77" s="6">
        <f>COUNTIF(C$1:C77,C77)</f>
        <v>1</v>
      </c>
      <c r="K77">
        <v>1</v>
      </c>
      <c r="L77" s="6" t="s">
        <v>17</v>
      </c>
      <c r="M77" s="36" t="str">
        <f>VLOOKUP(K77,[2]stage_hints!$A:$C,3,FALSE)</f>
        <v>長くつなげて大ダメージ</v>
      </c>
      <c r="N77" s="37" t="str">
        <f>VLOOKUP(K77,[2]stage_hints!$A:$D,4,FALSE)</f>
        <v>パネルを長くつなげるほど_x000D_大ダメージを与えることができます</v>
      </c>
      <c r="O77" s="22" t="s">
        <v>117</v>
      </c>
      <c r="P77">
        <v>1</v>
      </c>
    </row>
    <row r="78" spans="1:16" x14ac:dyDescent="0.15">
      <c r="A78" s="29" t="str">
        <f t="shared" si="17"/>
        <v>11004_1_2</v>
      </c>
      <c r="B78" s="27" t="s">
        <v>33</v>
      </c>
      <c r="C78" s="5">
        <v>11004</v>
      </c>
      <c r="D78" s="4" t="str">
        <f ca="1">VLOOKUP($C78,OFFSET([1]quests!$A$1,0,0,COUNTA([1]quests!$A:$A),MATCH(D$1,[1]quests!$1:$1,0)-MATCH($C$1,[1]quests!$1:$1,0)+1),MATCH(D$1,[1]quests!$1:$1,0)-MATCH($C$1,[1]quests!$1:$1,0)+1,FALSE)</f>
        <v>【木曜限定】 緑の素材</v>
      </c>
      <c r="E78" s="4" t="str">
        <f ca="1">VLOOKUP($C78,OFFSET([1]quests!$A$1,0,0,COUNTA([1]quests!$A:$A),MATCH(E$1,[1]quests!$1:$1,0)-MATCH($C$1,[1]quests!$1:$1,0)+1),MATCH(E$1,[1]quests!$1:$1,0)-MATCH($C$1,[1]quests!$1:$1,0)+1,FALSE)</f>
        <v>木曜クエスト</v>
      </c>
      <c r="F78" s="6">
        <v>1</v>
      </c>
      <c r="G78" s="4" t="str">
        <f ca="1">VLOOKUP($C78&amp;"_"&amp;$F78,OFFSET([1]stages!$A$1,0,0,COUNTA([1]stages!$A:$A),MATCH(G$1,[1]stages!$2:$2,0)-MATCH("temp_stage",[1]stages!$2:$2,0)+1),MATCH(G$1,[1]stages!$2:$2,0)-MATCH("temp_stage",[1]stages!$2:$2,0)+1,FALSE)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78" s="4" t="str">
        <f ca="1">VLOOKUP($C78&amp;"_"&amp;$F78,OFFSET([1]stages!$A$1,0,0,COUNTA([1]stages!$A:$A),MATCH(H$1,[1]stages!$2:$2,0)-MATCH("temp_stage",[1]stages!$2:$2,0)+1),MATCH(H$1,[1]stages!$2:$2,0)-MATCH("temp_stage",[1]stages!$2:$2,0)+1,FALSE)</f>
        <v>木曜クエスト</v>
      </c>
      <c r="I78" s="19">
        <v>0</v>
      </c>
      <c r="J78" s="6">
        <f>COUNTIF(C$1:C78,C78)</f>
        <v>2</v>
      </c>
      <c r="K78">
        <v>2</v>
      </c>
      <c r="L78" s="6" t="s">
        <v>17</v>
      </c>
      <c r="M78" s="36" t="str">
        <f>VLOOKUP(K78,[2]stage_hints!$A:$C,3,FALSE)</f>
        <v>属性の相性</v>
      </c>
      <c r="N78" s="37" t="str">
        <f>VLOOKUP(K78,[2]stage_hints!$A:$D,4,FALSE)</f>
        <v>赤＞青　青＞黄　黄＞緑　緑＞赤_x000D_敵属性に最適なパーティがオススメです</v>
      </c>
      <c r="O78" s="22" t="s">
        <v>117</v>
      </c>
      <c r="P78">
        <v>2</v>
      </c>
    </row>
    <row r="79" spans="1:16" x14ac:dyDescent="0.15">
      <c r="A79" s="29" t="str">
        <f t="shared" si="17"/>
        <v>11004_1_3</v>
      </c>
      <c r="B79" s="27" t="s">
        <v>33</v>
      </c>
      <c r="C79" s="5">
        <v>11004</v>
      </c>
      <c r="D79" s="4" t="str">
        <f ca="1">VLOOKUP($C79,OFFSET([1]quests!$A$1,0,0,COUNTA([1]quests!$A:$A),MATCH(D$1,[1]quests!$1:$1,0)-MATCH($C$1,[1]quests!$1:$1,0)+1),MATCH(D$1,[1]quests!$1:$1,0)-MATCH($C$1,[1]quests!$1:$1,0)+1,FALSE)</f>
        <v>【木曜限定】 緑の素材</v>
      </c>
      <c r="E79" s="4" t="str">
        <f ca="1">VLOOKUP($C79,OFFSET([1]quests!$A$1,0,0,COUNTA([1]quests!$A:$A),MATCH(E$1,[1]quests!$1:$1,0)-MATCH($C$1,[1]quests!$1:$1,0)+1),MATCH(E$1,[1]quests!$1:$1,0)-MATCH($C$1,[1]quests!$1:$1,0)+1,FALSE)</f>
        <v>木曜クエスト</v>
      </c>
      <c r="F79" s="6">
        <v>1</v>
      </c>
      <c r="G79" s="4" t="str">
        <f ca="1">VLOOKUP($C79&amp;"_"&amp;$F79,OFFSET([1]stages!$A$1,0,0,COUNTA([1]stages!$A:$A),MATCH(G$1,[1]stages!$2:$2,0)-MATCH("temp_stage",[1]stages!$2:$2,0)+1),MATCH(G$1,[1]stages!$2:$2,0)-MATCH("temp_stage",[1]stages!$2:$2,0)+1,FALSE)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79" s="4" t="str">
        <f ca="1">VLOOKUP($C79&amp;"_"&amp;$F79,OFFSET([1]stages!$A$1,0,0,COUNTA([1]stages!$A:$A),MATCH(H$1,[1]stages!$2:$2,0)-MATCH("temp_stage",[1]stages!$2:$2,0)+1),MATCH(H$1,[1]stages!$2:$2,0)-MATCH("temp_stage",[1]stages!$2:$2,0)+1,FALSE)</f>
        <v>木曜クエスト</v>
      </c>
      <c r="I79" s="19">
        <v>0</v>
      </c>
      <c r="J79" s="6">
        <f>COUNTIF(C$1:C79,C79)</f>
        <v>3</v>
      </c>
      <c r="K79">
        <v>3</v>
      </c>
      <c r="L79" s="6" t="s">
        <v>17</v>
      </c>
      <c r="M79" s="36" t="str">
        <f>VLOOKUP(K79,[2]stage_hints!$A:$C,3,FALSE)</f>
        <v>ターゲット</v>
      </c>
      <c r="N79" s="37" t="str">
        <f>VLOOKUP(K79,[2]stage_hints!$A:$D,4,FALSE)</f>
        <v>敵ユニットをタップすると_x000D_その敵を狙い撃ちできます</v>
      </c>
      <c r="O79" s="22" t="s">
        <v>117</v>
      </c>
      <c r="P79">
        <v>3</v>
      </c>
    </row>
    <row r="80" spans="1:16" x14ac:dyDescent="0.15">
      <c r="A80" s="29" t="str">
        <f t="shared" si="17"/>
        <v>11004_1_4</v>
      </c>
      <c r="B80" s="27" t="s">
        <v>33</v>
      </c>
      <c r="C80" s="5">
        <v>11004</v>
      </c>
      <c r="D80" s="4" t="str">
        <f ca="1">VLOOKUP($C80,OFFSET([1]quests!$A$1,0,0,COUNTA([1]quests!$A:$A),MATCH(D$1,[1]quests!$1:$1,0)-MATCH($C$1,[1]quests!$1:$1,0)+1),MATCH(D$1,[1]quests!$1:$1,0)-MATCH($C$1,[1]quests!$1:$1,0)+1,FALSE)</f>
        <v>【木曜限定】 緑の素材</v>
      </c>
      <c r="E80" s="4" t="str">
        <f ca="1">VLOOKUP($C80,OFFSET([1]quests!$A$1,0,0,COUNTA([1]quests!$A:$A),MATCH(E$1,[1]quests!$1:$1,0)-MATCH($C$1,[1]quests!$1:$1,0)+1),MATCH(E$1,[1]quests!$1:$1,0)-MATCH($C$1,[1]quests!$1:$1,0)+1,FALSE)</f>
        <v>木曜クエスト</v>
      </c>
      <c r="F80" s="6">
        <v>1</v>
      </c>
      <c r="G80" s="4" t="str">
        <f ca="1">VLOOKUP($C80&amp;"_"&amp;$F80,OFFSET([1]stages!$A$1,0,0,COUNTA([1]stages!$A:$A),MATCH(G$1,[1]stages!$2:$2,0)-MATCH("temp_stage",[1]stages!$2:$2,0)+1),MATCH(G$1,[1]stages!$2:$2,0)-MATCH("temp_stage",[1]stages!$2:$2,0)+1,FALSE)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80" s="4" t="str">
        <f ca="1">VLOOKUP($C80&amp;"_"&amp;$F80,OFFSET([1]stages!$A$1,0,0,COUNTA([1]stages!$A:$A),MATCH(H$1,[1]stages!$2:$2,0)-MATCH("temp_stage",[1]stages!$2:$2,0)+1),MATCH(H$1,[1]stages!$2:$2,0)-MATCH("temp_stage",[1]stages!$2:$2,0)+1,FALSE)</f>
        <v>木曜クエスト</v>
      </c>
      <c r="I80" s="19">
        <v>0</v>
      </c>
      <c r="J80" s="6">
        <f>COUNTIF(C$1:C80,C80)</f>
        <v>4</v>
      </c>
      <c r="K80">
        <v>5</v>
      </c>
      <c r="L80" s="6" t="s">
        <v>17</v>
      </c>
      <c r="M80" s="36" t="str">
        <f>VLOOKUP(K80,[2]stage_hints!$A:$C,3,FALSE)</f>
        <v>ユニット強化でレベルアップ</v>
      </c>
      <c r="N80" s="37" t="str">
        <f>VLOOKUP(K80,[2]stage_hints!$A:$D,4,FALSE)</f>
        <v>「ユニット強化」でレベルアップすると_x000D_勝てない敵にも勝てるようになります</v>
      </c>
      <c r="O80" s="22" t="s">
        <v>117</v>
      </c>
      <c r="P80">
        <v>5</v>
      </c>
    </row>
    <row r="81" spans="1:16" x14ac:dyDescent="0.15">
      <c r="A81" s="29" t="str">
        <f t="shared" si="17"/>
        <v>11004_1_5</v>
      </c>
      <c r="B81" s="27" t="s">
        <v>33</v>
      </c>
      <c r="C81" s="5">
        <v>11004</v>
      </c>
      <c r="D81" s="4" t="str">
        <f ca="1">VLOOKUP($C81,OFFSET([1]quests!$A$1,0,0,COUNTA([1]quests!$A:$A),MATCH(D$1,[1]quests!$1:$1,0)-MATCH($C$1,[1]quests!$1:$1,0)+1),MATCH(D$1,[1]quests!$1:$1,0)-MATCH($C$1,[1]quests!$1:$1,0)+1,FALSE)</f>
        <v>【木曜限定】 緑の素材</v>
      </c>
      <c r="E81" s="4" t="str">
        <f ca="1">VLOOKUP($C81,OFFSET([1]quests!$A$1,0,0,COUNTA([1]quests!$A:$A),MATCH(E$1,[1]quests!$1:$1,0)-MATCH($C$1,[1]quests!$1:$1,0)+1),MATCH(E$1,[1]quests!$1:$1,0)-MATCH($C$1,[1]quests!$1:$1,0)+1,FALSE)</f>
        <v>木曜クエスト</v>
      </c>
      <c r="F81" s="6">
        <v>1</v>
      </c>
      <c r="G81" s="4" t="str">
        <f ca="1">VLOOKUP($C81&amp;"_"&amp;$F81,OFFSET([1]stages!$A$1,0,0,COUNTA([1]stages!$A:$A),MATCH(G$1,[1]stages!$2:$2,0)-MATCH("temp_stage",[1]stages!$2:$2,0)+1),MATCH(G$1,[1]stages!$2:$2,0)-MATCH("temp_stage",[1]stages!$2:$2,0)+1,FALSE)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81" s="4" t="str">
        <f ca="1">VLOOKUP($C81&amp;"_"&amp;$F81,OFFSET([1]stages!$A$1,0,0,COUNTA([1]stages!$A:$A),MATCH(H$1,[1]stages!$2:$2,0)-MATCH("temp_stage",[1]stages!$2:$2,0)+1),MATCH(H$1,[1]stages!$2:$2,0)-MATCH("temp_stage",[1]stages!$2:$2,0)+1,FALSE)</f>
        <v>木曜クエスト</v>
      </c>
      <c r="I81" s="19">
        <v>0</v>
      </c>
      <c r="J81" s="6">
        <f>COUNTIF(C$1:C81,C81)</f>
        <v>5</v>
      </c>
      <c r="K81">
        <v>6</v>
      </c>
      <c r="L81" s="6" t="s">
        <v>17</v>
      </c>
      <c r="M81" s="36" t="str">
        <f>VLOOKUP(K81,[2]stage_hints!$A:$C,3,FALSE)</f>
        <v>ユニット強化の属性ボーナス</v>
      </c>
      <c r="N81" s="37" t="str">
        <f>VLOOKUP(K81,[2]stage_hints!$A:$D,4,FALSE)</f>
        <v>同属性ユニットを強化素材にすると_x000D_経験値が多くもらえます</v>
      </c>
      <c r="O81" s="22" t="s">
        <v>117</v>
      </c>
      <c r="P81">
        <v>6</v>
      </c>
    </row>
    <row r="82" spans="1:16" x14ac:dyDescent="0.15">
      <c r="A82" s="29" t="str">
        <f t="shared" ref="A82" si="18">C82&amp;"_"&amp;F82&amp;"_"&amp;J82</f>
        <v>11004_1_6</v>
      </c>
      <c r="B82" s="27" t="s">
        <v>33</v>
      </c>
      <c r="C82" s="5">
        <v>11004</v>
      </c>
      <c r="D82" s="4" t="str">
        <f ca="1">VLOOKUP($C82,OFFSET([1]quests!$A$1,0,0,COUNTA([1]quests!$A:$A),MATCH(D$1,[1]quests!$1:$1,0)-MATCH($C$1,[1]quests!$1:$1,0)+1),MATCH(D$1,[1]quests!$1:$1,0)-MATCH($C$1,[1]quests!$1:$1,0)+1,FALSE)</f>
        <v>【木曜限定】 緑の素材</v>
      </c>
      <c r="E82" s="4" t="str">
        <f ca="1">VLOOKUP($C82,OFFSET([1]quests!$A$1,0,0,COUNTA([1]quests!$A:$A),MATCH(E$1,[1]quests!$1:$1,0)-MATCH($C$1,[1]quests!$1:$1,0)+1),MATCH(E$1,[1]quests!$1:$1,0)-MATCH($C$1,[1]quests!$1:$1,0)+1,FALSE)</f>
        <v>木曜クエスト</v>
      </c>
      <c r="F82" s="6">
        <v>1</v>
      </c>
      <c r="G82" s="4" t="str">
        <f ca="1">VLOOKUP($C82&amp;"_"&amp;$F82,OFFSET([1]stages!$A$1,0,0,COUNTA([1]stages!$A:$A),MATCH(G$1,[1]stages!$2:$2,0)-MATCH("temp_stage",[1]stages!$2:$2,0)+1),MATCH(G$1,[1]stages!$2:$2,0)-MATCH("temp_stage",[1]stages!$2:$2,0)+1,FALSE)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82" s="4" t="str">
        <f ca="1">VLOOKUP($C82&amp;"_"&amp;$F82,OFFSET([1]stages!$A$1,0,0,COUNTA([1]stages!$A:$A),MATCH(H$1,[1]stages!$2:$2,0)-MATCH("temp_stage",[1]stages!$2:$2,0)+1),MATCH(H$1,[1]stages!$2:$2,0)-MATCH("temp_stage",[1]stages!$2:$2,0)+1,FALSE)</f>
        <v>木曜クエスト</v>
      </c>
      <c r="I82" s="19">
        <v>0</v>
      </c>
      <c r="J82" s="6">
        <f>COUNTIF(C$1:C82,C82)</f>
        <v>6</v>
      </c>
      <c r="K82">
        <v>7</v>
      </c>
      <c r="L82" s="6" t="s">
        <v>17</v>
      </c>
      <c r="M82" s="36" t="str">
        <f>VLOOKUP(K82,[2]stage_hints!$A:$C,3,FALSE)</f>
        <v>メタルダックで経験値を獲得</v>
      </c>
      <c r="N82" s="37" t="str">
        <f>VLOOKUP(K82,[2]stage_hints!$A:$D,4,FALSE)</f>
        <v>「メタルなアヒル」を強化素材にすると_x000D_大量の経験値がもらえます</v>
      </c>
      <c r="O82" s="22" t="s">
        <v>117</v>
      </c>
      <c r="P82">
        <v>7</v>
      </c>
    </row>
    <row r="83" spans="1:16" x14ac:dyDescent="0.15">
      <c r="A83" s="29" t="str">
        <f t="shared" ref="A83:A94" si="19">C83&amp;"_"&amp;F83&amp;"_"&amp;J83</f>
        <v>11004_1_7</v>
      </c>
      <c r="B83" s="27" t="s">
        <v>33</v>
      </c>
      <c r="C83" s="5">
        <v>11004</v>
      </c>
      <c r="D83" s="4" t="str">
        <f ca="1">VLOOKUP($C83,OFFSET([1]quests!$A$1,0,0,COUNTA([1]quests!$A:$A),MATCH(D$1,[1]quests!$1:$1,0)-MATCH($C$1,[1]quests!$1:$1,0)+1),MATCH(D$1,[1]quests!$1:$1,0)-MATCH($C$1,[1]quests!$1:$1,0)+1,FALSE)</f>
        <v>【木曜限定】 緑の素材</v>
      </c>
      <c r="E83" s="4" t="str">
        <f ca="1">VLOOKUP($C83,OFFSET([1]quests!$A$1,0,0,COUNTA([1]quests!$A:$A),MATCH(E$1,[1]quests!$1:$1,0)-MATCH($C$1,[1]quests!$1:$1,0)+1),MATCH(E$1,[1]quests!$1:$1,0)-MATCH($C$1,[1]quests!$1:$1,0)+1,FALSE)</f>
        <v>木曜クエスト</v>
      </c>
      <c r="F83" s="6">
        <v>1</v>
      </c>
      <c r="G83" s="4" t="str">
        <f ca="1">VLOOKUP($C83&amp;"_"&amp;$F83,OFFSET([1]stages!$A$1,0,0,COUNTA([1]stages!$A:$A),MATCH(G$1,[1]stages!$2:$2,0)-MATCH("temp_stage",[1]stages!$2:$2,0)+1),MATCH(G$1,[1]stages!$2:$2,0)-MATCH("temp_stage",[1]stages!$2:$2,0)+1,FALSE)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83" s="4" t="str">
        <f ca="1">VLOOKUP($C83&amp;"_"&amp;$F83,OFFSET([1]stages!$A$1,0,0,COUNTA([1]stages!$A:$A),MATCH(H$1,[1]stages!$2:$2,0)-MATCH("temp_stage",[1]stages!$2:$2,0)+1),MATCH(H$1,[1]stages!$2:$2,0)-MATCH("temp_stage",[1]stages!$2:$2,0)+1,FALSE)</f>
        <v>木曜クエスト</v>
      </c>
      <c r="I83" s="19">
        <v>0</v>
      </c>
      <c r="J83" s="6">
        <f>COUNTIF(C$1:C83,C83)</f>
        <v>7</v>
      </c>
      <c r="K83">
        <v>8</v>
      </c>
      <c r="L83" s="6" t="s">
        <v>17</v>
      </c>
      <c r="M83" s="36" t="str">
        <f>VLOOKUP(K83,[2]stage_hints!$A:$C,3,FALSE)</f>
        <v>ゲリラクエストは要チェック</v>
      </c>
      <c r="N83" s="37" t="str">
        <f>VLOOKUP(K83,[2]stage_hints!$A:$D,4,FALSE)</f>
        <v>時間限定の「アヒル捕獲作戦」では_x000D_経験値素材ユニットが多く手に入ります</v>
      </c>
      <c r="O83" s="22" t="s">
        <v>117</v>
      </c>
      <c r="P83">
        <v>8</v>
      </c>
    </row>
    <row r="84" spans="1:16" x14ac:dyDescent="0.15">
      <c r="A84" s="29" t="str">
        <f t="shared" si="19"/>
        <v>11004_1_8</v>
      </c>
      <c r="B84" s="27" t="s">
        <v>33</v>
      </c>
      <c r="C84" s="5">
        <v>11004</v>
      </c>
      <c r="D84" s="4" t="str">
        <f ca="1">VLOOKUP($C84,OFFSET([1]quests!$A$1,0,0,COUNTA([1]quests!$A:$A),MATCH(D$1,[1]quests!$1:$1,0)-MATCH($C$1,[1]quests!$1:$1,0)+1),MATCH(D$1,[1]quests!$1:$1,0)-MATCH($C$1,[1]quests!$1:$1,0)+1,FALSE)</f>
        <v>【木曜限定】 緑の素材</v>
      </c>
      <c r="E84" s="4" t="str">
        <f ca="1">VLOOKUP($C84,OFFSET([1]quests!$A$1,0,0,COUNTA([1]quests!$A:$A),MATCH(E$1,[1]quests!$1:$1,0)-MATCH($C$1,[1]quests!$1:$1,0)+1),MATCH(E$1,[1]quests!$1:$1,0)-MATCH($C$1,[1]quests!$1:$1,0)+1,FALSE)</f>
        <v>木曜クエスト</v>
      </c>
      <c r="F84" s="6">
        <v>1</v>
      </c>
      <c r="G84" s="4" t="str">
        <f ca="1">VLOOKUP($C84&amp;"_"&amp;$F84,OFFSET([1]stages!$A$1,0,0,COUNTA([1]stages!$A:$A),MATCH(G$1,[1]stages!$2:$2,0)-MATCH("temp_stage",[1]stages!$2:$2,0)+1),MATCH(G$1,[1]stages!$2:$2,0)-MATCH("temp_stage",[1]stages!$2:$2,0)+1,FALSE)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84" s="4" t="str">
        <f ca="1">VLOOKUP($C84&amp;"_"&amp;$F84,OFFSET([1]stages!$A$1,0,0,COUNTA([1]stages!$A:$A),MATCH(H$1,[1]stages!$2:$2,0)-MATCH("temp_stage",[1]stages!$2:$2,0)+1),MATCH(H$1,[1]stages!$2:$2,0)-MATCH("temp_stage",[1]stages!$2:$2,0)+1,FALSE)</f>
        <v>木曜クエスト</v>
      </c>
      <c r="I84" s="19">
        <v>0</v>
      </c>
      <c r="J84" s="6">
        <f>COUNTIF(C$1:C84,C84)</f>
        <v>8</v>
      </c>
      <c r="K84">
        <v>9</v>
      </c>
      <c r="L84" s="6" t="s">
        <v>17</v>
      </c>
      <c r="M84" s="36" t="str">
        <f>VLOOKUP(K84,[2]stage_hints!$A:$C,3,FALSE)</f>
        <v>ゴールドダックでビットを獲得</v>
      </c>
      <c r="N84" s="37" t="str">
        <f>VLOOKUP(K84,[2]stage_hints!$A:$D,4,FALSE)</f>
        <v>「ゴールドなアヒル」を売却すると_x000D_大量のビットがもらえます</v>
      </c>
      <c r="O84" s="22" t="s">
        <v>117</v>
      </c>
      <c r="P84">
        <v>9</v>
      </c>
    </row>
    <row r="85" spans="1:16" x14ac:dyDescent="0.15">
      <c r="A85" s="29" t="str">
        <f t="shared" si="19"/>
        <v>11004_1_9</v>
      </c>
      <c r="B85" s="27" t="s">
        <v>33</v>
      </c>
      <c r="C85" s="5">
        <v>11004</v>
      </c>
      <c r="D85" s="4" t="str">
        <f ca="1">VLOOKUP($C85,OFFSET([1]quests!$A$1,0,0,COUNTA([1]quests!$A:$A),MATCH(D$1,[1]quests!$1:$1,0)-MATCH($C$1,[1]quests!$1:$1,0)+1),MATCH(D$1,[1]quests!$1:$1,0)-MATCH($C$1,[1]quests!$1:$1,0)+1,FALSE)</f>
        <v>【木曜限定】 緑の素材</v>
      </c>
      <c r="E85" s="4" t="str">
        <f ca="1">VLOOKUP($C85,OFFSET([1]quests!$A$1,0,0,COUNTA([1]quests!$A:$A),MATCH(E$1,[1]quests!$1:$1,0)-MATCH($C$1,[1]quests!$1:$1,0)+1),MATCH(E$1,[1]quests!$1:$1,0)-MATCH($C$1,[1]quests!$1:$1,0)+1,FALSE)</f>
        <v>木曜クエスト</v>
      </c>
      <c r="F85" s="6">
        <v>1</v>
      </c>
      <c r="G85" s="4" t="str">
        <f ca="1">VLOOKUP($C85&amp;"_"&amp;$F85,OFFSET([1]stages!$A$1,0,0,COUNTA([1]stages!$A:$A),MATCH(G$1,[1]stages!$2:$2,0)-MATCH("temp_stage",[1]stages!$2:$2,0)+1),MATCH(G$1,[1]stages!$2:$2,0)-MATCH("temp_stage",[1]stages!$2:$2,0)+1,FALSE)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85" s="4" t="str">
        <f ca="1">VLOOKUP($C85&amp;"_"&amp;$F85,OFFSET([1]stages!$A$1,0,0,COUNTA([1]stages!$A:$A),MATCH(H$1,[1]stages!$2:$2,0)-MATCH("temp_stage",[1]stages!$2:$2,0)+1),MATCH(H$1,[1]stages!$2:$2,0)-MATCH("temp_stage",[1]stages!$2:$2,0)+1,FALSE)</f>
        <v>木曜クエスト</v>
      </c>
      <c r="I85" s="19">
        <v>0</v>
      </c>
      <c r="J85" s="6">
        <f>COUNTIF(C$1:C85,C85)</f>
        <v>9</v>
      </c>
      <c r="K85">
        <v>10</v>
      </c>
      <c r="L85" s="6" t="s">
        <v>17</v>
      </c>
      <c r="M85" s="36" t="str">
        <f>VLOOKUP(K85,[2]stage_hints!$A:$C,3,FALSE)</f>
        <v>土日に大量のビットを獲得</v>
      </c>
      <c r="N85" s="37" t="str">
        <f>VLOOKUP(K85,[2]stage_hints!$A:$D,4,FALSE)</f>
        <v>土日限定の「ゴールドカジノ」では_x000D_売却素材ユニットが多く手に入ります</v>
      </c>
      <c r="O85" s="22" t="s">
        <v>117</v>
      </c>
      <c r="P85">
        <v>10</v>
      </c>
    </row>
    <row r="86" spans="1:16" x14ac:dyDescent="0.15">
      <c r="A86" s="29" t="str">
        <f t="shared" si="19"/>
        <v>11004_1_10</v>
      </c>
      <c r="B86" s="27" t="s">
        <v>33</v>
      </c>
      <c r="C86" s="5">
        <v>11004</v>
      </c>
      <c r="D86" s="4" t="str">
        <f ca="1">VLOOKUP($C86,OFFSET([1]quests!$A$1,0,0,COUNTA([1]quests!$A:$A),MATCH(D$1,[1]quests!$1:$1,0)-MATCH($C$1,[1]quests!$1:$1,0)+1),MATCH(D$1,[1]quests!$1:$1,0)-MATCH($C$1,[1]quests!$1:$1,0)+1,FALSE)</f>
        <v>【木曜限定】 緑の素材</v>
      </c>
      <c r="E86" s="4" t="str">
        <f ca="1">VLOOKUP($C86,OFFSET([1]quests!$A$1,0,0,COUNTA([1]quests!$A:$A),MATCH(E$1,[1]quests!$1:$1,0)-MATCH($C$1,[1]quests!$1:$1,0)+1),MATCH(E$1,[1]quests!$1:$1,0)-MATCH($C$1,[1]quests!$1:$1,0)+1,FALSE)</f>
        <v>木曜クエスト</v>
      </c>
      <c r="F86" s="6">
        <v>1</v>
      </c>
      <c r="G86" s="4" t="str">
        <f ca="1">VLOOKUP($C86&amp;"_"&amp;$F86,OFFSET([1]stages!$A$1,0,0,COUNTA([1]stages!$A:$A),MATCH(G$1,[1]stages!$2:$2,0)-MATCH("temp_stage",[1]stages!$2:$2,0)+1),MATCH(G$1,[1]stages!$2:$2,0)-MATCH("temp_stage",[1]stages!$2:$2,0)+1,FALSE)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86" s="4" t="str">
        <f ca="1">VLOOKUP($C86&amp;"_"&amp;$F86,OFFSET([1]stages!$A$1,0,0,COUNTA([1]stages!$A:$A),MATCH(H$1,[1]stages!$2:$2,0)-MATCH("temp_stage",[1]stages!$2:$2,0)+1),MATCH(H$1,[1]stages!$2:$2,0)-MATCH("temp_stage",[1]stages!$2:$2,0)+1,FALSE)</f>
        <v>木曜クエスト</v>
      </c>
      <c r="I86" s="19">
        <v>0</v>
      </c>
      <c r="J86" s="6">
        <f>COUNTIF(C$1:C86,C86)</f>
        <v>10</v>
      </c>
      <c r="K86">
        <v>11</v>
      </c>
      <c r="L86" s="6" t="s">
        <v>17</v>
      </c>
      <c r="M86" s="36" t="str">
        <f>VLOOKUP(K86,[2]stage_hints!$A:$C,3,FALSE)</f>
        <v>ランク解放クエスト</v>
      </c>
      <c r="N86" s="37" t="str">
        <f>VLOOKUP(K86,[2]stage_hints!$A:$D,4,FALSE)</f>
        <v>一定ランクに到達すると_x000D_報酬付きのランク開放クエストが現れます</v>
      </c>
      <c r="O86" s="22" t="s">
        <v>117</v>
      </c>
      <c r="P86">
        <v>11</v>
      </c>
    </row>
    <row r="87" spans="1:16" x14ac:dyDescent="0.15">
      <c r="A87" s="29" t="str">
        <f t="shared" si="19"/>
        <v>11004_1_11</v>
      </c>
      <c r="B87" s="27" t="s">
        <v>33</v>
      </c>
      <c r="C87" s="5">
        <v>11004</v>
      </c>
      <c r="D87" s="4" t="str">
        <f ca="1">VLOOKUP($C87,OFFSET([1]quests!$A$1,0,0,COUNTA([1]quests!$A:$A),MATCH(D$1,[1]quests!$1:$1,0)-MATCH($C$1,[1]quests!$1:$1,0)+1),MATCH(D$1,[1]quests!$1:$1,0)-MATCH($C$1,[1]quests!$1:$1,0)+1,FALSE)</f>
        <v>【木曜限定】 緑の素材</v>
      </c>
      <c r="E87" s="4" t="str">
        <f ca="1">VLOOKUP($C87,OFFSET([1]quests!$A$1,0,0,COUNTA([1]quests!$A:$A),MATCH(E$1,[1]quests!$1:$1,0)-MATCH($C$1,[1]quests!$1:$1,0)+1),MATCH(E$1,[1]quests!$1:$1,0)-MATCH($C$1,[1]quests!$1:$1,0)+1,FALSE)</f>
        <v>木曜クエスト</v>
      </c>
      <c r="F87" s="6">
        <v>1</v>
      </c>
      <c r="G87" s="4" t="str">
        <f ca="1">VLOOKUP($C87&amp;"_"&amp;$F87,OFFSET([1]stages!$A$1,0,0,COUNTA([1]stages!$A:$A),MATCH(G$1,[1]stages!$2:$2,0)-MATCH("temp_stage",[1]stages!$2:$2,0)+1),MATCH(G$1,[1]stages!$2:$2,0)-MATCH("temp_stage",[1]stages!$2:$2,0)+1,FALSE)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87" s="4" t="str">
        <f ca="1">VLOOKUP($C87&amp;"_"&amp;$F87,OFFSET([1]stages!$A$1,0,0,COUNTA([1]stages!$A:$A),MATCH(H$1,[1]stages!$2:$2,0)-MATCH("temp_stage",[1]stages!$2:$2,0)+1),MATCH(H$1,[1]stages!$2:$2,0)-MATCH("temp_stage",[1]stages!$2:$2,0)+1,FALSE)</f>
        <v>木曜クエスト</v>
      </c>
      <c r="I87" s="19">
        <v>0</v>
      </c>
      <c r="J87" s="6">
        <f>COUNTIF(C$1:C87,C87)</f>
        <v>11</v>
      </c>
      <c r="K87">
        <v>12</v>
      </c>
      <c r="L87" s="6" t="s">
        <v>17</v>
      </c>
      <c r="M87" s="36" t="str">
        <f>VLOOKUP(K87,[2]stage_hints!$A:$C,3,FALSE)</f>
        <v>ユニットのお気に入り登録</v>
      </c>
      <c r="N87" s="37" t="str">
        <f>VLOOKUP(K87,[2]stage_hints!$A:$D,4,FALSE)</f>
        <v>大事なユニットを誤って消さないように_x000D_フォルダから「お気に入り登録」しましょう</v>
      </c>
      <c r="O87" s="22" t="s">
        <v>117</v>
      </c>
      <c r="P87">
        <v>12</v>
      </c>
    </row>
    <row r="88" spans="1:16" x14ac:dyDescent="0.15">
      <c r="A88" s="29" t="str">
        <f t="shared" si="19"/>
        <v>11004_1_12</v>
      </c>
      <c r="B88" s="27" t="s">
        <v>33</v>
      </c>
      <c r="C88" s="5">
        <v>11004</v>
      </c>
      <c r="D88" s="4" t="str">
        <f ca="1">VLOOKUP($C88,OFFSET([1]quests!$A$1,0,0,COUNTA([1]quests!$A:$A),MATCH(D$1,[1]quests!$1:$1,0)-MATCH($C$1,[1]quests!$1:$1,0)+1),MATCH(D$1,[1]quests!$1:$1,0)-MATCH($C$1,[1]quests!$1:$1,0)+1,FALSE)</f>
        <v>【木曜限定】 緑の素材</v>
      </c>
      <c r="E88" s="4" t="str">
        <f ca="1">VLOOKUP($C88,OFFSET([1]quests!$A$1,0,0,COUNTA([1]quests!$A:$A),MATCH(E$1,[1]quests!$1:$1,0)-MATCH($C$1,[1]quests!$1:$1,0)+1),MATCH(E$1,[1]quests!$1:$1,0)-MATCH($C$1,[1]quests!$1:$1,0)+1,FALSE)</f>
        <v>木曜クエスト</v>
      </c>
      <c r="F88" s="6">
        <v>1</v>
      </c>
      <c r="G88" s="4" t="str">
        <f ca="1">VLOOKUP($C88&amp;"_"&amp;$F88,OFFSET([1]stages!$A$1,0,0,COUNTA([1]stages!$A:$A),MATCH(G$1,[1]stages!$2:$2,0)-MATCH("temp_stage",[1]stages!$2:$2,0)+1),MATCH(G$1,[1]stages!$2:$2,0)-MATCH("temp_stage",[1]stages!$2:$2,0)+1,FALSE)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88" s="4" t="str">
        <f ca="1">VLOOKUP($C88&amp;"_"&amp;$F88,OFFSET([1]stages!$A$1,0,0,COUNTA([1]stages!$A:$A),MATCH(H$1,[1]stages!$2:$2,0)-MATCH("temp_stage",[1]stages!$2:$2,0)+1),MATCH(H$1,[1]stages!$2:$2,0)-MATCH("temp_stage",[1]stages!$2:$2,0)+1,FALSE)</f>
        <v>木曜クエスト</v>
      </c>
      <c r="I88" s="19">
        <v>0</v>
      </c>
      <c r="J88" s="6">
        <f>COUNTIF(C$1:C88,C88)</f>
        <v>12</v>
      </c>
      <c r="K88">
        <v>13</v>
      </c>
      <c r="L88" s="6" t="s">
        <v>17</v>
      </c>
      <c r="M88" s="36" t="str">
        <f>VLOOKUP(K88,[2]stage_hints!$A:$C,3,FALSE)</f>
        <v>ユニットの覚醒</v>
      </c>
      <c r="N88" s="37" t="str">
        <f>VLOOKUP(K88,[2]stage_hints!$A:$D,4,FALSE)</f>
        <v>ユニットを覚醒させると_x000D_比べものにならない強さが手に入ります</v>
      </c>
      <c r="O88" s="22" t="s">
        <v>117</v>
      </c>
      <c r="P88">
        <v>13</v>
      </c>
    </row>
    <row r="89" spans="1:16" x14ac:dyDescent="0.15">
      <c r="A89" s="29" t="str">
        <f t="shared" si="19"/>
        <v>11004_1_13</v>
      </c>
      <c r="B89" s="27" t="s">
        <v>33</v>
      </c>
      <c r="C89" s="5">
        <v>11004</v>
      </c>
      <c r="D89" s="4" t="str">
        <f ca="1">VLOOKUP($C89,OFFSET([1]quests!$A$1,0,0,COUNTA([1]quests!$A:$A),MATCH(D$1,[1]quests!$1:$1,0)-MATCH($C$1,[1]quests!$1:$1,0)+1),MATCH(D$1,[1]quests!$1:$1,0)-MATCH($C$1,[1]quests!$1:$1,0)+1,FALSE)</f>
        <v>【木曜限定】 緑の素材</v>
      </c>
      <c r="E89" s="4" t="str">
        <f ca="1">VLOOKUP($C89,OFFSET([1]quests!$A$1,0,0,COUNTA([1]quests!$A:$A),MATCH(E$1,[1]quests!$1:$1,0)-MATCH($C$1,[1]quests!$1:$1,0)+1),MATCH(E$1,[1]quests!$1:$1,0)-MATCH($C$1,[1]quests!$1:$1,0)+1,FALSE)</f>
        <v>木曜クエスト</v>
      </c>
      <c r="F89" s="6">
        <v>1</v>
      </c>
      <c r="G89" s="4" t="str">
        <f ca="1">VLOOKUP($C89&amp;"_"&amp;$F89,OFFSET([1]stages!$A$1,0,0,COUNTA([1]stages!$A:$A),MATCH(G$1,[1]stages!$2:$2,0)-MATCH("temp_stage",[1]stages!$2:$2,0)+1),MATCH(G$1,[1]stages!$2:$2,0)-MATCH("temp_stage",[1]stages!$2:$2,0)+1,FALSE)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89" s="4" t="str">
        <f ca="1">VLOOKUP($C89&amp;"_"&amp;$F89,OFFSET([1]stages!$A$1,0,0,COUNTA([1]stages!$A:$A),MATCH(H$1,[1]stages!$2:$2,0)-MATCH("temp_stage",[1]stages!$2:$2,0)+1),MATCH(H$1,[1]stages!$2:$2,0)-MATCH("temp_stage",[1]stages!$2:$2,0)+1,FALSE)</f>
        <v>木曜クエスト</v>
      </c>
      <c r="I89" s="19">
        <v>0</v>
      </c>
      <c r="J89" s="6">
        <f>COUNTIF(C$1:C89,C89)</f>
        <v>13</v>
      </c>
      <c r="K89">
        <v>14</v>
      </c>
      <c r="L89" s="6" t="s">
        <v>17</v>
      </c>
      <c r="M89" s="36" t="str">
        <f>VLOOKUP(K89,[2]stage_hints!$A:$C,3,FALSE)</f>
        <v>覚醒するにはレベルを最大に</v>
      </c>
      <c r="N89" s="37" t="str">
        <f>VLOOKUP(K89,[2]stage_hints!$A:$D,4,FALSE)</f>
        <v>覚醒するにはユニットのレベルを_x000D_最大まで上げる必要があります</v>
      </c>
      <c r="O89" s="22" t="s">
        <v>117</v>
      </c>
      <c r="P89">
        <v>14</v>
      </c>
    </row>
    <row r="90" spans="1:16" x14ac:dyDescent="0.15">
      <c r="A90" s="29" t="str">
        <f t="shared" si="19"/>
        <v>11004_1_14</v>
      </c>
      <c r="B90" s="27" t="s">
        <v>33</v>
      </c>
      <c r="C90" s="5">
        <v>11004</v>
      </c>
      <c r="D90" s="4" t="str">
        <f ca="1">VLOOKUP($C90,OFFSET([1]quests!$A$1,0,0,COUNTA([1]quests!$A:$A),MATCH(D$1,[1]quests!$1:$1,0)-MATCH($C$1,[1]quests!$1:$1,0)+1),MATCH(D$1,[1]quests!$1:$1,0)-MATCH($C$1,[1]quests!$1:$1,0)+1,FALSE)</f>
        <v>【木曜限定】 緑の素材</v>
      </c>
      <c r="E90" s="4" t="str">
        <f ca="1">VLOOKUP($C90,OFFSET([1]quests!$A$1,0,0,COUNTA([1]quests!$A:$A),MATCH(E$1,[1]quests!$1:$1,0)-MATCH($C$1,[1]quests!$1:$1,0)+1),MATCH(E$1,[1]quests!$1:$1,0)-MATCH($C$1,[1]quests!$1:$1,0)+1,FALSE)</f>
        <v>木曜クエスト</v>
      </c>
      <c r="F90" s="6">
        <v>1</v>
      </c>
      <c r="G90" s="4" t="str">
        <f ca="1">VLOOKUP($C90&amp;"_"&amp;$F90,OFFSET([1]stages!$A$1,0,0,COUNTA([1]stages!$A:$A),MATCH(G$1,[1]stages!$2:$2,0)-MATCH("temp_stage",[1]stages!$2:$2,0)+1),MATCH(G$1,[1]stages!$2:$2,0)-MATCH("temp_stage",[1]stages!$2:$2,0)+1,FALSE)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90" s="4" t="str">
        <f ca="1">VLOOKUP($C90&amp;"_"&amp;$F90,OFFSET([1]stages!$A$1,0,0,COUNTA([1]stages!$A:$A),MATCH(H$1,[1]stages!$2:$2,0)-MATCH("temp_stage",[1]stages!$2:$2,0)+1),MATCH(H$1,[1]stages!$2:$2,0)-MATCH("temp_stage",[1]stages!$2:$2,0)+1,FALSE)</f>
        <v>木曜クエスト</v>
      </c>
      <c r="I90" s="19">
        <v>0</v>
      </c>
      <c r="J90" s="6">
        <f>COUNTIF(C$1:C90,C90)</f>
        <v>14</v>
      </c>
      <c r="K90">
        <v>15</v>
      </c>
      <c r="L90" s="6" t="s">
        <v>17</v>
      </c>
      <c r="M90" s="36" t="str">
        <f>VLOOKUP(K90,[2]stage_hints!$A:$C,3,FALSE)</f>
        <v>覚醒素材を獲得</v>
      </c>
      <c r="N90" s="37" t="str">
        <f>VLOOKUP(K90,[2]stage_hints!$A:$D,4,FALSE)</f>
        <v>「曜日クエスト」では_x000D_ユニットの覚醒に必要な素材が手に入ります</v>
      </c>
      <c r="O90" s="22" t="s">
        <v>117</v>
      </c>
      <c r="P90">
        <v>15</v>
      </c>
    </row>
    <row r="91" spans="1:16" x14ac:dyDescent="0.15">
      <c r="A91" s="29" t="str">
        <f t="shared" si="19"/>
        <v>11004_1_15</v>
      </c>
      <c r="B91" s="27" t="s">
        <v>33</v>
      </c>
      <c r="C91" s="5">
        <v>11004</v>
      </c>
      <c r="D91" s="4" t="str">
        <f ca="1">VLOOKUP($C91,OFFSET([1]quests!$A$1,0,0,COUNTA([1]quests!$A:$A),MATCH(D$1,[1]quests!$1:$1,0)-MATCH($C$1,[1]quests!$1:$1,0)+1),MATCH(D$1,[1]quests!$1:$1,0)-MATCH($C$1,[1]quests!$1:$1,0)+1,FALSE)</f>
        <v>【木曜限定】 緑の素材</v>
      </c>
      <c r="E91" s="4" t="str">
        <f ca="1">VLOOKUP($C91,OFFSET([1]quests!$A$1,0,0,COUNTA([1]quests!$A:$A),MATCH(E$1,[1]quests!$1:$1,0)-MATCH($C$1,[1]quests!$1:$1,0)+1),MATCH(E$1,[1]quests!$1:$1,0)-MATCH($C$1,[1]quests!$1:$1,0)+1,FALSE)</f>
        <v>木曜クエスト</v>
      </c>
      <c r="F91" s="6">
        <v>1</v>
      </c>
      <c r="G91" s="4" t="str">
        <f ca="1">VLOOKUP($C91&amp;"_"&amp;$F91,OFFSET([1]stages!$A$1,0,0,COUNTA([1]stages!$A:$A),MATCH(G$1,[1]stages!$2:$2,0)-MATCH("temp_stage",[1]stages!$2:$2,0)+1),MATCH(G$1,[1]stages!$2:$2,0)-MATCH("temp_stage",[1]stages!$2:$2,0)+1,FALSE)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91" s="4" t="str">
        <f ca="1">VLOOKUP($C91&amp;"_"&amp;$F91,OFFSET([1]stages!$A$1,0,0,COUNTA([1]stages!$A:$A),MATCH(H$1,[1]stages!$2:$2,0)-MATCH("temp_stage",[1]stages!$2:$2,0)+1),MATCH(H$1,[1]stages!$2:$2,0)-MATCH("temp_stage",[1]stages!$2:$2,0)+1,FALSE)</f>
        <v>木曜クエスト</v>
      </c>
      <c r="I91" s="19">
        <v>0</v>
      </c>
      <c r="J91" s="6">
        <f>COUNTIF(C$1:C91,C91)</f>
        <v>15</v>
      </c>
      <c r="K91">
        <v>16</v>
      </c>
      <c r="L91" s="6" t="s">
        <v>17</v>
      </c>
      <c r="M91" s="36" t="str">
        <f>VLOOKUP(K91,[2]stage_hints!$A:$C,3,FALSE)</f>
        <v>マルチプレイのメリット（その1）</v>
      </c>
      <c r="N91" s="37" t="str">
        <f>VLOOKUP(K91,[2]stage_hints!$A:$D,4,FALSE)</f>
        <v>他のプレイヤーとマルチプレイで遊ぶと_x000D_ポリゴンがもらえます（100人まで）</v>
      </c>
      <c r="O91" s="22" t="s">
        <v>117</v>
      </c>
      <c r="P91">
        <v>16</v>
      </c>
    </row>
    <row r="92" spans="1:16" x14ac:dyDescent="0.15">
      <c r="A92" s="29" t="str">
        <f t="shared" si="19"/>
        <v>11004_1_16</v>
      </c>
      <c r="B92" s="27" t="s">
        <v>33</v>
      </c>
      <c r="C92" s="5">
        <v>11004</v>
      </c>
      <c r="D92" s="4" t="str">
        <f ca="1">VLOOKUP($C92,OFFSET([1]quests!$A$1,0,0,COUNTA([1]quests!$A:$A),MATCH(D$1,[1]quests!$1:$1,0)-MATCH($C$1,[1]quests!$1:$1,0)+1),MATCH(D$1,[1]quests!$1:$1,0)-MATCH($C$1,[1]quests!$1:$1,0)+1,FALSE)</f>
        <v>【木曜限定】 緑の素材</v>
      </c>
      <c r="E92" s="4" t="str">
        <f ca="1">VLOOKUP($C92,OFFSET([1]quests!$A$1,0,0,COUNTA([1]quests!$A:$A),MATCH(E$1,[1]quests!$1:$1,0)-MATCH($C$1,[1]quests!$1:$1,0)+1),MATCH(E$1,[1]quests!$1:$1,0)-MATCH($C$1,[1]quests!$1:$1,0)+1,FALSE)</f>
        <v>木曜クエスト</v>
      </c>
      <c r="F92" s="6">
        <v>1</v>
      </c>
      <c r="G92" s="4" t="str">
        <f ca="1">VLOOKUP($C92&amp;"_"&amp;$F92,OFFSET([1]stages!$A$1,0,0,COUNTA([1]stages!$A:$A),MATCH(G$1,[1]stages!$2:$2,0)-MATCH("temp_stage",[1]stages!$2:$2,0)+1),MATCH(G$1,[1]stages!$2:$2,0)-MATCH("temp_stage",[1]stages!$2:$2,0)+1,FALSE)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92" s="4" t="str">
        <f ca="1">VLOOKUP($C92&amp;"_"&amp;$F92,OFFSET([1]stages!$A$1,0,0,COUNTA([1]stages!$A:$A),MATCH(H$1,[1]stages!$2:$2,0)-MATCH("temp_stage",[1]stages!$2:$2,0)+1),MATCH(H$1,[1]stages!$2:$2,0)-MATCH("temp_stage",[1]stages!$2:$2,0)+1,FALSE)</f>
        <v>木曜クエスト</v>
      </c>
      <c r="I92" s="19">
        <v>0</v>
      </c>
      <c r="J92" s="6">
        <f>COUNTIF(C$1:C92,C92)</f>
        <v>16</v>
      </c>
      <c r="K92">
        <v>17</v>
      </c>
      <c r="L92" s="6" t="s">
        <v>17</v>
      </c>
      <c r="M92" s="36" t="str">
        <f>VLOOKUP(K92,[2]stage_hints!$A:$C,3,FALSE)</f>
        <v>リンクガチャ</v>
      </c>
      <c r="N92" s="37" t="str">
        <f>VLOOKUP(K92,[2]stage_hints!$A:$D,4,FALSE)</f>
        <v>無料のリンクガチャを回して_x000D_経験値素材や売却素材を獲得しましょう</v>
      </c>
      <c r="O92" s="22" t="s">
        <v>117</v>
      </c>
      <c r="P92">
        <v>17</v>
      </c>
    </row>
    <row r="93" spans="1:16" x14ac:dyDescent="0.15">
      <c r="A93" s="29" t="str">
        <f t="shared" si="19"/>
        <v>11004_1_17</v>
      </c>
      <c r="B93" s="27" t="s">
        <v>33</v>
      </c>
      <c r="C93" s="5">
        <v>11004</v>
      </c>
      <c r="D93" s="4" t="str">
        <f ca="1">VLOOKUP($C93,OFFSET([1]quests!$A$1,0,0,COUNTA([1]quests!$A:$A),MATCH(D$1,[1]quests!$1:$1,0)-MATCH($C$1,[1]quests!$1:$1,0)+1),MATCH(D$1,[1]quests!$1:$1,0)-MATCH($C$1,[1]quests!$1:$1,0)+1,FALSE)</f>
        <v>【木曜限定】 緑の素材</v>
      </c>
      <c r="E93" s="4" t="str">
        <f ca="1">VLOOKUP($C93,OFFSET([1]quests!$A$1,0,0,COUNTA([1]quests!$A:$A),MATCH(E$1,[1]quests!$1:$1,0)-MATCH($C$1,[1]quests!$1:$1,0)+1),MATCH(E$1,[1]quests!$1:$1,0)-MATCH($C$1,[1]quests!$1:$1,0)+1,FALSE)</f>
        <v>木曜クエスト</v>
      </c>
      <c r="F93" s="6">
        <v>1</v>
      </c>
      <c r="G93" s="4" t="str">
        <f ca="1">VLOOKUP($C93&amp;"_"&amp;$F93,OFFSET([1]stages!$A$1,0,0,COUNTA([1]stages!$A:$A),MATCH(G$1,[1]stages!$2:$2,0)-MATCH("temp_stage",[1]stages!$2:$2,0)+1),MATCH(G$1,[1]stages!$2:$2,0)-MATCH("temp_stage",[1]stages!$2:$2,0)+1,FALSE)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93" s="4" t="str">
        <f ca="1">VLOOKUP($C93&amp;"_"&amp;$F93,OFFSET([1]stages!$A$1,0,0,COUNTA([1]stages!$A:$A),MATCH(H$1,[1]stages!$2:$2,0)-MATCH("temp_stage",[1]stages!$2:$2,0)+1),MATCH(H$1,[1]stages!$2:$2,0)-MATCH("temp_stage",[1]stages!$2:$2,0)+1,FALSE)</f>
        <v>木曜クエスト</v>
      </c>
      <c r="I93" s="19">
        <v>0</v>
      </c>
      <c r="J93" s="6">
        <f>COUNTIF(C$1:C93,C93)</f>
        <v>17</v>
      </c>
      <c r="K93">
        <v>18</v>
      </c>
      <c r="L93" s="6" t="s">
        <v>17</v>
      </c>
      <c r="M93" s="36" t="str">
        <f>VLOOKUP(K93,[2]stage_hints!$A:$C,3,FALSE)</f>
        <v>マルチプレイのメリット（その2）</v>
      </c>
      <c r="N93" s="37" t="str">
        <f>VLOOKUP(K93,[2]stage_hints!$A:$D,4,FALSE)</f>
        <v>マルチプレイならリンクが2倍もらえます_x000D_リンクガチャをたくさん回しましょう</v>
      </c>
      <c r="O93" s="22" t="s">
        <v>117</v>
      </c>
      <c r="P93">
        <v>18</v>
      </c>
    </row>
    <row r="94" spans="1:16" x14ac:dyDescent="0.15">
      <c r="A94" s="29" t="str">
        <f t="shared" si="19"/>
        <v>11004_1_18</v>
      </c>
      <c r="B94" s="27" t="s">
        <v>33</v>
      </c>
      <c r="C94" s="5">
        <v>11004</v>
      </c>
      <c r="D94" s="4" t="str">
        <f ca="1">VLOOKUP($C94,OFFSET([1]quests!$A$1,0,0,COUNTA([1]quests!$A:$A),MATCH(D$1,[1]quests!$1:$1,0)-MATCH($C$1,[1]quests!$1:$1,0)+1),MATCH(D$1,[1]quests!$1:$1,0)-MATCH($C$1,[1]quests!$1:$1,0)+1,FALSE)</f>
        <v>【木曜限定】 緑の素材</v>
      </c>
      <c r="E94" s="4" t="str">
        <f ca="1">VLOOKUP($C94,OFFSET([1]quests!$A$1,0,0,COUNTA([1]quests!$A:$A),MATCH(E$1,[1]quests!$1:$1,0)-MATCH($C$1,[1]quests!$1:$1,0)+1),MATCH(E$1,[1]quests!$1:$1,0)-MATCH($C$1,[1]quests!$1:$1,0)+1,FALSE)</f>
        <v>木曜クエスト</v>
      </c>
      <c r="F94" s="6">
        <v>1</v>
      </c>
      <c r="G94" s="4" t="str">
        <f ca="1">VLOOKUP($C94&amp;"_"&amp;$F94,OFFSET([1]stages!$A$1,0,0,COUNTA([1]stages!$A:$A),MATCH(G$1,[1]stages!$2:$2,0)-MATCH("temp_stage",[1]stages!$2:$2,0)+1),MATCH(G$1,[1]stages!$2:$2,0)-MATCH("temp_stage",[1]stages!$2:$2,0)+1,FALSE)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94" s="4" t="str">
        <f ca="1">VLOOKUP($C94&amp;"_"&amp;$F94,OFFSET([1]stages!$A$1,0,0,COUNTA([1]stages!$A:$A),MATCH(H$1,[1]stages!$2:$2,0)-MATCH("temp_stage",[1]stages!$2:$2,0)+1),MATCH(H$1,[1]stages!$2:$2,0)-MATCH("temp_stage",[1]stages!$2:$2,0)+1,FALSE)</f>
        <v>木曜クエスト</v>
      </c>
      <c r="I94" s="19">
        <v>0</v>
      </c>
      <c r="J94" s="6">
        <f>COUNTIF(C$1:C94,C94)</f>
        <v>18</v>
      </c>
      <c r="K94">
        <v>19</v>
      </c>
      <c r="L94" s="6" t="s">
        <v>17</v>
      </c>
      <c r="M94" s="36" t="str">
        <f>VLOOKUP(K94,[2]stage_hints!$A:$C,3,FALSE)</f>
        <v>ソロ専用チャレンジタワー</v>
      </c>
      <c r="N94" s="37" t="str">
        <f>VLOOKUP(K94,[2]stage_hints!$A:$D,4,FALSE)</f>
        <v>ソロ専用の「チャレンジタワー」では_x000D_各フロアごとにクリア報酬がもらえます</v>
      </c>
      <c r="O94" s="22" t="s">
        <v>117</v>
      </c>
      <c r="P94">
        <v>19</v>
      </c>
    </row>
    <row r="95" spans="1:16" x14ac:dyDescent="0.15">
      <c r="A95" s="29" t="str">
        <f t="shared" ref="A95" si="20">C95&amp;"_"&amp;F95&amp;"_"&amp;J95</f>
        <v>11004_1_19</v>
      </c>
      <c r="B95" s="27" t="s">
        <v>33</v>
      </c>
      <c r="C95" s="5">
        <v>11004</v>
      </c>
      <c r="D95" s="4" t="str">
        <f ca="1">VLOOKUP($C95,OFFSET([1]quests!$A$1,0,0,COUNTA([1]quests!$A:$A),MATCH(D$1,[1]quests!$1:$1,0)-MATCH($C$1,[1]quests!$1:$1,0)+1),MATCH(D$1,[1]quests!$1:$1,0)-MATCH($C$1,[1]quests!$1:$1,0)+1,FALSE)</f>
        <v>【木曜限定】 緑の素材</v>
      </c>
      <c r="E95" s="4" t="str">
        <f ca="1">VLOOKUP($C95,OFFSET([1]quests!$A$1,0,0,COUNTA([1]quests!$A:$A),MATCH(E$1,[1]quests!$1:$1,0)-MATCH($C$1,[1]quests!$1:$1,0)+1),MATCH(E$1,[1]quests!$1:$1,0)-MATCH($C$1,[1]quests!$1:$1,0)+1,FALSE)</f>
        <v>木曜クエスト</v>
      </c>
      <c r="F95" s="6">
        <v>1</v>
      </c>
      <c r="G95" s="4" t="str">
        <f ca="1">VLOOKUP($C95&amp;"_"&amp;$F95,OFFSET([1]stages!$A$1,0,0,COUNTA([1]stages!$A:$A),MATCH(G$1,[1]stages!$2:$2,0)-MATCH("temp_stage",[1]stages!$2:$2,0)+1),MATCH(G$1,[1]stages!$2:$2,0)-MATCH("temp_stage",[1]stages!$2:$2,0)+1,FALSE)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95" s="4" t="str">
        <f ca="1">VLOOKUP($C95&amp;"_"&amp;$F95,OFFSET([1]stages!$A$1,0,0,COUNTA([1]stages!$A:$A),MATCH(H$1,[1]stages!$2:$2,0)-MATCH("temp_stage",[1]stages!$2:$2,0)+1),MATCH(H$1,[1]stages!$2:$2,0)-MATCH("temp_stage",[1]stages!$2:$2,0)+1,FALSE)</f>
        <v>木曜クエスト</v>
      </c>
      <c r="I95" s="19">
        <v>0</v>
      </c>
      <c r="J95" s="6">
        <f>COUNTIF(C$1:C95,C95)</f>
        <v>19</v>
      </c>
      <c r="K95">
        <v>20</v>
      </c>
      <c r="L95" s="6" t="s">
        <v>17</v>
      </c>
      <c r="M95" s="36" t="str">
        <f>VLOOKUP(K95,[2]stage_hints!$A:$C,3,FALSE)</f>
        <v>マルチプレイのメリット（その3）</v>
      </c>
      <c r="N95" s="37" t="str">
        <f>VLOOKUP(K95,[2]stage_hints!$A:$D,4,FALSE)</f>
        <v>マルチプレイへの参加はエナジー消費ゼロ_x000D_いつでも好きなだけ遊ぶことができます</v>
      </c>
      <c r="O95" s="22" t="s">
        <v>117</v>
      </c>
      <c r="P95">
        <v>20</v>
      </c>
    </row>
    <row r="96" spans="1:16" x14ac:dyDescent="0.15">
      <c r="A96" s="29" t="str">
        <f t="shared" ref="A96:A158" si="21">C96&amp;"_"&amp;F96&amp;"_"&amp;J96</f>
        <v>11004_1_20</v>
      </c>
      <c r="B96" s="27" t="s">
        <v>33</v>
      </c>
      <c r="C96" s="5">
        <v>11004</v>
      </c>
      <c r="D96" s="4" t="str">
        <f ca="1">VLOOKUP($C96,OFFSET([1]quests!$A$1,0,0,COUNTA([1]quests!$A:$A),MATCH(D$1,[1]quests!$1:$1,0)-MATCH($C$1,[1]quests!$1:$1,0)+1),MATCH(D$1,[1]quests!$1:$1,0)-MATCH($C$1,[1]quests!$1:$1,0)+1,FALSE)</f>
        <v>【木曜限定】 緑の素材</v>
      </c>
      <c r="E96" s="4" t="str">
        <f ca="1">VLOOKUP($C96,OFFSET([1]quests!$A$1,0,0,COUNTA([1]quests!$A:$A),MATCH(E$1,[1]quests!$1:$1,0)-MATCH($C$1,[1]quests!$1:$1,0)+1),MATCH(E$1,[1]quests!$1:$1,0)-MATCH($C$1,[1]quests!$1:$1,0)+1,FALSE)</f>
        <v>木曜クエスト</v>
      </c>
      <c r="F96" s="6">
        <v>1</v>
      </c>
      <c r="G96" s="4" t="str">
        <f ca="1">VLOOKUP($C96&amp;"_"&amp;$F96,OFFSET([1]stages!$A$1,0,0,COUNTA([1]stages!$A:$A),MATCH(G$1,[1]stages!$2:$2,0)-MATCH("temp_stage",[1]stages!$2:$2,0)+1),MATCH(G$1,[1]stages!$2:$2,0)-MATCH("temp_stage",[1]stages!$2:$2,0)+1,FALSE)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96" s="4" t="str">
        <f ca="1">VLOOKUP($C96&amp;"_"&amp;$F96,OFFSET([1]stages!$A$1,0,0,COUNTA([1]stages!$A:$A),MATCH(H$1,[1]stages!$2:$2,0)-MATCH("temp_stage",[1]stages!$2:$2,0)+1),MATCH(H$1,[1]stages!$2:$2,0)-MATCH("temp_stage",[1]stages!$2:$2,0)+1,FALSE)</f>
        <v>木曜クエスト</v>
      </c>
      <c r="I96" s="19">
        <v>0</v>
      </c>
      <c r="J96" s="6">
        <f>COUNTIF(C$1:C96,C96)</f>
        <v>20</v>
      </c>
      <c r="K96">
        <v>21</v>
      </c>
      <c r="L96" s="6" t="s">
        <v>17</v>
      </c>
      <c r="M96" s="36" t="str">
        <f>VLOOKUP(K96,[2]stage_hints!$A:$C,3,FALSE)</f>
        <v>スキルを有効に</v>
      </c>
      <c r="N96" s="37" t="str">
        <f>VLOOKUP(K96,[2]stage_hints!$A:$D,4,FALSE)</f>
        <v>ターン経過でユニットのスキルが使えます_x000D_強力スキルでバトルを有利に進めましょう</v>
      </c>
      <c r="O96" s="22" t="s">
        <v>117</v>
      </c>
      <c r="P96">
        <v>21</v>
      </c>
    </row>
    <row r="97" spans="1:16" x14ac:dyDescent="0.15">
      <c r="A97" s="29" t="str">
        <f t="shared" si="21"/>
        <v>11004_1_21</v>
      </c>
      <c r="B97" s="27" t="s">
        <v>33</v>
      </c>
      <c r="C97" s="5">
        <v>11004</v>
      </c>
      <c r="D97" s="4" t="str">
        <f ca="1">VLOOKUP($C97,OFFSET([1]quests!$A$1,0,0,COUNTA([1]quests!$A:$A),MATCH(D$1,[1]quests!$1:$1,0)-MATCH($C$1,[1]quests!$1:$1,0)+1),MATCH(D$1,[1]quests!$1:$1,0)-MATCH($C$1,[1]quests!$1:$1,0)+1,FALSE)</f>
        <v>【木曜限定】 緑の素材</v>
      </c>
      <c r="E97" s="4" t="str">
        <f ca="1">VLOOKUP($C97,OFFSET([1]quests!$A$1,0,0,COUNTA([1]quests!$A:$A),MATCH(E$1,[1]quests!$1:$1,0)-MATCH($C$1,[1]quests!$1:$1,0)+1),MATCH(E$1,[1]quests!$1:$1,0)-MATCH($C$1,[1]quests!$1:$1,0)+1,FALSE)</f>
        <v>木曜クエスト</v>
      </c>
      <c r="F97" s="6">
        <v>1</v>
      </c>
      <c r="G97" s="4" t="str">
        <f ca="1">VLOOKUP($C97&amp;"_"&amp;$F97,OFFSET([1]stages!$A$1,0,0,COUNTA([1]stages!$A:$A),MATCH(G$1,[1]stages!$2:$2,0)-MATCH("temp_stage",[1]stages!$2:$2,0)+1),MATCH(G$1,[1]stages!$2:$2,0)-MATCH("temp_stage",[1]stages!$2:$2,0)+1,FALSE)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97" s="4" t="str">
        <f ca="1">VLOOKUP($C97&amp;"_"&amp;$F97,OFFSET([1]stages!$A$1,0,0,COUNTA([1]stages!$A:$A),MATCH(H$1,[1]stages!$2:$2,0)-MATCH("temp_stage",[1]stages!$2:$2,0)+1),MATCH(H$1,[1]stages!$2:$2,0)-MATCH("temp_stage",[1]stages!$2:$2,0)+1,FALSE)</f>
        <v>木曜クエスト</v>
      </c>
      <c r="I97" s="19">
        <v>0</v>
      </c>
      <c r="J97" s="6">
        <f>COUNTIF(C$1:C97,C97)</f>
        <v>21</v>
      </c>
      <c r="K97">
        <v>22</v>
      </c>
      <c r="L97" s="6" t="s">
        <v>17</v>
      </c>
      <c r="M97" s="36" t="str">
        <f>VLOOKUP(K97,[2]stage_hints!$A:$C,3,FALSE)</f>
        <v>フィーバーで一発逆転（その1）</v>
      </c>
      <c r="N97" s="37" t="str">
        <f>VLOOKUP(K97,[2]stage_hints!$A:$D,4,FALSE)</f>
        <v>フィーバーは攻撃と回復を兼ね備えます_x000D_ピンチからの一発逆転を狙いましょう</v>
      </c>
      <c r="O97" s="22" t="s">
        <v>117</v>
      </c>
      <c r="P97">
        <v>22</v>
      </c>
    </row>
    <row r="98" spans="1:16" x14ac:dyDescent="0.15">
      <c r="A98" s="29" t="str">
        <f t="shared" si="21"/>
        <v>11004_1_22</v>
      </c>
      <c r="B98" s="27" t="s">
        <v>33</v>
      </c>
      <c r="C98" s="5">
        <v>11004</v>
      </c>
      <c r="D98" s="4" t="str">
        <f ca="1">VLOOKUP($C98,OFFSET([1]quests!$A$1,0,0,COUNTA([1]quests!$A:$A),MATCH(D$1,[1]quests!$1:$1,0)-MATCH($C$1,[1]quests!$1:$1,0)+1),MATCH(D$1,[1]quests!$1:$1,0)-MATCH($C$1,[1]quests!$1:$1,0)+1,FALSE)</f>
        <v>【木曜限定】 緑の素材</v>
      </c>
      <c r="E98" s="4" t="str">
        <f ca="1">VLOOKUP($C98,OFFSET([1]quests!$A$1,0,0,COUNTA([1]quests!$A:$A),MATCH(E$1,[1]quests!$1:$1,0)-MATCH($C$1,[1]quests!$1:$1,0)+1),MATCH(E$1,[1]quests!$1:$1,0)-MATCH($C$1,[1]quests!$1:$1,0)+1,FALSE)</f>
        <v>木曜クエスト</v>
      </c>
      <c r="F98" s="6">
        <v>1</v>
      </c>
      <c r="G98" s="4" t="str">
        <f ca="1">VLOOKUP($C98&amp;"_"&amp;$F98,OFFSET([1]stages!$A$1,0,0,COUNTA([1]stages!$A:$A),MATCH(G$1,[1]stages!$2:$2,0)-MATCH("temp_stage",[1]stages!$2:$2,0)+1),MATCH(G$1,[1]stages!$2:$2,0)-MATCH("temp_stage",[1]stages!$2:$2,0)+1,FALSE)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98" s="4" t="str">
        <f ca="1">VLOOKUP($C98&amp;"_"&amp;$F98,OFFSET([1]stages!$A$1,0,0,COUNTA([1]stages!$A:$A),MATCH(H$1,[1]stages!$2:$2,0)-MATCH("temp_stage",[1]stages!$2:$2,0)+1),MATCH(H$1,[1]stages!$2:$2,0)-MATCH("temp_stage",[1]stages!$2:$2,0)+1,FALSE)</f>
        <v>木曜クエスト</v>
      </c>
      <c r="I98" s="19">
        <v>0</v>
      </c>
      <c r="J98" s="6">
        <f>COUNTIF(C$1:C98,C98)</f>
        <v>22</v>
      </c>
      <c r="K98">
        <v>23</v>
      </c>
      <c r="L98" s="6" t="s">
        <v>17</v>
      </c>
      <c r="M98" s="36" t="str">
        <f>VLOOKUP(K98,[2]stage_hints!$A:$C,3,FALSE)</f>
        <v>フィーバーで一発逆転（その2）</v>
      </c>
      <c r="N98" s="37" t="str">
        <f>VLOOKUP(K98,[2]stage_hints!$A:$D,4,FALSE)</f>
        <v>フィーバー中は虹色のボムパネルを狙って_x000D_画面上のパネルを一気に破壊しましょう</v>
      </c>
      <c r="O98" s="22" t="s">
        <v>117</v>
      </c>
      <c r="P98">
        <v>23</v>
      </c>
    </row>
    <row r="99" spans="1:16" x14ac:dyDescent="0.15">
      <c r="A99" s="29" t="str">
        <f t="shared" si="21"/>
        <v>11004_1_23</v>
      </c>
      <c r="B99" s="27" t="s">
        <v>33</v>
      </c>
      <c r="C99" s="5">
        <v>11004</v>
      </c>
      <c r="D99" s="4" t="str">
        <f ca="1">VLOOKUP($C99,OFFSET([1]quests!$A$1,0,0,COUNTA([1]quests!$A:$A),MATCH(D$1,[1]quests!$1:$1,0)-MATCH($C$1,[1]quests!$1:$1,0)+1),MATCH(D$1,[1]quests!$1:$1,0)-MATCH($C$1,[1]quests!$1:$1,0)+1,FALSE)</f>
        <v>【木曜限定】 緑の素材</v>
      </c>
      <c r="E99" s="4" t="str">
        <f ca="1">VLOOKUP($C99,OFFSET([1]quests!$A$1,0,0,COUNTA([1]quests!$A:$A),MATCH(E$1,[1]quests!$1:$1,0)-MATCH($C$1,[1]quests!$1:$1,0)+1),MATCH(E$1,[1]quests!$1:$1,0)-MATCH($C$1,[1]quests!$1:$1,0)+1,FALSE)</f>
        <v>木曜クエスト</v>
      </c>
      <c r="F99" s="6">
        <v>1</v>
      </c>
      <c r="G99" s="4" t="str">
        <f ca="1">VLOOKUP($C99&amp;"_"&amp;$F99,OFFSET([1]stages!$A$1,0,0,COUNTA([1]stages!$A:$A),MATCH(G$1,[1]stages!$2:$2,0)-MATCH("temp_stage",[1]stages!$2:$2,0)+1),MATCH(G$1,[1]stages!$2:$2,0)-MATCH("temp_stage",[1]stages!$2:$2,0)+1,FALSE)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99" s="4" t="str">
        <f ca="1">VLOOKUP($C99&amp;"_"&amp;$F99,OFFSET([1]stages!$A$1,0,0,COUNTA([1]stages!$A:$A),MATCH(H$1,[1]stages!$2:$2,0)-MATCH("temp_stage",[1]stages!$2:$2,0)+1),MATCH(H$1,[1]stages!$2:$2,0)-MATCH("temp_stage",[1]stages!$2:$2,0)+1,FALSE)</f>
        <v>木曜クエスト</v>
      </c>
      <c r="I99" s="19">
        <v>0</v>
      </c>
      <c r="J99" s="6">
        <f>COUNTIF(C$1:C99,C99)</f>
        <v>23</v>
      </c>
      <c r="K99">
        <v>24</v>
      </c>
      <c r="L99" s="6" t="s">
        <v>17</v>
      </c>
      <c r="M99" s="36" t="str">
        <f>VLOOKUP(K99,[2]stage_hints!$A:$C,3,FALSE)</f>
        <v>りんごを使って限界突破</v>
      </c>
      <c r="N99" s="37" t="str">
        <f>VLOOKUP(K99,[2]stage_hints!$A:$D,4,FALSE)</f>
        <v>赤りんご(攻撃力) 青りんご(回復力)_x000D_緑りんご(体力)をユニット強化に使うと_x000D_ステータスが限界突破します（計99個迄）</v>
      </c>
      <c r="O99" s="22" t="s">
        <v>117</v>
      </c>
      <c r="P99">
        <v>24</v>
      </c>
    </row>
    <row r="100" spans="1:16" x14ac:dyDescent="0.15">
      <c r="A100" s="29" t="str">
        <f t="shared" si="21"/>
        <v>11004_1_24</v>
      </c>
      <c r="B100" s="27" t="s">
        <v>33</v>
      </c>
      <c r="C100" s="5">
        <v>11004</v>
      </c>
      <c r="D100" s="4" t="str">
        <f ca="1">VLOOKUP($C100,OFFSET([1]quests!$A$1,0,0,COUNTA([1]quests!$A:$A),MATCH(D$1,[1]quests!$1:$1,0)-MATCH($C$1,[1]quests!$1:$1,0)+1),MATCH(D$1,[1]quests!$1:$1,0)-MATCH($C$1,[1]quests!$1:$1,0)+1,FALSE)</f>
        <v>【木曜限定】 緑の素材</v>
      </c>
      <c r="E100" s="4" t="str">
        <f ca="1">VLOOKUP($C100,OFFSET([1]quests!$A$1,0,0,COUNTA([1]quests!$A:$A),MATCH(E$1,[1]quests!$1:$1,0)-MATCH($C$1,[1]quests!$1:$1,0)+1),MATCH(E$1,[1]quests!$1:$1,0)-MATCH($C$1,[1]quests!$1:$1,0)+1,FALSE)</f>
        <v>木曜クエスト</v>
      </c>
      <c r="F100" s="6">
        <v>1</v>
      </c>
      <c r="G100" s="4" t="str">
        <f ca="1">VLOOKUP($C100&amp;"_"&amp;$F100,OFFSET([1]stages!$A$1,0,0,COUNTA([1]stages!$A:$A),MATCH(G$1,[1]stages!$2:$2,0)-MATCH("temp_stage",[1]stages!$2:$2,0)+1),MATCH(G$1,[1]stages!$2:$2,0)-MATCH("temp_stage",[1]stages!$2:$2,0)+1,FALSE)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100" s="4" t="str">
        <f ca="1">VLOOKUP($C100&amp;"_"&amp;$F100,OFFSET([1]stages!$A$1,0,0,COUNTA([1]stages!$A:$A),MATCH(H$1,[1]stages!$2:$2,0)-MATCH("temp_stage",[1]stages!$2:$2,0)+1),MATCH(H$1,[1]stages!$2:$2,0)-MATCH("temp_stage",[1]stages!$2:$2,0)+1,FALSE)</f>
        <v>木曜クエスト</v>
      </c>
      <c r="I100" s="19">
        <v>0</v>
      </c>
      <c r="J100" s="6">
        <f>COUNTIF(C$1:C100,C100)</f>
        <v>24</v>
      </c>
      <c r="K100">
        <v>25</v>
      </c>
      <c r="L100" s="6" t="s">
        <v>17</v>
      </c>
      <c r="M100" s="36" t="str">
        <f>VLOOKUP(K100,[2]stage_hints!$A:$C,3,FALSE)</f>
        <v>スキルレベルアップ</v>
      </c>
      <c r="N100" s="37" t="str">
        <f>VLOOKUP(K100,[2]stage_hints!$A:$D,4,FALSE)</f>
        <v>「クリスタルのりんご」を強化に使うと_x000D_スキルレベルを上げることができます</v>
      </c>
      <c r="O100" s="22" t="s">
        <v>117</v>
      </c>
      <c r="P100">
        <v>25</v>
      </c>
    </row>
    <row r="101" spans="1:16" x14ac:dyDescent="0.15">
      <c r="A101" s="29" t="str">
        <f t="shared" si="21"/>
        <v>11004_1_25</v>
      </c>
      <c r="B101" s="27" t="s">
        <v>33</v>
      </c>
      <c r="C101" s="5">
        <v>11004</v>
      </c>
      <c r="D101" s="4" t="str">
        <f ca="1">VLOOKUP($C101,OFFSET([1]quests!$A$1,0,0,COUNTA([1]quests!$A:$A),MATCH(D$1,[1]quests!$1:$1,0)-MATCH($C$1,[1]quests!$1:$1,0)+1),MATCH(D$1,[1]quests!$1:$1,0)-MATCH($C$1,[1]quests!$1:$1,0)+1,FALSE)</f>
        <v>【木曜限定】 緑の素材</v>
      </c>
      <c r="E101" s="4" t="str">
        <f ca="1">VLOOKUP($C101,OFFSET([1]quests!$A$1,0,0,COUNTA([1]quests!$A:$A),MATCH(E$1,[1]quests!$1:$1,0)-MATCH($C$1,[1]quests!$1:$1,0)+1),MATCH(E$1,[1]quests!$1:$1,0)-MATCH($C$1,[1]quests!$1:$1,0)+1,FALSE)</f>
        <v>木曜クエスト</v>
      </c>
      <c r="F101" s="6">
        <v>1</v>
      </c>
      <c r="G101" s="4" t="str">
        <f ca="1">VLOOKUP($C101&amp;"_"&amp;$F101,OFFSET([1]stages!$A$1,0,0,COUNTA([1]stages!$A:$A),MATCH(G$1,[1]stages!$2:$2,0)-MATCH("temp_stage",[1]stages!$2:$2,0)+1),MATCH(G$1,[1]stages!$2:$2,0)-MATCH("temp_stage",[1]stages!$2:$2,0)+1,FALSE)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101" s="4" t="str">
        <f ca="1">VLOOKUP($C101&amp;"_"&amp;$F101,OFFSET([1]stages!$A$1,0,0,COUNTA([1]stages!$A:$A),MATCH(H$1,[1]stages!$2:$2,0)-MATCH("temp_stage",[1]stages!$2:$2,0)+1),MATCH(H$1,[1]stages!$2:$2,0)-MATCH("temp_stage",[1]stages!$2:$2,0)+1,FALSE)</f>
        <v>木曜クエスト</v>
      </c>
      <c r="I101" s="19">
        <v>0</v>
      </c>
      <c r="J101" s="6">
        <f>COUNTIF(C$1:C101,C101)</f>
        <v>25</v>
      </c>
      <c r="K101">
        <v>26</v>
      </c>
      <c r="L101" s="6" t="s">
        <v>17</v>
      </c>
      <c r="M101" s="36" t="str">
        <f>VLOOKUP(K101,[2]stage_hints!$A:$C,3,FALSE)</f>
        <v>スキルレベルの効果</v>
      </c>
      <c r="N101" s="37" t="str">
        <f>VLOOKUP(K101,[2]stage_hints!$A:$D,4,FALSE)</f>
        <v>スキルレベルが上がると_x000D_短いターンでスキルを使うことができます</v>
      </c>
      <c r="O101" s="22" t="s">
        <v>117</v>
      </c>
      <c r="P101">
        <v>26</v>
      </c>
    </row>
    <row r="102" spans="1:16" x14ac:dyDescent="0.15">
      <c r="A102" s="29" t="str">
        <f t="shared" si="21"/>
        <v>11007_1_1</v>
      </c>
      <c r="B102" s="27" t="s">
        <v>33</v>
      </c>
      <c r="C102" s="5">
        <v>11007</v>
      </c>
      <c r="D102" s="4" t="str">
        <f ca="1">VLOOKUP($C102,OFFSET([1]quests!$A$1,0,0,COUNTA([1]quests!$A:$A),MATCH(D$1,[1]quests!$1:$1,0)-MATCH($C$1,[1]quests!$1:$1,0)+1),MATCH(D$1,[1]quests!$1:$1,0)-MATCH($C$1,[1]quests!$1:$1,0)+1,FALSE)</f>
        <v>【土曜限定】 赤と緑の素材</v>
      </c>
      <c r="E102" s="4" t="str">
        <f ca="1">VLOOKUP($C102,OFFSET([1]quests!$A$1,0,0,COUNTA([1]quests!$A:$A),MATCH(E$1,[1]quests!$1:$1,0)-MATCH($C$1,[1]quests!$1:$1,0)+1),MATCH(E$1,[1]quests!$1:$1,0)-MATCH($C$1,[1]quests!$1:$1,0)+1,FALSE)</f>
        <v>土曜クエスト</v>
      </c>
      <c r="F102" s="6">
        <v>1</v>
      </c>
      <c r="G102" s="4" t="str">
        <f ca="1">VLOOKUP($C102&amp;"_"&amp;$F102,OFFSET([1]stages!$A$1,0,0,COUNTA([1]stages!$A:$A),MATCH(G$1,[1]stages!$2:$2,0)-MATCH("temp_stage",[1]stages!$2:$2,0)+1),MATCH(G$1,[1]stages!$2:$2,0)-MATCH("temp_stage",[1]stages!$2:$2,0)+1,FALSE)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02" s="4" t="str">
        <f ca="1">VLOOKUP($C102&amp;"_"&amp;$F102,OFFSET([1]stages!$A$1,0,0,COUNTA([1]stages!$A:$A),MATCH(H$1,[1]stages!$2:$2,0)-MATCH("temp_stage",[1]stages!$2:$2,0)+1),MATCH(H$1,[1]stages!$2:$2,0)-MATCH("temp_stage",[1]stages!$2:$2,0)+1,FALSE)</f>
        <v>土曜クエスト</v>
      </c>
      <c r="I102" s="19">
        <v>0</v>
      </c>
      <c r="J102" s="6">
        <f>COUNTIF(C$1:C102,C102)</f>
        <v>1</v>
      </c>
      <c r="K102">
        <v>1</v>
      </c>
      <c r="L102" s="6" t="s">
        <v>17</v>
      </c>
      <c r="M102" s="36" t="str">
        <f>VLOOKUP(K102,[2]stage_hints!$A:$C,3,FALSE)</f>
        <v>長くつなげて大ダメージ</v>
      </c>
      <c r="N102" s="37" t="str">
        <f>VLOOKUP(K102,[2]stage_hints!$A:$D,4,FALSE)</f>
        <v>パネルを長くつなげるほど_x000D_大ダメージを与えることができます</v>
      </c>
      <c r="O102" s="22" t="s">
        <v>117</v>
      </c>
      <c r="P102">
        <v>1</v>
      </c>
    </row>
    <row r="103" spans="1:16" x14ac:dyDescent="0.15">
      <c r="A103" s="29" t="str">
        <f t="shared" si="21"/>
        <v>11007_1_2</v>
      </c>
      <c r="B103" s="27" t="s">
        <v>33</v>
      </c>
      <c r="C103" s="5">
        <v>11007</v>
      </c>
      <c r="D103" s="4" t="str">
        <f ca="1">VLOOKUP($C103,OFFSET([1]quests!$A$1,0,0,COUNTA([1]quests!$A:$A),MATCH(D$1,[1]quests!$1:$1,0)-MATCH($C$1,[1]quests!$1:$1,0)+1),MATCH(D$1,[1]quests!$1:$1,0)-MATCH($C$1,[1]quests!$1:$1,0)+1,FALSE)</f>
        <v>【土曜限定】 赤と緑の素材</v>
      </c>
      <c r="E103" s="4" t="str">
        <f ca="1">VLOOKUP($C103,OFFSET([1]quests!$A$1,0,0,COUNTA([1]quests!$A:$A),MATCH(E$1,[1]quests!$1:$1,0)-MATCH($C$1,[1]quests!$1:$1,0)+1),MATCH(E$1,[1]quests!$1:$1,0)-MATCH($C$1,[1]quests!$1:$1,0)+1,FALSE)</f>
        <v>土曜クエスト</v>
      </c>
      <c r="F103" s="6">
        <v>1</v>
      </c>
      <c r="G103" s="4" t="str">
        <f ca="1">VLOOKUP($C103&amp;"_"&amp;$F103,OFFSET([1]stages!$A$1,0,0,COUNTA([1]stages!$A:$A),MATCH(G$1,[1]stages!$2:$2,0)-MATCH("temp_stage",[1]stages!$2:$2,0)+1),MATCH(G$1,[1]stages!$2:$2,0)-MATCH("temp_stage",[1]stages!$2:$2,0)+1,FALSE)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03" s="4" t="str">
        <f ca="1">VLOOKUP($C103&amp;"_"&amp;$F103,OFFSET([1]stages!$A$1,0,0,COUNTA([1]stages!$A:$A),MATCH(H$1,[1]stages!$2:$2,0)-MATCH("temp_stage",[1]stages!$2:$2,0)+1),MATCH(H$1,[1]stages!$2:$2,0)-MATCH("temp_stage",[1]stages!$2:$2,0)+1,FALSE)</f>
        <v>土曜クエスト</v>
      </c>
      <c r="I103" s="19">
        <v>0</v>
      </c>
      <c r="J103" s="6">
        <f>COUNTIF(C$1:C103,C103)</f>
        <v>2</v>
      </c>
      <c r="K103">
        <v>2</v>
      </c>
      <c r="L103" s="6" t="s">
        <v>17</v>
      </c>
      <c r="M103" s="36" t="str">
        <f>VLOOKUP(K103,[2]stage_hints!$A:$C,3,FALSE)</f>
        <v>属性の相性</v>
      </c>
      <c r="N103" s="37" t="str">
        <f>VLOOKUP(K103,[2]stage_hints!$A:$D,4,FALSE)</f>
        <v>赤＞青　青＞黄　黄＞緑　緑＞赤_x000D_敵属性に最適なパーティがオススメです</v>
      </c>
      <c r="O103" s="22" t="s">
        <v>117</v>
      </c>
      <c r="P103">
        <v>2</v>
      </c>
    </row>
    <row r="104" spans="1:16" x14ac:dyDescent="0.15">
      <c r="A104" s="29" t="str">
        <f t="shared" si="21"/>
        <v>11007_1_3</v>
      </c>
      <c r="B104" s="27" t="s">
        <v>33</v>
      </c>
      <c r="C104" s="5">
        <v>11007</v>
      </c>
      <c r="D104" s="4" t="str">
        <f ca="1">VLOOKUP($C104,OFFSET([1]quests!$A$1,0,0,COUNTA([1]quests!$A:$A),MATCH(D$1,[1]quests!$1:$1,0)-MATCH($C$1,[1]quests!$1:$1,0)+1),MATCH(D$1,[1]quests!$1:$1,0)-MATCH($C$1,[1]quests!$1:$1,0)+1,FALSE)</f>
        <v>【土曜限定】 赤と緑の素材</v>
      </c>
      <c r="E104" s="4" t="str">
        <f ca="1">VLOOKUP($C104,OFFSET([1]quests!$A$1,0,0,COUNTA([1]quests!$A:$A),MATCH(E$1,[1]quests!$1:$1,0)-MATCH($C$1,[1]quests!$1:$1,0)+1),MATCH(E$1,[1]quests!$1:$1,0)-MATCH($C$1,[1]quests!$1:$1,0)+1,FALSE)</f>
        <v>土曜クエスト</v>
      </c>
      <c r="F104" s="6">
        <v>1</v>
      </c>
      <c r="G104" s="4" t="str">
        <f ca="1">VLOOKUP($C104&amp;"_"&amp;$F104,OFFSET([1]stages!$A$1,0,0,COUNTA([1]stages!$A:$A),MATCH(G$1,[1]stages!$2:$2,0)-MATCH("temp_stage",[1]stages!$2:$2,0)+1),MATCH(G$1,[1]stages!$2:$2,0)-MATCH("temp_stage",[1]stages!$2:$2,0)+1,FALSE)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04" s="4" t="str">
        <f ca="1">VLOOKUP($C104&amp;"_"&amp;$F104,OFFSET([1]stages!$A$1,0,0,COUNTA([1]stages!$A:$A),MATCH(H$1,[1]stages!$2:$2,0)-MATCH("temp_stage",[1]stages!$2:$2,0)+1),MATCH(H$1,[1]stages!$2:$2,0)-MATCH("temp_stage",[1]stages!$2:$2,0)+1,FALSE)</f>
        <v>土曜クエスト</v>
      </c>
      <c r="I104" s="19">
        <v>0</v>
      </c>
      <c r="J104" s="6">
        <f>COUNTIF(C$1:C104,C104)</f>
        <v>3</v>
      </c>
      <c r="K104">
        <v>3</v>
      </c>
      <c r="L104" s="6" t="s">
        <v>17</v>
      </c>
      <c r="M104" s="36" t="str">
        <f>VLOOKUP(K104,[2]stage_hints!$A:$C,3,FALSE)</f>
        <v>ターゲット</v>
      </c>
      <c r="N104" s="37" t="str">
        <f>VLOOKUP(K104,[2]stage_hints!$A:$D,4,FALSE)</f>
        <v>敵ユニットをタップすると_x000D_その敵を狙い撃ちできます</v>
      </c>
      <c r="O104" s="22" t="s">
        <v>117</v>
      </c>
      <c r="P104">
        <v>3</v>
      </c>
    </row>
    <row r="105" spans="1:16" x14ac:dyDescent="0.15">
      <c r="A105" s="29" t="str">
        <f t="shared" si="21"/>
        <v>11007_1_4</v>
      </c>
      <c r="B105" s="27" t="s">
        <v>33</v>
      </c>
      <c r="C105" s="5">
        <v>11007</v>
      </c>
      <c r="D105" s="4" t="str">
        <f ca="1">VLOOKUP($C105,OFFSET([1]quests!$A$1,0,0,COUNTA([1]quests!$A:$A),MATCH(D$1,[1]quests!$1:$1,0)-MATCH($C$1,[1]quests!$1:$1,0)+1),MATCH(D$1,[1]quests!$1:$1,0)-MATCH($C$1,[1]quests!$1:$1,0)+1,FALSE)</f>
        <v>【土曜限定】 赤と緑の素材</v>
      </c>
      <c r="E105" s="4" t="str">
        <f ca="1">VLOOKUP($C105,OFFSET([1]quests!$A$1,0,0,COUNTA([1]quests!$A:$A),MATCH(E$1,[1]quests!$1:$1,0)-MATCH($C$1,[1]quests!$1:$1,0)+1),MATCH(E$1,[1]quests!$1:$1,0)-MATCH($C$1,[1]quests!$1:$1,0)+1,FALSE)</f>
        <v>土曜クエスト</v>
      </c>
      <c r="F105" s="6">
        <v>1</v>
      </c>
      <c r="G105" s="4" t="str">
        <f ca="1">VLOOKUP($C105&amp;"_"&amp;$F105,OFFSET([1]stages!$A$1,0,0,COUNTA([1]stages!$A:$A),MATCH(G$1,[1]stages!$2:$2,0)-MATCH("temp_stage",[1]stages!$2:$2,0)+1),MATCH(G$1,[1]stages!$2:$2,0)-MATCH("temp_stage",[1]stages!$2:$2,0)+1,FALSE)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05" s="4" t="str">
        <f ca="1">VLOOKUP($C105&amp;"_"&amp;$F105,OFFSET([1]stages!$A$1,0,0,COUNTA([1]stages!$A:$A),MATCH(H$1,[1]stages!$2:$2,0)-MATCH("temp_stage",[1]stages!$2:$2,0)+1),MATCH(H$1,[1]stages!$2:$2,0)-MATCH("temp_stage",[1]stages!$2:$2,0)+1,FALSE)</f>
        <v>土曜クエスト</v>
      </c>
      <c r="I105" s="19">
        <v>0</v>
      </c>
      <c r="J105" s="6">
        <f>COUNTIF(C$1:C105,C105)</f>
        <v>4</v>
      </c>
      <c r="K105">
        <v>5</v>
      </c>
      <c r="L105" s="6" t="s">
        <v>17</v>
      </c>
      <c r="M105" s="36" t="str">
        <f>VLOOKUP(K105,[2]stage_hints!$A:$C,3,FALSE)</f>
        <v>ユニット強化でレベルアップ</v>
      </c>
      <c r="N105" s="37" t="str">
        <f>VLOOKUP(K105,[2]stage_hints!$A:$D,4,FALSE)</f>
        <v>「ユニット強化」でレベルアップすると_x000D_勝てない敵にも勝てるようになります</v>
      </c>
      <c r="O105" s="22" t="s">
        <v>117</v>
      </c>
      <c r="P105">
        <v>5</v>
      </c>
    </row>
    <row r="106" spans="1:16" x14ac:dyDescent="0.15">
      <c r="A106" s="29" t="str">
        <f t="shared" si="21"/>
        <v>11007_1_5</v>
      </c>
      <c r="B106" s="27" t="s">
        <v>33</v>
      </c>
      <c r="C106" s="5">
        <v>11007</v>
      </c>
      <c r="D106" s="4" t="str">
        <f ca="1">VLOOKUP($C106,OFFSET([1]quests!$A$1,0,0,COUNTA([1]quests!$A:$A),MATCH(D$1,[1]quests!$1:$1,0)-MATCH($C$1,[1]quests!$1:$1,0)+1),MATCH(D$1,[1]quests!$1:$1,0)-MATCH($C$1,[1]quests!$1:$1,0)+1,FALSE)</f>
        <v>【土曜限定】 赤と緑の素材</v>
      </c>
      <c r="E106" s="4" t="str">
        <f ca="1">VLOOKUP($C106,OFFSET([1]quests!$A$1,0,0,COUNTA([1]quests!$A:$A),MATCH(E$1,[1]quests!$1:$1,0)-MATCH($C$1,[1]quests!$1:$1,0)+1),MATCH(E$1,[1]quests!$1:$1,0)-MATCH($C$1,[1]quests!$1:$1,0)+1,FALSE)</f>
        <v>土曜クエスト</v>
      </c>
      <c r="F106" s="6">
        <v>1</v>
      </c>
      <c r="G106" s="4" t="str">
        <f ca="1">VLOOKUP($C106&amp;"_"&amp;$F106,OFFSET([1]stages!$A$1,0,0,COUNTA([1]stages!$A:$A),MATCH(G$1,[1]stages!$2:$2,0)-MATCH("temp_stage",[1]stages!$2:$2,0)+1),MATCH(G$1,[1]stages!$2:$2,0)-MATCH("temp_stage",[1]stages!$2:$2,0)+1,FALSE)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06" s="4" t="str">
        <f ca="1">VLOOKUP($C106&amp;"_"&amp;$F106,OFFSET([1]stages!$A$1,0,0,COUNTA([1]stages!$A:$A),MATCH(H$1,[1]stages!$2:$2,0)-MATCH("temp_stage",[1]stages!$2:$2,0)+1),MATCH(H$1,[1]stages!$2:$2,0)-MATCH("temp_stage",[1]stages!$2:$2,0)+1,FALSE)</f>
        <v>土曜クエスト</v>
      </c>
      <c r="I106" s="19">
        <v>0</v>
      </c>
      <c r="J106" s="6">
        <f>COUNTIF(C$1:C106,C106)</f>
        <v>5</v>
      </c>
      <c r="K106">
        <v>6</v>
      </c>
      <c r="L106" s="6" t="s">
        <v>17</v>
      </c>
      <c r="M106" s="36" t="str">
        <f>VLOOKUP(K106,[2]stage_hints!$A:$C,3,FALSE)</f>
        <v>ユニット強化の属性ボーナス</v>
      </c>
      <c r="N106" s="37" t="str">
        <f>VLOOKUP(K106,[2]stage_hints!$A:$D,4,FALSE)</f>
        <v>同属性ユニットを強化素材にすると_x000D_経験値が多くもらえます</v>
      </c>
      <c r="O106" s="22" t="s">
        <v>117</v>
      </c>
      <c r="P106">
        <v>6</v>
      </c>
    </row>
    <row r="107" spans="1:16" x14ac:dyDescent="0.15">
      <c r="A107" s="29" t="str">
        <f t="shared" si="21"/>
        <v>11007_1_6</v>
      </c>
      <c r="B107" s="27" t="s">
        <v>33</v>
      </c>
      <c r="C107" s="5">
        <v>11007</v>
      </c>
      <c r="D107" s="4" t="str">
        <f ca="1">VLOOKUP($C107,OFFSET([1]quests!$A$1,0,0,COUNTA([1]quests!$A:$A),MATCH(D$1,[1]quests!$1:$1,0)-MATCH($C$1,[1]quests!$1:$1,0)+1),MATCH(D$1,[1]quests!$1:$1,0)-MATCH($C$1,[1]quests!$1:$1,0)+1,FALSE)</f>
        <v>【土曜限定】 赤と緑の素材</v>
      </c>
      <c r="E107" s="4" t="str">
        <f ca="1">VLOOKUP($C107,OFFSET([1]quests!$A$1,0,0,COUNTA([1]quests!$A:$A),MATCH(E$1,[1]quests!$1:$1,0)-MATCH($C$1,[1]quests!$1:$1,0)+1),MATCH(E$1,[1]quests!$1:$1,0)-MATCH($C$1,[1]quests!$1:$1,0)+1,FALSE)</f>
        <v>土曜クエスト</v>
      </c>
      <c r="F107" s="6">
        <v>1</v>
      </c>
      <c r="G107" s="4" t="str">
        <f ca="1">VLOOKUP($C107&amp;"_"&amp;$F107,OFFSET([1]stages!$A$1,0,0,COUNTA([1]stages!$A:$A),MATCH(G$1,[1]stages!$2:$2,0)-MATCH("temp_stage",[1]stages!$2:$2,0)+1),MATCH(G$1,[1]stages!$2:$2,0)-MATCH("temp_stage",[1]stages!$2:$2,0)+1,FALSE)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07" s="4" t="str">
        <f ca="1">VLOOKUP($C107&amp;"_"&amp;$F107,OFFSET([1]stages!$A$1,0,0,COUNTA([1]stages!$A:$A),MATCH(H$1,[1]stages!$2:$2,0)-MATCH("temp_stage",[1]stages!$2:$2,0)+1),MATCH(H$1,[1]stages!$2:$2,0)-MATCH("temp_stage",[1]stages!$2:$2,0)+1,FALSE)</f>
        <v>土曜クエスト</v>
      </c>
      <c r="I107" s="19">
        <v>0</v>
      </c>
      <c r="J107" s="6">
        <f>COUNTIF(C$1:C107,C107)</f>
        <v>6</v>
      </c>
      <c r="K107">
        <v>7</v>
      </c>
      <c r="L107" s="6" t="s">
        <v>17</v>
      </c>
      <c r="M107" s="36" t="str">
        <f>VLOOKUP(K107,[2]stage_hints!$A:$C,3,FALSE)</f>
        <v>メタルダックで経験値を獲得</v>
      </c>
      <c r="N107" s="37" t="str">
        <f>VLOOKUP(K107,[2]stage_hints!$A:$D,4,FALSE)</f>
        <v>「メタルなアヒル」を強化素材にすると_x000D_大量の経験値がもらえます</v>
      </c>
      <c r="O107" s="22" t="s">
        <v>117</v>
      </c>
      <c r="P107">
        <v>7</v>
      </c>
    </row>
    <row r="108" spans="1:16" x14ac:dyDescent="0.15">
      <c r="A108" s="29" t="str">
        <f t="shared" si="21"/>
        <v>11007_1_7</v>
      </c>
      <c r="B108" s="27" t="s">
        <v>33</v>
      </c>
      <c r="C108" s="5">
        <v>11007</v>
      </c>
      <c r="D108" s="4" t="str">
        <f ca="1">VLOOKUP($C108,OFFSET([1]quests!$A$1,0,0,COUNTA([1]quests!$A:$A),MATCH(D$1,[1]quests!$1:$1,0)-MATCH($C$1,[1]quests!$1:$1,0)+1),MATCH(D$1,[1]quests!$1:$1,0)-MATCH($C$1,[1]quests!$1:$1,0)+1,FALSE)</f>
        <v>【土曜限定】 赤と緑の素材</v>
      </c>
      <c r="E108" s="4" t="str">
        <f ca="1">VLOOKUP($C108,OFFSET([1]quests!$A$1,0,0,COUNTA([1]quests!$A:$A),MATCH(E$1,[1]quests!$1:$1,0)-MATCH($C$1,[1]quests!$1:$1,0)+1),MATCH(E$1,[1]quests!$1:$1,0)-MATCH($C$1,[1]quests!$1:$1,0)+1,FALSE)</f>
        <v>土曜クエスト</v>
      </c>
      <c r="F108" s="6">
        <v>1</v>
      </c>
      <c r="G108" s="4" t="str">
        <f ca="1">VLOOKUP($C108&amp;"_"&amp;$F108,OFFSET([1]stages!$A$1,0,0,COUNTA([1]stages!$A:$A),MATCH(G$1,[1]stages!$2:$2,0)-MATCH("temp_stage",[1]stages!$2:$2,0)+1),MATCH(G$1,[1]stages!$2:$2,0)-MATCH("temp_stage",[1]stages!$2:$2,0)+1,FALSE)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08" s="4" t="str">
        <f ca="1">VLOOKUP($C108&amp;"_"&amp;$F108,OFFSET([1]stages!$A$1,0,0,COUNTA([1]stages!$A:$A),MATCH(H$1,[1]stages!$2:$2,0)-MATCH("temp_stage",[1]stages!$2:$2,0)+1),MATCH(H$1,[1]stages!$2:$2,0)-MATCH("temp_stage",[1]stages!$2:$2,0)+1,FALSE)</f>
        <v>土曜クエスト</v>
      </c>
      <c r="I108" s="19">
        <v>0</v>
      </c>
      <c r="J108" s="6">
        <f>COUNTIF(C$1:C108,C108)</f>
        <v>7</v>
      </c>
      <c r="K108">
        <v>8</v>
      </c>
      <c r="L108" s="6" t="s">
        <v>17</v>
      </c>
      <c r="M108" s="36" t="str">
        <f>VLOOKUP(K108,[2]stage_hints!$A:$C,3,FALSE)</f>
        <v>ゲリラクエストは要チェック</v>
      </c>
      <c r="N108" s="37" t="str">
        <f>VLOOKUP(K108,[2]stage_hints!$A:$D,4,FALSE)</f>
        <v>時間限定の「アヒル捕獲作戦」では_x000D_経験値素材ユニットが多く手に入ります</v>
      </c>
      <c r="O108" s="22" t="s">
        <v>117</v>
      </c>
      <c r="P108">
        <v>8</v>
      </c>
    </row>
    <row r="109" spans="1:16" x14ac:dyDescent="0.15">
      <c r="A109" s="29" t="str">
        <f t="shared" si="21"/>
        <v>11007_1_8</v>
      </c>
      <c r="B109" s="27" t="s">
        <v>33</v>
      </c>
      <c r="C109" s="5">
        <v>11007</v>
      </c>
      <c r="D109" s="4" t="str">
        <f ca="1">VLOOKUP($C109,OFFSET([1]quests!$A$1,0,0,COUNTA([1]quests!$A:$A),MATCH(D$1,[1]quests!$1:$1,0)-MATCH($C$1,[1]quests!$1:$1,0)+1),MATCH(D$1,[1]quests!$1:$1,0)-MATCH($C$1,[1]quests!$1:$1,0)+1,FALSE)</f>
        <v>【土曜限定】 赤と緑の素材</v>
      </c>
      <c r="E109" s="4" t="str">
        <f ca="1">VLOOKUP($C109,OFFSET([1]quests!$A$1,0,0,COUNTA([1]quests!$A:$A),MATCH(E$1,[1]quests!$1:$1,0)-MATCH($C$1,[1]quests!$1:$1,0)+1),MATCH(E$1,[1]quests!$1:$1,0)-MATCH($C$1,[1]quests!$1:$1,0)+1,FALSE)</f>
        <v>土曜クエスト</v>
      </c>
      <c r="F109" s="6">
        <v>1</v>
      </c>
      <c r="G109" s="4" t="str">
        <f ca="1">VLOOKUP($C109&amp;"_"&amp;$F109,OFFSET([1]stages!$A$1,0,0,COUNTA([1]stages!$A:$A),MATCH(G$1,[1]stages!$2:$2,0)-MATCH("temp_stage",[1]stages!$2:$2,0)+1),MATCH(G$1,[1]stages!$2:$2,0)-MATCH("temp_stage",[1]stages!$2:$2,0)+1,FALSE)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09" s="4" t="str">
        <f ca="1">VLOOKUP($C109&amp;"_"&amp;$F109,OFFSET([1]stages!$A$1,0,0,COUNTA([1]stages!$A:$A),MATCH(H$1,[1]stages!$2:$2,0)-MATCH("temp_stage",[1]stages!$2:$2,0)+1),MATCH(H$1,[1]stages!$2:$2,0)-MATCH("temp_stage",[1]stages!$2:$2,0)+1,FALSE)</f>
        <v>土曜クエスト</v>
      </c>
      <c r="I109" s="19">
        <v>0</v>
      </c>
      <c r="J109" s="6">
        <f>COUNTIF(C$1:C109,C109)</f>
        <v>8</v>
      </c>
      <c r="K109">
        <v>9</v>
      </c>
      <c r="L109" s="6" t="s">
        <v>17</v>
      </c>
      <c r="M109" s="36" t="str">
        <f>VLOOKUP(K109,[2]stage_hints!$A:$C,3,FALSE)</f>
        <v>ゴールドダックでビットを獲得</v>
      </c>
      <c r="N109" s="37" t="str">
        <f>VLOOKUP(K109,[2]stage_hints!$A:$D,4,FALSE)</f>
        <v>「ゴールドなアヒル」を売却すると_x000D_大量のビットがもらえます</v>
      </c>
      <c r="O109" s="22" t="s">
        <v>117</v>
      </c>
      <c r="P109">
        <v>9</v>
      </c>
    </row>
    <row r="110" spans="1:16" x14ac:dyDescent="0.15">
      <c r="A110" s="29" t="str">
        <f t="shared" si="21"/>
        <v>11007_1_9</v>
      </c>
      <c r="B110" s="27" t="s">
        <v>33</v>
      </c>
      <c r="C110" s="5">
        <v>11007</v>
      </c>
      <c r="D110" s="4" t="str">
        <f ca="1">VLOOKUP($C110,OFFSET([1]quests!$A$1,0,0,COUNTA([1]quests!$A:$A),MATCH(D$1,[1]quests!$1:$1,0)-MATCH($C$1,[1]quests!$1:$1,0)+1),MATCH(D$1,[1]quests!$1:$1,0)-MATCH($C$1,[1]quests!$1:$1,0)+1,FALSE)</f>
        <v>【土曜限定】 赤と緑の素材</v>
      </c>
      <c r="E110" s="4" t="str">
        <f ca="1">VLOOKUP($C110,OFFSET([1]quests!$A$1,0,0,COUNTA([1]quests!$A:$A),MATCH(E$1,[1]quests!$1:$1,0)-MATCH($C$1,[1]quests!$1:$1,0)+1),MATCH(E$1,[1]quests!$1:$1,0)-MATCH($C$1,[1]quests!$1:$1,0)+1,FALSE)</f>
        <v>土曜クエスト</v>
      </c>
      <c r="F110" s="6">
        <v>1</v>
      </c>
      <c r="G110" s="4" t="str">
        <f ca="1">VLOOKUP($C110&amp;"_"&amp;$F110,OFFSET([1]stages!$A$1,0,0,COUNTA([1]stages!$A:$A),MATCH(G$1,[1]stages!$2:$2,0)-MATCH("temp_stage",[1]stages!$2:$2,0)+1),MATCH(G$1,[1]stages!$2:$2,0)-MATCH("temp_stage",[1]stages!$2:$2,0)+1,FALSE)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10" s="4" t="str">
        <f ca="1">VLOOKUP($C110&amp;"_"&amp;$F110,OFFSET([1]stages!$A$1,0,0,COUNTA([1]stages!$A:$A),MATCH(H$1,[1]stages!$2:$2,0)-MATCH("temp_stage",[1]stages!$2:$2,0)+1),MATCH(H$1,[1]stages!$2:$2,0)-MATCH("temp_stage",[1]stages!$2:$2,0)+1,FALSE)</f>
        <v>土曜クエスト</v>
      </c>
      <c r="I110" s="19">
        <v>0</v>
      </c>
      <c r="J110" s="6">
        <f>COUNTIF(C$1:C110,C110)</f>
        <v>9</v>
      </c>
      <c r="K110">
        <v>10</v>
      </c>
      <c r="L110" s="6" t="s">
        <v>17</v>
      </c>
      <c r="M110" s="36" t="str">
        <f>VLOOKUP(K110,[2]stage_hints!$A:$C,3,FALSE)</f>
        <v>土日に大量のビットを獲得</v>
      </c>
      <c r="N110" s="37" t="str">
        <f>VLOOKUP(K110,[2]stage_hints!$A:$D,4,FALSE)</f>
        <v>土日限定の「ゴールドカジノ」では_x000D_売却素材ユニットが多く手に入ります</v>
      </c>
      <c r="O110" s="22" t="s">
        <v>117</v>
      </c>
      <c r="P110">
        <v>10</v>
      </c>
    </row>
    <row r="111" spans="1:16" x14ac:dyDescent="0.15">
      <c r="A111" s="29" t="str">
        <f t="shared" si="21"/>
        <v>11007_1_10</v>
      </c>
      <c r="B111" s="27" t="s">
        <v>33</v>
      </c>
      <c r="C111" s="5">
        <v>11007</v>
      </c>
      <c r="D111" s="4" t="str">
        <f ca="1">VLOOKUP($C111,OFFSET([1]quests!$A$1,0,0,COUNTA([1]quests!$A:$A),MATCH(D$1,[1]quests!$1:$1,0)-MATCH($C$1,[1]quests!$1:$1,0)+1),MATCH(D$1,[1]quests!$1:$1,0)-MATCH($C$1,[1]quests!$1:$1,0)+1,FALSE)</f>
        <v>【土曜限定】 赤と緑の素材</v>
      </c>
      <c r="E111" s="4" t="str">
        <f ca="1">VLOOKUP($C111,OFFSET([1]quests!$A$1,0,0,COUNTA([1]quests!$A:$A),MATCH(E$1,[1]quests!$1:$1,0)-MATCH($C$1,[1]quests!$1:$1,0)+1),MATCH(E$1,[1]quests!$1:$1,0)-MATCH($C$1,[1]quests!$1:$1,0)+1,FALSE)</f>
        <v>土曜クエスト</v>
      </c>
      <c r="F111" s="6">
        <v>1</v>
      </c>
      <c r="G111" s="4" t="str">
        <f ca="1">VLOOKUP($C111&amp;"_"&amp;$F111,OFFSET([1]stages!$A$1,0,0,COUNTA([1]stages!$A:$A),MATCH(G$1,[1]stages!$2:$2,0)-MATCH("temp_stage",[1]stages!$2:$2,0)+1),MATCH(G$1,[1]stages!$2:$2,0)-MATCH("temp_stage",[1]stages!$2:$2,0)+1,FALSE)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11" s="4" t="str">
        <f ca="1">VLOOKUP($C111&amp;"_"&amp;$F111,OFFSET([1]stages!$A$1,0,0,COUNTA([1]stages!$A:$A),MATCH(H$1,[1]stages!$2:$2,0)-MATCH("temp_stage",[1]stages!$2:$2,0)+1),MATCH(H$1,[1]stages!$2:$2,0)-MATCH("temp_stage",[1]stages!$2:$2,0)+1,FALSE)</f>
        <v>土曜クエスト</v>
      </c>
      <c r="I111" s="19">
        <v>0</v>
      </c>
      <c r="J111" s="6">
        <f>COUNTIF(C$1:C111,C111)</f>
        <v>10</v>
      </c>
      <c r="K111">
        <v>11</v>
      </c>
      <c r="L111" s="6" t="s">
        <v>17</v>
      </c>
      <c r="M111" s="36" t="str">
        <f>VLOOKUP(K111,[2]stage_hints!$A:$C,3,FALSE)</f>
        <v>ランク解放クエスト</v>
      </c>
      <c r="N111" s="37" t="str">
        <f>VLOOKUP(K111,[2]stage_hints!$A:$D,4,FALSE)</f>
        <v>一定ランクに到達すると_x000D_報酬付きのランク開放クエストが現れます</v>
      </c>
      <c r="O111" s="22" t="s">
        <v>117</v>
      </c>
      <c r="P111">
        <v>11</v>
      </c>
    </row>
    <row r="112" spans="1:16" x14ac:dyDescent="0.15">
      <c r="A112" s="29" t="str">
        <f t="shared" si="21"/>
        <v>11007_1_11</v>
      </c>
      <c r="B112" s="27" t="s">
        <v>33</v>
      </c>
      <c r="C112" s="5">
        <v>11007</v>
      </c>
      <c r="D112" s="4" t="str">
        <f ca="1">VLOOKUP($C112,OFFSET([1]quests!$A$1,0,0,COUNTA([1]quests!$A:$A),MATCH(D$1,[1]quests!$1:$1,0)-MATCH($C$1,[1]quests!$1:$1,0)+1),MATCH(D$1,[1]quests!$1:$1,0)-MATCH($C$1,[1]quests!$1:$1,0)+1,FALSE)</f>
        <v>【土曜限定】 赤と緑の素材</v>
      </c>
      <c r="E112" s="4" t="str">
        <f ca="1">VLOOKUP($C112,OFFSET([1]quests!$A$1,0,0,COUNTA([1]quests!$A:$A),MATCH(E$1,[1]quests!$1:$1,0)-MATCH($C$1,[1]quests!$1:$1,0)+1),MATCH(E$1,[1]quests!$1:$1,0)-MATCH($C$1,[1]quests!$1:$1,0)+1,FALSE)</f>
        <v>土曜クエスト</v>
      </c>
      <c r="F112" s="6">
        <v>1</v>
      </c>
      <c r="G112" s="4" t="str">
        <f ca="1">VLOOKUP($C112&amp;"_"&amp;$F112,OFFSET([1]stages!$A$1,0,0,COUNTA([1]stages!$A:$A),MATCH(G$1,[1]stages!$2:$2,0)-MATCH("temp_stage",[1]stages!$2:$2,0)+1),MATCH(G$1,[1]stages!$2:$2,0)-MATCH("temp_stage",[1]stages!$2:$2,0)+1,FALSE)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12" s="4" t="str">
        <f ca="1">VLOOKUP($C112&amp;"_"&amp;$F112,OFFSET([1]stages!$A$1,0,0,COUNTA([1]stages!$A:$A),MATCH(H$1,[1]stages!$2:$2,0)-MATCH("temp_stage",[1]stages!$2:$2,0)+1),MATCH(H$1,[1]stages!$2:$2,0)-MATCH("temp_stage",[1]stages!$2:$2,0)+1,FALSE)</f>
        <v>土曜クエスト</v>
      </c>
      <c r="I112" s="19">
        <v>0</v>
      </c>
      <c r="J112" s="6">
        <f>COUNTIF(C$1:C112,C112)</f>
        <v>11</v>
      </c>
      <c r="K112">
        <v>12</v>
      </c>
      <c r="L112" s="6" t="s">
        <v>17</v>
      </c>
      <c r="M112" s="36" t="str">
        <f>VLOOKUP(K112,[2]stage_hints!$A:$C,3,FALSE)</f>
        <v>ユニットのお気に入り登録</v>
      </c>
      <c r="N112" s="37" t="str">
        <f>VLOOKUP(K112,[2]stage_hints!$A:$D,4,FALSE)</f>
        <v>大事なユニットを誤って消さないように_x000D_フォルダから「お気に入り登録」しましょう</v>
      </c>
      <c r="O112" s="22" t="s">
        <v>117</v>
      </c>
      <c r="P112">
        <v>12</v>
      </c>
    </row>
    <row r="113" spans="1:16" x14ac:dyDescent="0.15">
      <c r="A113" s="29" t="str">
        <f t="shared" si="21"/>
        <v>11007_1_12</v>
      </c>
      <c r="B113" s="27" t="s">
        <v>33</v>
      </c>
      <c r="C113" s="5">
        <v>11007</v>
      </c>
      <c r="D113" s="4" t="str">
        <f ca="1">VLOOKUP($C113,OFFSET([1]quests!$A$1,0,0,COUNTA([1]quests!$A:$A),MATCH(D$1,[1]quests!$1:$1,0)-MATCH($C$1,[1]quests!$1:$1,0)+1),MATCH(D$1,[1]quests!$1:$1,0)-MATCH($C$1,[1]quests!$1:$1,0)+1,FALSE)</f>
        <v>【土曜限定】 赤と緑の素材</v>
      </c>
      <c r="E113" s="4" t="str">
        <f ca="1">VLOOKUP($C113,OFFSET([1]quests!$A$1,0,0,COUNTA([1]quests!$A:$A),MATCH(E$1,[1]quests!$1:$1,0)-MATCH($C$1,[1]quests!$1:$1,0)+1),MATCH(E$1,[1]quests!$1:$1,0)-MATCH($C$1,[1]quests!$1:$1,0)+1,FALSE)</f>
        <v>土曜クエスト</v>
      </c>
      <c r="F113" s="6">
        <v>1</v>
      </c>
      <c r="G113" s="4" t="str">
        <f ca="1">VLOOKUP($C113&amp;"_"&amp;$F113,OFFSET([1]stages!$A$1,0,0,COUNTA([1]stages!$A:$A),MATCH(G$1,[1]stages!$2:$2,0)-MATCH("temp_stage",[1]stages!$2:$2,0)+1),MATCH(G$1,[1]stages!$2:$2,0)-MATCH("temp_stage",[1]stages!$2:$2,0)+1,FALSE)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13" s="4" t="str">
        <f ca="1">VLOOKUP($C113&amp;"_"&amp;$F113,OFFSET([1]stages!$A$1,0,0,COUNTA([1]stages!$A:$A),MATCH(H$1,[1]stages!$2:$2,0)-MATCH("temp_stage",[1]stages!$2:$2,0)+1),MATCH(H$1,[1]stages!$2:$2,0)-MATCH("temp_stage",[1]stages!$2:$2,0)+1,FALSE)</f>
        <v>土曜クエスト</v>
      </c>
      <c r="I113" s="19">
        <v>0</v>
      </c>
      <c r="J113" s="6">
        <f>COUNTIF(C$1:C113,C113)</f>
        <v>12</v>
      </c>
      <c r="K113">
        <v>13</v>
      </c>
      <c r="L113" s="6" t="s">
        <v>17</v>
      </c>
      <c r="M113" s="36" t="str">
        <f>VLOOKUP(K113,[2]stage_hints!$A:$C,3,FALSE)</f>
        <v>ユニットの覚醒</v>
      </c>
      <c r="N113" s="37" t="str">
        <f>VLOOKUP(K113,[2]stage_hints!$A:$D,4,FALSE)</f>
        <v>ユニットを覚醒させると_x000D_比べものにならない強さが手に入ります</v>
      </c>
      <c r="O113" s="22" t="s">
        <v>117</v>
      </c>
      <c r="P113">
        <v>13</v>
      </c>
    </row>
    <row r="114" spans="1:16" x14ac:dyDescent="0.15">
      <c r="A114" s="29" t="str">
        <f t="shared" si="21"/>
        <v>11007_1_13</v>
      </c>
      <c r="B114" s="27" t="s">
        <v>33</v>
      </c>
      <c r="C114" s="5">
        <v>11007</v>
      </c>
      <c r="D114" s="4" t="str">
        <f ca="1">VLOOKUP($C114,OFFSET([1]quests!$A$1,0,0,COUNTA([1]quests!$A:$A),MATCH(D$1,[1]quests!$1:$1,0)-MATCH($C$1,[1]quests!$1:$1,0)+1),MATCH(D$1,[1]quests!$1:$1,0)-MATCH($C$1,[1]quests!$1:$1,0)+1,FALSE)</f>
        <v>【土曜限定】 赤と緑の素材</v>
      </c>
      <c r="E114" s="4" t="str">
        <f ca="1">VLOOKUP($C114,OFFSET([1]quests!$A$1,0,0,COUNTA([1]quests!$A:$A),MATCH(E$1,[1]quests!$1:$1,0)-MATCH($C$1,[1]quests!$1:$1,0)+1),MATCH(E$1,[1]quests!$1:$1,0)-MATCH($C$1,[1]quests!$1:$1,0)+1,FALSE)</f>
        <v>土曜クエスト</v>
      </c>
      <c r="F114" s="6">
        <v>1</v>
      </c>
      <c r="G114" s="4" t="str">
        <f ca="1">VLOOKUP($C114&amp;"_"&amp;$F114,OFFSET([1]stages!$A$1,0,0,COUNTA([1]stages!$A:$A),MATCH(G$1,[1]stages!$2:$2,0)-MATCH("temp_stage",[1]stages!$2:$2,0)+1),MATCH(G$1,[1]stages!$2:$2,0)-MATCH("temp_stage",[1]stages!$2:$2,0)+1,FALSE)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14" s="4" t="str">
        <f ca="1">VLOOKUP($C114&amp;"_"&amp;$F114,OFFSET([1]stages!$A$1,0,0,COUNTA([1]stages!$A:$A),MATCH(H$1,[1]stages!$2:$2,0)-MATCH("temp_stage",[1]stages!$2:$2,0)+1),MATCH(H$1,[1]stages!$2:$2,0)-MATCH("temp_stage",[1]stages!$2:$2,0)+1,FALSE)</f>
        <v>土曜クエスト</v>
      </c>
      <c r="I114" s="19">
        <v>0</v>
      </c>
      <c r="J114" s="6">
        <f>COUNTIF(C$1:C114,C114)</f>
        <v>13</v>
      </c>
      <c r="K114">
        <v>14</v>
      </c>
      <c r="L114" s="6" t="s">
        <v>17</v>
      </c>
      <c r="M114" s="36" t="str">
        <f>VLOOKUP(K114,[2]stage_hints!$A:$C,3,FALSE)</f>
        <v>覚醒するにはレベルを最大に</v>
      </c>
      <c r="N114" s="37" t="str">
        <f>VLOOKUP(K114,[2]stage_hints!$A:$D,4,FALSE)</f>
        <v>覚醒するにはユニットのレベルを_x000D_最大まで上げる必要があります</v>
      </c>
      <c r="O114" s="22" t="s">
        <v>117</v>
      </c>
      <c r="P114">
        <v>14</v>
      </c>
    </row>
    <row r="115" spans="1:16" x14ac:dyDescent="0.15">
      <c r="A115" s="29" t="str">
        <f t="shared" si="21"/>
        <v>11007_1_14</v>
      </c>
      <c r="B115" s="27" t="s">
        <v>33</v>
      </c>
      <c r="C115" s="5">
        <v>11007</v>
      </c>
      <c r="D115" s="4" t="str">
        <f ca="1">VLOOKUP($C115,OFFSET([1]quests!$A$1,0,0,COUNTA([1]quests!$A:$A),MATCH(D$1,[1]quests!$1:$1,0)-MATCH($C$1,[1]quests!$1:$1,0)+1),MATCH(D$1,[1]quests!$1:$1,0)-MATCH($C$1,[1]quests!$1:$1,0)+1,FALSE)</f>
        <v>【土曜限定】 赤と緑の素材</v>
      </c>
      <c r="E115" s="4" t="str">
        <f ca="1">VLOOKUP($C115,OFFSET([1]quests!$A$1,0,0,COUNTA([1]quests!$A:$A),MATCH(E$1,[1]quests!$1:$1,0)-MATCH($C$1,[1]quests!$1:$1,0)+1),MATCH(E$1,[1]quests!$1:$1,0)-MATCH($C$1,[1]quests!$1:$1,0)+1,FALSE)</f>
        <v>土曜クエスト</v>
      </c>
      <c r="F115" s="6">
        <v>1</v>
      </c>
      <c r="G115" s="4" t="str">
        <f ca="1">VLOOKUP($C115&amp;"_"&amp;$F115,OFFSET([1]stages!$A$1,0,0,COUNTA([1]stages!$A:$A),MATCH(G$1,[1]stages!$2:$2,0)-MATCH("temp_stage",[1]stages!$2:$2,0)+1),MATCH(G$1,[1]stages!$2:$2,0)-MATCH("temp_stage",[1]stages!$2:$2,0)+1,FALSE)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15" s="4" t="str">
        <f ca="1">VLOOKUP($C115&amp;"_"&amp;$F115,OFFSET([1]stages!$A$1,0,0,COUNTA([1]stages!$A:$A),MATCH(H$1,[1]stages!$2:$2,0)-MATCH("temp_stage",[1]stages!$2:$2,0)+1),MATCH(H$1,[1]stages!$2:$2,0)-MATCH("temp_stage",[1]stages!$2:$2,0)+1,FALSE)</f>
        <v>土曜クエスト</v>
      </c>
      <c r="I115" s="19">
        <v>0</v>
      </c>
      <c r="J115" s="6">
        <f>COUNTIF(C$1:C115,C115)</f>
        <v>14</v>
      </c>
      <c r="K115">
        <v>15</v>
      </c>
      <c r="L115" s="6" t="s">
        <v>17</v>
      </c>
      <c r="M115" s="36" t="str">
        <f>VLOOKUP(K115,[2]stage_hints!$A:$C,3,FALSE)</f>
        <v>覚醒素材を獲得</v>
      </c>
      <c r="N115" s="37" t="str">
        <f>VLOOKUP(K115,[2]stage_hints!$A:$D,4,FALSE)</f>
        <v>「曜日クエスト」では_x000D_ユニットの覚醒に必要な素材が手に入ります</v>
      </c>
      <c r="O115" s="22" t="s">
        <v>117</v>
      </c>
      <c r="P115">
        <v>15</v>
      </c>
    </row>
    <row r="116" spans="1:16" x14ac:dyDescent="0.15">
      <c r="A116" s="29" t="str">
        <f t="shared" si="21"/>
        <v>11007_1_15</v>
      </c>
      <c r="B116" s="27" t="s">
        <v>33</v>
      </c>
      <c r="C116" s="5">
        <v>11007</v>
      </c>
      <c r="D116" s="4" t="str">
        <f ca="1">VLOOKUP($C116,OFFSET([1]quests!$A$1,0,0,COUNTA([1]quests!$A:$A),MATCH(D$1,[1]quests!$1:$1,0)-MATCH($C$1,[1]quests!$1:$1,0)+1),MATCH(D$1,[1]quests!$1:$1,0)-MATCH($C$1,[1]quests!$1:$1,0)+1,FALSE)</f>
        <v>【土曜限定】 赤と緑の素材</v>
      </c>
      <c r="E116" s="4" t="str">
        <f ca="1">VLOOKUP($C116,OFFSET([1]quests!$A$1,0,0,COUNTA([1]quests!$A:$A),MATCH(E$1,[1]quests!$1:$1,0)-MATCH($C$1,[1]quests!$1:$1,0)+1),MATCH(E$1,[1]quests!$1:$1,0)-MATCH($C$1,[1]quests!$1:$1,0)+1,FALSE)</f>
        <v>土曜クエスト</v>
      </c>
      <c r="F116" s="6">
        <v>1</v>
      </c>
      <c r="G116" s="4" t="str">
        <f ca="1">VLOOKUP($C116&amp;"_"&amp;$F116,OFFSET([1]stages!$A$1,0,0,COUNTA([1]stages!$A:$A),MATCH(G$1,[1]stages!$2:$2,0)-MATCH("temp_stage",[1]stages!$2:$2,0)+1),MATCH(G$1,[1]stages!$2:$2,0)-MATCH("temp_stage",[1]stages!$2:$2,0)+1,FALSE)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16" s="4" t="str">
        <f ca="1">VLOOKUP($C116&amp;"_"&amp;$F116,OFFSET([1]stages!$A$1,0,0,COUNTA([1]stages!$A:$A),MATCH(H$1,[1]stages!$2:$2,0)-MATCH("temp_stage",[1]stages!$2:$2,0)+1),MATCH(H$1,[1]stages!$2:$2,0)-MATCH("temp_stage",[1]stages!$2:$2,0)+1,FALSE)</f>
        <v>土曜クエスト</v>
      </c>
      <c r="I116" s="19">
        <v>0</v>
      </c>
      <c r="J116" s="6">
        <f>COUNTIF(C$1:C116,C116)</f>
        <v>15</v>
      </c>
      <c r="K116">
        <v>16</v>
      </c>
      <c r="L116" s="6" t="s">
        <v>17</v>
      </c>
      <c r="M116" s="36" t="str">
        <f>VLOOKUP(K116,[2]stage_hints!$A:$C,3,FALSE)</f>
        <v>マルチプレイのメリット（その1）</v>
      </c>
      <c r="N116" s="37" t="str">
        <f>VLOOKUP(K116,[2]stage_hints!$A:$D,4,FALSE)</f>
        <v>他のプレイヤーとマルチプレイで遊ぶと_x000D_ポリゴンがもらえます（100人まで）</v>
      </c>
      <c r="O116" s="22" t="s">
        <v>117</v>
      </c>
      <c r="P116">
        <v>16</v>
      </c>
    </row>
    <row r="117" spans="1:16" x14ac:dyDescent="0.15">
      <c r="A117" s="29" t="str">
        <f t="shared" si="21"/>
        <v>11007_1_16</v>
      </c>
      <c r="B117" s="27" t="s">
        <v>33</v>
      </c>
      <c r="C117" s="5">
        <v>11007</v>
      </c>
      <c r="D117" s="4" t="str">
        <f ca="1">VLOOKUP($C117,OFFSET([1]quests!$A$1,0,0,COUNTA([1]quests!$A:$A),MATCH(D$1,[1]quests!$1:$1,0)-MATCH($C$1,[1]quests!$1:$1,0)+1),MATCH(D$1,[1]quests!$1:$1,0)-MATCH($C$1,[1]quests!$1:$1,0)+1,FALSE)</f>
        <v>【土曜限定】 赤と緑の素材</v>
      </c>
      <c r="E117" s="4" t="str">
        <f ca="1">VLOOKUP($C117,OFFSET([1]quests!$A$1,0,0,COUNTA([1]quests!$A:$A),MATCH(E$1,[1]quests!$1:$1,0)-MATCH($C$1,[1]quests!$1:$1,0)+1),MATCH(E$1,[1]quests!$1:$1,0)-MATCH($C$1,[1]quests!$1:$1,0)+1,FALSE)</f>
        <v>土曜クエスト</v>
      </c>
      <c r="F117" s="6">
        <v>1</v>
      </c>
      <c r="G117" s="4" t="str">
        <f ca="1">VLOOKUP($C117&amp;"_"&amp;$F117,OFFSET([1]stages!$A$1,0,0,COUNTA([1]stages!$A:$A),MATCH(G$1,[1]stages!$2:$2,0)-MATCH("temp_stage",[1]stages!$2:$2,0)+1),MATCH(G$1,[1]stages!$2:$2,0)-MATCH("temp_stage",[1]stages!$2:$2,0)+1,FALSE)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17" s="4" t="str">
        <f ca="1">VLOOKUP($C117&amp;"_"&amp;$F117,OFFSET([1]stages!$A$1,0,0,COUNTA([1]stages!$A:$A),MATCH(H$1,[1]stages!$2:$2,0)-MATCH("temp_stage",[1]stages!$2:$2,0)+1),MATCH(H$1,[1]stages!$2:$2,0)-MATCH("temp_stage",[1]stages!$2:$2,0)+1,FALSE)</f>
        <v>土曜クエスト</v>
      </c>
      <c r="I117" s="19">
        <v>0</v>
      </c>
      <c r="J117" s="6">
        <f>COUNTIF(C$1:C117,C117)</f>
        <v>16</v>
      </c>
      <c r="K117">
        <v>17</v>
      </c>
      <c r="L117" s="6" t="s">
        <v>17</v>
      </c>
      <c r="M117" s="36" t="str">
        <f>VLOOKUP(K117,[2]stage_hints!$A:$C,3,FALSE)</f>
        <v>リンクガチャ</v>
      </c>
      <c r="N117" s="37" t="str">
        <f>VLOOKUP(K117,[2]stage_hints!$A:$D,4,FALSE)</f>
        <v>無料のリンクガチャを回して_x000D_経験値素材や売却素材を獲得しましょう</v>
      </c>
      <c r="O117" s="22" t="s">
        <v>117</v>
      </c>
      <c r="P117">
        <v>17</v>
      </c>
    </row>
    <row r="118" spans="1:16" x14ac:dyDescent="0.15">
      <c r="A118" s="29" t="str">
        <f t="shared" si="21"/>
        <v>11007_1_17</v>
      </c>
      <c r="B118" s="27" t="s">
        <v>33</v>
      </c>
      <c r="C118" s="5">
        <v>11007</v>
      </c>
      <c r="D118" s="4" t="str">
        <f ca="1">VLOOKUP($C118,OFFSET([1]quests!$A$1,0,0,COUNTA([1]quests!$A:$A),MATCH(D$1,[1]quests!$1:$1,0)-MATCH($C$1,[1]quests!$1:$1,0)+1),MATCH(D$1,[1]quests!$1:$1,0)-MATCH($C$1,[1]quests!$1:$1,0)+1,FALSE)</f>
        <v>【土曜限定】 赤と緑の素材</v>
      </c>
      <c r="E118" s="4" t="str">
        <f ca="1">VLOOKUP($C118,OFFSET([1]quests!$A$1,0,0,COUNTA([1]quests!$A:$A),MATCH(E$1,[1]quests!$1:$1,0)-MATCH($C$1,[1]quests!$1:$1,0)+1),MATCH(E$1,[1]quests!$1:$1,0)-MATCH($C$1,[1]quests!$1:$1,0)+1,FALSE)</f>
        <v>土曜クエスト</v>
      </c>
      <c r="F118" s="6">
        <v>1</v>
      </c>
      <c r="G118" s="4" t="str">
        <f ca="1">VLOOKUP($C118&amp;"_"&amp;$F118,OFFSET([1]stages!$A$1,0,0,COUNTA([1]stages!$A:$A),MATCH(G$1,[1]stages!$2:$2,0)-MATCH("temp_stage",[1]stages!$2:$2,0)+1),MATCH(G$1,[1]stages!$2:$2,0)-MATCH("temp_stage",[1]stages!$2:$2,0)+1,FALSE)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18" s="4" t="str">
        <f ca="1">VLOOKUP($C118&amp;"_"&amp;$F118,OFFSET([1]stages!$A$1,0,0,COUNTA([1]stages!$A:$A),MATCH(H$1,[1]stages!$2:$2,0)-MATCH("temp_stage",[1]stages!$2:$2,0)+1),MATCH(H$1,[1]stages!$2:$2,0)-MATCH("temp_stage",[1]stages!$2:$2,0)+1,FALSE)</f>
        <v>土曜クエスト</v>
      </c>
      <c r="I118" s="19">
        <v>0</v>
      </c>
      <c r="J118" s="6">
        <f>COUNTIF(C$1:C118,C118)</f>
        <v>17</v>
      </c>
      <c r="K118">
        <v>18</v>
      </c>
      <c r="L118" s="6" t="s">
        <v>17</v>
      </c>
      <c r="M118" s="36" t="str">
        <f>VLOOKUP(K118,[2]stage_hints!$A:$C,3,FALSE)</f>
        <v>マルチプレイのメリット（その2）</v>
      </c>
      <c r="N118" s="37" t="str">
        <f>VLOOKUP(K118,[2]stage_hints!$A:$D,4,FALSE)</f>
        <v>マルチプレイならリンクが2倍もらえます_x000D_リンクガチャをたくさん回しましょう</v>
      </c>
      <c r="O118" s="22" t="s">
        <v>117</v>
      </c>
      <c r="P118">
        <v>18</v>
      </c>
    </row>
    <row r="119" spans="1:16" x14ac:dyDescent="0.15">
      <c r="A119" s="29" t="str">
        <f t="shared" si="21"/>
        <v>11007_1_18</v>
      </c>
      <c r="B119" s="27" t="s">
        <v>33</v>
      </c>
      <c r="C119" s="5">
        <v>11007</v>
      </c>
      <c r="D119" s="4" t="str">
        <f ca="1">VLOOKUP($C119,OFFSET([1]quests!$A$1,0,0,COUNTA([1]quests!$A:$A),MATCH(D$1,[1]quests!$1:$1,0)-MATCH($C$1,[1]quests!$1:$1,0)+1),MATCH(D$1,[1]quests!$1:$1,0)-MATCH($C$1,[1]quests!$1:$1,0)+1,FALSE)</f>
        <v>【土曜限定】 赤と緑の素材</v>
      </c>
      <c r="E119" s="4" t="str">
        <f ca="1">VLOOKUP($C119,OFFSET([1]quests!$A$1,0,0,COUNTA([1]quests!$A:$A),MATCH(E$1,[1]quests!$1:$1,0)-MATCH($C$1,[1]quests!$1:$1,0)+1),MATCH(E$1,[1]quests!$1:$1,0)-MATCH($C$1,[1]quests!$1:$1,0)+1,FALSE)</f>
        <v>土曜クエスト</v>
      </c>
      <c r="F119" s="6">
        <v>1</v>
      </c>
      <c r="G119" s="4" t="str">
        <f ca="1">VLOOKUP($C119&amp;"_"&amp;$F119,OFFSET([1]stages!$A$1,0,0,COUNTA([1]stages!$A:$A),MATCH(G$1,[1]stages!$2:$2,0)-MATCH("temp_stage",[1]stages!$2:$2,0)+1),MATCH(G$1,[1]stages!$2:$2,0)-MATCH("temp_stage",[1]stages!$2:$2,0)+1,FALSE)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19" s="4" t="str">
        <f ca="1">VLOOKUP($C119&amp;"_"&amp;$F119,OFFSET([1]stages!$A$1,0,0,COUNTA([1]stages!$A:$A),MATCH(H$1,[1]stages!$2:$2,0)-MATCH("temp_stage",[1]stages!$2:$2,0)+1),MATCH(H$1,[1]stages!$2:$2,0)-MATCH("temp_stage",[1]stages!$2:$2,0)+1,FALSE)</f>
        <v>土曜クエスト</v>
      </c>
      <c r="I119" s="19">
        <v>0</v>
      </c>
      <c r="J119" s="6">
        <f>COUNTIF(C$1:C119,C119)</f>
        <v>18</v>
      </c>
      <c r="K119">
        <v>19</v>
      </c>
      <c r="L119" s="6" t="s">
        <v>17</v>
      </c>
      <c r="M119" s="36" t="str">
        <f>VLOOKUP(K119,[2]stage_hints!$A:$C,3,FALSE)</f>
        <v>ソロ専用チャレンジタワー</v>
      </c>
      <c r="N119" s="37" t="str">
        <f>VLOOKUP(K119,[2]stage_hints!$A:$D,4,FALSE)</f>
        <v>ソロ専用の「チャレンジタワー」では_x000D_各フロアごとにクリア報酬がもらえます</v>
      </c>
      <c r="O119" s="22" t="s">
        <v>117</v>
      </c>
      <c r="P119">
        <v>19</v>
      </c>
    </row>
    <row r="120" spans="1:16" x14ac:dyDescent="0.15">
      <c r="A120" s="29" t="str">
        <f t="shared" si="21"/>
        <v>11007_1_19</v>
      </c>
      <c r="B120" s="27" t="s">
        <v>33</v>
      </c>
      <c r="C120" s="5">
        <v>11007</v>
      </c>
      <c r="D120" s="4" t="str">
        <f ca="1">VLOOKUP($C120,OFFSET([1]quests!$A$1,0,0,COUNTA([1]quests!$A:$A),MATCH(D$1,[1]quests!$1:$1,0)-MATCH($C$1,[1]quests!$1:$1,0)+1),MATCH(D$1,[1]quests!$1:$1,0)-MATCH($C$1,[1]quests!$1:$1,0)+1,FALSE)</f>
        <v>【土曜限定】 赤と緑の素材</v>
      </c>
      <c r="E120" s="4" t="str">
        <f ca="1">VLOOKUP($C120,OFFSET([1]quests!$A$1,0,0,COUNTA([1]quests!$A:$A),MATCH(E$1,[1]quests!$1:$1,0)-MATCH($C$1,[1]quests!$1:$1,0)+1),MATCH(E$1,[1]quests!$1:$1,0)-MATCH($C$1,[1]quests!$1:$1,0)+1,FALSE)</f>
        <v>土曜クエスト</v>
      </c>
      <c r="F120" s="6">
        <v>1</v>
      </c>
      <c r="G120" s="4" t="str">
        <f ca="1">VLOOKUP($C120&amp;"_"&amp;$F120,OFFSET([1]stages!$A$1,0,0,COUNTA([1]stages!$A:$A),MATCH(G$1,[1]stages!$2:$2,0)-MATCH("temp_stage",[1]stages!$2:$2,0)+1),MATCH(G$1,[1]stages!$2:$2,0)-MATCH("temp_stage",[1]stages!$2:$2,0)+1,FALSE)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20" s="4" t="str">
        <f ca="1">VLOOKUP($C120&amp;"_"&amp;$F120,OFFSET([1]stages!$A$1,0,0,COUNTA([1]stages!$A:$A),MATCH(H$1,[1]stages!$2:$2,0)-MATCH("temp_stage",[1]stages!$2:$2,0)+1),MATCH(H$1,[1]stages!$2:$2,0)-MATCH("temp_stage",[1]stages!$2:$2,0)+1,FALSE)</f>
        <v>土曜クエスト</v>
      </c>
      <c r="I120" s="19">
        <v>0</v>
      </c>
      <c r="J120" s="6">
        <f>COUNTIF(C$1:C120,C120)</f>
        <v>19</v>
      </c>
      <c r="K120">
        <v>20</v>
      </c>
      <c r="L120" s="6" t="s">
        <v>17</v>
      </c>
      <c r="M120" s="36" t="str">
        <f>VLOOKUP(K120,[2]stage_hints!$A:$C,3,FALSE)</f>
        <v>マルチプレイのメリット（その3）</v>
      </c>
      <c r="N120" s="37" t="str">
        <f>VLOOKUP(K120,[2]stage_hints!$A:$D,4,FALSE)</f>
        <v>マルチプレイへの参加はエナジー消費ゼロ_x000D_いつでも好きなだけ遊ぶことができます</v>
      </c>
      <c r="O120" s="22" t="s">
        <v>117</v>
      </c>
      <c r="P120">
        <v>20</v>
      </c>
    </row>
    <row r="121" spans="1:16" x14ac:dyDescent="0.15">
      <c r="A121" s="29" t="str">
        <f t="shared" si="21"/>
        <v>11007_1_20</v>
      </c>
      <c r="B121" s="27" t="s">
        <v>33</v>
      </c>
      <c r="C121" s="5">
        <v>11007</v>
      </c>
      <c r="D121" s="4" t="str">
        <f ca="1">VLOOKUP($C121,OFFSET([1]quests!$A$1,0,0,COUNTA([1]quests!$A:$A),MATCH(D$1,[1]quests!$1:$1,0)-MATCH($C$1,[1]quests!$1:$1,0)+1),MATCH(D$1,[1]quests!$1:$1,0)-MATCH($C$1,[1]quests!$1:$1,0)+1,FALSE)</f>
        <v>【土曜限定】 赤と緑の素材</v>
      </c>
      <c r="E121" s="4" t="str">
        <f ca="1">VLOOKUP($C121,OFFSET([1]quests!$A$1,0,0,COUNTA([1]quests!$A:$A),MATCH(E$1,[1]quests!$1:$1,0)-MATCH($C$1,[1]quests!$1:$1,0)+1),MATCH(E$1,[1]quests!$1:$1,0)-MATCH($C$1,[1]quests!$1:$1,0)+1,FALSE)</f>
        <v>土曜クエスト</v>
      </c>
      <c r="F121" s="6">
        <v>1</v>
      </c>
      <c r="G121" s="4" t="str">
        <f ca="1">VLOOKUP($C121&amp;"_"&amp;$F121,OFFSET([1]stages!$A$1,0,0,COUNTA([1]stages!$A:$A),MATCH(G$1,[1]stages!$2:$2,0)-MATCH("temp_stage",[1]stages!$2:$2,0)+1),MATCH(G$1,[1]stages!$2:$2,0)-MATCH("temp_stage",[1]stages!$2:$2,0)+1,FALSE)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21" s="4" t="str">
        <f ca="1">VLOOKUP($C121&amp;"_"&amp;$F121,OFFSET([1]stages!$A$1,0,0,COUNTA([1]stages!$A:$A),MATCH(H$1,[1]stages!$2:$2,0)-MATCH("temp_stage",[1]stages!$2:$2,0)+1),MATCH(H$1,[1]stages!$2:$2,0)-MATCH("temp_stage",[1]stages!$2:$2,0)+1,FALSE)</f>
        <v>土曜クエスト</v>
      </c>
      <c r="I121" s="19">
        <v>0</v>
      </c>
      <c r="J121" s="6">
        <f>COUNTIF(C$1:C121,C121)</f>
        <v>20</v>
      </c>
      <c r="K121">
        <v>21</v>
      </c>
      <c r="L121" s="6" t="s">
        <v>17</v>
      </c>
      <c r="M121" s="36" t="str">
        <f>VLOOKUP(K121,[2]stage_hints!$A:$C,3,FALSE)</f>
        <v>スキルを有効に</v>
      </c>
      <c r="N121" s="37" t="str">
        <f>VLOOKUP(K121,[2]stage_hints!$A:$D,4,FALSE)</f>
        <v>ターン経過でユニットのスキルが使えます_x000D_強力スキルでバトルを有利に進めましょう</v>
      </c>
      <c r="O121" s="22" t="s">
        <v>117</v>
      </c>
      <c r="P121">
        <v>21</v>
      </c>
    </row>
    <row r="122" spans="1:16" x14ac:dyDescent="0.15">
      <c r="A122" s="29" t="str">
        <f t="shared" si="21"/>
        <v>11007_1_21</v>
      </c>
      <c r="B122" s="27" t="s">
        <v>33</v>
      </c>
      <c r="C122" s="5">
        <v>11007</v>
      </c>
      <c r="D122" s="4" t="str">
        <f ca="1">VLOOKUP($C122,OFFSET([1]quests!$A$1,0,0,COUNTA([1]quests!$A:$A),MATCH(D$1,[1]quests!$1:$1,0)-MATCH($C$1,[1]quests!$1:$1,0)+1),MATCH(D$1,[1]quests!$1:$1,0)-MATCH($C$1,[1]quests!$1:$1,0)+1,FALSE)</f>
        <v>【土曜限定】 赤と緑の素材</v>
      </c>
      <c r="E122" s="4" t="str">
        <f ca="1">VLOOKUP($C122,OFFSET([1]quests!$A$1,0,0,COUNTA([1]quests!$A:$A),MATCH(E$1,[1]quests!$1:$1,0)-MATCH($C$1,[1]quests!$1:$1,0)+1),MATCH(E$1,[1]quests!$1:$1,0)-MATCH($C$1,[1]quests!$1:$1,0)+1,FALSE)</f>
        <v>土曜クエスト</v>
      </c>
      <c r="F122" s="6">
        <v>1</v>
      </c>
      <c r="G122" s="4" t="str">
        <f ca="1">VLOOKUP($C122&amp;"_"&amp;$F122,OFFSET([1]stages!$A$1,0,0,COUNTA([1]stages!$A:$A),MATCH(G$1,[1]stages!$2:$2,0)-MATCH("temp_stage",[1]stages!$2:$2,0)+1),MATCH(G$1,[1]stages!$2:$2,0)-MATCH("temp_stage",[1]stages!$2:$2,0)+1,FALSE)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22" s="4" t="str">
        <f ca="1">VLOOKUP($C122&amp;"_"&amp;$F122,OFFSET([1]stages!$A$1,0,0,COUNTA([1]stages!$A:$A),MATCH(H$1,[1]stages!$2:$2,0)-MATCH("temp_stage",[1]stages!$2:$2,0)+1),MATCH(H$1,[1]stages!$2:$2,0)-MATCH("temp_stage",[1]stages!$2:$2,0)+1,FALSE)</f>
        <v>土曜クエスト</v>
      </c>
      <c r="I122" s="19">
        <v>0</v>
      </c>
      <c r="J122" s="6">
        <f>COUNTIF(C$1:C122,C122)</f>
        <v>21</v>
      </c>
      <c r="K122">
        <v>22</v>
      </c>
      <c r="L122" s="6" t="s">
        <v>17</v>
      </c>
      <c r="M122" s="36" t="str">
        <f>VLOOKUP(K122,[2]stage_hints!$A:$C,3,FALSE)</f>
        <v>フィーバーで一発逆転（その1）</v>
      </c>
      <c r="N122" s="37" t="str">
        <f>VLOOKUP(K122,[2]stage_hints!$A:$D,4,FALSE)</f>
        <v>フィーバーは攻撃と回復を兼ね備えます_x000D_ピンチからの一発逆転を狙いましょう</v>
      </c>
      <c r="O122" s="22" t="s">
        <v>117</v>
      </c>
      <c r="P122">
        <v>22</v>
      </c>
    </row>
    <row r="123" spans="1:16" x14ac:dyDescent="0.15">
      <c r="A123" s="29" t="str">
        <f t="shared" si="21"/>
        <v>11007_1_22</v>
      </c>
      <c r="B123" s="27" t="s">
        <v>33</v>
      </c>
      <c r="C123" s="5">
        <v>11007</v>
      </c>
      <c r="D123" s="4" t="str">
        <f ca="1">VLOOKUP($C123,OFFSET([1]quests!$A$1,0,0,COUNTA([1]quests!$A:$A),MATCH(D$1,[1]quests!$1:$1,0)-MATCH($C$1,[1]quests!$1:$1,0)+1),MATCH(D$1,[1]quests!$1:$1,0)-MATCH($C$1,[1]quests!$1:$1,0)+1,FALSE)</f>
        <v>【土曜限定】 赤と緑の素材</v>
      </c>
      <c r="E123" s="4" t="str">
        <f ca="1">VLOOKUP($C123,OFFSET([1]quests!$A$1,0,0,COUNTA([1]quests!$A:$A),MATCH(E$1,[1]quests!$1:$1,0)-MATCH($C$1,[1]quests!$1:$1,0)+1),MATCH(E$1,[1]quests!$1:$1,0)-MATCH($C$1,[1]quests!$1:$1,0)+1,FALSE)</f>
        <v>土曜クエスト</v>
      </c>
      <c r="F123" s="6">
        <v>1</v>
      </c>
      <c r="G123" s="4" t="str">
        <f ca="1">VLOOKUP($C123&amp;"_"&amp;$F123,OFFSET([1]stages!$A$1,0,0,COUNTA([1]stages!$A:$A),MATCH(G$1,[1]stages!$2:$2,0)-MATCH("temp_stage",[1]stages!$2:$2,0)+1),MATCH(G$1,[1]stages!$2:$2,0)-MATCH("temp_stage",[1]stages!$2:$2,0)+1,FALSE)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23" s="4" t="str">
        <f ca="1">VLOOKUP($C123&amp;"_"&amp;$F123,OFFSET([1]stages!$A$1,0,0,COUNTA([1]stages!$A:$A),MATCH(H$1,[1]stages!$2:$2,0)-MATCH("temp_stage",[1]stages!$2:$2,0)+1),MATCH(H$1,[1]stages!$2:$2,0)-MATCH("temp_stage",[1]stages!$2:$2,0)+1,FALSE)</f>
        <v>土曜クエスト</v>
      </c>
      <c r="I123" s="19">
        <v>0</v>
      </c>
      <c r="J123" s="6">
        <f>COUNTIF(C$1:C123,C123)</f>
        <v>22</v>
      </c>
      <c r="K123">
        <v>23</v>
      </c>
      <c r="L123" s="6" t="s">
        <v>17</v>
      </c>
      <c r="M123" s="36" t="str">
        <f>VLOOKUP(K123,[2]stage_hints!$A:$C,3,FALSE)</f>
        <v>フィーバーで一発逆転（その2）</v>
      </c>
      <c r="N123" s="37" t="str">
        <f>VLOOKUP(K123,[2]stage_hints!$A:$D,4,FALSE)</f>
        <v>フィーバー中は虹色のボムパネルを狙って_x000D_画面上のパネルを一気に破壊しましょう</v>
      </c>
      <c r="O123" s="22" t="s">
        <v>117</v>
      </c>
      <c r="P123">
        <v>23</v>
      </c>
    </row>
    <row r="124" spans="1:16" x14ac:dyDescent="0.15">
      <c r="A124" s="29" t="str">
        <f t="shared" si="21"/>
        <v>11007_1_23</v>
      </c>
      <c r="B124" s="27" t="s">
        <v>33</v>
      </c>
      <c r="C124" s="5">
        <v>11007</v>
      </c>
      <c r="D124" s="4" t="str">
        <f ca="1">VLOOKUP($C124,OFFSET([1]quests!$A$1,0,0,COUNTA([1]quests!$A:$A),MATCH(D$1,[1]quests!$1:$1,0)-MATCH($C$1,[1]quests!$1:$1,0)+1),MATCH(D$1,[1]quests!$1:$1,0)-MATCH($C$1,[1]quests!$1:$1,0)+1,FALSE)</f>
        <v>【土曜限定】 赤と緑の素材</v>
      </c>
      <c r="E124" s="4" t="str">
        <f ca="1">VLOOKUP($C124,OFFSET([1]quests!$A$1,0,0,COUNTA([1]quests!$A:$A),MATCH(E$1,[1]quests!$1:$1,0)-MATCH($C$1,[1]quests!$1:$1,0)+1),MATCH(E$1,[1]quests!$1:$1,0)-MATCH($C$1,[1]quests!$1:$1,0)+1,FALSE)</f>
        <v>土曜クエスト</v>
      </c>
      <c r="F124" s="6">
        <v>1</v>
      </c>
      <c r="G124" s="4" t="str">
        <f ca="1">VLOOKUP($C124&amp;"_"&amp;$F124,OFFSET([1]stages!$A$1,0,0,COUNTA([1]stages!$A:$A),MATCH(G$1,[1]stages!$2:$2,0)-MATCH("temp_stage",[1]stages!$2:$2,0)+1),MATCH(G$1,[1]stages!$2:$2,0)-MATCH("temp_stage",[1]stages!$2:$2,0)+1,FALSE)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24" s="4" t="str">
        <f ca="1">VLOOKUP($C124&amp;"_"&amp;$F124,OFFSET([1]stages!$A$1,0,0,COUNTA([1]stages!$A:$A),MATCH(H$1,[1]stages!$2:$2,0)-MATCH("temp_stage",[1]stages!$2:$2,0)+1),MATCH(H$1,[1]stages!$2:$2,0)-MATCH("temp_stage",[1]stages!$2:$2,0)+1,FALSE)</f>
        <v>土曜クエスト</v>
      </c>
      <c r="I124" s="19">
        <v>0</v>
      </c>
      <c r="J124" s="6">
        <f>COUNTIF(C$1:C124,C124)</f>
        <v>23</v>
      </c>
      <c r="K124">
        <v>24</v>
      </c>
      <c r="L124" s="6" t="s">
        <v>17</v>
      </c>
      <c r="M124" s="36" t="str">
        <f>VLOOKUP(K124,[2]stage_hints!$A:$C,3,FALSE)</f>
        <v>りんごを使って限界突破</v>
      </c>
      <c r="N124" s="37" t="str">
        <f>VLOOKUP(K124,[2]stage_hints!$A:$D,4,FALSE)</f>
        <v>赤りんご(攻撃力) 青りんご(回復力)_x000D_緑りんご(体力)をユニット強化に使うと_x000D_ステータスが限界突破します（計99個迄）</v>
      </c>
      <c r="O124" s="22" t="s">
        <v>117</v>
      </c>
      <c r="P124">
        <v>24</v>
      </c>
    </row>
    <row r="125" spans="1:16" x14ac:dyDescent="0.15">
      <c r="A125" s="29" t="str">
        <f t="shared" si="21"/>
        <v>11007_1_24</v>
      </c>
      <c r="B125" s="27" t="s">
        <v>33</v>
      </c>
      <c r="C125" s="5">
        <v>11007</v>
      </c>
      <c r="D125" s="4" t="str">
        <f ca="1">VLOOKUP($C125,OFFSET([1]quests!$A$1,0,0,COUNTA([1]quests!$A:$A),MATCH(D$1,[1]quests!$1:$1,0)-MATCH($C$1,[1]quests!$1:$1,0)+1),MATCH(D$1,[1]quests!$1:$1,0)-MATCH($C$1,[1]quests!$1:$1,0)+1,FALSE)</f>
        <v>【土曜限定】 赤と緑の素材</v>
      </c>
      <c r="E125" s="4" t="str">
        <f ca="1">VLOOKUP($C125,OFFSET([1]quests!$A$1,0,0,COUNTA([1]quests!$A:$A),MATCH(E$1,[1]quests!$1:$1,0)-MATCH($C$1,[1]quests!$1:$1,0)+1),MATCH(E$1,[1]quests!$1:$1,0)-MATCH($C$1,[1]quests!$1:$1,0)+1,FALSE)</f>
        <v>土曜クエスト</v>
      </c>
      <c r="F125" s="6">
        <v>1</v>
      </c>
      <c r="G125" s="4" t="str">
        <f ca="1">VLOOKUP($C125&amp;"_"&amp;$F125,OFFSET([1]stages!$A$1,0,0,COUNTA([1]stages!$A:$A),MATCH(G$1,[1]stages!$2:$2,0)-MATCH("temp_stage",[1]stages!$2:$2,0)+1),MATCH(G$1,[1]stages!$2:$2,0)-MATCH("temp_stage",[1]stages!$2:$2,0)+1,FALSE)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25" s="4" t="str">
        <f ca="1">VLOOKUP($C125&amp;"_"&amp;$F125,OFFSET([1]stages!$A$1,0,0,COUNTA([1]stages!$A:$A),MATCH(H$1,[1]stages!$2:$2,0)-MATCH("temp_stage",[1]stages!$2:$2,0)+1),MATCH(H$1,[1]stages!$2:$2,0)-MATCH("temp_stage",[1]stages!$2:$2,0)+1,FALSE)</f>
        <v>土曜クエスト</v>
      </c>
      <c r="I125" s="19">
        <v>0</v>
      </c>
      <c r="J125" s="6">
        <f>COUNTIF(C$1:C125,C125)</f>
        <v>24</v>
      </c>
      <c r="K125">
        <v>25</v>
      </c>
      <c r="L125" s="6" t="s">
        <v>17</v>
      </c>
      <c r="M125" s="36" t="str">
        <f>VLOOKUP(K125,[2]stage_hints!$A:$C,3,FALSE)</f>
        <v>スキルレベルアップ</v>
      </c>
      <c r="N125" s="37" t="str">
        <f>VLOOKUP(K125,[2]stage_hints!$A:$D,4,FALSE)</f>
        <v>「クリスタルのりんご」を強化に使うと_x000D_スキルレベルを上げることができます</v>
      </c>
      <c r="O125" s="22" t="s">
        <v>117</v>
      </c>
      <c r="P125">
        <v>25</v>
      </c>
    </row>
    <row r="126" spans="1:16" x14ac:dyDescent="0.15">
      <c r="A126" s="29" t="str">
        <f t="shared" si="21"/>
        <v>11007_1_25</v>
      </c>
      <c r="B126" s="27" t="s">
        <v>33</v>
      </c>
      <c r="C126" s="5">
        <v>11007</v>
      </c>
      <c r="D126" s="4" t="str">
        <f ca="1">VLOOKUP($C126,OFFSET([1]quests!$A$1,0,0,COUNTA([1]quests!$A:$A),MATCH(D$1,[1]quests!$1:$1,0)-MATCH($C$1,[1]quests!$1:$1,0)+1),MATCH(D$1,[1]quests!$1:$1,0)-MATCH($C$1,[1]quests!$1:$1,0)+1,FALSE)</f>
        <v>【土曜限定】 赤と緑の素材</v>
      </c>
      <c r="E126" s="4" t="str">
        <f ca="1">VLOOKUP($C126,OFFSET([1]quests!$A$1,0,0,COUNTA([1]quests!$A:$A),MATCH(E$1,[1]quests!$1:$1,0)-MATCH($C$1,[1]quests!$1:$1,0)+1),MATCH(E$1,[1]quests!$1:$1,0)-MATCH($C$1,[1]quests!$1:$1,0)+1,FALSE)</f>
        <v>土曜クエスト</v>
      </c>
      <c r="F126" s="6">
        <v>1</v>
      </c>
      <c r="G126" s="4" t="str">
        <f ca="1">VLOOKUP($C126&amp;"_"&amp;$F126,OFFSET([1]stages!$A$1,0,0,COUNTA([1]stages!$A:$A),MATCH(G$1,[1]stages!$2:$2,0)-MATCH("temp_stage",[1]stages!$2:$2,0)+1),MATCH(G$1,[1]stages!$2:$2,0)-MATCH("temp_stage",[1]stages!$2:$2,0)+1,FALSE)</f>
        <v xml:space="preserve">【初級】火と樹のチェシャ猫 </v>
      </c>
      <c r="H126" s="4" t="str">
        <f ca="1">VLOOKUP($C126&amp;"_"&amp;$F126,OFFSET([1]stages!$A$1,0,0,COUNTA([1]stages!$A:$A),MATCH(H$1,[1]stages!$2:$2,0)-MATCH("temp_stage",[1]stages!$2:$2,0)+1),MATCH(H$1,[1]stages!$2:$2,0)-MATCH("temp_stage",[1]stages!$2:$2,0)+1,FALSE)</f>
        <v>土曜クエスト</v>
      </c>
      <c r="I126" s="19">
        <v>0</v>
      </c>
      <c r="J126" s="6">
        <f>COUNTIF(C$1:C126,C126)</f>
        <v>25</v>
      </c>
      <c r="K126">
        <v>26</v>
      </c>
      <c r="L126" s="6" t="s">
        <v>17</v>
      </c>
      <c r="M126" s="36" t="str">
        <f>VLOOKUP(K126,[2]stage_hints!$A:$C,3,FALSE)</f>
        <v>スキルレベルの効果</v>
      </c>
      <c r="N126" s="37" t="str">
        <f>VLOOKUP(K126,[2]stage_hints!$A:$D,4,FALSE)</f>
        <v>スキルレベルが上がると_x000D_短いターンでスキルを使うことができます</v>
      </c>
      <c r="O126" s="22" t="s">
        <v>117</v>
      </c>
      <c r="P126">
        <v>26</v>
      </c>
    </row>
    <row r="127" spans="1:16" x14ac:dyDescent="0.15">
      <c r="A127" s="29" t="str">
        <f t="shared" si="21"/>
        <v>11008_1_1</v>
      </c>
      <c r="B127" s="27" t="s">
        <v>33</v>
      </c>
      <c r="C127" s="5">
        <v>11008</v>
      </c>
      <c r="D127" s="4" t="str">
        <f ca="1">VLOOKUP($C127,OFFSET([1]quests!$A$1,0,0,COUNTA([1]quests!$A:$A),MATCH(D$1,[1]quests!$1:$1,0)-MATCH($C$1,[1]quests!$1:$1,0)+1),MATCH(D$1,[1]quests!$1:$1,0)-MATCH($C$1,[1]quests!$1:$1,0)+1,FALSE)</f>
        <v>【日曜限定】 青と黄の素材</v>
      </c>
      <c r="E127" s="4" t="str">
        <f ca="1">VLOOKUP($C127,OFFSET([1]quests!$A$1,0,0,COUNTA([1]quests!$A:$A),MATCH(E$1,[1]quests!$1:$1,0)-MATCH($C$1,[1]quests!$1:$1,0)+1),MATCH(E$1,[1]quests!$1:$1,0)-MATCH($C$1,[1]quests!$1:$1,0)+1,FALSE)</f>
        <v>日曜クエスト</v>
      </c>
      <c r="F127" s="6">
        <v>1</v>
      </c>
      <c r="G127" s="4" t="str">
        <f ca="1">VLOOKUP($C127&amp;"_"&amp;$F127,OFFSET([1]stages!$A$1,0,0,COUNTA([1]stages!$A:$A),MATCH(G$1,[1]stages!$2:$2,0)-MATCH("temp_stage",[1]stages!$2:$2,0)+1),MATCH(G$1,[1]stages!$2:$2,0)-MATCH("temp_stage",[1]stages!$2:$2,0)+1,FALSE)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27" s="4" t="str">
        <f ca="1">VLOOKUP($C127&amp;"_"&amp;$F127,OFFSET([1]stages!$A$1,0,0,COUNTA([1]stages!$A:$A),MATCH(H$1,[1]stages!$2:$2,0)-MATCH("temp_stage",[1]stages!$2:$2,0)+1),MATCH(H$1,[1]stages!$2:$2,0)-MATCH("temp_stage",[1]stages!$2:$2,0)+1,FALSE)</f>
        <v>日曜クエスト</v>
      </c>
      <c r="I127" s="19">
        <v>0</v>
      </c>
      <c r="J127" s="6">
        <f>COUNTIF(C$1:C127,C127)</f>
        <v>1</v>
      </c>
      <c r="K127">
        <v>1</v>
      </c>
      <c r="L127" s="6" t="s">
        <v>17</v>
      </c>
      <c r="M127" s="36" t="str">
        <f>VLOOKUP(K127,[2]stage_hints!$A:$C,3,FALSE)</f>
        <v>長くつなげて大ダメージ</v>
      </c>
      <c r="N127" s="37" t="str">
        <f>VLOOKUP(K127,[2]stage_hints!$A:$D,4,FALSE)</f>
        <v>パネルを長くつなげるほど_x000D_大ダメージを与えることができます</v>
      </c>
      <c r="O127" s="22" t="s">
        <v>117</v>
      </c>
      <c r="P127">
        <v>1</v>
      </c>
    </row>
    <row r="128" spans="1:16" x14ac:dyDescent="0.15">
      <c r="A128" s="29" t="str">
        <f t="shared" si="21"/>
        <v>11008_1_2</v>
      </c>
      <c r="B128" s="27" t="s">
        <v>33</v>
      </c>
      <c r="C128" s="5">
        <v>11008</v>
      </c>
      <c r="D128" s="4" t="str">
        <f ca="1">VLOOKUP($C128,OFFSET([1]quests!$A$1,0,0,COUNTA([1]quests!$A:$A),MATCH(D$1,[1]quests!$1:$1,0)-MATCH($C$1,[1]quests!$1:$1,0)+1),MATCH(D$1,[1]quests!$1:$1,0)-MATCH($C$1,[1]quests!$1:$1,0)+1,FALSE)</f>
        <v>【日曜限定】 青と黄の素材</v>
      </c>
      <c r="E128" s="4" t="str">
        <f ca="1">VLOOKUP($C128,OFFSET([1]quests!$A$1,0,0,COUNTA([1]quests!$A:$A),MATCH(E$1,[1]quests!$1:$1,0)-MATCH($C$1,[1]quests!$1:$1,0)+1),MATCH(E$1,[1]quests!$1:$1,0)-MATCH($C$1,[1]quests!$1:$1,0)+1,FALSE)</f>
        <v>日曜クエスト</v>
      </c>
      <c r="F128" s="6">
        <v>1</v>
      </c>
      <c r="G128" s="4" t="str">
        <f ca="1">VLOOKUP($C128&amp;"_"&amp;$F128,OFFSET([1]stages!$A$1,0,0,COUNTA([1]stages!$A:$A),MATCH(G$1,[1]stages!$2:$2,0)-MATCH("temp_stage",[1]stages!$2:$2,0)+1),MATCH(G$1,[1]stages!$2:$2,0)-MATCH("temp_stage",[1]stages!$2:$2,0)+1,FALSE)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28" s="4" t="str">
        <f ca="1">VLOOKUP($C128&amp;"_"&amp;$F128,OFFSET([1]stages!$A$1,0,0,COUNTA([1]stages!$A:$A),MATCH(H$1,[1]stages!$2:$2,0)-MATCH("temp_stage",[1]stages!$2:$2,0)+1),MATCH(H$1,[1]stages!$2:$2,0)-MATCH("temp_stage",[1]stages!$2:$2,0)+1,FALSE)</f>
        <v>日曜クエスト</v>
      </c>
      <c r="I128" s="19">
        <v>0</v>
      </c>
      <c r="J128" s="6">
        <f>COUNTIF(C$1:C128,C128)</f>
        <v>2</v>
      </c>
      <c r="K128">
        <v>2</v>
      </c>
      <c r="L128" s="6" t="s">
        <v>17</v>
      </c>
      <c r="M128" s="36" t="str">
        <f>VLOOKUP(K128,[2]stage_hints!$A:$C,3,FALSE)</f>
        <v>属性の相性</v>
      </c>
      <c r="N128" s="37" t="str">
        <f>VLOOKUP(K128,[2]stage_hints!$A:$D,4,FALSE)</f>
        <v>赤＞青　青＞黄　黄＞緑　緑＞赤_x000D_敵属性に最適なパーティがオススメです</v>
      </c>
      <c r="O128" s="22" t="s">
        <v>117</v>
      </c>
      <c r="P128">
        <v>2</v>
      </c>
    </row>
    <row r="129" spans="1:16" x14ac:dyDescent="0.15">
      <c r="A129" s="29" t="str">
        <f t="shared" si="21"/>
        <v>11008_1_3</v>
      </c>
      <c r="B129" s="27" t="s">
        <v>33</v>
      </c>
      <c r="C129" s="5">
        <v>11008</v>
      </c>
      <c r="D129" s="4" t="str">
        <f ca="1">VLOOKUP($C129,OFFSET([1]quests!$A$1,0,0,COUNTA([1]quests!$A:$A),MATCH(D$1,[1]quests!$1:$1,0)-MATCH($C$1,[1]quests!$1:$1,0)+1),MATCH(D$1,[1]quests!$1:$1,0)-MATCH($C$1,[1]quests!$1:$1,0)+1,FALSE)</f>
        <v>【日曜限定】 青と黄の素材</v>
      </c>
      <c r="E129" s="4" t="str">
        <f ca="1">VLOOKUP($C129,OFFSET([1]quests!$A$1,0,0,COUNTA([1]quests!$A:$A),MATCH(E$1,[1]quests!$1:$1,0)-MATCH($C$1,[1]quests!$1:$1,0)+1),MATCH(E$1,[1]quests!$1:$1,0)-MATCH($C$1,[1]quests!$1:$1,0)+1,FALSE)</f>
        <v>日曜クエスト</v>
      </c>
      <c r="F129" s="6">
        <v>1</v>
      </c>
      <c r="G129" s="4" t="str">
        <f ca="1">VLOOKUP($C129&amp;"_"&amp;$F129,OFFSET([1]stages!$A$1,0,0,COUNTA([1]stages!$A:$A),MATCH(G$1,[1]stages!$2:$2,0)-MATCH("temp_stage",[1]stages!$2:$2,0)+1),MATCH(G$1,[1]stages!$2:$2,0)-MATCH("temp_stage",[1]stages!$2:$2,0)+1,FALSE)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29" s="4" t="str">
        <f ca="1">VLOOKUP($C129&amp;"_"&amp;$F129,OFFSET([1]stages!$A$1,0,0,COUNTA([1]stages!$A:$A),MATCH(H$1,[1]stages!$2:$2,0)-MATCH("temp_stage",[1]stages!$2:$2,0)+1),MATCH(H$1,[1]stages!$2:$2,0)-MATCH("temp_stage",[1]stages!$2:$2,0)+1,FALSE)</f>
        <v>日曜クエスト</v>
      </c>
      <c r="I129" s="19">
        <v>0</v>
      </c>
      <c r="J129" s="6">
        <f>COUNTIF(C$1:C129,C129)</f>
        <v>3</v>
      </c>
      <c r="K129">
        <v>3</v>
      </c>
      <c r="L129" s="6" t="s">
        <v>17</v>
      </c>
      <c r="M129" s="36" t="str">
        <f>VLOOKUP(K129,[2]stage_hints!$A:$C,3,FALSE)</f>
        <v>ターゲット</v>
      </c>
      <c r="N129" s="37" t="str">
        <f>VLOOKUP(K129,[2]stage_hints!$A:$D,4,FALSE)</f>
        <v>敵ユニットをタップすると_x000D_その敵を狙い撃ちできます</v>
      </c>
      <c r="O129" s="22" t="s">
        <v>117</v>
      </c>
      <c r="P129">
        <v>3</v>
      </c>
    </row>
    <row r="130" spans="1:16" x14ac:dyDescent="0.15">
      <c r="A130" s="29" t="str">
        <f t="shared" si="21"/>
        <v>11008_1_4</v>
      </c>
      <c r="B130" s="27" t="s">
        <v>33</v>
      </c>
      <c r="C130" s="5">
        <v>11008</v>
      </c>
      <c r="D130" s="4" t="str">
        <f ca="1">VLOOKUP($C130,OFFSET([1]quests!$A$1,0,0,COUNTA([1]quests!$A:$A),MATCH(D$1,[1]quests!$1:$1,0)-MATCH($C$1,[1]quests!$1:$1,0)+1),MATCH(D$1,[1]quests!$1:$1,0)-MATCH($C$1,[1]quests!$1:$1,0)+1,FALSE)</f>
        <v>【日曜限定】 青と黄の素材</v>
      </c>
      <c r="E130" s="4" t="str">
        <f ca="1">VLOOKUP($C130,OFFSET([1]quests!$A$1,0,0,COUNTA([1]quests!$A:$A),MATCH(E$1,[1]quests!$1:$1,0)-MATCH($C$1,[1]quests!$1:$1,0)+1),MATCH(E$1,[1]quests!$1:$1,0)-MATCH($C$1,[1]quests!$1:$1,0)+1,FALSE)</f>
        <v>日曜クエスト</v>
      </c>
      <c r="F130" s="6">
        <v>1</v>
      </c>
      <c r="G130" s="4" t="str">
        <f ca="1">VLOOKUP($C130&amp;"_"&amp;$F130,OFFSET([1]stages!$A$1,0,0,COUNTA([1]stages!$A:$A),MATCH(G$1,[1]stages!$2:$2,0)-MATCH("temp_stage",[1]stages!$2:$2,0)+1),MATCH(G$1,[1]stages!$2:$2,0)-MATCH("temp_stage",[1]stages!$2:$2,0)+1,FALSE)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30" s="4" t="str">
        <f ca="1">VLOOKUP($C130&amp;"_"&amp;$F130,OFFSET([1]stages!$A$1,0,0,COUNTA([1]stages!$A:$A),MATCH(H$1,[1]stages!$2:$2,0)-MATCH("temp_stage",[1]stages!$2:$2,0)+1),MATCH(H$1,[1]stages!$2:$2,0)-MATCH("temp_stage",[1]stages!$2:$2,0)+1,FALSE)</f>
        <v>日曜クエスト</v>
      </c>
      <c r="I130" s="19">
        <v>0</v>
      </c>
      <c r="J130" s="6">
        <f>COUNTIF(C$1:C130,C130)</f>
        <v>4</v>
      </c>
      <c r="K130">
        <v>5</v>
      </c>
      <c r="L130" s="6" t="s">
        <v>17</v>
      </c>
      <c r="M130" s="36" t="str">
        <f>VLOOKUP(K130,[2]stage_hints!$A:$C,3,FALSE)</f>
        <v>ユニット強化でレベルアップ</v>
      </c>
      <c r="N130" s="37" t="str">
        <f>VLOOKUP(K130,[2]stage_hints!$A:$D,4,FALSE)</f>
        <v>「ユニット強化」でレベルアップすると_x000D_勝てない敵にも勝てるようになります</v>
      </c>
      <c r="O130" s="22" t="s">
        <v>117</v>
      </c>
      <c r="P130">
        <v>5</v>
      </c>
    </row>
    <row r="131" spans="1:16" x14ac:dyDescent="0.15">
      <c r="A131" s="29" t="str">
        <f t="shared" si="21"/>
        <v>11008_1_5</v>
      </c>
      <c r="B131" s="27" t="s">
        <v>33</v>
      </c>
      <c r="C131" s="5">
        <v>11008</v>
      </c>
      <c r="D131" s="4" t="str">
        <f ca="1">VLOOKUP($C131,OFFSET([1]quests!$A$1,0,0,COUNTA([1]quests!$A:$A),MATCH(D$1,[1]quests!$1:$1,0)-MATCH($C$1,[1]quests!$1:$1,0)+1),MATCH(D$1,[1]quests!$1:$1,0)-MATCH($C$1,[1]quests!$1:$1,0)+1,FALSE)</f>
        <v>【日曜限定】 青と黄の素材</v>
      </c>
      <c r="E131" s="4" t="str">
        <f ca="1">VLOOKUP($C131,OFFSET([1]quests!$A$1,0,0,COUNTA([1]quests!$A:$A),MATCH(E$1,[1]quests!$1:$1,0)-MATCH($C$1,[1]quests!$1:$1,0)+1),MATCH(E$1,[1]quests!$1:$1,0)-MATCH($C$1,[1]quests!$1:$1,0)+1,FALSE)</f>
        <v>日曜クエスト</v>
      </c>
      <c r="F131" s="6">
        <v>1</v>
      </c>
      <c r="G131" s="4" t="str">
        <f ca="1">VLOOKUP($C131&amp;"_"&amp;$F131,OFFSET([1]stages!$A$1,0,0,COUNTA([1]stages!$A:$A),MATCH(G$1,[1]stages!$2:$2,0)-MATCH("temp_stage",[1]stages!$2:$2,0)+1),MATCH(G$1,[1]stages!$2:$2,0)-MATCH("temp_stage",[1]stages!$2:$2,0)+1,FALSE)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31" s="4" t="str">
        <f ca="1">VLOOKUP($C131&amp;"_"&amp;$F131,OFFSET([1]stages!$A$1,0,0,COUNTA([1]stages!$A:$A),MATCH(H$1,[1]stages!$2:$2,0)-MATCH("temp_stage",[1]stages!$2:$2,0)+1),MATCH(H$1,[1]stages!$2:$2,0)-MATCH("temp_stage",[1]stages!$2:$2,0)+1,FALSE)</f>
        <v>日曜クエスト</v>
      </c>
      <c r="I131" s="19">
        <v>0</v>
      </c>
      <c r="J131" s="6">
        <f>COUNTIF(C$1:C131,C131)</f>
        <v>5</v>
      </c>
      <c r="K131">
        <v>6</v>
      </c>
      <c r="L131" s="6" t="s">
        <v>17</v>
      </c>
      <c r="M131" s="36" t="str">
        <f>VLOOKUP(K131,[2]stage_hints!$A:$C,3,FALSE)</f>
        <v>ユニット強化の属性ボーナス</v>
      </c>
      <c r="N131" s="37" t="str">
        <f>VLOOKUP(K131,[2]stage_hints!$A:$D,4,FALSE)</f>
        <v>同属性ユニットを強化素材にすると_x000D_経験値が多くもらえます</v>
      </c>
      <c r="O131" s="22" t="s">
        <v>117</v>
      </c>
      <c r="P131">
        <v>6</v>
      </c>
    </row>
    <row r="132" spans="1:16" x14ac:dyDescent="0.15">
      <c r="A132" s="29" t="str">
        <f t="shared" si="21"/>
        <v>11008_1_6</v>
      </c>
      <c r="B132" s="27" t="s">
        <v>33</v>
      </c>
      <c r="C132" s="5">
        <v>11008</v>
      </c>
      <c r="D132" s="4" t="str">
        <f ca="1">VLOOKUP($C132,OFFSET([1]quests!$A$1,0,0,COUNTA([1]quests!$A:$A),MATCH(D$1,[1]quests!$1:$1,0)-MATCH($C$1,[1]quests!$1:$1,0)+1),MATCH(D$1,[1]quests!$1:$1,0)-MATCH($C$1,[1]quests!$1:$1,0)+1,FALSE)</f>
        <v>【日曜限定】 青と黄の素材</v>
      </c>
      <c r="E132" s="4" t="str">
        <f ca="1">VLOOKUP($C132,OFFSET([1]quests!$A$1,0,0,COUNTA([1]quests!$A:$A),MATCH(E$1,[1]quests!$1:$1,0)-MATCH($C$1,[1]quests!$1:$1,0)+1),MATCH(E$1,[1]quests!$1:$1,0)-MATCH($C$1,[1]quests!$1:$1,0)+1,FALSE)</f>
        <v>日曜クエスト</v>
      </c>
      <c r="F132" s="6">
        <v>1</v>
      </c>
      <c r="G132" s="4" t="str">
        <f ca="1">VLOOKUP($C132&amp;"_"&amp;$F132,OFFSET([1]stages!$A$1,0,0,COUNTA([1]stages!$A:$A),MATCH(G$1,[1]stages!$2:$2,0)-MATCH("temp_stage",[1]stages!$2:$2,0)+1),MATCH(G$1,[1]stages!$2:$2,0)-MATCH("temp_stage",[1]stages!$2:$2,0)+1,FALSE)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32" s="4" t="str">
        <f ca="1">VLOOKUP($C132&amp;"_"&amp;$F132,OFFSET([1]stages!$A$1,0,0,COUNTA([1]stages!$A:$A),MATCH(H$1,[1]stages!$2:$2,0)-MATCH("temp_stage",[1]stages!$2:$2,0)+1),MATCH(H$1,[1]stages!$2:$2,0)-MATCH("temp_stage",[1]stages!$2:$2,0)+1,FALSE)</f>
        <v>日曜クエスト</v>
      </c>
      <c r="I132" s="19">
        <v>0</v>
      </c>
      <c r="J132" s="6">
        <f>COUNTIF(C$1:C132,C132)</f>
        <v>6</v>
      </c>
      <c r="K132">
        <v>7</v>
      </c>
      <c r="L132" s="6" t="s">
        <v>17</v>
      </c>
      <c r="M132" s="36" t="str">
        <f>VLOOKUP(K132,[2]stage_hints!$A:$C,3,FALSE)</f>
        <v>メタルダックで経験値を獲得</v>
      </c>
      <c r="N132" s="37" t="str">
        <f>VLOOKUP(K132,[2]stage_hints!$A:$D,4,FALSE)</f>
        <v>「メタルなアヒル」を強化素材にすると_x000D_大量の経験値がもらえます</v>
      </c>
      <c r="O132" s="22" t="s">
        <v>117</v>
      </c>
      <c r="P132">
        <v>7</v>
      </c>
    </row>
    <row r="133" spans="1:16" x14ac:dyDescent="0.15">
      <c r="A133" s="29" t="str">
        <f t="shared" si="21"/>
        <v>11008_1_7</v>
      </c>
      <c r="B133" s="27" t="s">
        <v>33</v>
      </c>
      <c r="C133" s="5">
        <v>11008</v>
      </c>
      <c r="D133" s="4" t="str">
        <f ca="1">VLOOKUP($C133,OFFSET([1]quests!$A$1,0,0,COUNTA([1]quests!$A:$A),MATCH(D$1,[1]quests!$1:$1,0)-MATCH($C$1,[1]quests!$1:$1,0)+1),MATCH(D$1,[1]quests!$1:$1,0)-MATCH($C$1,[1]quests!$1:$1,0)+1,FALSE)</f>
        <v>【日曜限定】 青と黄の素材</v>
      </c>
      <c r="E133" s="4" t="str">
        <f ca="1">VLOOKUP($C133,OFFSET([1]quests!$A$1,0,0,COUNTA([1]quests!$A:$A),MATCH(E$1,[1]quests!$1:$1,0)-MATCH($C$1,[1]quests!$1:$1,0)+1),MATCH(E$1,[1]quests!$1:$1,0)-MATCH($C$1,[1]quests!$1:$1,0)+1,FALSE)</f>
        <v>日曜クエスト</v>
      </c>
      <c r="F133" s="6">
        <v>1</v>
      </c>
      <c r="G133" s="4" t="str">
        <f ca="1">VLOOKUP($C133&amp;"_"&amp;$F133,OFFSET([1]stages!$A$1,0,0,COUNTA([1]stages!$A:$A),MATCH(G$1,[1]stages!$2:$2,0)-MATCH("temp_stage",[1]stages!$2:$2,0)+1),MATCH(G$1,[1]stages!$2:$2,0)-MATCH("temp_stage",[1]stages!$2:$2,0)+1,FALSE)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33" s="4" t="str">
        <f ca="1">VLOOKUP($C133&amp;"_"&amp;$F133,OFFSET([1]stages!$A$1,0,0,COUNTA([1]stages!$A:$A),MATCH(H$1,[1]stages!$2:$2,0)-MATCH("temp_stage",[1]stages!$2:$2,0)+1),MATCH(H$1,[1]stages!$2:$2,0)-MATCH("temp_stage",[1]stages!$2:$2,0)+1,FALSE)</f>
        <v>日曜クエスト</v>
      </c>
      <c r="I133" s="19">
        <v>0</v>
      </c>
      <c r="J133" s="6">
        <f>COUNTIF(C$1:C133,C133)</f>
        <v>7</v>
      </c>
      <c r="K133">
        <v>8</v>
      </c>
      <c r="L133" s="6" t="s">
        <v>17</v>
      </c>
      <c r="M133" s="36" t="str">
        <f>VLOOKUP(K133,[2]stage_hints!$A:$C,3,FALSE)</f>
        <v>ゲリラクエストは要チェック</v>
      </c>
      <c r="N133" s="37" t="str">
        <f>VLOOKUP(K133,[2]stage_hints!$A:$D,4,FALSE)</f>
        <v>時間限定の「アヒル捕獲作戦」では_x000D_経験値素材ユニットが多く手に入ります</v>
      </c>
      <c r="O133" s="22" t="s">
        <v>117</v>
      </c>
      <c r="P133">
        <v>8</v>
      </c>
    </row>
    <row r="134" spans="1:16" x14ac:dyDescent="0.15">
      <c r="A134" s="29" t="str">
        <f t="shared" si="21"/>
        <v>11008_1_8</v>
      </c>
      <c r="B134" s="27" t="s">
        <v>33</v>
      </c>
      <c r="C134" s="5">
        <v>11008</v>
      </c>
      <c r="D134" s="4" t="str">
        <f ca="1">VLOOKUP($C134,OFFSET([1]quests!$A$1,0,0,COUNTA([1]quests!$A:$A),MATCH(D$1,[1]quests!$1:$1,0)-MATCH($C$1,[1]quests!$1:$1,0)+1),MATCH(D$1,[1]quests!$1:$1,0)-MATCH($C$1,[1]quests!$1:$1,0)+1,FALSE)</f>
        <v>【日曜限定】 青と黄の素材</v>
      </c>
      <c r="E134" s="4" t="str">
        <f ca="1">VLOOKUP($C134,OFFSET([1]quests!$A$1,0,0,COUNTA([1]quests!$A:$A),MATCH(E$1,[1]quests!$1:$1,0)-MATCH($C$1,[1]quests!$1:$1,0)+1),MATCH(E$1,[1]quests!$1:$1,0)-MATCH($C$1,[1]quests!$1:$1,0)+1,FALSE)</f>
        <v>日曜クエスト</v>
      </c>
      <c r="F134" s="6">
        <v>1</v>
      </c>
      <c r="G134" s="4" t="str">
        <f ca="1">VLOOKUP($C134&amp;"_"&amp;$F134,OFFSET([1]stages!$A$1,0,0,COUNTA([1]stages!$A:$A),MATCH(G$1,[1]stages!$2:$2,0)-MATCH("temp_stage",[1]stages!$2:$2,0)+1),MATCH(G$1,[1]stages!$2:$2,0)-MATCH("temp_stage",[1]stages!$2:$2,0)+1,FALSE)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34" s="4" t="str">
        <f ca="1">VLOOKUP($C134&amp;"_"&amp;$F134,OFFSET([1]stages!$A$1,0,0,COUNTA([1]stages!$A:$A),MATCH(H$1,[1]stages!$2:$2,0)-MATCH("temp_stage",[1]stages!$2:$2,0)+1),MATCH(H$1,[1]stages!$2:$2,0)-MATCH("temp_stage",[1]stages!$2:$2,0)+1,FALSE)</f>
        <v>日曜クエスト</v>
      </c>
      <c r="I134" s="19">
        <v>0</v>
      </c>
      <c r="J134" s="6">
        <f>COUNTIF(C$1:C134,C134)</f>
        <v>8</v>
      </c>
      <c r="K134">
        <v>9</v>
      </c>
      <c r="L134" s="6" t="s">
        <v>17</v>
      </c>
      <c r="M134" s="36" t="str">
        <f>VLOOKUP(K134,[2]stage_hints!$A:$C,3,FALSE)</f>
        <v>ゴールドダックでビットを獲得</v>
      </c>
      <c r="N134" s="37" t="str">
        <f>VLOOKUP(K134,[2]stage_hints!$A:$D,4,FALSE)</f>
        <v>「ゴールドなアヒル」を売却すると_x000D_大量のビットがもらえます</v>
      </c>
      <c r="O134" s="22" t="s">
        <v>117</v>
      </c>
      <c r="P134">
        <v>9</v>
      </c>
    </row>
    <row r="135" spans="1:16" x14ac:dyDescent="0.15">
      <c r="A135" s="29" t="str">
        <f t="shared" si="21"/>
        <v>11008_1_9</v>
      </c>
      <c r="B135" s="27" t="s">
        <v>33</v>
      </c>
      <c r="C135" s="5">
        <v>11008</v>
      </c>
      <c r="D135" s="4" t="str">
        <f ca="1">VLOOKUP($C135,OFFSET([1]quests!$A$1,0,0,COUNTA([1]quests!$A:$A),MATCH(D$1,[1]quests!$1:$1,0)-MATCH($C$1,[1]quests!$1:$1,0)+1),MATCH(D$1,[1]quests!$1:$1,0)-MATCH($C$1,[1]quests!$1:$1,0)+1,FALSE)</f>
        <v>【日曜限定】 青と黄の素材</v>
      </c>
      <c r="E135" s="4" t="str">
        <f ca="1">VLOOKUP($C135,OFFSET([1]quests!$A$1,0,0,COUNTA([1]quests!$A:$A),MATCH(E$1,[1]quests!$1:$1,0)-MATCH($C$1,[1]quests!$1:$1,0)+1),MATCH(E$1,[1]quests!$1:$1,0)-MATCH($C$1,[1]quests!$1:$1,0)+1,FALSE)</f>
        <v>日曜クエスト</v>
      </c>
      <c r="F135" s="6">
        <v>1</v>
      </c>
      <c r="G135" s="4" t="str">
        <f ca="1">VLOOKUP($C135&amp;"_"&amp;$F135,OFFSET([1]stages!$A$1,0,0,COUNTA([1]stages!$A:$A),MATCH(G$1,[1]stages!$2:$2,0)-MATCH("temp_stage",[1]stages!$2:$2,0)+1),MATCH(G$1,[1]stages!$2:$2,0)-MATCH("temp_stage",[1]stages!$2:$2,0)+1,FALSE)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35" s="4" t="str">
        <f ca="1">VLOOKUP($C135&amp;"_"&amp;$F135,OFFSET([1]stages!$A$1,0,0,COUNTA([1]stages!$A:$A),MATCH(H$1,[1]stages!$2:$2,0)-MATCH("temp_stage",[1]stages!$2:$2,0)+1),MATCH(H$1,[1]stages!$2:$2,0)-MATCH("temp_stage",[1]stages!$2:$2,0)+1,FALSE)</f>
        <v>日曜クエスト</v>
      </c>
      <c r="I135" s="19">
        <v>0</v>
      </c>
      <c r="J135" s="6">
        <f>COUNTIF(C$1:C135,C135)</f>
        <v>9</v>
      </c>
      <c r="K135">
        <v>10</v>
      </c>
      <c r="L135" s="6" t="s">
        <v>17</v>
      </c>
      <c r="M135" s="36" t="str">
        <f>VLOOKUP(K135,[2]stage_hints!$A:$C,3,FALSE)</f>
        <v>土日に大量のビットを獲得</v>
      </c>
      <c r="N135" s="37" t="str">
        <f>VLOOKUP(K135,[2]stage_hints!$A:$D,4,FALSE)</f>
        <v>土日限定の「ゴールドカジノ」では_x000D_売却素材ユニットが多く手に入ります</v>
      </c>
      <c r="O135" s="22" t="s">
        <v>117</v>
      </c>
      <c r="P135">
        <v>10</v>
      </c>
    </row>
    <row r="136" spans="1:16" x14ac:dyDescent="0.15">
      <c r="A136" s="29" t="str">
        <f t="shared" si="21"/>
        <v>11008_1_10</v>
      </c>
      <c r="B136" s="27" t="s">
        <v>33</v>
      </c>
      <c r="C136" s="5">
        <v>11008</v>
      </c>
      <c r="D136" s="4" t="str">
        <f ca="1">VLOOKUP($C136,OFFSET([1]quests!$A$1,0,0,COUNTA([1]quests!$A:$A),MATCH(D$1,[1]quests!$1:$1,0)-MATCH($C$1,[1]quests!$1:$1,0)+1),MATCH(D$1,[1]quests!$1:$1,0)-MATCH($C$1,[1]quests!$1:$1,0)+1,FALSE)</f>
        <v>【日曜限定】 青と黄の素材</v>
      </c>
      <c r="E136" s="4" t="str">
        <f ca="1">VLOOKUP($C136,OFFSET([1]quests!$A$1,0,0,COUNTA([1]quests!$A:$A),MATCH(E$1,[1]quests!$1:$1,0)-MATCH($C$1,[1]quests!$1:$1,0)+1),MATCH(E$1,[1]quests!$1:$1,0)-MATCH($C$1,[1]quests!$1:$1,0)+1,FALSE)</f>
        <v>日曜クエスト</v>
      </c>
      <c r="F136" s="6">
        <v>1</v>
      </c>
      <c r="G136" s="4" t="str">
        <f ca="1">VLOOKUP($C136&amp;"_"&amp;$F136,OFFSET([1]stages!$A$1,0,0,COUNTA([1]stages!$A:$A),MATCH(G$1,[1]stages!$2:$2,0)-MATCH("temp_stage",[1]stages!$2:$2,0)+1),MATCH(G$1,[1]stages!$2:$2,0)-MATCH("temp_stage",[1]stages!$2:$2,0)+1,FALSE)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36" s="4" t="str">
        <f ca="1">VLOOKUP($C136&amp;"_"&amp;$F136,OFFSET([1]stages!$A$1,0,0,COUNTA([1]stages!$A:$A),MATCH(H$1,[1]stages!$2:$2,0)-MATCH("temp_stage",[1]stages!$2:$2,0)+1),MATCH(H$1,[1]stages!$2:$2,0)-MATCH("temp_stage",[1]stages!$2:$2,0)+1,FALSE)</f>
        <v>日曜クエスト</v>
      </c>
      <c r="I136" s="19">
        <v>0</v>
      </c>
      <c r="J136" s="6">
        <f>COUNTIF(C$1:C136,C136)</f>
        <v>10</v>
      </c>
      <c r="K136">
        <v>11</v>
      </c>
      <c r="L136" s="6" t="s">
        <v>17</v>
      </c>
      <c r="M136" s="36" t="str">
        <f>VLOOKUP(K136,[2]stage_hints!$A:$C,3,FALSE)</f>
        <v>ランク解放クエスト</v>
      </c>
      <c r="N136" s="37" t="str">
        <f>VLOOKUP(K136,[2]stage_hints!$A:$D,4,FALSE)</f>
        <v>一定ランクに到達すると_x000D_報酬付きのランク開放クエストが現れます</v>
      </c>
      <c r="O136" s="22" t="s">
        <v>117</v>
      </c>
      <c r="P136">
        <v>11</v>
      </c>
    </row>
    <row r="137" spans="1:16" x14ac:dyDescent="0.15">
      <c r="A137" s="29" t="str">
        <f t="shared" si="21"/>
        <v>11008_1_11</v>
      </c>
      <c r="B137" s="27" t="s">
        <v>33</v>
      </c>
      <c r="C137" s="5">
        <v>11008</v>
      </c>
      <c r="D137" s="4" t="str">
        <f ca="1">VLOOKUP($C137,OFFSET([1]quests!$A$1,0,0,COUNTA([1]quests!$A:$A),MATCH(D$1,[1]quests!$1:$1,0)-MATCH($C$1,[1]quests!$1:$1,0)+1),MATCH(D$1,[1]quests!$1:$1,0)-MATCH($C$1,[1]quests!$1:$1,0)+1,FALSE)</f>
        <v>【日曜限定】 青と黄の素材</v>
      </c>
      <c r="E137" s="4" t="str">
        <f ca="1">VLOOKUP($C137,OFFSET([1]quests!$A$1,0,0,COUNTA([1]quests!$A:$A),MATCH(E$1,[1]quests!$1:$1,0)-MATCH($C$1,[1]quests!$1:$1,0)+1),MATCH(E$1,[1]quests!$1:$1,0)-MATCH($C$1,[1]quests!$1:$1,0)+1,FALSE)</f>
        <v>日曜クエスト</v>
      </c>
      <c r="F137" s="6">
        <v>1</v>
      </c>
      <c r="G137" s="4" t="str">
        <f ca="1">VLOOKUP($C137&amp;"_"&amp;$F137,OFFSET([1]stages!$A$1,0,0,COUNTA([1]stages!$A:$A),MATCH(G$1,[1]stages!$2:$2,0)-MATCH("temp_stage",[1]stages!$2:$2,0)+1),MATCH(G$1,[1]stages!$2:$2,0)-MATCH("temp_stage",[1]stages!$2:$2,0)+1,FALSE)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37" s="4" t="str">
        <f ca="1">VLOOKUP($C137&amp;"_"&amp;$F137,OFFSET([1]stages!$A$1,0,0,COUNTA([1]stages!$A:$A),MATCH(H$1,[1]stages!$2:$2,0)-MATCH("temp_stage",[1]stages!$2:$2,0)+1),MATCH(H$1,[1]stages!$2:$2,0)-MATCH("temp_stage",[1]stages!$2:$2,0)+1,FALSE)</f>
        <v>日曜クエスト</v>
      </c>
      <c r="I137" s="19">
        <v>0</v>
      </c>
      <c r="J137" s="6">
        <f>COUNTIF(C$1:C137,C137)</f>
        <v>11</v>
      </c>
      <c r="K137">
        <v>12</v>
      </c>
      <c r="L137" s="6" t="s">
        <v>17</v>
      </c>
      <c r="M137" s="36" t="str">
        <f>VLOOKUP(K137,[2]stage_hints!$A:$C,3,FALSE)</f>
        <v>ユニットのお気に入り登録</v>
      </c>
      <c r="N137" s="37" t="str">
        <f>VLOOKUP(K137,[2]stage_hints!$A:$D,4,FALSE)</f>
        <v>大事なユニットを誤って消さないように_x000D_フォルダから「お気に入り登録」しましょう</v>
      </c>
      <c r="O137" s="22" t="s">
        <v>117</v>
      </c>
      <c r="P137">
        <v>12</v>
      </c>
    </row>
    <row r="138" spans="1:16" x14ac:dyDescent="0.15">
      <c r="A138" s="29" t="str">
        <f t="shared" si="21"/>
        <v>11008_1_12</v>
      </c>
      <c r="B138" s="27" t="s">
        <v>33</v>
      </c>
      <c r="C138" s="5">
        <v>11008</v>
      </c>
      <c r="D138" s="4" t="str">
        <f ca="1">VLOOKUP($C138,OFFSET([1]quests!$A$1,0,0,COUNTA([1]quests!$A:$A),MATCH(D$1,[1]quests!$1:$1,0)-MATCH($C$1,[1]quests!$1:$1,0)+1),MATCH(D$1,[1]quests!$1:$1,0)-MATCH($C$1,[1]quests!$1:$1,0)+1,FALSE)</f>
        <v>【日曜限定】 青と黄の素材</v>
      </c>
      <c r="E138" s="4" t="str">
        <f ca="1">VLOOKUP($C138,OFFSET([1]quests!$A$1,0,0,COUNTA([1]quests!$A:$A),MATCH(E$1,[1]quests!$1:$1,0)-MATCH($C$1,[1]quests!$1:$1,0)+1),MATCH(E$1,[1]quests!$1:$1,0)-MATCH($C$1,[1]quests!$1:$1,0)+1,FALSE)</f>
        <v>日曜クエスト</v>
      </c>
      <c r="F138" s="6">
        <v>1</v>
      </c>
      <c r="G138" s="4" t="str">
        <f ca="1">VLOOKUP($C138&amp;"_"&amp;$F138,OFFSET([1]stages!$A$1,0,0,COUNTA([1]stages!$A:$A),MATCH(G$1,[1]stages!$2:$2,0)-MATCH("temp_stage",[1]stages!$2:$2,0)+1),MATCH(G$1,[1]stages!$2:$2,0)-MATCH("temp_stage",[1]stages!$2:$2,0)+1,FALSE)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38" s="4" t="str">
        <f ca="1">VLOOKUP($C138&amp;"_"&amp;$F138,OFFSET([1]stages!$A$1,0,0,COUNTA([1]stages!$A:$A),MATCH(H$1,[1]stages!$2:$2,0)-MATCH("temp_stage",[1]stages!$2:$2,0)+1),MATCH(H$1,[1]stages!$2:$2,0)-MATCH("temp_stage",[1]stages!$2:$2,0)+1,FALSE)</f>
        <v>日曜クエスト</v>
      </c>
      <c r="I138" s="19">
        <v>0</v>
      </c>
      <c r="J138" s="6">
        <f>COUNTIF(C$1:C138,C138)</f>
        <v>12</v>
      </c>
      <c r="K138">
        <v>13</v>
      </c>
      <c r="L138" s="6" t="s">
        <v>17</v>
      </c>
      <c r="M138" s="36" t="str">
        <f>VLOOKUP(K138,[2]stage_hints!$A:$C,3,FALSE)</f>
        <v>ユニットの覚醒</v>
      </c>
      <c r="N138" s="37" t="str">
        <f>VLOOKUP(K138,[2]stage_hints!$A:$D,4,FALSE)</f>
        <v>ユニットを覚醒させると_x000D_比べものにならない強さが手に入ります</v>
      </c>
      <c r="O138" s="22" t="s">
        <v>117</v>
      </c>
      <c r="P138">
        <v>13</v>
      </c>
    </row>
    <row r="139" spans="1:16" x14ac:dyDescent="0.15">
      <c r="A139" s="29" t="str">
        <f t="shared" si="21"/>
        <v>11008_1_13</v>
      </c>
      <c r="B139" s="27" t="s">
        <v>33</v>
      </c>
      <c r="C139" s="5">
        <v>11008</v>
      </c>
      <c r="D139" s="4" t="str">
        <f ca="1">VLOOKUP($C139,OFFSET([1]quests!$A$1,0,0,COUNTA([1]quests!$A:$A),MATCH(D$1,[1]quests!$1:$1,0)-MATCH($C$1,[1]quests!$1:$1,0)+1),MATCH(D$1,[1]quests!$1:$1,0)-MATCH($C$1,[1]quests!$1:$1,0)+1,FALSE)</f>
        <v>【日曜限定】 青と黄の素材</v>
      </c>
      <c r="E139" s="4" t="str">
        <f ca="1">VLOOKUP($C139,OFFSET([1]quests!$A$1,0,0,COUNTA([1]quests!$A:$A),MATCH(E$1,[1]quests!$1:$1,0)-MATCH($C$1,[1]quests!$1:$1,0)+1),MATCH(E$1,[1]quests!$1:$1,0)-MATCH($C$1,[1]quests!$1:$1,0)+1,FALSE)</f>
        <v>日曜クエスト</v>
      </c>
      <c r="F139" s="6">
        <v>1</v>
      </c>
      <c r="G139" s="4" t="str">
        <f ca="1">VLOOKUP($C139&amp;"_"&amp;$F139,OFFSET([1]stages!$A$1,0,0,COUNTA([1]stages!$A:$A),MATCH(G$1,[1]stages!$2:$2,0)-MATCH("temp_stage",[1]stages!$2:$2,0)+1),MATCH(G$1,[1]stages!$2:$2,0)-MATCH("temp_stage",[1]stages!$2:$2,0)+1,FALSE)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39" s="4" t="str">
        <f ca="1">VLOOKUP($C139&amp;"_"&amp;$F139,OFFSET([1]stages!$A$1,0,0,COUNTA([1]stages!$A:$A),MATCH(H$1,[1]stages!$2:$2,0)-MATCH("temp_stage",[1]stages!$2:$2,0)+1),MATCH(H$1,[1]stages!$2:$2,0)-MATCH("temp_stage",[1]stages!$2:$2,0)+1,FALSE)</f>
        <v>日曜クエスト</v>
      </c>
      <c r="I139" s="19">
        <v>0</v>
      </c>
      <c r="J139" s="6">
        <f>COUNTIF(C$1:C139,C139)</f>
        <v>13</v>
      </c>
      <c r="K139">
        <v>14</v>
      </c>
      <c r="L139" s="6" t="s">
        <v>17</v>
      </c>
      <c r="M139" s="36" t="str">
        <f>VLOOKUP(K139,[2]stage_hints!$A:$C,3,FALSE)</f>
        <v>覚醒するにはレベルを最大に</v>
      </c>
      <c r="N139" s="37" t="str">
        <f>VLOOKUP(K139,[2]stage_hints!$A:$D,4,FALSE)</f>
        <v>覚醒するにはユニットのレベルを_x000D_最大まで上げる必要があります</v>
      </c>
      <c r="O139" s="22" t="s">
        <v>117</v>
      </c>
      <c r="P139">
        <v>14</v>
      </c>
    </row>
    <row r="140" spans="1:16" x14ac:dyDescent="0.15">
      <c r="A140" s="29" t="str">
        <f t="shared" si="21"/>
        <v>11008_1_14</v>
      </c>
      <c r="B140" s="27" t="s">
        <v>33</v>
      </c>
      <c r="C140" s="5">
        <v>11008</v>
      </c>
      <c r="D140" s="4" t="str">
        <f ca="1">VLOOKUP($C140,OFFSET([1]quests!$A$1,0,0,COUNTA([1]quests!$A:$A),MATCH(D$1,[1]quests!$1:$1,0)-MATCH($C$1,[1]quests!$1:$1,0)+1),MATCH(D$1,[1]quests!$1:$1,0)-MATCH($C$1,[1]quests!$1:$1,0)+1,FALSE)</f>
        <v>【日曜限定】 青と黄の素材</v>
      </c>
      <c r="E140" s="4" t="str">
        <f ca="1">VLOOKUP($C140,OFFSET([1]quests!$A$1,0,0,COUNTA([1]quests!$A:$A),MATCH(E$1,[1]quests!$1:$1,0)-MATCH($C$1,[1]quests!$1:$1,0)+1),MATCH(E$1,[1]quests!$1:$1,0)-MATCH($C$1,[1]quests!$1:$1,0)+1,FALSE)</f>
        <v>日曜クエスト</v>
      </c>
      <c r="F140" s="6">
        <v>1</v>
      </c>
      <c r="G140" s="4" t="str">
        <f ca="1">VLOOKUP($C140&amp;"_"&amp;$F140,OFFSET([1]stages!$A$1,0,0,COUNTA([1]stages!$A:$A),MATCH(G$1,[1]stages!$2:$2,0)-MATCH("temp_stage",[1]stages!$2:$2,0)+1),MATCH(G$1,[1]stages!$2:$2,0)-MATCH("temp_stage",[1]stages!$2:$2,0)+1,FALSE)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40" s="4" t="str">
        <f ca="1">VLOOKUP($C140&amp;"_"&amp;$F140,OFFSET([1]stages!$A$1,0,0,COUNTA([1]stages!$A:$A),MATCH(H$1,[1]stages!$2:$2,0)-MATCH("temp_stage",[1]stages!$2:$2,0)+1),MATCH(H$1,[1]stages!$2:$2,0)-MATCH("temp_stage",[1]stages!$2:$2,0)+1,FALSE)</f>
        <v>日曜クエスト</v>
      </c>
      <c r="I140" s="19">
        <v>0</v>
      </c>
      <c r="J140" s="6">
        <f>COUNTIF(C$1:C140,C140)</f>
        <v>14</v>
      </c>
      <c r="K140">
        <v>15</v>
      </c>
      <c r="L140" s="6" t="s">
        <v>17</v>
      </c>
      <c r="M140" s="36" t="str">
        <f>VLOOKUP(K140,[2]stage_hints!$A:$C,3,FALSE)</f>
        <v>覚醒素材を獲得</v>
      </c>
      <c r="N140" s="37" t="str">
        <f>VLOOKUP(K140,[2]stage_hints!$A:$D,4,FALSE)</f>
        <v>「曜日クエスト」では_x000D_ユニットの覚醒に必要な素材が手に入ります</v>
      </c>
      <c r="O140" s="22" t="s">
        <v>117</v>
      </c>
      <c r="P140">
        <v>15</v>
      </c>
    </row>
    <row r="141" spans="1:16" x14ac:dyDescent="0.15">
      <c r="A141" s="29" t="str">
        <f t="shared" si="21"/>
        <v>11008_1_15</v>
      </c>
      <c r="B141" s="27" t="s">
        <v>33</v>
      </c>
      <c r="C141" s="5">
        <v>11008</v>
      </c>
      <c r="D141" s="4" t="str">
        <f ca="1">VLOOKUP($C141,OFFSET([1]quests!$A$1,0,0,COUNTA([1]quests!$A:$A),MATCH(D$1,[1]quests!$1:$1,0)-MATCH($C$1,[1]quests!$1:$1,0)+1),MATCH(D$1,[1]quests!$1:$1,0)-MATCH($C$1,[1]quests!$1:$1,0)+1,FALSE)</f>
        <v>【日曜限定】 青と黄の素材</v>
      </c>
      <c r="E141" s="4" t="str">
        <f ca="1">VLOOKUP($C141,OFFSET([1]quests!$A$1,0,0,COUNTA([1]quests!$A:$A),MATCH(E$1,[1]quests!$1:$1,0)-MATCH($C$1,[1]quests!$1:$1,0)+1),MATCH(E$1,[1]quests!$1:$1,0)-MATCH($C$1,[1]quests!$1:$1,0)+1,FALSE)</f>
        <v>日曜クエスト</v>
      </c>
      <c r="F141" s="6">
        <v>1</v>
      </c>
      <c r="G141" s="4" t="str">
        <f ca="1">VLOOKUP($C141&amp;"_"&amp;$F141,OFFSET([1]stages!$A$1,0,0,COUNTA([1]stages!$A:$A),MATCH(G$1,[1]stages!$2:$2,0)-MATCH("temp_stage",[1]stages!$2:$2,0)+1),MATCH(G$1,[1]stages!$2:$2,0)-MATCH("temp_stage",[1]stages!$2:$2,0)+1,FALSE)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41" s="4" t="str">
        <f ca="1">VLOOKUP($C141&amp;"_"&amp;$F141,OFFSET([1]stages!$A$1,0,0,COUNTA([1]stages!$A:$A),MATCH(H$1,[1]stages!$2:$2,0)-MATCH("temp_stage",[1]stages!$2:$2,0)+1),MATCH(H$1,[1]stages!$2:$2,0)-MATCH("temp_stage",[1]stages!$2:$2,0)+1,FALSE)</f>
        <v>日曜クエスト</v>
      </c>
      <c r="I141" s="19">
        <v>0</v>
      </c>
      <c r="J141" s="6">
        <f>COUNTIF(C$1:C141,C141)</f>
        <v>15</v>
      </c>
      <c r="K141">
        <v>16</v>
      </c>
      <c r="L141" s="6" t="s">
        <v>17</v>
      </c>
      <c r="M141" s="36" t="str">
        <f>VLOOKUP(K141,[2]stage_hints!$A:$C,3,FALSE)</f>
        <v>マルチプレイのメリット（その1）</v>
      </c>
      <c r="N141" s="37" t="str">
        <f>VLOOKUP(K141,[2]stage_hints!$A:$D,4,FALSE)</f>
        <v>他のプレイヤーとマルチプレイで遊ぶと_x000D_ポリゴンがもらえます（100人まで）</v>
      </c>
      <c r="O141" s="22" t="s">
        <v>117</v>
      </c>
      <c r="P141">
        <v>16</v>
      </c>
    </row>
    <row r="142" spans="1:16" x14ac:dyDescent="0.15">
      <c r="A142" s="29" t="str">
        <f t="shared" si="21"/>
        <v>11008_1_16</v>
      </c>
      <c r="B142" s="27" t="s">
        <v>33</v>
      </c>
      <c r="C142" s="5">
        <v>11008</v>
      </c>
      <c r="D142" s="4" t="str">
        <f ca="1">VLOOKUP($C142,OFFSET([1]quests!$A$1,0,0,COUNTA([1]quests!$A:$A),MATCH(D$1,[1]quests!$1:$1,0)-MATCH($C$1,[1]quests!$1:$1,0)+1),MATCH(D$1,[1]quests!$1:$1,0)-MATCH($C$1,[1]quests!$1:$1,0)+1,FALSE)</f>
        <v>【日曜限定】 青と黄の素材</v>
      </c>
      <c r="E142" s="4" t="str">
        <f ca="1">VLOOKUP($C142,OFFSET([1]quests!$A$1,0,0,COUNTA([1]quests!$A:$A),MATCH(E$1,[1]quests!$1:$1,0)-MATCH($C$1,[1]quests!$1:$1,0)+1),MATCH(E$1,[1]quests!$1:$1,0)-MATCH($C$1,[1]quests!$1:$1,0)+1,FALSE)</f>
        <v>日曜クエスト</v>
      </c>
      <c r="F142" s="6">
        <v>1</v>
      </c>
      <c r="G142" s="4" t="str">
        <f ca="1">VLOOKUP($C142&amp;"_"&amp;$F142,OFFSET([1]stages!$A$1,0,0,COUNTA([1]stages!$A:$A),MATCH(G$1,[1]stages!$2:$2,0)-MATCH("temp_stage",[1]stages!$2:$2,0)+1),MATCH(G$1,[1]stages!$2:$2,0)-MATCH("temp_stage",[1]stages!$2:$2,0)+1,FALSE)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42" s="4" t="str">
        <f ca="1">VLOOKUP($C142&amp;"_"&amp;$F142,OFFSET([1]stages!$A$1,0,0,COUNTA([1]stages!$A:$A),MATCH(H$1,[1]stages!$2:$2,0)-MATCH("temp_stage",[1]stages!$2:$2,0)+1),MATCH(H$1,[1]stages!$2:$2,0)-MATCH("temp_stage",[1]stages!$2:$2,0)+1,FALSE)</f>
        <v>日曜クエスト</v>
      </c>
      <c r="I142" s="19">
        <v>0</v>
      </c>
      <c r="J142" s="6">
        <f>COUNTIF(C$1:C142,C142)</f>
        <v>16</v>
      </c>
      <c r="K142">
        <v>17</v>
      </c>
      <c r="L142" s="6" t="s">
        <v>17</v>
      </c>
      <c r="M142" s="36" t="str">
        <f>VLOOKUP(K142,[2]stage_hints!$A:$C,3,FALSE)</f>
        <v>リンクガチャ</v>
      </c>
      <c r="N142" s="37" t="str">
        <f>VLOOKUP(K142,[2]stage_hints!$A:$D,4,FALSE)</f>
        <v>無料のリンクガチャを回して_x000D_経験値素材や売却素材を獲得しましょう</v>
      </c>
      <c r="O142" s="22" t="s">
        <v>117</v>
      </c>
      <c r="P142">
        <v>17</v>
      </c>
    </row>
    <row r="143" spans="1:16" x14ac:dyDescent="0.15">
      <c r="A143" s="29" t="str">
        <f t="shared" si="21"/>
        <v>11008_1_17</v>
      </c>
      <c r="B143" s="27" t="s">
        <v>33</v>
      </c>
      <c r="C143" s="5">
        <v>11008</v>
      </c>
      <c r="D143" s="4" t="str">
        <f ca="1">VLOOKUP($C143,OFFSET([1]quests!$A$1,0,0,COUNTA([1]quests!$A:$A),MATCH(D$1,[1]quests!$1:$1,0)-MATCH($C$1,[1]quests!$1:$1,0)+1),MATCH(D$1,[1]quests!$1:$1,0)-MATCH($C$1,[1]quests!$1:$1,0)+1,FALSE)</f>
        <v>【日曜限定】 青と黄の素材</v>
      </c>
      <c r="E143" s="4" t="str">
        <f ca="1">VLOOKUP($C143,OFFSET([1]quests!$A$1,0,0,COUNTA([1]quests!$A:$A),MATCH(E$1,[1]quests!$1:$1,0)-MATCH($C$1,[1]quests!$1:$1,0)+1),MATCH(E$1,[1]quests!$1:$1,0)-MATCH($C$1,[1]quests!$1:$1,0)+1,FALSE)</f>
        <v>日曜クエスト</v>
      </c>
      <c r="F143" s="6">
        <v>1</v>
      </c>
      <c r="G143" s="4" t="str">
        <f ca="1">VLOOKUP($C143&amp;"_"&amp;$F143,OFFSET([1]stages!$A$1,0,0,COUNTA([1]stages!$A:$A),MATCH(G$1,[1]stages!$2:$2,0)-MATCH("temp_stage",[1]stages!$2:$2,0)+1),MATCH(G$1,[1]stages!$2:$2,0)-MATCH("temp_stage",[1]stages!$2:$2,0)+1,FALSE)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43" s="4" t="str">
        <f ca="1">VLOOKUP($C143&amp;"_"&amp;$F143,OFFSET([1]stages!$A$1,0,0,COUNTA([1]stages!$A:$A),MATCH(H$1,[1]stages!$2:$2,0)-MATCH("temp_stage",[1]stages!$2:$2,0)+1),MATCH(H$1,[1]stages!$2:$2,0)-MATCH("temp_stage",[1]stages!$2:$2,0)+1,FALSE)</f>
        <v>日曜クエスト</v>
      </c>
      <c r="I143" s="19">
        <v>0</v>
      </c>
      <c r="J143" s="6">
        <f>COUNTIF(C$1:C143,C143)</f>
        <v>17</v>
      </c>
      <c r="K143">
        <v>18</v>
      </c>
      <c r="L143" s="6" t="s">
        <v>17</v>
      </c>
      <c r="M143" s="36" t="str">
        <f>VLOOKUP(K143,[2]stage_hints!$A:$C,3,FALSE)</f>
        <v>マルチプレイのメリット（その2）</v>
      </c>
      <c r="N143" s="37" t="str">
        <f>VLOOKUP(K143,[2]stage_hints!$A:$D,4,FALSE)</f>
        <v>マルチプレイならリンクが2倍もらえます_x000D_リンクガチャをたくさん回しましょう</v>
      </c>
      <c r="O143" s="22" t="s">
        <v>117</v>
      </c>
      <c r="P143">
        <v>18</v>
      </c>
    </row>
    <row r="144" spans="1:16" x14ac:dyDescent="0.15">
      <c r="A144" s="29" t="str">
        <f t="shared" si="21"/>
        <v>11008_1_18</v>
      </c>
      <c r="B144" s="27" t="s">
        <v>33</v>
      </c>
      <c r="C144" s="5">
        <v>11008</v>
      </c>
      <c r="D144" s="4" t="str">
        <f ca="1">VLOOKUP($C144,OFFSET([1]quests!$A$1,0,0,COUNTA([1]quests!$A:$A),MATCH(D$1,[1]quests!$1:$1,0)-MATCH($C$1,[1]quests!$1:$1,0)+1),MATCH(D$1,[1]quests!$1:$1,0)-MATCH($C$1,[1]quests!$1:$1,0)+1,FALSE)</f>
        <v>【日曜限定】 青と黄の素材</v>
      </c>
      <c r="E144" s="4" t="str">
        <f ca="1">VLOOKUP($C144,OFFSET([1]quests!$A$1,0,0,COUNTA([1]quests!$A:$A),MATCH(E$1,[1]quests!$1:$1,0)-MATCH($C$1,[1]quests!$1:$1,0)+1),MATCH(E$1,[1]quests!$1:$1,0)-MATCH($C$1,[1]quests!$1:$1,0)+1,FALSE)</f>
        <v>日曜クエスト</v>
      </c>
      <c r="F144" s="6">
        <v>1</v>
      </c>
      <c r="G144" s="4" t="str">
        <f ca="1">VLOOKUP($C144&amp;"_"&amp;$F144,OFFSET([1]stages!$A$1,0,0,COUNTA([1]stages!$A:$A),MATCH(G$1,[1]stages!$2:$2,0)-MATCH("temp_stage",[1]stages!$2:$2,0)+1),MATCH(G$1,[1]stages!$2:$2,0)-MATCH("temp_stage",[1]stages!$2:$2,0)+1,FALSE)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44" s="4" t="str">
        <f ca="1">VLOOKUP($C144&amp;"_"&amp;$F144,OFFSET([1]stages!$A$1,0,0,COUNTA([1]stages!$A:$A),MATCH(H$1,[1]stages!$2:$2,0)-MATCH("temp_stage",[1]stages!$2:$2,0)+1),MATCH(H$1,[1]stages!$2:$2,0)-MATCH("temp_stage",[1]stages!$2:$2,0)+1,FALSE)</f>
        <v>日曜クエスト</v>
      </c>
      <c r="I144" s="19">
        <v>0</v>
      </c>
      <c r="J144" s="6">
        <f>COUNTIF(C$1:C144,C144)</f>
        <v>18</v>
      </c>
      <c r="K144">
        <v>19</v>
      </c>
      <c r="L144" s="6" t="s">
        <v>17</v>
      </c>
      <c r="M144" s="36" t="str">
        <f>VLOOKUP(K144,[2]stage_hints!$A:$C,3,FALSE)</f>
        <v>ソロ専用チャレンジタワー</v>
      </c>
      <c r="N144" s="37" t="str">
        <f>VLOOKUP(K144,[2]stage_hints!$A:$D,4,FALSE)</f>
        <v>ソロ専用の「チャレンジタワー」では_x000D_各フロアごとにクリア報酬がもらえます</v>
      </c>
      <c r="O144" s="22" t="s">
        <v>117</v>
      </c>
      <c r="P144">
        <v>19</v>
      </c>
    </row>
    <row r="145" spans="1:16" x14ac:dyDescent="0.15">
      <c r="A145" s="29" t="str">
        <f t="shared" si="21"/>
        <v>11008_1_19</v>
      </c>
      <c r="B145" s="27" t="s">
        <v>33</v>
      </c>
      <c r="C145" s="5">
        <v>11008</v>
      </c>
      <c r="D145" s="4" t="str">
        <f ca="1">VLOOKUP($C145,OFFSET([1]quests!$A$1,0,0,COUNTA([1]quests!$A:$A),MATCH(D$1,[1]quests!$1:$1,0)-MATCH($C$1,[1]quests!$1:$1,0)+1),MATCH(D$1,[1]quests!$1:$1,0)-MATCH($C$1,[1]quests!$1:$1,0)+1,FALSE)</f>
        <v>【日曜限定】 青と黄の素材</v>
      </c>
      <c r="E145" s="4" t="str">
        <f ca="1">VLOOKUP($C145,OFFSET([1]quests!$A$1,0,0,COUNTA([1]quests!$A:$A),MATCH(E$1,[1]quests!$1:$1,0)-MATCH($C$1,[1]quests!$1:$1,0)+1),MATCH(E$1,[1]quests!$1:$1,0)-MATCH($C$1,[1]quests!$1:$1,0)+1,FALSE)</f>
        <v>日曜クエスト</v>
      </c>
      <c r="F145" s="6">
        <v>1</v>
      </c>
      <c r="G145" s="4" t="str">
        <f ca="1">VLOOKUP($C145&amp;"_"&amp;$F145,OFFSET([1]stages!$A$1,0,0,COUNTA([1]stages!$A:$A),MATCH(G$1,[1]stages!$2:$2,0)-MATCH("temp_stage",[1]stages!$2:$2,0)+1),MATCH(G$1,[1]stages!$2:$2,0)-MATCH("temp_stage",[1]stages!$2:$2,0)+1,FALSE)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45" s="4" t="str">
        <f ca="1">VLOOKUP($C145&amp;"_"&amp;$F145,OFFSET([1]stages!$A$1,0,0,COUNTA([1]stages!$A:$A),MATCH(H$1,[1]stages!$2:$2,0)-MATCH("temp_stage",[1]stages!$2:$2,0)+1),MATCH(H$1,[1]stages!$2:$2,0)-MATCH("temp_stage",[1]stages!$2:$2,0)+1,FALSE)</f>
        <v>日曜クエスト</v>
      </c>
      <c r="I145" s="19">
        <v>0</v>
      </c>
      <c r="J145" s="6">
        <f>COUNTIF(C$1:C145,C145)</f>
        <v>19</v>
      </c>
      <c r="K145">
        <v>20</v>
      </c>
      <c r="L145" s="6" t="s">
        <v>17</v>
      </c>
      <c r="M145" s="36" t="str">
        <f>VLOOKUP(K145,[2]stage_hints!$A:$C,3,FALSE)</f>
        <v>マルチプレイのメリット（その3）</v>
      </c>
      <c r="N145" s="37" t="str">
        <f>VLOOKUP(K145,[2]stage_hints!$A:$D,4,FALSE)</f>
        <v>マルチプレイへの参加はエナジー消費ゼロ_x000D_いつでも好きなだけ遊ぶことができます</v>
      </c>
      <c r="O145" s="22" t="s">
        <v>117</v>
      </c>
      <c r="P145">
        <v>20</v>
      </c>
    </row>
    <row r="146" spans="1:16" x14ac:dyDescent="0.15">
      <c r="A146" s="29" t="str">
        <f t="shared" ref="A146:A151" si="22">C146&amp;"_"&amp;F146&amp;"_"&amp;J146</f>
        <v>11008_1_20</v>
      </c>
      <c r="B146" s="27" t="s">
        <v>33</v>
      </c>
      <c r="C146" s="5">
        <v>11008</v>
      </c>
      <c r="D146" s="4" t="str">
        <f ca="1">VLOOKUP($C146,OFFSET([1]quests!$A$1,0,0,COUNTA([1]quests!$A:$A),MATCH(D$1,[1]quests!$1:$1,0)-MATCH($C$1,[1]quests!$1:$1,0)+1),MATCH(D$1,[1]quests!$1:$1,0)-MATCH($C$1,[1]quests!$1:$1,0)+1,FALSE)</f>
        <v>【日曜限定】 青と黄の素材</v>
      </c>
      <c r="E146" s="4" t="str">
        <f ca="1">VLOOKUP($C146,OFFSET([1]quests!$A$1,0,0,COUNTA([1]quests!$A:$A),MATCH(E$1,[1]quests!$1:$1,0)-MATCH($C$1,[1]quests!$1:$1,0)+1),MATCH(E$1,[1]quests!$1:$1,0)-MATCH($C$1,[1]quests!$1:$1,0)+1,FALSE)</f>
        <v>日曜クエスト</v>
      </c>
      <c r="F146" s="6">
        <v>1</v>
      </c>
      <c r="G146" s="4" t="str">
        <f ca="1">VLOOKUP($C146&amp;"_"&amp;$F146,OFFSET([1]stages!$A$1,0,0,COUNTA([1]stages!$A:$A),MATCH(G$1,[1]stages!$2:$2,0)-MATCH("temp_stage",[1]stages!$2:$2,0)+1),MATCH(G$1,[1]stages!$2:$2,0)-MATCH("temp_stage",[1]stages!$2:$2,0)+1,FALSE)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46" s="4" t="str">
        <f ca="1">VLOOKUP($C146&amp;"_"&amp;$F146,OFFSET([1]stages!$A$1,0,0,COUNTA([1]stages!$A:$A),MATCH(H$1,[1]stages!$2:$2,0)-MATCH("temp_stage",[1]stages!$2:$2,0)+1),MATCH(H$1,[1]stages!$2:$2,0)-MATCH("temp_stage",[1]stages!$2:$2,0)+1,FALSE)</f>
        <v>日曜クエスト</v>
      </c>
      <c r="I146" s="19">
        <v>0</v>
      </c>
      <c r="J146" s="6">
        <f>COUNTIF(C$1:C146,C146)</f>
        <v>20</v>
      </c>
      <c r="K146">
        <v>21</v>
      </c>
      <c r="L146" s="6" t="s">
        <v>17</v>
      </c>
      <c r="M146" s="36" t="str">
        <f>VLOOKUP(K146,[2]stage_hints!$A:$C,3,FALSE)</f>
        <v>スキルを有効に</v>
      </c>
      <c r="N146" s="37" t="str">
        <f>VLOOKUP(K146,[2]stage_hints!$A:$D,4,FALSE)</f>
        <v>ターン経過でユニットのスキルが使えます_x000D_強力スキルでバトルを有利に進めましょう</v>
      </c>
      <c r="O146" s="22" t="s">
        <v>117</v>
      </c>
      <c r="P146">
        <v>21</v>
      </c>
    </row>
    <row r="147" spans="1:16" x14ac:dyDescent="0.15">
      <c r="A147" s="29" t="str">
        <f t="shared" si="22"/>
        <v>11008_1_21</v>
      </c>
      <c r="B147" s="27" t="s">
        <v>33</v>
      </c>
      <c r="C147" s="5">
        <v>11008</v>
      </c>
      <c r="D147" s="4" t="str">
        <f ca="1">VLOOKUP($C147,OFFSET([1]quests!$A$1,0,0,COUNTA([1]quests!$A:$A),MATCH(D$1,[1]quests!$1:$1,0)-MATCH($C$1,[1]quests!$1:$1,0)+1),MATCH(D$1,[1]quests!$1:$1,0)-MATCH($C$1,[1]quests!$1:$1,0)+1,FALSE)</f>
        <v>【日曜限定】 青と黄の素材</v>
      </c>
      <c r="E147" s="4" t="str">
        <f ca="1">VLOOKUP($C147,OFFSET([1]quests!$A$1,0,0,COUNTA([1]quests!$A:$A),MATCH(E$1,[1]quests!$1:$1,0)-MATCH($C$1,[1]quests!$1:$1,0)+1),MATCH(E$1,[1]quests!$1:$1,0)-MATCH($C$1,[1]quests!$1:$1,0)+1,FALSE)</f>
        <v>日曜クエスト</v>
      </c>
      <c r="F147" s="6">
        <v>1</v>
      </c>
      <c r="G147" s="4" t="str">
        <f ca="1">VLOOKUP($C147&amp;"_"&amp;$F147,OFFSET([1]stages!$A$1,0,0,COUNTA([1]stages!$A:$A),MATCH(G$1,[1]stages!$2:$2,0)-MATCH("temp_stage",[1]stages!$2:$2,0)+1),MATCH(G$1,[1]stages!$2:$2,0)-MATCH("temp_stage",[1]stages!$2:$2,0)+1,FALSE)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47" s="4" t="str">
        <f ca="1">VLOOKUP($C147&amp;"_"&amp;$F147,OFFSET([1]stages!$A$1,0,0,COUNTA([1]stages!$A:$A),MATCH(H$1,[1]stages!$2:$2,0)-MATCH("temp_stage",[1]stages!$2:$2,0)+1),MATCH(H$1,[1]stages!$2:$2,0)-MATCH("temp_stage",[1]stages!$2:$2,0)+1,FALSE)</f>
        <v>日曜クエスト</v>
      </c>
      <c r="I147" s="19">
        <v>0</v>
      </c>
      <c r="J147" s="6">
        <f>COUNTIF(C$1:C147,C147)</f>
        <v>21</v>
      </c>
      <c r="K147">
        <v>22</v>
      </c>
      <c r="L147" s="6" t="s">
        <v>17</v>
      </c>
      <c r="M147" s="36" t="str">
        <f>VLOOKUP(K147,[2]stage_hints!$A:$C,3,FALSE)</f>
        <v>フィーバーで一発逆転（その1）</v>
      </c>
      <c r="N147" s="37" t="str">
        <f>VLOOKUP(K147,[2]stage_hints!$A:$D,4,FALSE)</f>
        <v>フィーバーは攻撃と回復を兼ね備えます_x000D_ピンチからの一発逆転を狙いましょう</v>
      </c>
      <c r="O147" s="22" t="s">
        <v>117</v>
      </c>
      <c r="P147">
        <v>22</v>
      </c>
    </row>
    <row r="148" spans="1:16" x14ac:dyDescent="0.15">
      <c r="A148" s="29" t="str">
        <f t="shared" si="22"/>
        <v>11008_1_22</v>
      </c>
      <c r="B148" s="27" t="s">
        <v>33</v>
      </c>
      <c r="C148" s="5">
        <v>11008</v>
      </c>
      <c r="D148" s="4" t="str">
        <f ca="1">VLOOKUP($C148,OFFSET([1]quests!$A$1,0,0,COUNTA([1]quests!$A:$A),MATCH(D$1,[1]quests!$1:$1,0)-MATCH($C$1,[1]quests!$1:$1,0)+1),MATCH(D$1,[1]quests!$1:$1,0)-MATCH($C$1,[1]quests!$1:$1,0)+1,FALSE)</f>
        <v>【日曜限定】 青と黄の素材</v>
      </c>
      <c r="E148" s="4" t="str">
        <f ca="1">VLOOKUP($C148,OFFSET([1]quests!$A$1,0,0,COUNTA([1]quests!$A:$A),MATCH(E$1,[1]quests!$1:$1,0)-MATCH($C$1,[1]quests!$1:$1,0)+1),MATCH(E$1,[1]quests!$1:$1,0)-MATCH($C$1,[1]quests!$1:$1,0)+1,FALSE)</f>
        <v>日曜クエスト</v>
      </c>
      <c r="F148" s="6">
        <v>1</v>
      </c>
      <c r="G148" s="4" t="str">
        <f ca="1">VLOOKUP($C148&amp;"_"&amp;$F148,OFFSET([1]stages!$A$1,0,0,COUNTA([1]stages!$A:$A),MATCH(G$1,[1]stages!$2:$2,0)-MATCH("temp_stage",[1]stages!$2:$2,0)+1),MATCH(G$1,[1]stages!$2:$2,0)-MATCH("temp_stage",[1]stages!$2:$2,0)+1,FALSE)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48" s="4" t="str">
        <f ca="1">VLOOKUP($C148&amp;"_"&amp;$F148,OFFSET([1]stages!$A$1,0,0,COUNTA([1]stages!$A:$A),MATCH(H$1,[1]stages!$2:$2,0)-MATCH("temp_stage",[1]stages!$2:$2,0)+1),MATCH(H$1,[1]stages!$2:$2,0)-MATCH("temp_stage",[1]stages!$2:$2,0)+1,FALSE)</f>
        <v>日曜クエスト</v>
      </c>
      <c r="I148" s="19">
        <v>0</v>
      </c>
      <c r="J148" s="6">
        <f>COUNTIF(C$1:C148,C148)</f>
        <v>22</v>
      </c>
      <c r="K148">
        <v>23</v>
      </c>
      <c r="L148" s="6" t="s">
        <v>17</v>
      </c>
      <c r="M148" s="36" t="str">
        <f>VLOOKUP(K148,[2]stage_hints!$A:$C,3,FALSE)</f>
        <v>フィーバーで一発逆転（その2）</v>
      </c>
      <c r="N148" s="37" t="str">
        <f>VLOOKUP(K148,[2]stage_hints!$A:$D,4,FALSE)</f>
        <v>フィーバー中は虹色のボムパネルを狙って_x000D_画面上のパネルを一気に破壊しましょう</v>
      </c>
      <c r="O148" s="22" t="s">
        <v>117</v>
      </c>
      <c r="P148">
        <v>23</v>
      </c>
    </row>
    <row r="149" spans="1:16" x14ac:dyDescent="0.15">
      <c r="A149" s="29" t="str">
        <f t="shared" si="22"/>
        <v>11008_1_23</v>
      </c>
      <c r="B149" s="27" t="s">
        <v>33</v>
      </c>
      <c r="C149" s="5">
        <v>11008</v>
      </c>
      <c r="D149" s="4" t="str">
        <f ca="1">VLOOKUP($C149,OFFSET([1]quests!$A$1,0,0,COUNTA([1]quests!$A:$A),MATCH(D$1,[1]quests!$1:$1,0)-MATCH($C$1,[1]quests!$1:$1,0)+1),MATCH(D$1,[1]quests!$1:$1,0)-MATCH($C$1,[1]quests!$1:$1,0)+1,FALSE)</f>
        <v>【日曜限定】 青と黄の素材</v>
      </c>
      <c r="E149" s="4" t="str">
        <f ca="1">VLOOKUP($C149,OFFSET([1]quests!$A$1,0,0,COUNTA([1]quests!$A:$A),MATCH(E$1,[1]quests!$1:$1,0)-MATCH($C$1,[1]quests!$1:$1,0)+1),MATCH(E$1,[1]quests!$1:$1,0)-MATCH($C$1,[1]quests!$1:$1,0)+1,FALSE)</f>
        <v>日曜クエスト</v>
      </c>
      <c r="F149" s="6">
        <v>1</v>
      </c>
      <c r="G149" s="4" t="str">
        <f ca="1">VLOOKUP($C149&amp;"_"&amp;$F149,OFFSET([1]stages!$A$1,0,0,COUNTA([1]stages!$A:$A),MATCH(G$1,[1]stages!$2:$2,0)-MATCH("temp_stage",[1]stages!$2:$2,0)+1),MATCH(G$1,[1]stages!$2:$2,0)-MATCH("temp_stage",[1]stages!$2:$2,0)+1,FALSE)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49" s="4" t="str">
        <f ca="1">VLOOKUP($C149&amp;"_"&amp;$F149,OFFSET([1]stages!$A$1,0,0,COUNTA([1]stages!$A:$A),MATCH(H$1,[1]stages!$2:$2,0)-MATCH("temp_stage",[1]stages!$2:$2,0)+1),MATCH(H$1,[1]stages!$2:$2,0)-MATCH("temp_stage",[1]stages!$2:$2,0)+1,FALSE)</f>
        <v>日曜クエスト</v>
      </c>
      <c r="I149" s="19">
        <v>0</v>
      </c>
      <c r="J149" s="6">
        <f>COUNTIF(C$1:C149,C149)</f>
        <v>23</v>
      </c>
      <c r="K149">
        <v>24</v>
      </c>
      <c r="L149" s="6" t="s">
        <v>17</v>
      </c>
      <c r="M149" s="36" t="str">
        <f>VLOOKUP(K149,[2]stage_hints!$A:$C,3,FALSE)</f>
        <v>りんごを使って限界突破</v>
      </c>
      <c r="N149" s="37" t="str">
        <f>VLOOKUP(K149,[2]stage_hints!$A:$D,4,FALSE)</f>
        <v>赤りんご(攻撃力) 青りんご(回復力)_x000D_緑りんご(体力)をユニット強化に使うと_x000D_ステータスが限界突破します（計99個迄）</v>
      </c>
      <c r="O149" s="22" t="s">
        <v>117</v>
      </c>
      <c r="P149">
        <v>24</v>
      </c>
    </row>
    <row r="150" spans="1:16" x14ac:dyDescent="0.15">
      <c r="A150" s="29" t="str">
        <f t="shared" si="22"/>
        <v>11008_1_24</v>
      </c>
      <c r="B150" s="27" t="s">
        <v>33</v>
      </c>
      <c r="C150" s="5">
        <v>11008</v>
      </c>
      <c r="D150" s="4" t="str">
        <f ca="1">VLOOKUP($C150,OFFSET([1]quests!$A$1,0,0,COUNTA([1]quests!$A:$A),MATCH(D$1,[1]quests!$1:$1,0)-MATCH($C$1,[1]quests!$1:$1,0)+1),MATCH(D$1,[1]quests!$1:$1,0)-MATCH($C$1,[1]quests!$1:$1,0)+1,FALSE)</f>
        <v>【日曜限定】 青と黄の素材</v>
      </c>
      <c r="E150" s="4" t="str">
        <f ca="1">VLOOKUP($C150,OFFSET([1]quests!$A$1,0,0,COUNTA([1]quests!$A:$A),MATCH(E$1,[1]quests!$1:$1,0)-MATCH($C$1,[1]quests!$1:$1,0)+1),MATCH(E$1,[1]quests!$1:$1,0)-MATCH($C$1,[1]quests!$1:$1,0)+1,FALSE)</f>
        <v>日曜クエスト</v>
      </c>
      <c r="F150" s="6">
        <v>1</v>
      </c>
      <c r="G150" s="4" t="str">
        <f ca="1">VLOOKUP($C150&amp;"_"&amp;$F150,OFFSET([1]stages!$A$1,0,0,COUNTA([1]stages!$A:$A),MATCH(G$1,[1]stages!$2:$2,0)-MATCH("temp_stage",[1]stages!$2:$2,0)+1),MATCH(G$1,[1]stages!$2:$2,0)-MATCH("temp_stage",[1]stages!$2:$2,0)+1,FALSE)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50" s="4" t="str">
        <f ca="1">VLOOKUP($C150&amp;"_"&amp;$F150,OFFSET([1]stages!$A$1,0,0,COUNTA([1]stages!$A:$A),MATCH(H$1,[1]stages!$2:$2,0)-MATCH("temp_stage",[1]stages!$2:$2,0)+1),MATCH(H$1,[1]stages!$2:$2,0)-MATCH("temp_stage",[1]stages!$2:$2,0)+1,FALSE)</f>
        <v>日曜クエスト</v>
      </c>
      <c r="I150" s="19">
        <v>0</v>
      </c>
      <c r="J150" s="6">
        <f>COUNTIF(C$1:C150,C150)</f>
        <v>24</v>
      </c>
      <c r="K150">
        <v>25</v>
      </c>
      <c r="L150" s="6" t="s">
        <v>17</v>
      </c>
      <c r="M150" s="36" t="str">
        <f>VLOOKUP(K150,[2]stage_hints!$A:$C,3,FALSE)</f>
        <v>スキルレベルアップ</v>
      </c>
      <c r="N150" s="37" t="str">
        <f>VLOOKUP(K150,[2]stage_hints!$A:$D,4,FALSE)</f>
        <v>「クリスタルのりんご」を強化に使うと_x000D_スキルレベルを上げることができます</v>
      </c>
      <c r="O150" s="22" t="s">
        <v>117</v>
      </c>
      <c r="P150">
        <v>25</v>
      </c>
    </row>
    <row r="151" spans="1:16" x14ac:dyDescent="0.15">
      <c r="A151" s="29" t="str">
        <f t="shared" si="22"/>
        <v>11008_1_25</v>
      </c>
      <c r="B151" s="27" t="s">
        <v>33</v>
      </c>
      <c r="C151" s="5">
        <v>11008</v>
      </c>
      <c r="D151" s="4" t="str">
        <f ca="1">VLOOKUP($C151,OFFSET([1]quests!$A$1,0,0,COUNTA([1]quests!$A:$A),MATCH(D$1,[1]quests!$1:$1,0)-MATCH($C$1,[1]quests!$1:$1,0)+1),MATCH(D$1,[1]quests!$1:$1,0)-MATCH($C$1,[1]quests!$1:$1,0)+1,FALSE)</f>
        <v>【日曜限定】 青と黄の素材</v>
      </c>
      <c r="E151" s="4" t="str">
        <f ca="1">VLOOKUP($C151,OFFSET([1]quests!$A$1,0,0,COUNTA([1]quests!$A:$A),MATCH(E$1,[1]quests!$1:$1,0)-MATCH($C$1,[1]quests!$1:$1,0)+1),MATCH(E$1,[1]quests!$1:$1,0)-MATCH($C$1,[1]quests!$1:$1,0)+1,FALSE)</f>
        <v>日曜クエスト</v>
      </c>
      <c r="F151" s="6">
        <v>1</v>
      </c>
      <c r="G151" s="4" t="str">
        <f ca="1">VLOOKUP($C151&amp;"_"&amp;$F151,OFFSET([1]stages!$A$1,0,0,COUNTA([1]stages!$A:$A),MATCH(G$1,[1]stages!$2:$2,0)-MATCH("temp_stage",[1]stages!$2:$2,0)+1),MATCH(G$1,[1]stages!$2:$2,0)-MATCH("temp_stage",[1]stages!$2:$2,0)+1,FALSE)</f>
        <v xml:space="preserve">【初級】水と雷のチェシャ猫 </v>
      </c>
      <c r="H151" s="4" t="str">
        <f ca="1">VLOOKUP($C151&amp;"_"&amp;$F151,OFFSET([1]stages!$A$1,0,0,COUNTA([1]stages!$A:$A),MATCH(H$1,[1]stages!$2:$2,0)-MATCH("temp_stage",[1]stages!$2:$2,0)+1),MATCH(H$1,[1]stages!$2:$2,0)-MATCH("temp_stage",[1]stages!$2:$2,0)+1,FALSE)</f>
        <v>日曜クエスト</v>
      </c>
      <c r="I151" s="19">
        <v>0</v>
      </c>
      <c r="J151" s="6">
        <f>COUNTIF(C$1:C151,C151)</f>
        <v>25</v>
      </c>
      <c r="K151">
        <v>26</v>
      </c>
      <c r="L151" s="6" t="s">
        <v>17</v>
      </c>
      <c r="M151" s="36" t="str">
        <f>VLOOKUP(K151,[2]stage_hints!$A:$C,3,FALSE)</f>
        <v>スキルレベルの効果</v>
      </c>
      <c r="N151" s="37" t="str">
        <f>VLOOKUP(K151,[2]stage_hints!$A:$D,4,FALSE)</f>
        <v>スキルレベルが上がると_x000D_短いターンでスキルを使うことができます</v>
      </c>
      <c r="O151" s="22" t="s">
        <v>117</v>
      </c>
      <c r="P151">
        <v>26</v>
      </c>
    </row>
    <row r="152" spans="1:16" x14ac:dyDescent="0.15">
      <c r="A152" s="29" t="str">
        <f t="shared" si="21"/>
        <v>11101_1_1</v>
      </c>
      <c r="B152" s="27" t="s">
        <v>33</v>
      </c>
      <c r="C152" s="5">
        <v>11101</v>
      </c>
      <c r="D152" s="4" t="str">
        <f ca="1">VLOOKUP($C152,OFFSET([1]quests!$A$1,0,0,COUNTA([1]quests!$A:$A),MATCH(D$1,[1]quests!$1:$1,0)-MATCH($C$1,[1]quests!$1:$1,0)+1),MATCH(D$1,[1]quests!$1:$1,0)-MATCH($C$1,[1]quests!$1:$1,0)+1,FALSE)</f>
        <v>【期間限定】 黄の素材</v>
      </c>
      <c r="E152" s="4" t="str">
        <f ca="1">VLOOKUP($C152,OFFSET([1]quests!$A$1,0,0,COUNTA([1]quests!$A:$A),MATCH(E$1,[1]quests!$1:$1,0)-MATCH($C$1,[1]quests!$1:$1,0)+1),MATCH(E$1,[1]quests!$1:$1,0)-MATCH($C$1,[1]quests!$1:$1,0)+1,FALSE)</f>
        <v>月曜クエスト</v>
      </c>
      <c r="F152" s="6">
        <v>1</v>
      </c>
      <c r="G152" s="4" t="str">
        <f ca="1">VLOOKUP($C152&amp;"_"&amp;$F152,OFFSET([1]stages!$A$1,0,0,COUNTA([1]stages!$A:$A),MATCH(G$1,[1]stages!$2:$2,0)-MATCH("temp_stage",[1]stages!$2:$2,0)+1),MATCH(G$1,[1]stages!$2:$2,0)-MATCH("temp_stage",[1]stages!$2:$2,0)+1,FALSE)</f>
        <v>【初級】雷のチェシャ猫</v>
      </c>
      <c r="H152" s="4" t="str">
        <f ca="1">VLOOKUP($C152&amp;"_"&amp;$F152,OFFSET([1]stages!$A$1,0,0,COUNTA([1]stages!$A:$A),MATCH(H$1,[1]stages!$2:$2,0)-MATCH("temp_stage",[1]stages!$2:$2,0)+1),MATCH(H$1,[1]stages!$2:$2,0)-MATCH("temp_stage",[1]stages!$2:$2,0)+1,FALSE)</f>
        <v>月曜クエスト</v>
      </c>
      <c r="I152" s="19">
        <v>0</v>
      </c>
      <c r="J152" s="6">
        <f>COUNTIF(C$1:C152,C152)</f>
        <v>1</v>
      </c>
      <c r="K152">
        <v>1</v>
      </c>
      <c r="L152" s="6" t="s">
        <v>17</v>
      </c>
      <c r="M152" s="36" t="str">
        <f>VLOOKUP(K152,[2]stage_hints!$A:$C,3,FALSE)</f>
        <v>長くつなげて大ダメージ</v>
      </c>
      <c r="N152" s="37" t="str">
        <f>VLOOKUP(K152,[2]stage_hints!$A:$D,4,FALSE)</f>
        <v>パネルを長くつなげるほど_x000D_大ダメージを与えることができます</v>
      </c>
      <c r="O152" s="22" t="s">
        <v>117</v>
      </c>
      <c r="P152">
        <v>1</v>
      </c>
    </row>
    <row r="153" spans="1:16" x14ac:dyDescent="0.15">
      <c r="A153" s="29" t="str">
        <f t="shared" si="21"/>
        <v>11101_1_2</v>
      </c>
      <c r="B153" s="27" t="s">
        <v>33</v>
      </c>
      <c r="C153" s="5">
        <v>11101</v>
      </c>
      <c r="D153" s="4" t="str">
        <f ca="1">VLOOKUP($C153,OFFSET([1]quests!$A$1,0,0,COUNTA([1]quests!$A:$A),MATCH(D$1,[1]quests!$1:$1,0)-MATCH($C$1,[1]quests!$1:$1,0)+1),MATCH(D$1,[1]quests!$1:$1,0)-MATCH($C$1,[1]quests!$1:$1,0)+1,FALSE)</f>
        <v>【期間限定】 黄の素材</v>
      </c>
      <c r="E153" s="4" t="str">
        <f ca="1">VLOOKUP($C153,OFFSET([1]quests!$A$1,0,0,COUNTA([1]quests!$A:$A),MATCH(E$1,[1]quests!$1:$1,0)-MATCH($C$1,[1]quests!$1:$1,0)+1),MATCH(E$1,[1]quests!$1:$1,0)-MATCH($C$1,[1]quests!$1:$1,0)+1,FALSE)</f>
        <v>月曜クエスト</v>
      </c>
      <c r="F153" s="6">
        <v>1</v>
      </c>
      <c r="G153" s="4" t="str">
        <f ca="1">VLOOKUP($C153&amp;"_"&amp;$F153,OFFSET([1]stages!$A$1,0,0,COUNTA([1]stages!$A:$A),MATCH(G$1,[1]stages!$2:$2,0)-MATCH("temp_stage",[1]stages!$2:$2,0)+1),MATCH(G$1,[1]stages!$2:$2,0)-MATCH("temp_stage",[1]stages!$2:$2,0)+1,FALSE)</f>
        <v>【初級】雷のチェシャ猫</v>
      </c>
      <c r="H153" s="4" t="str">
        <f ca="1">VLOOKUP($C153&amp;"_"&amp;$F153,OFFSET([1]stages!$A$1,0,0,COUNTA([1]stages!$A:$A),MATCH(H$1,[1]stages!$2:$2,0)-MATCH("temp_stage",[1]stages!$2:$2,0)+1),MATCH(H$1,[1]stages!$2:$2,0)-MATCH("temp_stage",[1]stages!$2:$2,0)+1,FALSE)</f>
        <v>月曜クエスト</v>
      </c>
      <c r="I153" s="19">
        <v>0</v>
      </c>
      <c r="J153" s="6">
        <f>COUNTIF(C$1:C153,C153)</f>
        <v>2</v>
      </c>
      <c r="K153">
        <v>2</v>
      </c>
      <c r="L153" s="6" t="s">
        <v>17</v>
      </c>
      <c r="M153" s="36" t="str">
        <f>VLOOKUP(K153,[2]stage_hints!$A:$C,3,FALSE)</f>
        <v>属性の相性</v>
      </c>
      <c r="N153" s="37" t="str">
        <f>VLOOKUP(K153,[2]stage_hints!$A:$D,4,FALSE)</f>
        <v>赤＞青　青＞黄　黄＞緑　緑＞赤_x000D_敵属性に最適なパーティがオススメです</v>
      </c>
      <c r="O153" s="22" t="s">
        <v>117</v>
      </c>
      <c r="P153">
        <v>2</v>
      </c>
    </row>
    <row r="154" spans="1:16" x14ac:dyDescent="0.15">
      <c r="A154" s="29" t="str">
        <f t="shared" si="21"/>
        <v>11101_1_3</v>
      </c>
      <c r="B154" s="27" t="s">
        <v>33</v>
      </c>
      <c r="C154" s="5">
        <v>11101</v>
      </c>
      <c r="D154" s="4" t="str">
        <f ca="1">VLOOKUP($C154,OFFSET([1]quests!$A$1,0,0,COUNTA([1]quests!$A:$A),MATCH(D$1,[1]quests!$1:$1,0)-MATCH($C$1,[1]quests!$1:$1,0)+1),MATCH(D$1,[1]quests!$1:$1,0)-MATCH($C$1,[1]quests!$1:$1,0)+1,FALSE)</f>
        <v>【期間限定】 黄の素材</v>
      </c>
      <c r="E154" s="4" t="str">
        <f ca="1">VLOOKUP($C154,OFFSET([1]quests!$A$1,0,0,COUNTA([1]quests!$A:$A),MATCH(E$1,[1]quests!$1:$1,0)-MATCH($C$1,[1]quests!$1:$1,0)+1),MATCH(E$1,[1]quests!$1:$1,0)-MATCH($C$1,[1]quests!$1:$1,0)+1,FALSE)</f>
        <v>月曜クエスト</v>
      </c>
      <c r="F154" s="6">
        <v>1</v>
      </c>
      <c r="G154" s="4" t="str">
        <f ca="1">VLOOKUP($C154&amp;"_"&amp;$F154,OFFSET([1]stages!$A$1,0,0,COUNTA([1]stages!$A:$A),MATCH(G$1,[1]stages!$2:$2,0)-MATCH("temp_stage",[1]stages!$2:$2,0)+1),MATCH(G$1,[1]stages!$2:$2,0)-MATCH("temp_stage",[1]stages!$2:$2,0)+1,FALSE)</f>
        <v>【初級】雷のチェシャ猫</v>
      </c>
      <c r="H154" s="4" t="str">
        <f ca="1">VLOOKUP($C154&amp;"_"&amp;$F154,OFFSET([1]stages!$A$1,0,0,COUNTA([1]stages!$A:$A),MATCH(H$1,[1]stages!$2:$2,0)-MATCH("temp_stage",[1]stages!$2:$2,0)+1),MATCH(H$1,[1]stages!$2:$2,0)-MATCH("temp_stage",[1]stages!$2:$2,0)+1,FALSE)</f>
        <v>月曜クエスト</v>
      </c>
      <c r="I154" s="19">
        <v>0</v>
      </c>
      <c r="J154" s="6">
        <f>COUNTIF(C$1:C154,C154)</f>
        <v>3</v>
      </c>
      <c r="K154">
        <v>3</v>
      </c>
      <c r="L154" s="6" t="s">
        <v>17</v>
      </c>
      <c r="M154" s="36" t="str">
        <f>VLOOKUP(K154,[2]stage_hints!$A:$C,3,FALSE)</f>
        <v>ターゲット</v>
      </c>
      <c r="N154" s="37" t="str">
        <f>VLOOKUP(K154,[2]stage_hints!$A:$D,4,FALSE)</f>
        <v>敵ユニットをタップすると_x000D_その敵を狙い撃ちできます</v>
      </c>
      <c r="O154" s="22" t="s">
        <v>117</v>
      </c>
      <c r="P154">
        <v>3</v>
      </c>
    </row>
    <row r="155" spans="1:16" x14ac:dyDescent="0.15">
      <c r="A155" s="29" t="str">
        <f t="shared" si="21"/>
        <v>11101_1_4</v>
      </c>
      <c r="B155" s="27" t="s">
        <v>33</v>
      </c>
      <c r="C155" s="5">
        <v>11101</v>
      </c>
      <c r="D155" s="4" t="str">
        <f ca="1">VLOOKUP($C155,OFFSET([1]quests!$A$1,0,0,COUNTA([1]quests!$A:$A),MATCH(D$1,[1]quests!$1:$1,0)-MATCH($C$1,[1]quests!$1:$1,0)+1),MATCH(D$1,[1]quests!$1:$1,0)-MATCH($C$1,[1]quests!$1:$1,0)+1,FALSE)</f>
        <v>【期間限定】 黄の素材</v>
      </c>
      <c r="E155" s="4" t="str">
        <f ca="1">VLOOKUP($C155,OFFSET([1]quests!$A$1,0,0,COUNTA([1]quests!$A:$A),MATCH(E$1,[1]quests!$1:$1,0)-MATCH($C$1,[1]quests!$1:$1,0)+1),MATCH(E$1,[1]quests!$1:$1,0)-MATCH($C$1,[1]quests!$1:$1,0)+1,FALSE)</f>
        <v>月曜クエスト</v>
      </c>
      <c r="F155" s="6">
        <v>1</v>
      </c>
      <c r="G155" s="4" t="str">
        <f ca="1">VLOOKUP($C155&amp;"_"&amp;$F155,OFFSET([1]stages!$A$1,0,0,COUNTA([1]stages!$A:$A),MATCH(G$1,[1]stages!$2:$2,0)-MATCH("temp_stage",[1]stages!$2:$2,0)+1),MATCH(G$1,[1]stages!$2:$2,0)-MATCH("temp_stage",[1]stages!$2:$2,0)+1,FALSE)</f>
        <v>【初級】雷のチェシャ猫</v>
      </c>
      <c r="H155" s="4" t="str">
        <f ca="1">VLOOKUP($C155&amp;"_"&amp;$F155,OFFSET([1]stages!$A$1,0,0,COUNTA([1]stages!$A:$A),MATCH(H$1,[1]stages!$2:$2,0)-MATCH("temp_stage",[1]stages!$2:$2,0)+1),MATCH(H$1,[1]stages!$2:$2,0)-MATCH("temp_stage",[1]stages!$2:$2,0)+1,FALSE)</f>
        <v>月曜クエスト</v>
      </c>
      <c r="I155" s="19">
        <v>0</v>
      </c>
      <c r="J155" s="6">
        <f>COUNTIF(C$1:C155,C155)</f>
        <v>4</v>
      </c>
      <c r="K155">
        <v>5</v>
      </c>
      <c r="L155" s="6" t="s">
        <v>17</v>
      </c>
      <c r="M155" s="36" t="str">
        <f>VLOOKUP(K155,[2]stage_hints!$A:$C,3,FALSE)</f>
        <v>ユニット強化でレベルアップ</v>
      </c>
      <c r="N155" s="37" t="str">
        <f>VLOOKUP(K155,[2]stage_hints!$A:$D,4,FALSE)</f>
        <v>「ユニット強化」でレベルアップすると_x000D_勝てない敵にも勝てるようになります</v>
      </c>
      <c r="O155" s="22" t="s">
        <v>117</v>
      </c>
      <c r="P155">
        <v>5</v>
      </c>
    </row>
    <row r="156" spans="1:16" x14ac:dyDescent="0.15">
      <c r="A156" s="29" t="str">
        <f t="shared" si="21"/>
        <v>11101_1_5</v>
      </c>
      <c r="B156" s="27" t="s">
        <v>33</v>
      </c>
      <c r="C156" s="5">
        <v>11101</v>
      </c>
      <c r="D156" s="4" t="str">
        <f ca="1">VLOOKUP($C156,OFFSET([1]quests!$A$1,0,0,COUNTA([1]quests!$A:$A),MATCH(D$1,[1]quests!$1:$1,0)-MATCH($C$1,[1]quests!$1:$1,0)+1),MATCH(D$1,[1]quests!$1:$1,0)-MATCH($C$1,[1]quests!$1:$1,0)+1,FALSE)</f>
        <v>【期間限定】 黄の素材</v>
      </c>
      <c r="E156" s="4" t="str">
        <f ca="1">VLOOKUP($C156,OFFSET([1]quests!$A$1,0,0,COUNTA([1]quests!$A:$A),MATCH(E$1,[1]quests!$1:$1,0)-MATCH($C$1,[1]quests!$1:$1,0)+1),MATCH(E$1,[1]quests!$1:$1,0)-MATCH($C$1,[1]quests!$1:$1,0)+1,FALSE)</f>
        <v>月曜クエスト</v>
      </c>
      <c r="F156" s="6">
        <v>1</v>
      </c>
      <c r="G156" s="4" t="str">
        <f ca="1">VLOOKUP($C156&amp;"_"&amp;$F156,OFFSET([1]stages!$A$1,0,0,COUNTA([1]stages!$A:$A),MATCH(G$1,[1]stages!$2:$2,0)-MATCH("temp_stage",[1]stages!$2:$2,0)+1),MATCH(G$1,[1]stages!$2:$2,0)-MATCH("temp_stage",[1]stages!$2:$2,0)+1,FALSE)</f>
        <v>【初級】雷のチェシャ猫</v>
      </c>
      <c r="H156" s="4" t="str">
        <f ca="1">VLOOKUP($C156&amp;"_"&amp;$F156,OFFSET([1]stages!$A$1,0,0,COUNTA([1]stages!$A:$A),MATCH(H$1,[1]stages!$2:$2,0)-MATCH("temp_stage",[1]stages!$2:$2,0)+1),MATCH(H$1,[1]stages!$2:$2,0)-MATCH("temp_stage",[1]stages!$2:$2,0)+1,FALSE)</f>
        <v>月曜クエスト</v>
      </c>
      <c r="I156" s="19">
        <v>0</v>
      </c>
      <c r="J156" s="6">
        <f>COUNTIF(C$1:C156,C156)</f>
        <v>5</v>
      </c>
      <c r="K156">
        <v>6</v>
      </c>
      <c r="L156" s="6" t="s">
        <v>17</v>
      </c>
      <c r="M156" s="36" t="str">
        <f>VLOOKUP(K156,[2]stage_hints!$A:$C,3,FALSE)</f>
        <v>ユニット強化の属性ボーナス</v>
      </c>
      <c r="N156" s="37" t="str">
        <f>VLOOKUP(K156,[2]stage_hints!$A:$D,4,FALSE)</f>
        <v>同属性ユニットを強化素材にすると_x000D_経験値が多くもらえます</v>
      </c>
      <c r="O156" s="22" t="s">
        <v>117</v>
      </c>
      <c r="P156">
        <v>6</v>
      </c>
    </row>
    <row r="157" spans="1:16" x14ac:dyDescent="0.15">
      <c r="A157" s="29" t="str">
        <f t="shared" si="21"/>
        <v>11101_1_6</v>
      </c>
      <c r="B157" s="27" t="s">
        <v>33</v>
      </c>
      <c r="C157" s="5">
        <v>11101</v>
      </c>
      <c r="D157" s="4" t="str">
        <f ca="1">VLOOKUP($C157,OFFSET([1]quests!$A$1,0,0,COUNTA([1]quests!$A:$A),MATCH(D$1,[1]quests!$1:$1,0)-MATCH($C$1,[1]quests!$1:$1,0)+1),MATCH(D$1,[1]quests!$1:$1,0)-MATCH($C$1,[1]quests!$1:$1,0)+1,FALSE)</f>
        <v>【期間限定】 黄の素材</v>
      </c>
      <c r="E157" s="4" t="str">
        <f ca="1">VLOOKUP($C157,OFFSET([1]quests!$A$1,0,0,COUNTA([1]quests!$A:$A),MATCH(E$1,[1]quests!$1:$1,0)-MATCH($C$1,[1]quests!$1:$1,0)+1),MATCH(E$1,[1]quests!$1:$1,0)-MATCH($C$1,[1]quests!$1:$1,0)+1,FALSE)</f>
        <v>月曜クエスト</v>
      </c>
      <c r="F157" s="6">
        <v>1</v>
      </c>
      <c r="G157" s="4" t="str">
        <f ca="1">VLOOKUP($C157&amp;"_"&amp;$F157,OFFSET([1]stages!$A$1,0,0,COUNTA([1]stages!$A:$A),MATCH(G$1,[1]stages!$2:$2,0)-MATCH("temp_stage",[1]stages!$2:$2,0)+1),MATCH(G$1,[1]stages!$2:$2,0)-MATCH("temp_stage",[1]stages!$2:$2,0)+1,FALSE)</f>
        <v>【初級】雷のチェシャ猫</v>
      </c>
      <c r="H157" s="4" t="str">
        <f ca="1">VLOOKUP($C157&amp;"_"&amp;$F157,OFFSET([1]stages!$A$1,0,0,COUNTA([1]stages!$A:$A),MATCH(H$1,[1]stages!$2:$2,0)-MATCH("temp_stage",[1]stages!$2:$2,0)+1),MATCH(H$1,[1]stages!$2:$2,0)-MATCH("temp_stage",[1]stages!$2:$2,0)+1,FALSE)</f>
        <v>月曜クエスト</v>
      </c>
      <c r="I157" s="19">
        <v>0</v>
      </c>
      <c r="J157" s="6">
        <f>COUNTIF(C$1:C157,C157)</f>
        <v>6</v>
      </c>
      <c r="K157">
        <v>7</v>
      </c>
      <c r="L157" s="6" t="s">
        <v>17</v>
      </c>
      <c r="M157" s="36" t="str">
        <f>VLOOKUP(K157,[2]stage_hints!$A:$C,3,FALSE)</f>
        <v>メタルダックで経験値を獲得</v>
      </c>
      <c r="N157" s="37" t="str">
        <f>VLOOKUP(K157,[2]stage_hints!$A:$D,4,FALSE)</f>
        <v>「メタルなアヒル」を強化素材にすると_x000D_大量の経験値がもらえます</v>
      </c>
      <c r="O157" s="22" t="s">
        <v>117</v>
      </c>
      <c r="P157">
        <v>7</v>
      </c>
    </row>
    <row r="158" spans="1:16" x14ac:dyDescent="0.15">
      <c r="A158" s="29" t="str">
        <f t="shared" si="21"/>
        <v>11101_1_7</v>
      </c>
      <c r="B158" s="27" t="s">
        <v>33</v>
      </c>
      <c r="C158" s="5">
        <v>11101</v>
      </c>
      <c r="D158" s="4" t="str">
        <f ca="1">VLOOKUP($C158,OFFSET([1]quests!$A$1,0,0,COUNTA([1]quests!$A:$A),MATCH(D$1,[1]quests!$1:$1,0)-MATCH($C$1,[1]quests!$1:$1,0)+1),MATCH(D$1,[1]quests!$1:$1,0)-MATCH($C$1,[1]quests!$1:$1,0)+1,FALSE)</f>
        <v>【期間限定】 黄の素材</v>
      </c>
      <c r="E158" s="4" t="str">
        <f ca="1">VLOOKUP($C158,OFFSET([1]quests!$A$1,0,0,COUNTA([1]quests!$A:$A),MATCH(E$1,[1]quests!$1:$1,0)-MATCH($C$1,[1]quests!$1:$1,0)+1),MATCH(E$1,[1]quests!$1:$1,0)-MATCH($C$1,[1]quests!$1:$1,0)+1,FALSE)</f>
        <v>月曜クエスト</v>
      </c>
      <c r="F158" s="6">
        <v>1</v>
      </c>
      <c r="G158" s="4" t="str">
        <f ca="1">VLOOKUP($C158&amp;"_"&amp;$F158,OFFSET([1]stages!$A$1,0,0,COUNTA([1]stages!$A:$A),MATCH(G$1,[1]stages!$2:$2,0)-MATCH("temp_stage",[1]stages!$2:$2,0)+1),MATCH(G$1,[1]stages!$2:$2,0)-MATCH("temp_stage",[1]stages!$2:$2,0)+1,FALSE)</f>
        <v>【初級】雷のチェシャ猫</v>
      </c>
      <c r="H158" s="4" t="str">
        <f ca="1">VLOOKUP($C158&amp;"_"&amp;$F158,OFFSET([1]stages!$A$1,0,0,COUNTA([1]stages!$A:$A),MATCH(H$1,[1]stages!$2:$2,0)-MATCH("temp_stage",[1]stages!$2:$2,0)+1),MATCH(H$1,[1]stages!$2:$2,0)-MATCH("temp_stage",[1]stages!$2:$2,0)+1,FALSE)</f>
        <v>月曜クエスト</v>
      </c>
      <c r="I158" s="19">
        <v>0</v>
      </c>
      <c r="J158" s="6">
        <f>COUNTIF(C$1:C158,C158)</f>
        <v>7</v>
      </c>
      <c r="K158">
        <v>8</v>
      </c>
      <c r="L158" s="6" t="s">
        <v>17</v>
      </c>
      <c r="M158" s="36" t="str">
        <f>VLOOKUP(K158,[2]stage_hints!$A:$C,3,FALSE)</f>
        <v>ゲリラクエストは要チェック</v>
      </c>
      <c r="N158" s="37" t="str">
        <f>VLOOKUP(K158,[2]stage_hints!$A:$D,4,FALSE)</f>
        <v>時間限定の「アヒル捕獲作戦」では_x000D_経験値素材ユニットが多く手に入ります</v>
      </c>
      <c r="O158" s="22" t="s">
        <v>117</v>
      </c>
      <c r="P158">
        <v>8</v>
      </c>
    </row>
    <row r="159" spans="1:16" x14ac:dyDescent="0.15">
      <c r="A159" s="29" t="str">
        <f t="shared" ref="A159" si="23">C159&amp;"_"&amp;F159&amp;"_"&amp;J159</f>
        <v>11101_1_8</v>
      </c>
      <c r="B159" s="27" t="s">
        <v>33</v>
      </c>
      <c r="C159" s="5">
        <v>11101</v>
      </c>
      <c r="D159" s="4" t="str">
        <f ca="1">VLOOKUP($C159,OFFSET([1]quests!$A$1,0,0,COUNTA([1]quests!$A:$A),MATCH(D$1,[1]quests!$1:$1,0)-MATCH($C$1,[1]quests!$1:$1,0)+1),MATCH(D$1,[1]quests!$1:$1,0)-MATCH($C$1,[1]quests!$1:$1,0)+1,FALSE)</f>
        <v>【期間限定】 黄の素材</v>
      </c>
      <c r="E159" s="4" t="str">
        <f ca="1">VLOOKUP($C159,OFFSET([1]quests!$A$1,0,0,COUNTA([1]quests!$A:$A),MATCH(E$1,[1]quests!$1:$1,0)-MATCH($C$1,[1]quests!$1:$1,0)+1),MATCH(E$1,[1]quests!$1:$1,0)-MATCH($C$1,[1]quests!$1:$1,0)+1,FALSE)</f>
        <v>月曜クエスト</v>
      </c>
      <c r="F159" s="6">
        <v>1</v>
      </c>
      <c r="G159" s="4" t="str">
        <f ca="1">VLOOKUP($C159&amp;"_"&amp;$F159,OFFSET([1]stages!$A$1,0,0,COUNTA([1]stages!$A:$A),MATCH(G$1,[1]stages!$2:$2,0)-MATCH("temp_stage",[1]stages!$2:$2,0)+1),MATCH(G$1,[1]stages!$2:$2,0)-MATCH("temp_stage",[1]stages!$2:$2,0)+1,FALSE)</f>
        <v>【初級】雷のチェシャ猫</v>
      </c>
      <c r="H159" s="4" t="str">
        <f ca="1">VLOOKUP($C159&amp;"_"&amp;$F159,OFFSET([1]stages!$A$1,0,0,COUNTA([1]stages!$A:$A),MATCH(H$1,[1]stages!$2:$2,0)-MATCH("temp_stage",[1]stages!$2:$2,0)+1),MATCH(H$1,[1]stages!$2:$2,0)-MATCH("temp_stage",[1]stages!$2:$2,0)+1,FALSE)</f>
        <v>月曜クエスト</v>
      </c>
      <c r="I159" s="19">
        <v>0</v>
      </c>
      <c r="J159" s="6">
        <f>COUNTIF(C$1:C159,C159)</f>
        <v>8</v>
      </c>
      <c r="K159">
        <v>9</v>
      </c>
      <c r="L159" s="6" t="s">
        <v>17</v>
      </c>
      <c r="M159" s="36" t="str">
        <f>VLOOKUP(K159,[2]stage_hints!$A:$C,3,FALSE)</f>
        <v>ゴールドダックでビットを獲得</v>
      </c>
      <c r="N159" s="37" t="str">
        <f>VLOOKUP(K159,[2]stage_hints!$A:$D,4,FALSE)</f>
        <v>「ゴールドなアヒル」を売却すると_x000D_大量のビットがもらえます</v>
      </c>
      <c r="O159" s="22" t="s">
        <v>117</v>
      </c>
      <c r="P159">
        <v>9</v>
      </c>
    </row>
    <row r="160" spans="1:16" x14ac:dyDescent="0.15">
      <c r="A160" s="29" t="str">
        <f t="shared" ref="A160:A161" si="24">C160&amp;"_"&amp;F160&amp;"_"&amp;J160</f>
        <v>11101_1_9</v>
      </c>
      <c r="B160" s="27" t="s">
        <v>33</v>
      </c>
      <c r="C160" s="5">
        <v>11101</v>
      </c>
      <c r="D160" s="4" t="str">
        <f ca="1">VLOOKUP($C160,OFFSET([1]quests!$A$1,0,0,COUNTA([1]quests!$A:$A),MATCH(D$1,[1]quests!$1:$1,0)-MATCH($C$1,[1]quests!$1:$1,0)+1),MATCH(D$1,[1]quests!$1:$1,0)-MATCH($C$1,[1]quests!$1:$1,0)+1,FALSE)</f>
        <v>【期間限定】 黄の素材</v>
      </c>
      <c r="E160" s="4" t="str">
        <f ca="1">VLOOKUP($C160,OFFSET([1]quests!$A$1,0,0,COUNTA([1]quests!$A:$A),MATCH(E$1,[1]quests!$1:$1,0)-MATCH($C$1,[1]quests!$1:$1,0)+1),MATCH(E$1,[1]quests!$1:$1,0)-MATCH($C$1,[1]quests!$1:$1,0)+1,FALSE)</f>
        <v>月曜クエスト</v>
      </c>
      <c r="F160" s="6">
        <v>1</v>
      </c>
      <c r="G160" s="4" t="str">
        <f ca="1">VLOOKUP($C160&amp;"_"&amp;$F160,OFFSET([1]stages!$A$1,0,0,COUNTA([1]stages!$A:$A),MATCH(G$1,[1]stages!$2:$2,0)-MATCH("temp_stage",[1]stages!$2:$2,0)+1),MATCH(G$1,[1]stages!$2:$2,0)-MATCH("temp_stage",[1]stages!$2:$2,0)+1,FALSE)</f>
        <v>【初級】雷のチェシャ猫</v>
      </c>
      <c r="H160" s="4" t="str">
        <f ca="1">VLOOKUP($C160&amp;"_"&amp;$F160,OFFSET([1]stages!$A$1,0,0,COUNTA([1]stages!$A:$A),MATCH(H$1,[1]stages!$2:$2,0)-MATCH("temp_stage",[1]stages!$2:$2,0)+1),MATCH(H$1,[1]stages!$2:$2,0)-MATCH("temp_stage",[1]stages!$2:$2,0)+1,FALSE)</f>
        <v>月曜クエスト</v>
      </c>
      <c r="I160" s="19">
        <v>0</v>
      </c>
      <c r="J160" s="6">
        <f>COUNTIF(C$1:C160,C160)</f>
        <v>9</v>
      </c>
      <c r="K160">
        <v>10</v>
      </c>
      <c r="L160" s="6" t="s">
        <v>17</v>
      </c>
      <c r="M160" s="36" t="str">
        <f>VLOOKUP(K160,[2]stage_hints!$A:$C,3,FALSE)</f>
        <v>土日に大量のビットを獲得</v>
      </c>
      <c r="N160" s="37" t="str">
        <f>VLOOKUP(K160,[2]stage_hints!$A:$D,4,FALSE)</f>
        <v>土日限定の「ゴールドカジノ」では_x000D_売却素材ユニットが多く手に入ります</v>
      </c>
      <c r="O160" s="22" t="s">
        <v>117</v>
      </c>
      <c r="P160">
        <v>10</v>
      </c>
    </row>
    <row r="161" spans="1:16" x14ac:dyDescent="0.15">
      <c r="A161" s="29" t="str">
        <f t="shared" si="24"/>
        <v>11101_1_10</v>
      </c>
      <c r="B161" s="27" t="s">
        <v>33</v>
      </c>
      <c r="C161" s="5">
        <v>11101</v>
      </c>
      <c r="D161" s="4" t="str">
        <f ca="1">VLOOKUP($C161,OFFSET([1]quests!$A$1,0,0,COUNTA([1]quests!$A:$A),MATCH(D$1,[1]quests!$1:$1,0)-MATCH($C$1,[1]quests!$1:$1,0)+1),MATCH(D$1,[1]quests!$1:$1,0)-MATCH($C$1,[1]quests!$1:$1,0)+1,FALSE)</f>
        <v>【期間限定】 黄の素材</v>
      </c>
      <c r="E161" s="4" t="str">
        <f ca="1">VLOOKUP($C161,OFFSET([1]quests!$A$1,0,0,COUNTA([1]quests!$A:$A),MATCH(E$1,[1]quests!$1:$1,0)-MATCH($C$1,[1]quests!$1:$1,0)+1),MATCH(E$1,[1]quests!$1:$1,0)-MATCH($C$1,[1]quests!$1:$1,0)+1,FALSE)</f>
        <v>月曜クエスト</v>
      </c>
      <c r="F161" s="6">
        <v>1</v>
      </c>
      <c r="G161" s="4" t="str">
        <f ca="1">VLOOKUP($C161&amp;"_"&amp;$F161,OFFSET([1]stages!$A$1,0,0,COUNTA([1]stages!$A:$A),MATCH(G$1,[1]stages!$2:$2,0)-MATCH("temp_stage",[1]stages!$2:$2,0)+1),MATCH(G$1,[1]stages!$2:$2,0)-MATCH("temp_stage",[1]stages!$2:$2,0)+1,FALSE)</f>
        <v>【初級】雷のチェシャ猫</v>
      </c>
      <c r="H161" s="4" t="str">
        <f ca="1">VLOOKUP($C161&amp;"_"&amp;$F161,OFFSET([1]stages!$A$1,0,0,COUNTA([1]stages!$A:$A),MATCH(H$1,[1]stages!$2:$2,0)-MATCH("temp_stage",[1]stages!$2:$2,0)+1),MATCH(H$1,[1]stages!$2:$2,0)-MATCH("temp_stage",[1]stages!$2:$2,0)+1,FALSE)</f>
        <v>月曜クエスト</v>
      </c>
      <c r="I161" s="19">
        <v>0</v>
      </c>
      <c r="J161" s="6">
        <f>COUNTIF(C$1:C161,C161)</f>
        <v>10</v>
      </c>
      <c r="K161">
        <v>11</v>
      </c>
      <c r="L161" s="6" t="s">
        <v>17</v>
      </c>
      <c r="M161" s="36" t="str">
        <f>VLOOKUP(K161,[2]stage_hints!$A:$C,3,FALSE)</f>
        <v>ランク解放クエスト</v>
      </c>
      <c r="N161" s="37" t="str">
        <f>VLOOKUP(K161,[2]stage_hints!$A:$D,4,FALSE)</f>
        <v>一定ランクに到達すると_x000D_報酬付きのランク開放クエストが現れます</v>
      </c>
      <c r="O161" s="22" t="s">
        <v>117</v>
      </c>
      <c r="P161">
        <v>11</v>
      </c>
    </row>
    <row r="162" spans="1:16" x14ac:dyDescent="0.15">
      <c r="A162" s="29" t="str">
        <f t="shared" ref="A162:A173" si="25">C162&amp;"_"&amp;F162&amp;"_"&amp;J162</f>
        <v>11101_1_11</v>
      </c>
      <c r="B162" s="27" t="s">
        <v>33</v>
      </c>
      <c r="C162" s="5">
        <v>11101</v>
      </c>
      <c r="D162" s="4" t="str">
        <f ca="1">VLOOKUP($C162,OFFSET([1]quests!$A$1,0,0,COUNTA([1]quests!$A:$A),MATCH(D$1,[1]quests!$1:$1,0)-MATCH($C$1,[1]quests!$1:$1,0)+1),MATCH(D$1,[1]quests!$1:$1,0)-MATCH($C$1,[1]quests!$1:$1,0)+1,FALSE)</f>
        <v>【期間限定】 黄の素材</v>
      </c>
      <c r="E162" s="4" t="str">
        <f ca="1">VLOOKUP($C162,OFFSET([1]quests!$A$1,0,0,COUNTA([1]quests!$A:$A),MATCH(E$1,[1]quests!$1:$1,0)-MATCH($C$1,[1]quests!$1:$1,0)+1),MATCH(E$1,[1]quests!$1:$1,0)-MATCH($C$1,[1]quests!$1:$1,0)+1,FALSE)</f>
        <v>月曜クエスト</v>
      </c>
      <c r="F162" s="6">
        <v>1</v>
      </c>
      <c r="G162" s="4" t="str">
        <f ca="1">VLOOKUP($C162&amp;"_"&amp;$F162,OFFSET([1]stages!$A$1,0,0,COUNTA([1]stages!$A:$A),MATCH(G$1,[1]stages!$2:$2,0)-MATCH("temp_stage",[1]stages!$2:$2,0)+1),MATCH(G$1,[1]stages!$2:$2,0)-MATCH("temp_stage",[1]stages!$2:$2,0)+1,FALSE)</f>
        <v>【初級】雷のチェシャ猫</v>
      </c>
      <c r="H162" s="4" t="str">
        <f ca="1">VLOOKUP($C162&amp;"_"&amp;$F162,OFFSET([1]stages!$A$1,0,0,COUNTA([1]stages!$A:$A),MATCH(H$1,[1]stages!$2:$2,0)-MATCH("temp_stage",[1]stages!$2:$2,0)+1),MATCH(H$1,[1]stages!$2:$2,0)-MATCH("temp_stage",[1]stages!$2:$2,0)+1,FALSE)</f>
        <v>月曜クエスト</v>
      </c>
      <c r="I162" s="19">
        <v>0</v>
      </c>
      <c r="J162" s="6">
        <f>COUNTIF(C$1:C162,C162)</f>
        <v>11</v>
      </c>
      <c r="K162">
        <v>12</v>
      </c>
      <c r="L162" s="6" t="s">
        <v>17</v>
      </c>
      <c r="M162" s="36" t="str">
        <f>VLOOKUP(K162,[2]stage_hints!$A:$C,3,FALSE)</f>
        <v>ユニットのお気に入り登録</v>
      </c>
      <c r="N162" s="37" t="str">
        <f>VLOOKUP(K162,[2]stage_hints!$A:$D,4,FALSE)</f>
        <v>大事なユニットを誤って消さないように_x000D_フォルダから「お気に入り登録」しましょう</v>
      </c>
      <c r="O162" s="22" t="s">
        <v>117</v>
      </c>
      <c r="P162">
        <v>12</v>
      </c>
    </row>
    <row r="163" spans="1:16" x14ac:dyDescent="0.15">
      <c r="A163" s="29" t="str">
        <f t="shared" si="25"/>
        <v>11101_1_12</v>
      </c>
      <c r="B163" s="27" t="s">
        <v>33</v>
      </c>
      <c r="C163" s="5">
        <v>11101</v>
      </c>
      <c r="D163" s="4" t="str">
        <f ca="1">VLOOKUP($C163,OFFSET([1]quests!$A$1,0,0,COUNTA([1]quests!$A:$A),MATCH(D$1,[1]quests!$1:$1,0)-MATCH($C$1,[1]quests!$1:$1,0)+1),MATCH(D$1,[1]quests!$1:$1,0)-MATCH($C$1,[1]quests!$1:$1,0)+1,FALSE)</f>
        <v>【期間限定】 黄の素材</v>
      </c>
      <c r="E163" s="4" t="str">
        <f ca="1">VLOOKUP($C163,OFFSET([1]quests!$A$1,0,0,COUNTA([1]quests!$A:$A),MATCH(E$1,[1]quests!$1:$1,0)-MATCH($C$1,[1]quests!$1:$1,0)+1),MATCH(E$1,[1]quests!$1:$1,0)-MATCH($C$1,[1]quests!$1:$1,0)+1,FALSE)</f>
        <v>月曜クエスト</v>
      </c>
      <c r="F163" s="6">
        <v>1</v>
      </c>
      <c r="G163" s="4" t="str">
        <f ca="1">VLOOKUP($C163&amp;"_"&amp;$F163,OFFSET([1]stages!$A$1,0,0,COUNTA([1]stages!$A:$A),MATCH(G$1,[1]stages!$2:$2,0)-MATCH("temp_stage",[1]stages!$2:$2,0)+1),MATCH(G$1,[1]stages!$2:$2,0)-MATCH("temp_stage",[1]stages!$2:$2,0)+1,FALSE)</f>
        <v>【初級】雷のチェシャ猫</v>
      </c>
      <c r="H163" s="4" t="str">
        <f ca="1">VLOOKUP($C163&amp;"_"&amp;$F163,OFFSET([1]stages!$A$1,0,0,COUNTA([1]stages!$A:$A),MATCH(H$1,[1]stages!$2:$2,0)-MATCH("temp_stage",[1]stages!$2:$2,0)+1),MATCH(H$1,[1]stages!$2:$2,0)-MATCH("temp_stage",[1]stages!$2:$2,0)+1,FALSE)</f>
        <v>月曜クエスト</v>
      </c>
      <c r="I163" s="19">
        <v>0</v>
      </c>
      <c r="J163" s="6">
        <f>COUNTIF(C$1:C163,C163)</f>
        <v>12</v>
      </c>
      <c r="K163">
        <v>13</v>
      </c>
      <c r="L163" s="6" t="s">
        <v>17</v>
      </c>
      <c r="M163" s="36" t="str">
        <f>VLOOKUP(K163,[2]stage_hints!$A:$C,3,FALSE)</f>
        <v>ユニットの覚醒</v>
      </c>
      <c r="N163" s="37" t="str">
        <f>VLOOKUP(K163,[2]stage_hints!$A:$D,4,FALSE)</f>
        <v>ユニットを覚醒させると_x000D_比べものにならない強さが手に入ります</v>
      </c>
      <c r="O163" s="22" t="s">
        <v>117</v>
      </c>
      <c r="P163">
        <v>13</v>
      </c>
    </row>
    <row r="164" spans="1:16" x14ac:dyDescent="0.15">
      <c r="A164" s="29" t="str">
        <f t="shared" si="25"/>
        <v>11101_1_13</v>
      </c>
      <c r="B164" s="27" t="s">
        <v>33</v>
      </c>
      <c r="C164" s="5">
        <v>11101</v>
      </c>
      <c r="D164" s="4" t="str">
        <f ca="1">VLOOKUP($C164,OFFSET([1]quests!$A$1,0,0,COUNTA([1]quests!$A:$A),MATCH(D$1,[1]quests!$1:$1,0)-MATCH($C$1,[1]quests!$1:$1,0)+1),MATCH(D$1,[1]quests!$1:$1,0)-MATCH($C$1,[1]quests!$1:$1,0)+1,FALSE)</f>
        <v>【期間限定】 黄の素材</v>
      </c>
      <c r="E164" s="4" t="str">
        <f ca="1">VLOOKUP($C164,OFFSET([1]quests!$A$1,0,0,COUNTA([1]quests!$A:$A),MATCH(E$1,[1]quests!$1:$1,0)-MATCH($C$1,[1]quests!$1:$1,0)+1),MATCH(E$1,[1]quests!$1:$1,0)-MATCH($C$1,[1]quests!$1:$1,0)+1,FALSE)</f>
        <v>月曜クエスト</v>
      </c>
      <c r="F164" s="6">
        <v>1</v>
      </c>
      <c r="G164" s="4" t="str">
        <f ca="1">VLOOKUP($C164&amp;"_"&amp;$F164,OFFSET([1]stages!$A$1,0,0,COUNTA([1]stages!$A:$A),MATCH(G$1,[1]stages!$2:$2,0)-MATCH("temp_stage",[1]stages!$2:$2,0)+1),MATCH(G$1,[1]stages!$2:$2,0)-MATCH("temp_stage",[1]stages!$2:$2,0)+1,FALSE)</f>
        <v>【初級】雷のチェシャ猫</v>
      </c>
      <c r="H164" s="4" t="str">
        <f ca="1">VLOOKUP($C164&amp;"_"&amp;$F164,OFFSET([1]stages!$A$1,0,0,COUNTA([1]stages!$A:$A),MATCH(H$1,[1]stages!$2:$2,0)-MATCH("temp_stage",[1]stages!$2:$2,0)+1),MATCH(H$1,[1]stages!$2:$2,0)-MATCH("temp_stage",[1]stages!$2:$2,0)+1,FALSE)</f>
        <v>月曜クエスト</v>
      </c>
      <c r="I164" s="19">
        <v>0</v>
      </c>
      <c r="J164" s="6">
        <f>COUNTIF(C$1:C164,C164)</f>
        <v>13</v>
      </c>
      <c r="K164">
        <v>14</v>
      </c>
      <c r="L164" s="6" t="s">
        <v>17</v>
      </c>
      <c r="M164" s="36" t="str">
        <f>VLOOKUP(K164,[2]stage_hints!$A:$C,3,FALSE)</f>
        <v>覚醒するにはレベルを最大に</v>
      </c>
      <c r="N164" s="37" t="str">
        <f>VLOOKUP(K164,[2]stage_hints!$A:$D,4,FALSE)</f>
        <v>覚醒するにはユニットのレベルを_x000D_最大まで上げる必要があります</v>
      </c>
      <c r="O164" s="22" t="s">
        <v>117</v>
      </c>
      <c r="P164">
        <v>14</v>
      </c>
    </row>
    <row r="165" spans="1:16" x14ac:dyDescent="0.15">
      <c r="A165" s="29" t="str">
        <f t="shared" si="25"/>
        <v>11101_1_14</v>
      </c>
      <c r="B165" s="27" t="s">
        <v>33</v>
      </c>
      <c r="C165" s="5">
        <v>11101</v>
      </c>
      <c r="D165" s="4" t="str">
        <f ca="1">VLOOKUP($C165,OFFSET([1]quests!$A$1,0,0,COUNTA([1]quests!$A:$A),MATCH(D$1,[1]quests!$1:$1,0)-MATCH($C$1,[1]quests!$1:$1,0)+1),MATCH(D$1,[1]quests!$1:$1,0)-MATCH($C$1,[1]quests!$1:$1,0)+1,FALSE)</f>
        <v>【期間限定】 黄の素材</v>
      </c>
      <c r="E165" s="4" t="str">
        <f ca="1">VLOOKUP($C165,OFFSET([1]quests!$A$1,0,0,COUNTA([1]quests!$A:$A),MATCH(E$1,[1]quests!$1:$1,0)-MATCH($C$1,[1]quests!$1:$1,0)+1),MATCH(E$1,[1]quests!$1:$1,0)-MATCH($C$1,[1]quests!$1:$1,0)+1,FALSE)</f>
        <v>月曜クエスト</v>
      </c>
      <c r="F165" s="6">
        <v>1</v>
      </c>
      <c r="G165" s="4" t="str">
        <f ca="1">VLOOKUP($C165&amp;"_"&amp;$F165,OFFSET([1]stages!$A$1,0,0,COUNTA([1]stages!$A:$A),MATCH(G$1,[1]stages!$2:$2,0)-MATCH("temp_stage",[1]stages!$2:$2,0)+1),MATCH(G$1,[1]stages!$2:$2,0)-MATCH("temp_stage",[1]stages!$2:$2,0)+1,FALSE)</f>
        <v>【初級】雷のチェシャ猫</v>
      </c>
      <c r="H165" s="4" t="str">
        <f ca="1">VLOOKUP($C165&amp;"_"&amp;$F165,OFFSET([1]stages!$A$1,0,0,COUNTA([1]stages!$A:$A),MATCH(H$1,[1]stages!$2:$2,0)-MATCH("temp_stage",[1]stages!$2:$2,0)+1),MATCH(H$1,[1]stages!$2:$2,0)-MATCH("temp_stage",[1]stages!$2:$2,0)+1,FALSE)</f>
        <v>月曜クエスト</v>
      </c>
      <c r="I165" s="19">
        <v>0</v>
      </c>
      <c r="J165" s="6">
        <f>COUNTIF(C$1:C165,C165)</f>
        <v>14</v>
      </c>
      <c r="K165">
        <v>15</v>
      </c>
      <c r="L165" s="6" t="s">
        <v>17</v>
      </c>
      <c r="M165" s="36" t="str">
        <f>VLOOKUP(K165,[2]stage_hints!$A:$C,3,FALSE)</f>
        <v>覚醒素材を獲得</v>
      </c>
      <c r="N165" s="37" t="str">
        <f>VLOOKUP(K165,[2]stage_hints!$A:$D,4,FALSE)</f>
        <v>「曜日クエスト」では_x000D_ユニットの覚醒に必要な素材が手に入ります</v>
      </c>
      <c r="O165" s="22" t="s">
        <v>117</v>
      </c>
      <c r="P165">
        <v>15</v>
      </c>
    </row>
    <row r="166" spans="1:16" x14ac:dyDescent="0.15">
      <c r="A166" s="29" t="str">
        <f t="shared" si="25"/>
        <v>11101_1_15</v>
      </c>
      <c r="B166" s="27" t="s">
        <v>33</v>
      </c>
      <c r="C166" s="5">
        <v>11101</v>
      </c>
      <c r="D166" s="4" t="str">
        <f ca="1">VLOOKUP($C166,OFFSET([1]quests!$A$1,0,0,COUNTA([1]quests!$A:$A),MATCH(D$1,[1]quests!$1:$1,0)-MATCH($C$1,[1]quests!$1:$1,0)+1),MATCH(D$1,[1]quests!$1:$1,0)-MATCH($C$1,[1]quests!$1:$1,0)+1,FALSE)</f>
        <v>【期間限定】 黄の素材</v>
      </c>
      <c r="E166" s="4" t="str">
        <f ca="1">VLOOKUP($C166,OFFSET([1]quests!$A$1,0,0,COUNTA([1]quests!$A:$A),MATCH(E$1,[1]quests!$1:$1,0)-MATCH($C$1,[1]quests!$1:$1,0)+1),MATCH(E$1,[1]quests!$1:$1,0)-MATCH($C$1,[1]quests!$1:$1,0)+1,FALSE)</f>
        <v>月曜クエスト</v>
      </c>
      <c r="F166" s="6">
        <v>1</v>
      </c>
      <c r="G166" s="4" t="str">
        <f ca="1">VLOOKUP($C166&amp;"_"&amp;$F166,OFFSET([1]stages!$A$1,0,0,COUNTA([1]stages!$A:$A),MATCH(G$1,[1]stages!$2:$2,0)-MATCH("temp_stage",[1]stages!$2:$2,0)+1),MATCH(G$1,[1]stages!$2:$2,0)-MATCH("temp_stage",[1]stages!$2:$2,0)+1,FALSE)</f>
        <v>【初級】雷のチェシャ猫</v>
      </c>
      <c r="H166" s="4" t="str">
        <f ca="1">VLOOKUP($C166&amp;"_"&amp;$F166,OFFSET([1]stages!$A$1,0,0,COUNTA([1]stages!$A:$A),MATCH(H$1,[1]stages!$2:$2,0)-MATCH("temp_stage",[1]stages!$2:$2,0)+1),MATCH(H$1,[1]stages!$2:$2,0)-MATCH("temp_stage",[1]stages!$2:$2,0)+1,FALSE)</f>
        <v>月曜クエスト</v>
      </c>
      <c r="I166" s="19">
        <v>0</v>
      </c>
      <c r="J166" s="6">
        <f>COUNTIF(C$1:C166,C166)</f>
        <v>15</v>
      </c>
      <c r="K166">
        <v>16</v>
      </c>
      <c r="L166" s="6" t="s">
        <v>17</v>
      </c>
      <c r="M166" s="36" t="str">
        <f>VLOOKUP(K166,[2]stage_hints!$A:$C,3,FALSE)</f>
        <v>マルチプレイのメリット（その1）</v>
      </c>
      <c r="N166" s="37" t="str">
        <f>VLOOKUP(K166,[2]stage_hints!$A:$D,4,FALSE)</f>
        <v>他のプレイヤーとマルチプレイで遊ぶと_x000D_ポリゴンがもらえます（100人まで）</v>
      </c>
      <c r="O166" s="22" t="s">
        <v>117</v>
      </c>
      <c r="P166">
        <v>16</v>
      </c>
    </row>
    <row r="167" spans="1:16" x14ac:dyDescent="0.15">
      <c r="A167" s="29" t="str">
        <f t="shared" si="25"/>
        <v>11101_1_16</v>
      </c>
      <c r="B167" s="27" t="s">
        <v>33</v>
      </c>
      <c r="C167" s="5">
        <v>11101</v>
      </c>
      <c r="D167" s="4" t="str">
        <f ca="1">VLOOKUP($C167,OFFSET([1]quests!$A$1,0,0,COUNTA([1]quests!$A:$A),MATCH(D$1,[1]quests!$1:$1,0)-MATCH($C$1,[1]quests!$1:$1,0)+1),MATCH(D$1,[1]quests!$1:$1,0)-MATCH($C$1,[1]quests!$1:$1,0)+1,FALSE)</f>
        <v>【期間限定】 黄の素材</v>
      </c>
      <c r="E167" s="4" t="str">
        <f ca="1">VLOOKUP($C167,OFFSET([1]quests!$A$1,0,0,COUNTA([1]quests!$A:$A),MATCH(E$1,[1]quests!$1:$1,0)-MATCH($C$1,[1]quests!$1:$1,0)+1),MATCH(E$1,[1]quests!$1:$1,0)-MATCH($C$1,[1]quests!$1:$1,0)+1,FALSE)</f>
        <v>月曜クエスト</v>
      </c>
      <c r="F167" s="6">
        <v>1</v>
      </c>
      <c r="G167" s="4" t="str">
        <f ca="1">VLOOKUP($C167&amp;"_"&amp;$F167,OFFSET([1]stages!$A$1,0,0,COUNTA([1]stages!$A:$A),MATCH(G$1,[1]stages!$2:$2,0)-MATCH("temp_stage",[1]stages!$2:$2,0)+1),MATCH(G$1,[1]stages!$2:$2,0)-MATCH("temp_stage",[1]stages!$2:$2,0)+1,FALSE)</f>
        <v>【初級】雷のチェシャ猫</v>
      </c>
      <c r="H167" s="4" t="str">
        <f ca="1">VLOOKUP($C167&amp;"_"&amp;$F167,OFFSET([1]stages!$A$1,0,0,COUNTA([1]stages!$A:$A),MATCH(H$1,[1]stages!$2:$2,0)-MATCH("temp_stage",[1]stages!$2:$2,0)+1),MATCH(H$1,[1]stages!$2:$2,0)-MATCH("temp_stage",[1]stages!$2:$2,0)+1,FALSE)</f>
        <v>月曜クエスト</v>
      </c>
      <c r="I167" s="19">
        <v>0</v>
      </c>
      <c r="J167" s="6">
        <f>COUNTIF(C$1:C167,C167)</f>
        <v>16</v>
      </c>
      <c r="K167">
        <v>17</v>
      </c>
      <c r="L167" s="6" t="s">
        <v>17</v>
      </c>
      <c r="M167" s="36" t="str">
        <f>VLOOKUP(K167,[2]stage_hints!$A:$C,3,FALSE)</f>
        <v>リンクガチャ</v>
      </c>
      <c r="N167" s="37" t="str">
        <f>VLOOKUP(K167,[2]stage_hints!$A:$D,4,FALSE)</f>
        <v>無料のリンクガチャを回して_x000D_経験値素材や売却素材を獲得しましょう</v>
      </c>
      <c r="O167" s="22" t="s">
        <v>117</v>
      </c>
      <c r="P167">
        <v>17</v>
      </c>
    </row>
    <row r="168" spans="1:16" x14ac:dyDescent="0.15">
      <c r="A168" s="29" t="str">
        <f t="shared" si="25"/>
        <v>11101_1_17</v>
      </c>
      <c r="B168" s="27" t="s">
        <v>33</v>
      </c>
      <c r="C168" s="5">
        <v>11101</v>
      </c>
      <c r="D168" s="4" t="str">
        <f ca="1">VLOOKUP($C168,OFFSET([1]quests!$A$1,0,0,COUNTA([1]quests!$A:$A),MATCH(D$1,[1]quests!$1:$1,0)-MATCH($C$1,[1]quests!$1:$1,0)+1),MATCH(D$1,[1]quests!$1:$1,0)-MATCH($C$1,[1]quests!$1:$1,0)+1,FALSE)</f>
        <v>【期間限定】 黄の素材</v>
      </c>
      <c r="E168" s="4" t="str">
        <f ca="1">VLOOKUP($C168,OFFSET([1]quests!$A$1,0,0,COUNTA([1]quests!$A:$A),MATCH(E$1,[1]quests!$1:$1,0)-MATCH($C$1,[1]quests!$1:$1,0)+1),MATCH(E$1,[1]quests!$1:$1,0)-MATCH($C$1,[1]quests!$1:$1,0)+1,FALSE)</f>
        <v>月曜クエスト</v>
      </c>
      <c r="F168" s="6">
        <v>1</v>
      </c>
      <c r="G168" s="4" t="str">
        <f ca="1">VLOOKUP($C168&amp;"_"&amp;$F168,OFFSET([1]stages!$A$1,0,0,COUNTA([1]stages!$A:$A),MATCH(G$1,[1]stages!$2:$2,0)-MATCH("temp_stage",[1]stages!$2:$2,0)+1),MATCH(G$1,[1]stages!$2:$2,0)-MATCH("temp_stage",[1]stages!$2:$2,0)+1,FALSE)</f>
        <v>【初級】雷のチェシャ猫</v>
      </c>
      <c r="H168" s="4" t="str">
        <f ca="1">VLOOKUP($C168&amp;"_"&amp;$F168,OFFSET([1]stages!$A$1,0,0,COUNTA([1]stages!$A:$A),MATCH(H$1,[1]stages!$2:$2,0)-MATCH("temp_stage",[1]stages!$2:$2,0)+1),MATCH(H$1,[1]stages!$2:$2,0)-MATCH("temp_stage",[1]stages!$2:$2,0)+1,FALSE)</f>
        <v>月曜クエスト</v>
      </c>
      <c r="I168" s="19">
        <v>0</v>
      </c>
      <c r="J168" s="6">
        <f>COUNTIF(C$1:C168,C168)</f>
        <v>17</v>
      </c>
      <c r="K168">
        <v>18</v>
      </c>
      <c r="L168" s="6" t="s">
        <v>17</v>
      </c>
      <c r="M168" s="36" t="str">
        <f>VLOOKUP(K168,[2]stage_hints!$A:$C,3,FALSE)</f>
        <v>マルチプレイのメリット（その2）</v>
      </c>
      <c r="N168" s="37" t="str">
        <f>VLOOKUP(K168,[2]stage_hints!$A:$D,4,FALSE)</f>
        <v>マルチプレイならリンクが2倍もらえます_x000D_リンクガチャをたくさん回しましょう</v>
      </c>
      <c r="O168" s="22" t="s">
        <v>117</v>
      </c>
      <c r="P168">
        <v>18</v>
      </c>
    </row>
    <row r="169" spans="1:16" x14ac:dyDescent="0.15">
      <c r="A169" s="29" t="str">
        <f t="shared" si="25"/>
        <v>11101_1_18</v>
      </c>
      <c r="B169" s="27" t="s">
        <v>33</v>
      </c>
      <c r="C169" s="5">
        <v>11101</v>
      </c>
      <c r="D169" s="4" t="str">
        <f ca="1">VLOOKUP($C169,OFFSET([1]quests!$A$1,0,0,COUNTA([1]quests!$A:$A),MATCH(D$1,[1]quests!$1:$1,0)-MATCH($C$1,[1]quests!$1:$1,0)+1),MATCH(D$1,[1]quests!$1:$1,0)-MATCH($C$1,[1]quests!$1:$1,0)+1,FALSE)</f>
        <v>【期間限定】 黄の素材</v>
      </c>
      <c r="E169" s="4" t="str">
        <f ca="1">VLOOKUP($C169,OFFSET([1]quests!$A$1,0,0,COUNTA([1]quests!$A:$A),MATCH(E$1,[1]quests!$1:$1,0)-MATCH($C$1,[1]quests!$1:$1,0)+1),MATCH(E$1,[1]quests!$1:$1,0)-MATCH($C$1,[1]quests!$1:$1,0)+1,FALSE)</f>
        <v>月曜クエスト</v>
      </c>
      <c r="F169" s="6">
        <v>1</v>
      </c>
      <c r="G169" s="4" t="str">
        <f ca="1">VLOOKUP($C169&amp;"_"&amp;$F169,OFFSET([1]stages!$A$1,0,0,COUNTA([1]stages!$A:$A),MATCH(G$1,[1]stages!$2:$2,0)-MATCH("temp_stage",[1]stages!$2:$2,0)+1),MATCH(G$1,[1]stages!$2:$2,0)-MATCH("temp_stage",[1]stages!$2:$2,0)+1,FALSE)</f>
        <v>【初級】雷のチェシャ猫</v>
      </c>
      <c r="H169" s="4" t="str">
        <f ca="1">VLOOKUP($C169&amp;"_"&amp;$F169,OFFSET([1]stages!$A$1,0,0,COUNTA([1]stages!$A:$A),MATCH(H$1,[1]stages!$2:$2,0)-MATCH("temp_stage",[1]stages!$2:$2,0)+1),MATCH(H$1,[1]stages!$2:$2,0)-MATCH("temp_stage",[1]stages!$2:$2,0)+1,FALSE)</f>
        <v>月曜クエスト</v>
      </c>
      <c r="I169" s="19">
        <v>0</v>
      </c>
      <c r="J169" s="6">
        <f>COUNTIF(C$1:C169,C169)</f>
        <v>18</v>
      </c>
      <c r="K169">
        <v>19</v>
      </c>
      <c r="L169" s="6" t="s">
        <v>17</v>
      </c>
      <c r="M169" s="36" t="str">
        <f>VLOOKUP(K169,[2]stage_hints!$A:$C,3,FALSE)</f>
        <v>ソロ専用チャレンジタワー</v>
      </c>
      <c r="N169" s="37" t="str">
        <f>VLOOKUP(K169,[2]stage_hints!$A:$D,4,FALSE)</f>
        <v>ソロ専用の「チャレンジタワー」では_x000D_各フロアごとにクリア報酬がもらえます</v>
      </c>
      <c r="O169" s="22" t="s">
        <v>117</v>
      </c>
      <c r="P169">
        <v>19</v>
      </c>
    </row>
    <row r="170" spans="1:16" x14ac:dyDescent="0.15">
      <c r="A170" s="29" t="str">
        <f t="shared" si="25"/>
        <v>11101_1_19</v>
      </c>
      <c r="B170" s="27" t="s">
        <v>33</v>
      </c>
      <c r="C170" s="5">
        <v>11101</v>
      </c>
      <c r="D170" s="4" t="str">
        <f ca="1">VLOOKUP($C170,OFFSET([1]quests!$A$1,0,0,COUNTA([1]quests!$A:$A),MATCH(D$1,[1]quests!$1:$1,0)-MATCH($C$1,[1]quests!$1:$1,0)+1),MATCH(D$1,[1]quests!$1:$1,0)-MATCH($C$1,[1]quests!$1:$1,0)+1,FALSE)</f>
        <v>【期間限定】 黄の素材</v>
      </c>
      <c r="E170" s="4" t="str">
        <f ca="1">VLOOKUP($C170,OFFSET([1]quests!$A$1,0,0,COUNTA([1]quests!$A:$A),MATCH(E$1,[1]quests!$1:$1,0)-MATCH($C$1,[1]quests!$1:$1,0)+1),MATCH(E$1,[1]quests!$1:$1,0)-MATCH($C$1,[1]quests!$1:$1,0)+1,FALSE)</f>
        <v>月曜クエスト</v>
      </c>
      <c r="F170" s="6">
        <v>1</v>
      </c>
      <c r="G170" s="4" t="str">
        <f ca="1">VLOOKUP($C170&amp;"_"&amp;$F170,OFFSET([1]stages!$A$1,0,0,COUNTA([1]stages!$A:$A),MATCH(G$1,[1]stages!$2:$2,0)-MATCH("temp_stage",[1]stages!$2:$2,0)+1),MATCH(G$1,[1]stages!$2:$2,0)-MATCH("temp_stage",[1]stages!$2:$2,0)+1,FALSE)</f>
        <v>【初級】雷のチェシャ猫</v>
      </c>
      <c r="H170" s="4" t="str">
        <f ca="1">VLOOKUP($C170&amp;"_"&amp;$F170,OFFSET([1]stages!$A$1,0,0,COUNTA([1]stages!$A:$A),MATCH(H$1,[1]stages!$2:$2,0)-MATCH("temp_stage",[1]stages!$2:$2,0)+1),MATCH(H$1,[1]stages!$2:$2,0)-MATCH("temp_stage",[1]stages!$2:$2,0)+1,FALSE)</f>
        <v>月曜クエスト</v>
      </c>
      <c r="I170" s="19">
        <v>0</v>
      </c>
      <c r="J170" s="6">
        <f>COUNTIF(C$1:C170,C170)</f>
        <v>19</v>
      </c>
      <c r="K170">
        <v>20</v>
      </c>
      <c r="L170" s="6" t="s">
        <v>17</v>
      </c>
      <c r="M170" s="36" t="str">
        <f>VLOOKUP(K170,[2]stage_hints!$A:$C,3,FALSE)</f>
        <v>マルチプレイのメリット（その3）</v>
      </c>
      <c r="N170" s="37" t="str">
        <f>VLOOKUP(K170,[2]stage_hints!$A:$D,4,FALSE)</f>
        <v>マルチプレイへの参加はエナジー消費ゼロ_x000D_いつでも好きなだけ遊ぶことができます</v>
      </c>
      <c r="O170" s="22" t="s">
        <v>117</v>
      </c>
      <c r="P170">
        <v>20</v>
      </c>
    </row>
    <row r="171" spans="1:16" x14ac:dyDescent="0.15">
      <c r="A171" s="29" t="str">
        <f t="shared" si="25"/>
        <v>11101_1_20</v>
      </c>
      <c r="B171" s="27" t="s">
        <v>33</v>
      </c>
      <c r="C171" s="5">
        <v>11101</v>
      </c>
      <c r="D171" s="4" t="str">
        <f ca="1">VLOOKUP($C171,OFFSET([1]quests!$A$1,0,0,COUNTA([1]quests!$A:$A),MATCH(D$1,[1]quests!$1:$1,0)-MATCH($C$1,[1]quests!$1:$1,0)+1),MATCH(D$1,[1]quests!$1:$1,0)-MATCH($C$1,[1]quests!$1:$1,0)+1,FALSE)</f>
        <v>【期間限定】 黄の素材</v>
      </c>
      <c r="E171" s="4" t="str">
        <f ca="1">VLOOKUP($C171,OFFSET([1]quests!$A$1,0,0,COUNTA([1]quests!$A:$A),MATCH(E$1,[1]quests!$1:$1,0)-MATCH($C$1,[1]quests!$1:$1,0)+1),MATCH(E$1,[1]quests!$1:$1,0)-MATCH($C$1,[1]quests!$1:$1,0)+1,FALSE)</f>
        <v>月曜クエスト</v>
      </c>
      <c r="F171" s="6">
        <v>1</v>
      </c>
      <c r="G171" s="4" t="str">
        <f ca="1">VLOOKUP($C171&amp;"_"&amp;$F171,OFFSET([1]stages!$A$1,0,0,COUNTA([1]stages!$A:$A),MATCH(G$1,[1]stages!$2:$2,0)-MATCH("temp_stage",[1]stages!$2:$2,0)+1),MATCH(G$1,[1]stages!$2:$2,0)-MATCH("temp_stage",[1]stages!$2:$2,0)+1,FALSE)</f>
        <v>【初級】雷のチェシャ猫</v>
      </c>
      <c r="H171" s="4" t="str">
        <f ca="1">VLOOKUP($C171&amp;"_"&amp;$F171,OFFSET([1]stages!$A$1,0,0,COUNTA([1]stages!$A:$A),MATCH(H$1,[1]stages!$2:$2,0)-MATCH("temp_stage",[1]stages!$2:$2,0)+1),MATCH(H$1,[1]stages!$2:$2,0)-MATCH("temp_stage",[1]stages!$2:$2,0)+1,FALSE)</f>
        <v>月曜クエスト</v>
      </c>
      <c r="I171" s="19">
        <v>0</v>
      </c>
      <c r="J171" s="6">
        <f>COUNTIF(C$1:C171,C171)</f>
        <v>20</v>
      </c>
      <c r="K171">
        <v>21</v>
      </c>
      <c r="L171" s="6" t="s">
        <v>17</v>
      </c>
      <c r="M171" s="36" t="str">
        <f>VLOOKUP(K171,[2]stage_hints!$A:$C,3,FALSE)</f>
        <v>スキルを有効に</v>
      </c>
      <c r="N171" s="37" t="str">
        <f>VLOOKUP(K171,[2]stage_hints!$A:$D,4,FALSE)</f>
        <v>ターン経過でユニットのスキルが使えます_x000D_強力スキルでバトルを有利に進めましょう</v>
      </c>
      <c r="O171" s="22" t="s">
        <v>117</v>
      </c>
      <c r="P171">
        <v>21</v>
      </c>
    </row>
    <row r="172" spans="1:16" x14ac:dyDescent="0.15">
      <c r="A172" s="29" t="str">
        <f t="shared" si="25"/>
        <v>11101_1_21</v>
      </c>
      <c r="B172" s="27" t="s">
        <v>33</v>
      </c>
      <c r="C172" s="5">
        <v>11101</v>
      </c>
      <c r="D172" s="4" t="str">
        <f ca="1">VLOOKUP($C172,OFFSET([1]quests!$A$1,0,0,COUNTA([1]quests!$A:$A),MATCH(D$1,[1]quests!$1:$1,0)-MATCH($C$1,[1]quests!$1:$1,0)+1),MATCH(D$1,[1]quests!$1:$1,0)-MATCH($C$1,[1]quests!$1:$1,0)+1,FALSE)</f>
        <v>【期間限定】 黄の素材</v>
      </c>
      <c r="E172" s="4" t="str">
        <f ca="1">VLOOKUP($C172,OFFSET([1]quests!$A$1,0,0,COUNTA([1]quests!$A:$A),MATCH(E$1,[1]quests!$1:$1,0)-MATCH($C$1,[1]quests!$1:$1,0)+1),MATCH(E$1,[1]quests!$1:$1,0)-MATCH($C$1,[1]quests!$1:$1,0)+1,FALSE)</f>
        <v>月曜クエスト</v>
      </c>
      <c r="F172" s="6">
        <v>1</v>
      </c>
      <c r="G172" s="4" t="str">
        <f ca="1">VLOOKUP($C172&amp;"_"&amp;$F172,OFFSET([1]stages!$A$1,0,0,COUNTA([1]stages!$A:$A),MATCH(G$1,[1]stages!$2:$2,0)-MATCH("temp_stage",[1]stages!$2:$2,0)+1),MATCH(G$1,[1]stages!$2:$2,0)-MATCH("temp_stage",[1]stages!$2:$2,0)+1,FALSE)</f>
        <v>【初級】雷のチェシャ猫</v>
      </c>
      <c r="H172" s="4" t="str">
        <f ca="1">VLOOKUP($C172&amp;"_"&amp;$F172,OFFSET([1]stages!$A$1,0,0,COUNTA([1]stages!$A:$A),MATCH(H$1,[1]stages!$2:$2,0)-MATCH("temp_stage",[1]stages!$2:$2,0)+1),MATCH(H$1,[1]stages!$2:$2,0)-MATCH("temp_stage",[1]stages!$2:$2,0)+1,FALSE)</f>
        <v>月曜クエスト</v>
      </c>
      <c r="I172" s="19">
        <v>0</v>
      </c>
      <c r="J172" s="6">
        <f>COUNTIF(C$1:C172,C172)</f>
        <v>21</v>
      </c>
      <c r="K172">
        <v>22</v>
      </c>
      <c r="L172" s="6" t="s">
        <v>17</v>
      </c>
      <c r="M172" s="36" t="str">
        <f>VLOOKUP(K172,[2]stage_hints!$A:$C,3,FALSE)</f>
        <v>フィーバーで一発逆転（その1）</v>
      </c>
      <c r="N172" s="37" t="str">
        <f>VLOOKUP(K172,[2]stage_hints!$A:$D,4,FALSE)</f>
        <v>フィーバーは攻撃と回復を兼ね備えます_x000D_ピンチからの一発逆転を狙いましょう</v>
      </c>
      <c r="O172" s="22" t="s">
        <v>117</v>
      </c>
      <c r="P172">
        <v>22</v>
      </c>
    </row>
    <row r="173" spans="1:16" x14ac:dyDescent="0.15">
      <c r="A173" s="29" t="str">
        <f t="shared" si="25"/>
        <v>11101_1_22</v>
      </c>
      <c r="B173" s="27" t="s">
        <v>33</v>
      </c>
      <c r="C173" s="5">
        <v>11101</v>
      </c>
      <c r="D173" s="4" t="str">
        <f ca="1">VLOOKUP($C173,OFFSET([1]quests!$A$1,0,0,COUNTA([1]quests!$A:$A),MATCH(D$1,[1]quests!$1:$1,0)-MATCH($C$1,[1]quests!$1:$1,0)+1),MATCH(D$1,[1]quests!$1:$1,0)-MATCH($C$1,[1]quests!$1:$1,0)+1,FALSE)</f>
        <v>【期間限定】 黄の素材</v>
      </c>
      <c r="E173" s="4" t="str">
        <f ca="1">VLOOKUP($C173,OFFSET([1]quests!$A$1,0,0,COUNTA([1]quests!$A:$A),MATCH(E$1,[1]quests!$1:$1,0)-MATCH($C$1,[1]quests!$1:$1,0)+1),MATCH(E$1,[1]quests!$1:$1,0)-MATCH($C$1,[1]quests!$1:$1,0)+1,FALSE)</f>
        <v>月曜クエスト</v>
      </c>
      <c r="F173" s="6">
        <v>1</v>
      </c>
      <c r="G173" s="4" t="str">
        <f ca="1">VLOOKUP($C173&amp;"_"&amp;$F173,OFFSET([1]stages!$A$1,0,0,COUNTA([1]stages!$A:$A),MATCH(G$1,[1]stages!$2:$2,0)-MATCH("temp_stage",[1]stages!$2:$2,0)+1),MATCH(G$1,[1]stages!$2:$2,0)-MATCH("temp_stage",[1]stages!$2:$2,0)+1,FALSE)</f>
        <v>【初級】雷のチェシャ猫</v>
      </c>
      <c r="H173" s="4" t="str">
        <f ca="1">VLOOKUP($C173&amp;"_"&amp;$F173,OFFSET([1]stages!$A$1,0,0,COUNTA([1]stages!$A:$A),MATCH(H$1,[1]stages!$2:$2,0)-MATCH("temp_stage",[1]stages!$2:$2,0)+1),MATCH(H$1,[1]stages!$2:$2,0)-MATCH("temp_stage",[1]stages!$2:$2,0)+1,FALSE)</f>
        <v>月曜クエスト</v>
      </c>
      <c r="I173" s="19">
        <v>0</v>
      </c>
      <c r="J173" s="6">
        <f>COUNTIF(C$1:C173,C173)</f>
        <v>22</v>
      </c>
      <c r="K173">
        <v>23</v>
      </c>
      <c r="L173" s="6" t="s">
        <v>17</v>
      </c>
      <c r="M173" s="36" t="str">
        <f>VLOOKUP(K173,[2]stage_hints!$A:$C,3,FALSE)</f>
        <v>フィーバーで一発逆転（その2）</v>
      </c>
      <c r="N173" s="37" t="str">
        <f>VLOOKUP(K173,[2]stage_hints!$A:$D,4,FALSE)</f>
        <v>フィーバー中は虹色のボムパネルを狙って_x000D_画面上のパネルを一気に破壊しましょう</v>
      </c>
      <c r="O173" s="22" t="s">
        <v>117</v>
      </c>
      <c r="P173">
        <v>23</v>
      </c>
    </row>
    <row r="174" spans="1:16" x14ac:dyDescent="0.15">
      <c r="A174" s="29" t="str">
        <f t="shared" ref="A174" si="26">C174&amp;"_"&amp;F174&amp;"_"&amp;J174</f>
        <v>11101_1_23</v>
      </c>
      <c r="B174" s="27" t="s">
        <v>33</v>
      </c>
      <c r="C174" s="5">
        <v>11101</v>
      </c>
      <c r="D174" s="4" t="str">
        <f ca="1">VLOOKUP($C174,OFFSET([1]quests!$A$1,0,0,COUNTA([1]quests!$A:$A),MATCH(D$1,[1]quests!$1:$1,0)-MATCH($C$1,[1]quests!$1:$1,0)+1),MATCH(D$1,[1]quests!$1:$1,0)-MATCH($C$1,[1]quests!$1:$1,0)+1,FALSE)</f>
        <v>【期間限定】 黄の素材</v>
      </c>
      <c r="E174" s="4" t="str">
        <f ca="1">VLOOKUP($C174,OFFSET([1]quests!$A$1,0,0,COUNTA([1]quests!$A:$A),MATCH(E$1,[1]quests!$1:$1,0)-MATCH($C$1,[1]quests!$1:$1,0)+1),MATCH(E$1,[1]quests!$1:$1,0)-MATCH($C$1,[1]quests!$1:$1,0)+1,FALSE)</f>
        <v>月曜クエスト</v>
      </c>
      <c r="F174" s="6">
        <v>1</v>
      </c>
      <c r="G174" s="4" t="str">
        <f ca="1">VLOOKUP($C174&amp;"_"&amp;$F174,OFFSET([1]stages!$A$1,0,0,COUNTA([1]stages!$A:$A),MATCH(G$1,[1]stages!$2:$2,0)-MATCH("temp_stage",[1]stages!$2:$2,0)+1),MATCH(G$1,[1]stages!$2:$2,0)-MATCH("temp_stage",[1]stages!$2:$2,0)+1,FALSE)</f>
        <v>【初級】雷のチェシャ猫</v>
      </c>
      <c r="H174" s="4" t="str">
        <f ca="1">VLOOKUP($C174&amp;"_"&amp;$F174,OFFSET([1]stages!$A$1,0,0,COUNTA([1]stages!$A:$A),MATCH(H$1,[1]stages!$2:$2,0)-MATCH("temp_stage",[1]stages!$2:$2,0)+1),MATCH(H$1,[1]stages!$2:$2,0)-MATCH("temp_stage",[1]stages!$2:$2,0)+1,FALSE)</f>
        <v>月曜クエスト</v>
      </c>
      <c r="I174" s="19">
        <v>0</v>
      </c>
      <c r="J174" s="6">
        <f>COUNTIF(C$1:C174,C174)</f>
        <v>23</v>
      </c>
      <c r="K174">
        <v>24</v>
      </c>
      <c r="L174" s="6" t="s">
        <v>17</v>
      </c>
      <c r="M174" s="36" t="str">
        <f>VLOOKUP(K174,[2]stage_hints!$A:$C,3,FALSE)</f>
        <v>りんごを使って限界突破</v>
      </c>
      <c r="N174" s="37" t="str">
        <f>VLOOKUP(K174,[2]stage_hints!$A:$D,4,FALSE)</f>
        <v>赤りんご(攻撃力) 青りんご(回復力)_x000D_緑りんご(体力)をユニット強化に使うと_x000D_ステータスが限界突破します（計99個迄）</v>
      </c>
      <c r="O174" s="22" t="s">
        <v>117</v>
      </c>
      <c r="P174">
        <v>24</v>
      </c>
    </row>
    <row r="175" spans="1:16" x14ac:dyDescent="0.15">
      <c r="A175" s="29" t="str">
        <f t="shared" ref="A175:A176" si="27">C175&amp;"_"&amp;F175&amp;"_"&amp;J175</f>
        <v>11101_1_24</v>
      </c>
      <c r="B175" s="27" t="s">
        <v>33</v>
      </c>
      <c r="C175" s="5">
        <v>11101</v>
      </c>
      <c r="D175" s="4" t="str">
        <f ca="1">VLOOKUP($C175,OFFSET([1]quests!$A$1,0,0,COUNTA([1]quests!$A:$A),MATCH(D$1,[1]quests!$1:$1,0)-MATCH($C$1,[1]quests!$1:$1,0)+1),MATCH(D$1,[1]quests!$1:$1,0)-MATCH($C$1,[1]quests!$1:$1,0)+1,FALSE)</f>
        <v>【期間限定】 黄の素材</v>
      </c>
      <c r="E175" s="4" t="str">
        <f ca="1">VLOOKUP($C175,OFFSET([1]quests!$A$1,0,0,COUNTA([1]quests!$A:$A),MATCH(E$1,[1]quests!$1:$1,0)-MATCH($C$1,[1]quests!$1:$1,0)+1),MATCH(E$1,[1]quests!$1:$1,0)-MATCH($C$1,[1]quests!$1:$1,0)+1,FALSE)</f>
        <v>月曜クエスト</v>
      </c>
      <c r="F175" s="6">
        <v>1</v>
      </c>
      <c r="G175" s="4" t="str">
        <f ca="1">VLOOKUP($C175&amp;"_"&amp;$F175,OFFSET([1]stages!$A$1,0,0,COUNTA([1]stages!$A:$A),MATCH(G$1,[1]stages!$2:$2,0)-MATCH("temp_stage",[1]stages!$2:$2,0)+1),MATCH(G$1,[1]stages!$2:$2,0)-MATCH("temp_stage",[1]stages!$2:$2,0)+1,FALSE)</f>
        <v>【初級】雷のチェシャ猫</v>
      </c>
      <c r="H175" s="4" t="str">
        <f ca="1">VLOOKUP($C175&amp;"_"&amp;$F175,OFFSET([1]stages!$A$1,0,0,COUNTA([1]stages!$A:$A),MATCH(H$1,[1]stages!$2:$2,0)-MATCH("temp_stage",[1]stages!$2:$2,0)+1),MATCH(H$1,[1]stages!$2:$2,0)-MATCH("temp_stage",[1]stages!$2:$2,0)+1,FALSE)</f>
        <v>月曜クエスト</v>
      </c>
      <c r="I175" s="19">
        <v>0</v>
      </c>
      <c r="J175" s="6">
        <f>COUNTIF(C$1:C175,C175)</f>
        <v>24</v>
      </c>
      <c r="K175">
        <v>25</v>
      </c>
      <c r="L175" s="6" t="s">
        <v>17</v>
      </c>
      <c r="M175" s="36" t="str">
        <f>VLOOKUP(K175,[2]stage_hints!$A:$C,3,FALSE)</f>
        <v>スキルレベルアップ</v>
      </c>
      <c r="N175" s="37" t="str">
        <f>VLOOKUP(K175,[2]stage_hints!$A:$D,4,FALSE)</f>
        <v>「クリスタルのりんご」を強化に使うと_x000D_スキルレベルを上げることができます</v>
      </c>
      <c r="O175" s="22" t="s">
        <v>117</v>
      </c>
      <c r="P175">
        <v>25</v>
      </c>
    </row>
    <row r="176" spans="1:16" x14ac:dyDescent="0.15">
      <c r="A176" s="29" t="str">
        <f t="shared" si="27"/>
        <v>11101_1_25</v>
      </c>
      <c r="B176" s="27" t="s">
        <v>33</v>
      </c>
      <c r="C176" s="5">
        <v>11101</v>
      </c>
      <c r="D176" s="4" t="str">
        <f ca="1">VLOOKUP($C176,OFFSET([1]quests!$A$1,0,0,COUNTA([1]quests!$A:$A),MATCH(D$1,[1]quests!$1:$1,0)-MATCH($C$1,[1]quests!$1:$1,0)+1),MATCH(D$1,[1]quests!$1:$1,0)-MATCH($C$1,[1]quests!$1:$1,0)+1,FALSE)</f>
        <v>【期間限定】 黄の素材</v>
      </c>
      <c r="E176" s="4" t="str">
        <f ca="1">VLOOKUP($C176,OFFSET([1]quests!$A$1,0,0,COUNTA([1]quests!$A:$A),MATCH(E$1,[1]quests!$1:$1,0)-MATCH($C$1,[1]quests!$1:$1,0)+1),MATCH(E$1,[1]quests!$1:$1,0)-MATCH($C$1,[1]quests!$1:$1,0)+1,FALSE)</f>
        <v>月曜クエスト</v>
      </c>
      <c r="F176" s="6">
        <v>1</v>
      </c>
      <c r="G176" s="4" t="str">
        <f ca="1">VLOOKUP($C176&amp;"_"&amp;$F176,OFFSET([1]stages!$A$1,0,0,COUNTA([1]stages!$A:$A),MATCH(G$1,[1]stages!$2:$2,0)-MATCH("temp_stage",[1]stages!$2:$2,0)+1),MATCH(G$1,[1]stages!$2:$2,0)-MATCH("temp_stage",[1]stages!$2:$2,0)+1,FALSE)</f>
        <v>【初級】雷のチェシャ猫</v>
      </c>
      <c r="H176" s="4" t="str">
        <f ca="1">VLOOKUP($C176&amp;"_"&amp;$F176,OFFSET([1]stages!$A$1,0,0,COUNTA([1]stages!$A:$A),MATCH(H$1,[1]stages!$2:$2,0)-MATCH("temp_stage",[1]stages!$2:$2,0)+1),MATCH(H$1,[1]stages!$2:$2,0)-MATCH("temp_stage",[1]stages!$2:$2,0)+1,FALSE)</f>
        <v>月曜クエスト</v>
      </c>
      <c r="I176" s="19">
        <v>0</v>
      </c>
      <c r="J176" s="6">
        <f>COUNTIF(C$1:C176,C176)</f>
        <v>25</v>
      </c>
      <c r="K176">
        <v>26</v>
      </c>
      <c r="L176" s="6" t="s">
        <v>17</v>
      </c>
      <c r="M176" s="36" t="str">
        <f>VLOOKUP(K176,[2]stage_hints!$A:$C,3,FALSE)</f>
        <v>スキルレベルの効果</v>
      </c>
      <c r="N176" s="37" t="str">
        <f>VLOOKUP(K176,[2]stage_hints!$A:$D,4,FALSE)</f>
        <v>スキルレベルが上がると_x000D_短いターンでスキルを使うことができます</v>
      </c>
      <c r="O176" s="22" t="s">
        <v>117</v>
      </c>
      <c r="P176">
        <v>26</v>
      </c>
    </row>
    <row r="177" spans="1:16" x14ac:dyDescent="0.15">
      <c r="A177" s="29" t="str">
        <f t="shared" ref="A177:A189" si="28">C177&amp;"_"&amp;F177&amp;"_"&amp;J177</f>
        <v>11102_1_1</v>
      </c>
      <c r="B177" s="27" t="s">
        <v>33</v>
      </c>
      <c r="C177" s="5">
        <v>11102</v>
      </c>
      <c r="D177" s="4" t="str">
        <f ca="1">VLOOKUP($C177,OFFSET([1]quests!$A$1,0,0,COUNTA([1]quests!$A:$A),MATCH(D$1,[1]quests!$1:$1,0)-MATCH($C$1,[1]quests!$1:$1,0)+1),MATCH(D$1,[1]quests!$1:$1,0)-MATCH($C$1,[1]quests!$1:$1,0)+1,FALSE)</f>
        <v>【期間限定】 赤の素材</v>
      </c>
      <c r="E177" s="4" t="str">
        <f ca="1">VLOOKUP($C177,OFFSET([1]quests!$A$1,0,0,COUNTA([1]quests!$A:$A),MATCH(E$1,[1]quests!$1:$1,0)-MATCH($C$1,[1]quests!$1:$1,0)+1),MATCH(E$1,[1]quests!$1:$1,0)-MATCH($C$1,[1]quests!$1:$1,0)+1,FALSE)</f>
        <v>火曜クエスト</v>
      </c>
      <c r="F177" s="6">
        <v>1</v>
      </c>
      <c r="G177" s="4" t="str">
        <f ca="1">VLOOKUP($C177&amp;"_"&amp;$F177,OFFSET([1]stages!$A$1,0,0,COUNTA([1]stages!$A:$A),MATCH(G$1,[1]stages!$2:$2,0)-MATCH("temp_stage",[1]stages!$2:$2,0)+1),MATCH(G$1,[1]stages!$2:$2,0)-MATCH("temp_stage",[1]stages!$2:$2,0)+1,FALSE)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177" s="4" t="str">
        <f ca="1">VLOOKUP($C177&amp;"_"&amp;$F177,OFFSET([1]stages!$A$1,0,0,COUNTA([1]stages!$A:$A),MATCH(H$1,[1]stages!$2:$2,0)-MATCH("temp_stage",[1]stages!$2:$2,0)+1),MATCH(H$1,[1]stages!$2:$2,0)-MATCH("temp_stage",[1]stages!$2:$2,0)+1,FALSE)</f>
        <v>火曜クエスト</v>
      </c>
      <c r="I177" s="19">
        <v>0</v>
      </c>
      <c r="J177" s="6">
        <f>COUNTIF(C$1:C177,C177)</f>
        <v>1</v>
      </c>
      <c r="K177">
        <v>1</v>
      </c>
      <c r="L177" s="6" t="s">
        <v>17</v>
      </c>
      <c r="M177" s="36" t="str">
        <f>VLOOKUP(K177,[2]stage_hints!$A:$C,3,FALSE)</f>
        <v>長くつなげて大ダメージ</v>
      </c>
      <c r="N177" s="37" t="str">
        <f>VLOOKUP(K177,[2]stage_hints!$A:$D,4,FALSE)</f>
        <v>パネルを長くつなげるほど_x000D_大ダメージを与えることができます</v>
      </c>
      <c r="O177" s="22" t="s">
        <v>117</v>
      </c>
      <c r="P177">
        <v>1</v>
      </c>
    </row>
    <row r="178" spans="1:16" x14ac:dyDescent="0.15">
      <c r="A178" s="29" t="str">
        <f t="shared" si="28"/>
        <v>11102_1_2</v>
      </c>
      <c r="B178" s="27" t="s">
        <v>33</v>
      </c>
      <c r="C178" s="5">
        <v>11102</v>
      </c>
      <c r="D178" s="4" t="str">
        <f ca="1">VLOOKUP($C178,OFFSET([1]quests!$A$1,0,0,COUNTA([1]quests!$A:$A),MATCH(D$1,[1]quests!$1:$1,0)-MATCH($C$1,[1]quests!$1:$1,0)+1),MATCH(D$1,[1]quests!$1:$1,0)-MATCH($C$1,[1]quests!$1:$1,0)+1,FALSE)</f>
        <v>【期間限定】 赤の素材</v>
      </c>
      <c r="E178" s="4" t="str">
        <f ca="1">VLOOKUP($C178,OFFSET([1]quests!$A$1,0,0,COUNTA([1]quests!$A:$A),MATCH(E$1,[1]quests!$1:$1,0)-MATCH($C$1,[1]quests!$1:$1,0)+1),MATCH(E$1,[1]quests!$1:$1,0)-MATCH($C$1,[1]quests!$1:$1,0)+1,FALSE)</f>
        <v>火曜クエスト</v>
      </c>
      <c r="F178" s="6">
        <v>1</v>
      </c>
      <c r="G178" s="4" t="str">
        <f ca="1">VLOOKUP($C178&amp;"_"&amp;$F178,OFFSET([1]stages!$A$1,0,0,COUNTA([1]stages!$A:$A),MATCH(G$1,[1]stages!$2:$2,0)-MATCH("temp_stage",[1]stages!$2:$2,0)+1),MATCH(G$1,[1]stages!$2:$2,0)-MATCH("temp_stage",[1]stages!$2:$2,0)+1,FALSE)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178" s="4" t="str">
        <f ca="1">VLOOKUP($C178&amp;"_"&amp;$F178,OFFSET([1]stages!$A$1,0,0,COUNTA([1]stages!$A:$A),MATCH(H$1,[1]stages!$2:$2,0)-MATCH("temp_stage",[1]stages!$2:$2,0)+1),MATCH(H$1,[1]stages!$2:$2,0)-MATCH("temp_stage",[1]stages!$2:$2,0)+1,FALSE)</f>
        <v>火曜クエスト</v>
      </c>
      <c r="I178" s="19">
        <v>0</v>
      </c>
      <c r="J178" s="6">
        <f>COUNTIF(C$1:C178,C178)</f>
        <v>2</v>
      </c>
      <c r="K178">
        <v>2</v>
      </c>
      <c r="L178" s="6" t="s">
        <v>17</v>
      </c>
      <c r="M178" s="36" t="str">
        <f>VLOOKUP(K178,[2]stage_hints!$A:$C,3,FALSE)</f>
        <v>属性の相性</v>
      </c>
      <c r="N178" s="37" t="str">
        <f>VLOOKUP(K178,[2]stage_hints!$A:$D,4,FALSE)</f>
        <v>赤＞青　青＞黄　黄＞緑　緑＞赤_x000D_敵属性に最適なパーティがオススメです</v>
      </c>
      <c r="O178" s="22" t="s">
        <v>117</v>
      </c>
      <c r="P178">
        <v>2</v>
      </c>
    </row>
    <row r="179" spans="1:16" x14ac:dyDescent="0.15">
      <c r="A179" s="29" t="str">
        <f t="shared" si="28"/>
        <v>11102_1_3</v>
      </c>
      <c r="B179" s="27" t="s">
        <v>33</v>
      </c>
      <c r="C179" s="5">
        <v>11102</v>
      </c>
      <c r="D179" s="4" t="str">
        <f ca="1">VLOOKUP($C179,OFFSET([1]quests!$A$1,0,0,COUNTA([1]quests!$A:$A),MATCH(D$1,[1]quests!$1:$1,0)-MATCH($C$1,[1]quests!$1:$1,0)+1),MATCH(D$1,[1]quests!$1:$1,0)-MATCH($C$1,[1]quests!$1:$1,0)+1,FALSE)</f>
        <v>【期間限定】 赤の素材</v>
      </c>
      <c r="E179" s="4" t="str">
        <f ca="1">VLOOKUP($C179,OFFSET([1]quests!$A$1,0,0,COUNTA([1]quests!$A:$A),MATCH(E$1,[1]quests!$1:$1,0)-MATCH($C$1,[1]quests!$1:$1,0)+1),MATCH(E$1,[1]quests!$1:$1,0)-MATCH($C$1,[1]quests!$1:$1,0)+1,FALSE)</f>
        <v>火曜クエスト</v>
      </c>
      <c r="F179" s="6">
        <v>1</v>
      </c>
      <c r="G179" s="4" t="str">
        <f ca="1">VLOOKUP($C179&amp;"_"&amp;$F179,OFFSET([1]stages!$A$1,0,0,COUNTA([1]stages!$A:$A),MATCH(G$1,[1]stages!$2:$2,0)-MATCH("temp_stage",[1]stages!$2:$2,0)+1),MATCH(G$1,[1]stages!$2:$2,0)-MATCH("temp_stage",[1]stages!$2:$2,0)+1,FALSE)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179" s="4" t="str">
        <f ca="1">VLOOKUP($C179&amp;"_"&amp;$F179,OFFSET([1]stages!$A$1,0,0,COUNTA([1]stages!$A:$A),MATCH(H$1,[1]stages!$2:$2,0)-MATCH("temp_stage",[1]stages!$2:$2,0)+1),MATCH(H$1,[1]stages!$2:$2,0)-MATCH("temp_stage",[1]stages!$2:$2,0)+1,FALSE)</f>
        <v>火曜クエスト</v>
      </c>
      <c r="I179" s="19">
        <v>0</v>
      </c>
      <c r="J179" s="6">
        <f>COUNTIF(C$1:C179,C179)</f>
        <v>3</v>
      </c>
      <c r="K179">
        <v>3</v>
      </c>
      <c r="L179" s="6" t="s">
        <v>17</v>
      </c>
      <c r="M179" s="36" t="str">
        <f>VLOOKUP(K179,[2]stage_hints!$A:$C,3,FALSE)</f>
        <v>ターゲット</v>
      </c>
      <c r="N179" s="37" t="str">
        <f>VLOOKUP(K179,[2]stage_hints!$A:$D,4,FALSE)</f>
        <v>敵ユニットをタップすると_x000D_その敵を狙い撃ちできます</v>
      </c>
      <c r="O179" s="22" t="s">
        <v>117</v>
      </c>
      <c r="P179">
        <v>3</v>
      </c>
    </row>
    <row r="180" spans="1:16" x14ac:dyDescent="0.15">
      <c r="A180" s="29" t="str">
        <f t="shared" si="28"/>
        <v>11102_1_4</v>
      </c>
      <c r="B180" s="27" t="s">
        <v>33</v>
      </c>
      <c r="C180" s="5">
        <v>11102</v>
      </c>
      <c r="D180" s="4" t="str">
        <f ca="1">VLOOKUP($C180,OFFSET([1]quests!$A$1,0,0,COUNTA([1]quests!$A:$A),MATCH(D$1,[1]quests!$1:$1,0)-MATCH($C$1,[1]quests!$1:$1,0)+1),MATCH(D$1,[1]quests!$1:$1,0)-MATCH($C$1,[1]quests!$1:$1,0)+1,FALSE)</f>
        <v>【期間限定】 赤の素材</v>
      </c>
      <c r="E180" s="4" t="str">
        <f ca="1">VLOOKUP($C180,OFFSET([1]quests!$A$1,0,0,COUNTA([1]quests!$A:$A),MATCH(E$1,[1]quests!$1:$1,0)-MATCH($C$1,[1]quests!$1:$1,0)+1),MATCH(E$1,[1]quests!$1:$1,0)-MATCH($C$1,[1]quests!$1:$1,0)+1,FALSE)</f>
        <v>火曜クエスト</v>
      </c>
      <c r="F180" s="6">
        <v>1</v>
      </c>
      <c r="G180" s="4" t="str">
        <f ca="1">VLOOKUP($C180&amp;"_"&amp;$F180,OFFSET([1]stages!$A$1,0,0,COUNTA([1]stages!$A:$A),MATCH(G$1,[1]stages!$2:$2,0)-MATCH("temp_stage",[1]stages!$2:$2,0)+1),MATCH(G$1,[1]stages!$2:$2,0)-MATCH("temp_stage",[1]stages!$2:$2,0)+1,FALSE)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180" s="4" t="str">
        <f ca="1">VLOOKUP($C180&amp;"_"&amp;$F180,OFFSET([1]stages!$A$1,0,0,COUNTA([1]stages!$A:$A),MATCH(H$1,[1]stages!$2:$2,0)-MATCH("temp_stage",[1]stages!$2:$2,0)+1),MATCH(H$1,[1]stages!$2:$2,0)-MATCH("temp_stage",[1]stages!$2:$2,0)+1,FALSE)</f>
        <v>火曜クエスト</v>
      </c>
      <c r="I180" s="19">
        <v>0</v>
      </c>
      <c r="J180" s="6">
        <f>COUNTIF(C$1:C180,C180)</f>
        <v>4</v>
      </c>
      <c r="K180">
        <v>5</v>
      </c>
      <c r="L180" s="6" t="s">
        <v>17</v>
      </c>
      <c r="M180" s="36" t="str">
        <f>VLOOKUP(K180,[2]stage_hints!$A:$C,3,FALSE)</f>
        <v>ユニット強化でレベルアップ</v>
      </c>
      <c r="N180" s="37" t="str">
        <f>VLOOKUP(K180,[2]stage_hints!$A:$D,4,FALSE)</f>
        <v>「ユニット強化」でレベルアップすると_x000D_勝てない敵にも勝てるようになります</v>
      </c>
      <c r="O180" s="22" t="s">
        <v>117</v>
      </c>
      <c r="P180">
        <v>5</v>
      </c>
    </row>
    <row r="181" spans="1:16" x14ac:dyDescent="0.15">
      <c r="A181" s="29" t="str">
        <f t="shared" si="28"/>
        <v>11102_1_5</v>
      </c>
      <c r="B181" s="27" t="s">
        <v>33</v>
      </c>
      <c r="C181" s="5">
        <v>11102</v>
      </c>
      <c r="D181" s="4" t="str">
        <f ca="1">VLOOKUP($C181,OFFSET([1]quests!$A$1,0,0,COUNTA([1]quests!$A:$A),MATCH(D$1,[1]quests!$1:$1,0)-MATCH($C$1,[1]quests!$1:$1,0)+1),MATCH(D$1,[1]quests!$1:$1,0)-MATCH($C$1,[1]quests!$1:$1,0)+1,FALSE)</f>
        <v>【期間限定】 赤の素材</v>
      </c>
      <c r="E181" s="4" t="str">
        <f ca="1">VLOOKUP($C181,OFFSET([1]quests!$A$1,0,0,COUNTA([1]quests!$A:$A),MATCH(E$1,[1]quests!$1:$1,0)-MATCH($C$1,[1]quests!$1:$1,0)+1),MATCH(E$1,[1]quests!$1:$1,0)-MATCH($C$1,[1]quests!$1:$1,0)+1,FALSE)</f>
        <v>火曜クエスト</v>
      </c>
      <c r="F181" s="6">
        <v>1</v>
      </c>
      <c r="G181" s="4" t="str">
        <f ca="1">VLOOKUP($C181&amp;"_"&amp;$F181,OFFSET([1]stages!$A$1,0,0,COUNTA([1]stages!$A:$A),MATCH(G$1,[1]stages!$2:$2,0)-MATCH("temp_stage",[1]stages!$2:$2,0)+1),MATCH(G$1,[1]stages!$2:$2,0)-MATCH("temp_stage",[1]stages!$2:$2,0)+1,FALSE)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181" s="4" t="str">
        <f ca="1">VLOOKUP($C181&amp;"_"&amp;$F181,OFFSET([1]stages!$A$1,0,0,COUNTA([1]stages!$A:$A),MATCH(H$1,[1]stages!$2:$2,0)-MATCH("temp_stage",[1]stages!$2:$2,0)+1),MATCH(H$1,[1]stages!$2:$2,0)-MATCH("temp_stage",[1]stages!$2:$2,0)+1,FALSE)</f>
        <v>火曜クエスト</v>
      </c>
      <c r="I181" s="19">
        <v>0</v>
      </c>
      <c r="J181" s="6">
        <f>COUNTIF(C$1:C181,C181)</f>
        <v>5</v>
      </c>
      <c r="K181">
        <v>6</v>
      </c>
      <c r="L181" s="6" t="s">
        <v>17</v>
      </c>
      <c r="M181" s="36" t="str">
        <f>VLOOKUP(K181,[2]stage_hints!$A:$C,3,FALSE)</f>
        <v>ユニット強化の属性ボーナス</v>
      </c>
      <c r="N181" s="37" t="str">
        <f>VLOOKUP(K181,[2]stage_hints!$A:$D,4,FALSE)</f>
        <v>同属性ユニットを強化素材にすると_x000D_経験値が多くもらえます</v>
      </c>
      <c r="O181" s="22" t="s">
        <v>117</v>
      </c>
      <c r="P181">
        <v>6</v>
      </c>
    </row>
    <row r="182" spans="1:16" x14ac:dyDescent="0.15">
      <c r="A182" s="29" t="str">
        <f t="shared" si="28"/>
        <v>11102_1_6</v>
      </c>
      <c r="B182" s="27" t="s">
        <v>33</v>
      </c>
      <c r="C182" s="5">
        <v>11102</v>
      </c>
      <c r="D182" s="4" t="str">
        <f ca="1">VLOOKUP($C182,OFFSET([1]quests!$A$1,0,0,COUNTA([1]quests!$A:$A),MATCH(D$1,[1]quests!$1:$1,0)-MATCH($C$1,[1]quests!$1:$1,0)+1),MATCH(D$1,[1]quests!$1:$1,0)-MATCH($C$1,[1]quests!$1:$1,0)+1,FALSE)</f>
        <v>【期間限定】 赤の素材</v>
      </c>
      <c r="E182" s="4" t="str">
        <f ca="1">VLOOKUP($C182,OFFSET([1]quests!$A$1,0,0,COUNTA([1]quests!$A:$A),MATCH(E$1,[1]quests!$1:$1,0)-MATCH($C$1,[1]quests!$1:$1,0)+1),MATCH(E$1,[1]quests!$1:$1,0)-MATCH($C$1,[1]quests!$1:$1,0)+1,FALSE)</f>
        <v>火曜クエスト</v>
      </c>
      <c r="F182" s="6">
        <v>1</v>
      </c>
      <c r="G182" s="4" t="str">
        <f ca="1">VLOOKUP($C182&amp;"_"&amp;$F182,OFFSET([1]stages!$A$1,0,0,COUNTA([1]stages!$A:$A),MATCH(G$1,[1]stages!$2:$2,0)-MATCH("temp_stage",[1]stages!$2:$2,0)+1),MATCH(G$1,[1]stages!$2:$2,0)-MATCH("temp_stage",[1]stages!$2:$2,0)+1,FALSE)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182" s="4" t="str">
        <f ca="1">VLOOKUP($C182&amp;"_"&amp;$F182,OFFSET([1]stages!$A$1,0,0,COUNTA([1]stages!$A:$A),MATCH(H$1,[1]stages!$2:$2,0)-MATCH("temp_stage",[1]stages!$2:$2,0)+1),MATCH(H$1,[1]stages!$2:$2,0)-MATCH("temp_stage",[1]stages!$2:$2,0)+1,FALSE)</f>
        <v>火曜クエスト</v>
      </c>
      <c r="I182" s="19">
        <v>0</v>
      </c>
      <c r="J182" s="6">
        <f>COUNTIF(C$1:C182,C182)</f>
        <v>6</v>
      </c>
      <c r="K182">
        <v>7</v>
      </c>
      <c r="L182" s="6" t="s">
        <v>17</v>
      </c>
      <c r="M182" s="36" t="str">
        <f>VLOOKUP(K182,[2]stage_hints!$A:$C,3,FALSE)</f>
        <v>メタルダックで経験値を獲得</v>
      </c>
      <c r="N182" s="37" t="str">
        <f>VLOOKUP(K182,[2]stage_hints!$A:$D,4,FALSE)</f>
        <v>「メタルなアヒル」を強化素材にすると_x000D_大量の経験値がもらえます</v>
      </c>
      <c r="O182" s="22" t="s">
        <v>117</v>
      </c>
      <c r="P182">
        <v>7</v>
      </c>
    </row>
    <row r="183" spans="1:16" x14ac:dyDescent="0.15">
      <c r="A183" s="29" t="str">
        <f t="shared" si="28"/>
        <v>11102_1_7</v>
      </c>
      <c r="B183" s="27" t="s">
        <v>33</v>
      </c>
      <c r="C183" s="5">
        <v>11102</v>
      </c>
      <c r="D183" s="4" t="str">
        <f ca="1">VLOOKUP($C183,OFFSET([1]quests!$A$1,0,0,COUNTA([1]quests!$A:$A),MATCH(D$1,[1]quests!$1:$1,0)-MATCH($C$1,[1]quests!$1:$1,0)+1),MATCH(D$1,[1]quests!$1:$1,0)-MATCH($C$1,[1]quests!$1:$1,0)+1,FALSE)</f>
        <v>【期間限定】 赤の素材</v>
      </c>
      <c r="E183" s="4" t="str">
        <f ca="1">VLOOKUP($C183,OFFSET([1]quests!$A$1,0,0,COUNTA([1]quests!$A:$A),MATCH(E$1,[1]quests!$1:$1,0)-MATCH($C$1,[1]quests!$1:$1,0)+1),MATCH(E$1,[1]quests!$1:$1,0)-MATCH($C$1,[1]quests!$1:$1,0)+1,FALSE)</f>
        <v>火曜クエスト</v>
      </c>
      <c r="F183" s="6">
        <v>1</v>
      </c>
      <c r="G183" s="4" t="str">
        <f ca="1">VLOOKUP($C183&amp;"_"&amp;$F183,OFFSET([1]stages!$A$1,0,0,COUNTA([1]stages!$A:$A),MATCH(G$1,[1]stages!$2:$2,0)-MATCH("temp_stage",[1]stages!$2:$2,0)+1),MATCH(G$1,[1]stages!$2:$2,0)-MATCH("temp_stage",[1]stages!$2:$2,0)+1,FALSE)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183" s="4" t="str">
        <f ca="1">VLOOKUP($C183&amp;"_"&amp;$F183,OFFSET([1]stages!$A$1,0,0,COUNTA([1]stages!$A:$A),MATCH(H$1,[1]stages!$2:$2,0)-MATCH("temp_stage",[1]stages!$2:$2,0)+1),MATCH(H$1,[1]stages!$2:$2,0)-MATCH("temp_stage",[1]stages!$2:$2,0)+1,FALSE)</f>
        <v>火曜クエスト</v>
      </c>
      <c r="I183" s="19">
        <v>0</v>
      </c>
      <c r="J183" s="6">
        <f>COUNTIF(C$1:C183,C183)</f>
        <v>7</v>
      </c>
      <c r="K183">
        <v>8</v>
      </c>
      <c r="L183" s="6" t="s">
        <v>17</v>
      </c>
      <c r="M183" s="36" t="str">
        <f>VLOOKUP(K183,[2]stage_hints!$A:$C,3,FALSE)</f>
        <v>ゲリラクエストは要チェック</v>
      </c>
      <c r="N183" s="37" t="str">
        <f>VLOOKUP(K183,[2]stage_hints!$A:$D,4,FALSE)</f>
        <v>時間限定の「アヒル捕獲作戦」では_x000D_経験値素材ユニットが多く手に入ります</v>
      </c>
      <c r="O183" s="22" t="s">
        <v>117</v>
      </c>
      <c r="P183">
        <v>8</v>
      </c>
    </row>
    <row r="184" spans="1:16" x14ac:dyDescent="0.15">
      <c r="A184" s="29" t="str">
        <f t="shared" si="28"/>
        <v>11102_1_8</v>
      </c>
      <c r="B184" s="27" t="s">
        <v>33</v>
      </c>
      <c r="C184" s="5">
        <v>11102</v>
      </c>
      <c r="D184" s="4" t="str">
        <f ca="1">VLOOKUP($C184,OFFSET([1]quests!$A$1,0,0,COUNTA([1]quests!$A:$A),MATCH(D$1,[1]quests!$1:$1,0)-MATCH($C$1,[1]quests!$1:$1,0)+1),MATCH(D$1,[1]quests!$1:$1,0)-MATCH($C$1,[1]quests!$1:$1,0)+1,FALSE)</f>
        <v>【期間限定】 赤の素材</v>
      </c>
      <c r="E184" s="4" t="str">
        <f ca="1">VLOOKUP($C184,OFFSET([1]quests!$A$1,0,0,COUNTA([1]quests!$A:$A),MATCH(E$1,[1]quests!$1:$1,0)-MATCH($C$1,[1]quests!$1:$1,0)+1),MATCH(E$1,[1]quests!$1:$1,0)-MATCH($C$1,[1]quests!$1:$1,0)+1,FALSE)</f>
        <v>火曜クエスト</v>
      </c>
      <c r="F184" s="6">
        <v>1</v>
      </c>
      <c r="G184" s="4" t="str">
        <f ca="1">VLOOKUP($C184&amp;"_"&amp;$F184,OFFSET([1]stages!$A$1,0,0,COUNTA([1]stages!$A:$A),MATCH(G$1,[1]stages!$2:$2,0)-MATCH("temp_stage",[1]stages!$2:$2,0)+1),MATCH(G$1,[1]stages!$2:$2,0)-MATCH("temp_stage",[1]stages!$2:$2,0)+1,FALSE)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184" s="4" t="str">
        <f ca="1">VLOOKUP($C184&amp;"_"&amp;$F184,OFFSET([1]stages!$A$1,0,0,COUNTA([1]stages!$A:$A),MATCH(H$1,[1]stages!$2:$2,0)-MATCH("temp_stage",[1]stages!$2:$2,0)+1),MATCH(H$1,[1]stages!$2:$2,0)-MATCH("temp_stage",[1]stages!$2:$2,0)+1,FALSE)</f>
        <v>火曜クエスト</v>
      </c>
      <c r="I184" s="19">
        <v>0</v>
      </c>
      <c r="J184" s="6">
        <f>COUNTIF(C$1:C184,C184)</f>
        <v>8</v>
      </c>
      <c r="K184">
        <v>9</v>
      </c>
      <c r="L184" s="6" t="s">
        <v>17</v>
      </c>
      <c r="M184" s="36" t="str">
        <f>VLOOKUP(K184,[2]stage_hints!$A:$C,3,FALSE)</f>
        <v>ゴールドダックでビットを獲得</v>
      </c>
      <c r="N184" s="37" t="str">
        <f>VLOOKUP(K184,[2]stage_hints!$A:$D,4,FALSE)</f>
        <v>「ゴールドなアヒル」を売却すると_x000D_大量のビットがもらえます</v>
      </c>
      <c r="O184" s="22" t="s">
        <v>117</v>
      </c>
      <c r="P184">
        <v>9</v>
      </c>
    </row>
    <row r="185" spans="1:16" x14ac:dyDescent="0.15">
      <c r="A185" s="29" t="str">
        <f t="shared" si="28"/>
        <v>11102_1_9</v>
      </c>
      <c r="B185" s="27" t="s">
        <v>33</v>
      </c>
      <c r="C185" s="5">
        <v>11102</v>
      </c>
      <c r="D185" s="4" t="str">
        <f ca="1">VLOOKUP($C185,OFFSET([1]quests!$A$1,0,0,COUNTA([1]quests!$A:$A),MATCH(D$1,[1]quests!$1:$1,0)-MATCH($C$1,[1]quests!$1:$1,0)+1),MATCH(D$1,[1]quests!$1:$1,0)-MATCH($C$1,[1]quests!$1:$1,0)+1,FALSE)</f>
        <v>【期間限定】 赤の素材</v>
      </c>
      <c r="E185" s="4" t="str">
        <f ca="1">VLOOKUP($C185,OFFSET([1]quests!$A$1,0,0,COUNTA([1]quests!$A:$A),MATCH(E$1,[1]quests!$1:$1,0)-MATCH($C$1,[1]quests!$1:$1,0)+1),MATCH(E$1,[1]quests!$1:$1,0)-MATCH($C$1,[1]quests!$1:$1,0)+1,FALSE)</f>
        <v>火曜クエスト</v>
      </c>
      <c r="F185" s="6">
        <v>1</v>
      </c>
      <c r="G185" s="4" t="str">
        <f ca="1">VLOOKUP($C185&amp;"_"&amp;$F185,OFFSET([1]stages!$A$1,0,0,COUNTA([1]stages!$A:$A),MATCH(G$1,[1]stages!$2:$2,0)-MATCH("temp_stage",[1]stages!$2:$2,0)+1),MATCH(G$1,[1]stages!$2:$2,0)-MATCH("temp_stage",[1]stages!$2:$2,0)+1,FALSE)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185" s="4" t="str">
        <f ca="1">VLOOKUP($C185&amp;"_"&amp;$F185,OFFSET([1]stages!$A$1,0,0,COUNTA([1]stages!$A:$A),MATCH(H$1,[1]stages!$2:$2,0)-MATCH("temp_stage",[1]stages!$2:$2,0)+1),MATCH(H$1,[1]stages!$2:$2,0)-MATCH("temp_stage",[1]stages!$2:$2,0)+1,FALSE)</f>
        <v>火曜クエスト</v>
      </c>
      <c r="I185" s="19">
        <v>0</v>
      </c>
      <c r="J185" s="6">
        <f>COUNTIF(C$1:C185,C185)</f>
        <v>9</v>
      </c>
      <c r="K185">
        <v>10</v>
      </c>
      <c r="L185" s="6" t="s">
        <v>17</v>
      </c>
      <c r="M185" s="36" t="str">
        <f>VLOOKUP(K185,[2]stage_hints!$A:$C,3,FALSE)</f>
        <v>土日に大量のビットを獲得</v>
      </c>
      <c r="N185" s="37" t="str">
        <f>VLOOKUP(K185,[2]stage_hints!$A:$D,4,FALSE)</f>
        <v>土日限定の「ゴールドカジノ」では_x000D_売却素材ユニットが多く手に入ります</v>
      </c>
      <c r="O185" s="22" t="s">
        <v>117</v>
      </c>
      <c r="P185">
        <v>10</v>
      </c>
    </row>
    <row r="186" spans="1:16" x14ac:dyDescent="0.15">
      <c r="A186" s="29" t="str">
        <f t="shared" si="28"/>
        <v>11102_1_10</v>
      </c>
      <c r="B186" s="27" t="s">
        <v>33</v>
      </c>
      <c r="C186" s="5">
        <v>11102</v>
      </c>
      <c r="D186" s="4" t="str">
        <f ca="1">VLOOKUP($C186,OFFSET([1]quests!$A$1,0,0,COUNTA([1]quests!$A:$A),MATCH(D$1,[1]quests!$1:$1,0)-MATCH($C$1,[1]quests!$1:$1,0)+1),MATCH(D$1,[1]quests!$1:$1,0)-MATCH($C$1,[1]quests!$1:$1,0)+1,FALSE)</f>
        <v>【期間限定】 赤の素材</v>
      </c>
      <c r="E186" s="4" t="str">
        <f ca="1">VLOOKUP($C186,OFFSET([1]quests!$A$1,0,0,COUNTA([1]quests!$A:$A),MATCH(E$1,[1]quests!$1:$1,0)-MATCH($C$1,[1]quests!$1:$1,0)+1),MATCH(E$1,[1]quests!$1:$1,0)-MATCH($C$1,[1]quests!$1:$1,0)+1,FALSE)</f>
        <v>火曜クエスト</v>
      </c>
      <c r="F186" s="6">
        <v>1</v>
      </c>
      <c r="G186" s="4" t="str">
        <f ca="1">VLOOKUP($C186&amp;"_"&amp;$F186,OFFSET([1]stages!$A$1,0,0,COUNTA([1]stages!$A:$A),MATCH(G$1,[1]stages!$2:$2,0)-MATCH("temp_stage",[1]stages!$2:$2,0)+1),MATCH(G$1,[1]stages!$2:$2,0)-MATCH("temp_stage",[1]stages!$2:$2,0)+1,FALSE)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186" s="4" t="str">
        <f ca="1">VLOOKUP($C186&amp;"_"&amp;$F186,OFFSET([1]stages!$A$1,0,0,COUNTA([1]stages!$A:$A),MATCH(H$1,[1]stages!$2:$2,0)-MATCH("temp_stage",[1]stages!$2:$2,0)+1),MATCH(H$1,[1]stages!$2:$2,0)-MATCH("temp_stage",[1]stages!$2:$2,0)+1,FALSE)</f>
        <v>火曜クエスト</v>
      </c>
      <c r="I186" s="19">
        <v>0</v>
      </c>
      <c r="J186" s="6">
        <f>COUNTIF(C$1:C186,C186)</f>
        <v>10</v>
      </c>
      <c r="K186">
        <v>11</v>
      </c>
      <c r="L186" s="6" t="s">
        <v>17</v>
      </c>
      <c r="M186" s="36" t="str">
        <f>VLOOKUP(K186,[2]stage_hints!$A:$C,3,FALSE)</f>
        <v>ランク解放クエスト</v>
      </c>
      <c r="N186" s="37" t="str">
        <f>VLOOKUP(K186,[2]stage_hints!$A:$D,4,FALSE)</f>
        <v>一定ランクに到達すると_x000D_報酬付きのランク開放クエストが現れます</v>
      </c>
      <c r="O186" s="22" t="s">
        <v>117</v>
      </c>
      <c r="P186">
        <v>11</v>
      </c>
    </row>
    <row r="187" spans="1:16" x14ac:dyDescent="0.15">
      <c r="A187" s="29" t="str">
        <f t="shared" si="28"/>
        <v>11102_1_11</v>
      </c>
      <c r="B187" s="27" t="s">
        <v>33</v>
      </c>
      <c r="C187" s="5">
        <v>11102</v>
      </c>
      <c r="D187" s="4" t="str">
        <f ca="1">VLOOKUP($C187,OFFSET([1]quests!$A$1,0,0,COUNTA([1]quests!$A:$A),MATCH(D$1,[1]quests!$1:$1,0)-MATCH($C$1,[1]quests!$1:$1,0)+1),MATCH(D$1,[1]quests!$1:$1,0)-MATCH($C$1,[1]quests!$1:$1,0)+1,FALSE)</f>
        <v>【期間限定】 赤の素材</v>
      </c>
      <c r="E187" s="4" t="str">
        <f ca="1">VLOOKUP($C187,OFFSET([1]quests!$A$1,0,0,COUNTA([1]quests!$A:$A),MATCH(E$1,[1]quests!$1:$1,0)-MATCH($C$1,[1]quests!$1:$1,0)+1),MATCH(E$1,[1]quests!$1:$1,0)-MATCH($C$1,[1]quests!$1:$1,0)+1,FALSE)</f>
        <v>火曜クエスト</v>
      </c>
      <c r="F187" s="6">
        <v>1</v>
      </c>
      <c r="G187" s="4" t="str">
        <f ca="1">VLOOKUP($C187&amp;"_"&amp;$F187,OFFSET([1]stages!$A$1,0,0,COUNTA([1]stages!$A:$A),MATCH(G$1,[1]stages!$2:$2,0)-MATCH("temp_stage",[1]stages!$2:$2,0)+1),MATCH(G$1,[1]stages!$2:$2,0)-MATCH("temp_stage",[1]stages!$2:$2,0)+1,FALSE)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187" s="4" t="str">
        <f ca="1">VLOOKUP($C187&amp;"_"&amp;$F187,OFFSET([1]stages!$A$1,0,0,COUNTA([1]stages!$A:$A),MATCH(H$1,[1]stages!$2:$2,0)-MATCH("temp_stage",[1]stages!$2:$2,0)+1),MATCH(H$1,[1]stages!$2:$2,0)-MATCH("temp_stage",[1]stages!$2:$2,0)+1,FALSE)</f>
        <v>火曜クエスト</v>
      </c>
      <c r="I187" s="19">
        <v>0</v>
      </c>
      <c r="J187" s="6">
        <f>COUNTIF(C$1:C187,C187)</f>
        <v>11</v>
      </c>
      <c r="K187">
        <v>12</v>
      </c>
      <c r="L187" s="6" t="s">
        <v>17</v>
      </c>
      <c r="M187" s="36" t="str">
        <f>VLOOKUP(K187,[2]stage_hints!$A:$C,3,FALSE)</f>
        <v>ユニットのお気に入り登録</v>
      </c>
      <c r="N187" s="37" t="str">
        <f>VLOOKUP(K187,[2]stage_hints!$A:$D,4,FALSE)</f>
        <v>大事なユニットを誤って消さないように_x000D_フォルダから「お気に入り登録」しましょう</v>
      </c>
      <c r="O187" s="22" t="s">
        <v>117</v>
      </c>
      <c r="P187">
        <v>12</v>
      </c>
    </row>
    <row r="188" spans="1:16" x14ac:dyDescent="0.15">
      <c r="A188" s="29" t="str">
        <f t="shared" si="28"/>
        <v>11102_1_12</v>
      </c>
      <c r="B188" s="27" t="s">
        <v>33</v>
      </c>
      <c r="C188" s="5">
        <v>11102</v>
      </c>
      <c r="D188" s="4" t="str">
        <f ca="1">VLOOKUP($C188,OFFSET([1]quests!$A$1,0,0,COUNTA([1]quests!$A:$A),MATCH(D$1,[1]quests!$1:$1,0)-MATCH($C$1,[1]quests!$1:$1,0)+1),MATCH(D$1,[1]quests!$1:$1,0)-MATCH($C$1,[1]quests!$1:$1,0)+1,FALSE)</f>
        <v>【期間限定】 赤の素材</v>
      </c>
      <c r="E188" s="4" t="str">
        <f ca="1">VLOOKUP($C188,OFFSET([1]quests!$A$1,0,0,COUNTA([1]quests!$A:$A),MATCH(E$1,[1]quests!$1:$1,0)-MATCH($C$1,[1]quests!$1:$1,0)+1),MATCH(E$1,[1]quests!$1:$1,0)-MATCH($C$1,[1]quests!$1:$1,0)+1,FALSE)</f>
        <v>火曜クエスト</v>
      </c>
      <c r="F188" s="6">
        <v>1</v>
      </c>
      <c r="G188" s="4" t="str">
        <f ca="1">VLOOKUP($C188&amp;"_"&amp;$F188,OFFSET([1]stages!$A$1,0,0,COUNTA([1]stages!$A:$A),MATCH(G$1,[1]stages!$2:$2,0)-MATCH("temp_stage",[1]stages!$2:$2,0)+1),MATCH(G$1,[1]stages!$2:$2,0)-MATCH("temp_stage",[1]stages!$2:$2,0)+1,FALSE)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188" s="4" t="str">
        <f ca="1">VLOOKUP($C188&amp;"_"&amp;$F188,OFFSET([1]stages!$A$1,0,0,COUNTA([1]stages!$A:$A),MATCH(H$1,[1]stages!$2:$2,0)-MATCH("temp_stage",[1]stages!$2:$2,0)+1),MATCH(H$1,[1]stages!$2:$2,0)-MATCH("temp_stage",[1]stages!$2:$2,0)+1,FALSE)</f>
        <v>火曜クエスト</v>
      </c>
      <c r="I188" s="19">
        <v>0</v>
      </c>
      <c r="J188" s="6">
        <f>COUNTIF(C$1:C188,C188)</f>
        <v>12</v>
      </c>
      <c r="K188">
        <v>13</v>
      </c>
      <c r="L188" s="6" t="s">
        <v>17</v>
      </c>
      <c r="M188" s="36" t="str">
        <f>VLOOKUP(K188,[2]stage_hints!$A:$C,3,FALSE)</f>
        <v>ユニットの覚醒</v>
      </c>
      <c r="N188" s="37" t="str">
        <f>VLOOKUP(K188,[2]stage_hints!$A:$D,4,FALSE)</f>
        <v>ユニットを覚醒させると_x000D_比べものにならない強さが手に入ります</v>
      </c>
      <c r="O188" s="22" t="s">
        <v>117</v>
      </c>
      <c r="P188">
        <v>13</v>
      </c>
    </row>
    <row r="189" spans="1:16" x14ac:dyDescent="0.15">
      <c r="A189" s="29" t="str">
        <f t="shared" si="28"/>
        <v>11102_1_13</v>
      </c>
      <c r="B189" s="27" t="s">
        <v>33</v>
      </c>
      <c r="C189" s="5">
        <v>11102</v>
      </c>
      <c r="D189" s="4" t="str">
        <f ca="1">VLOOKUP($C189,OFFSET([1]quests!$A$1,0,0,COUNTA([1]quests!$A:$A),MATCH(D$1,[1]quests!$1:$1,0)-MATCH($C$1,[1]quests!$1:$1,0)+1),MATCH(D$1,[1]quests!$1:$1,0)-MATCH($C$1,[1]quests!$1:$1,0)+1,FALSE)</f>
        <v>【期間限定】 赤の素材</v>
      </c>
      <c r="E189" s="4" t="str">
        <f ca="1">VLOOKUP($C189,OFFSET([1]quests!$A$1,0,0,COUNTA([1]quests!$A:$A),MATCH(E$1,[1]quests!$1:$1,0)-MATCH($C$1,[1]quests!$1:$1,0)+1),MATCH(E$1,[1]quests!$1:$1,0)-MATCH($C$1,[1]quests!$1:$1,0)+1,FALSE)</f>
        <v>火曜クエスト</v>
      </c>
      <c r="F189" s="6">
        <v>1</v>
      </c>
      <c r="G189" s="4" t="str">
        <f ca="1">VLOOKUP($C189&amp;"_"&amp;$F189,OFFSET([1]stages!$A$1,0,0,COUNTA([1]stages!$A:$A),MATCH(G$1,[1]stages!$2:$2,0)-MATCH("temp_stage",[1]stages!$2:$2,0)+1),MATCH(G$1,[1]stages!$2:$2,0)-MATCH("temp_stage",[1]stages!$2:$2,0)+1,FALSE)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189" s="4" t="str">
        <f ca="1">VLOOKUP($C189&amp;"_"&amp;$F189,OFFSET([1]stages!$A$1,0,0,COUNTA([1]stages!$A:$A),MATCH(H$1,[1]stages!$2:$2,0)-MATCH("temp_stage",[1]stages!$2:$2,0)+1),MATCH(H$1,[1]stages!$2:$2,0)-MATCH("temp_stage",[1]stages!$2:$2,0)+1,FALSE)</f>
        <v>火曜クエスト</v>
      </c>
      <c r="I189" s="19">
        <v>0</v>
      </c>
      <c r="J189" s="6">
        <f>COUNTIF(C$1:C189,C189)</f>
        <v>13</v>
      </c>
      <c r="K189">
        <v>14</v>
      </c>
      <c r="L189" s="6" t="s">
        <v>17</v>
      </c>
      <c r="M189" s="36" t="str">
        <f>VLOOKUP(K189,[2]stage_hints!$A:$C,3,FALSE)</f>
        <v>覚醒するにはレベルを最大に</v>
      </c>
      <c r="N189" s="37" t="str">
        <f>VLOOKUP(K189,[2]stage_hints!$A:$D,4,FALSE)</f>
        <v>覚醒するにはユニットのレベルを_x000D_最大まで上げる必要があります</v>
      </c>
      <c r="O189" s="22" t="s">
        <v>117</v>
      </c>
      <c r="P189">
        <v>14</v>
      </c>
    </row>
    <row r="190" spans="1:16" x14ac:dyDescent="0.15">
      <c r="A190" s="29" t="str">
        <f t="shared" ref="A190" si="29">C190&amp;"_"&amp;F190&amp;"_"&amp;J190</f>
        <v>11102_1_14</v>
      </c>
      <c r="B190" s="27" t="s">
        <v>33</v>
      </c>
      <c r="C190" s="5">
        <v>11102</v>
      </c>
      <c r="D190" s="4" t="str">
        <f ca="1">VLOOKUP($C190,OFFSET([1]quests!$A$1,0,0,COUNTA([1]quests!$A:$A),MATCH(D$1,[1]quests!$1:$1,0)-MATCH($C$1,[1]quests!$1:$1,0)+1),MATCH(D$1,[1]quests!$1:$1,0)-MATCH($C$1,[1]quests!$1:$1,0)+1,FALSE)</f>
        <v>【期間限定】 赤の素材</v>
      </c>
      <c r="E190" s="4" t="str">
        <f ca="1">VLOOKUP($C190,OFFSET([1]quests!$A$1,0,0,COUNTA([1]quests!$A:$A),MATCH(E$1,[1]quests!$1:$1,0)-MATCH($C$1,[1]quests!$1:$1,0)+1),MATCH(E$1,[1]quests!$1:$1,0)-MATCH($C$1,[1]quests!$1:$1,0)+1,FALSE)</f>
        <v>火曜クエスト</v>
      </c>
      <c r="F190" s="6">
        <v>1</v>
      </c>
      <c r="G190" s="4" t="str">
        <f ca="1">VLOOKUP($C190&amp;"_"&amp;$F190,OFFSET([1]stages!$A$1,0,0,COUNTA([1]stages!$A:$A),MATCH(G$1,[1]stages!$2:$2,0)-MATCH("temp_stage",[1]stages!$2:$2,0)+1),MATCH(G$1,[1]stages!$2:$2,0)-MATCH("temp_stage",[1]stages!$2:$2,0)+1,FALSE)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190" s="4" t="str">
        <f ca="1">VLOOKUP($C190&amp;"_"&amp;$F190,OFFSET([1]stages!$A$1,0,0,COUNTA([1]stages!$A:$A),MATCH(H$1,[1]stages!$2:$2,0)-MATCH("temp_stage",[1]stages!$2:$2,0)+1),MATCH(H$1,[1]stages!$2:$2,0)-MATCH("temp_stage",[1]stages!$2:$2,0)+1,FALSE)</f>
        <v>火曜クエスト</v>
      </c>
      <c r="I190" s="19">
        <v>0</v>
      </c>
      <c r="J190" s="6">
        <f>COUNTIF(C$1:C190,C190)</f>
        <v>14</v>
      </c>
      <c r="K190">
        <v>15</v>
      </c>
      <c r="L190" s="6" t="s">
        <v>17</v>
      </c>
      <c r="M190" s="36" t="str">
        <f>VLOOKUP(K190,[2]stage_hints!$A:$C,3,FALSE)</f>
        <v>覚醒素材を獲得</v>
      </c>
      <c r="N190" s="37" t="str">
        <f>VLOOKUP(K190,[2]stage_hints!$A:$D,4,FALSE)</f>
        <v>「曜日クエスト」では_x000D_ユニットの覚醒に必要な素材が手に入ります</v>
      </c>
      <c r="O190" s="22" t="s">
        <v>117</v>
      </c>
      <c r="P190">
        <v>15</v>
      </c>
    </row>
    <row r="191" spans="1:16" x14ac:dyDescent="0.15">
      <c r="A191" s="29" t="str">
        <f t="shared" ref="A191:A192" si="30">C191&amp;"_"&amp;F191&amp;"_"&amp;J191</f>
        <v>11102_1_15</v>
      </c>
      <c r="B191" s="27" t="s">
        <v>33</v>
      </c>
      <c r="C191" s="5">
        <v>11102</v>
      </c>
      <c r="D191" s="4" t="str">
        <f ca="1">VLOOKUP($C191,OFFSET([1]quests!$A$1,0,0,COUNTA([1]quests!$A:$A),MATCH(D$1,[1]quests!$1:$1,0)-MATCH($C$1,[1]quests!$1:$1,0)+1),MATCH(D$1,[1]quests!$1:$1,0)-MATCH($C$1,[1]quests!$1:$1,0)+1,FALSE)</f>
        <v>【期間限定】 赤の素材</v>
      </c>
      <c r="E191" s="4" t="str">
        <f ca="1">VLOOKUP($C191,OFFSET([1]quests!$A$1,0,0,COUNTA([1]quests!$A:$A),MATCH(E$1,[1]quests!$1:$1,0)-MATCH($C$1,[1]quests!$1:$1,0)+1),MATCH(E$1,[1]quests!$1:$1,0)-MATCH($C$1,[1]quests!$1:$1,0)+1,FALSE)</f>
        <v>火曜クエスト</v>
      </c>
      <c r="F191" s="6">
        <v>1</v>
      </c>
      <c r="G191" s="4" t="str">
        <f ca="1">VLOOKUP($C191&amp;"_"&amp;$F191,OFFSET([1]stages!$A$1,0,0,COUNTA([1]stages!$A:$A),MATCH(G$1,[1]stages!$2:$2,0)-MATCH("temp_stage",[1]stages!$2:$2,0)+1),MATCH(G$1,[1]stages!$2:$2,0)-MATCH("temp_stage",[1]stages!$2:$2,0)+1,FALSE)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191" s="4" t="str">
        <f ca="1">VLOOKUP($C191&amp;"_"&amp;$F191,OFFSET([1]stages!$A$1,0,0,COUNTA([1]stages!$A:$A),MATCH(H$1,[1]stages!$2:$2,0)-MATCH("temp_stage",[1]stages!$2:$2,0)+1),MATCH(H$1,[1]stages!$2:$2,0)-MATCH("temp_stage",[1]stages!$2:$2,0)+1,FALSE)</f>
        <v>火曜クエスト</v>
      </c>
      <c r="I191" s="19">
        <v>0</v>
      </c>
      <c r="J191" s="6">
        <f>COUNTIF(C$1:C191,C191)</f>
        <v>15</v>
      </c>
      <c r="K191">
        <v>16</v>
      </c>
      <c r="L191" s="6" t="s">
        <v>17</v>
      </c>
      <c r="M191" s="36" t="str">
        <f>VLOOKUP(K191,[2]stage_hints!$A:$C,3,FALSE)</f>
        <v>マルチプレイのメリット（その1）</v>
      </c>
      <c r="N191" s="37" t="str">
        <f>VLOOKUP(K191,[2]stage_hints!$A:$D,4,FALSE)</f>
        <v>他のプレイヤーとマルチプレイで遊ぶと_x000D_ポリゴンがもらえます（100人まで）</v>
      </c>
      <c r="O191" s="22" t="s">
        <v>117</v>
      </c>
      <c r="P191">
        <v>16</v>
      </c>
    </row>
    <row r="192" spans="1:16" x14ac:dyDescent="0.15">
      <c r="A192" s="29" t="str">
        <f t="shared" si="30"/>
        <v>11102_1_16</v>
      </c>
      <c r="B192" s="27" t="s">
        <v>33</v>
      </c>
      <c r="C192" s="5">
        <v>11102</v>
      </c>
      <c r="D192" s="4" t="str">
        <f ca="1">VLOOKUP($C192,OFFSET([1]quests!$A$1,0,0,COUNTA([1]quests!$A:$A),MATCH(D$1,[1]quests!$1:$1,0)-MATCH($C$1,[1]quests!$1:$1,0)+1),MATCH(D$1,[1]quests!$1:$1,0)-MATCH($C$1,[1]quests!$1:$1,0)+1,FALSE)</f>
        <v>【期間限定】 赤の素材</v>
      </c>
      <c r="E192" s="4" t="str">
        <f ca="1">VLOOKUP($C192,OFFSET([1]quests!$A$1,0,0,COUNTA([1]quests!$A:$A),MATCH(E$1,[1]quests!$1:$1,0)-MATCH($C$1,[1]quests!$1:$1,0)+1),MATCH(E$1,[1]quests!$1:$1,0)-MATCH($C$1,[1]quests!$1:$1,0)+1,FALSE)</f>
        <v>火曜クエスト</v>
      </c>
      <c r="F192" s="6">
        <v>1</v>
      </c>
      <c r="G192" s="4" t="str">
        <f ca="1">VLOOKUP($C192&amp;"_"&amp;$F192,OFFSET([1]stages!$A$1,0,0,COUNTA([1]stages!$A:$A),MATCH(G$1,[1]stages!$2:$2,0)-MATCH("temp_stage",[1]stages!$2:$2,0)+1),MATCH(G$1,[1]stages!$2:$2,0)-MATCH("temp_stage",[1]stages!$2:$2,0)+1,FALSE)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192" s="4" t="str">
        <f ca="1">VLOOKUP($C192&amp;"_"&amp;$F192,OFFSET([1]stages!$A$1,0,0,COUNTA([1]stages!$A:$A),MATCH(H$1,[1]stages!$2:$2,0)-MATCH("temp_stage",[1]stages!$2:$2,0)+1),MATCH(H$1,[1]stages!$2:$2,0)-MATCH("temp_stage",[1]stages!$2:$2,0)+1,FALSE)</f>
        <v>火曜クエスト</v>
      </c>
      <c r="I192" s="19">
        <v>0</v>
      </c>
      <c r="J192" s="6">
        <f>COUNTIF(C$1:C192,C192)</f>
        <v>16</v>
      </c>
      <c r="K192">
        <v>17</v>
      </c>
      <c r="L192" s="6" t="s">
        <v>17</v>
      </c>
      <c r="M192" s="36" t="str">
        <f>VLOOKUP(K192,[2]stage_hints!$A:$C,3,FALSE)</f>
        <v>リンクガチャ</v>
      </c>
      <c r="N192" s="37" t="str">
        <f>VLOOKUP(K192,[2]stage_hints!$A:$D,4,FALSE)</f>
        <v>無料のリンクガチャを回して_x000D_経験値素材や売却素材を獲得しましょう</v>
      </c>
      <c r="O192" s="22" t="s">
        <v>117</v>
      </c>
      <c r="P192">
        <v>17</v>
      </c>
    </row>
    <row r="193" spans="1:16" x14ac:dyDescent="0.15">
      <c r="A193" s="29" t="str">
        <f t="shared" ref="A193:A205" si="31">C193&amp;"_"&amp;F193&amp;"_"&amp;J193</f>
        <v>11102_1_17</v>
      </c>
      <c r="B193" s="27" t="s">
        <v>33</v>
      </c>
      <c r="C193" s="5">
        <v>11102</v>
      </c>
      <c r="D193" s="4" t="str">
        <f ca="1">VLOOKUP($C193,OFFSET([1]quests!$A$1,0,0,COUNTA([1]quests!$A:$A),MATCH(D$1,[1]quests!$1:$1,0)-MATCH($C$1,[1]quests!$1:$1,0)+1),MATCH(D$1,[1]quests!$1:$1,0)-MATCH($C$1,[1]quests!$1:$1,0)+1,FALSE)</f>
        <v>【期間限定】 赤の素材</v>
      </c>
      <c r="E193" s="4" t="str">
        <f ca="1">VLOOKUP($C193,OFFSET([1]quests!$A$1,0,0,COUNTA([1]quests!$A:$A),MATCH(E$1,[1]quests!$1:$1,0)-MATCH($C$1,[1]quests!$1:$1,0)+1),MATCH(E$1,[1]quests!$1:$1,0)-MATCH($C$1,[1]quests!$1:$1,0)+1,FALSE)</f>
        <v>火曜クエスト</v>
      </c>
      <c r="F193" s="6">
        <v>1</v>
      </c>
      <c r="G193" s="4" t="str">
        <f ca="1">VLOOKUP($C193&amp;"_"&amp;$F193,OFFSET([1]stages!$A$1,0,0,COUNTA([1]stages!$A:$A),MATCH(G$1,[1]stages!$2:$2,0)-MATCH("temp_stage",[1]stages!$2:$2,0)+1),MATCH(G$1,[1]stages!$2:$2,0)-MATCH("temp_stage",[1]stages!$2:$2,0)+1,FALSE)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193" s="4" t="str">
        <f ca="1">VLOOKUP($C193&amp;"_"&amp;$F193,OFFSET([1]stages!$A$1,0,0,COUNTA([1]stages!$A:$A),MATCH(H$1,[1]stages!$2:$2,0)-MATCH("temp_stage",[1]stages!$2:$2,0)+1),MATCH(H$1,[1]stages!$2:$2,0)-MATCH("temp_stage",[1]stages!$2:$2,0)+1,FALSE)</f>
        <v>火曜クエスト</v>
      </c>
      <c r="I193" s="19">
        <v>0</v>
      </c>
      <c r="J193" s="6">
        <f>COUNTIF(C$1:C193,C193)</f>
        <v>17</v>
      </c>
      <c r="K193">
        <v>18</v>
      </c>
      <c r="L193" s="6" t="s">
        <v>17</v>
      </c>
      <c r="M193" s="36" t="str">
        <f>VLOOKUP(K193,[2]stage_hints!$A:$C,3,FALSE)</f>
        <v>マルチプレイのメリット（その2）</v>
      </c>
      <c r="N193" s="37" t="str">
        <f>VLOOKUP(K193,[2]stage_hints!$A:$D,4,FALSE)</f>
        <v>マルチプレイならリンクが2倍もらえます_x000D_リンクガチャをたくさん回しましょう</v>
      </c>
      <c r="O193" s="22" t="s">
        <v>117</v>
      </c>
      <c r="P193">
        <v>18</v>
      </c>
    </row>
    <row r="194" spans="1:16" x14ac:dyDescent="0.15">
      <c r="A194" s="29" t="str">
        <f t="shared" si="31"/>
        <v>11102_1_18</v>
      </c>
      <c r="B194" s="27" t="s">
        <v>33</v>
      </c>
      <c r="C194" s="5">
        <v>11102</v>
      </c>
      <c r="D194" s="4" t="str">
        <f ca="1">VLOOKUP($C194,OFFSET([1]quests!$A$1,0,0,COUNTA([1]quests!$A:$A),MATCH(D$1,[1]quests!$1:$1,0)-MATCH($C$1,[1]quests!$1:$1,0)+1),MATCH(D$1,[1]quests!$1:$1,0)-MATCH($C$1,[1]quests!$1:$1,0)+1,FALSE)</f>
        <v>【期間限定】 赤の素材</v>
      </c>
      <c r="E194" s="4" t="str">
        <f ca="1">VLOOKUP($C194,OFFSET([1]quests!$A$1,0,0,COUNTA([1]quests!$A:$A),MATCH(E$1,[1]quests!$1:$1,0)-MATCH($C$1,[1]quests!$1:$1,0)+1),MATCH(E$1,[1]quests!$1:$1,0)-MATCH($C$1,[1]quests!$1:$1,0)+1,FALSE)</f>
        <v>火曜クエスト</v>
      </c>
      <c r="F194" s="6">
        <v>1</v>
      </c>
      <c r="G194" s="4" t="str">
        <f ca="1">VLOOKUP($C194&amp;"_"&amp;$F194,OFFSET([1]stages!$A$1,0,0,COUNTA([1]stages!$A:$A),MATCH(G$1,[1]stages!$2:$2,0)-MATCH("temp_stage",[1]stages!$2:$2,0)+1),MATCH(G$1,[1]stages!$2:$2,0)-MATCH("temp_stage",[1]stages!$2:$2,0)+1,FALSE)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194" s="4" t="str">
        <f ca="1">VLOOKUP($C194&amp;"_"&amp;$F194,OFFSET([1]stages!$A$1,0,0,COUNTA([1]stages!$A:$A),MATCH(H$1,[1]stages!$2:$2,0)-MATCH("temp_stage",[1]stages!$2:$2,0)+1),MATCH(H$1,[1]stages!$2:$2,0)-MATCH("temp_stage",[1]stages!$2:$2,0)+1,FALSE)</f>
        <v>火曜クエスト</v>
      </c>
      <c r="I194" s="19">
        <v>0</v>
      </c>
      <c r="J194" s="6">
        <f>COUNTIF(C$1:C194,C194)</f>
        <v>18</v>
      </c>
      <c r="K194">
        <v>19</v>
      </c>
      <c r="L194" s="6" t="s">
        <v>17</v>
      </c>
      <c r="M194" s="36" t="str">
        <f>VLOOKUP(K194,[2]stage_hints!$A:$C,3,FALSE)</f>
        <v>ソロ専用チャレンジタワー</v>
      </c>
      <c r="N194" s="37" t="str">
        <f>VLOOKUP(K194,[2]stage_hints!$A:$D,4,FALSE)</f>
        <v>ソロ専用の「チャレンジタワー」では_x000D_各フロアごとにクリア報酬がもらえます</v>
      </c>
      <c r="O194" s="22" t="s">
        <v>117</v>
      </c>
      <c r="P194">
        <v>19</v>
      </c>
    </row>
    <row r="195" spans="1:16" x14ac:dyDescent="0.15">
      <c r="A195" s="29" t="str">
        <f t="shared" si="31"/>
        <v>11102_1_19</v>
      </c>
      <c r="B195" s="27" t="s">
        <v>33</v>
      </c>
      <c r="C195" s="5">
        <v>11102</v>
      </c>
      <c r="D195" s="4" t="str">
        <f ca="1">VLOOKUP($C195,OFFSET([1]quests!$A$1,0,0,COUNTA([1]quests!$A:$A),MATCH(D$1,[1]quests!$1:$1,0)-MATCH($C$1,[1]quests!$1:$1,0)+1),MATCH(D$1,[1]quests!$1:$1,0)-MATCH($C$1,[1]quests!$1:$1,0)+1,FALSE)</f>
        <v>【期間限定】 赤の素材</v>
      </c>
      <c r="E195" s="4" t="str">
        <f ca="1">VLOOKUP($C195,OFFSET([1]quests!$A$1,0,0,COUNTA([1]quests!$A:$A),MATCH(E$1,[1]quests!$1:$1,0)-MATCH($C$1,[1]quests!$1:$1,0)+1),MATCH(E$1,[1]quests!$1:$1,0)-MATCH($C$1,[1]quests!$1:$1,0)+1,FALSE)</f>
        <v>火曜クエスト</v>
      </c>
      <c r="F195" s="6">
        <v>1</v>
      </c>
      <c r="G195" s="4" t="str">
        <f ca="1">VLOOKUP($C195&amp;"_"&amp;$F195,OFFSET([1]stages!$A$1,0,0,COUNTA([1]stages!$A:$A),MATCH(G$1,[1]stages!$2:$2,0)-MATCH("temp_stage",[1]stages!$2:$2,0)+1),MATCH(G$1,[1]stages!$2:$2,0)-MATCH("temp_stage",[1]stages!$2:$2,0)+1,FALSE)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195" s="4" t="str">
        <f ca="1">VLOOKUP($C195&amp;"_"&amp;$F195,OFFSET([1]stages!$A$1,0,0,COUNTA([1]stages!$A:$A),MATCH(H$1,[1]stages!$2:$2,0)-MATCH("temp_stage",[1]stages!$2:$2,0)+1),MATCH(H$1,[1]stages!$2:$2,0)-MATCH("temp_stage",[1]stages!$2:$2,0)+1,FALSE)</f>
        <v>火曜クエスト</v>
      </c>
      <c r="I195" s="19">
        <v>0</v>
      </c>
      <c r="J195" s="6">
        <f>COUNTIF(C$1:C195,C195)</f>
        <v>19</v>
      </c>
      <c r="K195">
        <v>20</v>
      </c>
      <c r="L195" s="6" t="s">
        <v>17</v>
      </c>
      <c r="M195" s="36" t="str">
        <f>VLOOKUP(K195,[2]stage_hints!$A:$C,3,FALSE)</f>
        <v>マルチプレイのメリット（その3）</v>
      </c>
      <c r="N195" s="37" t="str">
        <f>VLOOKUP(K195,[2]stage_hints!$A:$D,4,FALSE)</f>
        <v>マルチプレイへの参加はエナジー消費ゼロ_x000D_いつでも好きなだけ遊ぶことができます</v>
      </c>
      <c r="O195" s="22" t="s">
        <v>117</v>
      </c>
      <c r="P195">
        <v>20</v>
      </c>
    </row>
    <row r="196" spans="1:16" x14ac:dyDescent="0.15">
      <c r="A196" s="29" t="str">
        <f t="shared" si="31"/>
        <v>11102_1_20</v>
      </c>
      <c r="B196" s="27" t="s">
        <v>33</v>
      </c>
      <c r="C196" s="5">
        <v>11102</v>
      </c>
      <c r="D196" s="4" t="str">
        <f ca="1">VLOOKUP($C196,OFFSET([1]quests!$A$1,0,0,COUNTA([1]quests!$A:$A),MATCH(D$1,[1]quests!$1:$1,0)-MATCH($C$1,[1]quests!$1:$1,0)+1),MATCH(D$1,[1]quests!$1:$1,0)-MATCH($C$1,[1]quests!$1:$1,0)+1,FALSE)</f>
        <v>【期間限定】 赤の素材</v>
      </c>
      <c r="E196" s="4" t="str">
        <f ca="1">VLOOKUP($C196,OFFSET([1]quests!$A$1,0,0,COUNTA([1]quests!$A:$A),MATCH(E$1,[1]quests!$1:$1,0)-MATCH($C$1,[1]quests!$1:$1,0)+1),MATCH(E$1,[1]quests!$1:$1,0)-MATCH($C$1,[1]quests!$1:$1,0)+1,FALSE)</f>
        <v>火曜クエスト</v>
      </c>
      <c r="F196" s="6">
        <v>1</v>
      </c>
      <c r="G196" s="4" t="str">
        <f ca="1">VLOOKUP($C196&amp;"_"&amp;$F196,OFFSET([1]stages!$A$1,0,0,COUNTA([1]stages!$A:$A),MATCH(G$1,[1]stages!$2:$2,0)-MATCH("temp_stage",[1]stages!$2:$2,0)+1),MATCH(G$1,[1]stages!$2:$2,0)-MATCH("temp_stage",[1]stages!$2:$2,0)+1,FALSE)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196" s="4" t="str">
        <f ca="1">VLOOKUP($C196&amp;"_"&amp;$F196,OFFSET([1]stages!$A$1,0,0,COUNTA([1]stages!$A:$A),MATCH(H$1,[1]stages!$2:$2,0)-MATCH("temp_stage",[1]stages!$2:$2,0)+1),MATCH(H$1,[1]stages!$2:$2,0)-MATCH("temp_stage",[1]stages!$2:$2,0)+1,FALSE)</f>
        <v>火曜クエスト</v>
      </c>
      <c r="I196" s="19">
        <v>0</v>
      </c>
      <c r="J196" s="6">
        <f>COUNTIF(C$1:C196,C196)</f>
        <v>20</v>
      </c>
      <c r="K196">
        <v>21</v>
      </c>
      <c r="L196" s="6" t="s">
        <v>17</v>
      </c>
      <c r="M196" s="36" t="str">
        <f>VLOOKUP(K196,[2]stage_hints!$A:$C,3,FALSE)</f>
        <v>スキルを有効に</v>
      </c>
      <c r="N196" s="37" t="str">
        <f>VLOOKUP(K196,[2]stage_hints!$A:$D,4,FALSE)</f>
        <v>ターン経過でユニットのスキルが使えます_x000D_強力スキルでバトルを有利に進めましょう</v>
      </c>
      <c r="O196" s="22" t="s">
        <v>117</v>
      </c>
      <c r="P196">
        <v>21</v>
      </c>
    </row>
    <row r="197" spans="1:16" x14ac:dyDescent="0.15">
      <c r="A197" s="29" t="str">
        <f t="shared" si="31"/>
        <v>11102_1_21</v>
      </c>
      <c r="B197" s="27" t="s">
        <v>33</v>
      </c>
      <c r="C197" s="5">
        <v>11102</v>
      </c>
      <c r="D197" s="4" t="str">
        <f ca="1">VLOOKUP($C197,OFFSET([1]quests!$A$1,0,0,COUNTA([1]quests!$A:$A),MATCH(D$1,[1]quests!$1:$1,0)-MATCH($C$1,[1]quests!$1:$1,0)+1),MATCH(D$1,[1]quests!$1:$1,0)-MATCH($C$1,[1]quests!$1:$1,0)+1,FALSE)</f>
        <v>【期間限定】 赤の素材</v>
      </c>
      <c r="E197" s="4" t="str">
        <f ca="1">VLOOKUP($C197,OFFSET([1]quests!$A$1,0,0,COUNTA([1]quests!$A:$A),MATCH(E$1,[1]quests!$1:$1,0)-MATCH($C$1,[1]quests!$1:$1,0)+1),MATCH(E$1,[1]quests!$1:$1,0)-MATCH($C$1,[1]quests!$1:$1,0)+1,FALSE)</f>
        <v>火曜クエスト</v>
      </c>
      <c r="F197" s="6">
        <v>1</v>
      </c>
      <c r="G197" s="4" t="str">
        <f ca="1">VLOOKUP($C197&amp;"_"&amp;$F197,OFFSET([1]stages!$A$1,0,0,COUNTA([1]stages!$A:$A),MATCH(G$1,[1]stages!$2:$2,0)-MATCH("temp_stage",[1]stages!$2:$2,0)+1),MATCH(G$1,[1]stages!$2:$2,0)-MATCH("temp_stage",[1]stages!$2:$2,0)+1,FALSE)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197" s="4" t="str">
        <f ca="1">VLOOKUP($C197&amp;"_"&amp;$F197,OFFSET([1]stages!$A$1,0,0,COUNTA([1]stages!$A:$A),MATCH(H$1,[1]stages!$2:$2,0)-MATCH("temp_stage",[1]stages!$2:$2,0)+1),MATCH(H$1,[1]stages!$2:$2,0)-MATCH("temp_stage",[1]stages!$2:$2,0)+1,FALSE)</f>
        <v>火曜クエスト</v>
      </c>
      <c r="I197" s="19">
        <v>0</v>
      </c>
      <c r="J197" s="6">
        <f>COUNTIF(C$1:C197,C197)</f>
        <v>21</v>
      </c>
      <c r="K197">
        <v>22</v>
      </c>
      <c r="L197" s="6" t="s">
        <v>17</v>
      </c>
      <c r="M197" s="36" t="str">
        <f>VLOOKUP(K197,[2]stage_hints!$A:$C,3,FALSE)</f>
        <v>フィーバーで一発逆転（その1）</v>
      </c>
      <c r="N197" s="37" t="str">
        <f>VLOOKUP(K197,[2]stage_hints!$A:$D,4,FALSE)</f>
        <v>フィーバーは攻撃と回復を兼ね備えます_x000D_ピンチからの一発逆転を狙いましょう</v>
      </c>
      <c r="O197" s="22" t="s">
        <v>117</v>
      </c>
      <c r="P197">
        <v>22</v>
      </c>
    </row>
    <row r="198" spans="1:16" x14ac:dyDescent="0.15">
      <c r="A198" s="29" t="str">
        <f t="shared" si="31"/>
        <v>11102_1_22</v>
      </c>
      <c r="B198" s="27" t="s">
        <v>33</v>
      </c>
      <c r="C198" s="5">
        <v>11102</v>
      </c>
      <c r="D198" s="4" t="str">
        <f ca="1">VLOOKUP($C198,OFFSET([1]quests!$A$1,0,0,COUNTA([1]quests!$A:$A),MATCH(D$1,[1]quests!$1:$1,0)-MATCH($C$1,[1]quests!$1:$1,0)+1),MATCH(D$1,[1]quests!$1:$1,0)-MATCH($C$1,[1]quests!$1:$1,0)+1,FALSE)</f>
        <v>【期間限定】 赤の素材</v>
      </c>
      <c r="E198" s="4" t="str">
        <f ca="1">VLOOKUP($C198,OFFSET([1]quests!$A$1,0,0,COUNTA([1]quests!$A:$A),MATCH(E$1,[1]quests!$1:$1,0)-MATCH($C$1,[1]quests!$1:$1,0)+1),MATCH(E$1,[1]quests!$1:$1,0)-MATCH($C$1,[1]quests!$1:$1,0)+1,FALSE)</f>
        <v>火曜クエスト</v>
      </c>
      <c r="F198" s="6">
        <v>1</v>
      </c>
      <c r="G198" s="4" t="str">
        <f ca="1">VLOOKUP($C198&amp;"_"&amp;$F198,OFFSET([1]stages!$A$1,0,0,COUNTA([1]stages!$A:$A),MATCH(G$1,[1]stages!$2:$2,0)-MATCH("temp_stage",[1]stages!$2:$2,0)+1),MATCH(G$1,[1]stages!$2:$2,0)-MATCH("temp_stage",[1]stages!$2:$2,0)+1,FALSE)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198" s="4" t="str">
        <f ca="1">VLOOKUP($C198&amp;"_"&amp;$F198,OFFSET([1]stages!$A$1,0,0,COUNTA([1]stages!$A:$A),MATCH(H$1,[1]stages!$2:$2,0)-MATCH("temp_stage",[1]stages!$2:$2,0)+1),MATCH(H$1,[1]stages!$2:$2,0)-MATCH("temp_stage",[1]stages!$2:$2,0)+1,FALSE)</f>
        <v>火曜クエスト</v>
      </c>
      <c r="I198" s="19">
        <v>0</v>
      </c>
      <c r="J198" s="6">
        <f>COUNTIF(C$1:C198,C198)</f>
        <v>22</v>
      </c>
      <c r="K198">
        <v>23</v>
      </c>
      <c r="L198" s="6" t="s">
        <v>17</v>
      </c>
      <c r="M198" s="36" t="str">
        <f>VLOOKUP(K198,[2]stage_hints!$A:$C,3,FALSE)</f>
        <v>フィーバーで一発逆転（その2）</v>
      </c>
      <c r="N198" s="37" t="str">
        <f>VLOOKUP(K198,[2]stage_hints!$A:$D,4,FALSE)</f>
        <v>フィーバー中は虹色のボムパネルを狙って_x000D_画面上のパネルを一気に破壊しましょう</v>
      </c>
      <c r="O198" s="22" t="s">
        <v>117</v>
      </c>
      <c r="P198">
        <v>23</v>
      </c>
    </row>
    <row r="199" spans="1:16" x14ac:dyDescent="0.15">
      <c r="A199" s="29" t="str">
        <f t="shared" si="31"/>
        <v>11102_1_23</v>
      </c>
      <c r="B199" s="27" t="s">
        <v>33</v>
      </c>
      <c r="C199" s="5">
        <v>11102</v>
      </c>
      <c r="D199" s="4" t="str">
        <f ca="1">VLOOKUP($C199,OFFSET([1]quests!$A$1,0,0,COUNTA([1]quests!$A:$A),MATCH(D$1,[1]quests!$1:$1,0)-MATCH($C$1,[1]quests!$1:$1,0)+1),MATCH(D$1,[1]quests!$1:$1,0)-MATCH($C$1,[1]quests!$1:$1,0)+1,FALSE)</f>
        <v>【期間限定】 赤の素材</v>
      </c>
      <c r="E199" s="4" t="str">
        <f ca="1">VLOOKUP($C199,OFFSET([1]quests!$A$1,0,0,COUNTA([1]quests!$A:$A),MATCH(E$1,[1]quests!$1:$1,0)-MATCH($C$1,[1]quests!$1:$1,0)+1),MATCH(E$1,[1]quests!$1:$1,0)-MATCH($C$1,[1]quests!$1:$1,0)+1,FALSE)</f>
        <v>火曜クエスト</v>
      </c>
      <c r="F199" s="6">
        <v>1</v>
      </c>
      <c r="G199" s="4" t="str">
        <f ca="1">VLOOKUP($C199&amp;"_"&amp;$F199,OFFSET([1]stages!$A$1,0,0,COUNTA([1]stages!$A:$A),MATCH(G$1,[1]stages!$2:$2,0)-MATCH("temp_stage",[1]stages!$2:$2,0)+1),MATCH(G$1,[1]stages!$2:$2,0)-MATCH("temp_stage",[1]stages!$2:$2,0)+1,FALSE)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199" s="4" t="str">
        <f ca="1">VLOOKUP($C199&amp;"_"&amp;$F199,OFFSET([1]stages!$A$1,0,0,COUNTA([1]stages!$A:$A),MATCH(H$1,[1]stages!$2:$2,0)-MATCH("temp_stage",[1]stages!$2:$2,0)+1),MATCH(H$1,[1]stages!$2:$2,0)-MATCH("temp_stage",[1]stages!$2:$2,0)+1,FALSE)</f>
        <v>火曜クエスト</v>
      </c>
      <c r="I199" s="19">
        <v>0</v>
      </c>
      <c r="J199" s="6">
        <f>COUNTIF(C$1:C199,C199)</f>
        <v>23</v>
      </c>
      <c r="K199">
        <v>24</v>
      </c>
      <c r="L199" s="6" t="s">
        <v>17</v>
      </c>
      <c r="M199" s="36" t="str">
        <f>VLOOKUP(K199,[2]stage_hints!$A:$C,3,FALSE)</f>
        <v>りんごを使って限界突破</v>
      </c>
      <c r="N199" s="37" t="str">
        <f>VLOOKUP(K199,[2]stage_hints!$A:$D,4,FALSE)</f>
        <v>赤りんご(攻撃力) 青りんご(回復力)_x000D_緑りんご(体力)をユニット強化に使うと_x000D_ステータスが限界突破します（計99個迄）</v>
      </c>
      <c r="O199" s="22" t="s">
        <v>117</v>
      </c>
      <c r="P199">
        <v>24</v>
      </c>
    </row>
    <row r="200" spans="1:16" x14ac:dyDescent="0.15">
      <c r="A200" s="29" t="str">
        <f t="shared" si="31"/>
        <v>11102_1_24</v>
      </c>
      <c r="B200" s="27" t="s">
        <v>33</v>
      </c>
      <c r="C200" s="5">
        <v>11102</v>
      </c>
      <c r="D200" s="4" t="str">
        <f ca="1">VLOOKUP($C200,OFFSET([1]quests!$A$1,0,0,COUNTA([1]quests!$A:$A),MATCH(D$1,[1]quests!$1:$1,0)-MATCH($C$1,[1]quests!$1:$1,0)+1),MATCH(D$1,[1]quests!$1:$1,0)-MATCH($C$1,[1]quests!$1:$1,0)+1,FALSE)</f>
        <v>【期間限定】 赤の素材</v>
      </c>
      <c r="E200" s="4" t="str">
        <f ca="1">VLOOKUP($C200,OFFSET([1]quests!$A$1,0,0,COUNTA([1]quests!$A:$A),MATCH(E$1,[1]quests!$1:$1,0)-MATCH($C$1,[1]quests!$1:$1,0)+1),MATCH(E$1,[1]quests!$1:$1,0)-MATCH($C$1,[1]quests!$1:$1,0)+1,FALSE)</f>
        <v>火曜クエスト</v>
      </c>
      <c r="F200" s="6">
        <v>1</v>
      </c>
      <c r="G200" s="4" t="str">
        <f ca="1">VLOOKUP($C200&amp;"_"&amp;$F200,OFFSET([1]stages!$A$1,0,0,COUNTA([1]stages!$A:$A),MATCH(G$1,[1]stages!$2:$2,0)-MATCH("temp_stage",[1]stages!$2:$2,0)+1),MATCH(G$1,[1]stages!$2:$2,0)-MATCH("temp_stage",[1]stages!$2:$2,0)+1,FALSE)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200" s="4" t="str">
        <f ca="1">VLOOKUP($C200&amp;"_"&amp;$F200,OFFSET([1]stages!$A$1,0,0,COUNTA([1]stages!$A:$A),MATCH(H$1,[1]stages!$2:$2,0)-MATCH("temp_stage",[1]stages!$2:$2,0)+1),MATCH(H$1,[1]stages!$2:$2,0)-MATCH("temp_stage",[1]stages!$2:$2,0)+1,FALSE)</f>
        <v>火曜クエスト</v>
      </c>
      <c r="I200" s="19">
        <v>0</v>
      </c>
      <c r="J200" s="6">
        <f>COUNTIF(C$1:C200,C200)</f>
        <v>24</v>
      </c>
      <c r="K200">
        <v>25</v>
      </c>
      <c r="L200" s="6" t="s">
        <v>17</v>
      </c>
      <c r="M200" s="36" t="str">
        <f>VLOOKUP(K200,[2]stage_hints!$A:$C,3,FALSE)</f>
        <v>スキルレベルアップ</v>
      </c>
      <c r="N200" s="37" t="str">
        <f>VLOOKUP(K200,[2]stage_hints!$A:$D,4,FALSE)</f>
        <v>「クリスタルのりんご」を強化に使うと_x000D_スキルレベルを上げることができます</v>
      </c>
      <c r="O200" s="22" t="s">
        <v>117</v>
      </c>
      <c r="P200">
        <v>25</v>
      </c>
    </row>
    <row r="201" spans="1:16" x14ac:dyDescent="0.15">
      <c r="A201" s="29" t="str">
        <f t="shared" si="31"/>
        <v>11102_1_25</v>
      </c>
      <c r="B201" s="27" t="s">
        <v>33</v>
      </c>
      <c r="C201" s="5">
        <v>11102</v>
      </c>
      <c r="D201" s="4" t="str">
        <f ca="1">VLOOKUP($C201,OFFSET([1]quests!$A$1,0,0,COUNTA([1]quests!$A:$A),MATCH(D$1,[1]quests!$1:$1,0)-MATCH($C$1,[1]quests!$1:$1,0)+1),MATCH(D$1,[1]quests!$1:$1,0)-MATCH($C$1,[1]quests!$1:$1,0)+1,FALSE)</f>
        <v>【期間限定】 赤の素材</v>
      </c>
      <c r="E201" s="4" t="str">
        <f ca="1">VLOOKUP($C201,OFFSET([1]quests!$A$1,0,0,COUNTA([1]quests!$A:$A),MATCH(E$1,[1]quests!$1:$1,0)-MATCH($C$1,[1]quests!$1:$1,0)+1),MATCH(E$1,[1]quests!$1:$1,0)-MATCH($C$1,[1]quests!$1:$1,0)+1,FALSE)</f>
        <v>火曜クエスト</v>
      </c>
      <c r="F201" s="6">
        <v>1</v>
      </c>
      <c r="G201" s="4" t="str">
        <f ca="1">VLOOKUP($C201&amp;"_"&amp;$F201,OFFSET([1]stages!$A$1,0,0,COUNTA([1]stages!$A:$A),MATCH(G$1,[1]stages!$2:$2,0)-MATCH("temp_stage",[1]stages!$2:$2,0)+1),MATCH(G$1,[1]stages!$2:$2,0)-MATCH("temp_stage",[1]stages!$2:$2,0)+1,FALSE)</f>
        <v xml:space="preserve">【初級】火のチェシャ猫 </v>
      </c>
      <c r="H201" s="4" t="str">
        <f ca="1">VLOOKUP($C201&amp;"_"&amp;$F201,OFFSET([1]stages!$A$1,0,0,COUNTA([1]stages!$A:$A),MATCH(H$1,[1]stages!$2:$2,0)-MATCH("temp_stage",[1]stages!$2:$2,0)+1),MATCH(H$1,[1]stages!$2:$2,0)-MATCH("temp_stage",[1]stages!$2:$2,0)+1,FALSE)</f>
        <v>火曜クエスト</v>
      </c>
      <c r="I201" s="19">
        <v>0</v>
      </c>
      <c r="J201" s="6">
        <f>COUNTIF(C$1:C201,C201)</f>
        <v>25</v>
      </c>
      <c r="K201">
        <v>26</v>
      </c>
      <c r="L201" s="6" t="s">
        <v>17</v>
      </c>
      <c r="M201" s="36" t="str">
        <f>VLOOKUP(K201,[2]stage_hints!$A:$C,3,FALSE)</f>
        <v>スキルレベルの効果</v>
      </c>
      <c r="N201" s="37" t="str">
        <f>VLOOKUP(K201,[2]stage_hints!$A:$D,4,FALSE)</f>
        <v>スキルレベルが上がると_x000D_短いターンでスキルを使うことができます</v>
      </c>
      <c r="O201" s="22" t="s">
        <v>117</v>
      </c>
      <c r="P201">
        <v>26</v>
      </c>
    </row>
    <row r="202" spans="1:16" x14ac:dyDescent="0.15">
      <c r="A202" s="29" t="str">
        <f t="shared" si="31"/>
        <v>11103_1_1</v>
      </c>
      <c r="B202" s="27" t="s">
        <v>33</v>
      </c>
      <c r="C202" s="5">
        <v>11103</v>
      </c>
      <c r="D202" s="4" t="str">
        <f ca="1">VLOOKUP($C202,OFFSET([1]quests!$A$1,0,0,COUNTA([1]quests!$A:$A),MATCH(D$1,[1]quests!$1:$1,0)-MATCH($C$1,[1]quests!$1:$1,0)+1),MATCH(D$1,[1]quests!$1:$1,0)-MATCH($C$1,[1]quests!$1:$1,0)+1,FALSE)</f>
        <v>【期間限定】 青の素材</v>
      </c>
      <c r="E202" s="4" t="str">
        <f ca="1">VLOOKUP($C202,OFFSET([1]quests!$A$1,0,0,COUNTA([1]quests!$A:$A),MATCH(E$1,[1]quests!$1:$1,0)-MATCH($C$1,[1]quests!$1:$1,0)+1),MATCH(E$1,[1]quests!$1:$1,0)-MATCH($C$1,[1]quests!$1:$1,0)+1,FALSE)</f>
        <v>水曜クエスト</v>
      </c>
      <c r="F202" s="6">
        <v>1</v>
      </c>
      <c r="G202" s="4" t="str">
        <f ca="1">VLOOKUP($C202&amp;"_"&amp;$F202,OFFSET([1]stages!$A$1,0,0,COUNTA([1]stages!$A:$A),MATCH(G$1,[1]stages!$2:$2,0)-MATCH("temp_stage",[1]stages!$2:$2,0)+1),MATCH(G$1,[1]stages!$2:$2,0)-MATCH("temp_stage",[1]stages!$2:$2,0)+1,FALSE)</f>
        <v>【初級】水のチェシャ猫</v>
      </c>
      <c r="H202" s="4" t="str">
        <f ca="1">VLOOKUP($C202&amp;"_"&amp;$F202,OFFSET([1]stages!$A$1,0,0,COUNTA([1]stages!$A:$A),MATCH(H$1,[1]stages!$2:$2,0)-MATCH("temp_stage",[1]stages!$2:$2,0)+1),MATCH(H$1,[1]stages!$2:$2,0)-MATCH("temp_stage",[1]stages!$2:$2,0)+1,FALSE)</f>
        <v>水曜クエスト</v>
      </c>
      <c r="I202" s="19">
        <v>0</v>
      </c>
      <c r="J202" s="6">
        <f>COUNTIF(C$1:C202,C202)</f>
        <v>1</v>
      </c>
      <c r="K202">
        <v>1</v>
      </c>
      <c r="L202" s="6" t="s">
        <v>17</v>
      </c>
      <c r="M202" s="36" t="str">
        <f>VLOOKUP(K202,[2]stage_hints!$A:$C,3,FALSE)</f>
        <v>長くつなげて大ダメージ</v>
      </c>
      <c r="N202" s="37" t="str">
        <f>VLOOKUP(K202,[2]stage_hints!$A:$D,4,FALSE)</f>
        <v>パネルを長くつなげるほど_x000D_大ダメージを与えることができます</v>
      </c>
      <c r="O202" s="22" t="s">
        <v>117</v>
      </c>
      <c r="P202">
        <v>1</v>
      </c>
    </row>
    <row r="203" spans="1:16" x14ac:dyDescent="0.15">
      <c r="A203" s="29" t="str">
        <f t="shared" si="31"/>
        <v>11103_1_2</v>
      </c>
      <c r="B203" s="27" t="s">
        <v>33</v>
      </c>
      <c r="C203" s="5">
        <v>11103</v>
      </c>
      <c r="D203" s="4" t="str">
        <f ca="1">VLOOKUP($C203,OFFSET([1]quests!$A$1,0,0,COUNTA([1]quests!$A:$A),MATCH(D$1,[1]quests!$1:$1,0)-MATCH($C$1,[1]quests!$1:$1,0)+1),MATCH(D$1,[1]quests!$1:$1,0)-MATCH($C$1,[1]quests!$1:$1,0)+1,FALSE)</f>
        <v>【期間限定】 青の素材</v>
      </c>
      <c r="E203" s="4" t="str">
        <f ca="1">VLOOKUP($C203,OFFSET([1]quests!$A$1,0,0,COUNTA([1]quests!$A:$A),MATCH(E$1,[1]quests!$1:$1,0)-MATCH($C$1,[1]quests!$1:$1,0)+1),MATCH(E$1,[1]quests!$1:$1,0)-MATCH($C$1,[1]quests!$1:$1,0)+1,FALSE)</f>
        <v>水曜クエスト</v>
      </c>
      <c r="F203" s="6">
        <v>1</v>
      </c>
      <c r="G203" s="4" t="str">
        <f ca="1">VLOOKUP($C203&amp;"_"&amp;$F203,OFFSET([1]stages!$A$1,0,0,COUNTA([1]stages!$A:$A),MATCH(G$1,[1]stages!$2:$2,0)-MATCH("temp_stage",[1]stages!$2:$2,0)+1),MATCH(G$1,[1]stages!$2:$2,0)-MATCH("temp_stage",[1]stages!$2:$2,0)+1,FALSE)</f>
        <v>【初級】水のチェシャ猫</v>
      </c>
      <c r="H203" s="4" t="str">
        <f ca="1">VLOOKUP($C203&amp;"_"&amp;$F203,OFFSET([1]stages!$A$1,0,0,COUNTA([1]stages!$A:$A),MATCH(H$1,[1]stages!$2:$2,0)-MATCH("temp_stage",[1]stages!$2:$2,0)+1),MATCH(H$1,[1]stages!$2:$2,0)-MATCH("temp_stage",[1]stages!$2:$2,0)+1,FALSE)</f>
        <v>水曜クエスト</v>
      </c>
      <c r="I203" s="19">
        <v>0</v>
      </c>
      <c r="J203" s="6">
        <f>COUNTIF(C$1:C203,C203)</f>
        <v>2</v>
      </c>
      <c r="K203">
        <v>2</v>
      </c>
      <c r="L203" s="6" t="s">
        <v>17</v>
      </c>
      <c r="M203" s="36" t="str">
        <f>VLOOKUP(K203,[2]stage_hints!$A:$C,3,FALSE)</f>
        <v>属性の相性</v>
      </c>
      <c r="N203" s="37" t="str">
        <f>VLOOKUP(K203,[2]stage_hints!$A:$D,4,FALSE)</f>
        <v>赤＞青　青＞黄　黄＞緑　緑＞赤_x000D_敵属性に最適なパーティがオススメです</v>
      </c>
      <c r="O203" s="22" t="s">
        <v>117</v>
      </c>
      <c r="P203">
        <v>2</v>
      </c>
    </row>
    <row r="204" spans="1:16" x14ac:dyDescent="0.15">
      <c r="A204" s="29" t="str">
        <f t="shared" si="31"/>
        <v>11103_1_3</v>
      </c>
      <c r="B204" s="27" t="s">
        <v>33</v>
      </c>
      <c r="C204" s="5">
        <v>11103</v>
      </c>
      <c r="D204" s="4" t="str">
        <f ca="1">VLOOKUP($C204,OFFSET([1]quests!$A$1,0,0,COUNTA([1]quests!$A:$A),MATCH(D$1,[1]quests!$1:$1,0)-MATCH($C$1,[1]quests!$1:$1,0)+1),MATCH(D$1,[1]quests!$1:$1,0)-MATCH($C$1,[1]quests!$1:$1,0)+1,FALSE)</f>
        <v>【期間限定】 青の素材</v>
      </c>
      <c r="E204" s="4" t="str">
        <f ca="1">VLOOKUP($C204,OFFSET([1]quests!$A$1,0,0,COUNTA([1]quests!$A:$A),MATCH(E$1,[1]quests!$1:$1,0)-MATCH($C$1,[1]quests!$1:$1,0)+1),MATCH(E$1,[1]quests!$1:$1,0)-MATCH($C$1,[1]quests!$1:$1,0)+1,FALSE)</f>
        <v>水曜クエスト</v>
      </c>
      <c r="F204" s="6">
        <v>1</v>
      </c>
      <c r="G204" s="4" t="str">
        <f ca="1">VLOOKUP($C204&amp;"_"&amp;$F204,OFFSET([1]stages!$A$1,0,0,COUNTA([1]stages!$A:$A),MATCH(G$1,[1]stages!$2:$2,0)-MATCH("temp_stage",[1]stages!$2:$2,0)+1),MATCH(G$1,[1]stages!$2:$2,0)-MATCH("temp_stage",[1]stages!$2:$2,0)+1,FALSE)</f>
        <v>【初級】水のチェシャ猫</v>
      </c>
      <c r="H204" s="4" t="str">
        <f ca="1">VLOOKUP($C204&amp;"_"&amp;$F204,OFFSET([1]stages!$A$1,0,0,COUNTA([1]stages!$A:$A),MATCH(H$1,[1]stages!$2:$2,0)-MATCH("temp_stage",[1]stages!$2:$2,0)+1),MATCH(H$1,[1]stages!$2:$2,0)-MATCH("temp_stage",[1]stages!$2:$2,0)+1,FALSE)</f>
        <v>水曜クエスト</v>
      </c>
      <c r="I204" s="19">
        <v>0</v>
      </c>
      <c r="J204" s="6">
        <f>COUNTIF(C$1:C204,C204)</f>
        <v>3</v>
      </c>
      <c r="K204">
        <v>3</v>
      </c>
      <c r="L204" s="6" t="s">
        <v>17</v>
      </c>
      <c r="M204" s="36" t="str">
        <f>VLOOKUP(K204,[2]stage_hints!$A:$C,3,FALSE)</f>
        <v>ターゲット</v>
      </c>
      <c r="N204" s="37" t="str">
        <f>VLOOKUP(K204,[2]stage_hints!$A:$D,4,FALSE)</f>
        <v>敵ユニットをタップすると_x000D_その敵を狙い撃ちできます</v>
      </c>
      <c r="O204" s="22" t="s">
        <v>117</v>
      </c>
      <c r="P204">
        <v>3</v>
      </c>
    </row>
    <row r="205" spans="1:16" x14ac:dyDescent="0.15">
      <c r="A205" s="29" t="str">
        <f t="shared" si="31"/>
        <v>11103_1_4</v>
      </c>
      <c r="B205" s="27" t="s">
        <v>33</v>
      </c>
      <c r="C205" s="5">
        <v>11103</v>
      </c>
      <c r="D205" s="4" t="str">
        <f ca="1">VLOOKUP($C205,OFFSET([1]quests!$A$1,0,0,COUNTA([1]quests!$A:$A),MATCH(D$1,[1]quests!$1:$1,0)-MATCH($C$1,[1]quests!$1:$1,0)+1),MATCH(D$1,[1]quests!$1:$1,0)-MATCH($C$1,[1]quests!$1:$1,0)+1,FALSE)</f>
        <v>【期間限定】 青の素材</v>
      </c>
      <c r="E205" s="4" t="str">
        <f ca="1">VLOOKUP($C205,OFFSET([1]quests!$A$1,0,0,COUNTA([1]quests!$A:$A),MATCH(E$1,[1]quests!$1:$1,0)-MATCH($C$1,[1]quests!$1:$1,0)+1),MATCH(E$1,[1]quests!$1:$1,0)-MATCH($C$1,[1]quests!$1:$1,0)+1,FALSE)</f>
        <v>水曜クエスト</v>
      </c>
      <c r="F205" s="6">
        <v>1</v>
      </c>
      <c r="G205" s="4" t="str">
        <f ca="1">VLOOKUP($C205&amp;"_"&amp;$F205,OFFSET([1]stages!$A$1,0,0,COUNTA([1]stages!$A:$A),MATCH(G$1,[1]stages!$2:$2,0)-MATCH("temp_stage",[1]stages!$2:$2,0)+1),MATCH(G$1,[1]stages!$2:$2,0)-MATCH("temp_stage",[1]stages!$2:$2,0)+1,FALSE)</f>
        <v>【初級】水のチェシャ猫</v>
      </c>
      <c r="H205" s="4" t="str">
        <f ca="1">VLOOKUP($C205&amp;"_"&amp;$F205,OFFSET([1]stages!$A$1,0,0,COUNTA([1]stages!$A:$A),MATCH(H$1,[1]stages!$2:$2,0)-MATCH("temp_stage",[1]stages!$2:$2,0)+1),MATCH(H$1,[1]stages!$2:$2,0)-MATCH("temp_stage",[1]stages!$2:$2,0)+1,FALSE)</f>
        <v>水曜クエスト</v>
      </c>
      <c r="I205" s="19">
        <v>0</v>
      </c>
      <c r="J205" s="6">
        <f>COUNTIF(C$1:C205,C205)</f>
        <v>4</v>
      </c>
      <c r="K205">
        <v>5</v>
      </c>
      <c r="L205" s="6" t="s">
        <v>17</v>
      </c>
      <c r="M205" s="36" t="str">
        <f>VLOOKUP(K205,[2]stage_hints!$A:$C,3,FALSE)</f>
        <v>ユニット強化でレベルアップ</v>
      </c>
      <c r="N205" s="37" t="str">
        <f>VLOOKUP(K205,[2]stage_hints!$A:$D,4,FALSE)</f>
        <v>「ユニット強化」でレベルアップすると_x000D_勝てない敵にも勝てるようになります</v>
      </c>
      <c r="O205" s="22" t="s">
        <v>117</v>
      </c>
      <c r="P205">
        <v>5</v>
      </c>
    </row>
    <row r="206" spans="1:16" x14ac:dyDescent="0.15">
      <c r="A206" s="29" t="str">
        <f t="shared" ref="A206:A207" si="32">C206&amp;"_"&amp;F206&amp;"_"&amp;J206</f>
        <v>11103_1_5</v>
      </c>
      <c r="B206" s="27" t="s">
        <v>33</v>
      </c>
      <c r="C206" s="5">
        <v>11103</v>
      </c>
      <c r="D206" s="4" t="str">
        <f ca="1">VLOOKUP($C206,OFFSET([1]quests!$A$1,0,0,COUNTA([1]quests!$A:$A),MATCH(D$1,[1]quests!$1:$1,0)-MATCH($C$1,[1]quests!$1:$1,0)+1),MATCH(D$1,[1]quests!$1:$1,0)-MATCH($C$1,[1]quests!$1:$1,0)+1,FALSE)</f>
        <v>【期間限定】 青の素材</v>
      </c>
      <c r="E206" s="4" t="str">
        <f ca="1">VLOOKUP($C206,OFFSET([1]quests!$A$1,0,0,COUNTA([1]quests!$A:$A),MATCH(E$1,[1]quests!$1:$1,0)-MATCH($C$1,[1]quests!$1:$1,0)+1),MATCH(E$1,[1]quests!$1:$1,0)-MATCH($C$1,[1]quests!$1:$1,0)+1,FALSE)</f>
        <v>水曜クエスト</v>
      </c>
      <c r="F206" s="6">
        <v>1</v>
      </c>
      <c r="G206" s="4" t="str">
        <f ca="1">VLOOKUP($C206&amp;"_"&amp;$F206,OFFSET([1]stages!$A$1,0,0,COUNTA([1]stages!$A:$A),MATCH(G$1,[1]stages!$2:$2,0)-MATCH("temp_stage",[1]stages!$2:$2,0)+1),MATCH(G$1,[1]stages!$2:$2,0)-MATCH("temp_stage",[1]stages!$2:$2,0)+1,FALSE)</f>
        <v>【初級】水のチェシャ猫</v>
      </c>
      <c r="H206" s="4" t="str">
        <f ca="1">VLOOKUP($C206&amp;"_"&amp;$F206,OFFSET([1]stages!$A$1,0,0,COUNTA([1]stages!$A:$A),MATCH(H$1,[1]stages!$2:$2,0)-MATCH("temp_stage",[1]stages!$2:$2,0)+1),MATCH(H$1,[1]stages!$2:$2,0)-MATCH("temp_stage",[1]stages!$2:$2,0)+1,FALSE)</f>
        <v>水曜クエスト</v>
      </c>
      <c r="I206" s="19">
        <v>0</v>
      </c>
      <c r="J206" s="6">
        <f>COUNTIF(C$1:C206,C206)</f>
        <v>5</v>
      </c>
      <c r="K206">
        <v>6</v>
      </c>
      <c r="L206" s="6" t="s">
        <v>17</v>
      </c>
      <c r="M206" s="36" t="str">
        <f>VLOOKUP(K206,[2]stage_hints!$A:$C,3,FALSE)</f>
        <v>ユニット強化の属性ボーナス</v>
      </c>
      <c r="N206" s="37" t="str">
        <f>VLOOKUP(K206,[2]stage_hints!$A:$D,4,FALSE)</f>
        <v>同属性ユニットを強化素材にすると_x000D_経験値が多くもらえます</v>
      </c>
      <c r="O206" s="22" t="s">
        <v>117</v>
      </c>
      <c r="P206">
        <v>6</v>
      </c>
    </row>
    <row r="207" spans="1:16" x14ac:dyDescent="0.15">
      <c r="A207" s="29" t="str">
        <f t="shared" si="32"/>
        <v>11103_1_6</v>
      </c>
      <c r="B207" s="27" t="s">
        <v>33</v>
      </c>
      <c r="C207" s="5">
        <v>11103</v>
      </c>
      <c r="D207" s="4" t="str">
        <f ca="1">VLOOKUP($C207,OFFSET([1]quests!$A$1,0,0,COUNTA([1]quests!$A:$A),MATCH(D$1,[1]quests!$1:$1,0)-MATCH($C$1,[1]quests!$1:$1,0)+1),MATCH(D$1,[1]quests!$1:$1,0)-MATCH($C$1,[1]quests!$1:$1,0)+1,FALSE)</f>
        <v>【期間限定】 青の素材</v>
      </c>
      <c r="E207" s="4" t="str">
        <f ca="1">VLOOKUP($C207,OFFSET([1]quests!$A$1,0,0,COUNTA([1]quests!$A:$A),MATCH(E$1,[1]quests!$1:$1,0)-MATCH($C$1,[1]quests!$1:$1,0)+1),MATCH(E$1,[1]quests!$1:$1,0)-MATCH($C$1,[1]quests!$1:$1,0)+1,FALSE)</f>
        <v>水曜クエスト</v>
      </c>
      <c r="F207" s="6">
        <v>1</v>
      </c>
      <c r="G207" s="4" t="str">
        <f ca="1">VLOOKUP($C207&amp;"_"&amp;$F207,OFFSET([1]stages!$A$1,0,0,COUNTA([1]stages!$A:$A),MATCH(G$1,[1]stages!$2:$2,0)-MATCH("temp_stage",[1]stages!$2:$2,0)+1),MATCH(G$1,[1]stages!$2:$2,0)-MATCH("temp_stage",[1]stages!$2:$2,0)+1,FALSE)</f>
        <v>【初級】水のチェシャ猫</v>
      </c>
      <c r="H207" s="4" t="str">
        <f ca="1">VLOOKUP($C207&amp;"_"&amp;$F207,OFFSET([1]stages!$A$1,0,0,COUNTA([1]stages!$A:$A),MATCH(H$1,[1]stages!$2:$2,0)-MATCH("temp_stage",[1]stages!$2:$2,0)+1),MATCH(H$1,[1]stages!$2:$2,0)-MATCH("temp_stage",[1]stages!$2:$2,0)+1,FALSE)</f>
        <v>水曜クエスト</v>
      </c>
      <c r="I207" s="19">
        <v>0</v>
      </c>
      <c r="J207" s="6">
        <f>COUNTIF(C$1:C207,C207)</f>
        <v>6</v>
      </c>
      <c r="K207">
        <v>7</v>
      </c>
      <c r="L207" s="6" t="s">
        <v>17</v>
      </c>
      <c r="M207" s="36" t="str">
        <f>VLOOKUP(K207,[2]stage_hints!$A:$C,3,FALSE)</f>
        <v>メタルダックで経験値を獲得</v>
      </c>
      <c r="N207" s="37" t="str">
        <f>VLOOKUP(K207,[2]stage_hints!$A:$D,4,FALSE)</f>
        <v>「メタルなアヒル」を強化素材にすると_x000D_大量の経験値がもらえます</v>
      </c>
      <c r="O207" s="22" t="s">
        <v>117</v>
      </c>
      <c r="P207">
        <v>7</v>
      </c>
    </row>
    <row r="208" spans="1:16" x14ac:dyDescent="0.15">
      <c r="A208" s="29" t="str">
        <f t="shared" ref="A208:A209" si="33">C208&amp;"_"&amp;F208&amp;"_"&amp;J208</f>
        <v>11103_1_7</v>
      </c>
      <c r="B208" s="27" t="s">
        <v>33</v>
      </c>
      <c r="C208" s="5">
        <v>11103</v>
      </c>
      <c r="D208" s="4" t="str">
        <f ca="1">VLOOKUP($C208,OFFSET([1]quests!$A$1,0,0,COUNTA([1]quests!$A:$A),MATCH(D$1,[1]quests!$1:$1,0)-MATCH($C$1,[1]quests!$1:$1,0)+1),MATCH(D$1,[1]quests!$1:$1,0)-MATCH($C$1,[1]quests!$1:$1,0)+1,FALSE)</f>
        <v>【期間限定】 青の素材</v>
      </c>
      <c r="E208" s="4" t="str">
        <f ca="1">VLOOKUP($C208,OFFSET([1]quests!$A$1,0,0,COUNTA([1]quests!$A:$A),MATCH(E$1,[1]quests!$1:$1,0)-MATCH($C$1,[1]quests!$1:$1,0)+1),MATCH(E$1,[1]quests!$1:$1,0)-MATCH($C$1,[1]quests!$1:$1,0)+1,FALSE)</f>
        <v>水曜クエスト</v>
      </c>
      <c r="F208" s="6">
        <v>1</v>
      </c>
      <c r="G208" s="4" t="str">
        <f ca="1">VLOOKUP($C208&amp;"_"&amp;$F208,OFFSET([1]stages!$A$1,0,0,COUNTA([1]stages!$A:$A),MATCH(G$1,[1]stages!$2:$2,0)-MATCH("temp_stage",[1]stages!$2:$2,0)+1),MATCH(G$1,[1]stages!$2:$2,0)-MATCH("temp_stage",[1]stages!$2:$2,0)+1,FALSE)</f>
        <v>【初級】水のチェシャ猫</v>
      </c>
      <c r="H208" s="4" t="str">
        <f ca="1">VLOOKUP($C208&amp;"_"&amp;$F208,OFFSET([1]stages!$A$1,0,0,COUNTA([1]stages!$A:$A),MATCH(H$1,[1]stages!$2:$2,0)-MATCH("temp_stage",[1]stages!$2:$2,0)+1),MATCH(H$1,[1]stages!$2:$2,0)-MATCH("temp_stage",[1]stages!$2:$2,0)+1,FALSE)</f>
        <v>水曜クエスト</v>
      </c>
      <c r="I208" s="19">
        <v>0</v>
      </c>
      <c r="J208" s="6">
        <f>COUNTIF(C$1:C208,C208)</f>
        <v>7</v>
      </c>
      <c r="K208">
        <v>8</v>
      </c>
      <c r="L208" s="6" t="s">
        <v>17</v>
      </c>
      <c r="M208" s="36" t="str">
        <f>VLOOKUP(K208,[2]stage_hints!$A:$C,3,FALSE)</f>
        <v>ゲリラクエストは要チェック</v>
      </c>
      <c r="N208" s="37" t="str">
        <f>VLOOKUP(K208,[2]stage_hints!$A:$D,4,FALSE)</f>
        <v>時間限定の「アヒル捕獲作戦」では_x000D_経験値素材ユニットが多く手に入ります</v>
      </c>
      <c r="O208" s="22" t="s">
        <v>117</v>
      </c>
      <c r="P208">
        <v>8</v>
      </c>
    </row>
    <row r="209" spans="1:16" x14ac:dyDescent="0.15">
      <c r="A209" s="29" t="str">
        <f t="shared" si="33"/>
        <v>11103_1_8</v>
      </c>
      <c r="B209" s="27" t="s">
        <v>33</v>
      </c>
      <c r="C209" s="5">
        <v>11103</v>
      </c>
      <c r="D209" s="4" t="str">
        <f ca="1">VLOOKUP($C209,OFFSET([1]quests!$A$1,0,0,COUNTA([1]quests!$A:$A),MATCH(D$1,[1]quests!$1:$1,0)-MATCH($C$1,[1]quests!$1:$1,0)+1),MATCH(D$1,[1]quests!$1:$1,0)-MATCH($C$1,[1]quests!$1:$1,0)+1,FALSE)</f>
        <v>【期間限定】 青の素材</v>
      </c>
      <c r="E209" s="4" t="str">
        <f ca="1">VLOOKUP($C209,OFFSET([1]quests!$A$1,0,0,COUNTA([1]quests!$A:$A),MATCH(E$1,[1]quests!$1:$1,0)-MATCH($C$1,[1]quests!$1:$1,0)+1),MATCH(E$1,[1]quests!$1:$1,0)-MATCH($C$1,[1]quests!$1:$1,0)+1,FALSE)</f>
        <v>水曜クエスト</v>
      </c>
      <c r="F209" s="6">
        <v>1</v>
      </c>
      <c r="G209" s="4" t="str">
        <f ca="1">VLOOKUP($C209&amp;"_"&amp;$F209,OFFSET([1]stages!$A$1,0,0,COUNTA([1]stages!$A:$A),MATCH(G$1,[1]stages!$2:$2,0)-MATCH("temp_stage",[1]stages!$2:$2,0)+1),MATCH(G$1,[1]stages!$2:$2,0)-MATCH("temp_stage",[1]stages!$2:$2,0)+1,FALSE)</f>
        <v>【初級】水のチェシャ猫</v>
      </c>
      <c r="H209" s="4" t="str">
        <f ca="1">VLOOKUP($C209&amp;"_"&amp;$F209,OFFSET([1]stages!$A$1,0,0,COUNTA([1]stages!$A:$A),MATCH(H$1,[1]stages!$2:$2,0)-MATCH("temp_stage",[1]stages!$2:$2,0)+1),MATCH(H$1,[1]stages!$2:$2,0)-MATCH("temp_stage",[1]stages!$2:$2,0)+1,FALSE)</f>
        <v>水曜クエスト</v>
      </c>
      <c r="I209" s="19">
        <v>0</v>
      </c>
      <c r="J209" s="6">
        <f>COUNTIF(C$1:C209,C209)</f>
        <v>8</v>
      </c>
      <c r="K209">
        <v>9</v>
      </c>
      <c r="L209" s="6" t="s">
        <v>17</v>
      </c>
      <c r="M209" s="36" t="str">
        <f>VLOOKUP(K209,[2]stage_hints!$A:$C,3,FALSE)</f>
        <v>ゴールドダックでビットを獲得</v>
      </c>
      <c r="N209" s="37" t="str">
        <f>VLOOKUP(K209,[2]stage_hints!$A:$D,4,FALSE)</f>
        <v>「ゴールドなアヒル」を売却すると_x000D_大量のビットがもらえます</v>
      </c>
      <c r="O209" s="22" t="s">
        <v>117</v>
      </c>
      <c r="P209">
        <v>9</v>
      </c>
    </row>
    <row r="210" spans="1:16" x14ac:dyDescent="0.15">
      <c r="A210" s="29" t="str">
        <f t="shared" ref="A210:A222" si="34">C210&amp;"_"&amp;F210&amp;"_"&amp;J210</f>
        <v>11103_1_9</v>
      </c>
      <c r="B210" s="27" t="s">
        <v>33</v>
      </c>
      <c r="C210" s="5">
        <v>11103</v>
      </c>
      <c r="D210" s="4" t="str">
        <f ca="1">VLOOKUP($C210,OFFSET([1]quests!$A$1,0,0,COUNTA([1]quests!$A:$A),MATCH(D$1,[1]quests!$1:$1,0)-MATCH($C$1,[1]quests!$1:$1,0)+1),MATCH(D$1,[1]quests!$1:$1,0)-MATCH($C$1,[1]quests!$1:$1,0)+1,FALSE)</f>
        <v>【期間限定】 青の素材</v>
      </c>
      <c r="E210" s="4" t="str">
        <f ca="1">VLOOKUP($C210,OFFSET([1]quests!$A$1,0,0,COUNTA([1]quests!$A:$A),MATCH(E$1,[1]quests!$1:$1,0)-MATCH($C$1,[1]quests!$1:$1,0)+1),MATCH(E$1,[1]quests!$1:$1,0)-MATCH($C$1,[1]quests!$1:$1,0)+1,FALSE)</f>
        <v>水曜クエスト</v>
      </c>
      <c r="F210" s="6">
        <v>1</v>
      </c>
      <c r="G210" s="4" t="str">
        <f ca="1">VLOOKUP($C210&amp;"_"&amp;$F210,OFFSET([1]stages!$A$1,0,0,COUNTA([1]stages!$A:$A),MATCH(G$1,[1]stages!$2:$2,0)-MATCH("temp_stage",[1]stages!$2:$2,0)+1),MATCH(G$1,[1]stages!$2:$2,0)-MATCH("temp_stage",[1]stages!$2:$2,0)+1,FALSE)</f>
        <v>【初級】水のチェシャ猫</v>
      </c>
      <c r="H210" s="4" t="str">
        <f ca="1">VLOOKUP($C210&amp;"_"&amp;$F210,OFFSET([1]stages!$A$1,0,0,COUNTA([1]stages!$A:$A),MATCH(H$1,[1]stages!$2:$2,0)-MATCH("temp_stage",[1]stages!$2:$2,0)+1),MATCH(H$1,[1]stages!$2:$2,0)-MATCH("temp_stage",[1]stages!$2:$2,0)+1,FALSE)</f>
        <v>水曜クエスト</v>
      </c>
      <c r="I210" s="19">
        <v>0</v>
      </c>
      <c r="J210" s="6">
        <f>COUNTIF(C$1:C210,C210)</f>
        <v>9</v>
      </c>
      <c r="K210">
        <v>10</v>
      </c>
      <c r="L210" s="6" t="s">
        <v>17</v>
      </c>
      <c r="M210" s="36" t="str">
        <f>VLOOKUP(K210,[2]stage_hints!$A:$C,3,FALSE)</f>
        <v>土日に大量のビットを獲得</v>
      </c>
      <c r="N210" s="37" t="str">
        <f>VLOOKUP(K210,[2]stage_hints!$A:$D,4,FALSE)</f>
        <v>土日限定の「ゴールドカジノ」では_x000D_売却素材ユニットが多く手に入ります</v>
      </c>
      <c r="O210" s="22" t="s">
        <v>117</v>
      </c>
      <c r="P210">
        <v>10</v>
      </c>
    </row>
    <row r="211" spans="1:16" x14ac:dyDescent="0.15">
      <c r="A211" s="29" t="str">
        <f t="shared" si="34"/>
        <v>11103_1_10</v>
      </c>
      <c r="B211" s="27" t="s">
        <v>33</v>
      </c>
      <c r="C211" s="5">
        <v>11103</v>
      </c>
      <c r="D211" s="4" t="str">
        <f ca="1">VLOOKUP($C211,OFFSET([1]quests!$A$1,0,0,COUNTA([1]quests!$A:$A),MATCH(D$1,[1]quests!$1:$1,0)-MATCH($C$1,[1]quests!$1:$1,0)+1),MATCH(D$1,[1]quests!$1:$1,0)-MATCH($C$1,[1]quests!$1:$1,0)+1,FALSE)</f>
        <v>【期間限定】 青の素材</v>
      </c>
      <c r="E211" s="4" t="str">
        <f ca="1">VLOOKUP($C211,OFFSET([1]quests!$A$1,0,0,COUNTA([1]quests!$A:$A),MATCH(E$1,[1]quests!$1:$1,0)-MATCH($C$1,[1]quests!$1:$1,0)+1),MATCH(E$1,[1]quests!$1:$1,0)-MATCH($C$1,[1]quests!$1:$1,0)+1,FALSE)</f>
        <v>水曜クエスト</v>
      </c>
      <c r="F211" s="6">
        <v>1</v>
      </c>
      <c r="G211" s="4" t="str">
        <f ca="1">VLOOKUP($C211&amp;"_"&amp;$F211,OFFSET([1]stages!$A$1,0,0,COUNTA([1]stages!$A:$A),MATCH(G$1,[1]stages!$2:$2,0)-MATCH("temp_stage",[1]stages!$2:$2,0)+1),MATCH(G$1,[1]stages!$2:$2,0)-MATCH("temp_stage",[1]stages!$2:$2,0)+1,FALSE)</f>
        <v>【初級】水のチェシャ猫</v>
      </c>
      <c r="H211" s="4" t="str">
        <f ca="1">VLOOKUP($C211&amp;"_"&amp;$F211,OFFSET([1]stages!$A$1,0,0,COUNTA([1]stages!$A:$A),MATCH(H$1,[1]stages!$2:$2,0)-MATCH("temp_stage",[1]stages!$2:$2,0)+1),MATCH(H$1,[1]stages!$2:$2,0)-MATCH("temp_stage",[1]stages!$2:$2,0)+1,FALSE)</f>
        <v>水曜クエスト</v>
      </c>
      <c r="I211" s="19">
        <v>0</v>
      </c>
      <c r="J211" s="6">
        <f>COUNTIF(C$1:C211,C211)</f>
        <v>10</v>
      </c>
      <c r="K211">
        <v>11</v>
      </c>
      <c r="L211" s="6" t="s">
        <v>17</v>
      </c>
      <c r="M211" s="36" t="str">
        <f>VLOOKUP(K211,[2]stage_hints!$A:$C,3,FALSE)</f>
        <v>ランク解放クエスト</v>
      </c>
      <c r="N211" s="37" t="str">
        <f>VLOOKUP(K211,[2]stage_hints!$A:$D,4,FALSE)</f>
        <v>一定ランクに到達すると_x000D_報酬付きのランク開放クエストが現れます</v>
      </c>
      <c r="O211" s="22" t="s">
        <v>117</v>
      </c>
      <c r="P211">
        <v>11</v>
      </c>
    </row>
    <row r="212" spans="1:16" x14ac:dyDescent="0.15">
      <c r="A212" s="29" t="str">
        <f t="shared" si="34"/>
        <v>11103_1_11</v>
      </c>
      <c r="B212" s="27" t="s">
        <v>33</v>
      </c>
      <c r="C212" s="5">
        <v>11103</v>
      </c>
      <c r="D212" s="4" t="str">
        <f ca="1">VLOOKUP($C212,OFFSET([1]quests!$A$1,0,0,COUNTA([1]quests!$A:$A),MATCH(D$1,[1]quests!$1:$1,0)-MATCH($C$1,[1]quests!$1:$1,0)+1),MATCH(D$1,[1]quests!$1:$1,0)-MATCH($C$1,[1]quests!$1:$1,0)+1,FALSE)</f>
        <v>【期間限定】 青の素材</v>
      </c>
      <c r="E212" s="4" t="str">
        <f ca="1">VLOOKUP($C212,OFFSET([1]quests!$A$1,0,0,COUNTA([1]quests!$A:$A),MATCH(E$1,[1]quests!$1:$1,0)-MATCH($C$1,[1]quests!$1:$1,0)+1),MATCH(E$1,[1]quests!$1:$1,0)-MATCH($C$1,[1]quests!$1:$1,0)+1,FALSE)</f>
        <v>水曜クエスト</v>
      </c>
      <c r="F212" s="6">
        <v>1</v>
      </c>
      <c r="G212" s="4" t="str">
        <f ca="1">VLOOKUP($C212&amp;"_"&amp;$F212,OFFSET([1]stages!$A$1,0,0,COUNTA([1]stages!$A:$A),MATCH(G$1,[1]stages!$2:$2,0)-MATCH("temp_stage",[1]stages!$2:$2,0)+1),MATCH(G$1,[1]stages!$2:$2,0)-MATCH("temp_stage",[1]stages!$2:$2,0)+1,FALSE)</f>
        <v>【初級】水のチェシャ猫</v>
      </c>
      <c r="H212" s="4" t="str">
        <f ca="1">VLOOKUP($C212&amp;"_"&amp;$F212,OFFSET([1]stages!$A$1,0,0,COUNTA([1]stages!$A:$A),MATCH(H$1,[1]stages!$2:$2,0)-MATCH("temp_stage",[1]stages!$2:$2,0)+1),MATCH(H$1,[1]stages!$2:$2,0)-MATCH("temp_stage",[1]stages!$2:$2,0)+1,FALSE)</f>
        <v>水曜クエスト</v>
      </c>
      <c r="I212" s="19">
        <v>0</v>
      </c>
      <c r="J212" s="6">
        <f>COUNTIF(C$1:C212,C212)</f>
        <v>11</v>
      </c>
      <c r="K212">
        <v>12</v>
      </c>
      <c r="L212" s="6" t="s">
        <v>17</v>
      </c>
      <c r="M212" s="36" t="str">
        <f>VLOOKUP(K212,[2]stage_hints!$A:$C,3,FALSE)</f>
        <v>ユニットのお気に入り登録</v>
      </c>
      <c r="N212" s="37" t="str">
        <f>VLOOKUP(K212,[2]stage_hints!$A:$D,4,FALSE)</f>
        <v>大事なユニットを誤って消さないように_x000D_フォルダから「お気に入り登録」しましょう</v>
      </c>
      <c r="O212" s="22" t="s">
        <v>117</v>
      </c>
      <c r="P212">
        <v>12</v>
      </c>
    </row>
    <row r="213" spans="1:16" x14ac:dyDescent="0.15">
      <c r="A213" s="29" t="str">
        <f t="shared" si="34"/>
        <v>11103_1_12</v>
      </c>
      <c r="B213" s="27" t="s">
        <v>33</v>
      </c>
      <c r="C213" s="5">
        <v>11103</v>
      </c>
      <c r="D213" s="4" t="str">
        <f ca="1">VLOOKUP($C213,OFFSET([1]quests!$A$1,0,0,COUNTA([1]quests!$A:$A),MATCH(D$1,[1]quests!$1:$1,0)-MATCH($C$1,[1]quests!$1:$1,0)+1),MATCH(D$1,[1]quests!$1:$1,0)-MATCH($C$1,[1]quests!$1:$1,0)+1,FALSE)</f>
        <v>【期間限定】 青の素材</v>
      </c>
      <c r="E213" s="4" t="str">
        <f ca="1">VLOOKUP($C213,OFFSET([1]quests!$A$1,0,0,COUNTA([1]quests!$A:$A),MATCH(E$1,[1]quests!$1:$1,0)-MATCH($C$1,[1]quests!$1:$1,0)+1),MATCH(E$1,[1]quests!$1:$1,0)-MATCH($C$1,[1]quests!$1:$1,0)+1,FALSE)</f>
        <v>水曜クエスト</v>
      </c>
      <c r="F213" s="6">
        <v>1</v>
      </c>
      <c r="G213" s="4" t="str">
        <f ca="1">VLOOKUP($C213&amp;"_"&amp;$F213,OFFSET([1]stages!$A$1,0,0,COUNTA([1]stages!$A:$A),MATCH(G$1,[1]stages!$2:$2,0)-MATCH("temp_stage",[1]stages!$2:$2,0)+1),MATCH(G$1,[1]stages!$2:$2,0)-MATCH("temp_stage",[1]stages!$2:$2,0)+1,FALSE)</f>
        <v>【初級】水のチェシャ猫</v>
      </c>
      <c r="H213" s="4" t="str">
        <f ca="1">VLOOKUP($C213&amp;"_"&amp;$F213,OFFSET([1]stages!$A$1,0,0,COUNTA([1]stages!$A:$A),MATCH(H$1,[1]stages!$2:$2,0)-MATCH("temp_stage",[1]stages!$2:$2,0)+1),MATCH(H$1,[1]stages!$2:$2,0)-MATCH("temp_stage",[1]stages!$2:$2,0)+1,FALSE)</f>
        <v>水曜クエスト</v>
      </c>
      <c r="I213" s="19">
        <v>0</v>
      </c>
      <c r="J213" s="6">
        <f>COUNTIF(C$1:C213,C213)</f>
        <v>12</v>
      </c>
      <c r="K213">
        <v>13</v>
      </c>
      <c r="L213" s="6" t="s">
        <v>17</v>
      </c>
      <c r="M213" s="36" t="str">
        <f>VLOOKUP(K213,[2]stage_hints!$A:$C,3,FALSE)</f>
        <v>ユニットの覚醒</v>
      </c>
      <c r="N213" s="37" t="str">
        <f>VLOOKUP(K213,[2]stage_hints!$A:$D,4,FALSE)</f>
        <v>ユニットを覚醒させると_x000D_比べものにならない強さが手に入ります</v>
      </c>
      <c r="O213" s="22" t="s">
        <v>117</v>
      </c>
      <c r="P213">
        <v>13</v>
      </c>
    </row>
    <row r="214" spans="1:16" x14ac:dyDescent="0.15">
      <c r="A214" s="29" t="str">
        <f t="shared" si="34"/>
        <v>11103_1_13</v>
      </c>
      <c r="B214" s="27" t="s">
        <v>33</v>
      </c>
      <c r="C214" s="5">
        <v>11103</v>
      </c>
      <c r="D214" s="4" t="str">
        <f ca="1">VLOOKUP($C214,OFFSET([1]quests!$A$1,0,0,COUNTA([1]quests!$A:$A),MATCH(D$1,[1]quests!$1:$1,0)-MATCH($C$1,[1]quests!$1:$1,0)+1),MATCH(D$1,[1]quests!$1:$1,0)-MATCH($C$1,[1]quests!$1:$1,0)+1,FALSE)</f>
        <v>【期間限定】 青の素材</v>
      </c>
      <c r="E214" s="4" t="str">
        <f ca="1">VLOOKUP($C214,OFFSET([1]quests!$A$1,0,0,COUNTA([1]quests!$A:$A),MATCH(E$1,[1]quests!$1:$1,0)-MATCH($C$1,[1]quests!$1:$1,0)+1),MATCH(E$1,[1]quests!$1:$1,0)-MATCH($C$1,[1]quests!$1:$1,0)+1,FALSE)</f>
        <v>水曜クエスト</v>
      </c>
      <c r="F214" s="6">
        <v>1</v>
      </c>
      <c r="G214" s="4" t="str">
        <f ca="1">VLOOKUP($C214&amp;"_"&amp;$F214,OFFSET([1]stages!$A$1,0,0,COUNTA([1]stages!$A:$A),MATCH(G$1,[1]stages!$2:$2,0)-MATCH("temp_stage",[1]stages!$2:$2,0)+1),MATCH(G$1,[1]stages!$2:$2,0)-MATCH("temp_stage",[1]stages!$2:$2,0)+1,FALSE)</f>
        <v>【初級】水のチェシャ猫</v>
      </c>
      <c r="H214" s="4" t="str">
        <f ca="1">VLOOKUP($C214&amp;"_"&amp;$F214,OFFSET([1]stages!$A$1,0,0,COUNTA([1]stages!$A:$A),MATCH(H$1,[1]stages!$2:$2,0)-MATCH("temp_stage",[1]stages!$2:$2,0)+1),MATCH(H$1,[1]stages!$2:$2,0)-MATCH("temp_stage",[1]stages!$2:$2,0)+1,FALSE)</f>
        <v>水曜クエスト</v>
      </c>
      <c r="I214" s="19">
        <v>0</v>
      </c>
      <c r="J214" s="6">
        <f>COUNTIF(C$1:C214,C214)</f>
        <v>13</v>
      </c>
      <c r="K214">
        <v>14</v>
      </c>
      <c r="L214" s="6" t="s">
        <v>17</v>
      </c>
      <c r="M214" s="36" t="str">
        <f>VLOOKUP(K214,[2]stage_hints!$A:$C,3,FALSE)</f>
        <v>覚醒するにはレベルを最大に</v>
      </c>
      <c r="N214" s="37" t="str">
        <f>VLOOKUP(K214,[2]stage_hints!$A:$D,4,FALSE)</f>
        <v>覚醒するにはユニットのレベルを_x000D_最大まで上げる必要があります</v>
      </c>
      <c r="O214" s="22" t="s">
        <v>117</v>
      </c>
      <c r="P214">
        <v>14</v>
      </c>
    </row>
    <row r="215" spans="1:16" x14ac:dyDescent="0.15">
      <c r="A215" s="29" t="str">
        <f t="shared" si="34"/>
        <v>11103_1_14</v>
      </c>
      <c r="B215" s="27" t="s">
        <v>33</v>
      </c>
      <c r="C215" s="5">
        <v>11103</v>
      </c>
      <c r="D215" s="4" t="str">
        <f ca="1">VLOOKUP($C215,OFFSET([1]quests!$A$1,0,0,COUNTA([1]quests!$A:$A),MATCH(D$1,[1]quests!$1:$1,0)-MATCH($C$1,[1]quests!$1:$1,0)+1),MATCH(D$1,[1]quests!$1:$1,0)-MATCH($C$1,[1]quests!$1:$1,0)+1,FALSE)</f>
        <v>【期間限定】 青の素材</v>
      </c>
      <c r="E215" s="4" t="str">
        <f ca="1">VLOOKUP($C215,OFFSET([1]quests!$A$1,0,0,COUNTA([1]quests!$A:$A),MATCH(E$1,[1]quests!$1:$1,0)-MATCH($C$1,[1]quests!$1:$1,0)+1),MATCH(E$1,[1]quests!$1:$1,0)-MATCH($C$1,[1]quests!$1:$1,0)+1,FALSE)</f>
        <v>水曜クエスト</v>
      </c>
      <c r="F215" s="6">
        <v>1</v>
      </c>
      <c r="G215" s="4" t="str">
        <f ca="1">VLOOKUP($C215&amp;"_"&amp;$F215,OFFSET([1]stages!$A$1,0,0,COUNTA([1]stages!$A:$A),MATCH(G$1,[1]stages!$2:$2,0)-MATCH("temp_stage",[1]stages!$2:$2,0)+1),MATCH(G$1,[1]stages!$2:$2,0)-MATCH("temp_stage",[1]stages!$2:$2,0)+1,FALSE)</f>
        <v>【初級】水のチェシャ猫</v>
      </c>
      <c r="H215" s="4" t="str">
        <f ca="1">VLOOKUP($C215&amp;"_"&amp;$F215,OFFSET([1]stages!$A$1,0,0,COUNTA([1]stages!$A:$A),MATCH(H$1,[1]stages!$2:$2,0)-MATCH("temp_stage",[1]stages!$2:$2,0)+1),MATCH(H$1,[1]stages!$2:$2,0)-MATCH("temp_stage",[1]stages!$2:$2,0)+1,FALSE)</f>
        <v>水曜クエスト</v>
      </c>
      <c r="I215" s="19">
        <v>0</v>
      </c>
      <c r="J215" s="6">
        <f>COUNTIF(C$1:C215,C215)</f>
        <v>14</v>
      </c>
      <c r="K215">
        <v>15</v>
      </c>
      <c r="L215" s="6" t="s">
        <v>17</v>
      </c>
      <c r="M215" s="36" t="str">
        <f>VLOOKUP(K215,[2]stage_hints!$A:$C,3,FALSE)</f>
        <v>覚醒素材を獲得</v>
      </c>
      <c r="N215" s="37" t="str">
        <f>VLOOKUP(K215,[2]stage_hints!$A:$D,4,FALSE)</f>
        <v>「曜日クエスト」では_x000D_ユニットの覚醒に必要な素材が手に入ります</v>
      </c>
      <c r="O215" s="22" t="s">
        <v>117</v>
      </c>
      <c r="P215">
        <v>15</v>
      </c>
    </row>
    <row r="216" spans="1:16" x14ac:dyDescent="0.15">
      <c r="A216" s="29" t="str">
        <f t="shared" si="34"/>
        <v>11103_1_15</v>
      </c>
      <c r="B216" s="27" t="s">
        <v>33</v>
      </c>
      <c r="C216" s="5">
        <v>11103</v>
      </c>
      <c r="D216" s="4" t="str">
        <f ca="1">VLOOKUP($C216,OFFSET([1]quests!$A$1,0,0,COUNTA([1]quests!$A:$A),MATCH(D$1,[1]quests!$1:$1,0)-MATCH($C$1,[1]quests!$1:$1,0)+1),MATCH(D$1,[1]quests!$1:$1,0)-MATCH($C$1,[1]quests!$1:$1,0)+1,FALSE)</f>
        <v>【期間限定】 青の素材</v>
      </c>
      <c r="E216" s="4" t="str">
        <f ca="1">VLOOKUP($C216,OFFSET([1]quests!$A$1,0,0,COUNTA([1]quests!$A:$A),MATCH(E$1,[1]quests!$1:$1,0)-MATCH($C$1,[1]quests!$1:$1,0)+1),MATCH(E$1,[1]quests!$1:$1,0)-MATCH($C$1,[1]quests!$1:$1,0)+1,FALSE)</f>
        <v>水曜クエスト</v>
      </c>
      <c r="F216" s="6">
        <v>1</v>
      </c>
      <c r="G216" s="4" t="str">
        <f ca="1">VLOOKUP($C216&amp;"_"&amp;$F216,OFFSET([1]stages!$A$1,0,0,COUNTA([1]stages!$A:$A),MATCH(G$1,[1]stages!$2:$2,0)-MATCH("temp_stage",[1]stages!$2:$2,0)+1),MATCH(G$1,[1]stages!$2:$2,0)-MATCH("temp_stage",[1]stages!$2:$2,0)+1,FALSE)</f>
        <v>【初級】水のチェシャ猫</v>
      </c>
      <c r="H216" s="4" t="str">
        <f ca="1">VLOOKUP($C216&amp;"_"&amp;$F216,OFFSET([1]stages!$A$1,0,0,COUNTA([1]stages!$A:$A),MATCH(H$1,[1]stages!$2:$2,0)-MATCH("temp_stage",[1]stages!$2:$2,0)+1),MATCH(H$1,[1]stages!$2:$2,0)-MATCH("temp_stage",[1]stages!$2:$2,0)+1,FALSE)</f>
        <v>水曜クエスト</v>
      </c>
      <c r="I216" s="19">
        <v>0</v>
      </c>
      <c r="J216" s="6">
        <f>COUNTIF(C$1:C216,C216)</f>
        <v>15</v>
      </c>
      <c r="K216">
        <v>16</v>
      </c>
      <c r="L216" s="6" t="s">
        <v>17</v>
      </c>
      <c r="M216" s="36" t="str">
        <f>VLOOKUP(K216,[2]stage_hints!$A:$C,3,FALSE)</f>
        <v>マルチプレイのメリット（その1）</v>
      </c>
      <c r="N216" s="37" t="str">
        <f>VLOOKUP(K216,[2]stage_hints!$A:$D,4,FALSE)</f>
        <v>他のプレイヤーとマルチプレイで遊ぶと_x000D_ポリゴンがもらえます（100人まで）</v>
      </c>
      <c r="O216" s="22" t="s">
        <v>117</v>
      </c>
      <c r="P216">
        <v>16</v>
      </c>
    </row>
    <row r="217" spans="1:16" x14ac:dyDescent="0.15">
      <c r="A217" s="29" t="str">
        <f t="shared" si="34"/>
        <v>11103_1_16</v>
      </c>
      <c r="B217" s="27" t="s">
        <v>33</v>
      </c>
      <c r="C217" s="5">
        <v>11103</v>
      </c>
      <c r="D217" s="4" t="str">
        <f ca="1">VLOOKUP($C217,OFFSET([1]quests!$A$1,0,0,COUNTA([1]quests!$A:$A),MATCH(D$1,[1]quests!$1:$1,0)-MATCH($C$1,[1]quests!$1:$1,0)+1),MATCH(D$1,[1]quests!$1:$1,0)-MATCH($C$1,[1]quests!$1:$1,0)+1,FALSE)</f>
        <v>【期間限定】 青の素材</v>
      </c>
      <c r="E217" s="4" t="str">
        <f ca="1">VLOOKUP($C217,OFFSET([1]quests!$A$1,0,0,COUNTA([1]quests!$A:$A),MATCH(E$1,[1]quests!$1:$1,0)-MATCH($C$1,[1]quests!$1:$1,0)+1),MATCH(E$1,[1]quests!$1:$1,0)-MATCH($C$1,[1]quests!$1:$1,0)+1,FALSE)</f>
        <v>水曜クエスト</v>
      </c>
      <c r="F217" s="6">
        <v>1</v>
      </c>
      <c r="G217" s="4" t="str">
        <f ca="1">VLOOKUP($C217&amp;"_"&amp;$F217,OFFSET([1]stages!$A$1,0,0,COUNTA([1]stages!$A:$A),MATCH(G$1,[1]stages!$2:$2,0)-MATCH("temp_stage",[1]stages!$2:$2,0)+1),MATCH(G$1,[1]stages!$2:$2,0)-MATCH("temp_stage",[1]stages!$2:$2,0)+1,FALSE)</f>
        <v>【初級】水のチェシャ猫</v>
      </c>
      <c r="H217" s="4" t="str">
        <f ca="1">VLOOKUP($C217&amp;"_"&amp;$F217,OFFSET([1]stages!$A$1,0,0,COUNTA([1]stages!$A:$A),MATCH(H$1,[1]stages!$2:$2,0)-MATCH("temp_stage",[1]stages!$2:$2,0)+1),MATCH(H$1,[1]stages!$2:$2,0)-MATCH("temp_stage",[1]stages!$2:$2,0)+1,FALSE)</f>
        <v>水曜クエスト</v>
      </c>
      <c r="I217" s="19">
        <v>0</v>
      </c>
      <c r="J217" s="6">
        <f>COUNTIF(C$1:C217,C217)</f>
        <v>16</v>
      </c>
      <c r="K217">
        <v>17</v>
      </c>
      <c r="L217" s="6" t="s">
        <v>17</v>
      </c>
      <c r="M217" s="36" t="str">
        <f>VLOOKUP(K217,[2]stage_hints!$A:$C,3,FALSE)</f>
        <v>リンクガチャ</v>
      </c>
      <c r="N217" s="37" t="str">
        <f>VLOOKUP(K217,[2]stage_hints!$A:$D,4,FALSE)</f>
        <v>無料のリンクガチャを回して_x000D_経験値素材や売却素材を獲得しましょう</v>
      </c>
      <c r="O217" s="22" t="s">
        <v>117</v>
      </c>
      <c r="P217">
        <v>17</v>
      </c>
    </row>
    <row r="218" spans="1:16" x14ac:dyDescent="0.15">
      <c r="A218" s="29" t="str">
        <f t="shared" si="34"/>
        <v>11103_1_17</v>
      </c>
      <c r="B218" s="27" t="s">
        <v>33</v>
      </c>
      <c r="C218" s="5">
        <v>11103</v>
      </c>
      <c r="D218" s="4" t="str">
        <f ca="1">VLOOKUP($C218,OFFSET([1]quests!$A$1,0,0,COUNTA([1]quests!$A:$A),MATCH(D$1,[1]quests!$1:$1,0)-MATCH($C$1,[1]quests!$1:$1,0)+1),MATCH(D$1,[1]quests!$1:$1,0)-MATCH($C$1,[1]quests!$1:$1,0)+1,FALSE)</f>
        <v>【期間限定】 青の素材</v>
      </c>
      <c r="E218" s="4" t="str">
        <f ca="1">VLOOKUP($C218,OFFSET([1]quests!$A$1,0,0,COUNTA([1]quests!$A:$A),MATCH(E$1,[1]quests!$1:$1,0)-MATCH($C$1,[1]quests!$1:$1,0)+1),MATCH(E$1,[1]quests!$1:$1,0)-MATCH($C$1,[1]quests!$1:$1,0)+1,FALSE)</f>
        <v>水曜クエスト</v>
      </c>
      <c r="F218" s="6">
        <v>1</v>
      </c>
      <c r="G218" s="4" t="str">
        <f ca="1">VLOOKUP($C218&amp;"_"&amp;$F218,OFFSET([1]stages!$A$1,0,0,COUNTA([1]stages!$A:$A),MATCH(G$1,[1]stages!$2:$2,0)-MATCH("temp_stage",[1]stages!$2:$2,0)+1),MATCH(G$1,[1]stages!$2:$2,0)-MATCH("temp_stage",[1]stages!$2:$2,0)+1,FALSE)</f>
        <v>【初級】水のチェシャ猫</v>
      </c>
      <c r="H218" s="4" t="str">
        <f ca="1">VLOOKUP($C218&amp;"_"&amp;$F218,OFFSET([1]stages!$A$1,0,0,COUNTA([1]stages!$A:$A),MATCH(H$1,[1]stages!$2:$2,0)-MATCH("temp_stage",[1]stages!$2:$2,0)+1),MATCH(H$1,[1]stages!$2:$2,0)-MATCH("temp_stage",[1]stages!$2:$2,0)+1,FALSE)</f>
        <v>水曜クエスト</v>
      </c>
      <c r="I218" s="19">
        <v>0</v>
      </c>
      <c r="J218" s="6">
        <f>COUNTIF(C$1:C218,C218)</f>
        <v>17</v>
      </c>
      <c r="K218">
        <v>18</v>
      </c>
      <c r="L218" s="6" t="s">
        <v>17</v>
      </c>
      <c r="M218" s="36" t="str">
        <f>VLOOKUP(K218,[2]stage_hints!$A:$C,3,FALSE)</f>
        <v>マルチプレイのメリット（その2）</v>
      </c>
      <c r="N218" s="37" t="str">
        <f>VLOOKUP(K218,[2]stage_hints!$A:$D,4,FALSE)</f>
        <v>マルチプレイならリンクが2倍もらえます_x000D_リンクガチャをたくさん回しましょう</v>
      </c>
      <c r="O218" s="22" t="s">
        <v>117</v>
      </c>
      <c r="P218">
        <v>18</v>
      </c>
    </row>
    <row r="219" spans="1:16" x14ac:dyDescent="0.15">
      <c r="A219" s="29" t="str">
        <f t="shared" si="34"/>
        <v>11103_1_18</v>
      </c>
      <c r="B219" s="27" t="s">
        <v>33</v>
      </c>
      <c r="C219" s="5">
        <v>11103</v>
      </c>
      <c r="D219" s="4" t="str">
        <f ca="1">VLOOKUP($C219,OFFSET([1]quests!$A$1,0,0,COUNTA([1]quests!$A:$A),MATCH(D$1,[1]quests!$1:$1,0)-MATCH($C$1,[1]quests!$1:$1,0)+1),MATCH(D$1,[1]quests!$1:$1,0)-MATCH($C$1,[1]quests!$1:$1,0)+1,FALSE)</f>
        <v>【期間限定】 青の素材</v>
      </c>
      <c r="E219" s="4" t="str">
        <f ca="1">VLOOKUP($C219,OFFSET([1]quests!$A$1,0,0,COUNTA([1]quests!$A:$A),MATCH(E$1,[1]quests!$1:$1,0)-MATCH($C$1,[1]quests!$1:$1,0)+1),MATCH(E$1,[1]quests!$1:$1,0)-MATCH($C$1,[1]quests!$1:$1,0)+1,FALSE)</f>
        <v>水曜クエスト</v>
      </c>
      <c r="F219" s="6">
        <v>1</v>
      </c>
      <c r="G219" s="4" t="str">
        <f ca="1">VLOOKUP($C219&amp;"_"&amp;$F219,OFFSET([1]stages!$A$1,0,0,COUNTA([1]stages!$A:$A),MATCH(G$1,[1]stages!$2:$2,0)-MATCH("temp_stage",[1]stages!$2:$2,0)+1),MATCH(G$1,[1]stages!$2:$2,0)-MATCH("temp_stage",[1]stages!$2:$2,0)+1,FALSE)</f>
        <v>【初級】水のチェシャ猫</v>
      </c>
      <c r="H219" s="4" t="str">
        <f ca="1">VLOOKUP($C219&amp;"_"&amp;$F219,OFFSET([1]stages!$A$1,0,0,COUNTA([1]stages!$A:$A),MATCH(H$1,[1]stages!$2:$2,0)-MATCH("temp_stage",[1]stages!$2:$2,0)+1),MATCH(H$1,[1]stages!$2:$2,0)-MATCH("temp_stage",[1]stages!$2:$2,0)+1,FALSE)</f>
        <v>水曜クエスト</v>
      </c>
      <c r="I219" s="19">
        <v>0</v>
      </c>
      <c r="J219" s="6">
        <f>COUNTIF(C$1:C219,C219)</f>
        <v>18</v>
      </c>
      <c r="K219">
        <v>19</v>
      </c>
      <c r="L219" s="6" t="s">
        <v>17</v>
      </c>
      <c r="M219" s="36" t="str">
        <f>VLOOKUP(K219,[2]stage_hints!$A:$C,3,FALSE)</f>
        <v>ソロ専用チャレンジタワー</v>
      </c>
      <c r="N219" s="37" t="str">
        <f>VLOOKUP(K219,[2]stage_hints!$A:$D,4,FALSE)</f>
        <v>ソロ専用の「チャレンジタワー」では_x000D_各フロアごとにクリア報酬がもらえます</v>
      </c>
      <c r="O219" s="22" t="s">
        <v>117</v>
      </c>
      <c r="P219">
        <v>19</v>
      </c>
    </row>
    <row r="220" spans="1:16" x14ac:dyDescent="0.15">
      <c r="A220" s="29" t="str">
        <f t="shared" si="34"/>
        <v>11103_1_19</v>
      </c>
      <c r="B220" s="27" t="s">
        <v>33</v>
      </c>
      <c r="C220" s="5">
        <v>11103</v>
      </c>
      <c r="D220" s="4" t="str">
        <f ca="1">VLOOKUP($C220,OFFSET([1]quests!$A$1,0,0,COUNTA([1]quests!$A:$A),MATCH(D$1,[1]quests!$1:$1,0)-MATCH($C$1,[1]quests!$1:$1,0)+1),MATCH(D$1,[1]quests!$1:$1,0)-MATCH($C$1,[1]quests!$1:$1,0)+1,FALSE)</f>
        <v>【期間限定】 青の素材</v>
      </c>
      <c r="E220" s="4" t="str">
        <f ca="1">VLOOKUP($C220,OFFSET([1]quests!$A$1,0,0,COUNTA([1]quests!$A:$A),MATCH(E$1,[1]quests!$1:$1,0)-MATCH($C$1,[1]quests!$1:$1,0)+1),MATCH(E$1,[1]quests!$1:$1,0)-MATCH($C$1,[1]quests!$1:$1,0)+1,FALSE)</f>
        <v>水曜クエスト</v>
      </c>
      <c r="F220" s="6">
        <v>1</v>
      </c>
      <c r="G220" s="4" t="str">
        <f ca="1">VLOOKUP($C220&amp;"_"&amp;$F220,OFFSET([1]stages!$A$1,0,0,COUNTA([1]stages!$A:$A),MATCH(G$1,[1]stages!$2:$2,0)-MATCH("temp_stage",[1]stages!$2:$2,0)+1),MATCH(G$1,[1]stages!$2:$2,0)-MATCH("temp_stage",[1]stages!$2:$2,0)+1,FALSE)</f>
        <v>【初級】水のチェシャ猫</v>
      </c>
      <c r="H220" s="4" t="str">
        <f ca="1">VLOOKUP($C220&amp;"_"&amp;$F220,OFFSET([1]stages!$A$1,0,0,COUNTA([1]stages!$A:$A),MATCH(H$1,[1]stages!$2:$2,0)-MATCH("temp_stage",[1]stages!$2:$2,0)+1),MATCH(H$1,[1]stages!$2:$2,0)-MATCH("temp_stage",[1]stages!$2:$2,0)+1,FALSE)</f>
        <v>水曜クエスト</v>
      </c>
      <c r="I220" s="19">
        <v>0</v>
      </c>
      <c r="J220" s="6">
        <f>COUNTIF(C$1:C220,C220)</f>
        <v>19</v>
      </c>
      <c r="K220">
        <v>20</v>
      </c>
      <c r="L220" s="6" t="s">
        <v>17</v>
      </c>
      <c r="M220" s="36" t="str">
        <f>VLOOKUP(K220,[2]stage_hints!$A:$C,3,FALSE)</f>
        <v>マルチプレイのメリット（その3）</v>
      </c>
      <c r="N220" s="37" t="str">
        <f>VLOOKUP(K220,[2]stage_hints!$A:$D,4,FALSE)</f>
        <v>マルチプレイへの参加はエナジー消費ゼロ_x000D_いつでも好きなだけ遊ぶことができます</v>
      </c>
      <c r="O220" s="22" t="s">
        <v>117</v>
      </c>
      <c r="P220">
        <v>20</v>
      </c>
    </row>
    <row r="221" spans="1:16" x14ac:dyDescent="0.15">
      <c r="A221" s="29" t="str">
        <f t="shared" si="34"/>
        <v>11103_1_20</v>
      </c>
      <c r="B221" s="27" t="s">
        <v>33</v>
      </c>
      <c r="C221" s="5">
        <v>11103</v>
      </c>
      <c r="D221" s="4" t="str">
        <f ca="1">VLOOKUP($C221,OFFSET([1]quests!$A$1,0,0,COUNTA([1]quests!$A:$A),MATCH(D$1,[1]quests!$1:$1,0)-MATCH($C$1,[1]quests!$1:$1,0)+1),MATCH(D$1,[1]quests!$1:$1,0)-MATCH($C$1,[1]quests!$1:$1,0)+1,FALSE)</f>
        <v>【期間限定】 青の素材</v>
      </c>
      <c r="E221" s="4" t="str">
        <f ca="1">VLOOKUP($C221,OFFSET([1]quests!$A$1,0,0,COUNTA([1]quests!$A:$A),MATCH(E$1,[1]quests!$1:$1,0)-MATCH($C$1,[1]quests!$1:$1,0)+1),MATCH(E$1,[1]quests!$1:$1,0)-MATCH($C$1,[1]quests!$1:$1,0)+1,FALSE)</f>
        <v>水曜クエスト</v>
      </c>
      <c r="F221" s="6">
        <v>1</v>
      </c>
      <c r="G221" s="4" t="str">
        <f ca="1">VLOOKUP($C221&amp;"_"&amp;$F221,OFFSET([1]stages!$A$1,0,0,COUNTA([1]stages!$A:$A),MATCH(G$1,[1]stages!$2:$2,0)-MATCH("temp_stage",[1]stages!$2:$2,0)+1),MATCH(G$1,[1]stages!$2:$2,0)-MATCH("temp_stage",[1]stages!$2:$2,0)+1,FALSE)</f>
        <v>【初級】水のチェシャ猫</v>
      </c>
      <c r="H221" s="4" t="str">
        <f ca="1">VLOOKUP($C221&amp;"_"&amp;$F221,OFFSET([1]stages!$A$1,0,0,COUNTA([1]stages!$A:$A),MATCH(H$1,[1]stages!$2:$2,0)-MATCH("temp_stage",[1]stages!$2:$2,0)+1),MATCH(H$1,[1]stages!$2:$2,0)-MATCH("temp_stage",[1]stages!$2:$2,0)+1,FALSE)</f>
        <v>水曜クエスト</v>
      </c>
      <c r="I221" s="19">
        <v>0</v>
      </c>
      <c r="J221" s="6">
        <f>COUNTIF(C$1:C221,C221)</f>
        <v>20</v>
      </c>
      <c r="K221">
        <v>21</v>
      </c>
      <c r="L221" s="6" t="s">
        <v>17</v>
      </c>
      <c r="M221" s="36" t="str">
        <f>VLOOKUP(K221,[2]stage_hints!$A:$C,3,FALSE)</f>
        <v>スキルを有効に</v>
      </c>
      <c r="N221" s="37" t="str">
        <f>VLOOKUP(K221,[2]stage_hints!$A:$D,4,FALSE)</f>
        <v>ターン経過でユニットのスキルが使えます_x000D_強力スキルでバトルを有利に進めましょう</v>
      </c>
      <c r="O221" s="22" t="s">
        <v>117</v>
      </c>
      <c r="P221">
        <v>21</v>
      </c>
    </row>
    <row r="222" spans="1:16" x14ac:dyDescent="0.15">
      <c r="A222" s="29" t="str">
        <f t="shared" si="34"/>
        <v>11103_1_21</v>
      </c>
      <c r="B222" s="27" t="s">
        <v>33</v>
      </c>
      <c r="C222" s="5">
        <v>11103</v>
      </c>
      <c r="D222" s="4" t="str">
        <f ca="1">VLOOKUP($C222,OFFSET([1]quests!$A$1,0,0,COUNTA([1]quests!$A:$A),MATCH(D$1,[1]quests!$1:$1,0)-MATCH($C$1,[1]quests!$1:$1,0)+1),MATCH(D$1,[1]quests!$1:$1,0)-MATCH($C$1,[1]quests!$1:$1,0)+1,FALSE)</f>
        <v>【期間限定】 青の素材</v>
      </c>
      <c r="E222" s="4" t="str">
        <f ca="1">VLOOKUP($C222,OFFSET([1]quests!$A$1,0,0,COUNTA([1]quests!$A:$A),MATCH(E$1,[1]quests!$1:$1,0)-MATCH($C$1,[1]quests!$1:$1,0)+1),MATCH(E$1,[1]quests!$1:$1,0)-MATCH($C$1,[1]quests!$1:$1,0)+1,FALSE)</f>
        <v>水曜クエスト</v>
      </c>
      <c r="F222" s="6">
        <v>1</v>
      </c>
      <c r="G222" s="4" t="str">
        <f ca="1">VLOOKUP($C222&amp;"_"&amp;$F222,OFFSET([1]stages!$A$1,0,0,COUNTA([1]stages!$A:$A),MATCH(G$1,[1]stages!$2:$2,0)-MATCH("temp_stage",[1]stages!$2:$2,0)+1),MATCH(G$1,[1]stages!$2:$2,0)-MATCH("temp_stage",[1]stages!$2:$2,0)+1,FALSE)</f>
        <v>【初級】水のチェシャ猫</v>
      </c>
      <c r="H222" s="4" t="str">
        <f ca="1">VLOOKUP($C222&amp;"_"&amp;$F222,OFFSET([1]stages!$A$1,0,0,COUNTA([1]stages!$A:$A),MATCH(H$1,[1]stages!$2:$2,0)-MATCH("temp_stage",[1]stages!$2:$2,0)+1),MATCH(H$1,[1]stages!$2:$2,0)-MATCH("temp_stage",[1]stages!$2:$2,0)+1,FALSE)</f>
        <v>水曜クエスト</v>
      </c>
      <c r="I222" s="19">
        <v>0</v>
      </c>
      <c r="J222" s="6">
        <f>COUNTIF(C$1:C222,C222)</f>
        <v>21</v>
      </c>
      <c r="K222">
        <v>22</v>
      </c>
      <c r="L222" s="6" t="s">
        <v>17</v>
      </c>
      <c r="M222" s="36" t="str">
        <f>VLOOKUP(K222,[2]stage_hints!$A:$C,3,FALSE)</f>
        <v>フィーバーで一発逆転（その1）</v>
      </c>
      <c r="N222" s="37" t="str">
        <f>VLOOKUP(K222,[2]stage_hints!$A:$D,4,FALSE)</f>
        <v>フィーバーは攻撃と回復を兼ね備えます_x000D_ピンチからの一発逆転を狙いましょう</v>
      </c>
      <c r="O222" s="22" t="s">
        <v>117</v>
      </c>
      <c r="P222">
        <v>22</v>
      </c>
    </row>
    <row r="223" spans="1:16" x14ac:dyDescent="0.15">
      <c r="A223" s="29" t="str">
        <f t="shared" ref="A223:A225" si="35">C223&amp;"_"&amp;F223&amp;"_"&amp;J223</f>
        <v>11103_1_22</v>
      </c>
      <c r="B223" s="27" t="s">
        <v>33</v>
      </c>
      <c r="C223" s="5">
        <v>11103</v>
      </c>
      <c r="D223" s="4" t="str">
        <f ca="1">VLOOKUP($C223,OFFSET([1]quests!$A$1,0,0,COUNTA([1]quests!$A:$A),MATCH(D$1,[1]quests!$1:$1,0)-MATCH($C$1,[1]quests!$1:$1,0)+1),MATCH(D$1,[1]quests!$1:$1,0)-MATCH($C$1,[1]quests!$1:$1,0)+1,FALSE)</f>
        <v>【期間限定】 青の素材</v>
      </c>
      <c r="E223" s="4" t="str">
        <f ca="1">VLOOKUP($C223,OFFSET([1]quests!$A$1,0,0,COUNTA([1]quests!$A:$A),MATCH(E$1,[1]quests!$1:$1,0)-MATCH($C$1,[1]quests!$1:$1,0)+1),MATCH(E$1,[1]quests!$1:$1,0)-MATCH($C$1,[1]quests!$1:$1,0)+1,FALSE)</f>
        <v>水曜クエスト</v>
      </c>
      <c r="F223" s="6">
        <v>1</v>
      </c>
      <c r="G223" s="4" t="str">
        <f ca="1">VLOOKUP($C223&amp;"_"&amp;$F223,OFFSET([1]stages!$A$1,0,0,COUNTA([1]stages!$A:$A),MATCH(G$1,[1]stages!$2:$2,0)-MATCH("temp_stage",[1]stages!$2:$2,0)+1),MATCH(G$1,[1]stages!$2:$2,0)-MATCH("temp_stage",[1]stages!$2:$2,0)+1,FALSE)</f>
        <v>【初級】水のチェシャ猫</v>
      </c>
      <c r="H223" s="4" t="str">
        <f ca="1">VLOOKUP($C223&amp;"_"&amp;$F223,OFFSET([1]stages!$A$1,0,0,COUNTA([1]stages!$A:$A),MATCH(H$1,[1]stages!$2:$2,0)-MATCH("temp_stage",[1]stages!$2:$2,0)+1),MATCH(H$1,[1]stages!$2:$2,0)-MATCH("temp_stage",[1]stages!$2:$2,0)+1,FALSE)</f>
        <v>水曜クエスト</v>
      </c>
      <c r="I223" s="19">
        <v>0</v>
      </c>
      <c r="J223" s="6">
        <f>COUNTIF(C$1:C223,C223)</f>
        <v>22</v>
      </c>
      <c r="K223">
        <v>23</v>
      </c>
      <c r="L223" s="6" t="s">
        <v>17</v>
      </c>
      <c r="M223" s="36" t="str">
        <f>VLOOKUP(K223,[2]stage_hints!$A:$C,3,FALSE)</f>
        <v>フィーバーで一発逆転（その2）</v>
      </c>
      <c r="N223" s="37" t="str">
        <f>VLOOKUP(K223,[2]stage_hints!$A:$D,4,FALSE)</f>
        <v>フィーバー中は虹色のボムパネルを狙って_x000D_画面上のパネルを一気に破壊しましょう</v>
      </c>
      <c r="O223" s="22" t="s">
        <v>117</v>
      </c>
      <c r="P223">
        <v>23</v>
      </c>
    </row>
    <row r="224" spans="1:16" x14ac:dyDescent="0.15">
      <c r="A224" s="29" t="str">
        <f t="shared" si="35"/>
        <v>11103_1_23</v>
      </c>
      <c r="B224" s="27" t="s">
        <v>33</v>
      </c>
      <c r="C224" s="5">
        <v>11103</v>
      </c>
      <c r="D224" s="4" t="str">
        <f ca="1">VLOOKUP($C224,OFFSET([1]quests!$A$1,0,0,COUNTA([1]quests!$A:$A),MATCH(D$1,[1]quests!$1:$1,0)-MATCH($C$1,[1]quests!$1:$1,0)+1),MATCH(D$1,[1]quests!$1:$1,0)-MATCH($C$1,[1]quests!$1:$1,0)+1,FALSE)</f>
        <v>【期間限定】 青の素材</v>
      </c>
      <c r="E224" s="4" t="str">
        <f ca="1">VLOOKUP($C224,OFFSET([1]quests!$A$1,0,0,COUNTA([1]quests!$A:$A),MATCH(E$1,[1]quests!$1:$1,0)-MATCH($C$1,[1]quests!$1:$1,0)+1),MATCH(E$1,[1]quests!$1:$1,0)-MATCH($C$1,[1]quests!$1:$1,0)+1,FALSE)</f>
        <v>水曜クエスト</v>
      </c>
      <c r="F224" s="6">
        <v>1</v>
      </c>
      <c r="G224" s="4" t="str">
        <f ca="1">VLOOKUP($C224&amp;"_"&amp;$F224,OFFSET([1]stages!$A$1,0,0,COUNTA([1]stages!$A:$A),MATCH(G$1,[1]stages!$2:$2,0)-MATCH("temp_stage",[1]stages!$2:$2,0)+1),MATCH(G$1,[1]stages!$2:$2,0)-MATCH("temp_stage",[1]stages!$2:$2,0)+1,FALSE)</f>
        <v>【初級】水のチェシャ猫</v>
      </c>
      <c r="H224" s="4" t="str">
        <f ca="1">VLOOKUP($C224&amp;"_"&amp;$F224,OFFSET([1]stages!$A$1,0,0,COUNTA([1]stages!$A:$A),MATCH(H$1,[1]stages!$2:$2,0)-MATCH("temp_stage",[1]stages!$2:$2,0)+1),MATCH(H$1,[1]stages!$2:$2,0)-MATCH("temp_stage",[1]stages!$2:$2,0)+1,FALSE)</f>
        <v>水曜クエスト</v>
      </c>
      <c r="I224" s="19">
        <v>0</v>
      </c>
      <c r="J224" s="6">
        <f>COUNTIF(C$1:C224,C224)</f>
        <v>23</v>
      </c>
      <c r="K224">
        <v>24</v>
      </c>
      <c r="L224" s="6" t="s">
        <v>17</v>
      </c>
      <c r="M224" s="36" t="str">
        <f>VLOOKUP(K224,[2]stage_hints!$A:$C,3,FALSE)</f>
        <v>りんごを使って限界突破</v>
      </c>
      <c r="N224" s="37" t="str">
        <f>VLOOKUP(K224,[2]stage_hints!$A:$D,4,FALSE)</f>
        <v>赤りんご(攻撃力) 青りんご(回復力)_x000D_緑りんご(体力)をユニット強化に使うと_x000D_ステータスが限界突破します（計99個迄）</v>
      </c>
      <c r="O224" s="22" t="s">
        <v>117</v>
      </c>
      <c r="P224">
        <v>24</v>
      </c>
    </row>
    <row r="225" spans="1:16" x14ac:dyDescent="0.15">
      <c r="A225" s="29" t="str">
        <f t="shared" si="35"/>
        <v>11103_1_24</v>
      </c>
      <c r="B225" s="27" t="s">
        <v>33</v>
      </c>
      <c r="C225" s="5">
        <v>11103</v>
      </c>
      <c r="D225" s="4" t="str">
        <f ca="1">VLOOKUP($C225,OFFSET([1]quests!$A$1,0,0,COUNTA([1]quests!$A:$A),MATCH(D$1,[1]quests!$1:$1,0)-MATCH($C$1,[1]quests!$1:$1,0)+1),MATCH(D$1,[1]quests!$1:$1,0)-MATCH($C$1,[1]quests!$1:$1,0)+1,FALSE)</f>
        <v>【期間限定】 青の素材</v>
      </c>
      <c r="E225" s="4" t="str">
        <f ca="1">VLOOKUP($C225,OFFSET([1]quests!$A$1,0,0,COUNTA([1]quests!$A:$A),MATCH(E$1,[1]quests!$1:$1,0)-MATCH($C$1,[1]quests!$1:$1,0)+1),MATCH(E$1,[1]quests!$1:$1,0)-MATCH($C$1,[1]quests!$1:$1,0)+1,FALSE)</f>
        <v>水曜クエスト</v>
      </c>
      <c r="F225" s="6">
        <v>1</v>
      </c>
      <c r="G225" s="4" t="str">
        <f ca="1">VLOOKUP($C225&amp;"_"&amp;$F225,OFFSET([1]stages!$A$1,0,0,COUNTA([1]stages!$A:$A),MATCH(G$1,[1]stages!$2:$2,0)-MATCH("temp_stage",[1]stages!$2:$2,0)+1),MATCH(G$1,[1]stages!$2:$2,0)-MATCH("temp_stage",[1]stages!$2:$2,0)+1,FALSE)</f>
        <v>【初級】水のチェシャ猫</v>
      </c>
      <c r="H225" s="4" t="str">
        <f ca="1">VLOOKUP($C225&amp;"_"&amp;$F225,OFFSET([1]stages!$A$1,0,0,COUNTA([1]stages!$A:$A),MATCH(H$1,[1]stages!$2:$2,0)-MATCH("temp_stage",[1]stages!$2:$2,0)+1),MATCH(H$1,[1]stages!$2:$2,0)-MATCH("temp_stage",[1]stages!$2:$2,0)+1,FALSE)</f>
        <v>水曜クエスト</v>
      </c>
      <c r="I225" s="19">
        <v>0</v>
      </c>
      <c r="J225" s="6">
        <f>COUNTIF(C$1:C225,C225)</f>
        <v>24</v>
      </c>
      <c r="K225">
        <v>25</v>
      </c>
      <c r="L225" s="6" t="s">
        <v>17</v>
      </c>
      <c r="M225" s="36" t="str">
        <f>VLOOKUP(K225,[2]stage_hints!$A:$C,3,FALSE)</f>
        <v>スキルレベルアップ</v>
      </c>
      <c r="N225" s="37" t="str">
        <f>VLOOKUP(K225,[2]stage_hints!$A:$D,4,FALSE)</f>
        <v>「クリスタルのりんご」を強化に使うと_x000D_スキルレベルを上げることができます</v>
      </c>
      <c r="O225" s="22" t="s">
        <v>117</v>
      </c>
      <c r="P225">
        <v>25</v>
      </c>
    </row>
    <row r="226" spans="1:16" x14ac:dyDescent="0.15">
      <c r="A226" s="29" t="str">
        <f t="shared" ref="A226:A227" si="36">C226&amp;"_"&amp;F226&amp;"_"&amp;J226</f>
        <v>11103_1_25</v>
      </c>
      <c r="B226" s="27" t="s">
        <v>33</v>
      </c>
      <c r="C226" s="5">
        <v>11103</v>
      </c>
      <c r="D226" s="4" t="str">
        <f ca="1">VLOOKUP($C226,OFFSET([1]quests!$A$1,0,0,COUNTA([1]quests!$A:$A),MATCH(D$1,[1]quests!$1:$1,0)-MATCH($C$1,[1]quests!$1:$1,0)+1),MATCH(D$1,[1]quests!$1:$1,0)-MATCH($C$1,[1]quests!$1:$1,0)+1,FALSE)</f>
        <v>【期間限定】 青の素材</v>
      </c>
      <c r="E226" s="4" t="str">
        <f ca="1">VLOOKUP($C226,OFFSET([1]quests!$A$1,0,0,COUNTA([1]quests!$A:$A),MATCH(E$1,[1]quests!$1:$1,0)-MATCH($C$1,[1]quests!$1:$1,0)+1),MATCH(E$1,[1]quests!$1:$1,0)-MATCH($C$1,[1]quests!$1:$1,0)+1,FALSE)</f>
        <v>水曜クエスト</v>
      </c>
      <c r="F226" s="6">
        <v>1</v>
      </c>
      <c r="G226" s="4" t="str">
        <f ca="1">VLOOKUP($C226&amp;"_"&amp;$F226,OFFSET([1]stages!$A$1,0,0,COUNTA([1]stages!$A:$A),MATCH(G$1,[1]stages!$2:$2,0)-MATCH("temp_stage",[1]stages!$2:$2,0)+1),MATCH(G$1,[1]stages!$2:$2,0)-MATCH("temp_stage",[1]stages!$2:$2,0)+1,FALSE)</f>
        <v>【初級】水のチェシャ猫</v>
      </c>
      <c r="H226" s="4" t="str">
        <f ca="1">VLOOKUP($C226&amp;"_"&amp;$F226,OFFSET([1]stages!$A$1,0,0,COUNTA([1]stages!$A:$A),MATCH(H$1,[1]stages!$2:$2,0)-MATCH("temp_stage",[1]stages!$2:$2,0)+1),MATCH(H$1,[1]stages!$2:$2,0)-MATCH("temp_stage",[1]stages!$2:$2,0)+1,FALSE)</f>
        <v>水曜クエスト</v>
      </c>
      <c r="I226" s="19">
        <v>0</v>
      </c>
      <c r="J226" s="6">
        <f>COUNTIF(C$1:C226,C226)</f>
        <v>25</v>
      </c>
      <c r="K226">
        <v>26</v>
      </c>
      <c r="L226" s="6" t="s">
        <v>17</v>
      </c>
      <c r="M226" s="36" t="str">
        <f>VLOOKUP(K226,[2]stage_hints!$A:$C,3,FALSE)</f>
        <v>スキルレベルの効果</v>
      </c>
      <c r="N226" s="37" t="str">
        <f>VLOOKUP(K226,[2]stage_hints!$A:$D,4,FALSE)</f>
        <v>スキルレベルが上がると_x000D_短いターンでスキルを使うことができます</v>
      </c>
      <c r="O226" s="22" t="s">
        <v>117</v>
      </c>
      <c r="P226">
        <v>26</v>
      </c>
    </row>
    <row r="227" spans="1:16" x14ac:dyDescent="0.15">
      <c r="A227" s="29" t="str">
        <f t="shared" si="36"/>
        <v>11104_1_1</v>
      </c>
      <c r="B227" s="27" t="s">
        <v>33</v>
      </c>
      <c r="C227" s="5">
        <v>11104</v>
      </c>
      <c r="D227" s="4" t="str">
        <f ca="1">VLOOKUP($C227,OFFSET([1]quests!$A$1,0,0,COUNTA([1]quests!$A:$A),MATCH(D$1,[1]quests!$1:$1,0)-MATCH($C$1,[1]quests!$1:$1,0)+1),MATCH(D$1,[1]quests!$1:$1,0)-MATCH($C$1,[1]quests!$1:$1,0)+1,FALSE)</f>
        <v>【期間限定】 緑の素材</v>
      </c>
      <c r="E227" s="4" t="str">
        <f ca="1">VLOOKUP($C227,OFFSET([1]quests!$A$1,0,0,COUNTA([1]quests!$A:$A),MATCH(E$1,[1]quests!$1:$1,0)-MATCH($C$1,[1]quests!$1:$1,0)+1),MATCH(E$1,[1]quests!$1:$1,0)-MATCH($C$1,[1]quests!$1:$1,0)+1,FALSE)</f>
        <v>木曜クエスト</v>
      </c>
      <c r="F227" s="6">
        <v>1</v>
      </c>
      <c r="G227" s="4" t="str">
        <f ca="1">VLOOKUP($C227&amp;"_"&amp;$F227,OFFSET([1]stages!$A$1,0,0,COUNTA([1]stages!$A:$A),MATCH(G$1,[1]stages!$2:$2,0)-MATCH("temp_stage",[1]stages!$2:$2,0)+1),MATCH(G$1,[1]stages!$2:$2,0)-MATCH("temp_stage",[1]stages!$2:$2,0)+1,FALSE)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27" s="4" t="str">
        <f ca="1">VLOOKUP($C227&amp;"_"&amp;$F227,OFFSET([1]stages!$A$1,0,0,COUNTA([1]stages!$A:$A),MATCH(H$1,[1]stages!$2:$2,0)-MATCH("temp_stage",[1]stages!$2:$2,0)+1),MATCH(H$1,[1]stages!$2:$2,0)-MATCH("temp_stage",[1]stages!$2:$2,0)+1,FALSE)</f>
        <v>木曜クエスト</v>
      </c>
      <c r="I227" s="19">
        <v>0</v>
      </c>
      <c r="J227" s="6">
        <f>COUNTIF(C$1:C227,C227)</f>
        <v>1</v>
      </c>
      <c r="K227">
        <v>1</v>
      </c>
      <c r="L227" s="6" t="s">
        <v>17</v>
      </c>
      <c r="M227" s="36" t="str">
        <f>VLOOKUP(K227,[2]stage_hints!$A:$C,3,FALSE)</f>
        <v>長くつなげて大ダメージ</v>
      </c>
      <c r="N227" s="37" t="str">
        <f>VLOOKUP(K227,[2]stage_hints!$A:$D,4,FALSE)</f>
        <v>パネルを長くつなげるほど_x000D_大ダメージを与えることができます</v>
      </c>
      <c r="O227" s="22" t="s">
        <v>117</v>
      </c>
      <c r="P227">
        <v>1</v>
      </c>
    </row>
    <row r="228" spans="1:16" x14ac:dyDescent="0.15">
      <c r="A228" s="29" t="str">
        <f t="shared" ref="A228:A240" si="37">C228&amp;"_"&amp;F228&amp;"_"&amp;J228</f>
        <v>11104_1_2</v>
      </c>
      <c r="B228" s="27" t="s">
        <v>33</v>
      </c>
      <c r="C228" s="5">
        <v>11104</v>
      </c>
      <c r="D228" s="4" t="str">
        <f ca="1">VLOOKUP($C228,OFFSET([1]quests!$A$1,0,0,COUNTA([1]quests!$A:$A),MATCH(D$1,[1]quests!$1:$1,0)-MATCH($C$1,[1]quests!$1:$1,0)+1),MATCH(D$1,[1]quests!$1:$1,0)-MATCH($C$1,[1]quests!$1:$1,0)+1,FALSE)</f>
        <v>【期間限定】 緑の素材</v>
      </c>
      <c r="E228" s="4" t="str">
        <f ca="1">VLOOKUP($C228,OFFSET([1]quests!$A$1,0,0,COUNTA([1]quests!$A:$A),MATCH(E$1,[1]quests!$1:$1,0)-MATCH($C$1,[1]quests!$1:$1,0)+1),MATCH(E$1,[1]quests!$1:$1,0)-MATCH($C$1,[1]quests!$1:$1,0)+1,FALSE)</f>
        <v>木曜クエスト</v>
      </c>
      <c r="F228" s="6">
        <v>1</v>
      </c>
      <c r="G228" s="4" t="str">
        <f ca="1">VLOOKUP($C228&amp;"_"&amp;$F228,OFFSET([1]stages!$A$1,0,0,COUNTA([1]stages!$A:$A),MATCH(G$1,[1]stages!$2:$2,0)-MATCH("temp_stage",[1]stages!$2:$2,0)+1),MATCH(G$1,[1]stages!$2:$2,0)-MATCH("temp_stage",[1]stages!$2:$2,0)+1,FALSE)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28" s="4" t="str">
        <f ca="1">VLOOKUP($C228&amp;"_"&amp;$F228,OFFSET([1]stages!$A$1,0,0,COUNTA([1]stages!$A:$A),MATCH(H$1,[1]stages!$2:$2,0)-MATCH("temp_stage",[1]stages!$2:$2,0)+1),MATCH(H$1,[1]stages!$2:$2,0)-MATCH("temp_stage",[1]stages!$2:$2,0)+1,FALSE)</f>
        <v>木曜クエスト</v>
      </c>
      <c r="I228" s="19">
        <v>0</v>
      </c>
      <c r="J228" s="6">
        <f>COUNTIF(C$1:C228,C228)</f>
        <v>2</v>
      </c>
      <c r="K228">
        <v>2</v>
      </c>
      <c r="L228" s="6" t="s">
        <v>17</v>
      </c>
      <c r="M228" s="36" t="str">
        <f>VLOOKUP(K228,[2]stage_hints!$A:$C,3,FALSE)</f>
        <v>属性の相性</v>
      </c>
      <c r="N228" s="37" t="str">
        <f>VLOOKUP(K228,[2]stage_hints!$A:$D,4,FALSE)</f>
        <v>赤＞青　青＞黄　黄＞緑　緑＞赤_x000D_敵属性に最適なパーティがオススメです</v>
      </c>
      <c r="O228" s="22" t="s">
        <v>117</v>
      </c>
      <c r="P228">
        <v>2</v>
      </c>
    </row>
    <row r="229" spans="1:16" x14ac:dyDescent="0.15">
      <c r="A229" s="29" t="str">
        <f t="shared" si="37"/>
        <v>11104_1_3</v>
      </c>
      <c r="B229" s="27" t="s">
        <v>33</v>
      </c>
      <c r="C229" s="5">
        <v>11104</v>
      </c>
      <c r="D229" s="4" t="str">
        <f ca="1">VLOOKUP($C229,OFFSET([1]quests!$A$1,0,0,COUNTA([1]quests!$A:$A),MATCH(D$1,[1]quests!$1:$1,0)-MATCH($C$1,[1]quests!$1:$1,0)+1),MATCH(D$1,[1]quests!$1:$1,0)-MATCH($C$1,[1]quests!$1:$1,0)+1,FALSE)</f>
        <v>【期間限定】 緑の素材</v>
      </c>
      <c r="E229" s="4" t="str">
        <f ca="1">VLOOKUP($C229,OFFSET([1]quests!$A$1,0,0,COUNTA([1]quests!$A:$A),MATCH(E$1,[1]quests!$1:$1,0)-MATCH($C$1,[1]quests!$1:$1,0)+1),MATCH(E$1,[1]quests!$1:$1,0)-MATCH($C$1,[1]quests!$1:$1,0)+1,FALSE)</f>
        <v>木曜クエスト</v>
      </c>
      <c r="F229" s="6">
        <v>1</v>
      </c>
      <c r="G229" s="4" t="str">
        <f ca="1">VLOOKUP($C229&amp;"_"&amp;$F229,OFFSET([1]stages!$A$1,0,0,COUNTA([1]stages!$A:$A),MATCH(G$1,[1]stages!$2:$2,0)-MATCH("temp_stage",[1]stages!$2:$2,0)+1),MATCH(G$1,[1]stages!$2:$2,0)-MATCH("temp_stage",[1]stages!$2:$2,0)+1,FALSE)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29" s="4" t="str">
        <f ca="1">VLOOKUP($C229&amp;"_"&amp;$F229,OFFSET([1]stages!$A$1,0,0,COUNTA([1]stages!$A:$A),MATCH(H$1,[1]stages!$2:$2,0)-MATCH("temp_stage",[1]stages!$2:$2,0)+1),MATCH(H$1,[1]stages!$2:$2,0)-MATCH("temp_stage",[1]stages!$2:$2,0)+1,FALSE)</f>
        <v>木曜クエスト</v>
      </c>
      <c r="I229" s="19">
        <v>0</v>
      </c>
      <c r="J229" s="6">
        <f>COUNTIF(C$1:C229,C229)</f>
        <v>3</v>
      </c>
      <c r="K229">
        <v>3</v>
      </c>
      <c r="L229" s="6" t="s">
        <v>17</v>
      </c>
      <c r="M229" s="36" t="str">
        <f>VLOOKUP(K229,[2]stage_hints!$A:$C,3,FALSE)</f>
        <v>ターゲット</v>
      </c>
      <c r="N229" s="37" t="str">
        <f>VLOOKUP(K229,[2]stage_hints!$A:$D,4,FALSE)</f>
        <v>敵ユニットをタップすると_x000D_その敵を狙い撃ちできます</v>
      </c>
      <c r="O229" s="22" t="s">
        <v>117</v>
      </c>
      <c r="P229">
        <v>3</v>
      </c>
    </row>
    <row r="230" spans="1:16" x14ac:dyDescent="0.15">
      <c r="A230" s="29" t="str">
        <f t="shared" si="37"/>
        <v>11104_1_4</v>
      </c>
      <c r="B230" s="27" t="s">
        <v>33</v>
      </c>
      <c r="C230" s="5">
        <v>11104</v>
      </c>
      <c r="D230" s="4" t="str">
        <f ca="1">VLOOKUP($C230,OFFSET([1]quests!$A$1,0,0,COUNTA([1]quests!$A:$A),MATCH(D$1,[1]quests!$1:$1,0)-MATCH($C$1,[1]quests!$1:$1,0)+1),MATCH(D$1,[1]quests!$1:$1,0)-MATCH($C$1,[1]quests!$1:$1,0)+1,FALSE)</f>
        <v>【期間限定】 緑の素材</v>
      </c>
      <c r="E230" s="4" t="str">
        <f ca="1">VLOOKUP($C230,OFFSET([1]quests!$A$1,0,0,COUNTA([1]quests!$A:$A),MATCH(E$1,[1]quests!$1:$1,0)-MATCH($C$1,[1]quests!$1:$1,0)+1),MATCH(E$1,[1]quests!$1:$1,0)-MATCH($C$1,[1]quests!$1:$1,0)+1,FALSE)</f>
        <v>木曜クエスト</v>
      </c>
      <c r="F230" s="6">
        <v>1</v>
      </c>
      <c r="G230" s="4" t="str">
        <f ca="1">VLOOKUP($C230&amp;"_"&amp;$F230,OFFSET([1]stages!$A$1,0,0,COUNTA([1]stages!$A:$A),MATCH(G$1,[1]stages!$2:$2,0)-MATCH("temp_stage",[1]stages!$2:$2,0)+1),MATCH(G$1,[1]stages!$2:$2,0)-MATCH("temp_stage",[1]stages!$2:$2,0)+1,FALSE)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30" s="4" t="str">
        <f ca="1">VLOOKUP($C230&amp;"_"&amp;$F230,OFFSET([1]stages!$A$1,0,0,COUNTA([1]stages!$A:$A),MATCH(H$1,[1]stages!$2:$2,0)-MATCH("temp_stage",[1]stages!$2:$2,0)+1),MATCH(H$1,[1]stages!$2:$2,0)-MATCH("temp_stage",[1]stages!$2:$2,0)+1,FALSE)</f>
        <v>木曜クエスト</v>
      </c>
      <c r="I230" s="19">
        <v>0</v>
      </c>
      <c r="J230" s="6">
        <f>COUNTIF(C$1:C230,C230)</f>
        <v>4</v>
      </c>
      <c r="K230">
        <v>5</v>
      </c>
      <c r="L230" s="6" t="s">
        <v>17</v>
      </c>
      <c r="M230" s="36" t="str">
        <f>VLOOKUP(K230,[2]stage_hints!$A:$C,3,FALSE)</f>
        <v>ユニット強化でレベルアップ</v>
      </c>
      <c r="N230" s="37" t="str">
        <f>VLOOKUP(K230,[2]stage_hints!$A:$D,4,FALSE)</f>
        <v>「ユニット強化」でレベルアップすると_x000D_勝てない敵にも勝てるようになります</v>
      </c>
      <c r="O230" s="22" t="s">
        <v>117</v>
      </c>
      <c r="P230">
        <v>5</v>
      </c>
    </row>
    <row r="231" spans="1:16" x14ac:dyDescent="0.15">
      <c r="A231" s="29" t="str">
        <f t="shared" si="37"/>
        <v>11104_1_5</v>
      </c>
      <c r="B231" s="27" t="s">
        <v>33</v>
      </c>
      <c r="C231" s="5">
        <v>11104</v>
      </c>
      <c r="D231" s="4" t="str">
        <f ca="1">VLOOKUP($C231,OFFSET([1]quests!$A$1,0,0,COUNTA([1]quests!$A:$A),MATCH(D$1,[1]quests!$1:$1,0)-MATCH($C$1,[1]quests!$1:$1,0)+1),MATCH(D$1,[1]quests!$1:$1,0)-MATCH($C$1,[1]quests!$1:$1,0)+1,FALSE)</f>
        <v>【期間限定】 緑の素材</v>
      </c>
      <c r="E231" s="4" t="str">
        <f ca="1">VLOOKUP($C231,OFFSET([1]quests!$A$1,0,0,COUNTA([1]quests!$A:$A),MATCH(E$1,[1]quests!$1:$1,0)-MATCH($C$1,[1]quests!$1:$1,0)+1),MATCH(E$1,[1]quests!$1:$1,0)-MATCH($C$1,[1]quests!$1:$1,0)+1,FALSE)</f>
        <v>木曜クエスト</v>
      </c>
      <c r="F231" s="6">
        <v>1</v>
      </c>
      <c r="G231" s="4" t="str">
        <f ca="1">VLOOKUP($C231&amp;"_"&amp;$F231,OFFSET([1]stages!$A$1,0,0,COUNTA([1]stages!$A:$A),MATCH(G$1,[1]stages!$2:$2,0)-MATCH("temp_stage",[1]stages!$2:$2,0)+1),MATCH(G$1,[1]stages!$2:$2,0)-MATCH("temp_stage",[1]stages!$2:$2,0)+1,FALSE)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31" s="4" t="str">
        <f ca="1">VLOOKUP($C231&amp;"_"&amp;$F231,OFFSET([1]stages!$A$1,0,0,COUNTA([1]stages!$A:$A),MATCH(H$1,[1]stages!$2:$2,0)-MATCH("temp_stage",[1]stages!$2:$2,0)+1),MATCH(H$1,[1]stages!$2:$2,0)-MATCH("temp_stage",[1]stages!$2:$2,0)+1,FALSE)</f>
        <v>木曜クエスト</v>
      </c>
      <c r="I231" s="19">
        <v>0</v>
      </c>
      <c r="J231" s="6">
        <f>COUNTIF(C$1:C231,C231)</f>
        <v>5</v>
      </c>
      <c r="K231">
        <v>6</v>
      </c>
      <c r="L231" s="6" t="s">
        <v>17</v>
      </c>
      <c r="M231" s="36" t="str">
        <f>VLOOKUP(K231,[2]stage_hints!$A:$C,3,FALSE)</f>
        <v>ユニット強化の属性ボーナス</v>
      </c>
      <c r="N231" s="37" t="str">
        <f>VLOOKUP(K231,[2]stage_hints!$A:$D,4,FALSE)</f>
        <v>同属性ユニットを強化素材にすると_x000D_経験値が多くもらえます</v>
      </c>
      <c r="O231" s="22" t="s">
        <v>117</v>
      </c>
      <c r="P231">
        <v>6</v>
      </c>
    </row>
    <row r="232" spans="1:16" x14ac:dyDescent="0.15">
      <c r="A232" s="29" t="str">
        <f t="shared" si="37"/>
        <v>11104_1_6</v>
      </c>
      <c r="B232" s="27" t="s">
        <v>33</v>
      </c>
      <c r="C232" s="5">
        <v>11104</v>
      </c>
      <c r="D232" s="4" t="str">
        <f ca="1">VLOOKUP($C232,OFFSET([1]quests!$A$1,0,0,COUNTA([1]quests!$A:$A),MATCH(D$1,[1]quests!$1:$1,0)-MATCH($C$1,[1]quests!$1:$1,0)+1),MATCH(D$1,[1]quests!$1:$1,0)-MATCH($C$1,[1]quests!$1:$1,0)+1,FALSE)</f>
        <v>【期間限定】 緑の素材</v>
      </c>
      <c r="E232" s="4" t="str">
        <f ca="1">VLOOKUP($C232,OFFSET([1]quests!$A$1,0,0,COUNTA([1]quests!$A:$A),MATCH(E$1,[1]quests!$1:$1,0)-MATCH($C$1,[1]quests!$1:$1,0)+1),MATCH(E$1,[1]quests!$1:$1,0)-MATCH($C$1,[1]quests!$1:$1,0)+1,FALSE)</f>
        <v>木曜クエスト</v>
      </c>
      <c r="F232" s="6">
        <v>1</v>
      </c>
      <c r="G232" s="4" t="str">
        <f ca="1">VLOOKUP($C232&amp;"_"&amp;$F232,OFFSET([1]stages!$A$1,0,0,COUNTA([1]stages!$A:$A),MATCH(G$1,[1]stages!$2:$2,0)-MATCH("temp_stage",[1]stages!$2:$2,0)+1),MATCH(G$1,[1]stages!$2:$2,0)-MATCH("temp_stage",[1]stages!$2:$2,0)+1,FALSE)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32" s="4" t="str">
        <f ca="1">VLOOKUP($C232&amp;"_"&amp;$F232,OFFSET([1]stages!$A$1,0,0,COUNTA([1]stages!$A:$A),MATCH(H$1,[1]stages!$2:$2,0)-MATCH("temp_stage",[1]stages!$2:$2,0)+1),MATCH(H$1,[1]stages!$2:$2,0)-MATCH("temp_stage",[1]stages!$2:$2,0)+1,FALSE)</f>
        <v>木曜クエスト</v>
      </c>
      <c r="I232" s="19">
        <v>0</v>
      </c>
      <c r="J232" s="6">
        <f>COUNTIF(C$1:C232,C232)</f>
        <v>6</v>
      </c>
      <c r="K232">
        <v>7</v>
      </c>
      <c r="L232" s="6" t="s">
        <v>17</v>
      </c>
      <c r="M232" s="36" t="str">
        <f>VLOOKUP(K232,[2]stage_hints!$A:$C,3,FALSE)</f>
        <v>メタルダックで経験値を獲得</v>
      </c>
      <c r="N232" s="37" t="str">
        <f>VLOOKUP(K232,[2]stage_hints!$A:$D,4,FALSE)</f>
        <v>「メタルなアヒル」を強化素材にすると_x000D_大量の経験値がもらえます</v>
      </c>
      <c r="O232" s="22" t="s">
        <v>117</v>
      </c>
      <c r="P232">
        <v>7</v>
      </c>
    </row>
    <row r="233" spans="1:16" x14ac:dyDescent="0.15">
      <c r="A233" s="29" t="str">
        <f t="shared" si="37"/>
        <v>11104_1_7</v>
      </c>
      <c r="B233" s="27" t="s">
        <v>33</v>
      </c>
      <c r="C233" s="5">
        <v>11104</v>
      </c>
      <c r="D233" s="4" t="str">
        <f ca="1">VLOOKUP($C233,OFFSET([1]quests!$A$1,0,0,COUNTA([1]quests!$A:$A),MATCH(D$1,[1]quests!$1:$1,0)-MATCH($C$1,[1]quests!$1:$1,0)+1),MATCH(D$1,[1]quests!$1:$1,0)-MATCH($C$1,[1]quests!$1:$1,0)+1,FALSE)</f>
        <v>【期間限定】 緑の素材</v>
      </c>
      <c r="E233" s="4" t="str">
        <f ca="1">VLOOKUP($C233,OFFSET([1]quests!$A$1,0,0,COUNTA([1]quests!$A:$A),MATCH(E$1,[1]quests!$1:$1,0)-MATCH($C$1,[1]quests!$1:$1,0)+1),MATCH(E$1,[1]quests!$1:$1,0)-MATCH($C$1,[1]quests!$1:$1,0)+1,FALSE)</f>
        <v>木曜クエスト</v>
      </c>
      <c r="F233" s="6">
        <v>1</v>
      </c>
      <c r="G233" s="4" t="str">
        <f ca="1">VLOOKUP($C233&amp;"_"&amp;$F233,OFFSET([1]stages!$A$1,0,0,COUNTA([1]stages!$A:$A),MATCH(G$1,[1]stages!$2:$2,0)-MATCH("temp_stage",[1]stages!$2:$2,0)+1),MATCH(G$1,[1]stages!$2:$2,0)-MATCH("temp_stage",[1]stages!$2:$2,0)+1,FALSE)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33" s="4" t="str">
        <f ca="1">VLOOKUP($C233&amp;"_"&amp;$F233,OFFSET([1]stages!$A$1,0,0,COUNTA([1]stages!$A:$A),MATCH(H$1,[1]stages!$2:$2,0)-MATCH("temp_stage",[1]stages!$2:$2,0)+1),MATCH(H$1,[1]stages!$2:$2,0)-MATCH("temp_stage",[1]stages!$2:$2,0)+1,FALSE)</f>
        <v>木曜クエスト</v>
      </c>
      <c r="I233" s="19">
        <v>0</v>
      </c>
      <c r="J233" s="6">
        <f>COUNTIF(C$1:C233,C233)</f>
        <v>7</v>
      </c>
      <c r="K233">
        <v>8</v>
      </c>
      <c r="L233" s="6" t="s">
        <v>17</v>
      </c>
      <c r="M233" s="36" t="str">
        <f>VLOOKUP(K233,[2]stage_hints!$A:$C,3,FALSE)</f>
        <v>ゲリラクエストは要チェック</v>
      </c>
      <c r="N233" s="37" t="str">
        <f>VLOOKUP(K233,[2]stage_hints!$A:$D,4,FALSE)</f>
        <v>時間限定の「アヒル捕獲作戦」では_x000D_経験値素材ユニットが多く手に入ります</v>
      </c>
      <c r="O233" s="22" t="s">
        <v>117</v>
      </c>
      <c r="P233">
        <v>8</v>
      </c>
    </row>
    <row r="234" spans="1:16" x14ac:dyDescent="0.15">
      <c r="A234" s="29" t="str">
        <f t="shared" si="37"/>
        <v>11104_1_8</v>
      </c>
      <c r="B234" s="27" t="s">
        <v>33</v>
      </c>
      <c r="C234" s="5">
        <v>11104</v>
      </c>
      <c r="D234" s="4" t="str">
        <f ca="1">VLOOKUP($C234,OFFSET([1]quests!$A$1,0,0,COUNTA([1]quests!$A:$A),MATCH(D$1,[1]quests!$1:$1,0)-MATCH($C$1,[1]quests!$1:$1,0)+1),MATCH(D$1,[1]quests!$1:$1,0)-MATCH($C$1,[1]quests!$1:$1,0)+1,FALSE)</f>
        <v>【期間限定】 緑の素材</v>
      </c>
      <c r="E234" s="4" t="str">
        <f ca="1">VLOOKUP($C234,OFFSET([1]quests!$A$1,0,0,COUNTA([1]quests!$A:$A),MATCH(E$1,[1]quests!$1:$1,0)-MATCH($C$1,[1]quests!$1:$1,0)+1),MATCH(E$1,[1]quests!$1:$1,0)-MATCH($C$1,[1]quests!$1:$1,0)+1,FALSE)</f>
        <v>木曜クエスト</v>
      </c>
      <c r="F234" s="6">
        <v>1</v>
      </c>
      <c r="G234" s="4" t="str">
        <f ca="1">VLOOKUP($C234&amp;"_"&amp;$F234,OFFSET([1]stages!$A$1,0,0,COUNTA([1]stages!$A:$A),MATCH(G$1,[1]stages!$2:$2,0)-MATCH("temp_stage",[1]stages!$2:$2,0)+1),MATCH(G$1,[1]stages!$2:$2,0)-MATCH("temp_stage",[1]stages!$2:$2,0)+1,FALSE)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34" s="4" t="str">
        <f ca="1">VLOOKUP($C234&amp;"_"&amp;$F234,OFFSET([1]stages!$A$1,0,0,COUNTA([1]stages!$A:$A),MATCH(H$1,[1]stages!$2:$2,0)-MATCH("temp_stage",[1]stages!$2:$2,0)+1),MATCH(H$1,[1]stages!$2:$2,0)-MATCH("temp_stage",[1]stages!$2:$2,0)+1,FALSE)</f>
        <v>木曜クエスト</v>
      </c>
      <c r="I234" s="19">
        <v>0</v>
      </c>
      <c r="J234" s="6">
        <f>COUNTIF(C$1:C234,C234)</f>
        <v>8</v>
      </c>
      <c r="K234">
        <v>9</v>
      </c>
      <c r="L234" s="6" t="s">
        <v>17</v>
      </c>
      <c r="M234" s="36" t="str">
        <f>VLOOKUP(K234,[2]stage_hints!$A:$C,3,FALSE)</f>
        <v>ゴールドダックでビットを獲得</v>
      </c>
      <c r="N234" s="37" t="str">
        <f>VLOOKUP(K234,[2]stage_hints!$A:$D,4,FALSE)</f>
        <v>「ゴールドなアヒル」を売却すると_x000D_大量のビットがもらえます</v>
      </c>
      <c r="O234" s="22" t="s">
        <v>117</v>
      </c>
      <c r="P234">
        <v>9</v>
      </c>
    </row>
    <row r="235" spans="1:16" x14ac:dyDescent="0.15">
      <c r="A235" s="29" t="str">
        <f t="shared" si="37"/>
        <v>11104_1_9</v>
      </c>
      <c r="B235" s="27" t="s">
        <v>33</v>
      </c>
      <c r="C235" s="5">
        <v>11104</v>
      </c>
      <c r="D235" s="4" t="str">
        <f ca="1">VLOOKUP($C235,OFFSET([1]quests!$A$1,0,0,COUNTA([1]quests!$A:$A),MATCH(D$1,[1]quests!$1:$1,0)-MATCH($C$1,[1]quests!$1:$1,0)+1),MATCH(D$1,[1]quests!$1:$1,0)-MATCH($C$1,[1]quests!$1:$1,0)+1,FALSE)</f>
        <v>【期間限定】 緑の素材</v>
      </c>
      <c r="E235" s="4" t="str">
        <f ca="1">VLOOKUP($C235,OFFSET([1]quests!$A$1,0,0,COUNTA([1]quests!$A:$A),MATCH(E$1,[1]quests!$1:$1,0)-MATCH($C$1,[1]quests!$1:$1,0)+1),MATCH(E$1,[1]quests!$1:$1,0)-MATCH($C$1,[1]quests!$1:$1,0)+1,FALSE)</f>
        <v>木曜クエスト</v>
      </c>
      <c r="F235" s="6">
        <v>1</v>
      </c>
      <c r="G235" s="4" t="str">
        <f ca="1">VLOOKUP($C235&amp;"_"&amp;$F235,OFFSET([1]stages!$A$1,0,0,COUNTA([1]stages!$A:$A),MATCH(G$1,[1]stages!$2:$2,0)-MATCH("temp_stage",[1]stages!$2:$2,0)+1),MATCH(G$1,[1]stages!$2:$2,0)-MATCH("temp_stage",[1]stages!$2:$2,0)+1,FALSE)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35" s="4" t="str">
        <f ca="1">VLOOKUP($C235&amp;"_"&amp;$F235,OFFSET([1]stages!$A$1,0,0,COUNTA([1]stages!$A:$A),MATCH(H$1,[1]stages!$2:$2,0)-MATCH("temp_stage",[1]stages!$2:$2,0)+1),MATCH(H$1,[1]stages!$2:$2,0)-MATCH("temp_stage",[1]stages!$2:$2,0)+1,FALSE)</f>
        <v>木曜クエスト</v>
      </c>
      <c r="I235" s="19">
        <v>0</v>
      </c>
      <c r="J235" s="6">
        <f>COUNTIF(C$1:C235,C235)</f>
        <v>9</v>
      </c>
      <c r="K235">
        <v>10</v>
      </c>
      <c r="L235" s="6" t="s">
        <v>17</v>
      </c>
      <c r="M235" s="36" t="str">
        <f>VLOOKUP(K235,[2]stage_hints!$A:$C,3,FALSE)</f>
        <v>土日に大量のビットを獲得</v>
      </c>
      <c r="N235" s="37" t="str">
        <f>VLOOKUP(K235,[2]stage_hints!$A:$D,4,FALSE)</f>
        <v>土日限定の「ゴールドカジノ」では_x000D_売却素材ユニットが多く手に入ります</v>
      </c>
      <c r="O235" s="22" t="s">
        <v>117</v>
      </c>
      <c r="P235">
        <v>10</v>
      </c>
    </row>
    <row r="236" spans="1:16" x14ac:dyDescent="0.15">
      <c r="A236" s="29" t="str">
        <f t="shared" si="37"/>
        <v>11104_1_10</v>
      </c>
      <c r="B236" s="27" t="s">
        <v>33</v>
      </c>
      <c r="C236" s="5">
        <v>11104</v>
      </c>
      <c r="D236" s="4" t="str">
        <f ca="1">VLOOKUP($C236,OFFSET([1]quests!$A$1,0,0,COUNTA([1]quests!$A:$A),MATCH(D$1,[1]quests!$1:$1,0)-MATCH($C$1,[1]quests!$1:$1,0)+1),MATCH(D$1,[1]quests!$1:$1,0)-MATCH($C$1,[1]quests!$1:$1,0)+1,FALSE)</f>
        <v>【期間限定】 緑の素材</v>
      </c>
      <c r="E236" s="4" t="str">
        <f ca="1">VLOOKUP($C236,OFFSET([1]quests!$A$1,0,0,COUNTA([1]quests!$A:$A),MATCH(E$1,[1]quests!$1:$1,0)-MATCH($C$1,[1]quests!$1:$1,0)+1),MATCH(E$1,[1]quests!$1:$1,0)-MATCH($C$1,[1]quests!$1:$1,0)+1,FALSE)</f>
        <v>木曜クエスト</v>
      </c>
      <c r="F236" s="6">
        <v>1</v>
      </c>
      <c r="G236" s="4" t="str">
        <f ca="1">VLOOKUP($C236&amp;"_"&amp;$F236,OFFSET([1]stages!$A$1,0,0,COUNTA([1]stages!$A:$A),MATCH(G$1,[1]stages!$2:$2,0)-MATCH("temp_stage",[1]stages!$2:$2,0)+1),MATCH(G$1,[1]stages!$2:$2,0)-MATCH("temp_stage",[1]stages!$2:$2,0)+1,FALSE)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36" s="4" t="str">
        <f ca="1">VLOOKUP($C236&amp;"_"&amp;$F236,OFFSET([1]stages!$A$1,0,0,COUNTA([1]stages!$A:$A),MATCH(H$1,[1]stages!$2:$2,0)-MATCH("temp_stage",[1]stages!$2:$2,0)+1),MATCH(H$1,[1]stages!$2:$2,0)-MATCH("temp_stage",[1]stages!$2:$2,0)+1,FALSE)</f>
        <v>木曜クエスト</v>
      </c>
      <c r="I236" s="19">
        <v>0</v>
      </c>
      <c r="J236" s="6">
        <f>COUNTIF(C$1:C236,C236)</f>
        <v>10</v>
      </c>
      <c r="K236">
        <v>11</v>
      </c>
      <c r="L236" s="6" t="s">
        <v>17</v>
      </c>
      <c r="M236" s="36" t="str">
        <f>VLOOKUP(K236,[2]stage_hints!$A:$C,3,FALSE)</f>
        <v>ランク解放クエスト</v>
      </c>
      <c r="N236" s="37" t="str">
        <f>VLOOKUP(K236,[2]stage_hints!$A:$D,4,FALSE)</f>
        <v>一定ランクに到達すると_x000D_報酬付きのランク開放クエストが現れます</v>
      </c>
      <c r="O236" s="22" t="s">
        <v>117</v>
      </c>
      <c r="P236">
        <v>11</v>
      </c>
    </row>
    <row r="237" spans="1:16" x14ac:dyDescent="0.15">
      <c r="A237" s="29" t="str">
        <f t="shared" si="37"/>
        <v>11104_1_11</v>
      </c>
      <c r="B237" s="27" t="s">
        <v>33</v>
      </c>
      <c r="C237" s="5">
        <v>11104</v>
      </c>
      <c r="D237" s="4" t="str">
        <f ca="1">VLOOKUP($C237,OFFSET([1]quests!$A$1,0,0,COUNTA([1]quests!$A:$A),MATCH(D$1,[1]quests!$1:$1,0)-MATCH($C$1,[1]quests!$1:$1,0)+1),MATCH(D$1,[1]quests!$1:$1,0)-MATCH($C$1,[1]quests!$1:$1,0)+1,FALSE)</f>
        <v>【期間限定】 緑の素材</v>
      </c>
      <c r="E237" s="4" t="str">
        <f ca="1">VLOOKUP($C237,OFFSET([1]quests!$A$1,0,0,COUNTA([1]quests!$A:$A),MATCH(E$1,[1]quests!$1:$1,0)-MATCH($C$1,[1]quests!$1:$1,0)+1),MATCH(E$1,[1]quests!$1:$1,0)-MATCH($C$1,[1]quests!$1:$1,0)+1,FALSE)</f>
        <v>木曜クエスト</v>
      </c>
      <c r="F237" s="6">
        <v>1</v>
      </c>
      <c r="G237" s="4" t="str">
        <f ca="1">VLOOKUP($C237&amp;"_"&amp;$F237,OFFSET([1]stages!$A$1,0,0,COUNTA([1]stages!$A:$A),MATCH(G$1,[1]stages!$2:$2,0)-MATCH("temp_stage",[1]stages!$2:$2,0)+1),MATCH(G$1,[1]stages!$2:$2,0)-MATCH("temp_stage",[1]stages!$2:$2,0)+1,FALSE)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37" s="4" t="str">
        <f ca="1">VLOOKUP($C237&amp;"_"&amp;$F237,OFFSET([1]stages!$A$1,0,0,COUNTA([1]stages!$A:$A),MATCH(H$1,[1]stages!$2:$2,0)-MATCH("temp_stage",[1]stages!$2:$2,0)+1),MATCH(H$1,[1]stages!$2:$2,0)-MATCH("temp_stage",[1]stages!$2:$2,0)+1,FALSE)</f>
        <v>木曜クエスト</v>
      </c>
      <c r="I237" s="19">
        <v>0</v>
      </c>
      <c r="J237" s="6">
        <f>COUNTIF(C$1:C237,C237)</f>
        <v>11</v>
      </c>
      <c r="K237">
        <v>12</v>
      </c>
      <c r="L237" s="6" t="s">
        <v>17</v>
      </c>
      <c r="M237" s="36" t="str">
        <f>VLOOKUP(K237,[2]stage_hints!$A:$C,3,FALSE)</f>
        <v>ユニットのお気に入り登録</v>
      </c>
      <c r="N237" s="37" t="str">
        <f>VLOOKUP(K237,[2]stage_hints!$A:$D,4,FALSE)</f>
        <v>大事なユニットを誤って消さないように_x000D_フォルダから「お気に入り登録」しましょう</v>
      </c>
      <c r="O237" s="22" t="s">
        <v>117</v>
      </c>
      <c r="P237">
        <v>12</v>
      </c>
    </row>
    <row r="238" spans="1:16" x14ac:dyDescent="0.15">
      <c r="A238" s="29" t="str">
        <f t="shared" si="37"/>
        <v>11104_1_12</v>
      </c>
      <c r="B238" s="27" t="s">
        <v>33</v>
      </c>
      <c r="C238" s="5">
        <v>11104</v>
      </c>
      <c r="D238" s="4" t="str">
        <f ca="1">VLOOKUP($C238,OFFSET([1]quests!$A$1,0,0,COUNTA([1]quests!$A:$A),MATCH(D$1,[1]quests!$1:$1,0)-MATCH($C$1,[1]quests!$1:$1,0)+1),MATCH(D$1,[1]quests!$1:$1,0)-MATCH($C$1,[1]quests!$1:$1,0)+1,FALSE)</f>
        <v>【期間限定】 緑の素材</v>
      </c>
      <c r="E238" s="4" t="str">
        <f ca="1">VLOOKUP($C238,OFFSET([1]quests!$A$1,0,0,COUNTA([1]quests!$A:$A),MATCH(E$1,[1]quests!$1:$1,0)-MATCH($C$1,[1]quests!$1:$1,0)+1),MATCH(E$1,[1]quests!$1:$1,0)-MATCH($C$1,[1]quests!$1:$1,0)+1,FALSE)</f>
        <v>木曜クエスト</v>
      </c>
      <c r="F238" s="6">
        <v>1</v>
      </c>
      <c r="G238" s="4" t="str">
        <f ca="1">VLOOKUP($C238&amp;"_"&amp;$F238,OFFSET([1]stages!$A$1,0,0,COUNTA([1]stages!$A:$A),MATCH(G$1,[1]stages!$2:$2,0)-MATCH("temp_stage",[1]stages!$2:$2,0)+1),MATCH(G$1,[1]stages!$2:$2,0)-MATCH("temp_stage",[1]stages!$2:$2,0)+1,FALSE)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38" s="4" t="str">
        <f ca="1">VLOOKUP($C238&amp;"_"&amp;$F238,OFFSET([1]stages!$A$1,0,0,COUNTA([1]stages!$A:$A),MATCH(H$1,[1]stages!$2:$2,0)-MATCH("temp_stage",[1]stages!$2:$2,0)+1),MATCH(H$1,[1]stages!$2:$2,0)-MATCH("temp_stage",[1]stages!$2:$2,0)+1,FALSE)</f>
        <v>木曜クエスト</v>
      </c>
      <c r="I238" s="19">
        <v>0</v>
      </c>
      <c r="J238" s="6">
        <f>COUNTIF(C$1:C238,C238)</f>
        <v>12</v>
      </c>
      <c r="K238">
        <v>13</v>
      </c>
      <c r="L238" s="6" t="s">
        <v>17</v>
      </c>
      <c r="M238" s="36" t="str">
        <f>VLOOKUP(K238,[2]stage_hints!$A:$C,3,FALSE)</f>
        <v>ユニットの覚醒</v>
      </c>
      <c r="N238" s="37" t="str">
        <f>VLOOKUP(K238,[2]stage_hints!$A:$D,4,FALSE)</f>
        <v>ユニットを覚醒させると_x000D_比べものにならない強さが手に入ります</v>
      </c>
      <c r="O238" s="22" t="s">
        <v>117</v>
      </c>
      <c r="P238">
        <v>13</v>
      </c>
    </row>
    <row r="239" spans="1:16" x14ac:dyDescent="0.15">
      <c r="A239" s="29" t="str">
        <f t="shared" si="37"/>
        <v>11104_1_13</v>
      </c>
      <c r="B239" s="27" t="s">
        <v>33</v>
      </c>
      <c r="C239" s="5">
        <v>11104</v>
      </c>
      <c r="D239" s="4" t="str">
        <f ca="1">VLOOKUP($C239,OFFSET([1]quests!$A$1,0,0,COUNTA([1]quests!$A:$A),MATCH(D$1,[1]quests!$1:$1,0)-MATCH($C$1,[1]quests!$1:$1,0)+1),MATCH(D$1,[1]quests!$1:$1,0)-MATCH($C$1,[1]quests!$1:$1,0)+1,FALSE)</f>
        <v>【期間限定】 緑の素材</v>
      </c>
      <c r="E239" s="4" t="str">
        <f ca="1">VLOOKUP($C239,OFFSET([1]quests!$A$1,0,0,COUNTA([1]quests!$A:$A),MATCH(E$1,[1]quests!$1:$1,0)-MATCH($C$1,[1]quests!$1:$1,0)+1),MATCH(E$1,[1]quests!$1:$1,0)-MATCH($C$1,[1]quests!$1:$1,0)+1,FALSE)</f>
        <v>木曜クエスト</v>
      </c>
      <c r="F239" s="6">
        <v>1</v>
      </c>
      <c r="G239" s="4" t="str">
        <f ca="1">VLOOKUP($C239&amp;"_"&amp;$F239,OFFSET([1]stages!$A$1,0,0,COUNTA([1]stages!$A:$A),MATCH(G$1,[1]stages!$2:$2,0)-MATCH("temp_stage",[1]stages!$2:$2,0)+1),MATCH(G$1,[1]stages!$2:$2,0)-MATCH("temp_stage",[1]stages!$2:$2,0)+1,FALSE)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39" s="4" t="str">
        <f ca="1">VLOOKUP($C239&amp;"_"&amp;$F239,OFFSET([1]stages!$A$1,0,0,COUNTA([1]stages!$A:$A),MATCH(H$1,[1]stages!$2:$2,0)-MATCH("temp_stage",[1]stages!$2:$2,0)+1),MATCH(H$1,[1]stages!$2:$2,0)-MATCH("temp_stage",[1]stages!$2:$2,0)+1,FALSE)</f>
        <v>木曜クエスト</v>
      </c>
      <c r="I239" s="19">
        <v>0</v>
      </c>
      <c r="J239" s="6">
        <f>COUNTIF(C$1:C239,C239)</f>
        <v>13</v>
      </c>
      <c r="K239">
        <v>14</v>
      </c>
      <c r="L239" s="6" t="s">
        <v>17</v>
      </c>
      <c r="M239" s="36" t="str">
        <f>VLOOKUP(K239,[2]stage_hints!$A:$C,3,FALSE)</f>
        <v>覚醒するにはレベルを最大に</v>
      </c>
      <c r="N239" s="37" t="str">
        <f>VLOOKUP(K239,[2]stage_hints!$A:$D,4,FALSE)</f>
        <v>覚醒するにはユニットのレベルを_x000D_最大まで上げる必要があります</v>
      </c>
      <c r="O239" s="22" t="s">
        <v>117</v>
      </c>
      <c r="P239">
        <v>14</v>
      </c>
    </row>
    <row r="240" spans="1:16" x14ac:dyDescent="0.15">
      <c r="A240" s="29" t="str">
        <f t="shared" si="37"/>
        <v>11104_1_14</v>
      </c>
      <c r="B240" s="27" t="s">
        <v>33</v>
      </c>
      <c r="C240" s="5">
        <v>11104</v>
      </c>
      <c r="D240" s="4" t="str">
        <f ca="1">VLOOKUP($C240,OFFSET([1]quests!$A$1,0,0,COUNTA([1]quests!$A:$A),MATCH(D$1,[1]quests!$1:$1,0)-MATCH($C$1,[1]quests!$1:$1,0)+1),MATCH(D$1,[1]quests!$1:$1,0)-MATCH($C$1,[1]quests!$1:$1,0)+1,FALSE)</f>
        <v>【期間限定】 緑の素材</v>
      </c>
      <c r="E240" s="4" t="str">
        <f ca="1">VLOOKUP($C240,OFFSET([1]quests!$A$1,0,0,COUNTA([1]quests!$A:$A),MATCH(E$1,[1]quests!$1:$1,0)-MATCH($C$1,[1]quests!$1:$1,0)+1),MATCH(E$1,[1]quests!$1:$1,0)-MATCH($C$1,[1]quests!$1:$1,0)+1,FALSE)</f>
        <v>木曜クエスト</v>
      </c>
      <c r="F240" s="6">
        <v>1</v>
      </c>
      <c r="G240" s="4" t="str">
        <f ca="1">VLOOKUP($C240&amp;"_"&amp;$F240,OFFSET([1]stages!$A$1,0,0,COUNTA([1]stages!$A:$A),MATCH(G$1,[1]stages!$2:$2,0)-MATCH("temp_stage",[1]stages!$2:$2,0)+1),MATCH(G$1,[1]stages!$2:$2,0)-MATCH("temp_stage",[1]stages!$2:$2,0)+1,FALSE)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40" s="4" t="str">
        <f ca="1">VLOOKUP($C240&amp;"_"&amp;$F240,OFFSET([1]stages!$A$1,0,0,COUNTA([1]stages!$A:$A),MATCH(H$1,[1]stages!$2:$2,0)-MATCH("temp_stage",[1]stages!$2:$2,0)+1),MATCH(H$1,[1]stages!$2:$2,0)-MATCH("temp_stage",[1]stages!$2:$2,0)+1,FALSE)</f>
        <v>木曜クエスト</v>
      </c>
      <c r="I240" s="19">
        <v>0</v>
      </c>
      <c r="J240" s="6">
        <f>COUNTIF(C$1:C240,C240)</f>
        <v>14</v>
      </c>
      <c r="K240">
        <v>15</v>
      </c>
      <c r="L240" s="6" t="s">
        <v>17</v>
      </c>
      <c r="M240" s="36" t="str">
        <f>VLOOKUP(K240,[2]stage_hints!$A:$C,3,FALSE)</f>
        <v>覚醒素材を獲得</v>
      </c>
      <c r="N240" s="37" t="str">
        <f>VLOOKUP(K240,[2]stage_hints!$A:$D,4,FALSE)</f>
        <v>「曜日クエスト」では_x000D_ユニットの覚醒に必要な素材が手に入ります</v>
      </c>
      <c r="O240" s="22" t="s">
        <v>117</v>
      </c>
      <c r="P240">
        <v>15</v>
      </c>
    </row>
    <row r="241" spans="1:16" x14ac:dyDescent="0.15">
      <c r="A241" s="29" t="str">
        <f t="shared" ref="A241:A244" si="38">C241&amp;"_"&amp;F241&amp;"_"&amp;J241</f>
        <v>11104_1_15</v>
      </c>
      <c r="B241" s="27" t="s">
        <v>33</v>
      </c>
      <c r="C241" s="5">
        <v>11104</v>
      </c>
      <c r="D241" s="4" t="str">
        <f ca="1">VLOOKUP($C241,OFFSET([1]quests!$A$1,0,0,COUNTA([1]quests!$A:$A),MATCH(D$1,[1]quests!$1:$1,0)-MATCH($C$1,[1]quests!$1:$1,0)+1),MATCH(D$1,[1]quests!$1:$1,0)-MATCH($C$1,[1]quests!$1:$1,0)+1,FALSE)</f>
        <v>【期間限定】 緑の素材</v>
      </c>
      <c r="E241" s="4" t="str">
        <f ca="1">VLOOKUP($C241,OFFSET([1]quests!$A$1,0,0,COUNTA([1]quests!$A:$A),MATCH(E$1,[1]quests!$1:$1,0)-MATCH($C$1,[1]quests!$1:$1,0)+1),MATCH(E$1,[1]quests!$1:$1,0)-MATCH($C$1,[1]quests!$1:$1,0)+1,FALSE)</f>
        <v>木曜クエスト</v>
      </c>
      <c r="F241" s="6">
        <v>1</v>
      </c>
      <c r="G241" s="4" t="str">
        <f ca="1">VLOOKUP($C241&amp;"_"&amp;$F241,OFFSET([1]stages!$A$1,0,0,COUNTA([1]stages!$A:$A),MATCH(G$1,[1]stages!$2:$2,0)-MATCH("temp_stage",[1]stages!$2:$2,0)+1),MATCH(G$1,[1]stages!$2:$2,0)-MATCH("temp_stage",[1]stages!$2:$2,0)+1,FALSE)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41" s="4" t="str">
        <f ca="1">VLOOKUP($C241&amp;"_"&amp;$F241,OFFSET([1]stages!$A$1,0,0,COUNTA([1]stages!$A:$A),MATCH(H$1,[1]stages!$2:$2,0)-MATCH("temp_stage",[1]stages!$2:$2,0)+1),MATCH(H$1,[1]stages!$2:$2,0)-MATCH("temp_stage",[1]stages!$2:$2,0)+1,FALSE)</f>
        <v>木曜クエスト</v>
      </c>
      <c r="I241" s="19">
        <v>0</v>
      </c>
      <c r="J241" s="6">
        <f>COUNTIF(C$1:C241,C241)</f>
        <v>15</v>
      </c>
      <c r="K241">
        <v>16</v>
      </c>
      <c r="L241" s="6" t="s">
        <v>17</v>
      </c>
      <c r="M241" s="36" t="str">
        <f>VLOOKUP(K241,[2]stage_hints!$A:$C,3,FALSE)</f>
        <v>マルチプレイのメリット（その1）</v>
      </c>
      <c r="N241" s="37" t="str">
        <f>VLOOKUP(K241,[2]stage_hints!$A:$D,4,FALSE)</f>
        <v>他のプレイヤーとマルチプレイで遊ぶと_x000D_ポリゴンがもらえます（100人まで）</v>
      </c>
      <c r="O241" s="22" t="s">
        <v>117</v>
      </c>
      <c r="P241">
        <v>16</v>
      </c>
    </row>
    <row r="242" spans="1:16" x14ac:dyDescent="0.15">
      <c r="A242" s="29" t="str">
        <f t="shared" si="38"/>
        <v>11104_1_16</v>
      </c>
      <c r="B242" s="27" t="s">
        <v>33</v>
      </c>
      <c r="C242" s="5">
        <v>11104</v>
      </c>
      <c r="D242" s="4" t="str">
        <f ca="1">VLOOKUP($C242,OFFSET([1]quests!$A$1,0,0,COUNTA([1]quests!$A:$A),MATCH(D$1,[1]quests!$1:$1,0)-MATCH($C$1,[1]quests!$1:$1,0)+1),MATCH(D$1,[1]quests!$1:$1,0)-MATCH($C$1,[1]quests!$1:$1,0)+1,FALSE)</f>
        <v>【期間限定】 緑の素材</v>
      </c>
      <c r="E242" s="4" t="str">
        <f ca="1">VLOOKUP($C242,OFFSET([1]quests!$A$1,0,0,COUNTA([1]quests!$A:$A),MATCH(E$1,[1]quests!$1:$1,0)-MATCH($C$1,[1]quests!$1:$1,0)+1),MATCH(E$1,[1]quests!$1:$1,0)-MATCH($C$1,[1]quests!$1:$1,0)+1,FALSE)</f>
        <v>木曜クエスト</v>
      </c>
      <c r="F242" s="6">
        <v>1</v>
      </c>
      <c r="G242" s="4" t="str">
        <f ca="1">VLOOKUP($C242&amp;"_"&amp;$F242,OFFSET([1]stages!$A$1,0,0,COUNTA([1]stages!$A:$A),MATCH(G$1,[1]stages!$2:$2,0)-MATCH("temp_stage",[1]stages!$2:$2,0)+1),MATCH(G$1,[1]stages!$2:$2,0)-MATCH("temp_stage",[1]stages!$2:$2,0)+1,FALSE)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42" s="4" t="str">
        <f ca="1">VLOOKUP($C242&amp;"_"&amp;$F242,OFFSET([1]stages!$A$1,0,0,COUNTA([1]stages!$A:$A),MATCH(H$1,[1]stages!$2:$2,0)-MATCH("temp_stage",[1]stages!$2:$2,0)+1),MATCH(H$1,[1]stages!$2:$2,0)-MATCH("temp_stage",[1]stages!$2:$2,0)+1,FALSE)</f>
        <v>木曜クエスト</v>
      </c>
      <c r="I242" s="19">
        <v>0</v>
      </c>
      <c r="J242" s="6">
        <f>COUNTIF(C$1:C242,C242)</f>
        <v>16</v>
      </c>
      <c r="K242">
        <v>17</v>
      </c>
      <c r="L242" s="6" t="s">
        <v>17</v>
      </c>
      <c r="M242" s="36" t="str">
        <f>VLOOKUP(K242,[2]stage_hints!$A:$C,3,FALSE)</f>
        <v>リンクガチャ</v>
      </c>
      <c r="N242" s="37" t="str">
        <f>VLOOKUP(K242,[2]stage_hints!$A:$D,4,FALSE)</f>
        <v>無料のリンクガチャを回して_x000D_経験値素材や売却素材を獲得しましょう</v>
      </c>
      <c r="O242" s="22" t="s">
        <v>117</v>
      </c>
      <c r="P242">
        <v>17</v>
      </c>
    </row>
    <row r="243" spans="1:16" x14ac:dyDescent="0.15">
      <c r="A243" s="29" t="str">
        <f t="shared" si="38"/>
        <v>11104_1_17</v>
      </c>
      <c r="B243" s="27" t="s">
        <v>33</v>
      </c>
      <c r="C243" s="5">
        <v>11104</v>
      </c>
      <c r="D243" s="4" t="str">
        <f ca="1">VLOOKUP($C243,OFFSET([1]quests!$A$1,0,0,COUNTA([1]quests!$A:$A),MATCH(D$1,[1]quests!$1:$1,0)-MATCH($C$1,[1]quests!$1:$1,0)+1),MATCH(D$1,[1]quests!$1:$1,0)-MATCH($C$1,[1]quests!$1:$1,0)+1,FALSE)</f>
        <v>【期間限定】 緑の素材</v>
      </c>
      <c r="E243" s="4" t="str">
        <f ca="1">VLOOKUP($C243,OFFSET([1]quests!$A$1,0,0,COUNTA([1]quests!$A:$A),MATCH(E$1,[1]quests!$1:$1,0)-MATCH($C$1,[1]quests!$1:$1,0)+1),MATCH(E$1,[1]quests!$1:$1,0)-MATCH($C$1,[1]quests!$1:$1,0)+1,FALSE)</f>
        <v>木曜クエスト</v>
      </c>
      <c r="F243" s="6">
        <v>1</v>
      </c>
      <c r="G243" s="4" t="str">
        <f ca="1">VLOOKUP($C243&amp;"_"&amp;$F243,OFFSET([1]stages!$A$1,0,0,COUNTA([1]stages!$A:$A),MATCH(G$1,[1]stages!$2:$2,0)-MATCH("temp_stage",[1]stages!$2:$2,0)+1),MATCH(G$1,[1]stages!$2:$2,0)-MATCH("temp_stage",[1]stages!$2:$2,0)+1,FALSE)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43" s="4" t="str">
        <f ca="1">VLOOKUP($C243&amp;"_"&amp;$F243,OFFSET([1]stages!$A$1,0,0,COUNTA([1]stages!$A:$A),MATCH(H$1,[1]stages!$2:$2,0)-MATCH("temp_stage",[1]stages!$2:$2,0)+1),MATCH(H$1,[1]stages!$2:$2,0)-MATCH("temp_stage",[1]stages!$2:$2,0)+1,FALSE)</f>
        <v>木曜クエスト</v>
      </c>
      <c r="I243" s="19">
        <v>0</v>
      </c>
      <c r="J243" s="6">
        <f>COUNTIF(C$1:C243,C243)</f>
        <v>17</v>
      </c>
      <c r="K243">
        <v>18</v>
      </c>
      <c r="L243" s="6" t="s">
        <v>17</v>
      </c>
      <c r="M243" s="36" t="str">
        <f>VLOOKUP(K243,[2]stage_hints!$A:$C,3,FALSE)</f>
        <v>マルチプレイのメリット（その2）</v>
      </c>
      <c r="N243" s="37" t="str">
        <f>VLOOKUP(K243,[2]stage_hints!$A:$D,4,FALSE)</f>
        <v>マルチプレイならリンクが2倍もらえます_x000D_リンクガチャをたくさん回しましょう</v>
      </c>
      <c r="O243" s="22" t="s">
        <v>117</v>
      </c>
      <c r="P243">
        <v>18</v>
      </c>
    </row>
    <row r="244" spans="1:16" x14ac:dyDescent="0.15">
      <c r="A244" s="29" t="str">
        <f t="shared" si="38"/>
        <v>11104_1_18</v>
      </c>
      <c r="B244" s="27" t="s">
        <v>33</v>
      </c>
      <c r="C244" s="5">
        <v>11104</v>
      </c>
      <c r="D244" s="4" t="str">
        <f ca="1">VLOOKUP($C244,OFFSET([1]quests!$A$1,0,0,COUNTA([1]quests!$A:$A),MATCH(D$1,[1]quests!$1:$1,0)-MATCH($C$1,[1]quests!$1:$1,0)+1),MATCH(D$1,[1]quests!$1:$1,0)-MATCH($C$1,[1]quests!$1:$1,0)+1,FALSE)</f>
        <v>【期間限定】 緑の素材</v>
      </c>
      <c r="E244" s="4" t="str">
        <f ca="1">VLOOKUP($C244,OFFSET([1]quests!$A$1,0,0,COUNTA([1]quests!$A:$A),MATCH(E$1,[1]quests!$1:$1,0)-MATCH($C$1,[1]quests!$1:$1,0)+1),MATCH(E$1,[1]quests!$1:$1,0)-MATCH($C$1,[1]quests!$1:$1,0)+1,FALSE)</f>
        <v>木曜クエスト</v>
      </c>
      <c r="F244" s="6">
        <v>1</v>
      </c>
      <c r="G244" s="4" t="str">
        <f ca="1">VLOOKUP($C244&amp;"_"&amp;$F244,OFFSET([1]stages!$A$1,0,0,COUNTA([1]stages!$A:$A),MATCH(G$1,[1]stages!$2:$2,0)-MATCH("temp_stage",[1]stages!$2:$2,0)+1),MATCH(G$1,[1]stages!$2:$2,0)-MATCH("temp_stage",[1]stages!$2:$2,0)+1,FALSE)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44" s="4" t="str">
        <f ca="1">VLOOKUP($C244&amp;"_"&amp;$F244,OFFSET([1]stages!$A$1,0,0,COUNTA([1]stages!$A:$A),MATCH(H$1,[1]stages!$2:$2,0)-MATCH("temp_stage",[1]stages!$2:$2,0)+1),MATCH(H$1,[1]stages!$2:$2,0)-MATCH("temp_stage",[1]stages!$2:$2,0)+1,FALSE)</f>
        <v>木曜クエスト</v>
      </c>
      <c r="I244" s="19">
        <v>0</v>
      </c>
      <c r="J244" s="6">
        <f>COUNTIF(C$1:C244,C244)</f>
        <v>18</v>
      </c>
      <c r="K244">
        <v>19</v>
      </c>
      <c r="L244" s="6" t="s">
        <v>17</v>
      </c>
      <c r="M244" s="36" t="str">
        <f>VLOOKUP(K244,[2]stage_hints!$A:$C,3,FALSE)</f>
        <v>ソロ専用チャレンジタワー</v>
      </c>
      <c r="N244" s="37" t="str">
        <f>VLOOKUP(K244,[2]stage_hints!$A:$D,4,FALSE)</f>
        <v>ソロ専用の「チャレンジタワー」では_x000D_各フロアごとにクリア報酬がもらえます</v>
      </c>
      <c r="O244" s="22" t="s">
        <v>117</v>
      </c>
      <c r="P244">
        <v>19</v>
      </c>
    </row>
    <row r="245" spans="1:16" x14ac:dyDescent="0.15">
      <c r="A245" s="29" t="str">
        <f t="shared" ref="A245:A246" si="39">C245&amp;"_"&amp;F245&amp;"_"&amp;J245</f>
        <v>11104_1_19</v>
      </c>
      <c r="B245" s="27" t="s">
        <v>33</v>
      </c>
      <c r="C245" s="5">
        <v>11104</v>
      </c>
      <c r="D245" s="4" t="str">
        <f ca="1">VLOOKUP($C245,OFFSET([1]quests!$A$1,0,0,COUNTA([1]quests!$A:$A),MATCH(D$1,[1]quests!$1:$1,0)-MATCH($C$1,[1]quests!$1:$1,0)+1),MATCH(D$1,[1]quests!$1:$1,0)-MATCH($C$1,[1]quests!$1:$1,0)+1,FALSE)</f>
        <v>【期間限定】 緑の素材</v>
      </c>
      <c r="E245" s="4" t="str">
        <f ca="1">VLOOKUP($C245,OFFSET([1]quests!$A$1,0,0,COUNTA([1]quests!$A:$A),MATCH(E$1,[1]quests!$1:$1,0)-MATCH($C$1,[1]quests!$1:$1,0)+1),MATCH(E$1,[1]quests!$1:$1,0)-MATCH($C$1,[1]quests!$1:$1,0)+1,FALSE)</f>
        <v>木曜クエスト</v>
      </c>
      <c r="F245" s="6">
        <v>1</v>
      </c>
      <c r="G245" s="4" t="str">
        <f ca="1">VLOOKUP($C245&amp;"_"&amp;$F245,OFFSET([1]stages!$A$1,0,0,COUNTA([1]stages!$A:$A),MATCH(G$1,[1]stages!$2:$2,0)-MATCH("temp_stage",[1]stages!$2:$2,0)+1),MATCH(G$1,[1]stages!$2:$2,0)-MATCH("temp_stage",[1]stages!$2:$2,0)+1,FALSE)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45" s="4" t="str">
        <f ca="1">VLOOKUP($C245&amp;"_"&amp;$F245,OFFSET([1]stages!$A$1,0,0,COUNTA([1]stages!$A:$A),MATCH(H$1,[1]stages!$2:$2,0)-MATCH("temp_stage",[1]stages!$2:$2,0)+1),MATCH(H$1,[1]stages!$2:$2,0)-MATCH("temp_stage",[1]stages!$2:$2,0)+1,FALSE)</f>
        <v>木曜クエスト</v>
      </c>
      <c r="I245" s="19">
        <v>0</v>
      </c>
      <c r="J245" s="6">
        <f>COUNTIF(C$1:C245,C245)</f>
        <v>19</v>
      </c>
      <c r="K245">
        <v>20</v>
      </c>
      <c r="L245" s="6" t="s">
        <v>17</v>
      </c>
      <c r="M245" s="36" t="str">
        <f>VLOOKUP(K245,[2]stage_hints!$A:$C,3,FALSE)</f>
        <v>マルチプレイのメリット（その3）</v>
      </c>
      <c r="N245" s="37" t="str">
        <f>VLOOKUP(K245,[2]stage_hints!$A:$D,4,FALSE)</f>
        <v>マルチプレイへの参加はエナジー消費ゼロ_x000D_いつでも好きなだけ遊ぶことができます</v>
      </c>
      <c r="O245" s="22" t="s">
        <v>117</v>
      </c>
      <c r="P245">
        <v>20</v>
      </c>
    </row>
    <row r="246" spans="1:16" x14ac:dyDescent="0.15">
      <c r="A246" s="29" t="str">
        <f t="shared" si="39"/>
        <v>11104_1_20</v>
      </c>
      <c r="B246" s="27" t="s">
        <v>33</v>
      </c>
      <c r="C246" s="5">
        <v>11104</v>
      </c>
      <c r="D246" s="4" t="str">
        <f ca="1">VLOOKUP($C246,OFFSET([1]quests!$A$1,0,0,COUNTA([1]quests!$A:$A),MATCH(D$1,[1]quests!$1:$1,0)-MATCH($C$1,[1]quests!$1:$1,0)+1),MATCH(D$1,[1]quests!$1:$1,0)-MATCH($C$1,[1]quests!$1:$1,0)+1,FALSE)</f>
        <v>【期間限定】 緑の素材</v>
      </c>
      <c r="E246" s="4" t="str">
        <f ca="1">VLOOKUP($C246,OFFSET([1]quests!$A$1,0,0,COUNTA([1]quests!$A:$A),MATCH(E$1,[1]quests!$1:$1,0)-MATCH($C$1,[1]quests!$1:$1,0)+1),MATCH(E$1,[1]quests!$1:$1,0)-MATCH($C$1,[1]quests!$1:$1,0)+1,FALSE)</f>
        <v>木曜クエスト</v>
      </c>
      <c r="F246" s="6">
        <v>1</v>
      </c>
      <c r="G246" s="4" t="str">
        <f ca="1">VLOOKUP($C246&amp;"_"&amp;$F246,OFFSET([1]stages!$A$1,0,0,COUNTA([1]stages!$A:$A),MATCH(G$1,[1]stages!$2:$2,0)-MATCH("temp_stage",[1]stages!$2:$2,0)+1),MATCH(G$1,[1]stages!$2:$2,0)-MATCH("temp_stage",[1]stages!$2:$2,0)+1,FALSE)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46" s="4" t="str">
        <f ca="1">VLOOKUP($C246&amp;"_"&amp;$F246,OFFSET([1]stages!$A$1,0,0,COUNTA([1]stages!$A:$A),MATCH(H$1,[1]stages!$2:$2,0)-MATCH("temp_stage",[1]stages!$2:$2,0)+1),MATCH(H$1,[1]stages!$2:$2,0)-MATCH("temp_stage",[1]stages!$2:$2,0)+1,FALSE)</f>
        <v>木曜クエスト</v>
      </c>
      <c r="I246" s="19">
        <v>0</v>
      </c>
      <c r="J246" s="6">
        <f>COUNTIF(C$1:C246,C246)</f>
        <v>20</v>
      </c>
      <c r="K246">
        <v>21</v>
      </c>
      <c r="L246" s="6" t="s">
        <v>17</v>
      </c>
      <c r="M246" s="36" t="str">
        <f>VLOOKUP(K246,[2]stage_hints!$A:$C,3,FALSE)</f>
        <v>スキルを有効に</v>
      </c>
      <c r="N246" s="37" t="str">
        <f>VLOOKUP(K246,[2]stage_hints!$A:$D,4,FALSE)</f>
        <v>ターン経過でユニットのスキルが使えます_x000D_強力スキルでバトルを有利に進めましょう</v>
      </c>
      <c r="O246" s="22" t="s">
        <v>117</v>
      </c>
      <c r="P246">
        <v>21</v>
      </c>
    </row>
    <row r="247" spans="1:16" x14ac:dyDescent="0.15">
      <c r="A247" s="29" t="str">
        <f t="shared" ref="A247:A259" si="40">C247&amp;"_"&amp;F247&amp;"_"&amp;J247</f>
        <v>11104_1_21</v>
      </c>
      <c r="B247" s="27" t="s">
        <v>33</v>
      </c>
      <c r="C247" s="5">
        <v>11104</v>
      </c>
      <c r="D247" s="4" t="str">
        <f ca="1">VLOOKUP($C247,OFFSET([1]quests!$A$1,0,0,COUNTA([1]quests!$A:$A),MATCH(D$1,[1]quests!$1:$1,0)-MATCH($C$1,[1]quests!$1:$1,0)+1),MATCH(D$1,[1]quests!$1:$1,0)-MATCH($C$1,[1]quests!$1:$1,0)+1,FALSE)</f>
        <v>【期間限定】 緑の素材</v>
      </c>
      <c r="E247" s="4" t="str">
        <f ca="1">VLOOKUP($C247,OFFSET([1]quests!$A$1,0,0,COUNTA([1]quests!$A:$A),MATCH(E$1,[1]quests!$1:$1,0)-MATCH($C$1,[1]quests!$1:$1,0)+1),MATCH(E$1,[1]quests!$1:$1,0)-MATCH($C$1,[1]quests!$1:$1,0)+1,FALSE)</f>
        <v>木曜クエスト</v>
      </c>
      <c r="F247" s="6">
        <v>1</v>
      </c>
      <c r="G247" s="4" t="str">
        <f ca="1">VLOOKUP($C247&amp;"_"&amp;$F247,OFFSET([1]stages!$A$1,0,0,COUNTA([1]stages!$A:$A),MATCH(G$1,[1]stages!$2:$2,0)-MATCH("temp_stage",[1]stages!$2:$2,0)+1),MATCH(G$1,[1]stages!$2:$2,0)-MATCH("temp_stage",[1]stages!$2:$2,0)+1,FALSE)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47" s="4" t="str">
        <f ca="1">VLOOKUP($C247&amp;"_"&amp;$F247,OFFSET([1]stages!$A$1,0,0,COUNTA([1]stages!$A:$A),MATCH(H$1,[1]stages!$2:$2,0)-MATCH("temp_stage",[1]stages!$2:$2,0)+1),MATCH(H$1,[1]stages!$2:$2,0)-MATCH("temp_stage",[1]stages!$2:$2,0)+1,FALSE)</f>
        <v>木曜クエスト</v>
      </c>
      <c r="I247" s="19">
        <v>0</v>
      </c>
      <c r="J247" s="6">
        <f>COUNTIF(C$1:C247,C247)</f>
        <v>21</v>
      </c>
      <c r="K247">
        <v>22</v>
      </c>
      <c r="L247" s="6" t="s">
        <v>17</v>
      </c>
      <c r="M247" s="36" t="str">
        <f>VLOOKUP(K247,[2]stage_hints!$A:$C,3,FALSE)</f>
        <v>フィーバーで一発逆転（その1）</v>
      </c>
      <c r="N247" s="37" t="str">
        <f>VLOOKUP(K247,[2]stage_hints!$A:$D,4,FALSE)</f>
        <v>フィーバーは攻撃と回復を兼ね備えます_x000D_ピンチからの一発逆転を狙いましょう</v>
      </c>
      <c r="O247" s="22" t="s">
        <v>117</v>
      </c>
      <c r="P247">
        <v>22</v>
      </c>
    </row>
    <row r="248" spans="1:16" x14ac:dyDescent="0.15">
      <c r="A248" s="29" t="str">
        <f t="shared" si="40"/>
        <v>11104_1_22</v>
      </c>
      <c r="B248" s="27" t="s">
        <v>33</v>
      </c>
      <c r="C248" s="5">
        <v>11104</v>
      </c>
      <c r="D248" s="4" t="str">
        <f ca="1">VLOOKUP($C248,OFFSET([1]quests!$A$1,0,0,COUNTA([1]quests!$A:$A),MATCH(D$1,[1]quests!$1:$1,0)-MATCH($C$1,[1]quests!$1:$1,0)+1),MATCH(D$1,[1]quests!$1:$1,0)-MATCH($C$1,[1]quests!$1:$1,0)+1,FALSE)</f>
        <v>【期間限定】 緑の素材</v>
      </c>
      <c r="E248" s="4" t="str">
        <f ca="1">VLOOKUP($C248,OFFSET([1]quests!$A$1,0,0,COUNTA([1]quests!$A:$A),MATCH(E$1,[1]quests!$1:$1,0)-MATCH($C$1,[1]quests!$1:$1,0)+1),MATCH(E$1,[1]quests!$1:$1,0)-MATCH($C$1,[1]quests!$1:$1,0)+1,FALSE)</f>
        <v>木曜クエスト</v>
      </c>
      <c r="F248" s="6">
        <v>1</v>
      </c>
      <c r="G248" s="4" t="str">
        <f ca="1">VLOOKUP($C248&amp;"_"&amp;$F248,OFFSET([1]stages!$A$1,0,0,COUNTA([1]stages!$A:$A),MATCH(G$1,[1]stages!$2:$2,0)-MATCH("temp_stage",[1]stages!$2:$2,0)+1),MATCH(G$1,[1]stages!$2:$2,0)-MATCH("temp_stage",[1]stages!$2:$2,0)+1,FALSE)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48" s="4" t="str">
        <f ca="1">VLOOKUP($C248&amp;"_"&amp;$F248,OFFSET([1]stages!$A$1,0,0,COUNTA([1]stages!$A:$A),MATCH(H$1,[1]stages!$2:$2,0)-MATCH("temp_stage",[1]stages!$2:$2,0)+1),MATCH(H$1,[1]stages!$2:$2,0)-MATCH("temp_stage",[1]stages!$2:$2,0)+1,FALSE)</f>
        <v>木曜クエスト</v>
      </c>
      <c r="I248" s="19">
        <v>0</v>
      </c>
      <c r="J248" s="6">
        <f>COUNTIF(C$1:C248,C248)</f>
        <v>22</v>
      </c>
      <c r="K248">
        <v>23</v>
      </c>
      <c r="L248" s="6" t="s">
        <v>17</v>
      </c>
      <c r="M248" s="36" t="str">
        <f>VLOOKUP(K248,[2]stage_hints!$A:$C,3,FALSE)</f>
        <v>フィーバーで一発逆転（その2）</v>
      </c>
      <c r="N248" s="37" t="str">
        <f>VLOOKUP(K248,[2]stage_hints!$A:$D,4,FALSE)</f>
        <v>フィーバー中は虹色のボムパネルを狙って_x000D_画面上のパネルを一気に破壊しましょう</v>
      </c>
      <c r="O248" s="22" t="s">
        <v>117</v>
      </c>
      <c r="P248">
        <v>23</v>
      </c>
    </row>
    <row r="249" spans="1:16" x14ac:dyDescent="0.15">
      <c r="A249" s="29" t="str">
        <f t="shared" si="40"/>
        <v>11104_1_23</v>
      </c>
      <c r="B249" s="27" t="s">
        <v>33</v>
      </c>
      <c r="C249" s="5">
        <v>11104</v>
      </c>
      <c r="D249" s="4" t="str">
        <f ca="1">VLOOKUP($C249,OFFSET([1]quests!$A$1,0,0,COUNTA([1]quests!$A:$A),MATCH(D$1,[1]quests!$1:$1,0)-MATCH($C$1,[1]quests!$1:$1,0)+1),MATCH(D$1,[1]quests!$1:$1,0)-MATCH($C$1,[1]quests!$1:$1,0)+1,FALSE)</f>
        <v>【期間限定】 緑の素材</v>
      </c>
      <c r="E249" s="4" t="str">
        <f ca="1">VLOOKUP($C249,OFFSET([1]quests!$A$1,0,0,COUNTA([1]quests!$A:$A),MATCH(E$1,[1]quests!$1:$1,0)-MATCH($C$1,[1]quests!$1:$1,0)+1),MATCH(E$1,[1]quests!$1:$1,0)-MATCH($C$1,[1]quests!$1:$1,0)+1,FALSE)</f>
        <v>木曜クエスト</v>
      </c>
      <c r="F249" s="6">
        <v>1</v>
      </c>
      <c r="G249" s="4" t="str">
        <f ca="1">VLOOKUP($C249&amp;"_"&amp;$F249,OFFSET([1]stages!$A$1,0,0,COUNTA([1]stages!$A:$A),MATCH(G$1,[1]stages!$2:$2,0)-MATCH("temp_stage",[1]stages!$2:$2,0)+1),MATCH(G$1,[1]stages!$2:$2,0)-MATCH("temp_stage",[1]stages!$2:$2,0)+1,FALSE)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49" s="4" t="str">
        <f ca="1">VLOOKUP($C249&amp;"_"&amp;$F249,OFFSET([1]stages!$A$1,0,0,COUNTA([1]stages!$A:$A),MATCH(H$1,[1]stages!$2:$2,0)-MATCH("temp_stage",[1]stages!$2:$2,0)+1),MATCH(H$1,[1]stages!$2:$2,0)-MATCH("temp_stage",[1]stages!$2:$2,0)+1,FALSE)</f>
        <v>木曜クエスト</v>
      </c>
      <c r="I249" s="19">
        <v>0</v>
      </c>
      <c r="J249" s="6">
        <f>COUNTIF(C$1:C249,C249)</f>
        <v>23</v>
      </c>
      <c r="K249">
        <v>24</v>
      </c>
      <c r="L249" s="6" t="s">
        <v>17</v>
      </c>
      <c r="M249" s="36" t="str">
        <f>VLOOKUP(K249,[2]stage_hints!$A:$C,3,FALSE)</f>
        <v>りんごを使って限界突破</v>
      </c>
      <c r="N249" s="37" t="str">
        <f>VLOOKUP(K249,[2]stage_hints!$A:$D,4,FALSE)</f>
        <v>赤りんご(攻撃力) 青りんご(回復力)_x000D_緑りんご(体力)をユニット強化に使うと_x000D_ステータスが限界突破します（計99個迄）</v>
      </c>
      <c r="O249" s="22" t="s">
        <v>117</v>
      </c>
      <c r="P249">
        <v>24</v>
      </c>
    </row>
    <row r="250" spans="1:16" x14ac:dyDescent="0.15">
      <c r="A250" s="29" t="str">
        <f t="shared" si="40"/>
        <v>11104_1_24</v>
      </c>
      <c r="B250" s="27" t="s">
        <v>33</v>
      </c>
      <c r="C250" s="5">
        <v>11104</v>
      </c>
      <c r="D250" s="4" t="str">
        <f ca="1">VLOOKUP($C250,OFFSET([1]quests!$A$1,0,0,COUNTA([1]quests!$A:$A),MATCH(D$1,[1]quests!$1:$1,0)-MATCH($C$1,[1]quests!$1:$1,0)+1),MATCH(D$1,[1]quests!$1:$1,0)-MATCH($C$1,[1]quests!$1:$1,0)+1,FALSE)</f>
        <v>【期間限定】 緑の素材</v>
      </c>
      <c r="E250" s="4" t="str">
        <f ca="1">VLOOKUP($C250,OFFSET([1]quests!$A$1,0,0,COUNTA([1]quests!$A:$A),MATCH(E$1,[1]quests!$1:$1,0)-MATCH($C$1,[1]quests!$1:$1,0)+1),MATCH(E$1,[1]quests!$1:$1,0)-MATCH($C$1,[1]quests!$1:$1,0)+1,FALSE)</f>
        <v>木曜クエスト</v>
      </c>
      <c r="F250" s="6">
        <v>1</v>
      </c>
      <c r="G250" s="4" t="str">
        <f ca="1">VLOOKUP($C250&amp;"_"&amp;$F250,OFFSET([1]stages!$A$1,0,0,COUNTA([1]stages!$A:$A),MATCH(G$1,[1]stages!$2:$2,0)-MATCH("temp_stage",[1]stages!$2:$2,0)+1),MATCH(G$1,[1]stages!$2:$2,0)-MATCH("temp_stage",[1]stages!$2:$2,0)+1,FALSE)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50" s="4" t="str">
        <f ca="1">VLOOKUP($C250&amp;"_"&amp;$F250,OFFSET([1]stages!$A$1,0,0,COUNTA([1]stages!$A:$A),MATCH(H$1,[1]stages!$2:$2,0)-MATCH("temp_stage",[1]stages!$2:$2,0)+1),MATCH(H$1,[1]stages!$2:$2,0)-MATCH("temp_stage",[1]stages!$2:$2,0)+1,FALSE)</f>
        <v>木曜クエスト</v>
      </c>
      <c r="I250" s="19">
        <v>0</v>
      </c>
      <c r="J250" s="6">
        <f>COUNTIF(C$1:C250,C250)</f>
        <v>24</v>
      </c>
      <c r="K250">
        <v>25</v>
      </c>
      <c r="L250" s="6" t="s">
        <v>17</v>
      </c>
      <c r="M250" s="36" t="str">
        <f>VLOOKUP(K250,[2]stage_hints!$A:$C,3,FALSE)</f>
        <v>スキルレベルアップ</v>
      </c>
      <c r="N250" s="37" t="str">
        <f>VLOOKUP(K250,[2]stage_hints!$A:$D,4,FALSE)</f>
        <v>「クリスタルのりんご」を強化に使うと_x000D_スキルレベルを上げることができます</v>
      </c>
      <c r="O250" s="22" t="s">
        <v>117</v>
      </c>
      <c r="P250">
        <v>25</v>
      </c>
    </row>
    <row r="251" spans="1:16" x14ac:dyDescent="0.15">
      <c r="A251" s="29" t="str">
        <f t="shared" si="40"/>
        <v>11104_1_25</v>
      </c>
      <c r="B251" s="27" t="s">
        <v>33</v>
      </c>
      <c r="C251" s="5">
        <v>11104</v>
      </c>
      <c r="D251" s="4" t="str">
        <f ca="1">VLOOKUP($C251,OFFSET([1]quests!$A$1,0,0,COUNTA([1]quests!$A:$A),MATCH(D$1,[1]quests!$1:$1,0)-MATCH($C$1,[1]quests!$1:$1,0)+1),MATCH(D$1,[1]quests!$1:$1,0)-MATCH($C$1,[1]quests!$1:$1,0)+1,FALSE)</f>
        <v>【期間限定】 緑の素材</v>
      </c>
      <c r="E251" s="4" t="str">
        <f ca="1">VLOOKUP($C251,OFFSET([1]quests!$A$1,0,0,COUNTA([1]quests!$A:$A),MATCH(E$1,[1]quests!$1:$1,0)-MATCH($C$1,[1]quests!$1:$1,0)+1),MATCH(E$1,[1]quests!$1:$1,0)-MATCH($C$1,[1]quests!$1:$1,0)+1,FALSE)</f>
        <v>木曜クエスト</v>
      </c>
      <c r="F251" s="6">
        <v>1</v>
      </c>
      <c r="G251" s="4" t="str">
        <f ca="1">VLOOKUP($C251&amp;"_"&amp;$F251,OFFSET([1]stages!$A$1,0,0,COUNTA([1]stages!$A:$A),MATCH(G$1,[1]stages!$2:$2,0)-MATCH("temp_stage",[1]stages!$2:$2,0)+1),MATCH(G$1,[1]stages!$2:$2,0)-MATCH("temp_stage",[1]stages!$2:$2,0)+1,FALSE)</f>
        <v xml:space="preserve">【初級】樹のチェシャ猫 </v>
      </c>
      <c r="H251" s="4" t="str">
        <f ca="1">VLOOKUP($C251&amp;"_"&amp;$F251,OFFSET([1]stages!$A$1,0,0,COUNTA([1]stages!$A:$A),MATCH(H$1,[1]stages!$2:$2,0)-MATCH("temp_stage",[1]stages!$2:$2,0)+1),MATCH(H$1,[1]stages!$2:$2,0)-MATCH("temp_stage",[1]stages!$2:$2,0)+1,FALSE)</f>
        <v>木曜クエスト</v>
      </c>
      <c r="I251" s="19">
        <v>0</v>
      </c>
      <c r="J251" s="6">
        <f>COUNTIF(C$1:C251,C251)</f>
        <v>25</v>
      </c>
      <c r="K251">
        <v>26</v>
      </c>
      <c r="L251" s="6" t="s">
        <v>17</v>
      </c>
      <c r="M251" s="36" t="str">
        <f>VLOOKUP(K251,[2]stage_hints!$A:$C,3,FALSE)</f>
        <v>スキルレベルの効果</v>
      </c>
      <c r="N251" s="37" t="str">
        <f>VLOOKUP(K251,[2]stage_hints!$A:$D,4,FALSE)</f>
        <v>スキルレベルが上がると_x000D_短いターンでスキルを使うことができます</v>
      </c>
      <c r="O251" s="22" t="s">
        <v>117</v>
      </c>
      <c r="P251">
        <v>26</v>
      </c>
    </row>
    <row r="252" spans="1:16" x14ac:dyDescent="0.15">
      <c r="A252" s="29" t="str">
        <f t="shared" si="40"/>
        <v>11006_1_1</v>
      </c>
      <c r="B252" s="27" t="s">
        <v>33</v>
      </c>
      <c r="C252" s="5">
        <v>11006</v>
      </c>
      <c r="D252" s="4" t="str">
        <f ca="1">VLOOKUP($C252,OFFSET([1]quests!$A$1,0,0,COUNTA([1]quests!$A:$A),MATCH(D$1,[1]quests!$1:$1,0)-MATCH($C$1,[1]quests!$1:$1,0)+1),MATCH(D$1,[1]quests!$1:$1,0)-MATCH($C$1,[1]quests!$1:$1,0)+1,FALSE)</f>
        <v>【土日限定】 ゴールドカジノ</v>
      </c>
      <c r="E252" s="4" t="str">
        <f ca="1">VLOOKUP($C252,OFFSET([1]quests!$A$1,0,0,COUNTA([1]quests!$A:$A),MATCH(E$1,[1]quests!$1:$1,0)-MATCH($C$1,[1]quests!$1:$1,0)+1),MATCH(E$1,[1]quests!$1:$1,0)-MATCH($C$1,[1]quests!$1:$1,0)+1,FALSE)</f>
        <v>土日クエスト</v>
      </c>
      <c r="F252" s="6">
        <v>1</v>
      </c>
      <c r="G252" s="4" t="str">
        <f ca="1">VLOOKUP($C252&amp;"_"&amp;$F252,OFFSET([1]stages!$A$1,0,0,COUNTA([1]stages!$A:$A),MATCH(G$1,[1]stages!$2:$2,0)-MATCH("temp_stage",[1]stages!$2:$2,0)+1),MATCH(G$1,[1]stages!$2:$2,0)-MATCH("temp_stage",[1]stages!$2:$2,0)+1,FALSE)</f>
        <v>【初級】ゴールドカジノ</v>
      </c>
      <c r="H252" s="4" t="str">
        <f ca="1">VLOOKUP($C252&amp;"_"&amp;$F252,OFFSET([1]stages!$A$1,0,0,COUNTA([1]stages!$A:$A),MATCH(H$1,[1]stages!$2:$2,0)-MATCH("temp_stage",[1]stages!$2:$2,0)+1),MATCH(H$1,[1]stages!$2:$2,0)-MATCH("temp_stage",[1]stages!$2:$2,0)+1,FALSE)</f>
        <v>土日クエスト</v>
      </c>
      <c r="I252" s="19">
        <v>0</v>
      </c>
      <c r="J252" s="6">
        <f>COUNTIF(C$1:C252,C252)</f>
        <v>1</v>
      </c>
      <c r="K252">
        <v>1</v>
      </c>
      <c r="L252" s="6" t="s">
        <v>17</v>
      </c>
      <c r="M252" s="36" t="str">
        <f>VLOOKUP(K252,[2]stage_hints!$A:$C,3,FALSE)</f>
        <v>長くつなげて大ダメージ</v>
      </c>
      <c r="N252" s="37" t="str">
        <f>VLOOKUP(K252,[2]stage_hints!$A:$D,4,FALSE)</f>
        <v>パネルを長くつなげるほど_x000D_大ダメージを与えることができます</v>
      </c>
      <c r="O252" s="22" t="s">
        <v>117</v>
      </c>
      <c r="P252">
        <v>1</v>
      </c>
    </row>
    <row r="253" spans="1:16" x14ac:dyDescent="0.15">
      <c r="A253" s="29" t="str">
        <f t="shared" si="40"/>
        <v>11006_1_2</v>
      </c>
      <c r="B253" s="27" t="s">
        <v>33</v>
      </c>
      <c r="C253" s="5">
        <v>11006</v>
      </c>
      <c r="D253" s="4" t="str">
        <f ca="1">VLOOKUP($C253,OFFSET([1]quests!$A$1,0,0,COUNTA([1]quests!$A:$A),MATCH(D$1,[1]quests!$1:$1,0)-MATCH($C$1,[1]quests!$1:$1,0)+1),MATCH(D$1,[1]quests!$1:$1,0)-MATCH($C$1,[1]quests!$1:$1,0)+1,FALSE)</f>
        <v>【土日限定】 ゴールドカジノ</v>
      </c>
      <c r="E253" s="4" t="str">
        <f ca="1">VLOOKUP($C253,OFFSET([1]quests!$A$1,0,0,COUNTA([1]quests!$A:$A),MATCH(E$1,[1]quests!$1:$1,0)-MATCH($C$1,[1]quests!$1:$1,0)+1),MATCH(E$1,[1]quests!$1:$1,0)-MATCH($C$1,[1]quests!$1:$1,0)+1,FALSE)</f>
        <v>土日クエスト</v>
      </c>
      <c r="F253" s="6">
        <v>1</v>
      </c>
      <c r="G253" s="4" t="str">
        <f ca="1">VLOOKUP($C253&amp;"_"&amp;$F253,OFFSET([1]stages!$A$1,0,0,COUNTA([1]stages!$A:$A),MATCH(G$1,[1]stages!$2:$2,0)-MATCH("temp_stage",[1]stages!$2:$2,0)+1),MATCH(G$1,[1]stages!$2:$2,0)-MATCH("temp_stage",[1]stages!$2:$2,0)+1,FALSE)</f>
        <v>【初級】ゴールドカジノ</v>
      </c>
      <c r="H253" s="4" t="str">
        <f ca="1">VLOOKUP($C253&amp;"_"&amp;$F253,OFFSET([1]stages!$A$1,0,0,COUNTA([1]stages!$A:$A),MATCH(H$1,[1]stages!$2:$2,0)-MATCH("temp_stage",[1]stages!$2:$2,0)+1),MATCH(H$1,[1]stages!$2:$2,0)-MATCH("temp_stage",[1]stages!$2:$2,0)+1,FALSE)</f>
        <v>土日クエスト</v>
      </c>
      <c r="I253" s="19">
        <v>0</v>
      </c>
      <c r="J253" s="6">
        <f>COUNTIF(C$1:C253,C253)</f>
        <v>2</v>
      </c>
      <c r="K253">
        <v>2</v>
      </c>
      <c r="L253" s="6" t="s">
        <v>17</v>
      </c>
      <c r="M253" s="36" t="str">
        <f>VLOOKUP(K253,[2]stage_hints!$A:$C,3,FALSE)</f>
        <v>属性の相性</v>
      </c>
      <c r="N253" s="37" t="str">
        <f>VLOOKUP(K253,[2]stage_hints!$A:$D,4,FALSE)</f>
        <v>赤＞青　青＞黄　黄＞緑　緑＞赤_x000D_敵属性に最適なパーティがオススメです</v>
      </c>
      <c r="O253" s="22" t="s">
        <v>117</v>
      </c>
      <c r="P253">
        <v>2</v>
      </c>
    </row>
    <row r="254" spans="1:16" x14ac:dyDescent="0.15">
      <c r="A254" s="29" t="str">
        <f t="shared" si="40"/>
        <v>11006_1_3</v>
      </c>
      <c r="B254" s="27" t="s">
        <v>33</v>
      </c>
      <c r="C254" s="5">
        <v>11006</v>
      </c>
      <c r="D254" s="4" t="str">
        <f ca="1">VLOOKUP($C254,OFFSET([1]quests!$A$1,0,0,COUNTA([1]quests!$A:$A),MATCH(D$1,[1]quests!$1:$1,0)-MATCH($C$1,[1]quests!$1:$1,0)+1),MATCH(D$1,[1]quests!$1:$1,0)-MATCH($C$1,[1]quests!$1:$1,0)+1,FALSE)</f>
        <v>【土日限定】 ゴールドカジノ</v>
      </c>
      <c r="E254" s="4" t="str">
        <f ca="1">VLOOKUP($C254,OFFSET([1]quests!$A$1,0,0,COUNTA([1]quests!$A:$A),MATCH(E$1,[1]quests!$1:$1,0)-MATCH($C$1,[1]quests!$1:$1,0)+1),MATCH(E$1,[1]quests!$1:$1,0)-MATCH($C$1,[1]quests!$1:$1,0)+1,FALSE)</f>
        <v>土日クエスト</v>
      </c>
      <c r="F254" s="6">
        <v>1</v>
      </c>
      <c r="G254" s="4" t="str">
        <f ca="1">VLOOKUP($C254&amp;"_"&amp;$F254,OFFSET([1]stages!$A$1,0,0,COUNTA([1]stages!$A:$A),MATCH(G$1,[1]stages!$2:$2,0)-MATCH("temp_stage",[1]stages!$2:$2,0)+1),MATCH(G$1,[1]stages!$2:$2,0)-MATCH("temp_stage",[1]stages!$2:$2,0)+1,FALSE)</f>
        <v>【初級】ゴールドカジノ</v>
      </c>
      <c r="H254" s="4" t="str">
        <f ca="1">VLOOKUP($C254&amp;"_"&amp;$F254,OFFSET([1]stages!$A$1,0,0,COUNTA([1]stages!$A:$A),MATCH(H$1,[1]stages!$2:$2,0)-MATCH("temp_stage",[1]stages!$2:$2,0)+1),MATCH(H$1,[1]stages!$2:$2,0)-MATCH("temp_stage",[1]stages!$2:$2,0)+1,FALSE)</f>
        <v>土日クエスト</v>
      </c>
      <c r="I254" s="19">
        <v>0</v>
      </c>
      <c r="J254" s="6">
        <f>COUNTIF(C$1:C254,C254)</f>
        <v>3</v>
      </c>
      <c r="K254">
        <v>3</v>
      </c>
      <c r="L254" s="6" t="s">
        <v>17</v>
      </c>
      <c r="M254" s="36" t="str">
        <f>VLOOKUP(K254,[2]stage_hints!$A:$C,3,FALSE)</f>
        <v>ターゲット</v>
      </c>
      <c r="N254" s="37" t="str">
        <f>VLOOKUP(K254,[2]stage_hints!$A:$D,4,FALSE)</f>
        <v>敵ユニットをタップすると_x000D_その敵を狙い撃ちできます</v>
      </c>
      <c r="O254" s="22" t="s">
        <v>117</v>
      </c>
      <c r="P254">
        <v>3</v>
      </c>
    </row>
    <row r="255" spans="1:16" x14ac:dyDescent="0.15">
      <c r="A255" s="29" t="str">
        <f t="shared" si="40"/>
        <v>11006_1_4</v>
      </c>
      <c r="B255" s="27" t="s">
        <v>33</v>
      </c>
      <c r="C255" s="5">
        <v>11006</v>
      </c>
      <c r="D255" s="4" t="str">
        <f ca="1">VLOOKUP($C255,OFFSET([1]quests!$A$1,0,0,COUNTA([1]quests!$A:$A),MATCH(D$1,[1]quests!$1:$1,0)-MATCH($C$1,[1]quests!$1:$1,0)+1),MATCH(D$1,[1]quests!$1:$1,0)-MATCH($C$1,[1]quests!$1:$1,0)+1,FALSE)</f>
        <v>【土日限定】 ゴールドカジノ</v>
      </c>
      <c r="E255" s="4" t="str">
        <f ca="1">VLOOKUP($C255,OFFSET([1]quests!$A$1,0,0,COUNTA([1]quests!$A:$A),MATCH(E$1,[1]quests!$1:$1,0)-MATCH($C$1,[1]quests!$1:$1,0)+1),MATCH(E$1,[1]quests!$1:$1,0)-MATCH($C$1,[1]quests!$1:$1,0)+1,FALSE)</f>
        <v>土日クエスト</v>
      </c>
      <c r="F255" s="6">
        <v>1</v>
      </c>
      <c r="G255" s="4" t="str">
        <f ca="1">VLOOKUP($C255&amp;"_"&amp;$F255,OFFSET([1]stages!$A$1,0,0,COUNTA([1]stages!$A:$A),MATCH(G$1,[1]stages!$2:$2,0)-MATCH("temp_stage",[1]stages!$2:$2,0)+1),MATCH(G$1,[1]stages!$2:$2,0)-MATCH("temp_stage",[1]stages!$2:$2,0)+1,FALSE)</f>
        <v>【初級】ゴールドカジノ</v>
      </c>
      <c r="H255" s="4" t="str">
        <f ca="1">VLOOKUP($C255&amp;"_"&amp;$F255,OFFSET([1]stages!$A$1,0,0,COUNTA([1]stages!$A:$A),MATCH(H$1,[1]stages!$2:$2,0)-MATCH("temp_stage",[1]stages!$2:$2,0)+1),MATCH(H$1,[1]stages!$2:$2,0)-MATCH("temp_stage",[1]stages!$2:$2,0)+1,FALSE)</f>
        <v>土日クエスト</v>
      </c>
      <c r="I255" s="19">
        <v>0</v>
      </c>
      <c r="J255" s="6">
        <f>COUNTIF(C$1:C255,C255)</f>
        <v>4</v>
      </c>
      <c r="K255">
        <v>5</v>
      </c>
      <c r="L255" s="6" t="s">
        <v>17</v>
      </c>
      <c r="M255" s="36" t="str">
        <f>VLOOKUP(K255,[2]stage_hints!$A:$C,3,FALSE)</f>
        <v>ユニット強化でレベルアップ</v>
      </c>
      <c r="N255" s="37" t="str">
        <f>VLOOKUP(K255,[2]stage_hints!$A:$D,4,FALSE)</f>
        <v>「ユニット強化」でレベルアップすると_x000D_勝てない敵にも勝てるようになります</v>
      </c>
      <c r="O255" s="22" t="s">
        <v>117</v>
      </c>
      <c r="P255">
        <v>5</v>
      </c>
    </row>
    <row r="256" spans="1:16" x14ac:dyDescent="0.15">
      <c r="A256" s="29" t="str">
        <f t="shared" si="40"/>
        <v>11006_1_5</v>
      </c>
      <c r="B256" s="27" t="s">
        <v>33</v>
      </c>
      <c r="C256" s="5">
        <v>11006</v>
      </c>
      <c r="D256" s="4" t="str">
        <f ca="1">VLOOKUP($C256,OFFSET([1]quests!$A$1,0,0,COUNTA([1]quests!$A:$A),MATCH(D$1,[1]quests!$1:$1,0)-MATCH($C$1,[1]quests!$1:$1,0)+1),MATCH(D$1,[1]quests!$1:$1,0)-MATCH($C$1,[1]quests!$1:$1,0)+1,FALSE)</f>
        <v>【土日限定】 ゴールドカジノ</v>
      </c>
      <c r="E256" s="4" t="str">
        <f ca="1">VLOOKUP($C256,OFFSET([1]quests!$A$1,0,0,COUNTA([1]quests!$A:$A),MATCH(E$1,[1]quests!$1:$1,0)-MATCH($C$1,[1]quests!$1:$1,0)+1),MATCH(E$1,[1]quests!$1:$1,0)-MATCH($C$1,[1]quests!$1:$1,0)+1,FALSE)</f>
        <v>土日クエスト</v>
      </c>
      <c r="F256" s="6">
        <v>1</v>
      </c>
      <c r="G256" s="4" t="str">
        <f ca="1">VLOOKUP($C256&amp;"_"&amp;$F256,OFFSET([1]stages!$A$1,0,0,COUNTA([1]stages!$A:$A),MATCH(G$1,[1]stages!$2:$2,0)-MATCH("temp_stage",[1]stages!$2:$2,0)+1),MATCH(G$1,[1]stages!$2:$2,0)-MATCH("temp_stage",[1]stages!$2:$2,0)+1,FALSE)</f>
        <v>【初級】ゴールドカジノ</v>
      </c>
      <c r="H256" s="4" t="str">
        <f ca="1">VLOOKUP($C256&amp;"_"&amp;$F256,OFFSET([1]stages!$A$1,0,0,COUNTA([1]stages!$A:$A),MATCH(H$1,[1]stages!$2:$2,0)-MATCH("temp_stage",[1]stages!$2:$2,0)+1),MATCH(H$1,[1]stages!$2:$2,0)-MATCH("temp_stage",[1]stages!$2:$2,0)+1,FALSE)</f>
        <v>土日クエスト</v>
      </c>
      <c r="I256" s="19">
        <v>0</v>
      </c>
      <c r="J256" s="6">
        <f>COUNTIF(C$1:C256,C256)</f>
        <v>5</v>
      </c>
      <c r="K256">
        <v>6</v>
      </c>
      <c r="L256" s="6" t="s">
        <v>17</v>
      </c>
      <c r="M256" s="36" t="str">
        <f>VLOOKUP(K256,[2]stage_hints!$A:$C,3,FALSE)</f>
        <v>ユニット強化の属性ボーナス</v>
      </c>
      <c r="N256" s="37" t="str">
        <f>VLOOKUP(K256,[2]stage_hints!$A:$D,4,FALSE)</f>
        <v>同属性ユニットを強化素材にすると_x000D_経験値が多くもらえます</v>
      </c>
      <c r="O256" s="22" t="s">
        <v>117</v>
      </c>
      <c r="P256">
        <v>6</v>
      </c>
    </row>
    <row r="257" spans="1:16" x14ac:dyDescent="0.15">
      <c r="A257" s="29" t="str">
        <f t="shared" si="40"/>
        <v>11006_1_6</v>
      </c>
      <c r="B257" s="27" t="s">
        <v>33</v>
      </c>
      <c r="C257" s="5">
        <v>11006</v>
      </c>
      <c r="D257" s="4" t="str">
        <f ca="1">VLOOKUP($C257,OFFSET([1]quests!$A$1,0,0,COUNTA([1]quests!$A:$A),MATCH(D$1,[1]quests!$1:$1,0)-MATCH($C$1,[1]quests!$1:$1,0)+1),MATCH(D$1,[1]quests!$1:$1,0)-MATCH($C$1,[1]quests!$1:$1,0)+1,FALSE)</f>
        <v>【土日限定】 ゴールドカジノ</v>
      </c>
      <c r="E257" s="4" t="str">
        <f ca="1">VLOOKUP($C257,OFFSET([1]quests!$A$1,0,0,COUNTA([1]quests!$A:$A),MATCH(E$1,[1]quests!$1:$1,0)-MATCH($C$1,[1]quests!$1:$1,0)+1),MATCH(E$1,[1]quests!$1:$1,0)-MATCH($C$1,[1]quests!$1:$1,0)+1,FALSE)</f>
        <v>土日クエスト</v>
      </c>
      <c r="F257" s="6">
        <v>1</v>
      </c>
      <c r="G257" s="4" t="str">
        <f ca="1">VLOOKUP($C257&amp;"_"&amp;$F257,OFFSET([1]stages!$A$1,0,0,COUNTA([1]stages!$A:$A),MATCH(G$1,[1]stages!$2:$2,0)-MATCH("temp_stage",[1]stages!$2:$2,0)+1),MATCH(G$1,[1]stages!$2:$2,0)-MATCH("temp_stage",[1]stages!$2:$2,0)+1,FALSE)</f>
        <v>【初級】ゴールドカジノ</v>
      </c>
      <c r="H257" s="4" t="str">
        <f ca="1">VLOOKUP($C257&amp;"_"&amp;$F257,OFFSET([1]stages!$A$1,0,0,COUNTA([1]stages!$A:$A),MATCH(H$1,[1]stages!$2:$2,0)-MATCH("temp_stage",[1]stages!$2:$2,0)+1),MATCH(H$1,[1]stages!$2:$2,0)-MATCH("temp_stage",[1]stages!$2:$2,0)+1,FALSE)</f>
        <v>土日クエスト</v>
      </c>
      <c r="I257" s="19">
        <v>0</v>
      </c>
      <c r="J257" s="6">
        <f>COUNTIF(C$1:C257,C257)</f>
        <v>6</v>
      </c>
      <c r="K257">
        <v>7</v>
      </c>
      <c r="L257" s="6" t="s">
        <v>17</v>
      </c>
      <c r="M257" s="36" t="str">
        <f>VLOOKUP(K257,[2]stage_hints!$A:$C,3,FALSE)</f>
        <v>メタルダックで経験値を獲得</v>
      </c>
      <c r="N257" s="37" t="str">
        <f>VLOOKUP(K257,[2]stage_hints!$A:$D,4,FALSE)</f>
        <v>「メタルなアヒル」を強化素材にすると_x000D_大量の経験値がもらえます</v>
      </c>
      <c r="O257" s="22" t="s">
        <v>117</v>
      </c>
      <c r="P257">
        <v>7</v>
      </c>
    </row>
    <row r="258" spans="1:16" x14ac:dyDescent="0.15">
      <c r="A258" s="29" t="str">
        <f t="shared" si="40"/>
        <v>11006_1_7</v>
      </c>
      <c r="B258" s="27" t="s">
        <v>33</v>
      </c>
      <c r="C258" s="5">
        <v>11006</v>
      </c>
      <c r="D258" s="4" t="str">
        <f ca="1">VLOOKUP($C258,OFFSET([1]quests!$A$1,0,0,COUNTA([1]quests!$A:$A),MATCH(D$1,[1]quests!$1:$1,0)-MATCH($C$1,[1]quests!$1:$1,0)+1),MATCH(D$1,[1]quests!$1:$1,0)-MATCH($C$1,[1]quests!$1:$1,0)+1,FALSE)</f>
        <v>【土日限定】 ゴールドカジノ</v>
      </c>
      <c r="E258" s="4" t="str">
        <f ca="1">VLOOKUP($C258,OFFSET([1]quests!$A$1,0,0,COUNTA([1]quests!$A:$A),MATCH(E$1,[1]quests!$1:$1,0)-MATCH($C$1,[1]quests!$1:$1,0)+1),MATCH(E$1,[1]quests!$1:$1,0)-MATCH($C$1,[1]quests!$1:$1,0)+1,FALSE)</f>
        <v>土日クエスト</v>
      </c>
      <c r="F258" s="6">
        <v>1</v>
      </c>
      <c r="G258" s="4" t="str">
        <f ca="1">VLOOKUP($C258&amp;"_"&amp;$F258,OFFSET([1]stages!$A$1,0,0,COUNTA([1]stages!$A:$A),MATCH(G$1,[1]stages!$2:$2,0)-MATCH("temp_stage",[1]stages!$2:$2,0)+1),MATCH(G$1,[1]stages!$2:$2,0)-MATCH("temp_stage",[1]stages!$2:$2,0)+1,FALSE)</f>
        <v>【初級】ゴールドカジノ</v>
      </c>
      <c r="H258" s="4" t="str">
        <f ca="1">VLOOKUP($C258&amp;"_"&amp;$F258,OFFSET([1]stages!$A$1,0,0,COUNTA([1]stages!$A:$A),MATCH(H$1,[1]stages!$2:$2,0)-MATCH("temp_stage",[1]stages!$2:$2,0)+1),MATCH(H$1,[1]stages!$2:$2,0)-MATCH("temp_stage",[1]stages!$2:$2,0)+1,FALSE)</f>
        <v>土日クエスト</v>
      </c>
      <c r="I258" s="19">
        <v>0</v>
      </c>
      <c r="J258" s="6">
        <f>COUNTIF(C$1:C258,C258)</f>
        <v>7</v>
      </c>
      <c r="K258">
        <v>8</v>
      </c>
      <c r="L258" s="6" t="s">
        <v>17</v>
      </c>
      <c r="M258" s="36" t="str">
        <f>VLOOKUP(K258,[2]stage_hints!$A:$C,3,FALSE)</f>
        <v>ゲリラクエストは要チェック</v>
      </c>
      <c r="N258" s="37" t="str">
        <f>VLOOKUP(K258,[2]stage_hints!$A:$D,4,FALSE)</f>
        <v>時間限定の「アヒル捕獲作戦」では_x000D_経験値素材ユニットが多く手に入ります</v>
      </c>
      <c r="O258" s="22" t="s">
        <v>117</v>
      </c>
      <c r="P258">
        <v>8</v>
      </c>
    </row>
    <row r="259" spans="1:16" x14ac:dyDescent="0.15">
      <c r="A259" s="29" t="str">
        <f t="shared" si="40"/>
        <v>11006_1_8</v>
      </c>
      <c r="B259" s="27" t="s">
        <v>33</v>
      </c>
      <c r="C259" s="5">
        <v>11006</v>
      </c>
      <c r="D259" s="4" t="str">
        <f ca="1">VLOOKUP($C259,OFFSET([1]quests!$A$1,0,0,COUNTA([1]quests!$A:$A),MATCH(D$1,[1]quests!$1:$1,0)-MATCH($C$1,[1]quests!$1:$1,0)+1),MATCH(D$1,[1]quests!$1:$1,0)-MATCH($C$1,[1]quests!$1:$1,0)+1,FALSE)</f>
        <v>【土日限定】 ゴールドカジノ</v>
      </c>
      <c r="E259" s="4" t="str">
        <f ca="1">VLOOKUP($C259,OFFSET([1]quests!$A$1,0,0,COUNTA([1]quests!$A:$A),MATCH(E$1,[1]quests!$1:$1,0)-MATCH($C$1,[1]quests!$1:$1,0)+1),MATCH(E$1,[1]quests!$1:$1,0)-MATCH($C$1,[1]quests!$1:$1,0)+1,FALSE)</f>
        <v>土日クエスト</v>
      </c>
      <c r="F259" s="6">
        <v>1</v>
      </c>
      <c r="G259" s="4" t="str">
        <f ca="1">VLOOKUP($C259&amp;"_"&amp;$F259,OFFSET([1]stages!$A$1,0,0,COUNTA([1]stages!$A:$A),MATCH(G$1,[1]stages!$2:$2,0)-MATCH("temp_stage",[1]stages!$2:$2,0)+1),MATCH(G$1,[1]stages!$2:$2,0)-MATCH("temp_stage",[1]stages!$2:$2,0)+1,FALSE)</f>
        <v>【初級】ゴールドカジノ</v>
      </c>
      <c r="H259" s="4" t="str">
        <f ca="1">VLOOKUP($C259&amp;"_"&amp;$F259,OFFSET([1]stages!$A$1,0,0,COUNTA([1]stages!$A:$A),MATCH(H$1,[1]stages!$2:$2,0)-MATCH("temp_stage",[1]stages!$2:$2,0)+1),MATCH(H$1,[1]stages!$2:$2,0)-MATCH("temp_stage",[1]stages!$2:$2,0)+1,FALSE)</f>
        <v>土日クエスト</v>
      </c>
      <c r="I259" s="19">
        <v>0</v>
      </c>
      <c r="J259" s="6">
        <f>COUNTIF(C$1:C259,C259)</f>
        <v>8</v>
      </c>
      <c r="K259">
        <v>9</v>
      </c>
      <c r="L259" s="6" t="s">
        <v>17</v>
      </c>
      <c r="M259" s="36" t="str">
        <f>VLOOKUP(K259,[2]stage_hints!$A:$C,3,FALSE)</f>
        <v>ゴールドダックでビットを獲得</v>
      </c>
      <c r="N259" s="37" t="str">
        <f>VLOOKUP(K259,[2]stage_hints!$A:$D,4,FALSE)</f>
        <v>「ゴールドなアヒル」を売却すると_x000D_大量のビットがもらえます</v>
      </c>
      <c r="O259" s="22" t="s">
        <v>117</v>
      </c>
      <c r="P259">
        <v>9</v>
      </c>
    </row>
    <row r="260" spans="1:16" x14ac:dyDescent="0.15">
      <c r="A260" s="29" t="str">
        <f t="shared" ref="A260:A264" si="41">C260&amp;"_"&amp;F260&amp;"_"&amp;J260</f>
        <v>11006_1_9</v>
      </c>
      <c r="B260" s="27" t="s">
        <v>33</v>
      </c>
      <c r="C260" s="5">
        <v>11006</v>
      </c>
      <c r="D260" s="4" t="str">
        <f ca="1">VLOOKUP($C260,OFFSET([1]quests!$A$1,0,0,COUNTA([1]quests!$A:$A),MATCH(D$1,[1]quests!$1:$1,0)-MATCH($C$1,[1]quests!$1:$1,0)+1),MATCH(D$1,[1]quests!$1:$1,0)-MATCH($C$1,[1]quests!$1:$1,0)+1,FALSE)</f>
        <v>【土日限定】 ゴールドカジノ</v>
      </c>
      <c r="E260" s="4" t="str">
        <f ca="1">VLOOKUP($C260,OFFSET([1]quests!$A$1,0,0,COUNTA([1]quests!$A:$A),MATCH(E$1,[1]quests!$1:$1,0)-MATCH($C$1,[1]quests!$1:$1,0)+1),MATCH(E$1,[1]quests!$1:$1,0)-MATCH($C$1,[1]quests!$1:$1,0)+1,FALSE)</f>
        <v>土日クエスト</v>
      </c>
      <c r="F260" s="6">
        <v>1</v>
      </c>
      <c r="G260" s="4" t="str">
        <f ca="1">VLOOKUP($C260&amp;"_"&amp;$F260,OFFSET([1]stages!$A$1,0,0,COUNTA([1]stages!$A:$A),MATCH(G$1,[1]stages!$2:$2,0)-MATCH("temp_stage",[1]stages!$2:$2,0)+1),MATCH(G$1,[1]stages!$2:$2,0)-MATCH("temp_stage",[1]stages!$2:$2,0)+1,FALSE)</f>
        <v>【初級】ゴールドカジノ</v>
      </c>
      <c r="H260" s="4" t="str">
        <f ca="1">VLOOKUP($C260&amp;"_"&amp;$F260,OFFSET([1]stages!$A$1,0,0,COUNTA([1]stages!$A:$A),MATCH(H$1,[1]stages!$2:$2,0)-MATCH("temp_stage",[1]stages!$2:$2,0)+1),MATCH(H$1,[1]stages!$2:$2,0)-MATCH("temp_stage",[1]stages!$2:$2,0)+1,FALSE)</f>
        <v>土日クエスト</v>
      </c>
      <c r="I260" s="19">
        <v>0</v>
      </c>
      <c r="J260" s="6">
        <f>COUNTIF(C$1:C260,C260)</f>
        <v>9</v>
      </c>
      <c r="K260">
        <v>10</v>
      </c>
      <c r="L260" s="6" t="s">
        <v>17</v>
      </c>
      <c r="M260" s="36" t="str">
        <f>VLOOKUP(K260,[2]stage_hints!$A:$C,3,FALSE)</f>
        <v>土日に大量のビットを獲得</v>
      </c>
      <c r="N260" s="37" t="str">
        <f>VLOOKUP(K260,[2]stage_hints!$A:$D,4,FALSE)</f>
        <v>土日限定の「ゴールドカジノ」では_x000D_売却素材ユニットが多く手に入ります</v>
      </c>
      <c r="O260" s="22" t="s">
        <v>117</v>
      </c>
      <c r="P260">
        <v>10</v>
      </c>
    </row>
    <row r="261" spans="1:16" x14ac:dyDescent="0.15">
      <c r="A261" s="29" t="str">
        <f t="shared" si="41"/>
        <v>11006_1_10</v>
      </c>
      <c r="B261" s="27" t="s">
        <v>33</v>
      </c>
      <c r="C261" s="5">
        <v>11006</v>
      </c>
      <c r="D261" s="4" t="str">
        <f ca="1">VLOOKUP($C261,OFFSET([1]quests!$A$1,0,0,COUNTA([1]quests!$A:$A),MATCH(D$1,[1]quests!$1:$1,0)-MATCH($C$1,[1]quests!$1:$1,0)+1),MATCH(D$1,[1]quests!$1:$1,0)-MATCH($C$1,[1]quests!$1:$1,0)+1,FALSE)</f>
        <v>【土日限定】 ゴールドカジノ</v>
      </c>
      <c r="E261" s="4" t="str">
        <f ca="1">VLOOKUP($C261,OFFSET([1]quests!$A$1,0,0,COUNTA([1]quests!$A:$A),MATCH(E$1,[1]quests!$1:$1,0)-MATCH($C$1,[1]quests!$1:$1,0)+1),MATCH(E$1,[1]quests!$1:$1,0)-MATCH($C$1,[1]quests!$1:$1,0)+1,FALSE)</f>
        <v>土日クエスト</v>
      </c>
      <c r="F261" s="6">
        <v>1</v>
      </c>
      <c r="G261" s="4" t="str">
        <f ca="1">VLOOKUP($C261&amp;"_"&amp;$F261,OFFSET([1]stages!$A$1,0,0,COUNTA([1]stages!$A:$A),MATCH(G$1,[1]stages!$2:$2,0)-MATCH("temp_stage",[1]stages!$2:$2,0)+1),MATCH(G$1,[1]stages!$2:$2,0)-MATCH("temp_stage",[1]stages!$2:$2,0)+1,FALSE)</f>
        <v>【初級】ゴールドカジノ</v>
      </c>
      <c r="H261" s="4" t="str">
        <f ca="1">VLOOKUP($C261&amp;"_"&amp;$F261,OFFSET([1]stages!$A$1,0,0,COUNTA([1]stages!$A:$A),MATCH(H$1,[1]stages!$2:$2,0)-MATCH("temp_stage",[1]stages!$2:$2,0)+1),MATCH(H$1,[1]stages!$2:$2,0)-MATCH("temp_stage",[1]stages!$2:$2,0)+1,FALSE)</f>
        <v>土日クエスト</v>
      </c>
      <c r="I261" s="19">
        <v>0</v>
      </c>
      <c r="J261" s="6">
        <f>COUNTIF(C$1:C261,C261)</f>
        <v>10</v>
      </c>
      <c r="K261">
        <v>11</v>
      </c>
      <c r="L261" s="6" t="s">
        <v>17</v>
      </c>
      <c r="M261" s="36" t="str">
        <f>VLOOKUP(K261,[2]stage_hints!$A:$C,3,FALSE)</f>
        <v>ランク解放クエスト</v>
      </c>
      <c r="N261" s="37" t="str">
        <f>VLOOKUP(K261,[2]stage_hints!$A:$D,4,FALSE)</f>
        <v>一定ランクに到達すると_x000D_報酬付きのランク開放クエストが現れます</v>
      </c>
      <c r="O261" s="22" t="s">
        <v>117</v>
      </c>
      <c r="P261">
        <v>11</v>
      </c>
    </row>
    <row r="262" spans="1:16" x14ac:dyDescent="0.15">
      <c r="A262" s="29" t="str">
        <f t="shared" si="41"/>
        <v>11006_1_11</v>
      </c>
      <c r="B262" s="27" t="s">
        <v>33</v>
      </c>
      <c r="C262" s="5">
        <v>11006</v>
      </c>
      <c r="D262" s="4" t="str">
        <f ca="1">VLOOKUP($C262,OFFSET([1]quests!$A$1,0,0,COUNTA([1]quests!$A:$A),MATCH(D$1,[1]quests!$1:$1,0)-MATCH($C$1,[1]quests!$1:$1,0)+1),MATCH(D$1,[1]quests!$1:$1,0)-MATCH($C$1,[1]quests!$1:$1,0)+1,FALSE)</f>
        <v>【土日限定】 ゴールドカジノ</v>
      </c>
      <c r="E262" s="4" t="str">
        <f ca="1">VLOOKUP($C262,OFFSET([1]quests!$A$1,0,0,COUNTA([1]quests!$A:$A),MATCH(E$1,[1]quests!$1:$1,0)-MATCH($C$1,[1]quests!$1:$1,0)+1),MATCH(E$1,[1]quests!$1:$1,0)-MATCH($C$1,[1]quests!$1:$1,0)+1,FALSE)</f>
        <v>土日クエスト</v>
      </c>
      <c r="F262" s="6">
        <v>1</v>
      </c>
      <c r="G262" s="4" t="str">
        <f ca="1">VLOOKUP($C262&amp;"_"&amp;$F262,OFFSET([1]stages!$A$1,0,0,COUNTA([1]stages!$A:$A),MATCH(G$1,[1]stages!$2:$2,0)-MATCH("temp_stage",[1]stages!$2:$2,0)+1),MATCH(G$1,[1]stages!$2:$2,0)-MATCH("temp_stage",[1]stages!$2:$2,0)+1,FALSE)</f>
        <v>【初級】ゴールドカジノ</v>
      </c>
      <c r="H262" s="4" t="str">
        <f ca="1">VLOOKUP($C262&amp;"_"&amp;$F262,OFFSET([1]stages!$A$1,0,0,COUNTA([1]stages!$A:$A),MATCH(H$1,[1]stages!$2:$2,0)-MATCH("temp_stage",[1]stages!$2:$2,0)+1),MATCH(H$1,[1]stages!$2:$2,0)-MATCH("temp_stage",[1]stages!$2:$2,0)+1,FALSE)</f>
        <v>土日クエスト</v>
      </c>
      <c r="I262" s="19">
        <v>0</v>
      </c>
      <c r="J262" s="6">
        <f>COUNTIF(C$1:C262,C262)</f>
        <v>11</v>
      </c>
      <c r="K262">
        <v>12</v>
      </c>
      <c r="L262" s="6" t="s">
        <v>17</v>
      </c>
      <c r="M262" s="36" t="str">
        <f>VLOOKUP(K262,[2]stage_hints!$A:$C,3,FALSE)</f>
        <v>ユニットのお気に入り登録</v>
      </c>
      <c r="N262" s="37" t="str">
        <f>VLOOKUP(K262,[2]stage_hints!$A:$D,4,FALSE)</f>
        <v>大事なユニットを誤って消さないように_x000D_フォルダから「お気に入り登録」しましょう</v>
      </c>
      <c r="O262" s="22" t="s">
        <v>117</v>
      </c>
      <c r="P262">
        <v>12</v>
      </c>
    </row>
    <row r="263" spans="1:16" x14ac:dyDescent="0.15">
      <c r="A263" s="29" t="str">
        <f t="shared" si="41"/>
        <v>11006_1_12</v>
      </c>
      <c r="B263" s="27" t="s">
        <v>33</v>
      </c>
      <c r="C263" s="5">
        <v>11006</v>
      </c>
      <c r="D263" s="4" t="str">
        <f ca="1">VLOOKUP($C263,OFFSET([1]quests!$A$1,0,0,COUNTA([1]quests!$A:$A),MATCH(D$1,[1]quests!$1:$1,0)-MATCH($C$1,[1]quests!$1:$1,0)+1),MATCH(D$1,[1]quests!$1:$1,0)-MATCH($C$1,[1]quests!$1:$1,0)+1,FALSE)</f>
        <v>【土日限定】 ゴールドカジノ</v>
      </c>
      <c r="E263" s="4" t="str">
        <f ca="1">VLOOKUP($C263,OFFSET([1]quests!$A$1,0,0,COUNTA([1]quests!$A:$A),MATCH(E$1,[1]quests!$1:$1,0)-MATCH($C$1,[1]quests!$1:$1,0)+1),MATCH(E$1,[1]quests!$1:$1,0)-MATCH($C$1,[1]quests!$1:$1,0)+1,FALSE)</f>
        <v>土日クエスト</v>
      </c>
      <c r="F263" s="6">
        <v>1</v>
      </c>
      <c r="G263" s="4" t="str">
        <f ca="1">VLOOKUP($C263&amp;"_"&amp;$F263,OFFSET([1]stages!$A$1,0,0,COUNTA([1]stages!$A:$A),MATCH(G$1,[1]stages!$2:$2,0)-MATCH("temp_stage",[1]stages!$2:$2,0)+1),MATCH(G$1,[1]stages!$2:$2,0)-MATCH("temp_stage",[1]stages!$2:$2,0)+1,FALSE)</f>
        <v>【初級】ゴールドカジノ</v>
      </c>
      <c r="H263" s="4" t="str">
        <f ca="1">VLOOKUP($C263&amp;"_"&amp;$F263,OFFSET([1]stages!$A$1,0,0,COUNTA([1]stages!$A:$A),MATCH(H$1,[1]stages!$2:$2,0)-MATCH("temp_stage",[1]stages!$2:$2,0)+1),MATCH(H$1,[1]stages!$2:$2,0)-MATCH("temp_stage",[1]stages!$2:$2,0)+1,FALSE)</f>
        <v>土日クエスト</v>
      </c>
      <c r="I263" s="19">
        <v>0</v>
      </c>
      <c r="J263" s="6">
        <f>COUNTIF(C$1:C263,C263)</f>
        <v>12</v>
      </c>
      <c r="K263">
        <v>13</v>
      </c>
      <c r="L263" s="6" t="s">
        <v>17</v>
      </c>
      <c r="M263" s="36" t="str">
        <f>VLOOKUP(K263,[2]stage_hints!$A:$C,3,FALSE)</f>
        <v>ユニットの覚醒</v>
      </c>
      <c r="N263" s="37" t="str">
        <f>VLOOKUP(K263,[2]stage_hints!$A:$D,4,FALSE)</f>
        <v>ユニットを覚醒させると_x000D_比べものにならない強さが手に入ります</v>
      </c>
      <c r="O263" s="22" t="s">
        <v>117</v>
      </c>
      <c r="P263">
        <v>13</v>
      </c>
    </row>
    <row r="264" spans="1:16" x14ac:dyDescent="0.15">
      <c r="A264" s="29" t="str">
        <f t="shared" si="41"/>
        <v>11006_1_13</v>
      </c>
      <c r="B264" s="27" t="s">
        <v>33</v>
      </c>
      <c r="C264" s="5">
        <v>11006</v>
      </c>
      <c r="D264" s="4" t="str">
        <f ca="1">VLOOKUP($C264,OFFSET([1]quests!$A$1,0,0,COUNTA([1]quests!$A:$A),MATCH(D$1,[1]quests!$1:$1,0)-MATCH($C$1,[1]quests!$1:$1,0)+1),MATCH(D$1,[1]quests!$1:$1,0)-MATCH($C$1,[1]quests!$1:$1,0)+1,FALSE)</f>
        <v>【土日限定】 ゴールドカジノ</v>
      </c>
      <c r="E264" s="4" t="str">
        <f ca="1">VLOOKUP($C264,OFFSET([1]quests!$A$1,0,0,COUNTA([1]quests!$A:$A),MATCH(E$1,[1]quests!$1:$1,0)-MATCH($C$1,[1]quests!$1:$1,0)+1),MATCH(E$1,[1]quests!$1:$1,0)-MATCH($C$1,[1]quests!$1:$1,0)+1,FALSE)</f>
        <v>土日クエスト</v>
      </c>
      <c r="F264" s="6">
        <v>1</v>
      </c>
      <c r="G264" s="4" t="str">
        <f ca="1">VLOOKUP($C264&amp;"_"&amp;$F264,OFFSET([1]stages!$A$1,0,0,COUNTA([1]stages!$A:$A),MATCH(G$1,[1]stages!$2:$2,0)-MATCH("temp_stage",[1]stages!$2:$2,0)+1),MATCH(G$1,[1]stages!$2:$2,0)-MATCH("temp_stage",[1]stages!$2:$2,0)+1,FALSE)</f>
        <v>【初級】ゴールドカジノ</v>
      </c>
      <c r="H264" s="4" t="str">
        <f ca="1">VLOOKUP($C264&amp;"_"&amp;$F264,OFFSET([1]stages!$A$1,0,0,COUNTA([1]stages!$A:$A),MATCH(H$1,[1]stages!$2:$2,0)-MATCH("temp_stage",[1]stages!$2:$2,0)+1),MATCH(H$1,[1]stages!$2:$2,0)-MATCH("temp_stage",[1]stages!$2:$2,0)+1,FALSE)</f>
        <v>土日クエスト</v>
      </c>
      <c r="I264" s="19">
        <v>0</v>
      </c>
      <c r="J264" s="6">
        <f>COUNTIF(C$1:C264,C264)</f>
        <v>13</v>
      </c>
      <c r="K264">
        <v>14</v>
      </c>
      <c r="L264" s="6" t="s">
        <v>17</v>
      </c>
      <c r="M264" s="36" t="str">
        <f>VLOOKUP(K264,[2]stage_hints!$A:$C,3,FALSE)</f>
        <v>覚醒するにはレベルを最大に</v>
      </c>
      <c r="N264" s="37" t="str">
        <f>VLOOKUP(K264,[2]stage_hints!$A:$D,4,FALSE)</f>
        <v>覚醒するにはユニットのレベルを_x000D_最大まで上げる必要があります</v>
      </c>
      <c r="O264" s="22" t="s">
        <v>117</v>
      </c>
      <c r="P264">
        <v>14</v>
      </c>
    </row>
    <row r="265" spans="1:16" x14ac:dyDescent="0.15">
      <c r="A265" s="29" t="str">
        <f t="shared" ref="A265:A266" si="42">C265&amp;"_"&amp;F265&amp;"_"&amp;J265</f>
        <v>11006_1_14</v>
      </c>
      <c r="B265" s="27" t="s">
        <v>33</v>
      </c>
      <c r="C265" s="5">
        <v>11006</v>
      </c>
      <c r="D265" s="4" t="str">
        <f ca="1">VLOOKUP($C265,OFFSET([1]quests!$A$1,0,0,COUNTA([1]quests!$A:$A),MATCH(D$1,[1]quests!$1:$1,0)-MATCH($C$1,[1]quests!$1:$1,0)+1),MATCH(D$1,[1]quests!$1:$1,0)-MATCH($C$1,[1]quests!$1:$1,0)+1,FALSE)</f>
        <v>【土日限定】 ゴールドカジノ</v>
      </c>
      <c r="E265" s="4" t="str">
        <f ca="1">VLOOKUP($C265,OFFSET([1]quests!$A$1,0,0,COUNTA([1]quests!$A:$A),MATCH(E$1,[1]quests!$1:$1,0)-MATCH($C$1,[1]quests!$1:$1,0)+1),MATCH(E$1,[1]quests!$1:$1,0)-MATCH($C$1,[1]quests!$1:$1,0)+1,FALSE)</f>
        <v>土日クエスト</v>
      </c>
      <c r="F265" s="6">
        <v>1</v>
      </c>
      <c r="G265" s="4" t="str">
        <f ca="1">VLOOKUP($C265&amp;"_"&amp;$F265,OFFSET([1]stages!$A$1,0,0,COUNTA([1]stages!$A:$A),MATCH(G$1,[1]stages!$2:$2,0)-MATCH("temp_stage",[1]stages!$2:$2,0)+1),MATCH(G$1,[1]stages!$2:$2,0)-MATCH("temp_stage",[1]stages!$2:$2,0)+1,FALSE)</f>
        <v>【初級】ゴールドカジノ</v>
      </c>
      <c r="H265" s="4" t="str">
        <f ca="1">VLOOKUP($C265&amp;"_"&amp;$F265,OFFSET([1]stages!$A$1,0,0,COUNTA([1]stages!$A:$A),MATCH(H$1,[1]stages!$2:$2,0)-MATCH("temp_stage",[1]stages!$2:$2,0)+1),MATCH(H$1,[1]stages!$2:$2,0)-MATCH("temp_stage",[1]stages!$2:$2,0)+1,FALSE)</f>
        <v>土日クエスト</v>
      </c>
      <c r="I265" s="19">
        <v>0</v>
      </c>
      <c r="J265" s="6">
        <f>COUNTIF(C$1:C265,C265)</f>
        <v>14</v>
      </c>
      <c r="K265">
        <v>15</v>
      </c>
      <c r="L265" s="6" t="s">
        <v>17</v>
      </c>
      <c r="M265" s="36" t="str">
        <f>VLOOKUP(K265,[2]stage_hints!$A:$C,3,FALSE)</f>
        <v>覚醒素材を獲得</v>
      </c>
      <c r="N265" s="37" t="str">
        <f>VLOOKUP(K265,[2]stage_hints!$A:$D,4,FALSE)</f>
        <v>「曜日クエスト」では_x000D_ユニットの覚醒に必要な素材が手に入ります</v>
      </c>
      <c r="O265" s="22" t="s">
        <v>117</v>
      </c>
      <c r="P265">
        <v>15</v>
      </c>
    </row>
    <row r="266" spans="1:16" x14ac:dyDescent="0.15">
      <c r="A266" s="29" t="str">
        <f t="shared" si="42"/>
        <v>11006_1_15</v>
      </c>
      <c r="B266" s="27" t="s">
        <v>33</v>
      </c>
      <c r="C266" s="5">
        <v>11006</v>
      </c>
      <c r="D266" s="4" t="str">
        <f ca="1">VLOOKUP($C266,OFFSET([1]quests!$A$1,0,0,COUNTA([1]quests!$A:$A),MATCH(D$1,[1]quests!$1:$1,0)-MATCH($C$1,[1]quests!$1:$1,0)+1),MATCH(D$1,[1]quests!$1:$1,0)-MATCH($C$1,[1]quests!$1:$1,0)+1,FALSE)</f>
        <v>【土日限定】 ゴールドカジノ</v>
      </c>
      <c r="E266" s="4" t="str">
        <f ca="1">VLOOKUP($C266,OFFSET([1]quests!$A$1,0,0,COUNTA([1]quests!$A:$A),MATCH(E$1,[1]quests!$1:$1,0)-MATCH($C$1,[1]quests!$1:$1,0)+1),MATCH(E$1,[1]quests!$1:$1,0)-MATCH($C$1,[1]quests!$1:$1,0)+1,FALSE)</f>
        <v>土日クエスト</v>
      </c>
      <c r="F266" s="6">
        <v>1</v>
      </c>
      <c r="G266" s="4" t="str">
        <f ca="1">VLOOKUP($C266&amp;"_"&amp;$F266,OFFSET([1]stages!$A$1,0,0,COUNTA([1]stages!$A:$A),MATCH(G$1,[1]stages!$2:$2,0)-MATCH("temp_stage",[1]stages!$2:$2,0)+1),MATCH(G$1,[1]stages!$2:$2,0)-MATCH("temp_stage",[1]stages!$2:$2,0)+1,FALSE)</f>
        <v>【初級】ゴールドカジノ</v>
      </c>
      <c r="H266" s="4" t="str">
        <f ca="1">VLOOKUP($C266&amp;"_"&amp;$F266,OFFSET([1]stages!$A$1,0,0,COUNTA([1]stages!$A:$A),MATCH(H$1,[1]stages!$2:$2,0)-MATCH("temp_stage",[1]stages!$2:$2,0)+1),MATCH(H$1,[1]stages!$2:$2,0)-MATCH("temp_stage",[1]stages!$2:$2,0)+1,FALSE)</f>
        <v>土日クエスト</v>
      </c>
      <c r="I266" s="19">
        <v>0</v>
      </c>
      <c r="J266" s="6">
        <f>COUNTIF(C$1:C266,C266)</f>
        <v>15</v>
      </c>
      <c r="K266">
        <v>16</v>
      </c>
      <c r="L266" s="6" t="s">
        <v>17</v>
      </c>
      <c r="M266" s="36" t="str">
        <f>VLOOKUP(K266,[2]stage_hints!$A:$C,3,FALSE)</f>
        <v>マルチプレイのメリット（その1）</v>
      </c>
      <c r="N266" s="37" t="str">
        <f>VLOOKUP(K266,[2]stage_hints!$A:$D,4,FALSE)</f>
        <v>他のプレイヤーとマルチプレイで遊ぶと_x000D_ポリゴンがもらえます（100人まで）</v>
      </c>
      <c r="O266" s="22" t="s">
        <v>117</v>
      </c>
      <c r="P266">
        <v>16</v>
      </c>
    </row>
    <row r="267" spans="1:16" x14ac:dyDescent="0.15">
      <c r="A267" s="29" t="str">
        <f t="shared" ref="A267:A279" si="43">C267&amp;"_"&amp;F267&amp;"_"&amp;J267</f>
        <v>11006_1_16</v>
      </c>
      <c r="B267" s="27" t="s">
        <v>33</v>
      </c>
      <c r="C267" s="5">
        <v>11006</v>
      </c>
      <c r="D267" s="4" t="str">
        <f ca="1">VLOOKUP($C267,OFFSET([1]quests!$A$1,0,0,COUNTA([1]quests!$A:$A),MATCH(D$1,[1]quests!$1:$1,0)-MATCH($C$1,[1]quests!$1:$1,0)+1),MATCH(D$1,[1]quests!$1:$1,0)-MATCH($C$1,[1]quests!$1:$1,0)+1,FALSE)</f>
        <v>【土日限定】 ゴールドカジノ</v>
      </c>
      <c r="E267" s="4" t="str">
        <f ca="1">VLOOKUP($C267,OFFSET([1]quests!$A$1,0,0,COUNTA([1]quests!$A:$A),MATCH(E$1,[1]quests!$1:$1,0)-MATCH($C$1,[1]quests!$1:$1,0)+1),MATCH(E$1,[1]quests!$1:$1,0)-MATCH($C$1,[1]quests!$1:$1,0)+1,FALSE)</f>
        <v>土日クエスト</v>
      </c>
      <c r="F267" s="6">
        <v>1</v>
      </c>
      <c r="G267" s="4" t="str">
        <f ca="1">VLOOKUP($C267&amp;"_"&amp;$F267,OFFSET([1]stages!$A$1,0,0,COUNTA([1]stages!$A:$A),MATCH(G$1,[1]stages!$2:$2,0)-MATCH("temp_stage",[1]stages!$2:$2,0)+1),MATCH(G$1,[1]stages!$2:$2,0)-MATCH("temp_stage",[1]stages!$2:$2,0)+1,FALSE)</f>
        <v>【初級】ゴールドカジノ</v>
      </c>
      <c r="H267" s="4" t="str">
        <f ca="1">VLOOKUP($C267&amp;"_"&amp;$F267,OFFSET([1]stages!$A$1,0,0,COUNTA([1]stages!$A:$A),MATCH(H$1,[1]stages!$2:$2,0)-MATCH("temp_stage",[1]stages!$2:$2,0)+1),MATCH(H$1,[1]stages!$2:$2,0)-MATCH("temp_stage",[1]stages!$2:$2,0)+1,FALSE)</f>
        <v>土日クエスト</v>
      </c>
      <c r="I267" s="19">
        <v>0</v>
      </c>
      <c r="J267" s="6">
        <f>COUNTIF(C$1:C267,C267)</f>
        <v>16</v>
      </c>
      <c r="K267">
        <v>17</v>
      </c>
      <c r="L267" s="6" t="s">
        <v>17</v>
      </c>
      <c r="M267" s="36" t="str">
        <f>VLOOKUP(K267,[2]stage_hints!$A:$C,3,FALSE)</f>
        <v>リンクガチャ</v>
      </c>
      <c r="N267" s="37" t="str">
        <f>VLOOKUP(K267,[2]stage_hints!$A:$D,4,FALSE)</f>
        <v>無料のリンクガチャを回して_x000D_経験値素材や売却素材を獲得しましょう</v>
      </c>
      <c r="O267" s="22" t="s">
        <v>117</v>
      </c>
      <c r="P267">
        <v>17</v>
      </c>
    </row>
    <row r="268" spans="1:16" x14ac:dyDescent="0.15">
      <c r="A268" s="29" t="str">
        <f t="shared" si="43"/>
        <v>11006_1_17</v>
      </c>
      <c r="B268" s="27" t="s">
        <v>33</v>
      </c>
      <c r="C268" s="5">
        <v>11006</v>
      </c>
      <c r="D268" s="4" t="str">
        <f ca="1">VLOOKUP($C268,OFFSET([1]quests!$A$1,0,0,COUNTA([1]quests!$A:$A),MATCH(D$1,[1]quests!$1:$1,0)-MATCH($C$1,[1]quests!$1:$1,0)+1),MATCH(D$1,[1]quests!$1:$1,0)-MATCH($C$1,[1]quests!$1:$1,0)+1,FALSE)</f>
        <v>【土日限定】 ゴールドカジノ</v>
      </c>
      <c r="E268" s="4" t="str">
        <f ca="1">VLOOKUP($C268,OFFSET([1]quests!$A$1,0,0,COUNTA([1]quests!$A:$A),MATCH(E$1,[1]quests!$1:$1,0)-MATCH($C$1,[1]quests!$1:$1,0)+1),MATCH(E$1,[1]quests!$1:$1,0)-MATCH($C$1,[1]quests!$1:$1,0)+1,FALSE)</f>
        <v>土日クエスト</v>
      </c>
      <c r="F268" s="6">
        <v>1</v>
      </c>
      <c r="G268" s="4" t="str">
        <f ca="1">VLOOKUP($C268&amp;"_"&amp;$F268,OFFSET([1]stages!$A$1,0,0,COUNTA([1]stages!$A:$A),MATCH(G$1,[1]stages!$2:$2,0)-MATCH("temp_stage",[1]stages!$2:$2,0)+1),MATCH(G$1,[1]stages!$2:$2,0)-MATCH("temp_stage",[1]stages!$2:$2,0)+1,FALSE)</f>
        <v>【初級】ゴールドカジノ</v>
      </c>
      <c r="H268" s="4" t="str">
        <f ca="1">VLOOKUP($C268&amp;"_"&amp;$F268,OFFSET([1]stages!$A$1,0,0,COUNTA([1]stages!$A:$A),MATCH(H$1,[1]stages!$2:$2,0)-MATCH("temp_stage",[1]stages!$2:$2,0)+1),MATCH(H$1,[1]stages!$2:$2,0)-MATCH("temp_stage",[1]stages!$2:$2,0)+1,FALSE)</f>
        <v>土日クエスト</v>
      </c>
      <c r="I268" s="19">
        <v>0</v>
      </c>
      <c r="J268" s="6">
        <f>COUNTIF(C$1:C268,C268)</f>
        <v>17</v>
      </c>
      <c r="K268">
        <v>18</v>
      </c>
      <c r="L268" s="6" t="s">
        <v>17</v>
      </c>
      <c r="M268" s="36" t="str">
        <f>VLOOKUP(K268,[2]stage_hints!$A:$C,3,FALSE)</f>
        <v>マルチプレイのメリット（その2）</v>
      </c>
      <c r="N268" s="37" t="str">
        <f>VLOOKUP(K268,[2]stage_hints!$A:$D,4,FALSE)</f>
        <v>マルチプレイならリンクが2倍もらえます_x000D_リンクガチャをたくさん回しましょう</v>
      </c>
      <c r="O268" s="22" t="s">
        <v>117</v>
      </c>
      <c r="P268">
        <v>18</v>
      </c>
    </row>
    <row r="269" spans="1:16" x14ac:dyDescent="0.15">
      <c r="A269" s="29" t="str">
        <f t="shared" si="43"/>
        <v>11006_1_18</v>
      </c>
      <c r="B269" s="27" t="s">
        <v>33</v>
      </c>
      <c r="C269" s="5">
        <v>11006</v>
      </c>
      <c r="D269" s="4" t="str">
        <f ca="1">VLOOKUP($C269,OFFSET([1]quests!$A$1,0,0,COUNTA([1]quests!$A:$A),MATCH(D$1,[1]quests!$1:$1,0)-MATCH($C$1,[1]quests!$1:$1,0)+1),MATCH(D$1,[1]quests!$1:$1,0)-MATCH($C$1,[1]quests!$1:$1,0)+1,FALSE)</f>
        <v>【土日限定】 ゴールドカジノ</v>
      </c>
      <c r="E269" s="4" t="str">
        <f ca="1">VLOOKUP($C269,OFFSET([1]quests!$A$1,0,0,COUNTA([1]quests!$A:$A),MATCH(E$1,[1]quests!$1:$1,0)-MATCH($C$1,[1]quests!$1:$1,0)+1),MATCH(E$1,[1]quests!$1:$1,0)-MATCH($C$1,[1]quests!$1:$1,0)+1,FALSE)</f>
        <v>土日クエスト</v>
      </c>
      <c r="F269" s="6">
        <v>1</v>
      </c>
      <c r="G269" s="4" t="str">
        <f ca="1">VLOOKUP($C269&amp;"_"&amp;$F269,OFFSET([1]stages!$A$1,0,0,COUNTA([1]stages!$A:$A),MATCH(G$1,[1]stages!$2:$2,0)-MATCH("temp_stage",[1]stages!$2:$2,0)+1),MATCH(G$1,[1]stages!$2:$2,0)-MATCH("temp_stage",[1]stages!$2:$2,0)+1,FALSE)</f>
        <v>【初級】ゴールドカジノ</v>
      </c>
      <c r="H269" s="4" t="str">
        <f ca="1">VLOOKUP($C269&amp;"_"&amp;$F269,OFFSET([1]stages!$A$1,0,0,COUNTA([1]stages!$A:$A),MATCH(H$1,[1]stages!$2:$2,0)-MATCH("temp_stage",[1]stages!$2:$2,0)+1),MATCH(H$1,[1]stages!$2:$2,0)-MATCH("temp_stage",[1]stages!$2:$2,0)+1,FALSE)</f>
        <v>土日クエスト</v>
      </c>
      <c r="I269" s="19">
        <v>0</v>
      </c>
      <c r="J269" s="6">
        <f>COUNTIF(C$1:C269,C269)</f>
        <v>18</v>
      </c>
      <c r="K269">
        <v>19</v>
      </c>
      <c r="L269" s="6" t="s">
        <v>17</v>
      </c>
      <c r="M269" s="36" t="str">
        <f>VLOOKUP(K269,[2]stage_hints!$A:$C,3,FALSE)</f>
        <v>ソロ専用チャレンジタワー</v>
      </c>
      <c r="N269" s="37" t="str">
        <f>VLOOKUP(K269,[2]stage_hints!$A:$D,4,FALSE)</f>
        <v>ソロ専用の「チャレンジタワー」では_x000D_各フロアごとにクリア報酬がもらえます</v>
      </c>
      <c r="O269" s="22" t="s">
        <v>117</v>
      </c>
      <c r="P269">
        <v>19</v>
      </c>
    </row>
    <row r="270" spans="1:16" x14ac:dyDescent="0.15">
      <c r="A270" s="29" t="str">
        <f t="shared" si="43"/>
        <v>11006_1_19</v>
      </c>
      <c r="B270" s="27" t="s">
        <v>33</v>
      </c>
      <c r="C270" s="5">
        <v>11006</v>
      </c>
      <c r="D270" s="4" t="str">
        <f ca="1">VLOOKUP($C270,OFFSET([1]quests!$A$1,0,0,COUNTA([1]quests!$A:$A),MATCH(D$1,[1]quests!$1:$1,0)-MATCH($C$1,[1]quests!$1:$1,0)+1),MATCH(D$1,[1]quests!$1:$1,0)-MATCH($C$1,[1]quests!$1:$1,0)+1,FALSE)</f>
        <v>【土日限定】 ゴールドカジノ</v>
      </c>
      <c r="E270" s="4" t="str">
        <f ca="1">VLOOKUP($C270,OFFSET([1]quests!$A$1,0,0,COUNTA([1]quests!$A:$A),MATCH(E$1,[1]quests!$1:$1,0)-MATCH($C$1,[1]quests!$1:$1,0)+1),MATCH(E$1,[1]quests!$1:$1,0)-MATCH($C$1,[1]quests!$1:$1,0)+1,FALSE)</f>
        <v>土日クエスト</v>
      </c>
      <c r="F270" s="6">
        <v>1</v>
      </c>
      <c r="G270" s="4" t="str">
        <f ca="1">VLOOKUP($C270&amp;"_"&amp;$F270,OFFSET([1]stages!$A$1,0,0,COUNTA([1]stages!$A:$A),MATCH(G$1,[1]stages!$2:$2,0)-MATCH("temp_stage",[1]stages!$2:$2,0)+1),MATCH(G$1,[1]stages!$2:$2,0)-MATCH("temp_stage",[1]stages!$2:$2,0)+1,FALSE)</f>
        <v>【初級】ゴールドカジノ</v>
      </c>
      <c r="H270" s="4" t="str">
        <f ca="1">VLOOKUP($C270&amp;"_"&amp;$F270,OFFSET([1]stages!$A$1,0,0,COUNTA([1]stages!$A:$A),MATCH(H$1,[1]stages!$2:$2,0)-MATCH("temp_stage",[1]stages!$2:$2,0)+1),MATCH(H$1,[1]stages!$2:$2,0)-MATCH("temp_stage",[1]stages!$2:$2,0)+1,FALSE)</f>
        <v>土日クエスト</v>
      </c>
      <c r="I270" s="19">
        <v>0</v>
      </c>
      <c r="J270" s="6">
        <f>COUNTIF(C$1:C270,C270)</f>
        <v>19</v>
      </c>
      <c r="K270">
        <v>20</v>
      </c>
      <c r="L270" s="6" t="s">
        <v>17</v>
      </c>
      <c r="M270" s="36" t="str">
        <f>VLOOKUP(K270,[2]stage_hints!$A:$C,3,FALSE)</f>
        <v>マルチプレイのメリット（その3）</v>
      </c>
      <c r="N270" s="37" t="str">
        <f>VLOOKUP(K270,[2]stage_hints!$A:$D,4,FALSE)</f>
        <v>マルチプレイへの参加はエナジー消費ゼロ_x000D_いつでも好きなだけ遊ぶことができます</v>
      </c>
      <c r="O270" s="22" t="s">
        <v>117</v>
      </c>
      <c r="P270">
        <v>20</v>
      </c>
    </row>
    <row r="271" spans="1:16" x14ac:dyDescent="0.15">
      <c r="A271" s="29" t="str">
        <f t="shared" si="43"/>
        <v>11006_1_20</v>
      </c>
      <c r="B271" s="27" t="s">
        <v>33</v>
      </c>
      <c r="C271" s="5">
        <v>11006</v>
      </c>
      <c r="D271" s="4" t="str">
        <f ca="1">VLOOKUP($C271,OFFSET([1]quests!$A$1,0,0,COUNTA([1]quests!$A:$A),MATCH(D$1,[1]quests!$1:$1,0)-MATCH($C$1,[1]quests!$1:$1,0)+1),MATCH(D$1,[1]quests!$1:$1,0)-MATCH($C$1,[1]quests!$1:$1,0)+1,FALSE)</f>
        <v>【土日限定】 ゴールドカジノ</v>
      </c>
      <c r="E271" s="4" t="str">
        <f ca="1">VLOOKUP($C271,OFFSET([1]quests!$A$1,0,0,COUNTA([1]quests!$A:$A),MATCH(E$1,[1]quests!$1:$1,0)-MATCH($C$1,[1]quests!$1:$1,0)+1),MATCH(E$1,[1]quests!$1:$1,0)-MATCH($C$1,[1]quests!$1:$1,0)+1,FALSE)</f>
        <v>土日クエスト</v>
      </c>
      <c r="F271" s="6">
        <v>1</v>
      </c>
      <c r="G271" s="4" t="str">
        <f ca="1">VLOOKUP($C271&amp;"_"&amp;$F271,OFFSET([1]stages!$A$1,0,0,COUNTA([1]stages!$A:$A),MATCH(G$1,[1]stages!$2:$2,0)-MATCH("temp_stage",[1]stages!$2:$2,0)+1),MATCH(G$1,[1]stages!$2:$2,0)-MATCH("temp_stage",[1]stages!$2:$2,0)+1,FALSE)</f>
        <v>【初級】ゴールドカジノ</v>
      </c>
      <c r="H271" s="4" t="str">
        <f ca="1">VLOOKUP($C271&amp;"_"&amp;$F271,OFFSET([1]stages!$A$1,0,0,COUNTA([1]stages!$A:$A),MATCH(H$1,[1]stages!$2:$2,0)-MATCH("temp_stage",[1]stages!$2:$2,0)+1),MATCH(H$1,[1]stages!$2:$2,0)-MATCH("temp_stage",[1]stages!$2:$2,0)+1,FALSE)</f>
        <v>土日クエスト</v>
      </c>
      <c r="I271" s="19">
        <v>0</v>
      </c>
      <c r="J271" s="6">
        <f>COUNTIF(C$1:C271,C271)</f>
        <v>20</v>
      </c>
      <c r="K271">
        <v>21</v>
      </c>
      <c r="L271" s="6" t="s">
        <v>17</v>
      </c>
      <c r="M271" s="36" t="str">
        <f>VLOOKUP(K271,[2]stage_hints!$A:$C,3,FALSE)</f>
        <v>スキルを有効に</v>
      </c>
      <c r="N271" s="37" t="str">
        <f>VLOOKUP(K271,[2]stage_hints!$A:$D,4,FALSE)</f>
        <v>ターン経過でユニットのスキルが使えます_x000D_強力スキルでバトルを有利に進めましょう</v>
      </c>
      <c r="O271" s="22" t="s">
        <v>117</v>
      </c>
      <c r="P271">
        <v>21</v>
      </c>
    </row>
    <row r="272" spans="1:16" x14ac:dyDescent="0.15">
      <c r="A272" s="29" t="str">
        <f t="shared" si="43"/>
        <v>11006_1_21</v>
      </c>
      <c r="B272" s="27" t="s">
        <v>33</v>
      </c>
      <c r="C272" s="5">
        <v>11006</v>
      </c>
      <c r="D272" s="4" t="str">
        <f ca="1">VLOOKUP($C272,OFFSET([1]quests!$A$1,0,0,COUNTA([1]quests!$A:$A),MATCH(D$1,[1]quests!$1:$1,0)-MATCH($C$1,[1]quests!$1:$1,0)+1),MATCH(D$1,[1]quests!$1:$1,0)-MATCH($C$1,[1]quests!$1:$1,0)+1,FALSE)</f>
        <v>【土日限定】 ゴールドカジノ</v>
      </c>
      <c r="E272" s="4" t="str">
        <f ca="1">VLOOKUP($C272,OFFSET([1]quests!$A$1,0,0,COUNTA([1]quests!$A:$A),MATCH(E$1,[1]quests!$1:$1,0)-MATCH($C$1,[1]quests!$1:$1,0)+1),MATCH(E$1,[1]quests!$1:$1,0)-MATCH($C$1,[1]quests!$1:$1,0)+1,FALSE)</f>
        <v>土日クエスト</v>
      </c>
      <c r="F272" s="6">
        <v>1</v>
      </c>
      <c r="G272" s="4" t="str">
        <f ca="1">VLOOKUP($C272&amp;"_"&amp;$F272,OFFSET([1]stages!$A$1,0,0,COUNTA([1]stages!$A:$A),MATCH(G$1,[1]stages!$2:$2,0)-MATCH("temp_stage",[1]stages!$2:$2,0)+1),MATCH(G$1,[1]stages!$2:$2,0)-MATCH("temp_stage",[1]stages!$2:$2,0)+1,FALSE)</f>
        <v>【初級】ゴールドカジノ</v>
      </c>
      <c r="H272" s="4" t="str">
        <f ca="1">VLOOKUP($C272&amp;"_"&amp;$F272,OFFSET([1]stages!$A$1,0,0,COUNTA([1]stages!$A:$A),MATCH(H$1,[1]stages!$2:$2,0)-MATCH("temp_stage",[1]stages!$2:$2,0)+1),MATCH(H$1,[1]stages!$2:$2,0)-MATCH("temp_stage",[1]stages!$2:$2,0)+1,FALSE)</f>
        <v>土日クエスト</v>
      </c>
      <c r="I272" s="19">
        <v>0</v>
      </c>
      <c r="J272" s="6">
        <f>COUNTIF(C$1:C272,C272)</f>
        <v>21</v>
      </c>
      <c r="K272">
        <v>22</v>
      </c>
      <c r="L272" s="6" t="s">
        <v>17</v>
      </c>
      <c r="M272" s="36" t="str">
        <f>VLOOKUP(K272,[2]stage_hints!$A:$C,3,FALSE)</f>
        <v>フィーバーで一発逆転（その1）</v>
      </c>
      <c r="N272" s="37" t="str">
        <f>VLOOKUP(K272,[2]stage_hints!$A:$D,4,FALSE)</f>
        <v>フィーバーは攻撃と回復を兼ね備えます_x000D_ピンチからの一発逆転を狙いましょう</v>
      </c>
      <c r="O272" s="22" t="s">
        <v>117</v>
      </c>
      <c r="P272">
        <v>22</v>
      </c>
    </row>
    <row r="273" spans="1:16" x14ac:dyDescent="0.15">
      <c r="A273" s="29" t="str">
        <f t="shared" si="43"/>
        <v>11006_1_22</v>
      </c>
      <c r="B273" s="27" t="s">
        <v>33</v>
      </c>
      <c r="C273" s="5">
        <v>11006</v>
      </c>
      <c r="D273" s="4" t="str">
        <f ca="1">VLOOKUP($C273,OFFSET([1]quests!$A$1,0,0,COUNTA([1]quests!$A:$A),MATCH(D$1,[1]quests!$1:$1,0)-MATCH($C$1,[1]quests!$1:$1,0)+1),MATCH(D$1,[1]quests!$1:$1,0)-MATCH($C$1,[1]quests!$1:$1,0)+1,FALSE)</f>
        <v>【土日限定】 ゴールドカジノ</v>
      </c>
      <c r="E273" s="4" t="str">
        <f ca="1">VLOOKUP($C273,OFFSET([1]quests!$A$1,0,0,COUNTA([1]quests!$A:$A),MATCH(E$1,[1]quests!$1:$1,0)-MATCH($C$1,[1]quests!$1:$1,0)+1),MATCH(E$1,[1]quests!$1:$1,0)-MATCH($C$1,[1]quests!$1:$1,0)+1,FALSE)</f>
        <v>土日クエスト</v>
      </c>
      <c r="F273" s="6">
        <v>1</v>
      </c>
      <c r="G273" s="4" t="str">
        <f ca="1">VLOOKUP($C273&amp;"_"&amp;$F273,OFFSET([1]stages!$A$1,0,0,COUNTA([1]stages!$A:$A),MATCH(G$1,[1]stages!$2:$2,0)-MATCH("temp_stage",[1]stages!$2:$2,0)+1),MATCH(G$1,[1]stages!$2:$2,0)-MATCH("temp_stage",[1]stages!$2:$2,0)+1,FALSE)</f>
        <v>【初級】ゴールドカジノ</v>
      </c>
      <c r="H273" s="4" t="str">
        <f ca="1">VLOOKUP($C273&amp;"_"&amp;$F273,OFFSET([1]stages!$A$1,0,0,COUNTA([1]stages!$A:$A),MATCH(H$1,[1]stages!$2:$2,0)-MATCH("temp_stage",[1]stages!$2:$2,0)+1),MATCH(H$1,[1]stages!$2:$2,0)-MATCH("temp_stage",[1]stages!$2:$2,0)+1,FALSE)</f>
        <v>土日クエスト</v>
      </c>
      <c r="I273" s="19">
        <v>0</v>
      </c>
      <c r="J273" s="6">
        <f>COUNTIF(C$1:C273,C273)</f>
        <v>22</v>
      </c>
      <c r="K273">
        <v>23</v>
      </c>
      <c r="L273" s="6" t="s">
        <v>17</v>
      </c>
      <c r="M273" s="36" t="str">
        <f>VLOOKUP(K273,[2]stage_hints!$A:$C,3,FALSE)</f>
        <v>フィーバーで一発逆転（その2）</v>
      </c>
      <c r="N273" s="37" t="str">
        <f>VLOOKUP(K273,[2]stage_hints!$A:$D,4,FALSE)</f>
        <v>フィーバー中は虹色のボムパネルを狙って_x000D_画面上のパネルを一気に破壊しましょう</v>
      </c>
      <c r="O273" s="22" t="s">
        <v>117</v>
      </c>
      <c r="P273">
        <v>23</v>
      </c>
    </row>
    <row r="274" spans="1:16" x14ac:dyDescent="0.15">
      <c r="A274" s="29" t="str">
        <f t="shared" si="43"/>
        <v>11006_1_23</v>
      </c>
      <c r="B274" s="27" t="s">
        <v>33</v>
      </c>
      <c r="C274" s="5">
        <v>11006</v>
      </c>
      <c r="D274" s="4" t="str">
        <f ca="1">VLOOKUP($C274,OFFSET([1]quests!$A$1,0,0,COUNTA([1]quests!$A:$A),MATCH(D$1,[1]quests!$1:$1,0)-MATCH($C$1,[1]quests!$1:$1,0)+1),MATCH(D$1,[1]quests!$1:$1,0)-MATCH($C$1,[1]quests!$1:$1,0)+1,FALSE)</f>
        <v>【土日限定】 ゴールドカジノ</v>
      </c>
      <c r="E274" s="4" t="str">
        <f ca="1">VLOOKUP($C274,OFFSET([1]quests!$A$1,0,0,COUNTA([1]quests!$A:$A),MATCH(E$1,[1]quests!$1:$1,0)-MATCH($C$1,[1]quests!$1:$1,0)+1),MATCH(E$1,[1]quests!$1:$1,0)-MATCH($C$1,[1]quests!$1:$1,0)+1,FALSE)</f>
        <v>土日クエスト</v>
      </c>
      <c r="F274" s="6">
        <v>1</v>
      </c>
      <c r="G274" s="4" t="str">
        <f ca="1">VLOOKUP($C274&amp;"_"&amp;$F274,OFFSET([1]stages!$A$1,0,0,COUNTA([1]stages!$A:$A),MATCH(G$1,[1]stages!$2:$2,0)-MATCH("temp_stage",[1]stages!$2:$2,0)+1),MATCH(G$1,[1]stages!$2:$2,0)-MATCH("temp_stage",[1]stages!$2:$2,0)+1,FALSE)</f>
        <v>【初級】ゴールドカジノ</v>
      </c>
      <c r="H274" s="4" t="str">
        <f ca="1">VLOOKUP($C274&amp;"_"&amp;$F274,OFFSET([1]stages!$A$1,0,0,COUNTA([1]stages!$A:$A),MATCH(H$1,[1]stages!$2:$2,0)-MATCH("temp_stage",[1]stages!$2:$2,0)+1),MATCH(H$1,[1]stages!$2:$2,0)-MATCH("temp_stage",[1]stages!$2:$2,0)+1,FALSE)</f>
        <v>土日クエスト</v>
      </c>
      <c r="I274" s="19">
        <v>0</v>
      </c>
      <c r="J274" s="6">
        <f>COUNTIF(C$1:C274,C274)</f>
        <v>23</v>
      </c>
      <c r="K274">
        <v>24</v>
      </c>
      <c r="L274" s="6" t="s">
        <v>17</v>
      </c>
      <c r="M274" s="36" t="str">
        <f>VLOOKUP(K274,[2]stage_hints!$A:$C,3,FALSE)</f>
        <v>りんごを使って限界突破</v>
      </c>
      <c r="N274" s="37" t="str">
        <f>VLOOKUP(K274,[2]stage_hints!$A:$D,4,FALSE)</f>
        <v>赤りんご(攻撃力) 青りんご(回復力)_x000D_緑りんご(体力)をユニット強化に使うと_x000D_ステータスが限界突破します（計99個迄）</v>
      </c>
      <c r="O274" s="22" t="s">
        <v>117</v>
      </c>
      <c r="P274">
        <v>24</v>
      </c>
    </row>
    <row r="275" spans="1:16" x14ac:dyDescent="0.15">
      <c r="A275" s="29" t="str">
        <f t="shared" si="43"/>
        <v>11006_1_24</v>
      </c>
      <c r="B275" s="27" t="s">
        <v>33</v>
      </c>
      <c r="C275" s="5">
        <v>11006</v>
      </c>
      <c r="D275" s="4" t="str">
        <f ca="1">VLOOKUP($C275,OFFSET([1]quests!$A$1,0,0,COUNTA([1]quests!$A:$A),MATCH(D$1,[1]quests!$1:$1,0)-MATCH($C$1,[1]quests!$1:$1,0)+1),MATCH(D$1,[1]quests!$1:$1,0)-MATCH($C$1,[1]quests!$1:$1,0)+1,FALSE)</f>
        <v>【土日限定】 ゴールドカジノ</v>
      </c>
      <c r="E275" s="4" t="str">
        <f ca="1">VLOOKUP($C275,OFFSET([1]quests!$A$1,0,0,COUNTA([1]quests!$A:$A),MATCH(E$1,[1]quests!$1:$1,0)-MATCH($C$1,[1]quests!$1:$1,0)+1),MATCH(E$1,[1]quests!$1:$1,0)-MATCH($C$1,[1]quests!$1:$1,0)+1,FALSE)</f>
        <v>土日クエスト</v>
      </c>
      <c r="F275" s="6">
        <v>1</v>
      </c>
      <c r="G275" s="4" t="str">
        <f ca="1">VLOOKUP($C275&amp;"_"&amp;$F275,OFFSET([1]stages!$A$1,0,0,COUNTA([1]stages!$A:$A),MATCH(G$1,[1]stages!$2:$2,0)-MATCH("temp_stage",[1]stages!$2:$2,0)+1),MATCH(G$1,[1]stages!$2:$2,0)-MATCH("temp_stage",[1]stages!$2:$2,0)+1,FALSE)</f>
        <v>【初級】ゴールドカジノ</v>
      </c>
      <c r="H275" s="4" t="str">
        <f ca="1">VLOOKUP($C275&amp;"_"&amp;$F275,OFFSET([1]stages!$A$1,0,0,COUNTA([1]stages!$A:$A),MATCH(H$1,[1]stages!$2:$2,0)-MATCH("temp_stage",[1]stages!$2:$2,0)+1),MATCH(H$1,[1]stages!$2:$2,0)-MATCH("temp_stage",[1]stages!$2:$2,0)+1,FALSE)</f>
        <v>土日クエスト</v>
      </c>
      <c r="I275" s="19">
        <v>0</v>
      </c>
      <c r="J275" s="6">
        <f>COUNTIF(C$1:C275,C275)</f>
        <v>24</v>
      </c>
      <c r="K275">
        <v>25</v>
      </c>
      <c r="L275" s="6" t="s">
        <v>17</v>
      </c>
      <c r="M275" s="36" t="str">
        <f>VLOOKUP(K275,[2]stage_hints!$A:$C,3,FALSE)</f>
        <v>スキルレベルアップ</v>
      </c>
      <c r="N275" s="37" t="str">
        <f>VLOOKUP(K275,[2]stage_hints!$A:$D,4,FALSE)</f>
        <v>「クリスタルのりんご」を強化に使うと_x000D_スキルレベルを上げることができます</v>
      </c>
      <c r="O275" s="22" t="s">
        <v>117</v>
      </c>
      <c r="P275">
        <v>25</v>
      </c>
    </row>
    <row r="276" spans="1:16" x14ac:dyDescent="0.15">
      <c r="A276" s="29" t="str">
        <f t="shared" si="43"/>
        <v>11006_1_25</v>
      </c>
      <c r="B276" s="27" t="s">
        <v>33</v>
      </c>
      <c r="C276" s="5">
        <v>11006</v>
      </c>
      <c r="D276" s="4" t="str">
        <f ca="1">VLOOKUP($C276,OFFSET([1]quests!$A$1,0,0,COUNTA([1]quests!$A:$A),MATCH(D$1,[1]quests!$1:$1,0)-MATCH($C$1,[1]quests!$1:$1,0)+1),MATCH(D$1,[1]quests!$1:$1,0)-MATCH($C$1,[1]quests!$1:$1,0)+1,FALSE)</f>
        <v>【土日限定】 ゴールドカジノ</v>
      </c>
      <c r="E276" s="4" t="str">
        <f ca="1">VLOOKUP($C276,OFFSET([1]quests!$A$1,0,0,COUNTA([1]quests!$A:$A),MATCH(E$1,[1]quests!$1:$1,0)-MATCH($C$1,[1]quests!$1:$1,0)+1),MATCH(E$1,[1]quests!$1:$1,0)-MATCH($C$1,[1]quests!$1:$1,0)+1,FALSE)</f>
        <v>土日クエスト</v>
      </c>
      <c r="F276" s="6">
        <v>1</v>
      </c>
      <c r="G276" s="4" t="str">
        <f ca="1">VLOOKUP($C276&amp;"_"&amp;$F276,OFFSET([1]stages!$A$1,0,0,COUNTA([1]stages!$A:$A),MATCH(G$1,[1]stages!$2:$2,0)-MATCH("temp_stage",[1]stages!$2:$2,0)+1),MATCH(G$1,[1]stages!$2:$2,0)-MATCH("temp_stage",[1]stages!$2:$2,0)+1,FALSE)</f>
        <v>【初級】ゴールドカジノ</v>
      </c>
      <c r="H276" s="4" t="str">
        <f ca="1">VLOOKUP($C276&amp;"_"&amp;$F276,OFFSET([1]stages!$A$1,0,0,COUNTA([1]stages!$A:$A),MATCH(H$1,[1]stages!$2:$2,0)-MATCH("temp_stage",[1]stages!$2:$2,0)+1),MATCH(H$1,[1]stages!$2:$2,0)-MATCH("temp_stage",[1]stages!$2:$2,0)+1,FALSE)</f>
        <v>土日クエスト</v>
      </c>
      <c r="I276" s="19">
        <v>0</v>
      </c>
      <c r="J276" s="6">
        <f>COUNTIF(C$1:C276,C276)</f>
        <v>25</v>
      </c>
      <c r="K276">
        <v>26</v>
      </c>
      <c r="L276" s="6" t="s">
        <v>17</v>
      </c>
      <c r="M276" s="36" t="str">
        <f>VLOOKUP(K276,[2]stage_hints!$A:$C,3,FALSE)</f>
        <v>スキルレベルの効果</v>
      </c>
      <c r="N276" s="37" t="str">
        <f>VLOOKUP(K276,[2]stage_hints!$A:$D,4,FALSE)</f>
        <v>スキルレベルが上がると_x000D_短いターンでスキルを使うことができます</v>
      </c>
      <c r="O276" s="22" t="s">
        <v>117</v>
      </c>
      <c r="P276">
        <v>26</v>
      </c>
    </row>
    <row r="277" spans="1:16" x14ac:dyDescent="0.15">
      <c r="A277" s="29" t="str">
        <f t="shared" si="43"/>
        <v>11106_1_1</v>
      </c>
      <c r="B277" s="27" t="s">
        <v>33</v>
      </c>
      <c r="C277" s="5">
        <v>11106</v>
      </c>
      <c r="D277" s="4" t="str">
        <f ca="1">VLOOKUP($C277,OFFSET([1]quests!$A$1,0,0,COUNTA([1]quests!$A:$A),MATCH(D$1,[1]quests!$1:$1,0)-MATCH($C$1,[1]quests!$1:$1,0)+1),MATCH(D$1,[1]quests!$1:$1,0)-MATCH($C$1,[1]quests!$1:$1,0)+1,FALSE)</f>
        <v>【キャンペーン限定】 ゴールドカジノ</v>
      </c>
      <c r="E277" s="4" t="str">
        <f ca="1">VLOOKUP($C277,OFFSET([1]quests!$A$1,0,0,COUNTA([1]quests!$A:$A),MATCH(E$1,[1]quests!$1:$1,0)-MATCH($C$1,[1]quests!$1:$1,0)+1),MATCH(E$1,[1]quests!$1:$1,0)-MATCH($C$1,[1]quests!$1:$1,0)+1,FALSE)</f>
        <v>土日クエスト1</v>
      </c>
      <c r="F277" s="6">
        <v>1</v>
      </c>
      <c r="G277" s="4" t="str">
        <f ca="1">VLOOKUP($C277&amp;"_"&amp;$F277,OFFSET([1]stages!$A$1,0,0,COUNTA([1]stages!$A:$A),MATCH(G$1,[1]stages!$2:$2,0)-MATCH("temp_stage",[1]stages!$2:$2,0)+1),MATCH(G$1,[1]stages!$2:$2,0)-MATCH("temp_stage",[1]stages!$2:$2,0)+1,FALSE)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277" s="4" t="str">
        <f ca="1">VLOOKUP($C277&amp;"_"&amp;$F277,OFFSET([1]stages!$A$1,0,0,COUNTA([1]stages!$A:$A),MATCH(H$1,[1]stages!$2:$2,0)-MATCH("temp_stage",[1]stages!$2:$2,0)+1),MATCH(H$1,[1]stages!$2:$2,0)-MATCH("temp_stage",[1]stages!$2:$2,0)+1,FALSE)</f>
        <v>土日クエスト1</v>
      </c>
      <c r="I277" s="19">
        <v>0</v>
      </c>
      <c r="J277" s="6">
        <f>COUNTIF(C$1:C277,C277)</f>
        <v>1</v>
      </c>
      <c r="K277">
        <v>1</v>
      </c>
      <c r="L277" s="6" t="s">
        <v>17</v>
      </c>
      <c r="M277" s="36" t="str">
        <f>VLOOKUP(K277,[2]stage_hints!$A:$C,3,FALSE)</f>
        <v>長くつなげて大ダメージ</v>
      </c>
      <c r="N277" s="37" t="str">
        <f>VLOOKUP(K277,[2]stage_hints!$A:$D,4,FALSE)</f>
        <v>パネルを長くつなげるほど_x000D_大ダメージを与えることができます</v>
      </c>
      <c r="O277" s="22" t="s">
        <v>117</v>
      </c>
      <c r="P277">
        <v>1</v>
      </c>
    </row>
    <row r="278" spans="1:16" x14ac:dyDescent="0.15">
      <c r="A278" s="29" t="str">
        <f t="shared" si="43"/>
        <v>11106_1_2</v>
      </c>
      <c r="B278" s="27" t="s">
        <v>33</v>
      </c>
      <c r="C278" s="5">
        <v>11106</v>
      </c>
      <c r="D278" s="4" t="str">
        <f ca="1">VLOOKUP($C278,OFFSET([1]quests!$A$1,0,0,COUNTA([1]quests!$A:$A),MATCH(D$1,[1]quests!$1:$1,0)-MATCH($C$1,[1]quests!$1:$1,0)+1),MATCH(D$1,[1]quests!$1:$1,0)-MATCH($C$1,[1]quests!$1:$1,0)+1,FALSE)</f>
        <v>【キャンペーン限定】 ゴールドカジノ</v>
      </c>
      <c r="E278" s="4" t="str">
        <f ca="1">VLOOKUP($C278,OFFSET([1]quests!$A$1,0,0,COUNTA([1]quests!$A:$A),MATCH(E$1,[1]quests!$1:$1,0)-MATCH($C$1,[1]quests!$1:$1,0)+1),MATCH(E$1,[1]quests!$1:$1,0)-MATCH($C$1,[1]quests!$1:$1,0)+1,FALSE)</f>
        <v>土日クエスト1</v>
      </c>
      <c r="F278" s="6">
        <v>1</v>
      </c>
      <c r="G278" s="4" t="str">
        <f ca="1">VLOOKUP($C278&amp;"_"&amp;$F278,OFFSET([1]stages!$A$1,0,0,COUNTA([1]stages!$A:$A),MATCH(G$1,[1]stages!$2:$2,0)-MATCH("temp_stage",[1]stages!$2:$2,0)+1),MATCH(G$1,[1]stages!$2:$2,0)-MATCH("temp_stage",[1]stages!$2:$2,0)+1,FALSE)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278" s="4" t="str">
        <f ca="1">VLOOKUP($C278&amp;"_"&amp;$F278,OFFSET([1]stages!$A$1,0,0,COUNTA([1]stages!$A:$A),MATCH(H$1,[1]stages!$2:$2,0)-MATCH("temp_stage",[1]stages!$2:$2,0)+1),MATCH(H$1,[1]stages!$2:$2,0)-MATCH("temp_stage",[1]stages!$2:$2,0)+1,FALSE)</f>
        <v>土日クエスト1</v>
      </c>
      <c r="I278" s="19">
        <v>0</v>
      </c>
      <c r="J278" s="6">
        <f>COUNTIF(C$1:C278,C278)</f>
        <v>2</v>
      </c>
      <c r="K278">
        <v>2</v>
      </c>
      <c r="L278" s="6" t="s">
        <v>17</v>
      </c>
      <c r="M278" s="36" t="str">
        <f>VLOOKUP(K278,[2]stage_hints!$A:$C,3,FALSE)</f>
        <v>属性の相性</v>
      </c>
      <c r="N278" s="37" t="str">
        <f>VLOOKUP(K278,[2]stage_hints!$A:$D,4,FALSE)</f>
        <v>赤＞青　青＞黄　黄＞緑　緑＞赤_x000D_敵属性に最適なパーティがオススメです</v>
      </c>
      <c r="O278" s="22" t="s">
        <v>117</v>
      </c>
      <c r="P278">
        <v>2</v>
      </c>
    </row>
    <row r="279" spans="1:16" x14ac:dyDescent="0.15">
      <c r="A279" s="29" t="str">
        <f t="shared" si="43"/>
        <v>11106_1_3</v>
      </c>
      <c r="B279" s="27" t="s">
        <v>33</v>
      </c>
      <c r="C279" s="5">
        <v>11106</v>
      </c>
      <c r="D279" s="4" t="str">
        <f ca="1">VLOOKUP($C279,OFFSET([1]quests!$A$1,0,0,COUNTA([1]quests!$A:$A),MATCH(D$1,[1]quests!$1:$1,0)-MATCH($C$1,[1]quests!$1:$1,0)+1),MATCH(D$1,[1]quests!$1:$1,0)-MATCH($C$1,[1]quests!$1:$1,0)+1,FALSE)</f>
        <v>【キャンペーン限定】 ゴールドカジノ</v>
      </c>
      <c r="E279" s="4" t="str">
        <f ca="1">VLOOKUP($C279,OFFSET([1]quests!$A$1,0,0,COUNTA([1]quests!$A:$A),MATCH(E$1,[1]quests!$1:$1,0)-MATCH($C$1,[1]quests!$1:$1,0)+1),MATCH(E$1,[1]quests!$1:$1,0)-MATCH($C$1,[1]quests!$1:$1,0)+1,FALSE)</f>
        <v>土日クエスト1</v>
      </c>
      <c r="F279" s="6">
        <v>1</v>
      </c>
      <c r="G279" s="4" t="str">
        <f ca="1">VLOOKUP($C279&amp;"_"&amp;$F279,OFFSET([1]stages!$A$1,0,0,COUNTA([1]stages!$A:$A),MATCH(G$1,[1]stages!$2:$2,0)-MATCH("temp_stage",[1]stages!$2:$2,0)+1),MATCH(G$1,[1]stages!$2:$2,0)-MATCH("temp_stage",[1]stages!$2:$2,0)+1,FALSE)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279" s="4" t="str">
        <f ca="1">VLOOKUP($C279&amp;"_"&amp;$F279,OFFSET([1]stages!$A$1,0,0,COUNTA([1]stages!$A:$A),MATCH(H$1,[1]stages!$2:$2,0)-MATCH("temp_stage",[1]stages!$2:$2,0)+1),MATCH(H$1,[1]stages!$2:$2,0)-MATCH("temp_stage",[1]stages!$2:$2,0)+1,FALSE)</f>
        <v>土日クエスト1</v>
      </c>
      <c r="I279" s="19">
        <v>0</v>
      </c>
      <c r="J279" s="6">
        <f>COUNTIF(C$1:C279,C279)</f>
        <v>3</v>
      </c>
      <c r="K279">
        <v>3</v>
      </c>
      <c r="L279" s="6" t="s">
        <v>17</v>
      </c>
      <c r="M279" s="36" t="str">
        <f>VLOOKUP(K279,[2]stage_hints!$A:$C,3,FALSE)</f>
        <v>ターゲット</v>
      </c>
      <c r="N279" s="37" t="str">
        <f>VLOOKUP(K279,[2]stage_hints!$A:$D,4,FALSE)</f>
        <v>敵ユニットをタップすると_x000D_その敵を狙い撃ちできます</v>
      </c>
      <c r="O279" s="22" t="s">
        <v>117</v>
      </c>
      <c r="P279">
        <v>3</v>
      </c>
    </row>
    <row r="280" spans="1:16" x14ac:dyDescent="0.15">
      <c r="A280" s="29" t="str">
        <f t="shared" ref="A280:A286" si="44">C280&amp;"_"&amp;F280&amp;"_"&amp;J280</f>
        <v>11106_1_4</v>
      </c>
      <c r="B280" s="27" t="s">
        <v>33</v>
      </c>
      <c r="C280" s="5">
        <v>11106</v>
      </c>
      <c r="D280" s="4" t="str">
        <f ca="1">VLOOKUP($C280,OFFSET([1]quests!$A$1,0,0,COUNTA([1]quests!$A:$A),MATCH(D$1,[1]quests!$1:$1,0)-MATCH($C$1,[1]quests!$1:$1,0)+1),MATCH(D$1,[1]quests!$1:$1,0)-MATCH($C$1,[1]quests!$1:$1,0)+1,FALSE)</f>
        <v>【キャンペーン限定】 ゴールドカジノ</v>
      </c>
      <c r="E280" s="4" t="str">
        <f ca="1">VLOOKUP($C280,OFFSET([1]quests!$A$1,0,0,COUNTA([1]quests!$A:$A),MATCH(E$1,[1]quests!$1:$1,0)-MATCH($C$1,[1]quests!$1:$1,0)+1),MATCH(E$1,[1]quests!$1:$1,0)-MATCH($C$1,[1]quests!$1:$1,0)+1,FALSE)</f>
        <v>土日クエスト1</v>
      </c>
      <c r="F280" s="6">
        <v>1</v>
      </c>
      <c r="G280" s="4" t="str">
        <f ca="1">VLOOKUP($C280&amp;"_"&amp;$F280,OFFSET([1]stages!$A$1,0,0,COUNTA([1]stages!$A:$A),MATCH(G$1,[1]stages!$2:$2,0)-MATCH("temp_stage",[1]stages!$2:$2,0)+1),MATCH(G$1,[1]stages!$2:$2,0)-MATCH("temp_stage",[1]stages!$2:$2,0)+1,FALSE)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280" s="4" t="str">
        <f ca="1">VLOOKUP($C280&amp;"_"&amp;$F280,OFFSET([1]stages!$A$1,0,0,COUNTA([1]stages!$A:$A),MATCH(H$1,[1]stages!$2:$2,0)-MATCH("temp_stage",[1]stages!$2:$2,0)+1),MATCH(H$1,[1]stages!$2:$2,0)-MATCH("temp_stage",[1]stages!$2:$2,0)+1,FALSE)</f>
        <v>土日クエスト1</v>
      </c>
      <c r="I280" s="19">
        <v>0</v>
      </c>
      <c r="J280" s="6">
        <f>COUNTIF(C$1:C280,C280)</f>
        <v>4</v>
      </c>
      <c r="K280">
        <v>5</v>
      </c>
      <c r="L280" s="6" t="s">
        <v>17</v>
      </c>
      <c r="M280" s="36" t="str">
        <f>VLOOKUP(K280,[2]stage_hints!$A:$C,3,FALSE)</f>
        <v>ユニット強化でレベルアップ</v>
      </c>
      <c r="N280" s="37" t="str">
        <f>VLOOKUP(K280,[2]stage_hints!$A:$D,4,FALSE)</f>
        <v>「ユニット強化」でレベルアップすると_x000D_勝てない敵にも勝てるようになります</v>
      </c>
      <c r="O280" s="22" t="s">
        <v>117</v>
      </c>
      <c r="P280">
        <v>5</v>
      </c>
    </row>
    <row r="281" spans="1:16" x14ac:dyDescent="0.15">
      <c r="A281" s="29" t="str">
        <f t="shared" si="44"/>
        <v>11106_1_5</v>
      </c>
      <c r="B281" s="27" t="s">
        <v>33</v>
      </c>
      <c r="C281" s="5">
        <v>11106</v>
      </c>
      <c r="D281" s="4" t="str">
        <f ca="1">VLOOKUP($C281,OFFSET([1]quests!$A$1,0,0,COUNTA([1]quests!$A:$A),MATCH(D$1,[1]quests!$1:$1,0)-MATCH($C$1,[1]quests!$1:$1,0)+1),MATCH(D$1,[1]quests!$1:$1,0)-MATCH($C$1,[1]quests!$1:$1,0)+1,FALSE)</f>
        <v>【キャンペーン限定】 ゴールドカジノ</v>
      </c>
      <c r="E281" s="4" t="str">
        <f ca="1">VLOOKUP($C281,OFFSET([1]quests!$A$1,0,0,COUNTA([1]quests!$A:$A),MATCH(E$1,[1]quests!$1:$1,0)-MATCH($C$1,[1]quests!$1:$1,0)+1),MATCH(E$1,[1]quests!$1:$1,0)-MATCH($C$1,[1]quests!$1:$1,0)+1,FALSE)</f>
        <v>土日クエスト1</v>
      </c>
      <c r="F281" s="6">
        <v>1</v>
      </c>
      <c r="G281" s="4" t="str">
        <f ca="1">VLOOKUP($C281&amp;"_"&amp;$F281,OFFSET([1]stages!$A$1,0,0,COUNTA([1]stages!$A:$A),MATCH(G$1,[1]stages!$2:$2,0)-MATCH("temp_stage",[1]stages!$2:$2,0)+1),MATCH(G$1,[1]stages!$2:$2,0)-MATCH("temp_stage",[1]stages!$2:$2,0)+1,FALSE)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281" s="4" t="str">
        <f ca="1">VLOOKUP($C281&amp;"_"&amp;$F281,OFFSET([1]stages!$A$1,0,0,COUNTA([1]stages!$A:$A),MATCH(H$1,[1]stages!$2:$2,0)-MATCH("temp_stage",[1]stages!$2:$2,0)+1),MATCH(H$1,[1]stages!$2:$2,0)-MATCH("temp_stage",[1]stages!$2:$2,0)+1,FALSE)</f>
        <v>土日クエスト1</v>
      </c>
      <c r="I281" s="19">
        <v>0</v>
      </c>
      <c r="J281" s="6">
        <f>COUNTIF(C$1:C281,C281)</f>
        <v>5</v>
      </c>
      <c r="K281">
        <v>6</v>
      </c>
      <c r="L281" s="6" t="s">
        <v>17</v>
      </c>
      <c r="M281" s="36" t="str">
        <f>VLOOKUP(K281,[2]stage_hints!$A:$C,3,FALSE)</f>
        <v>ユニット強化の属性ボーナス</v>
      </c>
      <c r="N281" s="37" t="str">
        <f>VLOOKUP(K281,[2]stage_hints!$A:$D,4,FALSE)</f>
        <v>同属性ユニットを強化素材にすると_x000D_経験値が多くもらえます</v>
      </c>
      <c r="O281" s="22" t="s">
        <v>117</v>
      </c>
      <c r="P281">
        <v>6</v>
      </c>
    </row>
    <row r="282" spans="1:16" x14ac:dyDescent="0.15">
      <c r="A282" s="29" t="str">
        <f t="shared" si="44"/>
        <v>11106_1_6</v>
      </c>
      <c r="B282" s="27" t="s">
        <v>33</v>
      </c>
      <c r="C282" s="5">
        <v>11106</v>
      </c>
      <c r="D282" s="4" t="str">
        <f ca="1">VLOOKUP($C282,OFFSET([1]quests!$A$1,0,0,COUNTA([1]quests!$A:$A),MATCH(D$1,[1]quests!$1:$1,0)-MATCH($C$1,[1]quests!$1:$1,0)+1),MATCH(D$1,[1]quests!$1:$1,0)-MATCH($C$1,[1]quests!$1:$1,0)+1,FALSE)</f>
        <v>【キャンペーン限定】 ゴールドカジノ</v>
      </c>
      <c r="E282" s="4" t="str">
        <f ca="1">VLOOKUP($C282,OFFSET([1]quests!$A$1,0,0,COUNTA([1]quests!$A:$A),MATCH(E$1,[1]quests!$1:$1,0)-MATCH($C$1,[1]quests!$1:$1,0)+1),MATCH(E$1,[1]quests!$1:$1,0)-MATCH($C$1,[1]quests!$1:$1,0)+1,FALSE)</f>
        <v>土日クエスト1</v>
      </c>
      <c r="F282" s="6">
        <v>1</v>
      </c>
      <c r="G282" s="4" t="str">
        <f ca="1">VLOOKUP($C282&amp;"_"&amp;$F282,OFFSET([1]stages!$A$1,0,0,COUNTA([1]stages!$A:$A),MATCH(G$1,[1]stages!$2:$2,0)-MATCH("temp_stage",[1]stages!$2:$2,0)+1),MATCH(G$1,[1]stages!$2:$2,0)-MATCH("temp_stage",[1]stages!$2:$2,0)+1,FALSE)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282" s="4" t="str">
        <f ca="1">VLOOKUP($C282&amp;"_"&amp;$F282,OFFSET([1]stages!$A$1,0,0,COUNTA([1]stages!$A:$A),MATCH(H$1,[1]stages!$2:$2,0)-MATCH("temp_stage",[1]stages!$2:$2,0)+1),MATCH(H$1,[1]stages!$2:$2,0)-MATCH("temp_stage",[1]stages!$2:$2,0)+1,FALSE)</f>
        <v>土日クエスト1</v>
      </c>
      <c r="I282" s="19">
        <v>0</v>
      </c>
      <c r="J282" s="6">
        <f>COUNTIF(C$1:C282,C282)</f>
        <v>6</v>
      </c>
      <c r="K282">
        <v>7</v>
      </c>
      <c r="L282" s="6" t="s">
        <v>17</v>
      </c>
      <c r="M282" s="36" t="str">
        <f>VLOOKUP(K282,[2]stage_hints!$A:$C,3,FALSE)</f>
        <v>メタルダックで経験値を獲得</v>
      </c>
      <c r="N282" s="37" t="str">
        <f>VLOOKUP(K282,[2]stage_hints!$A:$D,4,FALSE)</f>
        <v>「メタルなアヒル」を強化素材にすると_x000D_大量の経験値がもらえます</v>
      </c>
      <c r="O282" s="22" t="s">
        <v>117</v>
      </c>
      <c r="P282">
        <v>7</v>
      </c>
    </row>
    <row r="283" spans="1:16" x14ac:dyDescent="0.15">
      <c r="A283" s="29" t="str">
        <f t="shared" si="44"/>
        <v>11106_1_7</v>
      </c>
      <c r="B283" s="27" t="s">
        <v>33</v>
      </c>
      <c r="C283" s="5">
        <v>11106</v>
      </c>
      <c r="D283" s="4" t="str">
        <f ca="1">VLOOKUP($C283,OFFSET([1]quests!$A$1,0,0,COUNTA([1]quests!$A:$A),MATCH(D$1,[1]quests!$1:$1,0)-MATCH($C$1,[1]quests!$1:$1,0)+1),MATCH(D$1,[1]quests!$1:$1,0)-MATCH($C$1,[1]quests!$1:$1,0)+1,FALSE)</f>
        <v>【キャンペーン限定】 ゴールドカジノ</v>
      </c>
      <c r="E283" s="4" t="str">
        <f ca="1">VLOOKUP($C283,OFFSET([1]quests!$A$1,0,0,COUNTA([1]quests!$A:$A),MATCH(E$1,[1]quests!$1:$1,0)-MATCH($C$1,[1]quests!$1:$1,0)+1),MATCH(E$1,[1]quests!$1:$1,0)-MATCH($C$1,[1]quests!$1:$1,0)+1,FALSE)</f>
        <v>土日クエスト1</v>
      </c>
      <c r="F283" s="6">
        <v>1</v>
      </c>
      <c r="G283" s="4" t="str">
        <f ca="1">VLOOKUP($C283&amp;"_"&amp;$F283,OFFSET([1]stages!$A$1,0,0,COUNTA([1]stages!$A:$A),MATCH(G$1,[1]stages!$2:$2,0)-MATCH("temp_stage",[1]stages!$2:$2,0)+1),MATCH(G$1,[1]stages!$2:$2,0)-MATCH("temp_stage",[1]stages!$2:$2,0)+1,FALSE)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283" s="4" t="str">
        <f ca="1">VLOOKUP($C283&amp;"_"&amp;$F283,OFFSET([1]stages!$A$1,0,0,COUNTA([1]stages!$A:$A),MATCH(H$1,[1]stages!$2:$2,0)-MATCH("temp_stage",[1]stages!$2:$2,0)+1),MATCH(H$1,[1]stages!$2:$2,0)-MATCH("temp_stage",[1]stages!$2:$2,0)+1,FALSE)</f>
        <v>土日クエスト1</v>
      </c>
      <c r="I283" s="19">
        <v>0</v>
      </c>
      <c r="J283" s="6">
        <f>COUNTIF(C$1:C283,C283)</f>
        <v>7</v>
      </c>
      <c r="K283">
        <v>8</v>
      </c>
      <c r="L283" s="6" t="s">
        <v>17</v>
      </c>
      <c r="M283" s="36" t="str">
        <f>VLOOKUP(K283,[2]stage_hints!$A:$C,3,FALSE)</f>
        <v>ゲリラクエストは要チェック</v>
      </c>
      <c r="N283" s="37" t="str">
        <f>VLOOKUP(K283,[2]stage_hints!$A:$D,4,FALSE)</f>
        <v>時間限定の「アヒル捕獲作戦」では_x000D_経験値素材ユニットが多く手に入ります</v>
      </c>
      <c r="O283" s="22" t="s">
        <v>117</v>
      </c>
      <c r="P283">
        <v>8</v>
      </c>
    </row>
    <row r="284" spans="1:16" x14ac:dyDescent="0.15">
      <c r="A284" s="29" t="str">
        <f t="shared" si="44"/>
        <v>11106_1_8</v>
      </c>
      <c r="B284" s="27" t="s">
        <v>33</v>
      </c>
      <c r="C284" s="5">
        <v>11106</v>
      </c>
      <c r="D284" s="4" t="str">
        <f ca="1">VLOOKUP($C284,OFFSET([1]quests!$A$1,0,0,COUNTA([1]quests!$A:$A),MATCH(D$1,[1]quests!$1:$1,0)-MATCH($C$1,[1]quests!$1:$1,0)+1),MATCH(D$1,[1]quests!$1:$1,0)-MATCH($C$1,[1]quests!$1:$1,0)+1,FALSE)</f>
        <v>【キャンペーン限定】 ゴールドカジノ</v>
      </c>
      <c r="E284" s="4" t="str">
        <f ca="1">VLOOKUP($C284,OFFSET([1]quests!$A$1,0,0,COUNTA([1]quests!$A:$A),MATCH(E$1,[1]quests!$1:$1,0)-MATCH($C$1,[1]quests!$1:$1,0)+1),MATCH(E$1,[1]quests!$1:$1,0)-MATCH($C$1,[1]quests!$1:$1,0)+1,FALSE)</f>
        <v>土日クエスト1</v>
      </c>
      <c r="F284" s="6">
        <v>1</v>
      </c>
      <c r="G284" s="4" t="str">
        <f ca="1">VLOOKUP($C284&amp;"_"&amp;$F284,OFFSET([1]stages!$A$1,0,0,COUNTA([1]stages!$A:$A),MATCH(G$1,[1]stages!$2:$2,0)-MATCH("temp_stage",[1]stages!$2:$2,0)+1),MATCH(G$1,[1]stages!$2:$2,0)-MATCH("temp_stage",[1]stages!$2:$2,0)+1,FALSE)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284" s="4" t="str">
        <f ca="1">VLOOKUP($C284&amp;"_"&amp;$F284,OFFSET([1]stages!$A$1,0,0,COUNTA([1]stages!$A:$A),MATCH(H$1,[1]stages!$2:$2,0)-MATCH("temp_stage",[1]stages!$2:$2,0)+1),MATCH(H$1,[1]stages!$2:$2,0)-MATCH("temp_stage",[1]stages!$2:$2,0)+1,FALSE)</f>
        <v>土日クエスト1</v>
      </c>
      <c r="I284" s="19">
        <v>0</v>
      </c>
      <c r="J284" s="6">
        <f>COUNTIF(C$1:C284,C284)</f>
        <v>8</v>
      </c>
      <c r="K284">
        <v>9</v>
      </c>
      <c r="L284" s="6" t="s">
        <v>17</v>
      </c>
      <c r="M284" s="36" t="str">
        <f>VLOOKUP(K284,[2]stage_hints!$A:$C,3,FALSE)</f>
        <v>ゴールドダックでビットを獲得</v>
      </c>
      <c r="N284" s="37" t="str">
        <f>VLOOKUP(K284,[2]stage_hints!$A:$D,4,FALSE)</f>
        <v>「ゴールドなアヒル」を売却すると_x000D_大量のビットがもらえます</v>
      </c>
      <c r="O284" s="22" t="s">
        <v>117</v>
      </c>
      <c r="P284">
        <v>9</v>
      </c>
    </row>
    <row r="285" spans="1:16" x14ac:dyDescent="0.15">
      <c r="A285" s="29" t="str">
        <f t="shared" si="44"/>
        <v>11106_1_9</v>
      </c>
      <c r="B285" s="27" t="s">
        <v>33</v>
      </c>
      <c r="C285" s="5">
        <v>11106</v>
      </c>
      <c r="D285" s="4" t="str">
        <f ca="1">VLOOKUP($C285,OFFSET([1]quests!$A$1,0,0,COUNTA([1]quests!$A:$A),MATCH(D$1,[1]quests!$1:$1,0)-MATCH($C$1,[1]quests!$1:$1,0)+1),MATCH(D$1,[1]quests!$1:$1,0)-MATCH($C$1,[1]quests!$1:$1,0)+1,FALSE)</f>
        <v>【キャンペーン限定】 ゴールドカジノ</v>
      </c>
      <c r="E285" s="4" t="str">
        <f ca="1">VLOOKUP($C285,OFFSET([1]quests!$A$1,0,0,COUNTA([1]quests!$A:$A),MATCH(E$1,[1]quests!$1:$1,0)-MATCH($C$1,[1]quests!$1:$1,0)+1),MATCH(E$1,[1]quests!$1:$1,0)-MATCH($C$1,[1]quests!$1:$1,0)+1,FALSE)</f>
        <v>土日クエスト1</v>
      </c>
      <c r="F285" s="6">
        <v>1</v>
      </c>
      <c r="G285" s="4" t="str">
        <f ca="1">VLOOKUP($C285&amp;"_"&amp;$F285,OFFSET([1]stages!$A$1,0,0,COUNTA([1]stages!$A:$A),MATCH(G$1,[1]stages!$2:$2,0)-MATCH("temp_stage",[1]stages!$2:$2,0)+1),MATCH(G$1,[1]stages!$2:$2,0)-MATCH("temp_stage",[1]stages!$2:$2,0)+1,FALSE)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285" s="4" t="str">
        <f ca="1">VLOOKUP($C285&amp;"_"&amp;$F285,OFFSET([1]stages!$A$1,0,0,COUNTA([1]stages!$A:$A),MATCH(H$1,[1]stages!$2:$2,0)-MATCH("temp_stage",[1]stages!$2:$2,0)+1),MATCH(H$1,[1]stages!$2:$2,0)-MATCH("temp_stage",[1]stages!$2:$2,0)+1,FALSE)</f>
        <v>土日クエスト1</v>
      </c>
      <c r="I285" s="19">
        <v>0</v>
      </c>
      <c r="J285" s="6">
        <f>COUNTIF(C$1:C285,C285)</f>
        <v>9</v>
      </c>
      <c r="K285">
        <v>10</v>
      </c>
      <c r="L285" s="6" t="s">
        <v>17</v>
      </c>
      <c r="M285" s="36" t="str">
        <f>VLOOKUP(K285,[2]stage_hints!$A:$C,3,FALSE)</f>
        <v>土日に大量のビットを獲得</v>
      </c>
      <c r="N285" s="37" t="str">
        <f>VLOOKUP(K285,[2]stage_hints!$A:$D,4,FALSE)</f>
        <v>土日限定の「ゴールドカジノ」では_x000D_売却素材ユニットが多く手に入ります</v>
      </c>
      <c r="O285" s="22" t="s">
        <v>117</v>
      </c>
      <c r="P285">
        <v>10</v>
      </c>
    </row>
    <row r="286" spans="1:16" x14ac:dyDescent="0.15">
      <c r="A286" s="29" t="str">
        <f t="shared" si="44"/>
        <v>11106_1_10</v>
      </c>
      <c r="B286" s="27" t="s">
        <v>33</v>
      </c>
      <c r="C286" s="5">
        <v>11106</v>
      </c>
      <c r="D286" s="4" t="str">
        <f ca="1">VLOOKUP($C286,OFFSET([1]quests!$A$1,0,0,COUNTA([1]quests!$A:$A),MATCH(D$1,[1]quests!$1:$1,0)-MATCH($C$1,[1]quests!$1:$1,0)+1),MATCH(D$1,[1]quests!$1:$1,0)-MATCH($C$1,[1]quests!$1:$1,0)+1,FALSE)</f>
        <v>【キャンペーン限定】 ゴールドカジノ</v>
      </c>
      <c r="E286" s="4" t="str">
        <f ca="1">VLOOKUP($C286,OFFSET([1]quests!$A$1,0,0,COUNTA([1]quests!$A:$A),MATCH(E$1,[1]quests!$1:$1,0)-MATCH($C$1,[1]quests!$1:$1,0)+1),MATCH(E$1,[1]quests!$1:$1,0)-MATCH($C$1,[1]quests!$1:$1,0)+1,FALSE)</f>
        <v>土日クエスト1</v>
      </c>
      <c r="F286" s="6">
        <v>1</v>
      </c>
      <c r="G286" s="4" t="str">
        <f ca="1">VLOOKUP($C286&amp;"_"&amp;$F286,OFFSET([1]stages!$A$1,0,0,COUNTA([1]stages!$A:$A),MATCH(G$1,[1]stages!$2:$2,0)-MATCH("temp_stage",[1]stages!$2:$2,0)+1),MATCH(G$1,[1]stages!$2:$2,0)-MATCH("temp_stage",[1]stages!$2:$2,0)+1,FALSE)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286" s="4" t="str">
        <f ca="1">VLOOKUP($C286&amp;"_"&amp;$F286,OFFSET([1]stages!$A$1,0,0,COUNTA([1]stages!$A:$A),MATCH(H$1,[1]stages!$2:$2,0)-MATCH("temp_stage",[1]stages!$2:$2,0)+1),MATCH(H$1,[1]stages!$2:$2,0)-MATCH("temp_stage",[1]stages!$2:$2,0)+1,FALSE)</f>
        <v>土日クエスト1</v>
      </c>
      <c r="I286" s="19">
        <v>0</v>
      </c>
      <c r="J286" s="6">
        <f>COUNTIF(C$1:C286,C286)</f>
        <v>10</v>
      </c>
      <c r="K286">
        <v>11</v>
      </c>
      <c r="L286" s="6" t="s">
        <v>17</v>
      </c>
      <c r="M286" s="36" t="str">
        <f>VLOOKUP(K286,[2]stage_hints!$A:$C,3,FALSE)</f>
        <v>ランク解放クエスト</v>
      </c>
      <c r="N286" s="37" t="str">
        <f>VLOOKUP(K286,[2]stage_hints!$A:$D,4,FALSE)</f>
        <v>一定ランクに到達すると_x000D_報酬付きのランク開放クエストが現れます</v>
      </c>
      <c r="O286" s="22" t="s">
        <v>117</v>
      </c>
      <c r="P286">
        <v>11</v>
      </c>
    </row>
    <row r="287" spans="1:16" x14ac:dyDescent="0.15">
      <c r="A287" s="29" t="str">
        <f t="shared" ref="A287:A299" si="45">C287&amp;"_"&amp;F287&amp;"_"&amp;J287</f>
        <v>11106_1_11</v>
      </c>
      <c r="B287" s="27" t="s">
        <v>33</v>
      </c>
      <c r="C287" s="5">
        <v>11106</v>
      </c>
      <c r="D287" s="4" t="str">
        <f ca="1">VLOOKUP($C287,OFFSET([1]quests!$A$1,0,0,COUNTA([1]quests!$A:$A),MATCH(D$1,[1]quests!$1:$1,0)-MATCH($C$1,[1]quests!$1:$1,0)+1),MATCH(D$1,[1]quests!$1:$1,0)-MATCH($C$1,[1]quests!$1:$1,0)+1,FALSE)</f>
        <v>【キャンペーン限定】 ゴールドカジノ</v>
      </c>
      <c r="E287" s="4" t="str">
        <f ca="1">VLOOKUP($C287,OFFSET([1]quests!$A$1,0,0,COUNTA([1]quests!$A:$A),MATCH(E$1,[1]quests!$1:$1,0)-MATCH($C$1,[1]quests!$1:$1,0)+1),MATCH(E$1,[1]quests!$1:$1,0)-MATCH($C$1,[1]quests!$1:$1,0)+1,FALSE)</f>
        <v>土日クエスト1</v>
      </c>
      <c r="F287" s="6">
        <v>1</v>
      </c>
      <c r="G287" s="4" t="str">
        <f ca="1">VLOOKUP($C287&amp;"_"&amp;$F287,OFFSET([1]stages!$A$1,0,0,COUNTA([1]stages!$A:$A),MATCH(G$1,[1]stages!$2:$2,0)-MATCH("temp_stage",[1]stages!$2:$2,0)+1),MATCH(G$1,[1]stages!$2:$2,0)-MATCH("temp_stage",[1]stages!$2:$2,0)+1,FALSE)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287" s="4" t="str">
        <f ca="1">VLOOKUP($C287&amp;"_"&amp;$F287,OFFSET([1]stages!$A$1,0,0,COUNTA([1]stages!$A:$A),MATCH(H$1,[1]stages!$2:$2,0)-MATCH("temp_stage",[1]stages!$2:$2,0)+1),MATCH(H$1,[1]stages!$2:$2,0)-MATCH("temp_stage",[1]stages!$2:$2,0)+1,FALSE)</f>
        <v>土日クエスト1</v>
      </c>
      <c r="I287" s="19">
        <v>0</v>
      </c>
      <c r="J287" s="6">
        <f>COUNTIF(C$1:C287,C287)</f>
        <v>11</v>
      </c>
      <c r="K287">
        <v>12</v>
      </c>
      <c r="L287" s="6" t="s">
        <v>17</v>
      </c>
      <c r="M287" s="36" t="str">
        <f>VLOOKUP(K287,[2]stage_hints!$A:$C,3,FALSE)</f>
        <v>ユニットのお気に入り登録</v>
      </c>
      <c r="N287" s="37" t="str">
        <f>VLOOKUP(K287,[2]stage_hints!$A:$D,4,FALSE)</f>
        <v>大事なユニットを誤って消さないように_x000D_フォルダから「お気に入り登録」しましょう</v>
      </c>
      <c r="O287" s="22" t="s">
        <v>117</v>
      </c>
      <c r="P287">
        <v>12</v>
      </c>
    </row>
    <row r="288" spans="1:16" x14ac:dyDescent="0.15">
      <c r="A288" s="29" t="str">
        <f t="shared" si="45"/>
        <v>11106_1_12</v>
      </c>
      <c r="B288" s="27" t="s">
        <v>33</v>
      </c>
      <c r="C288" s="5">
        <v>11106</v>
      </c>
      <c r="D288" s="4" t="str">
        <f ca="1">VLOOKUP($C288,OFFSET([1]quests!$A$1,0,0,COUNTA([1]quests!$A:$A),MATCH(D$1,[1]quests!$1:$1,0)-MATCH($C$1,[1]quests!$1:$1,0)+1),MATCH(D$1,[1]quests!$1:$1,0)-MATCH($C$1,[1]quests!$1:$1,0)+1,FALSE)</f>
        <v>【キャンペーン限定】 ゴールドカジノ</v>
      </c>
      <c r="E288" s="4" t="str">
        <f ca="1">VLOOKUP($C288,OFFSET([1]quests!$A$1,0,0,COUNTA([1]quests!$A:$A),MATCH(E$1,[1]quests!$1:$1,0)-MATCH($C$1,[1]quests!$1:$1,0)+1),MATCH(E$1,[1]quests!$1:$1,0)-MATCH($C$1,[1]quests!$1:$1,0)+1,FALSE)</f>
        <v>土日クエスト1</v>
      </c>
      <c r="F288" s="6">
        <v>1</v>
      </c>
      <c r="G288" s="4" t="str">
        <f ca="1">VLOOKUP($C288&amp;"_"&amp;$F288,OFFSET([1]stages!$A$1,0,0,COUNTA([1]stages!$A:$A),MATCH(G$1,[1]stages!$2:$2,0)-MATCH("temp_stage",[1]stages!$2:$2,0)+1),MATCH(G$1,[1]stages!$2:$2,0)-MATCH("temp_stage",[1]stages!$2:$2,0)+1,FALSE)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288" s="4" t="str">
        <f ca="1">VLOOKUP($C288&amp;"_"&amp;$F288,OFFSET([1]stages!$A$1,0,0,COUNTA([1]stages!$A:$A),MATCH(H$1,[1]stages!$2:$2,0)-MATCH("temp_stage",[1]stages!$2:$2,0)+1),MATCH(H$1,[1]stages!$2:$2,0)-MATCH("temp_stage",[1]stages!$2:$2,0)+1,FALSE)</f>
        <v>土日クエスト1</v>
      </c>
      <c r="I288" s="19">
        <v>0</v>
      </c>
      <c r="J288" s="6">
        <f>COUNTIF(C$1:C288,C288)</f>
        <v>12</v>
      </c>
      <c r="K288">
        <v>13</v>
      </c>
      <c r="L288" s="6" t="s">
        <v>17</v>
      </c>
      <c r="M288" s="36" t="str">
        <f>VLOOKUP(K288,[2]stage_hints!$A:$C,3,FALSE)</f>
        <v>ユニットの覚醒</v>
      </c>
      <c r="N288" s="37" t="str">
        <f>VLOOKUP(K288,[2]stage_hints!$A:$D,4,FALSE)</f>
        <v>ユニットを覚醒させると_x000D_比べものにならない強さが手に入ります</v>
      </c>
      <c r="O288" s="22" t="s">
        <v>117</v>
      </c>
      <c r="P288">
        <v>13</v>
      </c>
    </row>
    <row r="289" spans="1:16" x14ac:dyDescent="0.15">
      <c r="A289" s="29" t="str">
        <f t="shared" si="45"/>
        <v>11106_1_13</v>
      </c>
      <c r="B289" s="27" t="s">
        <v>33</v>
      </c>
      <c r="C289" s="5">
        <v>11106</v>
      </c>
      <c r="D289" s="4" t="str">
        <f ca="1">VLOOKUP($C289,OFFSET([1]quests!$A$1,0,0,COUNTA([1]quests!$A:$A),MATCH(D$1,[1]quests!$1:$1,0)-MATCH($C$1,[1]quests!$1:$1,0)+1),MATCH(D$1,[1]quests!$1:$1,0)-MATCH($C$1,[1]quests!$1:$1,0)+1,FALSE)</f>
        <v>【キャンペーン限定】 ゴールドカジノ</v>
      </c>
      <c r="E289" s="4" t="str">
        <f ca="1">VLOOKUP($C289,OFFSET([1]quests!$A$1,0,0,COUNTA([1]quests!$A:$A),MATCH(E$1,[1]quests!$1:$1,0)-MATCH($C$1,[1]quests!$1:$1,0)+1),MATCH(E$1,[1]quests!$1:$1,0)-MATCH($C$1,[1]quests!$1:$1,0)+1,FALSE)</f>
        <v>土日クエスト1</v>
      </c>
      <c r="F289" s="6">
        <v>1</v>
      </c>
      <c r="G289" s="4" t="str">
        <f ca="1">VLOOKUP($C289&amp;"_"&amp;$F289,OFFSET([1]stages!$A$1,0,0,COUNTA([1]stages!$A:$A),MATCH(G$1,[1]stages!$2:$2,0)-MATCH("temp_stage",[1]stages!$2:$2,0)+1),MATCH(G$1,[1]stages!$2:$2,0)-MATCH("temp_stage",[1]stages!$2:$2,0)+1,FALSE)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289" s="4" t="str">
        <f ca="1">VLOOKUP($C289&amp;"_"&amp;$F289,OFFSET([1]stages!$A$1,0,0,COUNTA([1]stages!$A:$A),MATCH(H$1,[1]stages!$2:$2,0)-MATCH("temp_stage",[1]stages!$2:$2,0)+1),MATCH(H$1,[1]stages!$2:$2,0)-MATCH("temp_stage",[1]stages!$2:$2,0)+1,FALSE)</f>
        <v>土日クエスト1</v>
      </c>
      <c r="I289" s="19">
        <v>0</v>
      </c>
      <c r="J289" s="6">
        <f>COUNTIF(C$1:C289,C289)</f>
        <v>13</v>
      </c>
      <c r="K289">
        <v>14</v>
      </c>
      <c r="L289" s="6" t="s">
        <v>17</v>
      </c>
      <c r="M289" s="36" t="str">
        <f>VLOOKUP(K289,[2]stage_hints!$A:$C,3,FALSE)</f>
        <v>覚醒するにはレベルを最大に</v>
      </c>
      <c r="N289" s="37" t="str">
        <f>VLOOKUP(K289,[2]stage_hints!$A:$D,4,FALSE)</f>
        <v>覚醒するにはユニットのレベルを_x000D_最大まで上げる必要があります</v>
      </c>
      <c r="O289" s="22" t="s">
        <v>117</v>
      </c>
      <c r="P289">
        <v>14</v>
      </c>
    </row>
    <row r="290" spans="1:16" x14ac:dyDescent="0.15">
      <c r="A290" s="29" t="str">
        <f t="shared" si="45"/>
        <v>11106_1_14</v>
      </c>
      <c r="B290" s="27" t="s">
        <v>33</v>
      </c>
      <c r="C290" s="5">
        <v>11106</v>
      </c>
      <c r="D290" s="4" t="str">
        <f ca="1">VLOOKUP($C290,OFFSET([1]quests!$A$1,0,0,COUNTA([1]quests!$A:$A),MATCH(D$1,[1]quests!$1:$1,0)-MATCH($C$1,[1]quests!$1:$1,0)+1),MATCH(D$1,[1]quests!$1:$1,0)-MATCH($C$1,[1]quests!$1:$1,0)+1,FALSE)</f>
        <v>【キャンペーン限定】 ゴールドカジノ</v>
      </c>
      <c r="E290" s="4" t="str">
        <f ca="1">VLOOKUP($C290,OFFSET([1]quests!$A$1,0,0,COUNTA([1]quests!$A:$A),MATCH(E$1,[1]quests!$1:$1,0)-MATCH($C$1,[1]quests!$1:$1,0)+1),MATCH(E$1,[1]quests!$1:$1,0)-MATCH($C$1,[1]quests!$1:$1,0)+1,FALSE)</f>
        <v>土日クエスト1</v>
      </c>
      <c r="F290" s="6">
        <v>1</v>
      </c>
      <c r="G290" s="4" t="str">
        <f ca="1">VLOOKUP($C290&amp;"_"&amp;$F290,OFFSET([1]stages!$A$1,0,0,COUNTA([1]stages!$A:$A),MATCH(G$1,[1]stages!$2:$2,0)-MATCH("temp_stage",[1]stages!$2:$2,0)+1),MATCH(G$1,[1]stages!$2:$2,0)-MATCH("temp_stage",[1]stages!$2:$2,0)+1,FALSE)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290" s="4" t="str">
        <f ca="1">VLOOKUP($C290&amp;"_"&amp;$F290,OFFSET([1]stages!$A$1,0,0,COUNTA([1]stages!$A:$A),MATCH(H$1,[1]stages!$2:$2,0)-MATCH("temp_stage",[1]stages!$2:$2,0)+1),MATCH(H$1,[1]stages!$2:$2,0)-MATCH("temp_stage",[1]stages!$2:$2,0)+1,FALSE)</f>
        <v>土日クエスト1</v>
      </c>
      <c r="I290" s="19">
        <v>0</v>
      </c>
      <c r="J290" s="6">
        <f>COUNTIF(C$1:C290,C290)</f>
        <v>14</v>
      </c>
      <c r="K290">
        <v>15</v>
      </c>
      <c r="L290" s="6" t="s">
        <v>17</v>
      </c>
      <c r="M290" s="36" t="str">
        <f>VLOOKUP(K290,[2]stage_hints!$A:$C,3,FALSE)</f>
        <v>覚醒素材を獲得</v>
      </c>
      <c r="N290" s="37" t="str">
        <f>VLOOKUP(K290,[2]stage_hints!$A:$D,4,FALSE)</f>
        <v>「曜日クエスト」では_x000D_ユニットの覚醒に必要な素材が手に入ります</v>
      </c>
      <c r="O290" s="22" t="s">
        <v>117</v>
      </c>
      <c r="P290">
        <v>15</v>
      </c>
    </row>
    <row r="291" spans="1:16" x14ac:dyDescent="0.15">
      <c r="A291" s="29" t="str">
        <f t="shared" si="45"/>
        <v>11106_1_15</v>
      </c>
      <c r="B291" s="27" t="s">
        <v>33</v>
      </c>
      <c r="C291" s="5">
        <v>11106</v>
      </c>
      <c r="D291" s="4" t="str">
        <f ca="1">VLOOKUP($C291,OFFSET([1]quests!$A$1,0,0,COUNTA([1]quests!$A:$A),MATCH(D$1,[1]quests!$1:$1,0)-MATCH($C$1,[1]quests!$1:$1,0)+1),MATCH(D$1,[1]quests!$1:$1,0)-MATCH($C$1,[1]quests!$1:$1,0)+1,FALSE)</f>
        <v>【キャンペーン限定】 ゴールドカジノ</v>
      </c>
      <c r="E291" s="4" t="str">
        <f ca="1">VLOOKUP($C291,OFFSET([1]quests!$A$1,0,0,COUNTA([1]quests!$A:$A),MATCH(E$1,[1]quests!$1:$1,0)-MATCH($C$1,[1]quests!$1:$1,0)+1),MATCH(E$1,[1]quests!$1:$1,0)-MATCH($C$1,[1]quests!$1:$1,0)+1,FALSE)</f>
        <v>土日クエスト1</v>
      </c>
      <c r="F291" s="6">
        <v>1</v>
      </c>
      <c r="G291" s="4" t="str">
        <f ca="1">VLOOKUP($C291&amp;"_"&amp;$F291,OFFSET([1]stages!$A$1,0,0,COUNTA([1]stages!$A:$A),MATCH(G$1,[1]stages!$2:$2,0)-MATCH("temp_stage",[1]stages!$2:$2,0)+1),MATCH(G$1,[1]stages!$2:$2,0)-MATCH("temp_stage",[1]stages!$2:$2,0)+1,FALSE)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291" s="4" t="str">
        <f ca="1">VLOOKUP($C291&amp;"_"&amp;$F291,OFFSET([1]stages!$A$1,0,0,COUNTA([1]stages!$A:$A),MATCH(H$1,[1]stages!$2:$2,0)-MATCH("temp_stage",[1]stages!$2:$2,0)+1),MATCH(H$1,[1]stages!$2:$2,0)-MATCH("temp_stage",[1]stages!$2:$2,0)+1,FALSE)</f>
        <v>土日クエスト1</v>
      </c>
      <c r="I291" s="19">
        <v>0</v>
      </c>
      <c r="J291" s="6">
        <f>COUNTIF(C$1:C291,C291)</f>
        <v>15</v>
      </c>
      <c r="K291">
        <v>16</v>
      </c>
      <c r="L291" s="6" t="s">
        <v>17</v>
      </c>
      <c r="M291" s="36" t="str">
        <f>VLOOKUP(K291,[2]stage_hints!$A:$C,3,FALSE)</f>
        <v>マルチプレイのメリット（その1）</v>
      </c>
      <c r="N291" s="37" t="str">
        <f>VLOOKUP(K291,[2]stage_hints!$A:$D,4,FALSE)</f>
        <v>他のプレイヤーとマルチプレイで遊ぶと_x000D_ポリゴンがもらえます（100人まで）</v>
      </c>
      <c r="O291" s="22" t="s">
        <v>117</v>
      </c>
      <c r="P291">
        <v>16</v>
      </c>
    </row>
    <row r="292" spans="1:16" x14ac:dyDescent="0.15">
      <c r="A292" s="29" t="str">
        <f t="shared" si="45"/>
        <v>11106_1_16</v>
      </c>
      <c r="B292" s="27" t="s">
        <v>33</v>
      </c>
      <c r="C292" s="5">
        <v>11106</v>
      </c>
      <c r="D292" s="4" t="str">
        <f ca="1">VLOOKUP($C292,OFFSET([1]quests!$A$1,0,0,COUNTA([1]quests!$A:$A),MATCH(D$1,[1]quests!$1:$1,0)-MATCH($C$1,[1]quests!$1:$1,0)+1),MATCH(D$1,[1]quests!$1:$1,0)-MATCH($C$1,[1]quests!$1:$1,0)+1,FALSE)</f>
        <v>【キャンペーン限定】 ゴールドカジノ</v>
      </c>
      <c r="E292" s="4" t="str">
        <f ca="1">VLOOKUP($C292,OFFSET([1]quests!$A$1,0,0,COUNTA([1]quests!$A:$A),MATCH(E$1,[1]quests!$1:$1,0)-MATCH($C$1,[1]quests!$1:$1,0)+1),MATCH(E$1,[1]quests!$1:$1,0)-MATCH($C$1,[1]quests!$1:$1,0)+1,FALSE)</f>
        <v>土日クエスト1</v>
      </c>
      <c r="F292" s="6">
        <v>1</v>
      </c>
      <c r="G292" s="4" t="str">
        <f ca="1">VLOOKUP($C292&amp;"_"&amp;$F292,OFFSET([1]stages!$A$1,0,0,COUNTA([1]stages!$A:$A),MATCH(G$1,[1]stages!$2:$2,0)-MATCH("temp_stage",[1]stages!$2:$2,0)+1),MATCH(G$1,[1]stages!$2:$2,0)-MATCH("temp_stage",[1]stages!$2:$2,0)+1,FALSE)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292" s="4" t="str">
        <f ca="1">VLOOKUP($C292&amp;"_"&amp;$F292,OFFSET([1]stages!$A$1,0,0,COUNTA([1]stages!$A:$A),MATCH(H$1,[1]stages!$2:$2,0)-MATCH("temp_stage",[1]stages!$2:$2,0)+1),MATCH(H$1,[1]stages!$2:$2,0)-MATCH("temp_stage",[1]stages!$2:$2,0)+1,FALSE)</f>
        <v>土日クエスト1</v>
      </c>
      <c r="I292" s="19">
        <v>0</v>
      </c>
      <c r="J292" s="6">
        <f>COUNTIF(C$1:C292,C292)</f>
        <v>16</v>
      </c>
      <c r="K292">
        <v>17</v>
      </c>
      <c r="L292" s="6" t="s">
        <v>17</v>
      </c>
      <c r="M292" s="36" t="str">
        <f>VLOOKUP(K292,[2]stage_hints!$A:$C,3,FALSE)</f>
        <v>リンクガチャ</v>
      </c>
      <c r="N292" s="37" t="str">
        <f>VLOOKUP(K292,[2]stage_hints!$A:$D,4,FALSE)</f>
        <v>無料のリンクガチャを回して_x000D_経験値素材や売却素材を獲得しましょう</v>
      </c>
      <c r="O292" s="22" t="s">
        <v>117</v>
      </c>
      <c r="P292">
        <v>17</v>
      </c>
    </row>
    <row r="293" spans="1:16" x14ac:dyDescent="0.15">
      <c r="A293" s="29" t="str">
        <f t="shared" si="45"/>
        <v>11106_1_17</v>
      </c>
      <c r="B293" s="27" t="s">
        <v>33</v>
      </c>
      <c r="C293" s="5">
        <v>11106</v>
      </c>
      <c r="D293" s="4" t="str">
        <f ca="1">VLOOKUP($C293,OFFSET([1]quests!$A$1,0,0,COUNTA([1]quests!$A:$A),MATCH(D$1,[1]quests!$1:$1,0)-MATCH($C$1,[1]quests!$1:$1,0)+1),MATCH(D$1,[1]quests!$1:$1,0)-MATCH($C$1,[1]quests!$1:$1,0)+1,FALSE)</f>
        <v>【キャンペーン限定】 ゴールドカジノ</v>
      </c>
      <c r="E293" s="4" t="str">
        <f ca="1">VLOOKUP($C293,OFFSET([1]quests!$A$1,0,0,COUNTA([1]quests!$A:$A),MATCH(E$1,[1]quests!$1:$1,0)-MATCH($C$1,[1]quests!$1:$1,0)+1),MATCH(E$1,[1]quests!$1:$1,0)-MATCH($C$1,[1]quests!$1:$1,0)+1,FALSE)</f>
        <v>土日クエスト1</v>
      </c>
      <c r="F293" s="6">
        <v>1</v>
      </c>
      <c r="G293" s="4" t="str">
        <f ca="1">VLOOKUP($C293&amp;"_"&amp;$F293,OFFSET([1]stages!$A$1,0,0,COUNTA([1]stages!$A:$A),MATCH(G$1,[1]stages!$2:$2,0)-MATCH("temp_stage",[1]stages!$2:$2,0)+1),MATCH(G$1,[1]stages!$2:$2,0)-MATCH("temp_stage",[1]stages!$2:$2,0)+1,FALSE)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293" s="4" t="str">
        <f ca="1">VLOOKUP($C293&amp;"_"&amp;$F293,OFFSET([1]stages!$A$1,0,0,COUNTA([1]stages!$A:$A),MATCH(H$1,[1]stages!$2:$2,0)-MATCH("temp_stage",[1]stages!$2:$2,0)+1),MATCH(H$1,[1]stages!$2:$2,0)-MATCH("temp_stage",[1]stages!$2:$2,0)+1,FALSE)</f>
        <v>土日クエスト1</v>
      </c>
      <c r="I293" s="19">
        <v>0</v>
      </c>
      <c r="J293" s="6">
        <f>COUNTIF(C$1:C293,C293)</f>
        <v>17</v>
      </c>
      <c r="K293">
        <v>18</v>
      </c>
      <c r="L293" s="6" t="s">
        <v>17</v>
      </c>
      <c r="M293" s="36" t="str">
        <f>VLOOKUP(K293,[2]stage_hints!$A:$C,3,FALSE)</f>
        <v>マルチプレイのメリット（その2）</v>
      </c>
      <c r="N293" s="37" t="str">
        <f>VLOOKUP(K293,[2]stage_hints!$A:$D,4,FALSE)</f>
        <v>マルチプレイならリンクが2倍もらえます_x000D_リンクガチャをたくさん回しましょう</v>
      </c>
      <c r="O293" s="22" t="s">
        <v>117</v>
      </c>
      <c r="P293">
        <v>18</v>
      </c>
    </row>
    <row r="294" spans="1:16" x14ac:dyDescent="0.15">
      <c r="A294" s="29" t="str">
        <f t="shared" si="45"/>
        <v>11106_1_18</v>
      </c>
      <c r="B294" s="27" t="s">
        <v>33</v>
      </c>
      <c r="C294" s="5">
        <v>11106</v>
      </c>
      <c r="D294" s="4" t="str">
        <f ca="1">VLOOKUP($C294,OFFSET([1]quests!$A$1,0,0,COUNTA([1]quests!$A:$A),MATCH(D$1,[1]quests!$1:$1,0)-MATCH($C$1,[1]quests!$1:$1,0)+1),MATCH(D$1,[1]quests!$1:$1,0)-MATCH($C$1,[1]quests!$1:$1,0)+1,FALSE)</f>
        <v>【キャンペーン限定】 ゴールドカジノ</v>
      </c>
      <c r="E294" s="4" t="str">
        <f ca="1">VLOOKUP($C294,OFFSET([1]quests!$A$1,0,0,COUNTA([1]quests!$A:$A),MATCH(E$1,[1]quests!$1:$1,0)-MATCH($C$1,[1]quests!$1:$1,0)+1),MATCH(E$1,[1]quests!$1:$1,0)-MATCH($C$1,[1]quests!$1:$1,0)+1,FALSE)</f>
        <v>土日クエスト1</v>
      </c>
      <c r="F294" s="6">
        <v>1</v>
      </c>
      <c r="G294" s="4" t="str">
        <f ca="1">VLOOKUP($C294&amp;"_"&amp;$F294,OFFSET([1]stages!$A$1,0,0,COUNTA([1]stages!$A:$A),MATCH(G$1,[1]stages!$2:$2,0)-MATCH("temp_stage",[1]stages!$2:$2,0)+1),MATCH(G$1,[1]stages!$2:$2,0)-MATCH("temp_stage",[1]stages!$2:$2,0)+1,FALSE)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294" s="4" t="str">
        <f ca="1">VLOOKUP($C294&amp;"_"&amp;$F294,OFFSET([1]stages!$A$1,0,0,COUNTA([1]stages!$A:$A),MATCH(H$1,[1]stages!$2:$2,0)-MATCH("temp_stage",[1]stages!$2:$2,0)+1),MATCH(H$1,[1]stages!$2:$2,0)-MATCH("temp_stage",[1]stages!$2:$2,0)+1,FALSE)</f>
        <v>土日クエスト1</v>
      </c>
      <c r="I294" s="19">
        <v>0</v>
      </c>
      <c r="J294" s="6">
        <f>COUNTIF(C$1:C294,C294)</f>
        <v>18</v>
      </c>
      <c r="K294">
        <v>19</v>
      </c>
      <c r="L294" s="6" t="s">
        <v>17</v>
      </c>
      <c r="M294" s="36" t="str">
        <f>VLOOKUP(K294,[2]stage_hints!$A:$C,3,FALSE)</f>
        <v>ソロ専用チャレンジタワー</v>
      </c>
      <c r="N294" s="37" t="str">
        <f>VLOOKUP(K294,[2]stage_hints!$A:$D,4,FALSE)</f>
        <v>ソロ専用の「チャレンジタワー」では_x000D_各フロアごとにクリア報酬がもらえます</v>
      </c>
      <c r="O294" s="22" t="s">
        <v>117</v>
      </c>
      <c r="P294">
        <v>19</v>
      </c>
    </row>
    <row r="295" spans="1:16" x14ac:dyDescent="0.15">
      <c r="A295" s="29" t="str">
        <f t="shared" si="45"/>
        <v>11106_1_19</v>
      </c>
      <c r="B295" s="27" t="s">
        <v>33</v>
      </c>
      <c r="C295" s="5">
        <v>11106</v>
      </c>
      <c r="D295" s="4" t="str">
        <f ca="1">VLOOKUP($C295,OFFSET([1]quests!$A$1,0,0,COUNTA([1]quests!$A:$A),MATCH(D$1,[1]quests!$1:$1,0)-MATCH($C$1,[1]quests!$1:$1,0)+1),MATCH(D$1,[1]quests!$1:$1,0)-MATCH($C$1,[1]quests!$1:$1,0)+1,FALSE)</f>
        <v>【キャンペーン限定】 ゴールドカジノ</v>
      </c>
      <c r="E295" s="4" t="str">
        <f ca="1">VLOOKUP($C295,OFFSET([1]quests!$A$1,0,0,COUNTA([1]quests!$A:$A),MATCH(E$1,[1]quests!$1:$1,0)-MATCH($C$1,[1]quests!$1:$1,0)+1),MATCH(E$1,[1]quests!$1:$1,0)-MATCH($C$1,[1]quests!$1:$1,0)+1,FALSE)</f>
        <v>土日クエスト1</v>
      </c>
      <c r="F295" s="6">
        <v>1</v>
      </c>
      <c r="G295" s="4" t="str">
        <f ca="1">VLOOKUP($C295&amp;"_"&amp;$F295,OFFSET([1]stages!$A$1,0,0,COUNTA([1]stages!$A:$A),MATCH(G$1,[1]stages!$2:$2,0)-MATCH("temp_stage",[1]stages!$2:$2,0)+1),MATCH(G$1,[1]stages!$2:$2,0)-MATCH("temp_stage",[1]stages!$2:$2,0)+1,FALSE)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295" s="4" t="str">
        <f ca="1">VLOOKUP($C295&amp;"_"&amp;$F295,OFFSET([1]stages!$A$1,0,0,COUNTA([1]stages!$A:$A),MATCH(H$1,[1]stages!$2:$2,0)-MATCH("temp_stage",[1]stages!$2:$2,0)+1),MATCH(H$1,[1]stages!$2:$2,0)-MATCH("temp_stage",[1]stages!$2:$2,0)+1,FALSE)</f>
        <v>土日クエスト1</v>
      </c>
      <c r="I295" s="19">
        <v>0</v>
      </c>
      <c r="J295" s="6">
        <f>COUNTIF(C$1:C295,C295)</f>
        <v>19</v>
      </c>
      <c r="K295">
        <v>20</v>
      </c>
      <c r="L295" s="6" t="s">
        <v>17</v>
      </c>
      <c r="M295" s="36" t="str">
        <f>VLOOKUP(K295,[2]stage_hints!$A:$C,3,FALSE)</f>
        <v>マルチプレイのメリット（その3）</v>
      </c>
      <c r="N295" s="37" t="str">
        <f>VLOOKUP(K295,[2]stage_hints!$A:$D,4,FALSE)</f>
        <v>マルチプレイへの参加はエナジー消費ゼロ_x000D_いつでも好きなだけ遊ぶことができます</v>
      </c>
      <c r="O295" s="22" t="s">
        <v>117</v>
      </c>
      <c r="P295">
        <v>20</v>
      </c>
    </row>
    <row r="296" spans="1:16" x14ac:dyDescent="0.15">
      <c r="A296" s="29" t="str">
        <f t="shared" si="45"/>
        <v>11106_1_20</v>
      </c>
      <c r="B296" s="27" t="s">
        <v>33</v>
      </c>
      <c r="C296" s="5">
        <v>11106</v>
      </c>
      <c r="D296" s="4" t="str">
        <f ca="1">VLOOKUP($C296,OFFSET([1]quests!$A$1,0,0,COUNTA([1]quests!$A:$A),MATCH(D$1,[1]quests!$1:$1,0)-MATCH($C$1,[1]quests!$1:$1,0)+1),MATCH(D$1,[1]quests!$1:$1,0)-MATCH($C$1,[1]quests!$1:$1,0)+1,FALSE)</f>
        <v>【キャンペーン限定】 ゴールドカジノ</v>
      </c>
      <c r="E296" s="4" t="str">
        <f ca="1">VLOOKUP($C296,OFFSET([1]quests!$A$1,0,0,COUNTA([1]quests!$A:$A),MATCH(E$1,[1]quests!$1:$1,0)-MATCH($C$1,[1]quests!$1:$1,0)+1),MATCH(E$1,[1]quests!$1:$1,0)-MATCH($C$1,[1]quests!$1:$1,0)+1,FALSE)</f>
        <v>土日クエスト1</v>
      </c>
      <c r="F296" s="6">
        <v>1</v>
      </c>
      <c r="G296" s="4" t="str">
        <f ca="1">VLOOKUP($C296&amp;"_"&amp;$F296,OFFSET([1]stages!$A$1,0,0,COUNTA([1]stages!$A:$A),MATCH(G$1,[1]stages!$2:$2,0)-MATCH("temp_stage",[1]stages!$2:$2,0)+1),MATCH(G$1,[1]stages!$2:$2,0)-MATCH("temp_stage",[1]stages!$2:$2,0)+1,FALSE)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296" s="4" t="str">
        <f ca="1">VLOOKUP($C296&amp;"_"&amp;$F296,OFFSET([1]stages!$A$1,0,0,COUNTA([1]stages!$A:$A),MATCH(H$1,[1]stages!$2:$2,0)-MATCH("temp_stage",[1]stages!$2:$2,0)+1),MATCH(H$1,[1]stages!$2:$2,0)-MATCH("temp_stage",[1]stages!$2:$2,0)+1,FALSE)</f>
        <v>土日クエスト1</v>
      </c>
      <c r="I296" s="19">
        <v>0</v>
      </c>
      <c r="J296" s="6">
        <f>COUNTIF(C$1:C296,C296)</f>
        <v>20</v>
      </c>
      <c r="K296">
        <v>21</v>
      </c>
      <c r="L296" s="6" t="s">
        <v>17</v>
      </c>
      <c r="M296" s="36" t="str">
        <f>VLOOKUP(K296,[2]stage_hints!$A:$C,3,FALSE)</f>
        <v>スキルを有効に</v>
      </c>
      <c r="N296" s="37" t="str">
        <f>VLOOKUP(K296,[2]stage_hints!$A:$D,4,FALSE)</f>
        <v>ターン経過でユニットのスキルが使えます_x000D_強力スキルでバトルを有利に進めましょう</v>
      </c>
      <c r="O296" s="22" t="s">
        <v>117</v>
      </c>
      <c r="P296">
        <v>21</v>
      </c>
    </row>
    <row r="297" spans="1:16" x14ac:dyDescent="0.15">
      <c r="A297" s="29" t="str">
        <f t="shared" si="45"/>
        <v>11106_1_21</v>
      </c>
      <c r="B297" s="27" t="s">
        <v>33</v>
      </c>
      <c r="C297" s="5">
        <v>11106</v>
      </c>
      <c r="D297" s="4" t="str">
        <f ca="1">VLOOKUP($C297,OFFSET([1]quests!$A$1,0,0,COUNTA([1]quests!$A:$A),MATCH(D$1,[1]quests!$1:$1,0)-MATCH($C$1,[1]quests!$1:$1,0)+1),MATCH(D$1,[1]quests!$1:$1,0)-MATCH($C$1,[1]quests!$1:$1,0)+1,FALSE)</f>
        <v>【キャンペーン限定】 ゴールドカジノ</v>
      </c>
      <c r="E297" s="4" t="str">
        <f ca="1">VLOOKUP($C297,OFFSET([1]quests!$A$1,0,0,COUNTA([1]quests!$A:$A),MATCH(E$1,[1]quests!$1:$1,0)-MATCH($C$1,[1]quests!$1:$1,0)+1),MATCH(E$1,[1]quests!$1:$1,0)-MATCH($C$1,[1]quests!$1:$1,0)+1,FALSE)</f>
        <v>土日クエスト1</v>
      </c>
      <c r="F297" s="6">
        <v>1</v>
      </c>
      <c r="G297" s="4" t="str">
        <f ca="1">VLOOKUP($C297&amp;"_"&amp;$F297,OFFSET([1]stages!$A$1,0,0,COUNTA([1]stages!$A:$A),MATCH(G$1,[1]stages!$2:$2,0)-MATCH("temp_stage",[1]stages!$2:$2,0)+1),MATCH(G$1,[1]stages!$2:$2,0)-MATCH("temp_stage",[1]stages!$2:$2,0)+1,FALSE)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297" s="4" t="str">
        <f ca="1">VLOOKUP($C297&amp;"_"&amp;$F297,OFFSET([1]stages!$A$1,0,0,COUNTA([1]stages!$A:$A),MATCH(H$1,[1]stages!$2:$2,0)-MATCH("temp_stage",[1]stages!$2:$2,0)+1),MATCH(H$1,[1]stages!$2:$2,0)-MATCH("temp_stage",[1]stages!$2:$2,0)+1,FALSE)</f>
        <v>土日クエスト1</v>
      </c>
      <c r="I297" s="19">
        <v>0</v>
      </c>
      <c r="J297" s="6">
        <f>COUNTIF(C$1:C297,C297)</f>
        <v>21</v>
      </c>
      <c r="K297">
        <v>22</v>
      </c>
      <c r="L297" s="6" t="s">
        <v>17</v>
      </c>
      <c r="M297" s="36" t="str">
        <f>VLOOKUP(K297,[2]stage_hints!$A:$C,3,FALSE)</f>
        <v>フィーバーで一発逆転（その1）</v>
      </c>
      <c r="N297" s="37" t="str">
        <f>VLOOKUP(K297,[2]stage_hints!$A:$D,4,FALSE)</f>
        <v>フィーバーは攻撃と回復を兼ね備えます_x000D_ピンチからの一発逆転を狙いましょう</v>
      </c>
      <c r="O297" s="22" t="s">
        <v>117</v>
      </c>
      <c r="P297">
        <v>22</v>
      </c>
    </row>
    <row r="298" spans="1:16" x14ac:dyDescent="0.15">
      <c r="A298" s="29" t="str">
        <f t="shared" si="45"/>
        <v>11106_1_22</v>
      </c>
      <c r="B298" s="27" t="s">
        <v>33</v>
      </c>
      <c r="C298" s="5">
        <v>11106</v>
      </c>
      <c r="D298" s="4" t="str">
        <f ca="1">VLOOKUP($C298,OFFSET([1]quests!$A$1,0,0,COUNTA([1]quests!$A:$A),MATCH(D$1,[1]quests!$1:$1,0)-MATCH($C$1,[1]quests!$1:$1,0)+1),MATCH(D$1,[1]quests!$1:$1,0)-MATCH($C$1,[1]quests!$1:$1,0)+1,FALSE)</f>
        <v>【キャンペーン限定】 ゴールドカジノ</v>
      </c>
      <c r="E298" s="4" t="str">
        <f ca="1">VLOOKUP($C298,OFFSET([1]quests!$A$1,0,0,COUNTA([1]quests!$A:$A),MATCH(E$1,[1]quests!$1:$1,0)-MATCH($C$1,[1]quests!$1:$1,0)+1),MATCH(E$1,[1]quests!$1:$1,0)-MATCH($C$1,[1]quests!$1:$1,0)+1,FALSE)</f>
        <v>土日クエスト1</v>
      </c>
      <c r="F298" s="6">
        <v>1</v>
      </c>
      <c r="G298" s="4" t="str">
        <f ca="1">VLOOKUP($C298&amp;"_"&amp;$F298,OFFSET([1]stages!$A$1,0,0,COUNTA([1]stages!$A:$A),MATCH(G$1,[1]stages!$2:$2,0)-MATCH("temp_stage",[1]stages!$2:$2,0)+1),MATCH(G$1,[1]stages!$2:$2,0)-MATCH("temp_stage",[1]stages!$2:$2,0)+1,FALSE)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298" s="4" t="str">
        <f ca="1">VLOOKUP($C298&amp;"_"&amp;$F298,OFFSET([1]stages!$A$1,0,0,COUNTA([1]stages!$A:$A),MATCH(H$1,[1]stages!$2:$2,0)-MATCH("temp_stage",[1]stages!$2:$2,0)+1),MATCH(H$1,[1]stages!$2:$2,0)-MATCH("temp_stage",[1]stages!$2:$2,0)+1,FALSE)</f>
        <v>土日クエスト1</v>
      </c>
      <c r="I298" s="19">
        <v>0</v>
      </c>
      <c r="J298" s="6">
        <f>COUNTIF(C$1:C298,C298)</f>
        <v>22</v>
      </c>
      <c r="K298">
        <v>23</v>
      </c>
      <c r="L298" s="6" t="s">
        <v>17</v>
      </c>
      <c r="M298" s="36" t="str">
        <f>VLOOKUP(K298,[2]stage_hints!$A:$C,3,FALSE)</f>
        <v>フィーバーで一発逆転（その2）</v>
      </c>
      <c r="N298" s="37" t="str">
        <f>VLOOKUP(K298,[2]stage_hints!$A:$D,4,FALSE)</f>
        <v>フィーバー中は虹色のボムパネルを狙って_x000D_画面上のパネルを一気に破壊しましょう</v>
      </c>
      <c r="O298" s="22" t="s">
        <v>117</v>
      </c>
      <c r="P298">
        <v>23</v>
      </c>
    </row>
    <row r="299" spans="1:16" x14ac:dyDescent="0.15">
      <c r="A299" s="29" t="str">
        <f t="shared" si="45"/>
        <v>11106_1_23</v>
      </c>
      <c r="B299" s="27" t="s">
        <v>33</v>
      </c>
      <c r="C299" s="5">
        <v>11106</v>
      </c>
      <c r="D299" s="4" t="str">
        <f ca="1">VLOOKUP($C299,OFFSET([1]quests!$A$1,0,0,COUNTA([1]quests!$A:$A),MATCH(D$1,[1]quests!$1:$1,0)-MATCH($C$1,[1]quests!$1:$1,0)+1),MATCH(D$1,[1]quests!$1:$1,0)-MATCH($C$1,[1]quests!$1:$1,0)+1,FALSE)</f>
        <v>【キャンペーン限定】 ゴールドカジノ</v>
      </c>
      <c r="E299" s="4" t="str">
        <f ca="1">VLOOKUP($C299,OFFSET([1]quests!$A$1,0,0,COUNTA([1]quests!$A:$A),MATCH(E$1,[1]quests!$1:$1,0)-MATCH($C$1,[1]quests!$1:$1,0)+1),MATCH(E$1,[1]quests!$1:$1,0)-MATCH($C$1,[1]quests!$1:$1,0)+1,FALSE)</f>
        <v>土日クエスト1</v>
      </c>
      <c r="F299" s="6">
        <v>1</v>
      </c>
      <c r="G299" s="4" t="str">
        <f ca="1">VLOOKUP($C299&amp;"_"&amp;$F299,OFFSET([1]stages!$A$1,0,0,COUNTA([1]stages!$A:$A),MATCH(G$1,[1]stages!$2:$2,0)-MATCH("temp_stage",[1]stages!$2:$2,0)+1),MATCH(G$1,[1]stages!$2:$2,0)-MATCH("temp_stage",[1]stages!$2:$2,0)+1,FALSE)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299" s="4" t="str">
        <f ca="1">VLOOKUP($C299&amp;"_"&amp;$F299,OFFSET([1]stages!$A$1,0,0,COUNTA([1]stages!$A:$A),MATCH(H$1,[1]stages!$2:$2,0)-MATCH("temp_stage",[1]stages!$2:$2,0)+1),MATCH(H$1,[1]stages!$2:$2,0)-MATCH("temp_stage",[1]stages!$2:$2,0)+1,FALSE)</f>
        <v>土日クエスト1</v>
      </c>
      <c r="I299" s="19">
        <v>0</v>
      </c>
      <c r="J299" s="6">
        <f>COUNTIF(C$1:C299,C299)</f>
        <v>23</v>
      </c>
      <c r="K299">
        <v>24</v>
      </c>
      <c r="L299" s="6" t="s">
        <v>17</v>
      </c>
      <c r="M299" s="36" t="str">
        <f>VLOOKUP(K299,[2]stage_hints!$A:$C,3,FALSE)</f>
        <v>りんごを使って限界突破</v>
      </c>
      <c r="N299" s="37" t="str">
        <f>VLOOKUP(K299,[2]stage_hints!$A:$D,4,FALSE)</f>
        <v>赤りんご(攻撃力) 青りんご(回復力)_x000D_緑りんご(体力)をユニット強化に使うと_x000D_ステータスが限界突破します（計99個迄）</v>
      </c>
      <c r="O299" s="22" t="s">
        <v>117</v>
      </c>
      <c r="P299">
        <v>24</v>
      </c>
    </row>
    <row r="300" spans="1:16" x14ac:dyDescent="0.15">
      <c r="A300" s="29" t="str">
        <f t="shared" ref="A300:A306" si="46">C300&amp;"_"&amp;F300&amp;"_"&amp;J300</f>
        <v>11106_1_24</v>
      </c>
      <c r="B300" s="27" t="s">
        <v>33</v>
      </c>
      <c r="C300" s="5">
        <v>11106</v>
      </c>
      <c r="D300" s="4" t="str">
        <f ca="1">VLOOKUP($C300,OFFSET([1]quests!$A$1,0,0,COUNTA([1]quests!$A:$A),MATCH(D$1,[1]quests!$1:$1,0)-MATCH($C$1,[1]quests!$1:$1,0)+1),MATCH(D$1,[1]quests!$1:$1,0)-MATCH($C$1,[1]quests!$1:$1,0)+1,FALSE)</f>
        <v>【キャンペーン限定】 ゴールドカジノ</v>
      </c>
      <c r="E300" s="4" t="str">
        <f ca="1">VLOOKUP($C300,OFFSET([1]quests!$A$1,0,0,COUNTA([1]quests!$A:$A),MATCH(E$1,[1]quests!$1:$1,0)-MATCH($C$1,[1]quests!$1:$1,0)+1),MATCH(E$1,[1]quests!$1:$1,0)-MATCH($C$1,[1]quests!$1:$1,0)+1,FALSE)</f>
        <v>土日クエスト1</v>
      </c>
      <c r="F300" s="6">
        <v>1</v>
      </c>
      <c r="G300" s="4" t="str">
        <f ca="1">VLOOKUP($C300&amp;"_"&amp;$F300,OFFSET([1]stages!$A$1,0,0,COUNTA([1]stages!$A:$A),MATCH(G$1,[1]stages!$2:$2,0)-MATCH("temp_stage",[1]stages!$2:$2,0)+1),MATCH(G$1,[1]stages!$2:$2,0)-MATCH("temp_stage",[1]stages!$2:$2,0)+1,FALSE)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300" s="4" t="str">
        <f ca="1">VLOOKUP($C300&amp;"_"&amp;$F300,OFFSET([1]stages!$A$1,0,0,COUNTA([1]stages!$A:$A),MATCH(H$1,[1]stages!$2:$2,0)-MATCH("temp_stage",[1]stages!$2:$2,0)+1),MATCH(H$1,[1]stages!$2:$2,0)-MATCH("temp_stage",[1]stages!$2:$2,0)+1,FALSE)</f>
        <v>土日クエスト1</v>
      </c>
      <c r="I300" s="19">
        <v>0</v>
      </c>
      <c r="J300" s="6">
        <f>COUNTIF(C$1:C300,C300)</f>
        <v>24</v>
      </c>
      <c r="K300">
        <v>25</v>
      </c>
      <c r="L300" s="6" t="s">
        <v>17</v>
      </c>
      <c r="M300" s="36" t="str">
        <f>VLOOKUP(K300,[2]stage_hints!$A:$C,3,FALSE)</f>
        <v>スキルレベルアップ</v>
      </c>
      <c r="N300" s="37" t="str">
        <f>VLOOKUP(K300,[2]stage_hints!$A:$D,4,FALSE)</f>
        <v>「クリスタルのりんご」を強化に使うと_x000D_スキルレベルを上げることができます</v>
      </c>
      <c r="O300" s="22" t="s">
        <v>117</v>
      </c>
      <c r="P300">
        <v>25</v>
      </c>
    </row>
    <row r="301" spans="1:16" x14ac:dyDescent="0.15">
      <c r="A301" s="29" t="str">
        <f t="shared" si="46"/>
        <v>11106_1_25</v>
      </c>
      <c r="B301" s="27" t="s">
        <v>33</v>
      </c>
      <c r="C301" s="5">
        <v>11106</v>
      </c>
      <c r="D301" s="4" t="str">
        <f ca="1">VLOOKUP($C301,OFFSET([1]quests!$A$1,0,0,COUNTA([1]quests!$A:$A),MATCH(D$1,[1]quests!$1:$1,0)-MATCH($C$1,[1]quests!$1:$1,0)+1),MATCH(D$1,[1]quests!$1:$1,0)-MATCH($C$1,[1]quests!$1:$1,0)+1,FALSE)</f>
        <v>【キャンペーン限定】 ゴールドカジノ</v>
      </c>
      <c r="E301" s="4" t="str">
        <f ca="1">VLOOKUP($C301,OFFSET([1]quests!$A$1,0,0,COUNTA([1]quests!$A:$A),MATCH(E$1,[1]quests!$1:$1,0)-MATCH($C$1,[1]quests!$1:$1,0)+1),MATCH(E$1,[1]quests!$1:$1,0)-MATCH($C$1,[1]quests!$1:$1,0)+1,FALSE)</f>
        <v>土日クエスト1</v>
      </c>
      <c r="F301" s="6">
        <v>1</v>
      </c>
      <c r="G301" s="4" t="str">
        <f ca="1">VLOOKUP($C301&amp;"_"&amp;$F301,OFFSET([1]stages!$A$1,0,0,COUNTA([1]stages!$A:$A),MATCH(G$1,[1]stages!$2:$2,0)-MATCH("temp_stage",[1]stages!$2:$2,0)+1),MATCH(G$1,[1]stages!$2:$2,0)-MATCH("temp_stage",[1]stages!$2:$2,0)+1,FALSE)</f>
        <v xml:space="preserve">【初級】ゴールドカジノ </v>
      </c>
      <c r="H301" s="4" t="str">
        <f ca="1">VLOOKUP($C301&amp;"_"&amp;$F301,OFFSET([1]stages!$A$1,0,0,COUNTA([1]stages!$A:$A),MATCH(H$1,[1]stages!$2:$2,0)-MATCH("temp_stage",[1]stages!$2:$2,0)+1),MATCH(H$1,[1]stages!$2:$2,0)-MATCH("temp_stage",[1]stages!$2:$2,0)+1,FALSE)</f>
        <v>土日クエスト1</v>
      </c>
      <c r="I301" s="19">
        <v>0</v>
      </c>
      <c r="J301" s="6">
        <f>COUNTIF(C$1:C301,C301)</f>
        <v>25</v>
      </c>
      <c r="K301">
        <v>26</v>
      </c>
      <c r="L301" s="6" t="s">
        <v>17</v>
      </c>
      <c r="M301" s="36" t="str">
        <f>VLOOKUP(K301,[2]stage_hints!$A:$C,3,FALSE)</f>
        <v>スキルレベルの効果</v>
      </c>
      <c r="N301" s="37" t="str">
        <f>VLOOKUP(K301,[2]stage_hints!$A:$D,4,FALSE)</f>
        <v>スキルレベルが上がると_x000D_短いターンでスキルを使うことができます</v>
      </c>
      <c r="O301" s="22" t="s">
        <v>117</v>
      </c>
      <c r="P301">
        <v>26</v>
      </c>
    </row>
    <row r="302" spans="1:16" x14ac:dyDescent="0.15">
      <c r="A302" s="29" t="str">
        <f t="shared" si="46"/>
        <v>12001_1_1</v>
      </c>
      <c r="B302" s="27" t="s">
        <v>33</v>
      </c>
      <c r="C302" s="5">
        <v>12001</v>
      </c>
      <c r="D302" s="4" t="str">
        <f ca="1">VLOOKUP($C302,OFFSET([1]quests!$A$1,0,0,COUNTA([1]quests!$A:$A),MATCH(D$1,[1]quests!$1:$1,0)-MATCH($C$1,[1]quests!$1:$1,0)+1),MATCH(D$1,[1]quests!$1:$1,0)-MATCH($C$1,[1]quests!$1:$1,0)+1,FALSE)</f>
        <v>【緊急！！】 アヒル捕獲作戦</v>
      </c>
      <c r="E302" s="4" t="str">
        <f ca="1">VLOOKUP($C302,OFFSET([1]quests!$A$1,0,0,COUNTA([1]quests!$A:$A),MATCH(E$1,[1]quests!$1:$1,0)-MATCH($C$1,[1]quests!$1:$1,0)+1),MATCH(E$1,[1]quests!$1:$1,0)-MATCH($C$1,[1]quests!$1:$1,0)+1,FALSE)</f>
        <v>ゲリラクエスト</v>
      </c>
      <c r="F302" s="6">
        <v>1</v>
      </c>
      <c r="G302" s="4" t="str">
        <f ca="1">VLOOKUP($C302&amp;"_"&amp;$F302,OFFSET([1]stages!$A$1,0,0,COUNTA([1]stages!$A:$A),MATCH(G$1,[1]stages!$2:$2,0)-MATCH("temp_stage",[1]stages!$2:$2,0)+1),MATCH(G$1,[1]stages!$2:$2,0)-MATCH("temp_stage",[1]stages!$2:$2,0)+1,FALSE)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02" s="4" t="str">
        <f ca="1">VLOOKUP($C302&amp;"_"&amp;$F302,OFFSET([1]stages!$A$1,0,0,COUNTA([1]stages!$A:$A),MATCH(H$1,[1]stages!$2:$2,0)-MATCH("temp_stage",[1]stages!$2:$2,0)+1),MATCH(H$1,[1]stages!$2:$2,0)-MATCH("temp_stage",[1]stages!$2:$2,0)+1,FALSE)</f>
        <v>ゲリラクエスト</v>
      </c>
      <c r="I302" s="19">
        <v>0</v>
      </c>
      <c r="J302" s="6">
        <f>COUNTIF(C$1:C302,C302)</f>
        <v>1</v>
      </c>
      <c r="K302">
        <v>1</v>
      </c>
      <c r="L302" s="6" t="s">
        <v>17</v>
      </c>
      <c r="M302" s="36" t="str">
        <f>VLOOKUP(K302,[2]stage_hints!$A:$C,3,FALSE)</f>
        <v>長くつなげて大ダメージ</v>
      </c>
      <c r="N302" s="37" t="str">
        <f>VLOOKUP(K302,[2]stage_hints!$A:$D,4,FALSE)</f>
        <v>パネルを長くつなげるほど_x000D_大ダメージを与えることができます</v>
      </c>
      <c r="O302" s="22" t="s">
        <v>117</v>
      </c>
      <c r="P302">
        <v>1</v>
      </c>
    </row>
    <row r="303" spans="1:16" x14ac:dyDescent="0.15">
      <c r="A303" s="29" t="str">
        <f t="shared" si="46"/>
        <v>12001_1_2</v>
      </c>
      <c r="B303" s="27" t="s">
        <v>33</v>
      </c>
      <c r="C303" s="5">
        <v>12001</v>
      </c>
      <c r="D303" s="4" t="str">
        <f ca="1">VLOOKUP($C303,OFFSET([1]quests!$A$1,0,0,COUNTA([1]quests!$A:$A),MATCH(D$1,[1]quests!$1:$1,0)-MATCH($C$1,[1]quests!$1:$1,0)+1),MATCH(D$1,[1]quests!$1:$1,0)-MATCH($C$1,[1]quests!$1:$1,0)+1,FALSE)</f>
        <v>【緊急！！】 アヒル捕獲作戦</v>
      </c>
      <c r="E303" s="4" t="str">
        <f ca="1">VLOOKUP($C303,OFFSET([1]quests!$A$1,0,0,COUNTA([1]quests!$A:$A),MATCH(E$1,[1]quests!$1:$1,0)-MATCH($C$1,[1]quests!$1:$1,0)+1),MATCH(E$1,[1]quests!$1:$1,0)-MATCH($C$1,[1]quests!$1:$1,0)+1,FALSE)</f>
        <v>ゲリラクエスト</v>
      </c>
      <c r="F303" s="6">
        <v>1</v>
      </c>
      <c r="G303" s="4" t="str">
        <f ca="1">VLOOKUP($C303&amp;"_"&amp;$F303,OFFSET([1]stages!$A$1,0,0,COUNTA([1]stages!$A:$A),MATCH(G$1,[1]stages!$2:$2,0)-MATCH("temp_stage",[1]stages!$2:$2,0)+1),MATCH(G$1,[1]stages!$2:$2,0)-MATCH("temp_stage",[1]stages!$2:$2,0)+1,FALSE)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03" s="4" t="str">
        <f ca="1">VLOOKUP($C303&amp;"_"&amp;$F303,OFFSET([1]stages!$A$1,0,0,COUNTA([1]stages!$A:$A),MATCH(H$1,[1]stages!$2:$2,0)-MATCH("temp_stage",[1]stages!$2:$2,0)+1),MATCH(H$1,[1]stages!$2:$2,0)-MATCH("temp_stage",[1]stages!$2:$2,0)+1,FALSE)</f>
        <v>ゲリラクエスト</v>
      </c>
      <c r="I303" s="19">
        <v>0</v>
      </c>
      <c r="J303" s="6">
        <f>COUNTIF(C$1:C303,C303)</f>
        <v>2</v>
      </c>
      <c r="K303">
        <v>2</v>
      </c>
      <c r="L303" s="6" t="s">
        <v>17</v>
      </c>
      <c r="M303" s="36" t="str">
        <f>VLOOKUP(K303,[2]stage_hints!$A:$C,3,FALSE)</f>
        <v>属性の相性</v>
      </c>
      <c r="N303" s="37" t="str">
        <f>VLOOKUP(K303,[2]stage_hints!$A:$D,4,FALSE)</f>
        <v>赤＞青　青＞黄　黄＞緑　緑＞赤_x000D_敵属性に最適なパーティがオススメです</v>
      </c>
      <c r="O303" s="22" t="s">
        <v>117</v>
      </c>
      <c r="P303">
        <v>2</v>
      </c>
    </row>
    <row r="304" spans="1:16" x14ac:dyDescent="0.15">
      <c r="A304" s="29" t="str">
        <f t="shared" si="46"/>
        <v>12001_1_3</v>
      </c>
      <c r="B304" s="27" t="s">
        <v>33</v>
      </c>
      <c r="C304" s="5">
        <v>12001</v>
      </c>
      <c r="D304" s="4" t="str">
        <f ca="1">VLOOKUP($C304,OFFSET([1]quests!$A$1,0,0,COUNTA([1]quests!$A:$A),MATCH(D$1,[1]quests!$1:$1,0)-MATCH($C$1,[1]quests!$1:$1,0)+1),MATCH(D$1,[1]quests!$1:$1,0)-MATCH($C$1,[1]quests!$1:$1,0)+1,FALSE)</f>
        <v>【緊急！！】 アヒル捕獲作戦</v>
      </c>
      <c r="E304" s="4" t="str">
        <f ca="1">VLOOKUP($C304,OFFSET([1]quests!$A$1,0,0,COUNTA([1]quests!$A:$A),MATCH(E$1,[1]quests!$1:$1,0)-MATCH($C$1,[1]quests!$1:$1,0)+1),MATCH(E$1,[1]quests!$1:$1,0)-MATCH($C$1,[1]quests!$1:$1,0)+1,FALSE)</f>
        <v>ゲリラクエスト</v>
      </c>
      <c r="F304" s="6">
        <v>1</v>
      </c>
      <c r="G304" s="4" t="str">
        <f ca="1">VLOOKUP($C304&amp;"_"&amp;$F304,OFFSET([1]stages!$A$1,0,0,COUNTA([1]stages!$A:$A),MATCH(G$1,[1]stages!$2:$2,0)-MATCH("temp_stage",[1]stages!$2:$2,0)+1),MATCH(G$1,[1]stages!$2:$2,0)-MATCH("temp_stage",[1]stages!$2:$2,0)+1,FALSE)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04" s="4" t="str">
        <f ca="1">VLOOKUP($C304&amp;"_"&amp;$F304,OFFSET([1]stages!$A$1,0,0,COUNTA([1]stages!$A:$A),MATCH(H$1,[1]stages!$2:$2,0)-MATCH("temp_stage",[1]stages!$2:$2,0)+1),MATCH(H$1,[1]stages!$2:$2,0)-MATCH("temp_stage",[1]stages!$2:$2,0)+1,FALSE)</f>
        <v>ゲリラクエスト</v>
      </c>
      <c r="I304" s="19">
        <v>0</v>
      </c>
      <c r="J304" s="6">
        <f>COUNTIF(C$1:C304,C304)</f>
        <v>3</v>
      </c>
      <c r="K304">
        <v>3</v>
      </c>
      <c r="L304" s="6" t="s">
        <v>17</v>
      </c>
      <c r="M304" s="36" t="str">
        <f>VLOOKUP(K304,[2]stage_hints!$A:$C,3,FALSE)</f>
        <v>ターゲット</v>
      </c>
      <c r="N304" s="37" t="str">
        <f>VLOOKUP(K304,[2]stage_hints!$A:$D,4,FALSE)</f>
        <v>敵ユニットをタップすると_x000D_その敵を狙い撃ちできます</v>
      </c>
      <c r="O304" s="22" t="s">
        <v>117</v>
      </c>
      <c r="P304">
        <v>3</v>
      </c>
    </row>
    <row r="305" spans="1:16" x14ac:dyDescent="0.15">
      <c r="A305" s="29" t="str">
        <f t="shared" si="46"/>
        <v>12001_1_4</v>
      </c>
      <c r="B305" s="27" t="s">
        <v>33</v>
      </c>
      <c r="C305" s="5">
        <v>12001</v>
      </c>
      <c r="D305" s="4" t="str">
        <f ca="1">VLOOKUP($C305,OFFSET([1]quests!$A$1,0,0,COUNTA([1]quests!$A:$A),MATCH(D$1,[1]quests!$1:$1,0)-MATCH($C$1,[1]quests!$1:$1,0)+1),MATCH(D$1,[1]quests!$1:$1,0)-MATCH($C$1,[1]quests!$1:$1,0)+1,FALSE)</f>
        <v>【緊急！！】 アヒル捕獲作戦</v>
      </c>
      <c r="E305" s="4" t="str">
        <f ca="1">VLOOKUP($C305,OFFSET([1]quests!$A$1,0,0,COUNTA([1]quests!$A:$A),MATCH(E$1,[1]quests!$1:$1,0)-MATCH($C$1,[1]quests!$1:$1,0)+1),MATCH(E$1,[1]quests!$1:$1,0)-MATCH($C$1,[1]quests!$1:$1,0)+1,FALSE)</f>
        <v>ゲリラクエスト</v>
      </c>
      <c r="F305" s="6">
        <v>1</v>
      </c>
      <c r="G305" s="4" t="str">
        <f ca="1">VLOOKUP($C305&amp;"_"&amp;$F305,OFFSET([1]stages!$A$1,0,0,COUNTA([1]stages!$A:$A),MATCH(G$1,[1]stages!$2:$2,0)-MATCH("temp_stage",[1]stages!$2:$2,0)+1),MATCH(G$1,[1]stages!$2:$2,0)-MATCH("temp_stage",[1]stages!$2:$2,0)+1,FALSE)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05" s="4" t="str">
        <f ca="1">VLOOKUP($C305&amp;"_"&amp;$F305,OFFSET([1]stages!$A$1,0,0,COUNTA([1]stages!$A:$A),MATCH(H$1,[1]stages!$2:$2,0)-MATCH("temp_stage",[1]stages!$2:$2,0)+1),MATCH(H$1,[1]stages!$2:$2,0)-MATCH("temp_stage",[1]stages!$2:$2,0)+1,FALSE)</f>
        <v>ゲリラクエスト</v>
      </c>
      <c r="I305" s="19">
        <v>0</v>
      </c>
      <c r="J305" s="6">
        <f>COUNTIF(C$1:C305,C305)</f>
        <v>4</v>
      </c>
      <c r="K305">
        <v>5</v>
      </c>
      <c r="L305" s="6" t="s">
        <v>17</v>
      </c>
      <c r="M305" s="36" t="str">
        <f>VLOOKUP(K305,[2]stage_hints!$A:$C,3,FALSE)</f>
        <v>ユニット強化でレベルアップ</v>
      </c>
      <c r="N305" s="37" t="str">
        <f>VLOOKUP(K305,[2]stage_hints!$A:$D,4,FALSE)</f>
        <v>「ユニット強化」でレベルアップすると_x000D_勝てない敵にも勝てるようになります</v>
      </c>
      <c r="O305" s="22" t="s">
        <v>117</v>
      </c>
      <c r="P305">
        <v>5</v>
      </c>
    </row>
    <row r="306" spans="1:16" x14ac:dyDescent="0.15">
      <c r="A306" s="29" t="str">
        <f t="shared" si="46"/>
        <v>12001_1_5</v>
      </c>
      <c r="B306" s="27" t="s">
        <v>33</v>
      </c>
      <c r="C306" s="5">
        <v>12001</v>
      </c>
      <c r="D306" s="4" t="str">
        <f ca="1">VLOOKUP($C306,OFFSET([1]quests!$A$1,0,0,COUNTA([1]quests!$A:$A),MATCH(D$1,[1]quests!$1:$1,0)-MATCH($C$1,[1]quests!$1:$1,0)+1),MATCH(D$1,[1]quests!$1:$1,0)-MATCH($C$1,[1]quests!$1:$1,0)+1,FALSE)</f>
        <v>【緊急！！】 アヒル捕獲作戦</v>
      </c>
      <c r="E306" s="4" t="str">
        <f ca="1">VLOOKUP($C306,OFFSET([1]quests!$A$1,0,0,COUNTA([1]quests!$A:$A),MATCH(E$1,[1]quests!$1:$1,0)-MATCH($C$1,[1]quests!$1:$1,0)+1),MATCH(E$1,[1]quests!$1:$1,0)-MATCH($C$1,[1]quests!$1:$1,0)+1,FALSE)</f>
        <v>ゲリラクエスト</v>
      </c>
      <c r="F306" s="6">
        <v>1</v>
      </c>
      <c r="G306" s="4" t="str">
        <f ca="1">VLOOKUP($C306&amp;"_"&amp;$F306,OFFSET([1]stages!$A$1,0,0,COUNTA([1]stages!$A:$A),MATCH(G$1,[1]stages!$2:$2,0)-MATCH("temp_stage",[1]stages!$2:$2,0)+1),MATCH(G$1,[1]stages!$2:$2,0)-MATCH("temp_stage",[1]stages!$2:$2,0)+1,FALSE)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06" s="4" t="str">
        <f ca="1">VLOOKUP($C306&amp;"_"&amp;$F306,OFFSET([1]stages!$A$1,0,0,COUNTA([1]stages!$A:$A),MATCH(H$1,[1]stages!$2:$2,0)-MATCH("temp_stage",[1]stages!$2:$2,0)+1),MATCH(H$1,[1]stages!$2:$2,0)-MATCH("temp_stage",[1]stages!$2:$2,0)+1,FALSE)</f>
        <v>ゲリラクエスト</v>
      </c>
      <c r="I306" s="19">
        <v>0</v>
      </c>
      <c r="J306" s="6">
        <f>COUNTIF(C$1:C306,C306)</f>
        <v>5</v>
      </c>
      <c r="K306">
        <v>6</v>
      </c>
      <c r="L306" s="6" t="s">
        <v>17</v>
      </c>
      <c r="M306" s="36" t="str">
        <f>VLOOKUP(K306,[2]stage_hints!$A:$C,3,FALSE)</f>
        <v>ユニット強化の属性ボーナス</v>
      </c>
      <c r="N306" s="37" t="str">
        <f>VLOOKUP(K306,[2]stage_hints!$A:$D,4,FALSE)</f>
        <v>同属性ユニットを強化素材にすると_x000D_経験値が多くもらえます</v>
      </c>
      <c r="O306" s="22" t="s">
        <v>117</v>
      </c>
      <c r="P306">
        <v>6</v>
      </c>
    </row>
    <row r="307" spans="1:16" x14ac:dyDescent="0.15">
      <c r="A307" s="29" t="str">
        <f t="shared" ref="A307:A319" si="47">C307&amp;"_"&amp;F307&amp;"_"&amp;J307</f>
        <v>12001_1_6</v>
      </c>
      <c r="B307" s="27" t="s">
        <v>33</v>
      </c>
      <c r="C307" s="5">
        <v>12001</v>
      </c>
      <c r="D307" s="4" t="str">
        <f ca="1">VLOOKUP($C307,OFFSET([1]quests!$A$1,0,0,COUNTA([1]quests!$A:$A),MATCH(D$1,[1]quests!$1:$1,0)-MATCH($C$1,[1]quests!$1:$1,0)+1),MATCH(D$1,[1]quests!$1:$1,0)-MATCH($C$1,[1]quests!$1:$1,0)+1,FALSE)</f>
        <v>【緊急！！】 アヒル捕獲作戦</v>
      </c>
      <c r="E307" s="4" t="str">
        <f ca="1">VLOOKUP($C307,OFFSET([1]quests!$A$1,0,0,COUNTA([1]quests!$A:$A),MATCH(E$1,[1]quests!$1:$1,0)-MATCH($C$1,[1]quests!$1:$1,0)+1),MATCH(E$1,[1]quests!$1:$1,0)-MATCH($C$1,[1]quests!$1:$1,0)+1,FALSE)</f>
        <v>ゲリラクエスト</v>
      </c>
      <c r="F307" s="6">
        <v>1</v>
      </c>
      <c r="G307" s="4" t="str">
        <f ca="1">VLOOKUP($C307&amp;"_"&amp;$F307,OFFSET([1]stages!$A$1,0,0,COUNTA([1]stages!$A:$A),MATCH(G$1,[1]stages!$2:$2,0)-MATCH("temp_stage",[1]stages!$2:$2,0)+1),MATCH(G$1,[1]stages!$2:$2,0)-MATCH("temp_stage",[1]stages!$2:$2,0)+1,FALSE)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07" s="4" t="str">
        <f ca="1">VLOOKUP($C307&amp;"_"&amp;$F307,OFFSET([1]stages!$A$1,0,0,COUNTA([1]stages!$A:$A),MATCH(H$1,[1]stages!$2:$2,0)-MATCH("temp_stage",[1]stages!$2:$2,0)+1),MATCH(H$1,[1]stages!$2:$2,0)-MATCH("temp_stage",[1]stages!$2:$2,0)+1,FALSE)</f>
        <v>ゲリラクエスト</v>
      </c>
      <c r="I307" s="19">
        <v>0</v>
      </c>
      <c r="J307" s="6">
        <f>COUNTIF(C$1:C307,C307)</f>
        <v>6</v>
      </c>
      <c r="K307">
        <v>7</v>
      </c>
      <c r="L307" s="6" t="s">
        <v>17</v>
      </c>
      <c r="M307" s="36" t="str">
        <f>VLOOKUP(K307,[2]stage_hints!$A:$C,3,FALSE)</f>
        <v>メタルダックで経験値を獲得</v>
      </c>
      <c r="N307" s="37" t="str">
        <f>VLOOKUP(K307,[2]stage_hints!$A:$D,4,FALSE)</f>
        <v>「メタルなアヒル」を強化素材にすると_x000D_大量の経験値がもらえます</v>
      </c>
      <c r="O307" s="22" t="s">
        <v>117</v>
      </c>
      <c r="P307">
        <v>7</v>
      </c>
    </row>
    <row r="308" spans="1:16" x14ac:dyDescent="0.15">
      <c r="A308" s="29" t="str">
        <f t="shared" si="47"/>
        <v>12001_1_7</v>
      </c>
      <c r="B308" s="27" t="s">
        <v>33</v>
      </c>
      <c r="C308" s="5">
        <v>12001</v>
      </c>
      <c r="D308" s="4" t="str">
        <f ca="1">VLOOKUP($C308,OFFSET([1]quests!$A$1,0,0,COUNTA([1]quests!$A:$A),MATCH(D$1,[1]quests!$1:$1,0)-MATCH($C$1,[1]quests!$1:$1,0)+1),MATCH(D$1,[1]quests!$1:$1,0)-MATCH($C$1,[1]quests!$1:$1,0)+1,FALSE)</f>
        <v>【緊急！！】 アヒル捕獲作戦</v>
      </c>
      <c r="E308" s="4" t="str">
        <f ca="1">VLOOKUP($C308,OFFSET([1]quests!$A$1,0,0,COUNTA([1]quests!$A:$A),MATCH(E$1,[1]quests!$1:$1,0)-MATCH($C$1,[1]quests!$1:$1,0)+1),MATCH(E$1,[1]quests!$1:$1,0)-MATCH($C$1,[1]quests!$1:$1,0)+1,FALSE)</f>
        <v>ゲリラクエスト</v>
      </c>
      <c r="F308" s="6">
        <v>1</v>
      </c>
      <c r="G308" s="4" t="str">
        <f ca="1">VLOOKUP($C308&amp;"_"&amp;$F308,OFFSET([1]stages!$A$1,0,0,COUNTA([1]stages!$A:$A),MATCH(G$1,[1]stages!$2:$2,0)-MATCH("temp_stage",[1]stages!$2:$2,0)+1),MATCH(G$1,[1]stages!$2:$2,0)-MATCH("temp_stage",[1]stages!$2:$2,0)+1,FALSE)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08" s="4" t="str">
        <f ca="1">VLOOKUP($C308&amp;"_"&amp;$F308,OFFSET([1]stages!$A$1,0,0,COUNTA([1]stages!$A:$A),MATCH(H$1,[1]stages!$2:$2,0)-MATCH("temp_stage",[1]stages!$2:$2,0)+1),MATCH(H$1,[1]stages!$2:$2,0)-MATCH("temp_stage",[1]stages!$2:$2,0)+1,FALSE)</f>
        <v>ゲリラクエスト</v>
      </c>
      <c r="I308" s="19">
        <v>0</v>
      </c>
      <c r="J308" s="6">
        <f>COUNTIF(C$1:C308,C308)</f>
        <v>7</v>
      </c>
      <c r="K308">
        <v>8</v>
      </c>
      <c r="L308" s="6" t="s">
        <v>17</v>
      </c>
      <c r="M308" s="36" t="str">
        <f>VLOOKUP(K308,[2]stage_hints!$A:$C,3,FALSE)</f>
        <v>ゲリラクエストは要チェック</v>
      </c>
      <c r="N308" s="37" t="str">
        <f>VLOOKUP(K308,[2]stage_hints!$A:$D,4,FALSE)</f>
        <v>時間限定の「アヒル捕獲作戦」では_x000D_経験値素材ユニットが多く手に入ります</v>
      </c>
      <c r="O308" s="22" t="s">
        <v>117</v>
      </c>
      <c r="P308">
        <v>8</v>
      </c>
    </row>
    <row r="309" spans="1:16" x14ac:dyDescent="0.15">
      <c r="A309" s="29" t="str">
        <f t="shared" si="47"/>
        <v>12001_1_8</v>
      </c>
      <c r="B309" s="27" t="s">
        <v>33</v>
      </c>
      <c r="C309" s="5">
        <v>12001</v>
      </c>
      <c r="D309" s="4" t="str">
        <f ca="1">VLOOKUP($C309,OFFSET([1]quests!$A$1,0,0,COUNTA([1]quests!$A:$A),MATCH(D$1,[1]quests!$1:$1,0)-MATCH($C$1,[1]quests!$1:$1,0)+1),MATCH(D$1,[1]quests!$1:$1,0)-MATCH($C$1,[1]quests!$1:$1,0)+1,FALSE)</f>
        <v>【緊急！！】 アヒル捕獲作戦</v>
      </c>
      <c r="E309" s="4" t="str">
        <f ca="1">VLOOKUP($C309,OFFSET([1]quests!$A$1,0,0,COUNTA([1]quests!$A:$A),MATCH(E$1,[1]quests!$1:$1,0)-MATCH($C$1,[1]quests!$1:$1,0)+1),MATCH(E$1,[1]quests!$1:$1,0)-MATCH($C$1,[1]quests!$1:$1,0)+1,FALSE)</f>
        <v>ゲリラクエスト</v>
      </c>
      <c r="F309" s="6">
        <v>1</v>
      </c>
      <c r="G309" s="4" t="str">
        <f ca="1">VLOOKUP($C309&amp;"_"&amp;$F309,OFFSET([1]stages!$A$1,0,0,COUNTA([1]stages!$A:$A),MATCH(G$1,[1]stages!$2:$2,0)-MATCH("temp_stage",[1]stages!$2:$2,0)+1),MATCH(G$1,[1]stages!$2:$2,0)-MATCH("temp_stage",[1]stages!$2:$2,0)+1,FALSE)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09" s="4" t="str">
        <f ca="1">VLOOKUP($C309&amp;"_"&amp;$F309,OFFSET([1]stages!$A$1,0,0,COUNTA([1]stages!$A:$A),MATCH(H$1,[1]stages!$2:$2,0)-MATCH("temp_stage",[1]stages!$2:$2,0)+1),MATCH(H$1,[1]stages!$2:$2,0)-MATCH("temp_stage",[1]stages!$2:$2,0)+1,FALSE)</f>
        <v>ゲリラクエスト</v>
      </c>
      <c r="I309" s="19">
        <v>0</v>
      </c>
      <c r="J309" s="6">
        <f>COUNTIF(C$1:C309,C309)</f>
        <v>8</v>
      </c>
      <c r="K309">
        <v>9</v>
      </c>
      <c r="L309" s="6" t="s">
        <v>17</v>
      </c>
      <c r="M309" s="36" t="str">
        <f>VLOOKUP(K309,[2]stage_hints!$A:$C,3,FALSE)</f>
        <v>ゴールドダックでビットを獲得</v>
      </c>
      <c r="N309" s="37" t="str">
        <f>VLOOKUP(K309,[2]stage_hints!$A:$D,4,FALSE)</f>
        <v>「ゴールドなアヒル」を売却すると_x000D_大量のビットがもらえます</v>
      </c>
      <c r="O309" s="22" t="s">
        <v>117</v>
      </c>
      <c r="P309">
        <v>9</v>
      </c>
    </row>
    <row r="310" spans="1:16" x14ac:dyDescent="0.15">
      <c r="A310" s="29" t="str">
        <f t="shared" si="47"/>
        <v>12001_1_9</v>
      </c>
      <c r="B310" s="27" t="s">
        <v>33</v>
      </c>
      <c r="C310" s="5">
        <v>12001</v>
      </c>
      <c r="D310" s="4" t="str">
        <f ca="1">VLOOKUP($C310,OFFSET([1]quests!$A$1,0,0,COUNTA([1]quests!$A:$A),MATCH(D$1,[1]quests!$1:$1,0)-MATCH($C$1,[1]quests!$1:$1,0)+1),MATCH(D$1,[1]quests!$1:$1,0)-MATCH($C$1,[1]quests!$1:$1,0)+1,FALSE)</f>
        <v>【緊急！！】 アヒル捕獲作戦</v>
      </c>
      <c r="E310" s="4" t="str">
        <f ca="1">VLOOKUP($C310,OFFSET([1]quests!$A$1,0,0,COUNTA([1]quests!$A:$A),MATCH(E$1,[1]quests!$1:$1,0)-MATCH($C$1,[1]quests!$1:$1,0)+1),MATCH(E$1,[1]quests!$1:$1,0)-MATCH($C$1,[1]quests!$1:$1,0)+1,FALSE)</f>
        <v>ゲリラクエスト</v>
      </c>
      <c r="F310" s="6">
        <v>1</v>
      </c>
      <c r="G310" s="4" t="str">
        <f ca="1">VLOOKUP($C310&amp;"_"&amp;$F310,OFFSET([1]stages!$A$1,0,0,COUNTA([1]stages!$A:$A),MATCH(G$1,[1]stages!$2:$2,0)-MATCH("temp_stage",[1]stages!$2:$2,0)+1),MATCH(G$1,[1]stages!$2:$2,0)-MATCH("temp_stage",[1]stages!$2:$2,0)+1,FALSE)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10" s="4" t="str">
        <f ca="1">VLOOKUP($C310&amp;"_"&amp;$F310,OFFSET([1]stages!$A$1,0,0,COUNTA([1]stages!$A:$A),MATCH(H$1,[1]stages!$2:$2,0)-MATCH("temp_stage",[1]stages!$2:$2,0)+1),MATCH(H$1,[1]stages!$2:$2,0)-MATCH("temp_stage",[1]stages!$2:$2,0)+1,FALSE)</f>
        <v>ゲリラクエスト</v>
      </c>
      <c r="I310" s="19">
        <v>0</v>
      </c>
      <c r="J310" s="6">
        <f>COUNTIF(C$1:C310,C310)</f>
        <v>9</v>
      </c>
      <c r="K310">
        <v>10</v>
      </c>
      <c r="L310" s="6" t="s">
        <v>17</v>
      </c>
      <c r="M310" s="36" t="str">
        <f>VLOOKUP(K310,[2]stage_hints!$A:$C,3,FALSE)</f>
        <v>土日に大量のビットを獲得</v>
      </c>
      <c r="N310" s="37" t="str">
        <f>VLOOKUP(K310,[2]stage_hints!$A:$D,4,FALSE)</f>
        <v>土日限定の「ゴールドカジノ」では_x000D_売却素材ユニットが多く手に入ります</v>
      </c>
      <c r="O310" s="22" t="s">
        <v>117</v>
      </c>
      <c r="P310">
        <v>10</v>
      </c>
    </row>
    <row r="311" spans="1:16" x14ac:dyDescent="0.15">
      <c r="A311" s="29" t="str">
        <f t="shared" si="47"/>
        <v>12001_1_10</v>
      </c>
      <c r="B311" s="27" t="s">
        <v>33</v>
      </c>
      <c r="C311" s="5">
        <v>12001</v>
      </c>
      <c r="D311" s="4" t="str">
        <f ca="1">VLOOKUP($C311,OFFSET([1]quests!$A$1,0,0,COUNTA([1]quests!$A:$A),MATCH(D$1,[1]quests!$1:$1,0)-MATCH($C$1,[1]quests!$1:$1,0)+1),MATCH(D$1,[1]quests!$1:$1,0)-MATCH($C$1,[1]quests!$1:$1,0)+1,FALSE)</f>
        <v>【緊急！！】 アヒル捕獲作戦</v>
      </c>
      <c r="E311" s="4" t="str">
        <f ca="1">VLOOKUP($C311,OFFSET([1]quests!$A$1,0,0,COUNTA([1]quests!$A:$A),MATCH(E$1,[1]quests!$1:$1,0)-MATCH($C$1,[1]quests!$1:$1,0)+1),MATCH(E$1,[1]quests!$1:$1,0)-MATCH($C$1,[1]quests!$1:$1,0)+1,FALSE)</f>
        <v>ゲリラクエスト</v>
      </c>
      <c r="F311" s="6">
        <v>1</v>
      </c>
      <c r="G311" s="4" t="str">
        <f ca="1">VLOOKUP($C311&amp;"_"&amp;$F311,OFFSET([1]stages!$A$1,0,0,COUNTA([1]stages!$A:$A),MATCH(G$1,[1]stages!$2:$2,0)-MATCH("temp_stage",[1]stages!$2:$2,0)+1),MATCH(G$1,[1]stages!$2:$2,0)-MATCH("temp_stage",[1]stages!$2:$2,0)+1,FALSE)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11" s="4" t="str">
        <f ca="1">VLOOKUP($C311&amp;"_"&amp;$F311,OFFSET([1]stages!$A$1,0,0,COUNTA([1]stages!$A:$A),MATCH(H$1,[1]stages!$2:$2,0)-MATCH("temp_stage",[1]stages!$2:$2,0)+1),MATCH(H$1,[1]stages!$2:$2,0)-MATCH("temp_stage",[1]stages!$2:$2,0)+1,FALSE)</f>
        <v>ゲリラクエスト</v>
      </c>
      <c r="I311" s="19">
        <v>0</v>
      </c>
      <c r="J311" s="6">
        <f>COUNTIF(C$1:C311,C311)</f>
        <v>10</v>
      </c>
      <c r="K311">
        <v>11</v>
      </c>
      <c r="L311" s="6" t="s">
        <v>17</v>
      </c>
      <c r="M311" s="36" t="str">
        <f>VLOOKUP(K311,[2]stage_hints!$A:$C,3,FALSE)</f>
        <v>ランク解放クエスト</v>
      </c>
      <c r="N311" s="37" t="str">
        <f>VLOOKUP(K311,[2]stage_hints!$A:$D,4,FALSE)</f>
        <v>一定ランクに到達すると_x000D_報酬付きのランク開放クエストが現れます</v>
      </c>
      <c r="O311" s="22" t="s">
        <v>117</v>
      </c>
      <c r="P311">
        <v>11</v>
      </c>
    </row>
    <row r="312" spans="1:16" x14ac:dyDescent="0.15">
      <c r="A312" s="29" t="str">
        <f t="shared" si="47"/>
        <v>12001_1_11</v>
      </c>
      <c r="B312" s="27" t="s">
        <v>33</v>
      </c>
      <c r="C312" s="5">
        <v>12001</v>
      </c>
      <c r="D312" s="4" t="str">
        <f ca="1">VLOOKUP($C312,OFFSET([1]quests!$A$1,0,0,COUNTA([1]quests!$A:$A),MATCH(D$1,[1]quests!$1:$1,0)-MATCH($C$1,[1]quests!$1:$1,0)+1),MATCH(D$1,[1]quests!$1:$1,0)-MATCH($C$1,[1]quests!$1:$1,0)+1,FALSE)</f>
        <v>【緊急！！】 アヒル捕獲作戦</v>
      </c>
      <c r="E312" s="4" t="str">
        <f ca="1">VLOOKUP($C312,OFFSET([1]quests!$A$1,0,0,COUNTA([1]quests!$A:$A),MATCH(E$1,[1]quests!$1:$1,0)-MATCH($C$1,[1]quests!$1:$1,0)+1),MATCH(E$1,[1]quests!$1:$1,0)-MATCH($C$1,[1]quests!$1:$1,0)+1,FALSE)</f>
        <v>ゲリラクエスト</v>
      </c>
      <c r="F312" s="6">
        <v>1</v>
      </c>
      <c r="G312" s="4" t="str">
        <f ca="1">VLOOKUP($C312&amp;"_"&amp;$F312,OFFSET([1]stages!$A$1,0,0,COUNTA([1]stages!$A:$A),MATCH(G$1,[1]stages!$2:$2,0)-MATCH("temp_stage",[1]stages!$2:$2,0)+1),MATCH(G$1,[1]stages!$2:$2,0)-MATCH("temp_stage",[1]stages!$2:$2,0)+1,FALSE)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12" s="4" t="str">
        <f ca="1">VLOOKUP($C312&amp;"_"&amp;$F312,OFFSET([1]stages!$A$1,0,0,COUNTA([1]stages!$A:$A),MATCH(H$1,[1]stages!$2:$2,0)-MATCH("temp_stage",[1]stages!$2:$2,0)+1),MATCH(H$1,[1]stages!$2:$2,0)-MATCH("temp_stage",[1]stages!$2:$2,0)+1,FALSE)</f>
        <v>ゲリラクエスト</v>
      </c>
      <c r="I312" s="19">
        <v>0</v>
      </c>
      <c r="J312" s="6">
        <f>COUNTIF(C$1:C312,C312)</f>
        <v>11</v>
      </c>
      <c r="K312">
        <v>12</v>
      </c>
      <c r="L312" s="6" t="s">
        <v>17</v>
      </c>
      <c r="M312" s="36" t="str">
        <f>VLOOKUP(K312,[2]stage_hints!$A:$C,3,FALSE)</f>
        <v>ユニットのお気に入り登録</v>
      </c>
      <c r="N312" s="37" t="str">
        <f>VLOOKUP(K312,[2]stage_hints!$A:$D,4,FALSE)</f>
        <v>大事なユニットを誤って消さないように_x000D_フォルダから「お気に入り登録」しましょう</v>
      </c>
      <c r="O312" s="22" t="s">
        <v>117</v>
      </c>
      <c r="P312">
        <v>12</v>
      </c>
    </row>
    <row r="313" spans="1:16" x14ac:dyDescent="0.15">
      <c r="A313" s="29" t="str">
        <f t="shared" si="47"/>
        <v>12001_1_12</v>
      </c>
      <c r="B313" s="27" t="s">
        <v>33</v>
      </c>
      <c r="C313" s="5">
        <v>12001</v>
      </c>
      <c r="D313" s="4" t="str">
        <f ca="1">VLOOKUP($C313,OFFSET([1]quests!$A$1,0,0,COUNTA([1]quests!$A:$A),MATCH(D$1,[1]quests!$1:$1,0)-MATCH($C$1,[1]quests!$1:$1,0)+1),MATCH(D$1,[1]quests!$1:$1,0)-MATCH($C$1,[1]quests!$1:$1,0)+1,FALSE)</f>
        <v>【緊急！！】 アヒル捕獲作戦</v>
      </c>
      <c r="E313" s="4" t="str">
        <f ca="1">VLOOKUP($C313,OFFSET([1]quests!$A$1,0,0,COUNTA([1]quests!$A:$A),MATCH(E$1,[1]quests!$1:$1,0)-MATCH($C$1,[1]quests!$1:$1,0)+1),MATCH(E$1,[1]quests!$1:$1,0)-MATCH($C$1,[1]quests!$1:$1,0)+1,FALSE)</f>
        <v>ゲリラクエスト</v>
      </c>
      <c r="F313" s="6">
        <v>1</v>
      </c>
      <c r="G313" s="4" t="str">
        <f ca="1">VLOOKUP($C313&amp;"_"&amp;$F313,OFFSET([1]stages!$A$1,0,0,COUNTA([1]stages!$A:$A),MATCH(G$1,[1]stages!$2:$2,0)-MATCH("temp_stage",[1]stages!$2:$2,0)+1),MATCH(G$1,[1]stages!$2:$2,0)-MATCH("temp_stage",[1]stages!$2:$2,0)+1,FALSE)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13" s="4" t="str">
        <f ca="1">VLOOKUP($C313&amp;"_"&amp;$F313,OFFSET([1]stages!$A$1,0,0,COUNTA([1]stages!$A:$A),MATCH(H$1,[1]stages!$2:$2,0)-MATCH("temp_stage",[1]stages!$2:$2,0)+1),MATCH(H$1,[1]stages!$2:$2,0)-MATCH("temp_stage",[1]stages!$2:$2,0)+1,FALSE)</f>
        <v>ゲリラクエスト</v>
      </c>
      <c r="I313" s="19">
        <v>0</v>
      </c>
      <c r="J313" s="6">
        <f>COUNTIF(C$1:C313,C313)</f>
        <v>12</v>
      </c>
      <c r="K313">
        <v>13</v>
      </c>
      <c r="L313" s="6" t="s">
        <v>17</v>
      </c>
      <c r="M313" s="36" t="str">
        <f>VLOOKUP(K313,[2]stage_hints!$A:$C,3,FALSE)</f>
        <v>ユニットの覚醒</v>
      </c>
      <c r="N313" s="37" t="str">
        <f>VLOOKUP(K313,[2]stage_hints!$A:$D,4,FALSE)</f>
        <v>ユニットを覚醒させると_x000D_比べものにならない強さが手に入ります</v>
      </c>
      <c r="O313" s="22" t="s">
        <v>117</v>
      </c>
      <c r="P313">
        <v>13</v>
      </c>
    </row>
    <row r="314" spans="1:16" x14ac:dyDescent="0.15">
      <c r="A314" s="29" t="str">
        <f t="shared" si="47"/>
        <v>12001_1_13</v>
      </c>
      <c r="B314" s="27" t="s">
        <v>33</v>
      </c>
      <c r="C314" s="5">
        <v>12001</v>
      </c>
      <c r="D314" s="4" t="str">
        <f ca="1">VLOOKUP($C314,OFFSET([1]quests!$A$1,0,0,COUNTA([1]quests!$A:$A),MATCH(D$1,[1]quests!$1:$1,0)-MATCH($C$1,[1]quests!$1:$1,0)+1),MATCH(D$1,[1]quests!$1:$1,0)-MATCH($C$1,[1]quests!$1:$1,0)+1,FALSE)</f>
        <v>【緊急！！】 アヒル捕獲作戦</v>
      </c>
      <c r="E314" s="4" t="str">
        <f ca="1">VLOOKUP($C314,OFFSET([1]quests!$A$1,0,0,COUNTA([1]quests!$A:$A),MATCH(E$1,[1]quests!$1:$1,0)-MATCH($C$1,[1]quests!$1:$1,0)+1),MATCH(E$1,[1]quests!$1:$1,0)-MATCH($C$1,[1]quests!$1:$1,0)+1,FALSE)</f>
        <v>ゲリラクエスト</v>
      </c>
      <c r="F314" s="6">
        <v>1</v>
      </c>
      <c r="G314" s="4" t="str">
        <f ca="1">VLOOKUP($C314&amp;"_"&amp;$F314,OFFSET([1]stages!$A$1,0,0,COUNTA([1]stages!$A:$A),MATCH(G$1,[1]stages!$2:$2,0)-MATCH("temp_stage",[1]stages!$2:$2,0)+1),MATCH(G$1,[1]stages!$2:$2,0)-MATCH("temp_stage",[1]stages!$2:$2,0)+1,FALSE)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14" s="4" t="str">
        <f ca="1">VLOOKUP($C314&amp;"_"&amp;$F314,OFFSET([1]stages!$A$1,0,0,COUNTA([1]stages!$A:$A),MATCH(H$1,[1]stages!$2:$2,0)-MATCH("temp_stage",[1]stages!$2:$2,0)+1),MATCH(H$1,[1]stages!$2:$2,0)-MATCH("temp_stage",[1]stages!$2:$2,0)+1,FALSE)</f>
        <v>ゲリラクエスト</v>
      </c>
      <c r="I314" s="19">
        <v>0</v>
      </c>
      <c r="J314" s="6">
        <f>COUNTIF(C$1:C314,C314)</f>
        <v>13</v>
      </c>
      <c r="K314">
        <v>14</v>
      </c>
      <c r="L314" s="6" t="s">
        <v>17</v>
      </c>
      <c r="M314" s="36" t="str">
        <f>VLOOKUP(K314,[2]stage_hints!$A:$C,3,FALSE)</f>
        <v>覚醒するにはレベルを最大に</v>
      </c>
      <c r="N314" s="37" t="str">
        <f>VLOOKUP(K314,[2]stage_hints!$A:$D,4,FALSE)</f>
        <v>覚醒するにはユニットのレベルを_x000D_最大まで上げる必要があります</v>
      </c>
      <c r="O314" s="22" t="s">
        <v>117</v>
      </c>
      <c r="P314">
        <v>14</v>
      </c>
    </row>
    <row r="315" spans="1:16" x14ac:dyDescent="0.15">
      <c r="A315" s="29" t="str">
        <f t="shared" si="47"/>
        <v>12001_1_14</v>
      </c>
      <c r="B315" s="27" t="s">
        <v>33</v>
      </c>
      <c r="C315" s="5">
        <v>12001</v>
      </c>
      <c r="D315" s="4" t="str">
        <f ca="1">VLOOKUP($C315,OFFSET([1]quests!$A$1,0,0,COUNTA([1]quests!$A:$A),MATCH(D$1,[1]quests!$1:$1,0)-MATCH($C$1,[1]quests!$1:$1,0)+1),MATCH(D$1,[1]quests!$1:$1,0)-MATCH($C$1,[1]quests!$1:$1,0)+1,FALSE)</f>
        <v>【緊急！！】 アヒル捕獲作戦</v>
      </c>
      <c r="E315" s="4" t="str">
        <f ca="1">VLOOKUP($C315,OFFSET([1]quests!$A$1,0,0,COUNTA([1]quests!$A:$A),MATCH(E$1,[1]quests!$1:$1,0)-MATCH($C$1,[1]quests!$1:$1,0)+1),MATCH(E$1,[1]quests!$1:$1,0)-MATCH($C$1,[1]quests!$1:$1,0)+1,FALSE)</f>
        <v>ゲリラクエスト</v>
      </c>
      <c r="F315" s="6">
        <v>1</v>
      </c>
      <c r="G315" s="4" t="str">
        <f ca="1">VLOOKUP($C315&amp;"_"&amp;$F315,OFFSET([1]stages!$A$1,0,0,COUNTA([1]stages!$A:$A),MATCH(G$1,[1]stages!$2:$2,0)-MATCH("temp_stage",[1]stages!$2:$2,0)+1),MATCH(G$1,[1]stages!$2:$2,0)-MATCH("temp_stage",[1]stages!$2:$2,0)+1,FALSE)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15" s="4" t="str">
        <f ca="1">VLOOKUP($C315&amp;"_"&amp;$F315,OFFSET([1]stages!$A$1,0,0,COUNTA([1]stages!$A:$A),MATCH(H$1,[1]stages!$2:$2,0)-MATCH("temp_stage",[1]stages!$2:$2,0)+1),MATCH(H$1,[1]stages!$2:$2,0)-MATCH("temp_stage",[1]stages!$2:$2,0)+1,FALSE)</f>
        <v>ゲリラクエスト</v>
      </c>
      <c r="I315" s="19">
        <v>0</v>
      </c>
      <c r="J315" s="6">
        <f>COUNTIF(C$1:C315,C315)</f>
        <v>14</v>
      </c>
      <c r="K315">
        <v>15</v>
      </c>
      <c r="L315" s="6" t="s">
        <v>17</v>
      </c>
      <c r="M315" s="36" t="str">
        <f>VLOOKUP(K315,[2]stage_hints!$A:$C,3,FALSE)</f>
        <v>覚醒素材を獲得</v>
      </c>
      <c r="N315" s="37" t="str">
        <f>VLOOKUP(K315,[2]stage_hints!$A:$D,4,FALSE)</f>
        <v>「曜日クエスト」では_x000D_ユニットの覚醒に必要な素材が手に入ります</v>
      </c>
      <c r="O315" s="22" t="s">
        <v>117</v>
      </c>
      <c r="P315">
        <v>15</v>
      </c>
    </row>
    <row r="316" spans="1:16" x14ac:dyDescent="0.15">
      <c r="A316" s="29" t="str">
        <f t="shared" si="47"/>
        <v>12001_1_15</v>
      </c>
      <c r="B316" s="27" t="s">
        <v>33</v>
      </c>
      <c r="C316" s="5">
        <v>12001</v>
      </c>
      <c r="D316" s="4" t="str">
        <f ca="1">VLOOKUP($C316,OFFSET([1]quests!$A$1,0,0,COUNTA([1]quests!$A:$A),MATCH(D$1,[1]quests!$1:$1,0)-MATCH($C$1,[1]quests!$1:$1,0)+1),MATCH(D$1,[1]quests!$1:$1,0)-MATCH($C$1,[1]quests!$1:$1,0)+1,FALSE)</f>
        <v>【緊急！！】 アヒル捕獲作戦</v>
      </c>
      <c r="E316" s="4" t="str">
        <f ca="1">VLOOKUP($C316,OFFSET([1]quests!$A$1,0,0,COUNTA([1]quests!$A:$A),MATCH(E$1,[1]quests!$1:$1,0)-MATCH($C$1,[1]quests!$1:$1,0)+1),MATCH(E$1,[1]quests!$1:$1,0)-MATCH($C$1,[1]quests!$1:$1,0)+1,FALSE)</f>
        <v>ゲリラクエスト</v>
      </c>
      <c r="F316" s="6">
        <v>1</v>
      </c>
      <c r="G316" s="4" t="str">
        <f ca="1">VLOOKUP($C316&amp;"_"&amp;$F316,OFFSET([1]stages!$A$1,0,0,COUNTA([1]stages!$A:$A),MATCH(G$1,[1]stages!$2:$2,0)-MATCH("temp_stage",[1]stages!$2:$2,0)+1),MATCH(G$1,[1]stages!$2:$2,0)-MATCH("temp_stage",[1]stages!$2:$2,0)+1,FALSE)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16" s="4" t="str">
        <f ca="1">VLOOKUP($C316&amp;"_"&amp;$F316,OFFSET([1]stages!$A$1,0,0,COUNTA([1]stages!$A:$A),MATCH(H$1,[1]stages!$2:$2,0)-MATCH("temp_stage",[1]stages!$2:$2,0)+1),MATCH(H$1,[1]stages!$2:$2,0)-MATCH("temp_stage",[1]stages!$2:$2,0)+1,FALSE)</f>
        <v>ゲリラクエスト</v>
      </c>
      <c r="I316" s="19">
        <v>0</v>
      </c>
      <c r="J316" s="6">
        <f>COUNTIF(C$1:C316,C316)</f>
        <v>15</v>
      </c>
      <c r="K316">
        <v>16</v>
      </c>
      <c r="L316" s="6" t="s">
        <v>17</v>
      </c>
      <c r="M316" s="36" t="str">
        <f>VLOOKUP(K316,[2]stage_hints!$A:$C,3,FALSE)</f>
        <v>マルチプレイのメリット（その1）</v>
      </c>
      <c r="N316" s="37" t="str">
        <f>VLOOKUP(K316,[2]stage_hints!$A:$D,4,FALSE)</f>
        <v>他のプレイヤーとマルチプレイで遊ぶと_x000D_ポリゴンがもらえます（100人まで）</v>
      </c>
      <c r="O316" s="22" t="s">
        <v>117</v>
      </c>
      <c r="P316">
        <v>16</v>
      </c>
    </row>
    <row r="317" spans="1:16" x14ac:dyDescent="0.15">
      <c r="A317" s="29" t="str">
        <f t="shared" si="47"/>
        <v>12001_1_16</v>
      </c>
      <c r="B317" s="27" t="s">
        <v>33</v>
      </c>
      <c r="C317" s="5">
        <v>12001</v>
      </c>
      <c r="D317" s="4" t="str">
        <f ca="1">VLOOKUP($C317,OFFSET([1]quests!$A$1,0,0,COUNTA([1]quests!$A:$A),MATCH(D$1,[1]quests!$1:$1,0)-MATCH($C$1,[1]quests!$1:$1,0)+1),MATCH(D$1,[1]quests!$1:$1,0)-MATCH($C$1,[1]quests!$1:$1,0)+1,FALSE)</f>
        <v>【緊急！！】 アヒル捕獲作戦</v>
      </c>
      <c r="E317" s="4" t="str">
        <f ca="1">VLOOKUP($C317,OFFSET([1]quests!$A$1,0,0,COUNTA([1]quests!$A:$A),MATCH(E$1,[1]quests!$1:$1,0)-MATCH($C$1,[1]quests!$1:$1,0)+1),MATCH(E$1,[1]quests!$1:$1,0)-MATCH($C$1,[1]quests!$1:$1,0)+1,FALSE)</f>
        <v>ゲリラクエスト</v>
      </c>
      <c r="F317" s="6">
        <v>1</v>
      </c>
      <c r="G317" s="4" t="str">
        <f ca="1">VLOOKUP($C317&amp;"_"&amp;$F317,OFFSET([1]stages!$A$1,0,0,COUNTA([1]stages!$A:$A),MATCH(G$1,[1]stages!$2:$2,0)-MATCH("temp_stage",[1]stages!$2:$2,0)+1),MATCH(G$1,[1]stages!$2:$2,0)-MATCH("temp_stage",[1]stages!$2:$2,0)+1,FALSE)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17" s="4" t="str">
        <f ca="1">VLOOKUP($C317&amp;"_"&amp;$F317,OFFSET([1]stages!$A$1,0,0,COUNTA([1]stages!$A:$A),MATCH(H$1,[1]stages!$2:$2,0)-MATCH("temp_stage",[1]stages!$2:$2,0)+1),MATCH(H$1,[1]stages!$2:$2,0)-MATCH("temp_stage",[1]stages!$2:$2,0)+1,FALSE)</f>
        <v>ゲリラクエスト</v>
      </c>
      <c r="I317" s="19">
        <v>0</v>
      </c>
      <c r="J317" s="6">
        <f>COUNTIF(C$1:C317,C317)</f>
        <v>16</v>
      </c>
      <c r="K317">
        <v>17</v>
      </c>
      <c r="L317" s="6" t="s">
        <v>17</v>
      </c>
      <c r="M317" s="36" t="str">
        <f>VLOOKUP(K317,[2]stage_hints!$A:$C,3,FALSE)</f>
        <v>リンクガチャ</v>
      </c>
      <c r="N317" s="37" t="str">
        <f>VLOOKUP(K317,[2]stage_hints!$A:$D,4,FALSE)</f>
        <v>無料のリンクガチャを回して_x000D_経験値素材や売却素材を獲得しましょう</v>
      </c>
      <c r="O317" s="22" t="s">
        <v>117</v>
      </c>
      <c r="P317">
        <v>17</v>
      </c>
    </row>
    <row r="318" spans="1:16" x14ac:dyDescent="0.15">
      <c r="A318" s="29" t="str">
        <f t="shared" si="47"/>
        <v>12001_1_17</v>
      </c>
      <c r="B318" s="27" t="s">
        <v>33</v>
      </c>
      <c r="C318" s="5">
        <v>12001</v>
      </c>
      <c r="D318" s="4" t="str">
        <f ca="1">VLOOKUP($C318,OFFSET([1]quests!$A$1,0,0,COUNTA([1]quests!$A:$A),MATCH(D$1,[1]quests!$1:$1,0)-MATCH($C$1,[1]quests!$1:$1,0)+1),MATCH(D$1,[1]quests!$1:$1,0)-MATCH($C$1,[1]quests!$1:$1,0)+1,FALSE)</f>
        <v>【緊急！！】 アヒル捕獲作戦</v>
      </c>
      <c r="E318" s="4" t="str">
        <f ca="1">VLOOKUP($C318,OFFSET([1]quests!$A$1,0,0,COUNTA([1]quests!$A:$A),MATCH(E$1,[1]quests!$1:$1,0)-MATCH($C$1,[1]quests!$1:$1,0)+1),MATCH(E$1,[1]quests!$1:$1,0)-MATCH($C$1,[1]quests!$1:$1,0)+1,FALSE)</f>
        <v>ゲリラクエスト</v>
      </c>
      <c r="F318" s="6">
        <v>1</v>
      </c>
      <c r="G318" s="4" t="str">
        <f ca="1">VLOOKUP($C318&amp;"_"&amp;$F318,OFFSET([1]stages!$A$1,0,0,COUNTA([1]stages!$A:$A),MATCH(G$1,[1]stages!$2:$2,0)-MATCH("temp_stage",[1]stages!$2:$2,0)+1),MATCH(G$1,[1]stages!$2:$2,0)-MATCH("temp_stage",[1]stages!$2:$2,0)+1,FALSE)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18" s="4" t="str">
        <f ca="1">VLOOKUP($C318&amp;"_"&amp;$F318,OFFSET([1]stages!$A$1,0,0,COUNTA([1]stages!$A:$A),MATCH(H$1,[1]stages!$2:$2,0)-MATCH("temp_stage",[1]stages!$2:$2,0)+1),MATCH(H$1,[1]stages!$2:$2,0)-MATCH("temp_stage",[1]stages!$2:$2,0)+1,FALSE)</f>
        <v>ゲリラクエスト</v>
      </c>
      <c r="I318" s="19">
        <v>0</v>
      </c>
      <c r="J318" s="6">
        <f>COUNTIF(C$1:C318,C318)</f>
        <v>17</v>
      </c>
      <c r="K318">
        <v>18</v>
      </c>
      <c r="L318" s="6" t="s">
        <v>17</v>
      </c>
      <c r="M318" s="36" t="str">
        <f>VLOOKUP(K318,[2]stage_hints!$A:$C,3,FALSE)</f>
        <v>マルチプレイのメリット（その2）</v>
      </c>
      <c r="N318" s="37" t="str">
        <f>VLOOKUP(K318,[2]stage_hints!$A:$D,4,FALSE)</f>
        <v>マルチプレイならリンクが2倍もらえます_x000D_リンクガチャをたくさん回しましょう</v>
      </c>
      <c r="O318" s="22" t="s">
        <v>117</v>
      </c>
      <c r="P318">
        <v>18</v>
      </c>
    </row>
    <row r="319" spans="1:16" x14ac:dyDescent="0.15">
      <c r="A319" s="29" t="str">
        <f t="shared" si="47"/>
        <v>12001_1_18</v>
      </c>
      <c r="B319" s="27" t="s">
        <v>33</v>
      </c>
      <c r="C319" s="5">
        <v>12001</v>
      </c>
      <c r="D319" s="4" t="str">
        <f ca="1">VLOOKUP($C319,OFFSET([1]quests!$A$1,0,0,COUNTA([1]quests!$A:$A),MATCH(D$1,[1]quests!$1:$1,0)-MATCH($C$1,[1]quests!$1:$1,0)+1),MATCH(D$1,[1]quests!$1:$1,0)-MATCH($C$1,[1]quests!$1:$1,0)+1,FALSE)</f>
        <v>【緊急！！】 アヒル捕獲作戦</v>
      </c>
      <c r="E319" s="4" t="str">
        <f ca="1">VLOOKUP($C319,OFFSET([1]quests!$A$1,0,0,COUNTA([1]quests!$A:$A),MATCH(E$1,[1]quests!$1:$1,0)-MATCH($C$1,[1]quests!$1:$1,0)+1),MATCH(E$1,[1]quests!$1:$1,0)-MATCH($C$1,[1]quests!$1:$1,0)+1,FALSE)</f>
        <v>ゲリラクエスト</v>
      </c>
      <c r="F319" s="6">
        <v>1</v>
      </c>
      <c r="G319" s="4" t="str">
        <f ca="1">VLOOKUP($C319&amp;"_"&amp;$F319,OFFSET([1]stages!$A$1,0,0,COUNTA([1]stages!$A:$A),MATCH(G$1,[1]stages!$2:$2,0)-MATCH("temp_stage",[1]stages!$2:$2,0)+1),MATCH(G$1,[1]stages!$2:$2,0)-MATCH("temp_stage",[1]stages!$2:$2,0)+1,FALSE)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19" s="4" t="str">
        <f ca="1">VLOOKUP($C319&amp;"_"&amp;$F319,OFFSET([1]stages!$A$1,0,0,COUNTA([1]stages!$A:$A),MATCH(H$1,[1]stages!$2:$2,0)-MATCH("temp_stage",[1]stages!$2:$2,0)+1),MATCH(H$1,[1]stages!$2:$2,0)-MATCH("temp_stage",[1]stages!$2:$2,0)+1,FALSE)</f>
        <v>ゲリラクエスト</v>
      </c>
      <c r="I319" s="19">
        <v>0</v>
      </c>
      <c r="J319" s="6">
        <f>COUNTIF(C$1:C319,C319)</f>
        <v>18</v>
      </c>
      <c r="K319">
        <v>19</v>
      </c>
      <c r="L319" s="6" t="s">
        <v>17</v>
      </c>
      <c r="M319" s="36" t="str">
        <f>VLOOKUP(K319,[2]stage_hints!$A:$C,3,FALSE)</f>
        <v>ソロ専用チャレンジタワー</v>
      </c>
      <c r="N319" s="37" t="str">
        <f>VLOOKUP(K319,[2]stage_hints!$A:$D,4,FALSE)</f>
        <v>ソロ専用の「チャレンジタワー」では_x000D_各フロアごとにクリア報酬がもらえます</v>
      </c>
      <c r="O319" s="22" t="s">
        <v>117</v>
      </c>
      <c r="P319">
        <v>19</v>
      </c>
    </row>
    <row r="320" spans="1:16" x14ac:dyDescent="0.15">
      <c r="A320" s="29" t="str">
        <f t="shared" ref="A320:A325" si="48">C320&amp;"_"&amp;F320&amp;"_"&amp;J320</f>
        <v>12001_1_19</v>
      </c>
      <c r="B320" s="27" t="s">
        <v>33</v>
      </c>
      <c r="C320" s="5">
        <v>12001</v>
      </c>
      <c r="D320" s="4" t="str">
        <f ca="1">VLOOKUP($C320,OFFSET([1]quests!$A$1,0,0,COUNTA([1]quests!$A:$A),MATCH(D$1,[1]quests!$1:$1,0)-MATCH($C$1,[1]quests!$1:$1,0)+1),MATCH(D$1,[1]quests!$1:$1,0)-MATCH($C$1,[1]quests!$1:$1,0)+1,FALSE)</f>
        <v>【緊急！！】 アヒル捕獲作戦</v>
      </c>
      <c r="E320" s="4" t="str">
        <f ca="1">VLOOKUP($C320,OFFSET([1]quests!$A$1,0,0,COUNTA([1]quests!$A:$A),MATCH(E$1,[1]quests!$1:$1,0)-MATCH($C$1,[1]quests!$1:$1,0)+1),MATCH(E$1,[1]quests!$1:$1,0)-MATCH($C$1,[1]quests!$1:$1,0)+1,FALSE)</f>
        <v>ゲリラクエスト</v>
      </c>
      <c r="F320" s="6">
        <v>1</v>
      </c>
      <c r="G320" s="4" t="str">
        <f ca="1">VLOOKUP($C320&amp;"_"&amp;$F320,OFFSET([1]stages!$A$1,0,0,COUNTA([1]stages!$A:$A),MATCH(G$1,[1]stages!$2:$2,0)-MATCH("temp_stage",[1]stages!$2:$2,0)+1),MATCH(G$1,[1]stages!$2:$2,0)-MATCH("temp_stage",[1]stages!$2:$2,0)+1,FALSE)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20" s="4" t="str">
        <f ca="1">VLOOKUP($C320&amp;"_"&amp;$F320,OFFSET([1]stages!$A$1,0,0,COUNTA([1]stages!$A:$A),MATCH(H$1,[1]stages!$2:$2,0)-MATCH("temp_stage",[1]stages!$2:$2,0)+1),MATCH(H$1,[1]stages!$2:$2,0)-MATCH("temp_stage",[1]stages!$2:$2,0)+1,FALSE)</f>
        <v>ゲリラクエスト</v>
      </c>
      <c r="I320" s="19">
        <v>0</v>
      </c>
      <c r="J320" s="6">
        <f>COUNTIF(C$1:C320,C320)</f>
        <v>19</v>
      </c>
      <c r="K320">
        <v>20</v>
      </c>
      <c r="L320" s="6" t="s">
        <v>17</v>
      </c>
      <c r="M320" s="36" t="str">
        <f>VLOOKUP(K320,[2]stage_hints!$A:$C,3,FALSE)</f>
        <v>マルチプレイのメリット（その3）</v>
      </c>
      <c r="N320" s="37" t="str">
        <f>VLOOKUP(K320,[2]stage_hints!$A:$D,4,FALSE)</f>
        <v>マルチプレイへの参加はエナジー消費ゼロ_x000D_いつでも好きなだけ遊ぶことができます</v>
      </c>
      <c r="O320" s="22" t="s">
        <v>117</v>
      </c>
      <c r="P320">
        <v>20</v>
      </c>
    </row>
    <row r="321" spans="1:16" x14ac:dyDescent="0.15">
      <c r="A321" s="29" t="str">
        <f t="shared" si="48"/>
        <v>12001_1_20</v>
      </c>
      <c r="B321" s="27" t="s">
        <v>33</v>
      </c>
      <c r="C321" s="5">
        <v>12001</v>
      </c>
      <c r="D321" s="4" t="str">
        <f ca="1">VLOOKUP($C321,OFFSET([1]quests!$A$1,0,0,COUNTA([1]quests!$A:$A),MATCH(D$1,[1]quests!$1:$1,0)-MATCH($C$1,[1]quests!$1:$1,0)+1),MATCH(D$1,[1]quests!$1:$1,0)-MATCH($C$1,[1]quests!$1:$1,0)+1,FALSE)</f>
        <v>【緊急！！】 アヒル捕獲作戦</v>
      </c>
      <c r="E321" s="4" t="str">
        <f ca="1">VLOOKUP($C321,OFFSET([1]quests!$A$1,0,0,COUNTA([1]quests!$A:$A),MATCH(E$1,[1]quests!$1:$1,0)-MATCH($C$1,[1]quests!$1:$1,0)+1),MATCH(E$1,[1]quests!$1:$1,0)-MATCH($C$1,[1]quests!$1:$1,0)+1,FALSE)</f>
        <v>ゲリラクエスト</v>
      </c>
      <c r="F321" s="6">
        <v>1</v>
      </c>
      <c r="G321" s="4" t="str">
        <f ca="1">VLOOKUP($C321&amp;"_"&amp;$F321,OFFSET([1]stages!$A$1,0,0,COUNTA([1]stages!$A:$A),MATCH(G$1,[1]stages!$2:$2,0)-MATCH("temp_stage",[1]stages!$2:$2,0)+1),MATCH(G$1,[1]stages!$2:$2,0)-MATCH("temp_stage",[1]stages!$2:$2,0)+1,FALSE)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21" s="4" t="str">
        <f ca="1">VLOOKUP($C321&amp;"_"&amp;$F321,OFFSET([1]stages!$A$1,0,0,COUNTA([1]stages!$A:$A),MATCH(H$1,[1]stages!$2:$2,0)-MATCH("temp_stage",[1]stages!$2:$2,0)+1),MATCH(H$1,[1]stages!$2:$2,0)-MATCH("temp_stage",[1]stages!$2:$2,0)+1,FALSE)</f>
        <v>ゲリラクエスト</v>
      </c>
      <c r="I321" s="19">
        <v>0</v>
      </c>
      <c r="J321" s="6">
        <f>COUNTIF(C$1:C321,C321)</f>
        <v>20</v>
      </c>
      <c r="K321">
        <v>21</v>
      </c>
      <c r="L321" s="6" t="s">
        <v>17</v>
      </c>
      <c r="M321" s="36" t="str">
        <f>VLOOKUP(K321,[2]stage_hints!$A:$C,3,FALSE)</f>
        <v>スキルを有効に</v>
      </c>
      <c r="N321" s="37" t="str">
        <f>VLOOKUP(K321,[2]stage_hints!$A:$D,4,FALSE)</f>
        <v>ターン経過でユニットのスキルが使えます_x000D_強力スキルでバトルを有利に進めましょう</v>
      </c>
      <c r="O321" s="22" t="s">
        <v>117</v>
      </c>
      <c r="P321">
        <v>21</v>
      </c>
    </row>
    <row r="322" spans="1:16" x14ac:dyDescent="0.15">
      <c r="A322" s="29" t="str">
        <f t="shared" si="48"/>
        <v>12001_1_21</v>
      </c>
      <c r="B322" s="27" t="s">
        <v>33</v>
      </c>
      <c r="C322" s="5">
        <v>12001</v>
      </c>
      <c r="D322" s="4" t="str">
        <f ca="1">VLOOKUP($C322,OFFSET([1]quests!$A$1,0,0,COUNTA([1]quests!$A:$A),MATCH(D$1,[1]quests!$1:$1,0)-MATCH($C$1,[1]quests!$1:$1,0)+1),MATCH(D$1,[1]quests!$1:$1,0)-MATCH($C$1,[1]quests!$1:$1,0)+1,FALSE)</f>
        <v>【緊急！！】 アヒル捕獲作戦</v>
      </c>
      <c r="E322" s="4" t="str">
        <f ca="1">VLOOKUP($C322,OFFSET([1]quests!$A$1,0,0,COUNTA([1]quests!$A:$A),MATCH(E$1,[1]quests!$1:$1,0)-MATCH($C$1,[1]quests!$1:$1,0)+1),MATCH(E$1,[1]quests!$1:$1,0)-MATCH($C$1,[1]quests!$1:$1,0)+1,FALSE)</f>
        <v>ゲリラクエスト</v>
      </c>
      <c r="F322" s="6">
        <v>1</v>
      </c>
      <c r="G322" s="4" t="str">
        <f ca="1">VLOOKUP($C322&amp;"_"&amp;$F322,OFFSET([1]stages!$A$1,0,0,COUNTA([1]stages!$A:$A),MATCH(G$1,[1]stages!$2:$2,0)-MATCH("temp_stage",[1]stages!$2:$2,0)+1),MATCH(G$1,[1]stages!$2:$2,0)-MATCH("temp_stage",[1]stages!$2:$2,0)+1,FALSE)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22" s="4" t="str">
        <f ca="1">VLOOKUP($C322&amp;"_"&amp;$F322,OFFSET([1]stages!$A$1,0,0,COUNTA([1]stages!$A:$A),MATCH(H$1,[1]stages!$2:$2,0)-MATCH("temp_stage",[1]stages!$2:$2,0)+1),MATCH(H$1,[1]stages!$2:$2,0)-MATCH("temp_stage",[1]stages!$2:$2,0)+1,FALSE)</f>
        <v>ゲリラクエスト</v>
      </c>
      <c r="I322" s="19">
        <v>0</v>
      </c>
      <c r="J322" s="6">
        <f>COUNTIF(C$1:C322,C322)</f>
        <v>21</v>
      </c>
      <c r="K322">
        <v>22</v>
      </c>
      <c r="L322" s="6" t="s">
        <v>17</v>
      </c>
      <c r="M322" s="36" t="str">
        <f>VLOOKUP(K322,[2]stage_hints!$A:$C,3,FALSE)</f>
        <v>フィーバーで一発逆転（その1）</v>
      </c>
      <c r="N322" s="37" t="str">
        <f>VLOOKUP(K322,[2]stage_hints!$A:$D,4,FALSE)</f>
        <v>フィーバーは攻撃と回復を兼ね備えます_x000D_ピンチからの一発逆転を狙いましょう</v>
      </c>
      <c r="O322" s="22" t="s">
        <v>117</v>
      </c>
      <c r="P322">
        <v>22</v>
      </c>
    </row>
    <row r="323" spans="1:16" x14ac:dyDescent="0.15">
      <c r="A323" s="29" t="str">
        <f t="shared" si="48"/>
        <v>12001_1_22</v>
      </c>
      <c r="B323" s="27" t="s">
        <v>33</v>
      </c>
      <c r="C323" s="5">
        <v>12001</v>
      </c>
      <c r="D323" s="4" t="str">
        <f ca="1">VLOOKUP($C323,OFFSET([1]quests!$A$1,0,0,COUNTA([1]quests!$A:$A),MATCH(D$1,[1]quests!$1:$1,0)-MATCH($C$1,[1]quests!$1:$1,0)+1),MATCH(D$1,[1]quests!$1:$1,0)-MATCH($C$1,[1]quests!$1:$1,0)+1,FALSE)</f>
        <v>【緊急！！】 アヒル捕獲作戦</v>
      </c>
      <c r="E323" s="4" t="str">
        <f ca="1">VLOOKUP($C323,OFFSET([1]quests!$A$1,0,0,COUNTA([1]quests!$A:$A),MATCH(E$1,[1]quests!$1:$1,0)-MATCH($C$1,[1]quests!$1:$1,0)+1),MATCH(E$1,[1]quests!$1:$1,0)-MATCH($C$1,[1]quests!$1:$1,0)+1,FALSE)</f>
        <v>ゲリラクエスト</v>
      </c>
      <c r="F323" s="6">
        <v>1</v>
      </c>
      <c r="G323" s="4" t="str">
        <f ca="1">VLOOKUP($C323&amp;"_"&amp;$F323,OFFSET([1]stages!$A$1,0,0,COUNTA([1]stages!$A:$A),MATCH(G$1,[1]stages!$2:$2,0)-MATCH("temp_stage",[1]stages!$2:$2,0)+1),MATCH(G$1,[1]stages!$2:$2,0)-MATCH("temp_stage",[1]stages!$2:$2,0)+1,FALSE)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23" s="4" t="str">
        <f ca="1">VLOOKUP($C323&amp;"_"&amp;$F323,OFFSET([1]stages!$A$1,0,0,COUNTA([1]stages!$A:$A),MATCH(H$1,[1]stages!$2:$2,0)-MATCH("temp_stage",[1]stages!$2:$2,0)+1),MATCH(H$1,[1]stages!$2:$2,0)-MATCH("temp_stage",[1]stages!$2:$2,0)+1,FALSE)</f>
        <v>ゲリラクエスト</v>
      </c>
      <c r="I323" s="19">
        <v>0</v>
      </c>
      <c r="J323" s="6">
        <f>COUNTIF(C$1:C323,C323)</f>
        <v>22</v>
      </c>
      <c r="K323">
        <v>23</v>
      </c>
      <c r="L323" s="6" t="s">
        <v>17</v>
      </c>
      <c r="M323" s="36" t="str">
        <f>VLOOKUP(K323,[2]stage_hints!$A:$C,3,FALSE)</f>
        <v>フィーバーで一発逆転（その2）</v>
      </c>
      <c r="N323" s="37" t="str">
        <f>VLOOKUP(K323,[2]stage_hints!$A:$D,4,FALSE)</f>
        <v>フィーバー中は虹色のボムパネルを狙って_x000D_画面上のパネルを一気に破壊しましょう</v>
      </c>
      <c r="O323" s="22" t="s">
        <v>117</v>
      </c>
      <c r="P323">
        <v>23</v>
      </c>
    </row>
    <row r="324" spans="1:16" x14ac:dyDescent="0.15">
      <c r="A324" s="29" t="str">
        <f t="shared" si="48"/>
        <v>12001_1_23</v>
      </c>
      <c r="B324" s="27" t="s">
        <v>33</v>
      </c>
      <c r="C324" s="5">
        <v>12001</v>
      </c>
      <c r="D324" s="4" t="str">
        <f ca="1">VLOOKUP($C324,OFFSET([1]quests!$A$1,0,0,COUNTA([1]quests!$A:$A),MATCH(D$1,[1]quests!$1:$1,0)-MATCH($C$1,[1]quests!$1:$1,0)+1),MATCH(D$1,[1]quests!$1:$1,0)-MATCH($C$1,[1]quests!$1:$1,0)+1,FALSE)</f>
        <v>【緊急！！】 アヒル捕獲作戦</v>
      </c>
      <c r="E324" s="4" t="str">
        <f ca="1">VLOOKUP($C324,OFFSET([1]quests!$A$1,0,0,COUNTA([1]quests!$A:$A),MATCH(E$1,[1]quests!$1:$1,0)-MATCH($C$1,[1]quests!$1:$1,0)+1),MATCH(E$1,[1]quests!$1:$1,0)-MATCH($C$1,[1]quests!$1:$1,0)+1,FALSE)</f>
        <v>ゲリラクエスト</v>
      </c>
      <c r="F324" s="6">
        <v>1</v>
      </c>
      <c r="G324" s="4" t="str">
        <f ca="1">VLOOKUP($C324&amp;"_"&amp;$F324,OFFSET([1]stages!$A$1,0,0,COUNTA([1]stages!$A:$A),MATCH(G$1,[1]stages!$2:$2,0)-MATCH("temp_stage",[1]stages!$2:$2,0)+1),MATCH(G$1,[1]stages!$2:$2,0)-MATCH("temp_stage",[1]stages!$2:$2,0)+1,FALSE)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24" s="4" t="str">
        <f ca="1">VLOOKUP($C324&amp;"_"&amp;$F324,OFFSET([1]stages!$A$1,0,0,COUNTA([1]stages!$A:$A),MATCH(H$1,[1]stages!$2:$2,0)-MATCH("temp_stage",[1]stages!$2:$2,0)+1),MATCH(H$1,[1]stages!$2:$2,0)-MATCH("temp_stage",[1]stages!$2:$2,0)+1,FALSE)</f>
        <v>ゲリラクエスト</v>
      </c>
      <c r="I324" s="19">
        <v>0</v>
      </c>
      <c r="J324" s="6">
        <f>COUNTIF(C$1:C324,C324)</f>
        <v>23</v>
      </c>
      <c r="K324">
        <v>24</v>
      </c>
      <c r="L324" s="6" t="s">
        <v>17</v>
      </c>
      <c r="M324" s="36" t="str">
        <f>VLOOKUP(K324,[2]stage_hints!$A:$C,3,FALSE)</f>
        <v>りんごを使って限界突破</v>
      </c>
      <c r="N324" s="37" t="str">
        <f>VLOOKUP(K324,[2]stage_hints!$A:$D,4,FALSE)</f>
        <v>赤りんご(攻撃力) 青りんご(回復力)_x000D_緑りんご(体力)をユニット強化に使うと_x000D_ステータスが限界突破します（計99個迄）</v>
      </c>
      <c r="O324" s="22" t="s">
        <v>117</v>
      </c>
      <c r="P324">
        <v>24</v>
      </c>
    </row>
    <row r="325" spans="1:16" x14ac:dyDescent="0.15">
      <c r="A325" s="29" t="str">
        <f t="shared" si="48"/>
        <v>12001_1_24</v>
      </c>
      <c r="B325" s="27" t="s">
        <v>33</v>
      </c>
      <c r="C325" s="5">
        <v>12001</v>
      </c>
      <c r="D325" s="4" t="str">
        <f ca="1">VLOOKUP($C325,OFFSET([1]quests!$A$1,0,0,COUNTA([1]quests!$A:$A),MATCH(D$1,[1]quests!$1:$1,0)-MATCH($C$1,[1]quests!$1:$1,0)+1),MATCH(D$1,[1]quests!$1:$1,0)-MATCH($C$1,[1]quests!$1:$1,0)+1,FALSE)</f>
        <v>【緊急！！】 アヒル捕獲作戦</v>
      </c>
      <c r="E325" s="4" t="str">
        <f ca="1">VLOOKUP($C325,OFFSET([1]quests!$A$1,0,0,COUNTA([1]quests!$A:$A),MATCH(E$1,[1]quests!$1:$1,0)-MATCH($C$1,[1]quests!$1:$1,0)+1),MATCH(E$1,[1]quests!$1:$1,0)-MATCH($C$1,[1]quests!$1:$1,0)+1,FALSE)</f>
        <v>ゲリラクエスト</v>
      </c>
      <c r="F325" s="6">
        <v>1</v>
      </c>
      <c r="G325" s="4" t="str">
        <f ca="1">VLOOKUP($C325&amp;"_"&amp;$F325,OFFSET([1]stages!$A$1,0,0,COUNTA([1]stages!$A:$A),MATCH(G$1,[1]stages!$2:$2,0)-MATCH("temp_stage",[1]stages!$2:$2,0)+1),MATCH(G$1,[1]stages!$2:$2,0)-MATCH("temp_stage",[1]stages!$2:$2,0)+1,FALSE)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25" s="4" t="str">
        <f ca="1">VLOOKUP($C325&amp;"_"&amp;$F325,OFFSET([1]stages!$A$1,0,0,COUNTA([1]stages!$A:$A),MATCH(H$1,[1]stages!$2:$2,0)-MATCH("temp_stage",[1]stages!$2:$2,0)+1),MATCH(H$1,[1]stages!$2:$2,0)-MATCH("temp_stage",[1]stages!$2:$2,0)+1,FALSE)</f>
        <v>ゲリラクエスト</v>
      </c>
      <c r="I325" s="19">
        <v>0</v>
      </c>
      <c r="J325" s="6">
        <f>COUNTIF(C$1:C325,C325)</f>
        <v>24</v>
      </c>
      <c r="K325">
        <v>25</v>
      </c>
      <c r="L325" s="6" t="s">
        <v>17</v>
      </c>
      <c r="M325" s="36" t="str">
        <f>VLOOKUP(K325,[2]stage_hints!$A:$C,3,FALSE)</f>
        <v>スキルレベルアップ</v>
      </c>
      <c r="N325" s="37" t="str">
        <f>VLOOKUP(K325,[2]stage_hints!$A:$D,4,FALSE)</f>
        <v>「クリスタルのりんご」を強化に使うと_x000D_スキルレベルを上げることができます</v>
      </c>
      <c r="O325" s="22" t="s">
        <v>117</v>
      </c>
      <c r="P325">
        <v>25</v>
      </c>
    </row>
    <row r="326" spans="1:16" x14ac:dyDescent="0.15">
      <c r="A326" s="29" t="str">
        <f t="shared" ref="A326:A327" si="49">C326&amp;"_"&amp;F326&amp;"_"&amp;J326</f>
        <v>12001_1_25</v>
      </c>
      <c r="B326" s="27" t="s">
        <v>33</v>
      </c>
      <c r="C326" s="5">
        <v>12001</v>
      </c>
      <c r="D326" s="4" t="str">
        <f ca="1">VLOOKUP($C326,OFFSET([1]quests!$A$1,0,0,COUNTA([1]quests!$A:$A),MATCH(D$1,[1]quests!$1:$1,0)-MATCH($C$1,[1]quests!$1:$1,0)+1),MATCH(D$1,[1]quests!$1:$1,0)-MATCH($C$1,[1]quests!$1:$1,0)+1,FALSE)</f>
        <v>【緊急！！】 アヒル捕獲作戦</v>
      </c>
      <c r="E326" s="4" t="str">
        <f ca="1">VLOOKUP($C326,OFFSET([1]quests!$A$1,0,0,COUNTA([1]quests!$A:$A),MATCH(E$1,[1]quests!$1:$1,0)-MATCH($C$1,[1]quests!$1:$1,0)+1),MATCH(E$1,[1]quests!$1:$1,0)-MATCH($C$1,[1]quests!$1:$1,0)+1,FALSE)</f>
        <v>ゲリラクエスト</v>
      </c>
      <c r="F326" s="6">
        <v>1</v>
      </c>
      <c r="G326" s="4" t="str">
        <f ca="1">VLOOKUP($C326&amp;"_"&amp;$F326,OFFSET([1]stages!$A$1,0,0,COUNTA([1]stages!$A:$A),MATCH(G$1,[1]stages!$2:$2,0)-MATCH("temp_stage",[1]stages!$2:$2,0)+1),MATCH(G$1,[1]stages!$2:$2,0)-MATCH("temp_stage",[1]stages!$2:$2,0)+1,FALSE)</f>
        <v xml:space="preserve">【初級】メタルダックを捕獲せよ！ </v>
      </c>
      <c r="H326" s="4" t="str">
        <f ca="1">VLOOKUP($C326&amp;"_"&amp;$F326,OFFSET([1]stages!$A$1,0,0,COUNTA([1]stages!$A:$A),MATCH(H$1,[1]stages!$2:$2,0)-MATCH("temp_stage",[1]stages!$2:$2,0)+1),MATCH(H$1,[1]stages!$2:$2,0)-MATCH("temp_stage",[1]stages!$2:$2,0)+1,FALSE)</f>
        <v>ゲリラクエスト</v>
      </c>
      <c r="I326" s="19">
        <v>0</v>
      </c>
      <c r="J326" s="6">
        <f>COUNTIF(C$1:C326,C326)</f>
        <v>25</v>
      </c>
      <c r="K326">
        <v>26</v>
      </c>
      <c r="L326" s="6" t="s">
        <v>17</v>
      </c>
      <c r="M326" s="36" t="str">
        <f>VLOOKUP(K326,[2]stage_hints!$A:$C,3,FALSE)</f>
        <v>スキルレベルの効果</v>
      </c>
      <c r="N326" s="37" t="str">
        <f>VLOOKUP(K326,[2]stage_hints!$A:$D,4,FALSE)</f>
        <v>スキルレベルが上がると_x000D_短いターンでスキルを使うことができます</v>
      </c>
      <c r="O326" s="22" t="s">
        <v>117</v>
      </c>
      <c r="P326">
        <v>26</v>
      </c>
    </row>
    <row r="327" spans="1:16" x14ac:dyDescent="0.15">
      <c r="A327" s="29" t="str">
        <f t="shared" si="49"/>
        <v>20001_1_1</v>
      </c>
      <c r="B327" s="27" t="s">
        <v>33</v>
      </c>
      <c r="C327" s="5">
        <v>20001</v>
      </c>
      <c r="D327" s="4" t="str">
        <f ca="1">VLOOKUP($C327,OFFSET([1]quests!$A$1,0,0,COUNTA([1]quests!$A:$A),MATCH(D$1,[1]quests!$1:$1,0)-MATCH($C$1,[1]quests!$1:$1,0)+1),MATCH(D$1,[1]quests!$1:$1,0)-MATCH($C$1,[1]quests!$1:$1,0)+1,FALSE)</f>
        <v>紅き執行者</v>
      </c>
      <c r="E327" s="4" t="str">
        <f ca="1">VLOOKUP($C327,OFFSET([1]quests!$A$1,0,0,COUNTA([1]quests!$A:$A),MATCH(E$1,[1]quests!$1:$1,0)-MATCH($C$1,[1]quests!$1:$1,0)+1),MATCH(E$1,[1]quests!$1:$1,0)-MATCH($C$1,[1]quests!$1:$1,0)+1,FALSE)</f>
        <v>ドロップイベント1-1</v>
      </c>
      <c r="F327" s="6">
        <v>1</v>
      </c>
      <c r="G327" s="4" t="str">
        <f ca="1">VLOOKUP($C327&amp;"_"&amp;$F327,OFFSET([1]stages!$A$1,0,0,COUNTA([1]stages!$A:$A),MATCH(G$1,[1]stages!$2:$2,0)-MATCH("temp_stage",[1]stages!$2:$2,0)+1),MATCH(G$1,[1]stages!$2:$2,0)-MATCH("temp_stage",[1]stages!$2:$2,0)+1,FALSE)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27" s="4" t="str">
        <f ca="1">VLOOKUP($C327&amp;"_"&amp;$F327,OFFSET([1]stages!$A$1,0,0,COUNTA([1]stages!$A:$A),MATCH(H$1,[1]stages!$2:$2,0)-MATCH("temp_stage",[1]stages!$2:$2,0)+1),MATCH(H$1,[1]stages!$2:$2,0)-MATCH("temp_stage",[1]stages!$2:$2,0)+1,FALSE)</f>
        <v>ドロップイベント1-1</v>
      </c>
      <c r="I327" s="19">
        <v>0</v>
      </c>
      <c r="J327" s="6">
        <f>COUNTIF(C$1:C327,C327)</f>
        <v>1</v>
      </c>
      <c r="K327">
        <v>1</v>
      </c>
      <c r="L327" s="6" t="s">
        <v>17</v>
      </c>
      <c r="M327" s="36" t="str">
        <f>VLOOKUP(K327,[2]stage_hints!$A:$C,3,FALSE)</f>
        <v>長くつなげて大ダメージ</v>
      </c>
      <c r="N327" s="37" t="str">
        <f>VLOOKUP(K327,[2]stage_hints!$A:$D,4,FALSE)</f>
        <v>パネルを長くつなげるほど_x000D_大ダメージを与えることができます</v>
      </c>
      <c r="O327" s="22" t="s">
        <v>117</v>
      </c>
      <c r="P327">
        <v>1</v>
      </c>
    </row>
    <row r="328" spans="1:16" x14ac:dyDescent="0.15">
      <c r="A328" s="29" t="str">
        <f t="shared" ref="A328:A340" si="50">C328&amp;"_"&amp;F328&amp;"_"&amp;J328</f>
        <v>20001_1_2</v>
      </c>
      <c r="B328" s="27" t="s">
        <v>33</v>
      </c>
      <c r="C328" s="5">
        <v>20001</v>
      </c>
      <c r="D328" s="4" t="str">
        <f ca="1">VLOOKUP($C328,OFFSET([1]quests!$A$1,0,0,COUNTA([1]quests!$A:$A),MATCH(D$1,[1]quests!$1:$1,0)-MATCH($C$1,[1]quests!$1:$1,0)+1),MATCH(D$1,[1]quests!$1:$1,0)-MATCH($C$1,[1]quests!$1:$1,0)+1,FALSE)</f>
        <v>紅き執行者</v>
      </c>
      <c r="E328" s="4" t="str">
        <f ca="1">VLOOKUP($C328,OFFSET([1]quests!$A$1,0,0,COUNTA([1]quests!$A:$A),MATCH(E$1,[1]quests!$1:$1,0)-MATCH($C$1,[1]quests!$1:$1,0)+1),MATCH(E$1,[1]quests!$1:$1,0)-MATCH($C$1,[1]quests!$1:$1,0)+1,FALSE)</f>
        <v>ドロップイベント1-1</v>
      </c>
      <c r="F328" s="6">
        <v>1</v>
      </c>
      <c r="G328" s="4" t="str">
        <f ca="1">VLOOKUP($C328&amp;"_"&amp;$F328,OFFSET([1]stages!$A$1,0,0,COUNTA([1]stages!$A:$A),MATCH(G$1,[1]stages!$2:$2,0)-MATCH("temp_stage",[1]stages!$2:$2,0)+1),MATCH(G$1,[1]stages!$2:$2,0)-MATCH("temp_stage",[1]stages!$2:$2,0)+1,FALSE)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28" s="4" t="str">
        <f ca="1">VLOOKUP($C328&amp;"_"&amp;$F328,OFFSET([1]stages!$A$1,0,0,COUNTA([1]stages!$A:$A),MATCH(H$1,[1]stages!$2:$2,0)-MATCH("temp_stage",[1]stages!$2:$2,0)+1),MATCH(H$1,[1]stages!$2:$2,0)-MATCH("temp_stage",[1]stages!$2:$2,0)+1,FALSE)</f>
        <v>ドロップイベント1-1</v>
      </c>
      <c r="I328" s="19">
        <v>0</v>
      </c>
      <c r="J328" s="6">
        <f>COUNTIF(C$1:C328,C328)</f>
        <v>2</v>
      </c>
      <c r="K328">
        <v>2</v>
      </c>
      <c r="L328" s="6" t="s">
        <v>17</v>
      </c>
      <c r="M328" s="36" t="str">
        <f>VLOOKUP(K328,[2]stage_hints!$A:$C,3,FALSE)</f>
        <v>属性の相性</v>
      </c>
      <c r="N328" s="37" t="str">
        <f>VLOOKUP(K328,[2]stage_hints!$A:$D,4,FALSE)</f>
        <v>赤＞青　青＞黄　黄＞緑　緑＞赤_x000D_敵属性に最適なパーティがオススメです</v>
      </c>
      <c r="O328" s="22" t="s">
        <v>117</v>
      </c>
      <c r="P328">
        <v>2</v>
      </c>
    </row>
    <row r="329" spans="1:16" x14ac:dyDescent="0.15">
      <c r="A329" s="29" t="str">
        <f t="shared" si="50"/>
        <v>20001_1_3</v>
      </c>
      <c r="B329" s="27" t="s">
        <v>33</v>
      </c>
      <c r="C329" s="5">
        <v>20001</v>
      </c>
      <c r="D329" s="4" t="str">
        <f ca="1">VLOOKUP($C329,OFFSET([1]quests!$A$1,0,0,COUNTA([1]quests!$A:$A),MATCH(D$1,[1]quests!$1:$1,0)-MATCH($C$1,[1]quests!$1:$1,0)+1),MATCH(D$1,[1]quests!$1:$1,0)-MATCH($C$1,[1]quests!$1:$1,0)+1,FALSE)</f>
        <v>紅き執行者</v>
      </c>
      <c r="E329" s="4" t="str">
        <f ca="1">VLOOKUP($C329,OFFSET([1]quests!$A$1,0,0,COUNTA([1]quests!$A:$A),MATCH(E$1,[1]quests!$1:$1,0)-MATCH($C$1,[1]quests!$1:$1,0)+1),MATCH(E$1,[1]quests!$1:$1,0)-MATCH($C$1,[1]quests!$1:$1,0)+1,FALSE)</f>
        <v>ドロップイベント1-1</v>
      </c>
      <c r="F329" s="6">
        <v>1</v>
      </c>
      <c r="G329" s="4" t="str">
        <f ca="1">VLOOKUP($C329&amp;"_"&amp;$F329,OFFSET([1]stages!$A$1,0,0,COUNTA([1]stages!$A:$A),MATCH(G$1,[1]stages!$2:$2,0)-MATCH("temp_stage",[1]stages!$2:$2,0)+1),MATCH(G$1,[1]stages!$2:$2,0)-MATCH("temp_stage",[1]stages!$2:$2,0)+1,FALSE)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29" s="4" t="str">
        <f ca="1">VLOOKUP($C329&amp;"_"&amp;$F329,OFFSET([1]stages!$A$1,0,0,COUNTA([1]stages!$A:$A),MATCH(H$1,[1]stages!$2:$2,0)-MATCH("temp_stage",[1]stages!$2:$2,0)+1),MATCH(H$1,[1]stages!$2:$2,0)-MATCH("temp_stage",[1]stages!$2:$2,0)+1,FALSE)</f>
        <v>ドロップイベント1-1</v>
      </c>
      <c r="I329" s="19">
        <v>0</v>
      </c>
      <c r="J329" s="6">
        <f>COUNTIF(C$1:C329,C329)</f>
        <v>3</v>
      </c>
      <c r="K329">
        <v>3</v>
      </c>
      <c r="L329" s="6" t="s">
        <v>17</v>
      </c>
      <c r="M329" s="36" t="str">
        <f>VLOOKUP(K329,[2]stage_hints!$A:$C,3,FALSE)</f>
        <v>ターゲット</v>
      </c>
      <c r="N329" s="37" t="str">
        <f>VLOOKUP(K329,[2]stage_hints!$A:$D,4,FALSE)</f>
        <v>敵ユニットをタップすると_x000D_その敵を狙い撃ちできます</v>
      </c>
      <c r="O329" s="22" t="s">
        <v>117</v>
      </c>
      <c r="P329">
        <v>3</v>
      </c>
    </row>
    <row r="330" spans="1:16" x14ac:dyDescent="0.15">
      <c r="A330" s="29" t="str">
        <f t="shared" si="50"/>
        <v>20001_1_4</v>
      </c>
      <c r="B330" s="27" t="s">
        <v>33</v>
      </c>
      <c r="C330" s="5">
        <v>20001</v>
      </c>
      <c r="D330" s="4" t="str">
        <f ca="1">VLOOKUP($C330,OFFSET([1]quests!$A$1,0,0,COUNTA([1]quests!$A:$A),MATCH(D$1,[1]quests!$1:$1,0)-MATCH($C$1,[1]quests!$1:$1,0)+1),MATCH(D$1,[1]quests!$1:$1,0)-MATCH($C$1,[1]quests!$1:$1,0)+1,FALSE)</f>
        <v>紅き執行者</v>
      </c>
      <c r="E330" s="4" t="str">
        <f ca="1">VLOOKUP($C330,OFFSET([1]quests!$A$1,0,0,COUNTA([1]quests!$A:$A),MATCH(E$1,[1]quests!$1:$1,0)-MATCH($C$1,[1]quests!$1:$1,0)+1),MATCH(E$1,[1]quests!$1:$1,0)-MATCH($C$1,[1]quests!$1:$1,0)+1,FALSE)</f>
        <v>ドロップイベント1-1</v>
      </c>
      <c r="F330" s="6">
        <v>1</v>
      </c>
      <c r="G330" s="4" t="str">
        <f ca="1">VLOOKUP($C330&amp;"_"&amp;$F330,OFFSET([1]stages!$A$1,0,0,COUNTA([1]stages!$A:$A),MATCH(G$1,[1]stages!$2:$2,0)-MATCH("temp_stage",[1]stages!$2:$2,0)+1),MATCH(G$1,[1]stages!$2:$2,0)-MATCH("temp_stage",[1]stages!$2:$2,0)+1,FALSE)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30" s="4" t="str">
        <f ca="1">VLOOKUP($C330&amp;"_"&amp;$F330,OFFSET([1]stages!$A$1,0,0,COUNTA([1]stages!$A:$A),MATCH(H$1,[1]stages!$2:$2,0)-MATCH("temp_stage",[1]stages!$2:$2,0)+1),MATCH(H$1,[1]stages!$2:$2,0)-MATCH("temp_stage",[1]stages!$2:$2,0)+1,FALSE)</f>
        <v>ドロップイベント1-1</v>
      </c>
      <c r="I330" s="19">
        <v>0</v>
      </c>
      <c r="J330" s="6">
        <f>COUNTIF(C$1:C330,C330)</f>
        <v>4</v>
      </c>
      <c r="K330">
        <v>5</v>
      </c>
      <c r="L330" s="6" t="s">
        <v>17</v>
      </c>
      <c r="M330" s="36" t="str">
        <f>VLOOKUP(K330,[2]stage_hints!$A:$C,3,FALSE)</f>
        <v>ユニット強化でレベルアップ</v>
      </c>
      <c r="N330" s="37" t="str">
        <f>VLOOKUP(K330,[2]stage_hints!$A:$D,4,FALSE)</f>
        <v>「ユニット強化」でレベルアップすると_x000D_勝てない敵にも勝てるようになります</v>
      </c>
      <c r="O330" s="22" t="s">
        <v>117</v>
      </c>
      <c r="P330">
        <v>5</v>
      </c>
    </row>
    <row r="331" spans="1:16" x14ac:dyDescent="0.15">
      <c r="A331" s="29" t="str">
        <f t="shared" si="50"/>
        <v>20001_1_5</v>
      </c>
      <c r="B331" s="27" t="s">
        <v>33</v>
      </c>
      <c r="C331" s="5">
        <v>20001</v>
      </c>
      <c r="D331" s="4" t="str">
        <f ca="1">VLOOKUP($C331,OFFSET([1]quests!$A$1,0,0,COUNTA([1]quests!$A:$A),MATCH(D$1,[1]quests!$1:$1,0)-MATCH($C$1,[1]quests!$1:$1,0)+1),MATCH(D$1,[1]quests!$1:$1,0)-MATCH($C$1,[1]quests!$1:$1,0)+1,FALSE)</f>
        <v>紅き執行者</v>
      </c>
      <c r="E331" s="4" t="str">
        <f ca="1">VLOOKUP($C331,OFFSET([1]quests!$A$1,0,0,COUNTA([1]quests!$A:$A),MATCH(E$1,[1]quests!$1:$1,0)-MATCH($C$1,[1]quests!$1:$1,0)+1),MATCH(E$1,[1]quests!$1:$1,0)-MATCH($C$1,[1]quests!$1:$1,0)+1,FALSE)</f>
        <v>ドロップイベント1-1</v>
      </c>
      <c r="F331" s="6">
        <v>1</v>
      </c>
      <c r="G331" s="4" t="str">
        <f ca="1">VLOOKUP($C331&amp;"_"&amp;$F331,OFFSET([1]stages!$A$1,0,0,COUNTA([1]stages!$A:$A),MATCH(G$1,[1]stages!$2:$2,0)-MATCH("temp_stage",[1]stages!$2:$2,0)+1),MATCH(G$1,[1]stages!$2:$2,0)-MATCH("temp_stage",[1]stages!$2:$2,0)+1,FALSE)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31" s="4" t="str">
        <f ca="1">VLOOKUP($C331&amp;"_"&amp;$F331,OFFSET([1]stages!$A$1,0,0,COUNTA([1]stages!$A:$A),MATCH(H$1,[1]stages!$2:$2,0)-MATCH("temp_stage",[1]stages!$2:$2,0)+1),MATCH(H$1,[1]stages!$2:$2,0)-MATCH("temp_stage",[1]stages!$2:$2,0)+1,FALSE)</f>
        <v>ドロップイベント1-1</v>
      </c>
      <c r="I331" s="19">
        <v>0</v>
      </c>
      <c r="J331" s="6">
        <f>COUNTIF(C$1:C331,C331)</f>
        <v>5</v>
      </c>
      <c r="K331">
        <v>6</v>
      </c>
      <c r="L331" s="6" t="s">
        <v>17</v>
      </c>
      <c r="M331" s="36" t="str">
        <f>VLOOKUP(K331,[2]stage_hints!$A:$C,3,FALSE)</f>
        <v>ユニット強化の属性ボーナス</v>
      </c>
      <c r="N331" s="37" t="str">
        <f>VLOOKUP(K331,[2]stage_hints!$A:$D,4,FALSE)</f>
        <v>同属性ユニットを強化素材にすると_x000D_経験値が多くもらえます</v>
      </c>
      <c r="O331" s="22" t="s">
        <v>117</v>
      </c>
      <c r="P331">
        <v>6</v>
      </c>
    </row>
    <row r="332" spans="1:16" x14ac:dyDescent="0.15">
      <c r="A332" s="29" t="str">
        <f t="shared" si="50"/>
        <v>20001_1_6</v>
      </c>
      <c r="B332" s="27" t="s">
        <v>33</v>
      </c>
      <c r="C332" s="5">
        <v>20001</v>
      </c>
      <c r="D332" s="4" t="str">
        <f ca="1">VLOOKUP($C332,OFFSET([1]quests!$A$1,0,0,COUNTA([1]quests!$A:$A),MATCH(D$1,[1]quests!$1:$1,0)-MATCH($C$1,[1]quests!$1:$1,0)+1),MATCH(D$1,[1]quests!$1:$1,0)-MATCH($C$1,[1]quests!$1:$1,0)+1,FALSE)</f>
        <v>紅き執行者</v>
      </c>
      <c r="E332" s="4" t="str">
        <f ca="1">VLOOKUP($C332,OFFSET([1]quests!$A$1,0,0,COUNTA([1]quests!$A:$A),MATCH(E$1,[1]quests!$1:$1,0)-MATCH($C$1,[1]quests!$1:$1,0)+1),MATCH(E$1,[1]quests!$1:$1,0)-MATCH($C$1,[1]quests!$1:$1,0)+1,FALSE)</f>
        <v>ドロップイベント1-1</v>
      </c>
      <c r="F332" s="6">
        <v>1</v>
      </c>
      <c r="G332" s="4" t="str">
        <f ca="1">VLOOKUP($C332&amp;"_"&amp;$F332,OFFSET([1]stages!$A$1,0,0,COUNTA([1]stages!$A:$A),MATCH(G$1,[1]stages!$2:$2,0)-MATCH("temp_stage",[1]stages!$2:$2,0)+1),MATCH(G$1,[1]stages!$2:$2,0)-MATCH("temp_stage",[1]stages!$2:$2,0)+1,FALSE)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32" s="4" t="str">
        <f ca="1">VLOOKUP($C332&amp;"_"&amp;$F332,OFFSET([1]stages!$A$1,0,0,COUNTA([1]stages!$A:$A),MATCH(H$1,[1]stages!$2:$2,0)-MATCH("temp_stage",[1]stages!$2:$2,0)+1),MATCH(H$1,[1]stages!$2:$2,0)-MATCH("temp_stage",[1]stages!$2:$2,0)+1,FALSE)</f>
        <v>ドロップイベント1-1</v>
      </c>
      <c r="I332" s="19">
        <v>0</v>
      </c>
      <c r="J332" s="6">
        <f>COUNTIF(C$1:C332,C332)</f>
        <v>6</v>
      </c>
      <c r="K332">
        <v>7</v>
      </c>
      <c r="L332" s="6" t="s">
        <v>17</v>
      </c>
      <c r="M332" s="36" t="str">
        <f>VLOOKUP(K332,[2]stage_hints!$A:$C,3,FALSE)</f>
        <v>メタルダックで経験値を獲得</v>
      </c>
      <c r="N332" s="37" t="str">
        <f>VLOOKUP(K332,[2]stage_hints!$A:$D,4,FALSE)</f>
        <v>「メタルなアヒル」を強化素材にすると_x000D_大量の経験値がもらえます</v>
      </c>
      <c r="O332" s="22" t="s">
        <v>117</v>
      </c>
      <c r="P332">
        <v>7</v>
      </c>
    </row>
    <row r="333" spans="1:16" x14ac:dyDescent="0.15">
      <c r="A333" s="29" t="str">
        <f t="shared" si="50"/>
        <v>20001_1_7</v>
      </c>
      <c r="B333" s="27" t="s">
        <v>33</v>
      </c>
      <c r="C333" s="5">
        <v>20001</v>
      </c>
      <c r="D333" s="4" t="str">
        <f ca="1">VLOOKUP($C333,OFFSET([1]quests!$A$1,0,0,COUNTA([1]quests!$A:$A),MATCH(D$1,[1]quests!$1:$1,0)-MATCH($C$1,[1]quests!$1:$1,0)+1),MATCH(D$1,[1]quests!$1:$1,0)-MATCH($C$1,[1]quests!$1:$1,0)+1,FALSE)</f>
        <v>紅き執行者</v>
      </c>
      <c r="E333" s="4" t="str">
        <f ca="1">VLOOKUP($C333,OFFSET([1]quests!$A$1,0,0,COUNTA([1]quests!$A:$A),MATCH(E$1,[1]quests!$1:$1,0)-MATCH($C$1,[1]quests!$1:$1,0)+1),MATCH(E$1,[1]quests!$1:$1,0)-MATCH($C$1,[1]quests!$1:$1,0)+1,FALSE)</f>
        <v>ドロップイベント1-1</v>
      </c>
      <c r="F333" s="6">
        <v>1</v>
      </c>
      <c r="G333" s="4" t="str">
        <f ca="1">VLOOKUP($C333&amp;"_"&amp;$F333,OFFSET([1]stages!$A$1,0,0,COUNTA([1]stages!$A:$A),MATCH(G$1,[1]stages!$2:$2,0)-MATCH("temp_stage",[1]stages!$2:$2,0)+1),MATCH(G$1,[1]stages!$2:$2,0)-MATCH("temp_stage",[1]stages!$2:$2,0)+1,FALSE)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33" s="4" t="str">
        <f ca="1">VLOOKUP($C333&amp;"_"&amp;$F333,OFFSET([1]stages!$A$1,0,0,COUNTA([1]stages!$A:$A),MATCH(H$1,[1]stages!$2:$2,0)-MATCH("temp_stage",[1]stages!$2:$2,0)+1),MATCH(H$1,[1]stages!$2:$2,0)-MATCH("temp_stage",[1]stages!$2:$2,0)+1,FALSE)</f>
        <v>ドロップイベント1-1</v>
      </c>
      <c r="I333" s="19">
        <v>0</v>
      </c>
      <c r="J333" s="6">
        <f>COUNTIF(C$1:C333,C333)</f>
        <v>7</v>
      </c>
      <c r="K333">
        <v>8</v>
      </c>
      <c r="L333" s="6" t="s">
        <v>17</v>
      </c>
      <c r="M333" s="36" t="str">
        <f>VLOOKUP(K333,[2]stage_hints!$A:$C,3,FALSE)</f>
        <v>ゲリラクエストは要チェック</v>
      </c>
      <c r="N333" s="37" t="str">
        <f>VLOOKUP(K333,[2]stage_hints!$A:$D,4,FALSE)</f>
        <v>時間限定の「アヒル捕獲作戦」では_x000D_経験値素材ユニットが多く手に入ります</v>
      </c>
      <c r="O333" s="22" t="s">
        <v>117</v>
      </c>
      <c r="P333">
        <v>8</v>
      </c>
    </row>
    <row r="334" spans="1:16" x14ac:dyDescent="0.15">
      <c r="A334" s="29" t="str">
        <f t="shared" si="50"/>
        <v>20001_1_8</v>
      </c>
      <c r="B334" s="27" t="s">
        <v>33</v>
      </c>
      <c r="C334" s="5">
        <v>20001</v>
      </c>
      <c r="D334" s="4" t="str">
        <f ca="1">VLOOKUP($C334,OFFSET([1]quests!$A$1,0,0,COUNTA([1]quests!$A:$A),MATCH(D$1,[1]quests!$1:$1,0)-MATCH($C$1,[1]quests!$1:$1,0)+1),MATCH(D$1,[1]quests!$1:$1,0)-MATCH($C$1,[1]quests!$1:$1,0)+1,FALSE)</f>
        <v>紅き執行者</v>
      </c>
      <c r="E334" s="4" t="str">
        <f ca="1">VLOOKUP($C334,OFFSET([1]quests!$A$1,0,0,COUNTA([1]quests!$A:$A),MATCH(E$1,[1]quests!$1:$1,0)-MATCH($C$1,[1]quests!$1:$1,0)+1),MATCH(E$1,[1]quests!$1:$1,0)-MATCH($C$1,[1]quests!$1:$1,0)+1,FALSE)</f>
        <v>ドロップイベント1-1</v>
      </c>
      <c r="F334" s="6">
        <v>1</v>
      </c>
      <c r="G334" s="4" t="str">
        <f ca="1">VLOOKUP($C334&amp;"_"&amp;$F334,OFFSET([1]stages!$A$1,0,0,COUNTA([1]stages!$A:$A),MATCH(G$1,[1]stages!$2:$2,0)-MATCH("temp_stage",[1]stages!$2:$2,0)+1),MATCH(G$1,[1]stages!$2:$2,0)-MATCH("temp_stage",[1]stages!$2:$2,0)+1,FALSE)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34" s="4" t="str">
        <f ca="1">VLOOKUP($C334&amp;"_"&amp;$F334,OFFSET([1]stages!$A$1,0,0,COUNTA([1]stages!$A:$A),MATCH(H$1,[1]stages!$2:$2,0)-MATCH("temp_stage",[1]stages!$2:$2,0)+1),MATCH(H$1,[1]stages!$2:$2,0)-MATCH("temp_stage",[1]stages!$2:$2,0)+1,FALSE)</f>
        <v>ドロップイベント1-1</v>
      </c>
      <c r="I334" s="19">
        <v>0</v>
      </c>
      <c r="J334" s="6">
        <f>COUNTIF(C$1:C334,C334)</f>
        <v>8</v>
      </c>
      <c r="K334">
        <v>9</v>
      </c>
      <c r="L334" s="6" t="s">
        <v>17</v>
      </c>
      <c r="M334" s="36" t="str">
        <f>VLOOKUP(K334,[2]stage_hints!$A:$C,3,FALSE)</f>
        <v>ゴールドダックでビットを獲得</v>
      </c>
      <c r="N334" s="37" t="str">
        <f>VLOOKUP(K334,[2]stage_hints!$A:$D,4,FALSE)</f>
        <v>「ゴールドなアヒル」を売却すると_x000D_大量のビットがもらえます</v>
      </c>
      <c r="O334" s="22" t="s">
        <v>117</v>
      </c>
      <c r="P334">
        <v>9</v>
      </c>
    </row>
    <row r="335" spans="1:16" x14ac:dyDescent="0.15">
      <c r="A335" s="29" t="str">
        <f t="shared" si="50"/>
        <v>20001_1_9</v>
      </c>
      <c r="B335" s="27" t="s">
        <v>33</v>
      </c>
      <c r="C335" s="5">
        <v>20001</v>
      </c>
      <c r="D335" s="4" t="str">
        <f ca="1">VLOOKUP($C335,OFFSET([1]quests!$A$1,0,0,COUNTA([1]quests!$A:$A),MATCH(D$1,[1]quests!$1:$1,0)-MATCH($C$1,[1]quests!$1:$1,0)+1),MATCH(D$1,[1]quests!$1:$1,0)-MATCH($C$1,[1]quests!$1:$1,0)+1,FALSE)</f>
        <v>紅き執行者</v>
      </c>
      <c r="E335" s="4" t="str">
        <f ca="1">VLOOKUP($C335,OFFSET([1]quests!$A$1,0,0,COUNTA([1]quests!$A:$A),MATCH(E$1,[1]quests!$1:$1,0)-MATCH($C$1,[1]quests!$1:$1,0)+1),MATCH(E$1,[1]quests!$1:$1,0)-MATCH($C$1,[1]quests!$1:$1,0)+1,FALSE)</f>
        <v>ドロップイベント1-1</v>
      </c>
      <c r="F335" s="6">
        <v>1</v>
      </c>
      <c r="G335" s="4" t="str">
        <f ca="1">VLOOKUP($C335&amp;"_"&amp;$F335,OFFSET([1]stages!$A$1,0,0,COUNTA([1]stages!$A:$A),MATCH(G$1,[1]stages!$2:$2,0)-MATCH("temp_stage",[1]stages!$2:$2,0)+1),MATCH(G$1,[1]stages!$2:$2,0)-MATCH("temp_stage",[1]stages!$2:$2,0)+1,FALSE)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35" s="4" t="str">
        <f ca="1">VLOOKUP($C335&amp;"_"&amp;$F335,OFFSET([1]stages!$A$1,0,0,COUNTA([1]stages!$A:$A),MATCH(H$1,[1]stages!$2:$2,0)-MATCH("temp_stage",[1]stages!$2:$2,0)+1),MATCH(H$1,[1]stages!$2:$2,0)-MATCH("temp_stage",[1]stages!$2:$2,0)+1,FALSE)</f>
        <v>ドロップイベント1-1</v>
      </c>
      <c r="I335" s="19">
        <v>0</v>
      </c>
      <c r="J335" s="6">
        <f>COUNTIF(C$1:C335,C335)</f>
        <v>9</v>
      </c>
      <c r="K335">
        <v>10</v>
      </c>
      <c r="L335" s="6" t="s">
        <v>17</v>
      </c>
      <c r="M335" s="36" t="str">
        <f>VLOOKUP(K335,[2]stage_hints!$A:$C,3,FALSE)</f>
        <v>土日に大量のビットを獲得</v>
      </c>
      <c r="N335" s="37" t="str">
        <f>VLOOKUP(K335,[2]stage_hints!$A:$D,4,FALSE)</f>
        <v>土日限定の「ゴールドカジノ」では_x000D_売却素材ユニットが多く手に入ります</v>
      </c>
      <c r="O335" s="22" t="s">
        <v>117</v>
      </c>
      <c r="P335">
        <v>10</v>
      </c>
    </row>
    <row r="336" spans="1:16" x14ac:dyDescent="0.15">
      <c r="A336" s="29" t="str">
        <f t="shared" si="50"/>
        <v>20001_1_10</v>
      </c>
      <c r="B336" s="27" t="s">
        <v>33</v>
      </c>
      <c r="C336" s="5">
        <v>20001</v>
      </c>
      <c r="D336" s="4" t="str">
        <f ca="1">VLOOKUP($C336,OFFSET([1]quests!$A$1,0,0,COUNTA([1]quests!$A:$A),MATCH(D$1,[1]quests!$1:$1,0)-MATCH($C$1,[1]quests!$1:$1,0)+1),MATCH(D$1,[1]quests!$1:$1,0)-MATCH($C$1,[1]quests!$1:$1,0)+1,FALSE)</f>
        <v>紅き執行者</v>
      </c>
      <c r="E336" s="4" t="str">
        <f ca="1">VLOOKUP($C336,OFFSET([1]quests!$A$1,0,0,COUNTA([1]quests!$A:$A),MATCH(E$1,[1]quests!$1:$1,0)-MATCH($C$1,[1]quests!$1:$1,0)+1),MATCH(E$1,[1]quests!$1:$1,0)-MATCH($C$1,[1]quests!$1:$1,0)+1,FALSE)</f>
        <v>ドロップイベント1-1</v>
      </c>
      <c r="F336" s="6">
        <v>1</v>
      </c>
      <c r="G336" s="4" t="str">
        <f ca="1">VLOOKUP($C336&amp;"_"&amp;$F336,OFFSET([1]stages!$A$1,0,0,COUNTA([1]stages!$A:$A),MATCH(G$1,[1]stages!$2:$2,0)-MATCH("temp_stage",[1]stages!$2:$2,0)+1),MATCH(G$1,[1]stages!$2:$2,0)-MATCH("temp_stage",[1]stages!$2:$2,0)+1,FALSE)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36" s="4" t="str">
        <f ca="1">VLOOKUP($C336&amp;"_"&amp;$F336,OFFSET([1]stages!$A$1,0,0,COUNTA([1]stages!$A:$A),MATCH(H$1,[1]stages!$2:$2,0)-MATCH("temp_stage",[1]stages!$2:$2,0)+1),MATCH(H$1,[1]stages!$2:$2,0)-MATCH("temp_stage",[1]stages!$2:$2,0)+1,FALSE)</f>
        <v>ドロップイベント1-1</v>
      </c>
      <c r="I336" s="19">
        <v>0</v>
      </c>
      <c r="J336" s="6">
        <f>COUNTIF(C$1:C336,C336)</f>
        <v>10</v>
      </c>
      <c r="K336">
        <v>11</v>
      </c>
      <c r="L336" s="6" t="s">
        <v>17</v>
      </c>
      <c r="M336" s="36" t="str">
        <f>VLOOKUP(K336,[2]stage_hints!$A:$C,3,FALSE)</f>
        <v>ランク解放クエスト</v>
      </c>
      <c r="N336" s="37" t="str">
        <f>VLOOKUP(K336,[2]stage_hints!$A:$D,4,FALSE)</f>
        <v>一定ランクに到達すると_x000D_報酬付きのランク開放クエストが現れます</v>
      </c>
      <c r="O336" s="22" t="s">
        <v>117</v>
      </c>
      <c r="P336">
        <v>11</v>
      </c>
    </row>
    <row r="337" spans="1:16" x14ac:dyDescent="0.15">
      <c r="A337" s="29" t="str">
        <f t="shared" si="50"/>
        <v>20001_1_11</v>
      </c>
      <c r="B337" s="27" t="s">
        <v>33</v>
      </c>
      <c r="C337" s="5">
        <v>20001</v>
      </c>
      <c r="D337" s="4" t="str">
        <f ca="1">VLOOKUP($C337,OFFSET([1]quests!$A$1,0,0,COUNTA([1]quests!$A:$A),MATCH(D$1,[1]quests!$1:$1,0)-MATCH($C$1,[1]quests!$1:$1,0)+1),MATCH(D$1,[1]quests!$1:$1,0)-MATCH($C$1,[1]quests!$1:$1,0)+1,FALSE)</f>
        <v>紅き執行者</v>
      </c>
      <c r="E337" s="4" t="str">
        <f ca="1">VLOOKUP($C337,OFFSET([1]quests!$A$1,0,0,COUNTA([1]quests!$A:$A),MATCH(E$1,[1]quests!$1:$1,0)-MATCH($C$1,[1]quests!$1:$1,0)+1),MATCH(E$1,[1]quests!$1:$1,0)-MATCH($C$1,[1]quests!$1:$1,0)+1,FALSE)</f>
        <v>ドロップイベント1-1</v>
      </c>
      <c r="F337" s="6">
        <v>1</v>
      </c>
      <c r="G337" s="4" t="str">
        <f ca="1">VLOOKUP($C337&amp;"_"&amp;$F337,OFFSET([1]stages!$A$1,0,0,COUNTA([1]stages!$A:$A),MATCH(G$1,[1]stages!$2:$2,0)-MATCH("temp_stage",[1]stages!$2:$2,0)+1),MATCH(G$1,[1]stages!$2:$2,0)-MATCH("temp_stage",[1]stages!$2:$2,0)+1,FALSE)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37" s="4" t="str">
        <f ca="1">VLOOKUP($C337&amp;"_"&amp;$F337,OFFSET([1]stages!$A$1,0,0,COUNTA([1]stages!$A:$A),MATCH(H$1,[1]stages!$2:$2,0)-MATCH("temp_stage",[1]stages!$2:$2,0)+1),MATCH(H$1,[1]stages!$2:$2,0)-MATCH("temp_stage",[1]stages!$2:$2,0)+1,FALSE)</f>
        <v>ドロップイベント1-1</v>
      </c>
      <c r="I337" s="19">
        <v>0</v>
      </c>
      <c r="J337" s="6">
        <f>COUNTIF(C$1:C337,C337)</f>
        <v>11</v>
      </c>
      <c r="K337">
        <v>12</v>
      </c>
      <c r="L337" s="6" t="s">
        <v>17</v>
      </c>
      <c r="M337" s="36" t="str">
        <f>VLOOKUP(K337,[2]stage_hints!$A:$C,3,FALSE)</f>
        <v>ユニットのお気に入り登録</v>
      </c>
      <c r="N337" s="37" t="str">
        <f>VLOOKUP(K337,[2]stage_hints!$A:$D,4,FALSE)</f>
        <v>大事なユニットを誤って消さないように_x000D_フォルダから「お気に入り登録」しましょう</v>
      </c>
      <c r="O337" s="22" t="s">
        <v>117</v>
      </c>
      <c r="P337">
        <v>12</v>
      </c>
    </row>
    <row r="338" spans="1:16" x14ac:dyDescent="0.15">
      <c r="A338" s="29" t="str">
        <f t="shared" si="50"/>
        <v>20001_1_12</v>
      </c>
      <c r="B338" s="27" t="s">
        <v>33</v>
      </c>
      <c r="C338" s="5">
        <v>20001</v>
      </c>
      <c r="D338" s="4" t="str">
        <f ca="1">VLOOKUP($C338,OFFSET([1]quests!$A$1,0,0,COUNTA([1]quests!$A:$A),MATCH(D$1,[1]quests!$1:$1,0)-MATCH($C$1,[1]quests!$1:$1,0)+1),MATCH(D$1,[1]quests!$1:$1,0)-MATCH($C$1,[1]quests!$1:$1,0)+1,FALSE)</f>
        <v>紅き執行者</v>
      </c>
      <c r="E338" s="4" t="str">
        <f ca="1">VLOOKUP($C338,OFFSET([1]quests!$A$1,0,0,COUNTA([1]quests!$A:$A),MATCH(E$1,[1]quests!$1:$1,0)-MATCH($C$1,[1]quests!$1:$1,0)+1),MATCH(E$1,[1]quests!$1:$1,0)-MATCH($C$1,[1]quests!$1:$1,0)+1,FALSE)</f>
        <v>ドロップイベント1-1</v>
      </c>
      <c r="F338" s="6">
        <v>1</v>
      </c>
      <c r="G338" s="4" t="str">
        <f ca="1">VLOOKUP($C338&amp;"_"&amp;$F338,OFFSET([1]stages!$A$1,0,0,COUNTA([1]stages!$A:$A),MATCH(G$1,[1]stages!$2:$2,0)-MATCH("temp_stage",[1]stages!$2:$2,0)+1),MATCH(G$1,[1]stages!$2:$2,0)-MATCH("temp_stage",[1]stages!$2:$2,0)+1,FALSE)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38" s="4" t="str">
        <f ca="1">VLOOKUP($C338&amp;"_"&amp;$F338,OFFSET([1]stages!$A$1,0,0,COUNTA([1]stages!$A:$A),MATCH(H$1,[1]stages!$2:$2,0)-MATCH("temp_stage",[1]stages!$2:$2,0)+1),MATCH(H$1,[1]stages!$2:$2,0)-MATCH("temp_stage",[1]stages!$2:$2,0)+1,FALSE)</f>
        <v>ドロップイベント1-1</v>
      </c>
      <c r="I338" s="19">
        <v>0</v>
      </c>
      <c r="J338" s="6">
        <f>COUNTIF(C$1:C338,C338)</f>
        <v>12</v>
      </c>
      <c r="K338">
        <v>13</v>
      </c>
      <c r="L338" s="6" t="s">
        <v>17</v>
      </c>
      <c r="M338" s="36" t="str">
        <f>VLOOKUP(K338,[2]stage_hints!$A:$C,3,FALSE)</f>
        <v>ユニットの覚醒</v>
      </c>
      <c r="N338" s="37" t="str">
        <f>VLOOKUP(K338,[2]stage_hints!$A:$D,4,FALSE)</f>
        <v>ユニットを覚醒させると_x000D_比べものにならない強さが手に入ります</v>
      </c>
      <c r="O338" s="22" t="s">
        <v>117</v>
      </c>
      <c r="P338">
        <v>13</v>
      </c>
    </row>
    <row r="339" spans="1:16" x14ac:dyDescent="0.15">
      <c r="A339" s="29" t="str">
        <f t="shared" si="50"/>
        <v>20001_1_13</v>
      </c>
      <c r="B339" s="27" t="s">
        <v>33</v>
      </c>
      <c r="C339" s="5">
        <v>20001</v>
      </c>
      <c r="D339" s="4" t="str">
        <f ca="1">VLOOKUP($C339,OFFSET([1]quests!$A$1,0,0,COUNTA([1]quests!$A:$A),MATCH(D$1,[1]quests!$1:$1,0)-MATCH($C$1,[1]quests!$1:$1,0)+1),MATCH(D$1,[1]quests!$1:$1,0)-MATCH($C$1,[1]quests!$1:$1,0)+1,FALSE)</f>
        <v>紅き執行者</v>
      </c>
      <c r="E339" s="4" t="str">
        <f ca="1">VLOOKUP($C339,OFFSET([1]quests!$A$1,0,0,COUNTA([1]quests!$A:$A),MATCH(E$1,[1]quests!$1:$1,0)-MATCH($C$1,[1]quests!$1:$1,0)+1),MATCH(E$1,[1]quests!$1:$1,0)-MATCH($C$1,[1]quests!$1:$1,0)+1,FALSE)</f>
        <v>ドロップイベント1-1</v>
      </c>
      <c r="F339" s="6">
        <v>1</v>
      </c>
      <c r="G339" s="4" t="str">
        <f ca="1">VLOOKUP($C339&amp;"_"&amp;$F339,OFFSET([1]stages!$A$1,0,0,COUNTA([1]stages!$A:$A),MATCH(G$1,[1]stages!$2:$2,0)-MATCH("temp_stage",[1]stages!$2:$2,0)+1),MATCH(G$1,[1]stages!$2:$2,0)-MATCH("temp_stage",[1]stages!$2:$2,0)+1,FALSE)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39" s="4" t="str">
        <f ca="1">VLOOKUP($C339&amp;"_"&amp;$F339,OFFSET([1]stages!$A$1,0,0,COUNTA([1]stages!$A:$A),MATCH(H$1,[1]stages!$2:$2,0)-MATCH("temp_stage",[1]stages!$2:$2,0)+1),MATCH(H$1,[1]stages!$2:$2,0)-MATCH("temp_stage",[1]stages!$2:$2,0)+1,FALSE)</f>
        <v>ドロップイベント1-1</v>
      </c>
      <c r="I339" s="19">
        <v>0</v>
      </c>
      <c r="J339" s="6">
        <f>COUNTIF(C$1:C339,C339)</f>
        <v>13</v>
      </c>
      <c r="K339">
        <v>14</v>
      </c>
      <c r="L339" s="6" t="s">
        <v>17</v>
      </c>
      <c r="M339" s="36" t="str">
        <f>VLOOKUP(K339,[2]stage_hints!$A:$C,3,FALSE)</f>
        <v>覚醒するにはレベルを最大に</v>
      </c>
      <c r="N339" s="37" t="str">
        <f>VLOOKUP(K339,[2]stage_hints!$A:$D,4,FALSE)</f>
        <v>覚醒するにはユニットのレベルを_x000D_最大まで上げる必要があります</v>
      </c>
      <c r="O339" s="22" t="s">
        <v>117</v>
      </c>
      <c r="P339">
        <v>14</v>
      </c>
    </row>
    <row r="340" spans="1:16" x14ac:dyDescent="0.15">
      <c r="A340" s="29" t="str">
        <f t="shared" si="50"/>
        <v>20001_1_14</v>
      </c>
      <c r="B340" s="27" t="s">
        <v>33</v>
      </c>
      <c r="C340" s="5">
        <v>20001</v>
      </c>
      <c r="D340" s="4" t="str">
        <f ca="1">VLOOKUP($C340,OFFSET([1]quests!$A$1,0,0,COUNTA([1]quests!$A:$A),MATCH(D$1,[1]quests!$1:$1,0)-MATCH($C$1,[1]quests!$1:$1,0)+1),MATCH(D$1,[1]quests!$1:$1,0)-MATCH($C$1,[1]quests!$1:$1,0)+1,FALSE)</f>
        <v>紅き執行者</v>
      </c>
      <c r="E340" s="4" t="str">
        <f ca="1">VLOOKUP($C340,OFFSET([1]quests!$A$1,0,0,COUNTA([1]quests!$A:$A),MATCH(E$1,[1]quests!$1:$1,0)-MATCH($C$1,[1]quests!$1:$1,0)+1),MATCH(E$1,[1]quests!$1:$1,0)-MATCH($C$1,[1]quests!$1:$1,0)+1,FALSE)</f>
        <v>ドロップイベント1-1</v>
      </c>
      <c r="F340" s="6">
        <v>1</v>
      </c>
      <c r="G340" s="4" t="str">
        <f ca="1">VLOOKUP($C340&amp;"_"&amp;$F340,OFFSET([1]stages!$A$1,0,0,COUNTA([1]stages!$A:$A),MATCH(G$1,[1]stages!$2:$2,0)-MATCH("temp_stage",[1]stages!$2:$2,0)+1),MATCH(G$1,[1]stages!$2:$2,0)-MATCH("temp_stage",[1]stages!$2:$2,0)+1,FALSE)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40" s="4" t="str">
        <f ca="1">VLOOKUP($C340&amp;"_"&amp;$F340,OFFSET([1]stages!$A$1,0,0,COUNTA([1]stages!$A:$A),MATCH(H$1,[1]stages!$2:$2,0)-MATCH("temp_stage",[1]stages!$2:$2,0)+1),MATCH(H$1,[1]stages!$2:$2,0)-MATCH("temp_stage",[1]stages!$2:$2,0)+1,FALSE)</f>
        <v>ドロップイベント1-1</v>
      </c>
      <c r="I340" s="19">
        <v>0</v>
      </c>
      <c r="J340" s="6">
        <f>COUNTIF(C$1:C340,C340)</f>
        <v>14</v>
      </c>
      <c r="K340">
        <v>15</v>
      </c>
      <c r="L340" s="6" t="s">
        <v>17</v>
      </c>
      <c r="M340" s="36" t="str">
        <f>VLOOKUP(K340,[2]stage_hints!$A:$C,3,FALSE)</f>
        <v>覚醒素材を獲得</v>
      </c>
      <c r="N340" s="37" t="str">
        <f>VLOOKUP(K340,[2]stage_hints!$A:$D,4,FALSE)</f>
        <v>「曜日クエスト」では_x000D_ユニットの覚醒に必要な素材が手に入ります</v>
      </c>
      <c r="O340" s="22" t="s">
        <v>117</v>
      </c>
      <c r="P340">
        <v>15</v>
      </c>
    </row>
    <row r="341" spans="1:16" x14ac:dyDescent="0.15">
      <c r="A341" s="29" t="str">
        <f t="shared" ref="A341:A347" si="51">C341&amp;"_"&amp;F341&amp;"_"&amp;J341</f>
        <v>20001_1_15</v>
      </c>
      <c r="B341" s="27" t="s">
        <v>33</v>
      </c>
      <c r="C341" s="5">
        <v>20001</v>
      </c>
      <c r="D341" s="4" t="str">
        <f ca="1">VLOOKUP($C341,OFFSET([1]quests!$A$1,0,0,COUNTA([1]quests!$A:$A),MATCH(D$1,[1]quests!$1:$1,0)-MATCH($C$1,[1]quests!$1:$1,0)+1),MATCH(D$1,[1]quests!$1:$1,0)-MATCH($C$1,[1]quests!$1:$1,0)+1,FALSE)</f>
        <v>紅き執行者</v>
      </c>
      <c r="E341" s="4" t="str">
        <f ca="1">VLOOKUP($C341,OFFSET([1]quests!$A$1,0,0,COUNTA([1]quests!$A:$A),MATCH(E$1,[1]quests!$1:$1,0)-MATCH($C$1,[1]quests!$1:$1,0)+1),MATCH(E$1,[1]quests!$1:$1,0)-MATCH($C$1,[1]quests!$1:$1,0)+1,FALSE)</f>
        <v>ドロップイベント1-1</v>
      </c>
      <c r="F341" s="6">
        <v>1</v>
      </c>
      <c r="G341" s="4" t="str">
        <f ca="1">VLOOKUP($C341&amp;"_"&amp;$F341,OFFSET([1]stages!$A$1,0,0,COUNTA([1]stages!$A:$A),MATCH(G$1,[1]stages!$2:$2,0)-MATCH("temp_stage",[1]stages!$2:$2,0)+1),MATCH(G$1,[1]stages!$2:$2,0)-MATCH("temp_stage",[1]stages!$2:$2,0)+1,FALSE)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41" s="4" t="str">
        <f ca="1">VLOOKUP($C341&amp;"_"&amp;$F341,OFFSET([1]stages!$A$1,0,0,COUNTA([1]stages!$A:$A),MATCH(H$1,[1]stages!$2:$2,0)-MATCH("temp_stage",[1]stages!$2:$2,0)+1),MATCH(H$1,[1]stages!$2:$2,0)-MATCH("temp_stage",[1]stages!$2:$2,0)+1,FALSE)</f>
        <v>ドロップイベント1-1</v>
      </c>
      <c r="I341" s="19">
        <v>0</v>
      </c>
      <c r="J341" s="6">
        <f>COUNTIF(C$1:C341,C341)</f>
        <v>15</v>
      </c>
      <c r="K341">
        <v>16</v>
      </c>
      <c r="L341" s="6" t="s">
        <v>17</v>
      </c>
      <c r="M341" s="36" t="str">
        <f>VLOOKUP(K341,[2]stage_hints!$A:$C,3,FALSE)</f>
        <v>マルチプレイのメリット（その1）</v>
      </c>
      <c r="N341" s="37" t="str">
        <f>VLOOKUP(K341,[2]stage_hints!$A:$D,4,FALSE)</f>
        <v>他のプレイヤーとマルチプレイで遊ぶと_x000D_ポリゴンがもらえます（100人まで）</v>
      </c>
      <c r="O341" s="22" t="s">
        <v>117</v>
      </c>
      <c r="P341">
        <v>16</v>
      </c>
    </row>
    <row r="342" spans="1:16" x14ac:dyDescent="0.15">
      <c r="A342" s="29" t="str">
        <f t="shared" si="51"/>
        <v>20001_1_16</v>
      </c>
      <c r="B342" s="27" t="s">
        <v>33</v>
      </c>
      <c r="C342" s="5">
        <v>20001</v>
      </c>
      <c r="D342" s="4" t="str">
        <f ca="1">VLOOKUP($C342,OFFSET([1]quests!$A$1,0,0,COUNTA([1]quests!$A:$A),MATCH(D$1,[1]quests!$1:$1,0)-MATCH($C$1,[1]quests!$1:$1,0)+1),MATCH(D$1,[1]quests!$1:$1,0)-MATCH($C$1,[1]quests!$1:$1,0)+1,FALSE)</f>
        <v>紅き執行者</v>
      </c>
      <c r="E342" s="4" t="str">
        <f ca="1">VLOOKUP($C342,OFFSET([1]quests!$A$1,0,0,COUNTA([1]quests!$A:$A),MATCH(E$1,[1]quests!$1:$1,0)-MATCH($C$1,[1]quests!$1:$1,0)+1),MATCH(E$1,[1]quests!$1:$1,0)-MATCH($C$1,[1]quests!$1:$1,0)+1,FALSE)</f>
        <v>ドロップイベント1-1</v>
      </c>
      <c r="F342" s="6">
        <v>1</v>
      </c>
      <c r="G342" s="4" t="str">
        <f ca="1">VLOOKUP($C342&amp;"_"&amp;$F342,OFFSET([1]stages!$A$1,0,0,COUNTA([1]stages!$A:$A),MATCH(G$1,[1]stages!$2:$2,0)-MATCH("temp_stage",[1]stages!$2:$2,0)+1),MATCH(G$1,[1]stages!$2:$2,0)-MATCH("temp_stage",[1]stages!$2:$2,0)+1,FALSE)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42" s="4" t="str">
        <f ca="1">VLOOKUP($C342&amp;"_"&amp;$F342,OFFSET([1]stages!$A$1,0,0,COUNTA([1]stages!$A:$A),MATCH(H$1,[1]stages!$2:$2,0)-MATCH("temp_stage",[1]stages!$2:$2,0)+1),MATCH(H$1,[1]stages!$2:$2,0)-MATCH("temp_stage",[1]stages!$2:$2,0)+1,FALSE)</f>
        <v>ドロップイベント1-1</v>
      </c>
      <c r="I342" s="19">
        <v>0</v>
      </c>
      <c r="J342" s="6">
        <f>COUNTIF(C$1:C342,C342)</f>
        <v>16</v>
      </c>
      <c r="K342">
        <v>17</v>
      </c>
      <c r="L342" s="6" t="s">
        <v>17</v>
      </c>
      <c r="M342" s="36" t="str">
        <f>VLOOKUP(K342,[2]stage_hints!$A:$C,3,FALSE)</f>
        <v>リンクガチャ</v>
      </c>
      <c r="N342" s="37" t="str">
        <f>VLOOKUP(K342,[2]stage_hints!$A:$D,4,FALSE)</f>
        <v>無料のリンクガチャを回して_x000D_経験値素材や売却素材を獲得しましょう</v>
      </c>
      <c r="O342" s="22" t="s">
        <v>117</v>
      </c>
      <c r="P342">
        <v>17</v>
      </c>
    </row>
    <row r="343" spans="1:16" x14ac:dyDescent="0.15">
      <c r="A343" s="29" t="str">
        <f t="shared" si="51"/>
        <v>20001_1_17</v>
      </c>
      <c r="B343" s="27" t="s">
        <v>33</v>
      </c>
      <c r="C343" s="5">
        <v>20001</v>
      </c>
      <c r="D343" s="4" t="str">
        <f ca="1">VLOOKUP($C343,OFFSET([1]quests!$A$1,0,0,COUNTA([1]quests!$A:$A),MATCH(D$1,[1]quests!$1:$1,0)-MATCH($C$1,[1]quests!$1:$1,0)+1),MATCH(D$1,[1]quests!$1:$1,0)-MATCH($C$1,[1]quests!$1:$1,0)+1,FALSE)</f>
        <v>紅き執行者</v>
      </c>
      <c r="E343" s="4" t="str">
        <f ca="1">VLOOKUP($C343,OFFSET([1]quests!$A$1,0,0,COUNTA([1]quests!$A:$A),MATCH(E$1,[1]quests!$1:$1,0)-MATCH($C$1,[1]quests!$1:$1,0)+1),MATCH(E$1,[1]quests!$1:$1,0)-MATCH($C$1,[1]quests!$1:$1,0)+1,FALSE)</f>
        <v>ドロップイベント1-1</v>
      </c>
      <c r="F343" s="6">
        <v>1</v>
      </c>
      <c r="G343" s="4" t="str">
        <f ca="1">VLOOKUP($C343&amp;"_"&amp;$F343,OFFSET([1]stages!$A$1,0,0,COUNTA([1]stages!$A:$A),MATCH(G$1,[1]stages!$2:$2,0)-MATCH("temp_stage",[1]stages!$2:$2,0)+1),MATCH(G$1,[1]stages!$2:$2,0)-MATCH("temp_stage",[1]stages!$2:$2,0)+1,FALSE)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43" s="4" t="str">
        <f ca="1">VLOOKUP($C343&amp;"_"&amp;$F343,OFFSET([1]stages!$A$1,0,0,COUNTA([1]stages!$A:$A),MATCH(H$1,[1]stages!$2:$2,0)-MATCH("temp_stage",[1]stages!$2:$2,0)+1),MATCH(H$1,[1]stages!$2:$2,0)-MATCH("temp_stage",[1]stages!$2:$2,0)+1,FALSE)</f>
        <v>ドロップイベント1-1</v>
      </c>
      <c r="I343" s="19">
        <v>0</v>
      </c>
      <c r="J343" s="6">
        <f>COUNTIF(C$1:C343,C343)</f>
        <v>17</v>
      </c>
      <c r="K343">
        <v>18</v>
      </c>
      <c r="L343" s="6" t="s">
        <v>17</v>
      </c>
      <c r="M343" s="36" t="str">
        <f>VLOOKUP(K343,[2]stage_hints!$A:$C,3,FALSE)</f>
        <v>マルチプレイのメリット（その2）</v>
      </c>
      <c r="N343" s="37" t="str">
        <f>VLOOKUP(K343,[2]stage_hints!$A:$D,4,FALSE)</f>
        <v>マルチプレイならリンクが2倍もらえます_x000D_リンクガチャをたくさん回しましょう</v>
      </c>
      <c r="O343" s="22" t="s">
        <v>117</v>
      </c>
      <c r="P343">
        <v>18</v>
      </c>
    </row>
    <row r="344" spans="1:16" x14ac:dyDescent="0.15">
      <c r="A344" s="29" t="str">
        <f t="shared" si="51"/>
        <v>20001_1_18</v>
      </c>
      <c r="B344" s="27" t="s">
        <v>33</v>
      </c>
      <c r="C344" s="5">
        <v>20001</v>
      </c>
      <c r="D344" s="4" t="str">
        <f ca="1">VLOOKUP($C344,OFFSET([1]quests!$A$1,0,0,COUNTA([1]quests!$A:$A),MATCH(D$1,[1]quests!$1:$1,0)-MATCH($C$1,[1]quests!$1:$1,0)+1),MATCH(D$1,[1]quests!$1:$1,0)-MATCH($C$1,[1]quests!$1:$1,0)+1,FALSE)</f>
        <v>紅き執行者</v>
      </c>
      <c r="E344" s="4" t="str">
        <f ca="1">VLOOKUP($C344,OFFSET([1]quests!$A$1,0,0,COUNTA([1]quests!$A:$A),MATCH(E$1,[1]quests!$1:$1,0)-MATCH($C$1,[1]quests!$1:$1,0)+1),MATCH(E$1,[1]quests!$1:$1,0)-MATCH($C$1,[1]quests!$1:$1,0)+1,FALSE)</f>
        <v>ドロップイベント1-1</v>
      </c>
      <c r="F344" s="6">
        <v>1</v>
      </c>
      <c r="G344" s="4" t="str">
        <f ca="1">VLOOKUP($C344&amp;"_"&amp;$F344,OFFSET([1]stages!$A$1,0,0,COUNTA([1]stages!$A:$A),MATCH(G$1,[1]stages!$2:$2,0)-MATCH("temp_stage",[1]stages!$2:$2,0)+1),MATCH(G$1,[1]stages!$2:$2,0)-MATCH("temp_stage",[1]stages!$2:$2,0)+1,FALSE)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44" s="4" t="str">
        <f ca="1">VLOOKUP($C344&amp;"_"&amp;$F344,OFFSET([1]stages!$A$1,0,0,COUNTA([1]stages!$A:$A),MATCH(H$1,[1]stages!$2:$2,0)-MATCH("temp_stage",[1]stages!$2:$2,0)+1),MATCH(H$1,[1]stages!$2:$2,0)-MATCH("temp_stage",[1]stages!$2:$2,0)+1,FALSE)</f>
        <v>ドロップイベント1-1</v>
      </c>
      <c r="I344" s="19">
        <v>0</v>
      </c>
      <c r="J344" s="6">
        <f>COUNTIF(C$1:C344,C344)</f>
        <v>18</v>
      </c>
      <c r="K344">
        <v>19</v>
      </c>
      <c r="L344" s="6" t="s">
        <v>17</v>
      </c>
      <c r="M344" s="36" t="str">
        <f>VLOOKUP(K344,[2]stage_hints!$A:$C,3,FALSE)</f>
        <v>ソロ専用チャレンジタワー</v>
      </c>
      <c r="N344" s="37" t="str">
        <f>VLOOKUP(K344,[2]stage_hints!$A:$D,4,FALSE)</f>
        <v>ソロ専用の「チャレンジタワー」では_x000D_各フロアごとにクリア報酬がもらえます</v>
      </c>
      <c r="O344" s="22" t="s">
        <v>117</v>
      </c>
      <c r="P344">
        <v>19</v>
      </c>
    </row>
    <row r="345" spans="1:16" x14ac:dyDescent="0.15">
      <c r="A345" s="29" t="str">
        <f t="shared" si="51"/>
        <v>20001_1_19</v>
      </c>
      <c r="B345" s="27" t="s">
        <v>33</v>
      </c>
      <c r="C345" s="5">
        <v>20001</v>
      </c>
      <c r="D345" s="4" t="str">
        <f ca="1">VLOOKUP($C345,OFFSET([1]quests!$A$1,0,0,COUNTA([1]quests!$A:$A),MATCH(D$1,[1]quests!$1:$1,0)-MATCH($C$1,[1]quests!$1:$1,0)+1),MATCH(D$1,[1]quests!$1:$1,0)-MATCH($C$1,[1]quests!$1:$1,0)+1,FALSE)</f>
        <v>紅き執行者</v>
      </c>
      <c r="E345" s="4" t="str">
        <f ca="1">VLOOKUP($C345,OFFSET([1]quests!$A$1,0,0,COUNTA([1]quests!$A:$A),MATCH(E$1,[1]quests!$1:$1,0)-MATCH($C$1,[1]quests!$1:$1,0)+1),MATCH(E$1,[1]quests!$1:$1,0)-MATCH($C$1,[1]quests!$1:$1,0)+1,FALSE)</f>
        <v>ドロップイベント1-1</v>
      </c>
      <c r="F345" s="6">
        <v>1</v>
      </c>
      <c r="G345" s="4" t="str">
        <f ca="1">VLOOKUP($C345&amp;"_"&amp;$F345,OFFSET([1]stages!$A$1,0,0,COUNTA([1]stages!$A:$A),MATCH(G$1,[1]stages!$2:$2,0)-MATCH("temp_stage",[1]stages!$2:$2,0)+1),MATCH(G$1,[1]stages!$2:$2,0)-MATCH("temp_stage",[1]stages!$2:$2,0)+1,FALSE)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45" s="4" t="str">
        <f ca="1">VLOOKUP($C345&amp;"_"&amp;$F345,OFFSET([1]stages!$A$1,0,0,COUNTA([1]stages!$A:$A),MATCH(H$1,[1]stages!$2:$2,0)-MATCH("temp_stage",[1]stages!$2:$2,0)+1),MATCH(H$1,[1]stages!$2:$2,0)-MATCH("temp_stage",[1]stages!$2:$2,0)+1,FALSE)</f>
        <v>ドロップイベント1-1</v>
      </c>
      <c r="I345" s="19">
        <v>0</v>
      </c>
      <c r="J345" s="6">
        <f>COUNTIF(C$1:C345,C345)</f>
        <v>19</v>
      </c>
      <c r="K345">
        <v>20</v>
      </c>
      <c r="L345" s="6" t="s">
        <v>17</v>
      </c>
      <c r="M345" s="36" t="str">
        <f>VLOOKUP(K345,[2]stage_hints!$A:$C,3,FALSE)</f>
        <v>マルチプレイのメリット（その3）</v>
      </c>
      <c r="N345" s="37" t="str">
        <f>VLOOKUP(K345,[2]stage_hints!$A:$D,4,FALSE)</f>
        <v>マルチプレイへの参加はエナジー消費ゼロ_x000D_いつでも好きなだけ遊ぶことができます</v>
      </c>
      <c r="O345" s="22" t="s">
        <v>117</v>
      </c>
      <c r="P345">
        <v>20</v>
      </c>
    </row>
    <row r="346" spans="1:16" x14ac:dyDescent="0.15">
      <c r="A346" s="29" t="str">
        <f t="shared" si="51"/>
        <v>20001_1_20</v>
      </c>
      <c r="B346" s="27" t="s">
        <v>33</v>
      </c>
      <c r="C346" s="5">
        <v>20001</v>
      </c>
      <c r="D346" s="4" t="str">
        <f ca="1">VLOOKUP($C346,OFFSET([1]quests!$A$1,0,0,COUNTA([1]quests!$A:$A),MATCH(D$1,[1]quests!$1:$1,0)-MATCH($C$1,[1]quests!$1:$1,0)+1),MATCH(D$1,[1]quests!$1:$1,0)-MATCH($C$1,[1]quests!$1:$1,0)+1,FALSE)</f>
        <v>紅き執行者</v>
      </c>
      <c r="E346" s="4" t="str">
        <f ca="1">VLOOKUP($C346,OFFSET([1]quests!$A$1,0,0,COUNTA([1]quests!$A:$A),MATCH(E$1,[1]quests!$1:$1,0)-MATCH($C$1,[1]quests!$1:$1,0)+1),MATCH(E$1,[1]quests!$1:$1,0)-MATCH($C$1,[1]quests!$1:$1,0)+1,FALSE)</f>
        <v>ドロップイベント1-1</v>
      </c>
      <c r="F346" s="6">
        <v>1</v>
      </c>
      <c r="G346" s="4" t="str">
        <f ca="1">VLOOKUP($C346&amp;"_"&amp;$F346,OFFSET([1]stages!$A$1,0,0,COUNTA([1]stages!$A:$A),MATCH(G$1,[1]stages!$2:$2,0)-MATCH("temp_stage",[1]stages!$2:$2,0)+1),MATCH(G$1,[1]stages!$2:$2,0)-MATCH("temp_stage",[1]stages!$2:$2,0)+1,FALSE)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46" s="4" t="str">
        <f ca="1">VLOOKUP($C346&amp;"_"&amp;$F346,OFFSET([1]stages!$A$1,0,0,COUNTA([1]stages!$A:$A),MATCH(H$1,[1]stages!$2:$2,0)-MATCH("temp_stage",[1]stages!$2:$2,0)+1),MATCH(H$1,[1]stages!$2:$2,0)-MATCH("temp_stage",[1]stages!$2:$2,0)+1,FALSE)</f>
        <v>ドロップイベント1-1</v>
      </c>
      <c r="I346" s="19">
        <v>0</v>
      </c>
      <c r="J346" s="6">
        <f>COUNTIF(C$1:C346,C346)</f>
        <v>20</v>
      </c>
      <c r="K346">
        <v>21</v>
      </c>
      <c r="L346" s="6" t="s">
        <v>17</v>
      </c>
      <c r="M346" s="36" t="str">
        <f>VLOOKUP(K346,[2]stage_hints!$A:$C,3,FALSE)</f>
        <v>スキルを有効に</v>
      </c>
      <c r="N346" s="37" t="str">
        <f>VLOOKUP(K346,[2]stage_hints!$A:$D,4,FALSE)</f>
        <v>ターン経過でユニットのスキルが使えます_x000D_強力スキルでバトルを有利に進めましょう</v>
      </c>
      <c r="O346" s="22" t="s">
        <v>117</v>
      </c>
      <c r="P346">
        <v>21</v>
      </c>
    </row>
    <row r="347" spans="1:16" x14ac:dyDescent="0.15">
      <c r="A347" s="29" t="str">
        <f t="shared" si="51"/>
        <v>20001_1_21</v>
      </c>
      <c r="B347" s="27" t="s">
        <v>33</v>
      </c>
      <c r="C347" s="5">
        <v>20001</v>
      </c>
      <c r="D347" s="4" t="str">
        <f ca="1">VLOOKUP($C347,OFFSET([1]quests!$A$1,0,0,COUNTA([1]quests!$A:$A),MATCH(D$1,[1]quests!$1:$1,0)-MATCH($C$1,[1]quests!$1:$1,0)+1),MATCH(D$1,[1]quests!$1:$1,0)-MATCH($C$1,[1]quests!$1:$1,0)+1,FALSE)</f>
        <v>紅き執行者</v>
      </c>
      <c r="E347" s="4" t="str">
        <f ca="1">VLOOKUP($C347,OFFSET([1]quests!$A$1,0,0,COUNTA([1]quests!$A:$A),MATCH(E$1,[1]quests!$1:$1,0)-MATCH($C$1,[1]quests!$1:$1,0)+1),MATCH(E$1,[1]quests!$1:$1,0)-MATCH($C$1,[1]quests!$1:$1,0)+1,FALSE)</f>
        <v>ドロップイベント1-1</v>
      </c>
      <c r="F347" s="6">
        <v>1</v>
      </c>
      <c r="G347" s="4" t="str">
        <f ca="1">VLOOKUP($C347&amp;"_"&amp;$F347,OFFSET([1]stages!$A$1,0,0,COUNTA([1]stages!$A:$A),MATCH(G$1,[1]stages!$2:$2,0)-MATCH("temp_stage",[1]stages!$2:$2,0)+1),MATCH(G$1,[1]stages!$2:$2,0)-MATCH("temp_stage",[1]stages!$2:$2,0)+1,FALSE)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47" s="4" t="str">
        <f ca="1">VLOOKUP($C347&amp;"_"&amp;$F347,OFFSET([1]stages!$A$1,0,0,COUNTA([1]stages!$A:$A),MATCH(H$1,[1]stages!$2:$2,0)-MATCH("temp_stage",[1]stages!$2:$2,0)+1),MATCH(H$1,[1]stages!$2:$2,0)-MATCH("temp_stage",[1]stages!$2:$2,0)+1,FALSE)</f>
        <v>ドロップイベント1-1</v>
      </c>
      <c r="I347" s="19">
        <v>0</v>
      </c>
      <c r="J347" s="6">
        <f>COUNTIF(C$1:C347,C347)</f>
        <v>21</v>
      </c>
      <c r="K347">
        <v>22</v>
      </c>
      <c r="L347" s="6" t="s">
        <v>17</v>
      </c>
      <c r="M347" s="36" t="str">
        <f>VLOOKUP(K347,[2]stage_hints!$A:$C,3,FALSE)</f>
        <v>フィーバーで一発逆転（その1）</v>
      </c>
      <c r="N347" s="37" t="str">
        <f>VLOOKUP(K347,[2]stage_hints!$A:$D,4,FALSE)</f>
        <v>フィーバーは攻撃と回復を兼ね備えます_x000D_ピンチからの一発逆転を狙いましょう</v>
      </c>
      <c r="O347" s="22" t="s">
        <v>117</v>
      </c>
      <c r="P347">
        <v>22</v>
      </c>
    </row>
    <row r="348" spans="1:16" x14ac:dyDescent="0.15">
      <c r="A348" s="29" t="str">
        <f t="shared" ref="A348:A349" si="52">C348&amp;"_"&amp;F348&amp;"_"&amp;J348</f>
        <v>20001_1_22</v>
      </c>
      <c r="B348" s="27" t="s">
        <v>33</v>
      </c>
      <c r="C348" s="5">
        <v>20001</v>
      </c>
      <c r="D348" s="4" t="str">
        <f ca="1">VLOOKUP($C348,OFFSET([1]quests!$A$1,0,0,COUNTA([1]quests!$A:$A),MATCH(D$1,[1]quests!$1:$1,0)-MATCH($C$1,[1]quests!$1:$1,0)+1),MATCH(D$1,[1]quests!$1:$1,0)-MATCH($C$1,[1]quests!$1:$1,0)+1,FALSE)</f>
        <v>紅き執行者</v>
      </c>
      <c r="E348" s="4" t="str">
        <f ca="1">VLOOKUP($C348,OFFSET([1]quests!$A$1,0,0,COUNTA([1]quests!$A:$A),MATCH(E$1,[1]quests!$1:$1,0)-MATCH($C$1,[1]quests!$1:$1,0)+1),MATCH(E$1,[1]quests!$1:$1,0)-MATCH($C$1,[1]quests!$1:$1,0)+1,FALSE)</f>
        <v>ドロップイベント1-1</v>
      </c>
      <c r="F348" s="6">
        <v>1</v>
      </c>
      <c r="G348" s="4" t="str">
        <f ca="1">VLOOKUP($C348&amp;"_"&amp;$F348,OFFSET([1]stages!$A$1,0,0,COUNTA([1]stages!$A:$A),MATCH(G$1,[1]stages!$2:$2,0)-MATCH("temp_stage",[1]stages!$2:$2,0)+1),MATCH(G$1,[1]stages!$2:$2,0)-MATCH("temp_stage",[1]stages!$2:$2,0)+1,FALSE)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48" s="4" t="str">
        <f ca="1">VLOOKUP($C348&amp;"_"&amp;$F348,OFFSET([1]stages!$A$1,0,0,COUNTA([1]stages!$A:$A),MATCH(H$1,[1]stages!$2:$2,0)-MATCH("temp_stage",[1]stages!$2:$2,0)+1),MATCH(H$1,[1]stages!$2:$2,0)-MATCH("temp_stage",[1]stages!$2:$2,0)+1,FALSE)</f>
        <v>ドロップイベント1-1</v>
      </c>
      <c r="I348" s="19">
        <v>0</v>
      </c>
      <c r="J348" s="6">
        <f>COUNTIF(C$1:C348,C348)</f>
        <v>22</v>
      </c>
      <c r="K348">
        <v>23</v>
      </c>
      <c r="L348" s="6" t="s">
        <v>17</v>
      </c>
      <c r="M348" s="36" t="str">
        <f>VLOOKUP(K348,[2]stage_hints!$A:$C,3,FALSE)</f>
        <v>フィーバーで一発逆転（その2）</v>
      </c>
      <c r="N348" s="37" t="str">
        <f>VLOOKUP(K348,[2]stage_hints!$A:$D,4,FALSE)</f>
        <v>フィーバー中は虹色のボムパネルを狙って_x000D_画面上のパネルを一気に破壊しましょう</v>
      </c>
      <c r="O348" s="22" t="s">
        <v>117</v>
      </c>
      <c r="P348">
        <v>23</v>
      </c>
    </row>
    <row r="349" spans="1:16" x14ac:dyDescent="0.15">
      <c r="A349" s="29" t="str">
        <f t="shared" si="52"/>
        <v>20001_1_23</v>
      </c>
      <c r="B349" s="27" t="s">
        <v>33</v>
      </c>
      <c r="C349" s="5">
        <v>20001</v>
      </c>
      <c r="D349" s="4" t="str">
        <f ca="1">VLOOKUP($C349,OFFSET([1]quests!$A$1,0,0,COUNTA([1]quests!$A:$A),MATCH(D$1,[1]quests!$1:$1,0)-MATCH($C$1,[1]quests!$1:$1,0)+1),MATCH(D$1,[1]quests!$1:$1,0)-MATCH($C$1,[1]quests!$1:$1,0)+1,FALSE)</f>
        <v>紅き執行者</v>
      </c>
      <c r="E349" s="4" t="str">
        <f ca="1">VLOOKUP($C349,OFFSET([1]quests!$A$1,0,0,COUNTA([1]quests!$A:$A),MATCH(E$1,[1]quests!$1:$1,0)-MATCH($C$1,[1]quests!$1:$1,0)+1),MATCH(E$1,[1]quests!$1:$1,0)-MATCH($C$1,[1]quests!$1:$1,0)+1,FALSE)</f>
        <v>ドロップイベント1-1</v>
      </c>
      <c r="F349" s="6">
        <v>1</v>
      </c>
      <c r="G349" s="4" t="str">
        <f ca="1">VLOOKUP($C349&amp;"_"&amp;$F349,OFFSET([1]stages!$A$1,0,0,COUNTA([1]stages!$A:$A),MATCH(G$1,[1]stages!$2:$2,0)-MATCH("temp_stage",[1]stages!$2:$2,0)+1),MATCH(G$1,[1]stages!$2:$2,0)-MATCH("temp_stage",[1]stages!$2:$2,0)+1,FALSE)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49" s="4" t="str">
        <f ca="1">VLOOKUP($C349&amp;"_"&amp;$F349,OFFSET([1]stages!$A$1,0,0,COUNTA([1]stages!$A:$A),MATCH(H$1,[1]stages!$2:$2,0)-MATCH("temp_stage",[1]stages!$2:$2,0)+1),MATCH(H$1,[1]stages!$2:$2,0)-MATCH("temp_stage",[1]stages!$2:$2,0)+1,FALSE)</f>
        <v>ドロップイベント1-1</v>
      </c>
      <c r="I349" s="19">
        <v>0</v>
      </c>
      <c r="J349" s="6">
        <f>COUNTIF(C$1:C349,C349)</f>
        <v>23</v>
      </c>
      <c r="K349">
        <v>24</v>
      </c>
      <c r="L349" s="6" t="s">
        <v>17</v>
      </c>
      <c r="M349" s="36" t="str">
        <f>VLOOKUP(K349,[2]stage_hints!$A:$C,3,FALSE)</f>
        <v>りんごを使って限界突破</v>
      </c>
      <c r="N349" s="37" t="str">
        <f>VLOOKUP(K349,[2]stage_hints!$A:$D,4,FALSE)</f>
        <v>赤りんご(攻撃力) 青りんご(回復力)_x000D_緑りんご(体力)をユニット強化に使うと_x000D_ステータスが限界突破します（計99個迄）</v>
      </c>
      <c r="O349" s="22" t="s">
        <v>117</v>
      </c>
      <c r="P349">
        <v>24</v>
      </c>
    </row>
    <row r="350" spans="1:16" x14ac:dyDescent="0.15">
      <c r="A350" s="29" t="str">
        <f t="shared" ref="A350:A362" si="53">C350&amp;"_"&amp;F350&amp;"_"&amp;J350</f>
        <v>20001_1_24</v>
      </c>
      <c r="B350" s="27" t="s">
        <v>33</v>
      </c>
      <c r="C350" s="5">
        <v>20001</v>
      </c>
      <c r="D350" s="4" t="str">
        <f ca="1">VLOOKUP($C350,OFFSET([1]quests!$A$1,0,0,COUNTA([1]quests!$A:$A),MATCH(D$1,[1]quests!$1:$1,0)-MATCH($C$1,[1]quests!$1:$1,0)+1),MATCH(D$1,[1]quests!$1:$1,0)-MATCH($C$1,[1]quests!$1:$1,0)+1,FALSE)</f>
        <v>紅き執行者</v>
      </c>
      <c r="E350" s="4" t="str">
        <f ca="1">VLOOKUP($C350,OFFSET([1]quests!$A$1,0,0,COUNTA([1]quests!$A:$A),MATCH(E$1,[1]quests!$1:$1,0)-MATCH($C$1,[1]quests!$1:$1,0)+1),MATCH(E$1,[1]quests!$1:$1,0)-MATCH($C$1,[1]quests!$1:$1,0)+1,FALSE)</f>
        <v>ドロップイベント1-1</v>
      </c>
      <c r="F350" s="6">
        <v>1</v>
      </c>
      <c r="G350" s="4" t="str">
        <f ca="1">VLOOKUP($C350&amp;"_"&amp;$F350,OFFSET([1]stages!$A$1,0,0,COUNTA([1]stages!$A:$A),MATCH(G$1,[1]stages!$2:$2,0)-MATCH("temp_stage",[1]stages!$2:$2,0)+1),MATCH(G$1,[1]stages!$2:$2,0)-MATCH("temp_stage",[1]stages!$2:$2,0)+1,FALSE)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50" s="4" t="str">
        <f ca="1">VLOOKUP($C350&amp;"_"&amp;$F350,OFFSET([1]stages!$A$1,0,0,COUNTA([1]stages!$A:$A),MATCH(H$1,[1]stages!$2:$2,0)-MATCH("temp_stage",[1]stages!$2:$2,0)+1),MATCH(H$1,[1]stages!$2:$2,0)-MATCH("temp_stage",[1]stages!$2:$2,0)+1,FALSE)</f>
        <v>ドロップイベント1-1</v>
      </c>
      <c r="I350" s="19">
        <v>0</v>
      </c>
      <c r="J350" s="6">
        <f>COUNTIF(C$1:C350,C350)</f>
        <v>24</v>
      </c>
      <c r="K350">
        <v>25</v>
      </c>
      <c r="L350" s="6" t="s">
        <v>17</v>
      </c>
      <c r="M350" s="36" t="str">
        <f>VLOOKUP(K350,[2]stage_hints!$A:$C,3,FALSE)</f>
        <v>スキルレベルアップ</v>
      </c>
      <c r="N350" s="37" t="str">
        <f>VLOOKUP(K350,[2]stage_hints!$A:$D,4,FALSE)</f>
        <v>「クリスタルのりんご」を強化に使うと_x000D_スキルレベルを上げることができます</v>
      </c>
      <c r="O350" s="22" t="s">
        <v>117</v>
      </c>
      <c r="P350">
        <v>25</v>
      </c>
    </row>
    <row r="351" spans="1:16" x14ac:dyDescent="0.15">
      <c r="A351" s="29" t="str">
        <f t="shared" si="53"/>
        <v>20001_1_25</v>
      </c>
      <c r="B351" s="27" t="s">
        <v>33</v>
      </c>
      <c r="C351" s="5">
        <v>20001</v>
      </c>
      <c r="D351" s="4" t="str">
        <f ca="1">VLOOKUP($C351,OFFSET([1]quests!$A$1,0,0,COUNTA([1]quests!$A:$A),MATCH(D$1,[1]quests!$1:$1,0)-MATCH($C$1,[1]quests!$1:$1,0)+1),MATCH(D$1,[1]quests!$1:$1,0)-MATCH($C$1,[1]quests!$1:$1,0)+1,FALSE)</f>
        <v>紅き執行者</v>
      </c>
      <c r="E351" s="4" t="str">
        <f ca="1">VLOOKUP($C351,OFFSET([1]quests!$A$1,0,0,COUNTA([1]quests!$A:$A),MATCH(E$1,[1]quests!$1:$1,0)-MATCH($C$1,[1]quests!$1:$1,0)+1),MATCH(E$1,[1]quests!$1:$1,0)-MATCH($C$1,[1]quests!$1:$1,0)+1,FALSE)</f>
        <v>ドロップイベント1-1</v>
      </c>
      <c r="F351" s="6">
        <v>1</v>
      </c>
      <c r="G351" s="4" t="str">
        <f ca="1">VLOOKUP($C351&amp;"_"&amp;$F351,OFFSET([1]stages!$A$1,0,0,COUNTA([1]stages!$A:$A),MATCH(G$1,[1]stages!$2:$2,0)-MATCH("temp_stage",[1]stages!$2:$2,0)+1),MATCH(G$1,[1]stages!$2:$2,0)-MATCH("temp_stage",[1]stages!$2:$2,0)+1,FALSE)</f>
        <v xml:space="preserve">【初級】紅き執行者 </v>
      </c>
      <c r="H351" s="4" t="str">
        <f ca="1">VLOOKUP($C351&amp;"_"&amp;$F351,OFFSET([1]stages!$A$1,0,0,COUNTA([1]stages!$A:$A),MATCH(H$1,[1]stages!$2:$2,0)-MATCH("temp_stage",[1]stages!$2:$2,0)+1),MATCH(H$1,[1]stages!$2:$2,0)-MATCH("temp_stage",[1]stages!$2:$2,0)+1,FALSE)</f>
        <v>ドロップイベント1-1</v>
      </c>
      <c r="I351" s="19">
        <v>0</v>
      </c>
      <c r="J351" s="6">
        <f>COUNTIF(C$1:C351,C351)</f>
        <v>25</v>
      </c>
      <c r="K351">
        <v>26</v>
      </c>
      <c r="L351" s="6" t="s">
        <v>17</v>
      </c>
      <c r="M351" s="36" t="str">
        <f>VLOOKUP(K351,[2]stage_hints!$A:$C,3,FALSE)</f>
        <v>スキルレベルの効果</v>
      </c>
      <c r="N351" s="37" t="str">
        <f>VLOOKUP(K351,[2]stage_hints!$A:$D,4,FALSE)</f>
        <v>スキルレベルが上がると_x000D_短いターンでスキルを使うことができます</v>
      </c>
      <c r="O351" s="22" t="s">
        <v>117</v>
      </c>
      <c r="P351">
        <v>26</v>
      </c>
    </row>
    <row r="352" spans="1:16" x14ac:dyDescent="0.15">
      <c r="A352" s="29" t="str">
        <f t="shared" si="53"/>
        <v>20002_1_1</v>
      </c>
      <c r="B352" s="27" t="s">
        <v>33</v>
      </c>
      <c r="C352" s="5">
        <v>20002</v>
      </c>
      <c r="D352" s="4" t="str">
        <f ca="1">VLOOKUP($C352,OFFSET([1]quests!$A$1,0,0,COUNTA([1]quests!$A:$A),MATCH(D$1,[1]quests!$1:$1,0)-MATCH($C$1,[1]quests!$1:$1,0)+1),MATCH(D$1,[1]quests!$1:$1,0)-MATCH($C$1,[1]quests!$1:$1,0)+1,FALSE)</f>
        <v>孤高の一角獣</v>
      </c>
      <c r="E352" s="4" t="str">
        <f ca="1">VLOOKUP($C352,OFFSET([1]quests!$A$1,0,0,COUNTA([1]quests!$A:$A),MATCH(E$1,[1]quests!$1:$1,0)-MATCH($C$1,[1]quests!$1:$1,0)+1),MATCH(E$1,[1]quests!$1:$1,0)-MATCH($C$1,[1]quests!$1:$1,0)+1,FALSE)</f>
        <v>ドロップイベント1-2</v>
      </c>
      <c r="F352" s="6">
        <v>1</v>
      </c>
      <c r="G352" s="4" t="str">
        <f ca="1">VLOOKUP($C352&amp;"_"&amp;$F352,OFFSET([1]stages!$A$1,0,0,COUNTA([1]stages!$A:$A),MATCH(G$1,[1]stages!$2:$2,0)-MATCH("temp_stage",[1]stages!$2:$2,0)+1),MATCH(G$1,[1]stages!$2:$2,0)-MATCH("temp_stage",[1]stages!$2:$2,0)+1,FALSE)</f>
        <v>【初級】孤高の一角獣</v>
      </c>
      <c r="H352" s="4" t="str">
        <f ca="1">VLOOKUP($C352&amp;"_"&amp;$F352,OFFSET([1]stages!$A$1,0,0,COUNTA([1]stages!$A:$A),MATCH(H$1,[1]stages!$2:$2,0)-MATCH("temp_stage",[1]stages!$2:$2,0)+1),MATCH(H$1,[1]stages!$2:$2,0)-MATCH("temp_stage",[1]stages!$2:$2,0)+1,FALSE)</f>
        <v>ドロップイベント1-2</v>
      </c>
      <c r="I352" s="19">
        <v>0</v>
      </c>
      <c r="J352" s="6">
        <f>COUNTIF(C$1:C352,C352)</f>
        <v>1</v>
      </c>
      <c r="K352">
        <v>1</v>
      </c>
      <c r="L352" s="6" t="s">
        <v>17</v>
      </c>
      <c r="M352" s="36" t="str">
        <f>VLOOKUP(K352,[2]stage_hints!$A:$C,3,FALSE)</f>
        <v>長くつなげて大ダメージ</v>
      </c>
      <c r="N352" s="37" t="str">
        <f>VLOOKUP(K352,[2]stage_hints!$A:$D,4,FALSE)</f>
        <v>パネルを長くつなげるほど_x000D_大ダメージを与えることができます</v>
      </c>
      <c r="O352" s="22" t="s">
        <v>117</v>
      </c>
      <c r="P352">
        <v>1</v>
      </c>
    </row>
    <row r="353" spans="1:16" x14ac:dyDescent="0.15">
      <c r="A353" s="29" t="str">
        <f t="shared" si="53"/>
        <v>20002_1_2</v>
      </c>
      <c r="B353" s="27" t="s">
        <v>33</v>
      </c>
      <c r="C353" s="5">
        <v>20002</v>
      </c>
      <c r="D353" s="4" t="str">
        <f ca="1">VLOOKUP($C353,OFFSET([1]quests!$A$1,0,0,COUNTA([1]quests!$A:$A),MATCH(D$1,[1]quests!$1:$1,0)-MATCH($C$1,[1]quests!$1:$1,0)+1),MATCH(D$1,[1]quests!$1:$1,0)-MATCH($C$1,[1]quests!$1:$1,0)+1,FALSE)</f>
        <v>孤高の一角獣</v>
      </c>
      <c r="E353" s="4" t="str">
        <f ca="1">VLOOKUP($C353,OFFSET([1]quests!$A$1,0,0,COUNTA([1]quests!$A:$A),MATCH(E$1,[1]quests!$1:$1,0)-MATCH($C$1,[1]quests!$1:$1,0)+1),MATCH(E$1,[1]quests!$1:$1,0)-MATCH($C$1,[1]quests!$1:$1,0)+1,FALSE)</f>
        <v>ドロップイベント1-2</v>
      </c>
      <c r="F353" s="6">
        <v>1</v>
      </c>
      <c r="G353" s="4" t="str">
        <f ca="1">VLOOKUP($C353&amp;"_"&amp;$F353,OFFSET([1]stages!$A$1,0,0,COUNTA([1]stages!$A:$A),MATCH(G$1,[1]stages!$2:$2,0)-MATCH("temp_stage",[1]stages!$2:$2,0)+1),MATCH(G$1,[1]stages!$2:$2,0)-MATCH("temp_stage",[1]stages!$2:$2,0)+1,FALSE)</f>
        <v>【初級】孤高の一角獣</v>
      </c>
      <c r="H353" s="4" t="str">
        <f ca="1">VLOOKUP($C353&amp;"_"&amp;$F353,OFFSET([1]stages!$A$1,0,0,COUNTA([1]stages!$A:$A),MATCH(H$1,[1]stages!$2:$2,0)-MATCH("temp_stage",[1]stages!$2:$2,0)+1),MATCH(H$1,[1]stages!$2:$2,0)-MATCH("temp_stage",[1]stages!$2:$2,0)+1,FALSE)</f>
        <v>ドロップイベント1-2</v>
      </c>
      <c r="I353" s="19">
        <v>0</v>
      </c>
      <c r="J353" s="6">
        <f>COUNTIF(C$1:C353,C353)</f>
        <v>2</v>
      </c>
      <c r="K353">
        <v>2</v>
      </c>
      <c r="L353" s="6" t="s">
        <v>17</v>
      </c>
      <c r="M353" s="36" t="str">
        <f>VLOOKUP(K353,[2]stage_hints!$A:$C,3,FALSE)</f>
        <v>属性の相性</v>
      </c>
      <c r="N353" s="37" t="str">
        <f>VLOOKUP(K353,[2]stage_hints!$A:$D,4,FALSE)</f>
        <v>赤＞青　青＞黄　黄＞緑　緑＞赤_x000D_敵属性に最適なパーティがオススメです</v>
      </c>
      <c r="O353" s="22" t="s">
        <v>117</v>
      </c>
      <c r="P353">
        <v>2</v>
      </c>
    </row>
    <row r="354" spans="1:16" x14ac:dyDescent="0.15">
      <c r="A354" s="29" t="str">
        <f t="shared" si="53"/>
        <v>20002_1_3</v>
      </c>
      <c r="B354" s="27" t="s">
        <v>33</v>
      </c>
      <c r="C354" s="5">
        <v>20002</v>
      </c>
      <c r="D354" s="4" t="str">
        <f ca="1">VLOOKUP($C354,OFFSET([1]quests!$A$1,0,0,COUNTA([1]quests!$A:$A),MATCH(D$1,[1]quests!$1:$1,0)-MATCH($C$1,[1]quests!$1:$1,0)+1),MATCH(D$1,[1]quests!$1:$1,0)-MATCH($C$1,[1]quests!$1:$1,0)+1,FALSE)</f>
        <v>孤高の一角獣</v>
      </c>
      <c r="E354" s="4" t="str">
        <f ca="1">VLOOKUP($C354,OFFSET([1]quests!$A$1,0,0,COUNTA([1]quests!$A:$A),MATCH(E$1,[1]quests!$1:$1,0)-MATCH($C$1,[1]quests!$1:$1,0)+1),MATCH(E$1,[1]quests!$1:$1,0)-MATCH($C$1,[1]quests!$1:$1,0)+1,FALSE)</f>
        <v>ドロップイベント1-2</v>
      </c>
      <c r="F354" s="6">
        <v>1</v>
      </c>
      <c r="G354" s="4" t="str">
        <f ca="1">VLOOKUP($C354&amp;"_"&amp;$F354,OFFSET([1]stages!$A$1,0,0,COUNTA([1]stages!$A:$A),MATCH(G$1,[1]stages!$2:$2,0)-MATCH("temp_stage",[1]stages!$2:$2,0)+1),MATCH(G$1,[1]stages!$2:$2,0)-MATCH("temp_stage",[1]stages!$2:$2,0)+1,FALSE)</f>
        <v>【初級】孤高の一角獣</v>
      </c>
      <c r="H354" s="4" t="str">
        <f ca="1">VLOOKUP($C354&amp;"_"&amp;$F354,OFFSET([1]stages!$A$1,0,0,COUNTA([1]stages!$A:$A),MATCH(H$1,[1]stages!$2:$2,0)-MATCH("temp_stage",[1]stages!$2:$2,0)+1),MATCH(H$1,[1]stages!$2:$2,0)-MATCH("temp_stage",[1]stages!$2:$2,0)+1,FALSE)</f>
        <v>ドロップイベント1-2</v>
      </c>
      <c r="I354" s="19">
        <v>0</v>
      </c>
      <c r="J354" s="6">
        <f>COUNTIF(C$1:C354,C354)</f>
        <v>3</v>
      </c>
      <c r="K354">
        <v>3</v>
      </c>
      <c r="L354" s="6" t="s">
        <v>17</v>
      </c>
      <c r="M354" s="36" t="str">
        <f>VLOOKUP(K354,[2]stage_hints!$A:$C,3,FALSE)</f>
        <v>ターゲット</v>
      </c>
      <c r="N354" s="37" t="str">
        <f>VLOOKUP(K354,[2]stage_hints!$A:$D,4,FALSE)</f>
        <v>敵ユニットをタップすると_x000D_その敵を狙い撃ちできます</v>
      </c>
      <c r="O354" s="22" t="s">
        <v>117</v>
      </c>
      <c r="P354">
        <v>3</v>
      </c>
    </row>
    <row r="355" spans="1:16" x14ac:dyDescent="0.15">
      <c r="A355" s="29" t="str">
        <f t="shared" si="53"/>
        <v>20002_1_4</v>
      </c>
      <c r="B355" s="27" t="s">
        <v>33</v>
      </c>
      <c r="C355" s="5">
        <v>20002</v>
      </c>
      <c r="D355" s="4" t="str">
        <f ca="1">VLOOKUP($C355,OFFSET([1]quests!$A$1,0,0,COUNTA([1]quests!$A:$A),MATCH(D$1,[1]quests!$1:$1,0)-MATCH($C$1,[1]quests!$1:$1,0)+1),MATCH(D$1,[1]quests!$1:$1,0)-MATCH($C$1,[1]quests!$1:$1,0)+1,FALSE)</f>
        <v>孤高の一角獣</v>
      </c>
      <c r="E355" s="4" t="str">
        <f ca="1">VLOOKUP($C355,OFFSET([1]quests!$A$1,0,0,COUNTA([1]quests!$A:$A),MATCH(E$1,[1]quests!$1:$1,0)-MATCH($C$1,[1]quests!$1:$1,0)+1),MATCH(E$1,[1]quests!$1:$1,0)-MATCH($C$1,[1]quests!$1:$1,0)+1,FALSE)</f>
        <v>ドロップイベント1-2</v>
      </c>
      <c r="F355" s="6">
        <v>1</v>
      </c>
      <c r="G355" s="4" t="str">
        <f ca="1">VLOOKUP($C355&amp;"_"&amp;$F355,OFFSET([1]stages!$A$1,0,0,COUNTA([1]stages!$A:$A),MATCH(G$1,[1]stages!$2:$2,0)-MATCH("temp_stage",[1]stages!$2:$2,0)+1),MATCH(G$1,[1]stages!$2:$2,0)-MATCH("temp_stage",[1]stages!$2:$2,0)+1,FALSE)</f>
        <v>【初級】孤高の一角獣</v>
      </c>
      <c r="H355" s="4" t="str">
        <f ca="1">VLOOKUP($C355&amp;"_"&amp;$F355,OFFSET([1]stages!$A$1,0,0,COUNTA([1]stages!$A:$A),MATCH(H$1,[1]stages!$2:$2,0)-MATCH("temp_stage",[1]stages!$2:$2,0)+1),MATCH(H$1,[1]stages!$2:$2,0)-MATCH("temp_stage",[1]stages!$2:$2,0)+1,FALSE)</f>
        <v>ドロップイベント1-2</v>
      </c>
      <c r="I355" s="19">
        <v>0</v>
      </c>
      <c r="J355" s="6">
        <f>COUNTIF(C$1:C355,C355)</f>
        <v>4</v>
      </c>
      <c r="K355">
        <v>5</v>
      </c>
      <c r="L355" s="6" t="s">
        <v>17</v>
      </c>
      <c r="M355" s="36" t="str">
        <f>VLOOKUP(K355,[2]stage_hints!$A:$C,3,FALSE)</f>
        <v>ユニット強化でレベルアップ</v>
      </c>
      <c r="N355" s="37" t="str">
        <f>VLOOKUP(K355,[2]stage_hints!$A:$D,4,FALSE)</f>
        <v>「ユニット強化」でレベルアップすると_x000D_勝てない敵にも勝てるようになります</v>
      </c>
      <c r="O355" s="22" t="s">
        <v>117</v>
      </c>
      <c r="P355">
        <v>5</v>
      </c>
    </row>
    <row r="356" spans="1:16" x14ac:dyDescent="0.15">
      <c r="A356" s="29" t="str">
        <f t="shared" si="53"/>
        <v>20002_1_5</v>
      </c>
      <c r="B356" s="27" t="s">
        <v>33</v>
      </c>
      <c r="C356" s="5">
        <v>20002</v>
      </c>
      <c r="D356" s="4" t="str">
        <f ca="1">VLOOKUP($C356,OFFSET([1]quests!$A$1,0,0,COUNTA([1]quests!$A:$A),MATCH(D$1,[1]quests!$1:$1,0)-MATCH($C$1,[1]quests!$1:$1,0)+1),MATCH(D$1,[1]quests!$1:$1,0)-MATCH($C$1,[1]quests!$1:$1,0)+1,FALSE)</f>
        <v>孤高の一角獣</v>
      </c>
      <c r="E356" s="4" t="str">
        <f ca="1">VLOOKUP($C356,OFFSET([1]quests!$A$1,0,0,COUNTA([1]quests!$A:$A),MATCH(E$1,[1]quests!$1:$1,0)-MATCH($C$1,[1]quests!$1:$1,0)+1),MATCH(E$1,[1]quests!$1:$1,0)-MATCH($C$1,[1]quests!$1:$1,0)+1,FALSE)</f>
        <v>ドロップイベント1-2</v>
      </c>
      <c r="F356" s="6">
        <v>1</v>
      </c>
      <c r="G356" s="4" t="str">
        <f ca="1">VLOOKUP($C356&amp;"_"&amp;$F356,OFFSET([1]stages!$A$1,0,0,COUNTA([1]stages!$A:$A),MATCH(G$1,[1]stages!$2:$2,0)-MATCH("temp_stage",[1]stages!$2:$2,0)+1),MATCH(G$1,[1]stages!$2:$2,0)-MATCH("temp_stage",[1]stages!$2:$2,0)+1,FALSE)</f>
        <v>【初級】孤高の一角獣</v>
      </c>
      <c r="H356" s="4" t="str">
        <f ca="1">VLOOKUP($C356&amp;"_"&amp;$F356,OFFSET([1]stages!$A$1,0,0,COUNTA([1]stages!$A:$A),MATCH(H$1,[1]stages!$2:$2,0)-MATCH("temp_stage",[1]stages!$2:$2,0)+1),MATCH(H$1,[1]stages!$2:$2,0)-MATCH("temp_stage",[1]stages!$2:$2,0)+1,FALSE)</f>
        <v>ドロップイベント1-2</v>
      </c>
      <c r="I356" s="19">
        <v>0</v>
      </c>
      <c r="J356" s="6">
        <f>COUNTIF(C$1:C356,C356)</f>
        <v>5</v>
      </c>
      <c r="K356">
        <v>6</v>
      </c>
      <c r="L356" s="6" t="s">
        <v>17</v>
      </c>
      <c r="M356" s="36" t="str">
        <f>VLOOKUP(K356,[2]stage_hints!$A:$C,3,FALSE)</f>
        <v>ユニット強化の属性ボーナス</v>
      </c>
      <c r="N356" s="37" t="str">
        <f>VLOOKUP(K356,[2]stage_hints!$A:$D,4,FALSE)</f>
        <v>同属性ユニットを強化素材にすると_x000D_経験値が多くもらえます</v>
      </c>
      <c r="O356" s="22" t="s">
        <v>117</v>
      </c>
      <c r="P356">
        <v>6</v>
      </c>
    </row>
    <row r="357" spans="1:16" x14ac:dyDescent="0.15">
      <c r="A357" s="29" t="str">
        <f t="shared" si="53"/>
        <v>20002_1_6</v>
      </c>
      <c r="B357" s="27" t="s">
        <v>33</v>
      </c>
      <c r="C357" s="5">
        <v>20002</v>
      </c>
      <c r="D357" s="4" t="str">
        <f ca="1">VLOOKUP($C357,OFFSET([1]quests!$A$1,0,0,COUNTA([1]quests!$A:$A),MATCH(D$1,[1]quests!$1:$1,0)-MATCH($C$1,[1]quests!$1:$1,0)+1),MATCH(D$1,[1]quests!$1:$1,0)-MATCH($C$1,[1]quests!$1:$1,0)+1,FALSE)</f>
        <v>孤高の一角獣</v>
      </c>
      <c r="E357" s="4" t="str">
        <f ca="1">VLOOKUP($C357,OFFSET([1]quests!$A$1,0,0,COUNTA([1]quests!$A:$A),MATCH(E$1,[1]quests!$1:$1,0)-MATCH($C$1,[1]quests!$1:$1,0)+1),MATCH(E$1,[1]quests!$1:$1,0)-MATCH($C$1,[1]quests!$1:$1,0)+1,FALSE)</f>
        <v>ドロップイベント1-2</v>
      </c>
      <c r="F357" s="6">
        <v>1</v>
      </c>
      <c r="G357" s="4" t="str">
        <f ca="1">VLOOKUP($C357&amp;"_"&amp;$F357,OFFSET([1]stages!$A$1,0,0,COUNTA([1]stages!$A:$A),MATCH(G$1,[1]stages!$2:$2,0)-MATCH("temp_stage",[1]stages!$2:$2,0)+1),MATCH(G$1,[1]stages!$2:$2,0)-MATCH("temp_stage",[1]stages!$2:$2,0)+1,FALSE)</f>
        <v>【初級】孤高の一角獣</v>
      </c>
      <c r="H357" s="4" t="str">
        <f ca="1">VLOOKUP($C357&amp;"_"&amp;$F357,OFFSET([1]stages!$A$1,0,0,COUNTA([1]stages!$A:$A),MATCH(H$1,[1]stages!$2:$2,0)-MATCH("temp_stage",[1]stages!$2:$2,0)+1),MATCH(H$1,[1]stages!$2:$2,0)-MATCH("temp_stage",[1]stages!$2:$2,0)+1,FALSE)</f>
        <v>ドロップイベント1-2</v>
      </c>
      <c r="I357" s="19">
        <v>0</v>
      </c>
      <c r="J357" s="6">
        <f>COUNTIF(C$1:C357,C357)</f>
        <v>6</v>
      </c>
      <c r="K357">
        <v>7</v>
      </c>
      <c r="L357" s="6" t="s">
        <v>17</v>
      </c>
      <c r="M357" s="36" t="str">
        <f>VLOOKUP(K357,[2]stage_hints!$A:$C,3,FALSE)</f>
        <v>メタルダックで経験値を獲得</v>
      </c>
      <c r="N357" s="37" t="str">
        <f>VLOOKUP(K357,[2]stage_hints!$A:$D,4,FALSE)</f>
        <v>「メタルなアヒル」を強化素材にすると_x000D_大量の経験値がもらえます</v>
      </c>
      <c r="O357" s="22" t="s">
        <v>117</v>
      </c>
      <c r="P357">
        <v>7</v>
      </c>
    </row>
    <row r="358" spans="1:16" x14ac:dyDescent="0.15">
      <c r="A358" s="29" t="str">
        <f t="shared" si="53"/>
        <v>20002_1_7</v>
      </c>
      <c r="B358" s="27" t="s">
        <v>33</v>
      </c>
      <c r="C358" s="5">
        <v>20002</v>
      </c>
      <c r="D358" s="4" t="str">
        <f ca="1">VLOOKUP($C358,OFFSET([1]quests!$A$1,0,0,COUNTA([1]quests!$A:$A),MATCH(D$1,[1]quests!$1:$1,0)-MATCH($C$1,[1]quests!$1:$1,0)+1),MATCH(D$1,[1]quests!$1:$1,0)-MATCH($C$1,[1]quests!$1:$1,0)+1,FALSE)</f>
        <v>孤高の一角獣</v>
      </c>
      <c r="E358" s="4" t="str">
        <f ca="1">VLOOKUP($C358,OFFSET([1]quests!$A$1,0,0,COUNTA([1]quests!$A:$A),MATCH(E$1,[1]quests!$1:$1,0)-MATCH($C$1,[1]quests!$1:$1,0)+1),MATCH(E$1,[1]quests!$1:$1,0)-MATCH($C$1,[1]quests!$1:$1,0)+1,FALSE)</f>
        <v>ドロップイベント1-2</v>
      </c>
      <c r="F358" s="6">
        <v>1</v>
      </c>
      <c r="G358" s="4" t="str">
        <f ca="1">VLOOKUP($C358&amp;"_"&amp;$F358,OFFSET([1]stages!$A$1,0,0,COUNTA([1]stages!$A:$A),MATCH(G$1,[1]stages!$2:$2,0)-MATCH("temp_stage",[1]stages!$2:$2,0)+1),MATCH(G$1,[1]stages!$2:$2,0)-MATCH("temp_stage",[1]stages!$2:$2,0)+1,FALSE)</f>
        <v>【初級】孤高の一角獣</v>
      </c>
      <c r="H358" s="4" t="str">
        <f ca="1">VLOOKUP($C358&amp;"_"&amp;$F358,OFFSET([1]stages!$A$1,0,0,COUNTA([1]stages!$A:$A),MATCH(H$1,[1]stages!$2:$2,0)-MATCH("temp_stage",[1]stages!$2:$2,0)+1),MATCH(H$1,[1]stages!$2:$2,0)-MATCH("temp_stage",[1]stages!$2:$2,0)+1,FALSE)</f>
        <v>ドロップイベント1-2</v>
      </c>
      <c r="I358" s="19">
        <v>0</v>
      </c>
      <c r="J358" s="6">
        <f>COUNTIF(C$1:C358,C358)</f>
        <v>7</v>
      </c>
      <c r="K358">
        <v>8</v>
      </c>
      <c r="L358" s="6" t="s">
        <v>17</v>
      </c>
      <c r="M358" s="36" t="str">
        <f>VLOOKUP(K358,[2]stage_hints!$A:$C,3,FALSE)</f>
        <v>ゲリラクエストは要チェック</v>
      </c>
      <c r="N358" s="37" t="str">
        <f>VLOOKUP(K358,[2]stage_hints!$A:$D,4,FALSE)</f>
        <v>時間限定の「アヒル捕獲作戦」では_x000D_経験値素材ユニットが多く手に入ります</v>
      </c>
      <c r="O358" s="22" t="s">
        <v>117</v>
      </c>
      <c r="P358">
        <v>8</v>
      </c>
    </row>
    <row r="359" spans="1:16" x14ac:dyDescent="0.15">
      <c r="A359" s="29" t="str">
        <f t="shared" si="53"/>
        <v>20002_1_8</v>
      </c>
      <c r="B359" s="27" t="s">
        <v>33</v>
      </c>
      <c r="C359" s="5">
        <v>20002</v>
      </c>
      <c r="D359" s="4" t="str">
        <f ca="1">VLOOKUP($C359,OFFSET([1]quests!$A$1,0,0,COUNTA([1]quests!$A:$A),MATCH(D$1,[1]quests!$1:$1,0)-MATCH($C$1,[1]quests!$1:$1,0)+1),MATCH(D$1,[1]quests!$1:$1,0)-MATCH($C$1,[1]quests!$1:$1,0)+1,FALSE)</f>
        <v>孤高の一角獣</v>
      </c>
      <c r="E359" s="4" t="str">
        <f ca="1">VLOOKUP($C359,OFFSET([1]quests!$A$1,0,0,COUNTA([1]quests!$A:$A),MATCH(E$1,[1]quests!$1:$1,0)-MATCH($C$1,[1]quests!$1:$1,0)+1),MATCH(E$1,[1]quests!$1:$1,0)-MATCH($C$1,[1]quests!$1:$1,0)+1,FALSE)</f>
        <v>ドロップイベント1-2</v>
      </c>
      <c r="F359" s="6">
        <v>1</v>
      </c>
      <c r="G359" s="4" t="str">
        <f ca="1">VLOOKUP($C359&amp;"_"&amp;$F359,OFFSET([1]stages!$A$1,0,0,COUNTA([1]stages!$A:$A),MATCH(G$1,[1]stages!$2:$2,0)-MATCH("temp_stage",[1]stages!$2:$2,0)+1),MATCH(G$1,[1]stages!$2:$2,0)-MATCH("temp_stage",[1]stages!$2:$2,0)+1,FALSE)</f>
        <v>【初級】孤高の一角獣</v>
      </c>
      <c r="H359" s="4" t="str">
        <f ca="1">VLOOKUP($C359&amp;"_"&amp;$F359,OFFSET([1]stages!$A$1,0,0,COUNTA([1]stages!$A:$A),MATCH(H$1,[1]stages!$2:$2,0)-MATCH("temp_stage",[1]stages!$2:$2,0)+1),MATCH(H$1,[1]stages!$2:$2,0)-MATCH("temp_stage",[1]stages!$2:$2,0)+1,FALSE)</f>
        <v>ドロップイベント1-2</v>
      </c>
      <c r="I359" s="19">
        <v>0</v>
      </c>
      <c r="J359" s="6">
        <f>COUNTIF(C$1:C359,C359)</f>
        <v>8</v>
      </c>
      <c r="K359">
        <v>9</v>
      </c>
      <c r="L359" s="6" t="s">
        <v>17</v>
      </c>
      <c r="M359" s="36" t="str">
        <f>VLOOKUP(K359,[2]stage_hints!$A:$C,3,FALSE)</f>
        <v>ゴールドダックでビットを獲得</v>
      </c>
      <c r="N359" s="37" t="str">
        <f>VLOOKUP(K359,[2]stage_hints!$A:$D,4,FALSE)</f>
        <v>「ゴールドなアヒル」を売却すると_x000D_大量のビットがもらえます</v>
      </c>
      <c r="O359" s="22" t="s">
        <v>117</v>
      </c>
      <c r="P359">
        <v>9</v>
      </c>
    </row>
    <row r="360" spans="1:16" x14ac:dyDescent="0.15">
      <c r="A360" s="29" t="str">
        <f t="shared" si="53"/>
        <v>20002_1_9</v>
      </c>
      <c r="B360" s="27" t="s">
        <v>33</v>
      </c>
      <c r="C360" s="5">
        <v>20002</v>
      </c>
      <c r="D360" s="4" t="str">
        <f ca="1">VLOOKUP($C360,OFFSET([1]quests!$A$1,0,0,COUNTA([1]quests!$A:$A),MATCH(D$1,[1]quests!$1:$1,0)-MATCH($C$1,[1]quests!$1:$1,0)+1),MATCH(D$1,[1]quests!$1:$1,0)-MATCH($C$1,[1]quests!$1:$1,0)+1,FALSE)</f>
        <v>孤高の一角獣</v>
      </c>
      <c r="E360" s="4" t="str">
        <f ca="1">VLOOKUP($C360,OFFSET([1]quests!$A$1,0,0,COUNTA([1]quests!$A:$A),MATCH(E$1,[1]quests!$1:$1,0)-MATCH($C$1,[1]quests!$1:$1,0)+1),MATCH(E$1,[1]quests!$1:$1,0)-MATCH($C$1,[1]quests!$1:$1,0)+1,FALSE)</f>
        <v>ドロップイベント1-2</v>
      </c>
      <c r="F360" s="6">
        <v>1</v>
      </c>
      <c r="G360" s="4" t="str">
        <f ca="1">VLOOKUP($C360&amp;"_"&amp;$F360,OFFSET([1]stages!$A$1,0,0,COUNTA([1]stages!$A:$A),MATCH(G$1,[1]stages!$2:$2,0)-MATCH("temp_stage",[1]stages!$2:$2,0)+1),MATCH(G$1,[1]stages!$2:$2,0)-MATCH("temp_stage",[1]stages!$2:$2,0)+1,FALSE)</f>
        <v>【初級】孤高の一角獣</v>
      </c>
      <c r="H360" s="4" t="str">
        <f ca="1">VLOOKUP($C360&amp;"_"&amp;$F360,OFFSET([1]stages!$A$1,0,0,COUNTA([1]stages!$A:$A),MATCH(H$1,[1]stages!$2:$2,0)-MATCH("temp_stage",[1]stages!$2:$2,0)+1),MATCH(H$1,[1]stages!$2:$2,0)-MATCH("temp_stage",[1]stages!$2:$2,0)+1,FALSE)</f>
        <v>ドロップイベント1-2</v>
      </c>
      <c r="I360" s="19">
        <v>0</v>
      </c>
      <c r="J360" s="6">
        <f>COUNTIF(C$1:C360,C360)</f>
        <v>9</v>
      </c>
      <c r="K360">
        <v>10</v>
      </c>
      <c r="L360" s="6" t="s">
        <v>17</v>
      </c>
      <c r="M360" s="36" t="str">
        <f>VLOOKUP(K360,[2]stage_hints!$A:$C,3,FALSE)</f>
        <v>土日に大量のビットを獲得</v>
      </c>
      <c r="N360" s="37" t="str">
        <f>VLOOKUP(K360,[2]stage_hints!$A:$D,4,FALSE)</f>
        <v>土日限定の「ゴールドカジノ」では_x000D_売却素材ユニットが多く手に入ります</v>
      </c>
      <c r="O360" s="22" t="s">
        <v>117</v>
      </c>
      <c r="P360">
        <v>10</v>
      </c>
    </row>
    <row r="361" spans="1:16" x14ac:dyDescent="0.15">
      <c r="A361" s="29" t="str">
        <f t="shared" si="53"/>
        <v>20002_1_10</v>
      </c>
      <c r="B361" s="27" t="s">
        <v>33</v>
      </c>
      <c r="C361" s="5">
        <v>20002</v>
      </c>
      <c r="D361" s="4" t="str">
        <f ca="1">VLOOKUP($C361,OFFSET([1]quests!$A$1,0,0,COUNTA([1]quests!$A:$A),MATCH(D$1,[1]quests!$1:$1,0)-MATCH($C$1,[1]quests!$1:$1,0)+1),MATCH(D$1,[1]quests!$1:$1,0)-MATCH($C$1,[1]quests!$1:$1,0)+1,FALSE)</f>
        <v>孤高の一角獣</v>
      </c>
      <c r="E361" s="4" t="str">
        <f ca="1">VLOOKUP($C361,OFFSET([1]quests!$A$1,0,0,COUNTA([1]quests!$A:$A),MATCH(E$1,[1]quests!$1:$1,0)-MATCH($C$1,[1]quests!$1:$1,0)+1),MATCH(E$1,[1]quests!$1:$1,0)-MATCH($C$1,[1]quests!$1:$1,0)+1,FALSE)</f>
        <v>ドロップイベント1-2</v>
      </c>
      <c r="F361" s="6">
        <v>1</v>
      </c>
      <c r="G361" s="4" t="str">
        <f ca="1">VLOOKUP($C361&amp;"_"&amp;$F361,OFFSET([1]stages!$A$1,0,0,COUNTA([1]stages!$A:$A),MATCH(G$1,[1]stages!$2:$2,0)-MATCH("temp_stage",[1]stages!$2:$2,0)+1),MATCH(G$1,[1]stages!$2:$2,0)-MATCH("temp_stage",[1]stages!$2:$2,0)+1,FALSE)</f>
        <v>【初級】孤高の一角獣</v>
      </c>
      <c r="H361" s="4" t="str">
        <f ca="1">VLOOKUP($C361&amp;"_"&amp;$F361,OFFSET([1]stages!$A$1,0,0,COUNTA([1]stages!$A:$A),MATCH(H$1,[1]stages!$2:$2,0)-MATCH("temp_stage",[1]stages!$2:$2,0)+1),MATCH(H$1,[1]stages!$2:$2,0)-MATCH("temp_stage",[1]stages!$2:$2,0)+1,FALSE)</f>
        <v>ドロップイベント1-2</v>
      </c>
      <c r="I361" s="19">
        <v>0</v>
      </c>
      <c r="J361" s="6">
        <f>COUNTIF(C$1:C361,C361)</f>
        <v>10</v>
      </c>
      <c r="K361">
        <v>11</v>
      </c>
      <c r="L361" s="6" t="s">
        <v>17</v>
      </c>
      <c r="M361" s="36" t="str">
        <f>VLOOKUP(K361,[2]stage_hints!$A:$C,3,FALSE)</f>
        <v>ランク解放クエスト</v>
      </c>
      <c r="N361" s="37" t="str">
        <f>VLOOKUP(K361,[2]stage_hints!$A:$D,4,FALSE)</f>
        <v>一定ランクに到達すると_x000D_報酬付きのランク開放クエストが現れます</v>
      </c>
      <c r="O361" s="22" t="s">
        <v>117</v>
      </c>
      <c r="P361">
        <v>11</v>
      </c>
    </row>
    <row r="362" spans="1:16" x14ac:dyDescent="0.15">
      <c r="A362" s="29" t="str">
        <f t="shared" si="53"/>
        <v>20002_1_11</v>
      </c>
      <c r="B362" s="27" t="s">
        <v>33</v>
      </c>
      <c r="C362" s="5">
        <v>20002</v>
      </c>
      <c r="D362" s="4" t="str">
        <f ca="1">VLOOKUP($C362,OFFSET([1]quests!$A$1,0,0,COUNTA([1]quests!$A:$A),MATCH(D$1,[1]quests!$1:$1,0)-MATCH($C$1,[1]quests!$1:$1,0)+1),MATCH(D$1,[1]quests!$1:$1,0)-MATCH($C$1,[1]quests!$1:$1,0)+1,FALSE)</f>
        <v>孤高の一角獣</v>
      </c>
      <c r="E362" s="4" t="str">
        <f ca="1">VLOOKUP($C362,OFFSET([1]quests!$A$1,0,0,COUNTA([1]quests!$A:$A),MATCH(E$1,[1]quests!$1:$1,0)-MATCH($C$1,[1]quests!$1:$1,0)+1),MATCH(E$1,[1]quests!$1:$1,0)-MATCH($C$1,[1]quests!$1:$1,0)+1,FALSE)</f>
        <v>ドロップイベント1-2</v>
      </c>
      <c r="F362" s="6">
        <v>1</v>
      </c>
      <c r="G362" s="4" t="str">
        <f ca="1">VLOOKUP($C362&amp;"_"&amp;$F362,OFFSET([1]stages!$A$1,0,0,COUNTA([1]stages!$A:$A),MATCH(G$1,[1]stages!$2:$2,0)-MATCH("temp_stage",[1]stages!$2:$2,0)+1),MATCH(G$1,[1]stages!$2:$2,0)-MATCH("temp_stage",[1]stages!$2:$2,0)+1,FALSE)</f>
        <v>【初級】孤高の一角獣</v>
      </c>
      <c r="H362" s="4" t="str">
        <f ca="1">VLOOKUP($C362&amp;"_"&amp;$F362,OFFSET([1]stages!$A$1,0,0,COUNTA([1]stages!$A:$A),MATCH(H$1,[1]stages!$2:$2,0)-MATCH("temp_stage",[1]stages!$2:$2,0)+1),MATCH(H$1,[1]stages!$2:$2,0)-MATCH("temp_stage",[1]stages!$2:$2,0)+1,FALSE)</f>
        <v>ドロップイベント1-2</v>
      </c>
      <c r="I362" s="19">
        <v>0</v>
      </c>
      <c r="J362" s="6">
        <f>COUNTIF(C$1:C362,C362)</f>
        <v>11</v>
      </c>
      <c r="K362">
        <v>12</v>
      </c>
      <c r="L362" s="6" t="s">
        <v>17</v>
      </c>
      <c r="M362" s="36" t="str">
        <f>VLOOKUP(K362,[2]stage_hints!$A:$C,3,FALSE)</f>
        <v>ユニットのお気に入り登録</v>
      </c>
      <c r="N362" s="37" t="str">
        <f>VLOOKUP(K362,[2]stage_hints!$A:$D,4,FALSE)</f>
        <v>大事なユニットを誤って消さないように_x000D_フォルダから「お気に入り登録」しましょう</v>
      </c>
      <c r="O362" s="22" t="s">
        <v>117</v>
      </c>
      <c r="P362">
        <v>12</v>
      </c>
    </row>
    <row r="363" spans="1:16" x14ac:dyDescent="0.15">
      <c r="A363" s="29" t="str">
        <f t="shared" ref="A363:A370" si="54">C363&amp;"_"&amp;F363&amp;"_"&amp;J363</f>
        <v>20002_1_12</v>
      </c>
      <c r="B363" s="27" t="s">
        <v>33</v>
      </c>
      <c r="C363" s="5">
        <v>20002</v>
      </c>
      <c r="D363" s="4" t="str">
        <f ca="1">VLOOKUP($C363,OFFSET([1]quests!$A$1,0,0,COUNTA([1]quests!$A:$A),MATCH(D$1,[1]quests!$1:$1,0)-MATCH($C$1,[1]quests!$1:$1,0)+1),MATCH(D$1,[1]quests!$1:$1,0)-MATCH($C$1,[1]quests!$1:$1,0)+1,FALSE)</f>
        <v>孤高の一角獣</v>
      </c>
      <c r="E363" s="4" t="str">
        <f ca="1">VLOOKUP($C363,OFFSET([1]quests!$A$1,0,0,COUNTA([1]quests!$A:$A),MATCH(E$1,[1]quests!$1:$1,0)-MATCH($C$1,[1]quests!$1:$1,0)+1),MATCH(E$1,[1]quests!$1:$1,0)-MATCH($C$1,[1]quests!$1:$1,0)+1,FALSE)</f>
        <v>ドロップイベント1-2</v>
      </c>
      <c r="F363" s="6">
        <v>1</v>
      </c>
      <c r="G363" s="4" t="str">
        <f ca="1">VLOOKUP($C363&amp;"_"&amp;$F363,OFFSET([1]stages!$A$1,0,0,COUNTA([1]stages!$A:$A),MATCH(G$1,[1]stages!$2:$2,0)-MATCH("temp_stage",[1]stages!$2:$2,0)+1),MATCH(G$1,[1]stages!$2:$2,0)-MATCH("temp_stage",[1]stages!$2:$2,0)+1,FALSE)</f>
        <v>【初級】孤高の一角獣</v>
      </c>
      <c r="H363" s="4" t="str">
        <f ca="1">VLOOKUP($C363&amp;"_"&amp;$F363,OFFSET([1]stages!$A$1,0,0,COUNTA([1]stages!$A:$A),MATCH(H$1,[1]stages!$2:$2,0)-MATCH("temp_stage",[1]stages!$2:$2,0)+1),MATCH(H$1,[1]stages!$2:$2,0)-MATCH("temp_stage",[1]stages!$2:$2,0)+1,FALSE)</f>
        <v>ドロップイベント1-2</v>
      </c>
      <c r="I363" s="19">
        <v>0</v>
      </c>
      <c r="J363" s="6">
        <f>COUNTIF(C$1:C363,C363)</f>
        <v>12</v>
      </c>
      <c r="K363">
        <v>13</v>
      </c>
      <c r="L363" s="6" t="s">
        <v>17</v>
      </c>
      <c r="M363" s="36" t="str">
        <f>VLOOKUP(K363,[2]stage_hints!$A:$C,3,FALSE)</f>
        <v>ユニットの覚醒</v>
      </c>
      <c r="N363" s="37" t="str">
        <f>VLOOKUP(K363,[2]stage_hints!$A:$D,4,FALSE)</f>
        <v>ユニットを覚醒させると_x000D_比べものにならない強さが手に入ります</v>
      </c>
      <c r="O363" s="22" t="s">
        <v>117</v>
      </c>
      <c r="P363">
        <v>13</v>
      </c>
    </row>
    <row r="364" spans="1:16" x14ac:dyDescent="0.15">
      <c r="A364" s="29" t="str">
        <f t="shared" si="54"/>
        <v>20002_1_13</v>
      </c>
      <c r="B364" s="27" t="s">
        <v>33</v>
      </c>
      <c r="C364" s="5">
        <v>20002</v>
      </c>
      <c r="D364" s="4" t="str">
        <f ca="1">VLOOKUP($C364,OFFSET([1]quests!$A$1,0,0,COUNTA([1]quests!$A:$A),MATCH(D$1,[1]quests!$1:$1,0)-MATCH($C$1,[1]quests!$1:$1,0)+1),MATCH(D$1,[1]quests!$1:$1,0)-MATCH($C$1,[1]quests!$1:$1,0)+1,FALSE)</f>
        <v>孤高の一角獣</v>
      </c>
      <c r="E364" s="4" t="str">
        <f ca="1">VLOOKUP($C364,OFFSET([1]quests!$A$1,0,0,COUNTA([1]quests!$A:$A),MATCH(E$1,[1]quests!$1:$1,0)-MATCH($C$1,[1]quests!$1:$1,0)+1),MATCH(E$1,[1]quests!$1:$1,0)-MATCH($C$1,[1]quests!$1:$1,0)+1,FALSE)</f>
        <v>ドロップイベント1-2</v>
      </c>
      <c r="F364" s="6">
        <v>1</v>
      </c>
      <c r="G364" s="4" t="str">
        <f ca="1">VLOOKUP($C364&amp;"_"&amp;$F364,OFFSET([1]stages!$A$1,0,0,COUNTA([1]stages!$A:$A),MATCH(G$1,[1]stages!$2:$2,0)-MATCH("temp_stage",[1]stages!$2:$2,0)+1),MATCH(G$1,[1]stages!$2:$2,0)-MATCH("temp_stage",[1]stages!$2:$2,0)+1,FALSE)</f>
        <v>【初級】孤高の一角獣</v>
      </c>
      <c r="H364" s="4" t="str">
        <f ca="1">VLOOKUP($C364&amp;"_"&amp;$F364,OFFSET([1]stages!$A$1,0,0,COUNTA([1]stages!$A:$A),MATCH(H$1,[1]stages!$2:$2,0)-MATCH("temp_stage",[1]stages!$2:$2,0)+1),MATCH(H$1,[1]stages!$2:$2,0)-MATCH("temp_stage",[1]stages!$2:$2,0)+1,FALSE)</f>
        <v>ドロップイベント1-2</v>
      </c>
      <c r="I364" s="19">
        <v>0</v>
      </c>
      <c r="J364" s="6">
        <f>COUNTIF(C$1:C364,C364)</f>
        <v>13</v>
      </c>
      <c r="K364">
        <v>14</v>
      </c>
      <c r="L364" s="6" t="s">
        <v>17</v>
      </c>
      <c r="M364" s="36" t="str">
        <f>VLOOKUP(K364,[2]stage_hints!$A:$C,3,FALSE)</f>
        <v>覚醒するにはレベルを最大に</v>
      </c>
      <c r="N364" s="37" t="str">
        <f>VLOOKUP(K364,[2]stage_hints!$A:$D,4,FALSE)</f>
        <v>覚醒するにはユニットのレベルを_x000D_最大まで上げる必要があります</v>
      </c>
      <c r="O364" s="22" t="s">
        <v>117</v>
      </c>
      <c r="P364">
        <v>14</v>
      </c>
    </row>
    <row r="365" spans="1:16" x14ac:dyDescent="0.15">
      <c r="A365" s="29" t="str">
        <f t="shared" si="54"/>
        <v>20002_1_14</v>
      </c>
      <c r="B365" s="27" t="s">
        <v>33</v>
      </c>
      <c r="C365" s="5">
        <v>20002</v>
      </c>
      <c r="D365" s="4" t="str">
        <f ca="1">VLOOKUP($C365,OFFSET([1]quests!$A$1,0,0,COUNTA([1]quests!$A:$A),MATCH(D$1,[1]quests!$1:$1,0)-MATCH($C$1,[1]quests!$1:$1,0)+1),MATCH(D$1,[1]quests!$1:$1,0)-MATCH($C$1,[1]quests!$1:$1,0)+1,FALSE)</f>
        <v>孤高の一角獣</v>
      </c>
      <c r="E365" s="4" t="str">
        <f ca="1">VLOOKUP($C365,OFFSET([1]quests!$A$1,0,0,COUNTA([1]quests!$A:$A),MATCH(E$1,[1]quests!$1:$1,0)-MATCH($C$1,[1]quests!$1:$1,0)+1),MATCH(E$1,[1]quests!$1:$1,0)-MATCH($C$1,[1]quests!$1:$1,0)+1,FALSE)</f>
        <v>ドロップイベント1-2</v>
      </c>
      <c r="F365" s="6">
        <v>1</v>
      </c>
      <c r="G365" s="4" t="str">
        <f ca="1">VLOOKUP($C365&amp;"_"&amp;$F365,OFFSET([1]stages!$A$1,0,0,COUNTA([1]stages!$A:$A),MATCH(G$1,[1]stages!$2:$2,0)-MATCH("temp_stage",[1]stages!$2:$2,0)+1),MATCH(G$1,[1]stages!$2:$2,0)-MATCH("temp_stage",[1]stages!$2:$2,0)+1,FALSE)</f>
        <v>【初級】孤高の一角獣</v>
      </c>
      <c r="H365" s="4" t="str">
        <f ca="1">VLOOKUP($C365&amp;"_"&amp;$F365,OFFSET([1]stages!$A$1,0,0,COUNTA([1]stages!$A:$A),MATCH(H$1,[1]stages!$2:$2,0)-MATCH("temp_stage",[1]stages!$2:$2,0)+1),MATCH(H$1,[1]stages!$2:$2,0)-MATCH("temp_stage",[1]stages!$2:$2,0)+1,FALSE)</f>
        <v>ドロップイベント1-2</v>
      </c>
      <c r="I365" s="19">
        <v>0</v>
      </c>
      <c r="J365" s="6">
        <f>COUNTIF(C$1:C365,C365)</f>
        <v>14</v>
      </c>
      <c r="K365">
        <v>15</v>
      </c>
      <c r="L365" s="6" t="s">
        <v>17</v>
      </c>
      <c r="M365" s="36" t="str">
        <f>VLOOKUP(K365,[2]stage_hints!$A:$C,3,FALSE)</f>
        <v>覚醒素材を獲得</v>
      </c>
      <c r="N365" s="37" t="str">
        <f>VLOOKUP(K365,[2]stage_hints!$A:$D,4,FALSE)</f>
        <v>「曜日クエスト」では_x000D_ユニットの覚醒に必要な素材が手に入ります</v>
      </c>
      <c r="O365" s="22" t="s">
        <v>117</v>
      </c>
      <c r="P365">
        <v>15</v>
      </c>
    </row>
    <row r="366" spans="1:16" x14ac:dyDescent="0.15">
      <c r="A366" s="29" t="str">
        <f t="shared" si="54"/>
        <v>20002_1_15</v>
      </c>
      <c r="B366" s="27" t="s">
        <v>33</v>
      </c>
      <c r="C366" s="5">
        <v>20002</v>
      </c>
      <c r="D366" s="4" t="str">
        <f ca="1">VLOOKUP($C366,OFFSET([1]quests!$A$1,0,0,COUNTA([1]quests!$A:$A),MATCH(D$1,[1]quests!$1:$1,0)-MATCH($C$1,[1]quests!$1:$1,0)+1),MATCH(D$1,[1]quests!$1:$1,0)-MATCH($C$1,[1]quests!$1:$1,0)+1,FALSE)</f>
        <v>孤高の一角獣</v>
      </c>
      <c r="E366" s="4" t="str">
        <f ca="1">VLOOKUP($C366,OFFSET([1]quests!$A$1,0,0,COUNTA([1]quests!$A:$A),MATCH(E$1,[1]quests!$1:$1,0)-MATCH($C$1,[1]quests!$1:$1,0)+1),MATCH(E$1,[1]quests!$1:$1,0)-MATCH($C$1,[1]quests!$1:$1,0)+1,FALSE)</f>
        <v>ドロップイベント1-2</v>
      </c>
      <c r="F366" s="6">
        <v>1</v>
      </c>
      <c r="G366" s="4" t="str">
        <f ca="1">VLOOKUP($C366&amp;"_"&amp;$F366,OFFSET([1]stages!$A$1,0,0,COUNTA([1]stages!$A:$A),MATCH(G$1,[1]stages!$2:$2,0)-MATCH("temp_stage",[1]stages!$2:$2,0)+1),MATCH(G$1,[1]stages!$2:$2,0)-MATCH("temp_stage",[1]stages!$2:$2,0)+1,FALSE)</f>
        <v>【初級】孤高の一角獣</v>
      </c>
      <c r="H366" s="4" t="str">
        <f ca="1">VLOOKUP($C366&amp;"_"&amp;$F366,OFFSET([1]stages!$A$1,0,0,COUNTA([1]stages!$A:$A),MATCH(H$1,[1]stages!$2:$2,0)-MATCH("temp_stage",[1]stages!$2:$2,0)+1),MATCH(H$1,[1]stages!$2:$2,0)-MATCH("temp_stage",[1]stages!$2:$2,0)+1,FALSE)</f>
        <v>ドロップイベント1-2</v>
      </c>
      <c r="I366" s="19">
        <v>0</v>
      </c>
      <c r="J366" s="6">
        <f>COUNTIF(C$1:C366,C366)</f>
        <v>15</v>
      </c>
      <c r="K366">
        <v>16</v>
      </c>
      <c r="L366" s="6" t="s">
        <v>17</v>
      </c>
      <c r="M366" s="36" t="str">
        <f>VLOOKUP(K366,[2]stage_hints!$A:$C,3,FALSE)</f>
        <v>マルチプレイのメリット（その1）</v>
      </c>
      <c r="N366" s="37" t="str">
        <f>VLOOKUP(K366,[2]stage_hints!$A:$D,4,FALSE)</f>
        <v>他のプレイヤーとマルチプレイで遊ぶと_x000D_ポリゴンがもらえます（100人まで）</v>
      </c>
      <c r="O366" s="22" t="s">
        <v>117</v>
      </c>
      <c r="P366">
        <v>16</v>
      </c>
    </row>
    <row r="367" spans="1:16" x14ac:dyDescent="0.15">
      <c r="A367" s="29" t="str">
        <f t="shared" si="54"/>
        <v>20002_1_16</v>
      </c>
      <c r="B367" s="27" t="s">
        <v>33</v>
      </c>
      <c r="C367" s="5">
        <v>20002</v>
      </c>
      <c r="D367" s="4" t="str">
        <f ca="1">VLOOKUP($C367,OFFSET([1]quests!$A$1,0,0,COUNTA([1]quests!$A:$A),MATCH(D$1,[1]quests!$1:$1,0)-MATCH($C$1,[1]quests!$1:$1,0)+1),MATCH(D$1,[1]quests!$1:$1,0)-MATCH($C$1,[1]quests!$1:$1,0)+1,FALSE)</f>
        <v>孤高の一角獣</v>
      </c>
      <c r="E367" s="4" t="str">
        <f ca="1">VLOOKUP($C367,OFFSET([1]quests!$A$1,0,0,COUNTA([1]quests!$A:$A),MATCH(E$1,[1]quests!$1:$1,0)-MATCH($C$1,[1]quests!$1:$1,0)+1),MATCH(E$1,[1]quests!$1:$1,0)-MATCH($C$1,[1]quests!$1:$1,0)+1,FALSE)</f>
        <v>ドロップイベント1-2</v>
      </c>
      <c r="F367" s="6">
        <v>1</v>
      </c>
      <c r="G367" s="4" t="str">
        <f ca="1">VLOOKUP($C367&amp;"_"&amp;$F367,OFFSET([1]stages!$A$1,0,0,COUNTA([1]stages!$A:$A),MATCH(G$1,[1]stages!$2:$2,0)-MATCH("temp_stage",[1]stages!$2:$2,0)+1),MATCH(G$1,[1]stages!$2:$2,0)-MATCH("temp_stage",[1]stages!$2:$2,0)+1,FALSE)</f>
        <v>【初級】孤高の一角獣</v>
      </c>
      <c r="H367" s="4" t="str">
        <f ca="1">VLOOKUP($C367&amp;"_"&amp;$F367,OFFSET([1]stages!$A$1,0,0,COUNTA([1]stages!$A:$A),MATCH(H$1,[1]stages!$2:$2,0)-MATCH("temp_stage",[1]stages!$2:$2,0)+1),MATCH(H$1,[1]stages!$2:$2,0)-MATCH("temp_stage",[1]stages!$2:$2,0)+1,FALSE)</f>
        <v>ドロップイベント1-2</v>
      </c>
      <c r="I367" s="19">
        <v>0</v>
      </c>
      <c r="J367" s="6">
        <f>COUNTIF(C$1:C367,C367)</f>
        <v>16</v>
      </c>
      <c r="K367">
        <v>17</v>
      </c>
      <c r="L367" s="6" t="s">
        <v>17</v>
      </c>
      <c r="M367" s="36" t="str">
        <f>VLOOKUP(K367,[2]stage_hints!$A:$C,3,FALSE)</f>
        <v>リンクガチャ</v>
      </c>
      <c r="N367" s="37" t="str">
        <f>VLOOKUP(K367,[2]stage_hints!$A:$D,4,FALSE)</f>
        <v>無料のリンクガチャを回して_x000D_経験値素材や売却素材を獲得しましょう</v>
      </c>
      <c r="O367" s="22" t="s">
        <v>117</v>
      </c>
      <c r="P367">
        <v>17</v>
      </c>
    </row>
    <row r="368" spans="1:16" x14ac:dyDescent="0.15">
      <c r="A368" s="29" t="str">
        <f t="shared" si="54"/>
        <v>20002_1_17</v>
      </c>
      <c r="B368" s="27" t="s">
        <v>33</v>
      </c>
      <c r="C368" s="5">
        <v>20002</v>
      </c>
      <c r="D368" s="4" t="str">
        <f ca="1">VLOOKUP($C368,OFFSET([1]quests!$A$1,0,0,COUNTA([1]quests!$A:$A),MATCH(D$1,[1]quests!$1:$1,0)-MATCH($C$1,[1]quests!$1:$1,0)+1),MATCH(D$1,[1]quests!$1:$1,0)-MATCH($C$1,[1]quests!$1:$1,0)+1,FALSE)</f>
        <v>孤高の一角獣</v>
      </c>
      <c r="E368" s="4" t="str">
        <f ca="1">VLOOKUP($C368,OFFSET([1]quests!$A$1,0,0,COUNTA([1]quests!$A:$A),MATCH(E$1,[1]quests!$1:$1,0)-MATCH($C$1,[1]quests!$1:$1,0)+1),MATCH(E$1,[1]quests!$1:$1,0)-MATCH($C$1,[1]quests!$1:$1,0)+1,FALSE)</f>
        <v>ドロップイベント1-2</v>
      </c>
      <c r="F368" s="6">
        <v>1</v>
      </c>
      <c r="G368" s="4" t="str">
        <f ca="1">VLOOKUP($C368&amp;"_"&amp;$F368,OFFSET([1]stages!$A$1,0,0,COUNTA([1]stages!$A:$A),MATCH(G$1,[1]stages!$2:$2,0)-MATCH("temp_stage",[1]stages!$2:$2,0)+1),MATCH(G$1,[1]stages!$2:$2,0)-MATCH("temp_stage",[1]stages!$2:$2,0)+1,FALSE)</f>
        <v>【初級】孤高の一角獣</v>
      </c>
      <c r="H368" s="4" t="str">
        <f ca="1">VLOOKUP($C368&amp;"_"&amp;$F368,OFFSET([1]stages!$A$1,0,0,COUNTA([1]stages!$A:$A),MATCH(H$1,[1]stages!$2:$2,0)-MATCH("temp_stage",[1]stages!$2:$2,0)+1),MATCH(H$1,[1]stages!$2:$2,0)-MATCH("temp_stage",[1]stages!$2:$2,0)+1,FALSE)</f>
        <v>ドロップイベント1-2</v>
      </c>
      <c r="I368" s="19">
        <v>0</v>
      </c>
      <c r="J368" s="6">
        <f>COUNTIF(C$1:C368,C368)</f>
        <v>17</v>
      </c>
      <c r="K368">
        <v>18</v>
      </c>
      <c r="L368" s="6" t="s">
        <v>17</v>
      </c>
      <c r="M368" s="36" t="str">
        <f>VLOOKUP(K368,[2]stage_hints!$A:$C,3,FALSE)</f>
        <v>マルチプレイのメリット（その2）</v>
      </c>
      <c r="N368" s="37" t="str">
        <f>VLOOKUP(K368,[2]stage_hints!$A:$D,4,FALSE)</f>
        <v>マルチプレイならリンクが2倍もらえます_x000D_リンクガチャをたくさん回しましょう</v>
      </c>
      <c r="O368" s="22" t="s">
        <v>117</v>
      </c>
      <c r="P368">
        <v>18</v>
      </c>
    </row>
    <row r="369" spans="1:16" x14ac:dyDescent="0.15">
      <c r="A369" s="29" t="str">
        <f t="shared" si="54"/>
        <v>20002_1_18</v>
      </c>
      <c r="B369" s="27" t="s">
        <v>33</v>
      </c>
      <c r="C369" s="5">
        <v>20002</v>
      </c>
      <c r="D369" s="4" t="str">
        <f ca="1">VLOOKUP($C369,OFFSET([1]quests!$A$1,0,0,COUNTA([1]quests!$A:$A),MATCH(D$1,[1]quests!$1:$1,0)-MATCH($C$1,[1]quests!$1:$1,0)+1),MATCH(D$1,[1]quests!$1:$1,0)-MATCH($C$1,[1]quests!$1:$1,0)+1,FALSE)</f>
        <v>孤高の一角獣</v>
      </c>
      <c r="E369" s="4" t="str">
        <f ca="1">VLOOKUP($C369,OFFSET([1]quests!$A$1,0,0,COUNTA([1]quests!$A:$A),MATCH(E$1,[1]quests!$1:$1,0)-MATCH($C$1,[1]quests!$1:$1,0)+1),MATCH(E$1,[1]quests!$1:$1,0)-MATCH($C$1,[1]quests!$1:$1,0)+1,FALSE)</f>
        <v>ドロップイベント1-2</v>
      </c>
      <c r="F369" s="6">
        <v>1</v>
      </c>
      <c r="G369" s="4" t="str">
        <f ca="1">VLOOKUP($C369&amp;"_"&amp;$F369,OFFSET([1]stages!$A$1,0,0,COUNTA([1]stages!$A:$A),MATCH(G$1,[1]stages!$2:$2,0)-MATCH("temp_stage",[1]stages!$2:$2,0)+1),MATCH(G$1,[1]stages!$2:$2,0)-MATCH("temp_stage",[1]stages!$2:$2,0)+1,FALSE)</f>
        <v>【初級】孤高の一角獣</v>
      </c>
      <c r="H369" s="4" t="str">
        <f ca="1">VLOOKUP($C369&amp;"_"&amp;$F369,OFFSET([1]stages!$A$1,0,0,COUNTA([1]stages!$A:$A),MATCH(H$1,[1]stages!$2:$2,0)-MATCH("temp_stage",[1]stages!$2:$2,0)+1),MATCH(H$1,[1]stages!$2:$2,0)-MATCH("temp_stage",[1]stages!$2:$2,0)+1,FALSE)</f>
        <v>ドロップイベント1-2</v>
      </c>
      <c r="I369" s="19">
        <v>0</v>
      </c>
      <c r="J369" s="6">
        <f>COUNTIF(C$1:C369,C369)</f>
        <v>18</v>
      </c>
      <c r="K369">
        <v>19</v>
      </c>
      <c r="L369" s="6" t="s">
        <v>17</v>
      </c>
      <c r="M369" s="36" t="str">
        <f>VLOOKUP(K369,[2]stage_hints!$A:$C,3,FALSE)</f>
        <v>ソロ専用チャレンジタワー</v>
      </c>
      <c r="N369" s="37" t="str">
        <f>VLOOKUP(K369,[2]stage_hints!$A:$D,4,FALSE)</f>
        <v>ソロ専用の「チャレンジタワー」では_x000D_各フロアごとにクリア報酬がもらえます</v>
      </c>
      <c r="O369" s="22" t="s">
        <v>117</v>
      </c>
      <c r="P369">
        <v>19</v>
      </c>
    </row>
    <row r="370" spans="1:16" x14ac:dyDescent="0.15">
      <c r="A370" s="29" t="str">
        <f t="shared" si="54"/>
        <v>20002_1_19</v>
      </c>
      <c r="B370" s="27" t="s">
        <v>33</v>
      </c>
      <c r="C370" s="5">
        <v>20002</v>
      </c>
      <c r="D370" s="4" t="str">
        <f ca="1">VLOOKUP($C370,OFFSET([1]quests!$A$1,0,0,COUNTA([1]quests!$A:$A),MATCH(D$1,[1]quests!$1:$1,0)-MATCH($C$1,[1]quests!$1:$1,0)+1),MATCH(D$1,[1]quests!$1:$1,0)-MATCH($C$1,[1]quests!$1:$1,0)+1,FALSE)</f>
        <v>孤高の一角獣</v>
      </c>
      <c r="E370" s="4" t="str">
        <f ca="1">VLOOKUP($C370,OFFSET([1]quests!$A$1,0,0,COUNTA([1]quests!$A:$A),MATCH(E$1,[1]quests!$1:$1,0)-MATCH($C$1,[1]quests!$1:$1,0)+1),MATCH(E$1,[1]quests!$1:$1,0)-MATCH($C$1,[1]quests!$1:$1,0)+1,FALSE)</f>
        <v>ドロップイベント1-2</v>
      </c>
      <c r="F370" s="6">
        <v>1</v>
      </c>
      <c r="G370" s="4" t="str">
        <f ca="1">VLOOKUP($C370&amp;"_"&amp;$F370,OFFSET([1]stages!$A$1,0,0,COUNTA([1]stages!$A:$A),MATCH(G$1,[1]stages!$2:$2,0)-MATCH("temp_stage",[1]stages!$2:$2,0)+1),MATCH(G$1,[1]stages!$2:$2,0)-MATCH("temp_stage",[1]stages!$2:$2,0)+1,FALSE)</f>
        <v>【初級】孤高の一角獣</v>
      </c>
      <c r="H370" s="4" t="str">
        <f ca="1">VLOOKUP($C370&amp;"_"&amp;$F370,OFFSET([1]stages!$A$1,0,0,COUNTA([1]stages!$A:$A),MATCH(H$1,[1]stages!$2:$2,0)-MATCH("temp_stage",[1]stages!$2:$2,0)+1),MATCH(H$1,[1]stages!$2:$2,0)-MATCH("temp_stage",[1]stages!$2:$2,0)+1,FALSE)</f>
        <v>ドロップイベント1-2</v>
      </c>
      <c r="I370" s="19">
        <v>0</v>
      </c>
      <c r="J370" s="6">
        <f>COUNTIF(C$1:C370,C370)</f>
        <v>19</v>
      </c>
      <c r="K370">
        <v>20</v>
      </c>
      <c r="L370" s="6" t="s">
        <v>17</v>
      </c>
      <c r="M370" s="36" t="str">
        <f>VLOOKUP(K370,[2]stage_hints!$A:$C,3,FALSE)</f>
        <v>マルチプレイのメリット（その3）</v>
      </c>
      <c r="N370" s="37" t="str">
        <f>VLOOKUP(K370,[2]stage_hints!$A:$D,4,FALSE)</f>
        <v>マルチプレイへの参加はエナジー消費ゼロ_x000D_いつでも好きなだけ遊ぶことができます</v>
      </c>
      <c r="O370" s="22" t="s">
        <v>117</v>
      </c>
      <c r="P370">
        <v>20</v>
      </c>
    </row>
    <row r="371" spans="1:16" x14ac:dyDescent="0.15">
      <c r="A371" s="29" t="str">
        <f t="shared" ref="A371" si="55">C371&amp;"_"&amp;F371&amp;"_"&amp;J371</f>
        <v>20002_1_20</v>
      </c>
      <c r="B371" s="27" t="s">
        <v>33</v>
      </c>
      <c r="C371" s="5">
        <v>20002</v>
      </c>
      <c r="D371" s="4" t="str">
        <f ca="1">VLOOKUP($C371,OFFSET([1]quests!$A$1,0,0,COUNTA([1]quests!$A:$A),MATCH(D$1,[1]quests!$1:$1,0)-MATCH($C$1,[1]quests!$1:$1,0)+1),MATCH(D$1,[1]quests!$1:$1,0)-MATCH($C$1,[1]quests!$1:$1,0)+1,FALSE)</f>
        <v>孤高の一角獣</v>
      </c>
      <c r="E371" s="4" t="str">
        <f ca="1">VLOOKUP($C371,OFFSET([1]quests!$A$1,0,0,COUNTA([1]quests!$A:$A),MATCH(E$1,[1]quests!$1:$1,0)-MATCH($C$1,[1]quests!$1:$1,0)+1),MATCH(E$1,[1]quests!$1:$1,0)-MATCH($C$1,[1]quests!$1:$1,0)+1,FALSE)</f>
        <v>ドロップイベント1-2</v>
      </c>
      <c r="F371" s="6">
        <v>1</v>
      </c>
      <c r="G371" s="4" t="str">
        <f ca="1">VLOOKUP($C371&amp;"_"&amp;$F371,OFFSET([1]stages!$A$1,0,0,COUNTA([1]stages!$A:$A),MATCH(G$1,[1]stages!$2:$2,0)-MATCH("temp_stage",[1]stages!$2:$2,0)+1),MATCH(G$1,[1]stages!$2:$2,0)-MATCH("temp_stage",[1]stages!$2:$2,0)+1,FALSE)</f>
        <v>【初級】孤高の一角獣</v>
      </c>
      <c r="H371" s="4" t="str">
        <f ca="1">VLOOKUP($C371&amp;"_"&amp;$F371,OFFSET([1]stages!$A$1,0,0,COUNTA([1]stages!$A:$A),MATCH(H$1,[1]stages!$2:$2,0)-MATCH("temp_stage",[1]stages!$2:$2,0)+1),MATCH(H$1,[1]stages!$2:$2,0)-MATCH("temp_stage",[1]stages!$2:$2,0)+1,FALSE)</f>
        <v>ドロップイベント1-2</v>
      </c>
      <c r="I371" s="19">
        <v>0</v>
      </c>
      <c r="J371" s="6">
        <f>COUNTIF(C$1:C371,C371)</f>
        <v>20</v>
      </c>
      <c r="K371">
        <v>21</v>
      </c>
      <c r="L371" s="6" t="s">
        <v>17</v>
      </c>
      <c r="M371" s="36" t="str">
        <f>VLOOKUP(K371,[2]stage_hints!$A:$C,3,FALSE)</f>
        <v>スキルを有効に</v>
      </c>
      <c r="N371" s="37" t="str">
        <f>VLOOKUP(K371,[2]stage_hints!$A:$D,4,FALSE)</f>
        <v>ターン経過でユニットのスキルが使えます_x000D_強力スキルでバトルを有利に進めましょう</v>
      </c>
      <c r="O371" s="22" t="s">
        <v>117</v>
      </c>
      <c r="P371">
        <v>21</v>
      </c>
    </row>
    <row r="372" spans="1:16" x14ac:dyDescent="0.15">
      <c r="A372" s="29" t="str">
        <f t="shared" ref="A372:A385" si="56">C372&amp;"_"&amp;F372&amp;"_"&amp;J372</f>
        <v>20002_1_21</v>
      </c>
      <c r="B372" s="27" t="s">
        <v>33</v>
      </c>
      <c r="C372" s="5">
        <v>20002</v>
      </c>
      <c r="D372" s="4" t="str">
        <f ca="1">VLOOKUP($C372,OFFSET([1]quests!$A$1,0,0,COUNTA([1]quests!$A:$A),MATCH(D$1,[1]quests!$1:$1,0)-MATCH($C$1,[1]quests!$1:$1,0)+1),MATCH(D$1,[1]quests!$1:$1,0)-MATCH($C$1,[1]quests!$1:$1,0)+1,FALSE)</f>
        <v>孤高の一角獣</v>
      </c>
      <c r="E372" s="4" t="str">
        <f ca="1">VLOOKUP($C372,OFFSET([1]quests!$A$1,0,0,COUNTA([1]quests!$A:$A),MATCH(E$1,[1]quests!$1:$1,0)-MATCH($C$1,[1]quests!$1:$1,0)+1),MATCH(E$1,[1]quests!$1:$1,0)-MATCH($C$1,[1]quests!$1:$1,0)+1,FALSE)</f>
        <v>ドロップイベント1-2</v>
      </c>
      <c r="F372" s="6">
        <v>1</v>
      </c>
      <c r="G372" s="4" t="str">
        <f ca="1">VLOOKUP($C372&amp;"_"&amp;$F372,OFFSET([1]stages!$A$1,0,0,COUNTA([1]stages!$A:$A),MATCH(G$1,[1]stages!$2:$2,0)-MATCH("temp_stage",[1]stages!$2:$2,0)+1),MATCH(G$1,[1]stages!$2:$2,0)-MATCH("temp_stage",[1]stages!$2:$2,0)+1,FALSE)</f>
        <v>【初級】孤高の一角獣</v>
      </c>
      <c r="H372" s="4" t="str">
        <f ca="1">VLOOKUP($C372&amp;"_"&amp;$F372,OFFSET([1]stages!$A$1,0,0,COUNTA([1]stages!$A:$A),MATCH(H$1,[1]stages!$2:$2,0)-MATCH("temp_stage",[1]stages!$2:$2,0)+1),MATCH(H$1,[1]stages!$2:$2,0)-MATCH("temp_stage",[1]stages!$2:$2,0)+1,FALSE)</f>
        <v>ドロップイベント1-2</v>
      </c>
      <c r="I372" s="19">
        <v>0</v>
      </c>
      <c r="J372" s="6">
        <f>COUNTIF(C$1:C372,C372)</f>
        <v>21</v>
      </c>
      <c r="K372">
        <v>22</v>
      </c>
      <c r="L372" s="6" t="s">
        <v>17</v>
      </c>
      <c r="M372" s="36" t="str">
        <f>VLOOKUP(K372,[2]stage_hints!$A:$C,3,FALSE)</f>
        <v>フィーバーで一発逆転（その1）</v>
      </c>
      <c r="N372" s="37" t="str">
        <f>VLOOKUP(K372,[2]stage_hints!$A:$D,4,FALSE)</f>
        <v>フィーバーは攻撃と回復を兼ね備えます_x000D_ピンチからの一発逆転を狙いましょう</v>
      </c>
      <c r="O372" s="22" t="s">
        <v>117</v>
      </c>
      <c r="P372">
        <v>22</v>
      </c>
    </row>
    <row r="373" spans="1:16" x14ac:dyDescent="0.15">
      <c r="A373" s="29" t="str">
        <f t="shared" si="56"/>
        <v>20002_1_22</v>
      </c>
      <c r="B373" s="27" t="s">
        <v>33</v>
      </c>
      <c r="C373" s="5">
        <v>20002</v>
      </c>
      <c r="D373" s="4" t="str">
        <f ca="1">VLOOKUP($C373,OFFSET([1]quests!$A$1,0,0,COUNTA([1]quests!$A:$A),MATCH(D$1,[1]quests!$1:$1,0)-MATCH($C$1,[1]quests!$1:$1,0)+1),MATCH(D$1,[1]quests!$1:$1,0)-MATCH($C$1,[1]quests!$1:$1,0)+1,FALSE)</f>
        <v>孤高の一角獣</v>
      </c>
      <c r="E373" s="4" t="str">
        <f ca="1">VLOOKUP($C373,OFFSET([1]quests!$A$1,0,0,COUNTA([1]quests!$A:$A),MATCH(E$1,[1]quests!$1:$1,0)-MATCH($C$1,[1]quests!$1:$1,0)+1),MATCH(E$1,[1]quests!$1:$1,0)-MATCH($C$1,[1]quests!$1:$1,0)+1,FALSE)</f>
        <v>ドロップイベント1-2</v>
      </c>
      <c r="F373" s="6">
        <v>1</v>
      </c>
      <c r="G373" s="4" t="str">
        <f ca="1">VLOOKUP($C373&amp;"_"&amp;$F373,OFFSET([1]stages!$A$1,0,0,COUNTA([1]stages!$A:$A),MATCH(G$1,[1]stages!$2:$2,0)-MATCH("temp_stage",[1]stages!$2:$2,0)+1),MATCH(G$1,[1]stages!$2:$2,0)-MATCH("temp_stage",[1]stages!$2:$2,0)+1,FALSE)</f>
        <v>【初級】孤高の一角獣</v>
      </c>
      <c r="H373" s="4" t="str">
        <f ca="1">VLOOKUP($C373&amp;"_"&amp;$F373,OFFSET([1]stages!$A$1,0,0,COUNTA([1]stages!$A:$A),MATCH(H$1,[1]stages!$2:$2,0)-MATCH("temp_stage",[1]stages!$2:$2,0)+1),MATCH(H$1,[1]stages!$2:$2,0)-MATCH("temp_stage",[1]stages!$2:$2,0)+1,FALSE)</f>
        <v>ドロップイベント1-2</v>
      </c>
      <c r="I373" s="19">
        <v>0</v>
      </c>
      <c r="J373" s="6">
        <f>COUNTIF(C$1:C373,C373)</f>
        <v>22</v>
      </c>
      <c r="K373">
        <v>23</v>
      </c>
      <c r="L373" s="6" t="s">
        <v>17</v>
      </c>
      <c r="M373" s="36" t="str">
        <f>VLOOKUP(K373,[2]stage_hints!$A:$C,3,FALSE)</f>
        <v>フィーバーで一発逆転（その2）</v>
      </c>
      <c r="N373" s="37" t="str">
        <f>VLOOKUP(K373,[2]stage_hints!$A:$D,4,FALSE)</f>
        <v>フィーバー中は虹色のボムパネルを狙って_x000D_画面上のパネルを一気に破壊しましょう</v>
      </c>
      <c r="O373" s="22" t="s">
        <v>117</v>
      </c>
      <c r="P373">
        <v>23</v>
      </c>
    </row>
    <row r="374" spans="1:16" x14ac:dyDescent="0.15">
      <c r="A374" s="29" t="str">
        <f t="shared" si="56"/>
        <v>20002_1_23</v>
      </c>
      <c r="B374" s="27" t="s">
        <v>33</v>
      </c>
      <c r="C374" s="5">
        <v>20002</v>
      </c>
      <c r="D374" s="4" t="str">
        <f ca="1">VLOOKUP($C374,OFFSET([1]quests!$A$1,0,0,COUNTA([1]quests!$A:$A),MATCH(D$1,[1]quests!$1:$1,0)-MATCH($C$1,[1]quests!$1:$1,0)+1),MATCH(D$1,[1]quests!$1:$1,0)-MATCH($C$1,[1]quests!$1:$1,0)+1,FALSE)</f>
        <v>孤高の一角獣</v>
      </c>
      <c r="E374" s="4" t="str">
        <f ca="1">VLOOKUP($C374,OFFSET([1]quests!$A$1,0,0,COUNTA([1]quests!$A:$A),MATCH(E$1,[1]quests!$1:$1,0)-MATCH($C$1,[1]quests!$1:$1,0)+1),MATCH(E$1,[1]quests!$1:$1,0)-MATCH($C$1,[1]quests!$1:$1,0)+1,FALSE)</f>
        <v>ドロップイベント1-2</v>
      </c>
      <c r="F374" s="6">
        <v>1</v>
      </c>
      <c r="G374" s="4" t="str">
        <f ca="1">VLOOKUP($C374&amp;"_"&amp;$F374,OFFSET([1]stages!$A$1,0,0,COUNTA([1]stages!$A:$A),MATCH(G$1,[1]stages!$2:$2,0)-MATCH("temp_stage",[1]stages!$2:$2,0)+1),MATCH(G$1,[1]stages!$2:$2,0)-MATCH("temp_stage",[1]stages!$2:$2,0)+1,FALSE)</f>
        <v>【初級】孤高の一角獣</v>
      </c>
      <c r="H374" s="4" t="str">
        <f ca="1">VLOOKUP($C374&amp;"_"&amp;$F374,OFFSET([1]stages!$A$1,0,0,COUNTA([1]stages!$A:$A),MATCH(H$1,[1]stages!$2:$2,0)-MATCH("temp_stage",[1]stages!$2:$2,0)+1),MATCH(H$1,[1]stages!$2:$2,0)-MATCH("temp_stage",[1]stages!$2:$2,0)+1,FALSE)</f>
        <v>ドロップイベント1-2</v>
      </c>
      <c r="I374" s="19">
        <v>0</v>
      </c>
      <c r="J374" s="6">
        <f>COUNTIF(C$1:C374,C374)</f>
        <v>23</v>
      </c>
      <c r="K374">
        <v>24</v>
      </c>
      <c r="L374" s="6" t="s">
        <v>17</v>
      </c>
      <c r="M374" s="36" t="str">
        <f>VLOOKUP(K374,[2]stage_hints!$A:$C,3,FALSE)</f>
        <v>りんごを使って限界突破</v>
      </c>
      <c r="N374" s="37" t="str">
        <f>VLOOKUP(K374,[2]stage_hints!$A:$D,4,FALSE)</f>
        <v>赤りんご(攻撃力) 青りんご(回復力)_x000D_緑りんご(体力)をユニット強化に使うと_x000D_ステータスが限界突破します（計99個迄）</v>
      </c>
      <c r="O374" s="22" t="s">
        <v>117</v>
      </c>
      <c r="P374">
        <v>24</v>
      </c>
    </row>
    <row r="375" spans="1:16" x14ac:dyDescent="0.15">
      <c r="A375" s="29" t="str">
        <f t="shared" si="56"/>
        <v>20002_1_24</v>
      </c>
      <c r="B375" s="27" t="s">
        <v>33</v>
      </c>
      <c r="C375" s="5">
        <v>20002</v>
      </c>
      <c r="D375" s="4" t="str">
        <f ca="1">VLOOKUP($C375,OFFSET([1]quests!$A$1,0,0,COUNTA([1]quests!$A:$A),MATCH(D$1,[1]quests!$1:$1,0)-MATCH($C$1,[1]quests!$1:$1,0)+1),MATCH(D$1,[1]quests!$1:$1,0)-MATCH($C$1,[1]quests!$1:$1,0)+1,FALSE)</f>
        <v>孤高の一角獣</v>
      </c>
      <c r="E375" s="4" t="str">
        <f ca="1">VLOOKUP($C375,OFFSET([1]quests!$A$1,0,0,COUNTA([1]quests!$A:$A),MATCH(E$1,[1]quests!$1:$1,0)-MATCH($C$1,[1]quests!$1:$1,0)+1),MATCH(E$1,[1]quests!$1:$1,0)-MATCH($C$1,[1]quests!$1:$1,0)+1,FALSE)</f>
        <v>ドロップイベント1-2</v>
      </c>
      <c r="F375" s="6">
        <v>1</v>
      </c>
      <c r="G375" s="4" t="str">
        <f ca="1">VLOOKUP($C375&amp;"_"&amp;$F375,OFFSET([1]stages!$A$1,0,0,COUNTA([1]stages!$A:$A),MATCH(G$1,[1]stages!$2:$2,0)-MATCH("temp_stage",[1]stages!$2:$2,0)+1),MATCH(G$1,[1]stages!$2:$2,0)-MATCH("temp_stage",[1]stages!$2:$2,0)+1,FALSE)</f>
        <v>【初級】孤高の一角獣</v>
      </c>
      <c r="H375" s="4" t="str">
        <f ca="1">VLOOKUP($C375&amp;"_"&amp;$F375,OFFSET([1]stages!$A$1,0,0,COUNTA([1]stages!$A:$A),MATCH(H$1,[1]stages!$2:$2,0)-MATCH("temp_stage",[1]stages!$2:$2,0)+1),MATCH(H$1,[1]stages!$2:$2,0)-MATCH("temp_stage",[1]stages!$2:$2,0)+1,FALSE)</f>
        <v>ドロップイベント1-2</v>
      </c>
      <c r="I375" s="19">
        <v>0</v>
      </c>
      <c r="J375" s="6">
        <f>COUNTIF(C$1:C375,C375)</f>
        <v>24</v>
      </c>
      <c r="K375">
        <v>25</v>
      </c>
      <c r="L375" s="6" t="s">
        <v>17</v>
      </c>
      <c r="M375" s="36" t="str">
        <f>VLOOKUP(K375,[2]stage_hints!$A:$C,3,FALSE)</f>
        <v>スキルレベルアップ</v>
      </c>
      <c r="N375" s="37" t="str">
        <f>VLOOKUP(K375,[2]stage_hints!$A:$D,4,FALSE)</f>
        <v>「クリスタルのりんご」を強化に使うと_x000D_スキルレベルを上げることができます</v>
      </c>
      <c r="O375" s="22" t="s">
        <v>117</v>
      </c>
      <c r="P375">
        <v>25</v>
      </c>
    </row>
    <row r="376" spans="1:16" x14ac:dyDescent="0.15">
      <c r="A376" s="29" t="str">
        <f t="shared" si="56"/>
        <v>20002_1_25</v>
      </c>
      <c r="B376" s="27" t="s">
        <v>33</v>
      </c>
      <c r="C376" s="5">
        <v>20002</v>
      </c>
      <c r="D376" s="4" t="str">
        <f ca="1">VLOOKUP($C376,OFFSET([1]quests!$A$1,0,0,COUNTA([1]quests!$A:$A),MATCH(D$1,[1]quests!$1:$1,0)-MATCH($C$1,[1]quests!$1:$1,0)+1),MATCH(D$1,[1]quests!$1:$1,0)-MATCH($C$1,[1]quests!$1:$1,0)+1,FALSE)</f>
        <v>孤高の一角獣</v>
      </c>
      <c r="E376" s="4" t="str">
        <f ca="1">VLOOKUP($C376,OFFSET([1]quests!$A$1,0,0,COUNTA([1]quests!$A:$A),MATCH(E$1,[1]quests!$1:$1,0)-MATCH($C$1,[1]quests!$1:$1,0)+1),MATCH(E$1,[1]quests!$1:$1,0)-MATCH($C$1,[1]quests!$1:$1,0)+1,FALSE)</f>
        <v>ドロップイベント1-2</v>
      </c>
      <c r="F376" s="6">
        <v>1</v>
      </c>
      <c r="G376" s="4" t="str">
        <f ca="1">VLOOKUP($C376&amp;"_"&amp;$F376,OFFSET([1]stages!$A$1,0,0,COUNTA([1]stages!$A:$A),MATCH(G$1,[1]stages!$2:$2,0)-MATCH("temp_stage",[1]stages!$2:$2,0)+1),MATCH(G$1,[1]stages!$2:$2,0)-MATCH("temp_stage",[1]stages!$2:$2,0)+1,FALSE)</f>
        <v>【初級】孤高の一角獣</v>
      </c>
      <c r="H376" s="4" t="str">
        <f ca="1">VLOOKUP($C376&amp;"_"&amp;$F376,OFFSET([1]stages!$A$1,0,0,COUNTA([1]stages!$A:$A),MATCH(H$1,[1]stages!$2:$2,0)-MATCH("temp_stage",[1]stages!$2:$2,0)+1),MATCH(H$1,[1]stages!$2:$2,0)-MATCH("temp_stage",[1]stages!$2:$2,0)+1,FALSE)</f>
        <v>ドロップイベント1-2</v>
      </c>
      <c r="I376" s="19">
        <v>0</v>
      </c>
      <c r="J376" s="6">
        <f>COUNTIF(C$1:C376,C376)</f>
        <v>25</v>
      </c>
      <c r="K376">
        <v>26</v>
      </c>
      <c r="L376" s="6" t="s">
        <v>17</v>
      </c>
      <c r="M376" s="36" t="str">
        <f>VLOOKUP(K376,[2]stage_hints!$A:$C,3,FALSE)</f>
        <v>スキルレベルの効果</v>
      </c>
      <c r="N376" s="37" t="str">
        <f>VLOOKUP(K376,[2]stage_hints!$A:$D,4,FALSE)</f>
        <v>スキルレベルが上がると_x000D_短いターンでスキルを使うことができます</v>
      </c>
      <c r="O376" s="22" t="s">
        <v>117</v>
      </c>
      <c r="P376">
        <v>26</v>
      </c>
    </row>
    <row r="377" spans="1:16" x14ac:dyDescent="0.15">
      <c r="A377" s="29" t="str">
        <f t="shared" si="56"/>
        <v>20003_1_1</v>
      </c>
      <c r="B377" s="27" t="s">
        <v>33</v>
      </c>
      <c r="C377" s="5">
        <v>20003</v>
      </c>
      <c r="D377" s="4" t="str">
        <f ca="1">VLOOKUP($C377,OFFSET([1]quests!$A$1,0,0,COUNTA([1]quests!$A:$A),MATCH(D$1,[1]quests!$1:$1,0)-MATCH($C$1,[1]quests!$1:$1,0)+1),MATCH(D$1,[1]quests!$1:$1,0)-MATCH($C$1,[1]quests!$1:$1,0)+1,FALSE)</f>
        <v>忍び寄る短剣</v>
      </c>
      <c r="E377" s="4" t="str">
        <f ca="1">VLOOKUP($C377,OFFSET([1]quests!$A$1,0,0,COUNTA([1]quests!$A:$A),MATCH(E$1,[1]quests!$1:$1,0)-MATCH($C$1,[1]quests!$1:$1,0)+1),MATCH(E$1,[1]quests!$1:$1,0)-MATCH($C$1,[1]quests!$1:$1,0)+1,FALSE)</f>
        <v>ドロップイベント1-3</v>
      </c>
      <c r="F377" s="6">
        <v>1</v>
      </c>
      <c r="G377" s="4" t="str">
        <f ca="1">VLOOKUP($C377&amp;"_"&amp;$F377,OFFSET([1]stages!$A$1,0,0,COUNTA([1]stages!$A:$A),MATCH(G$1,[1]stages!$2:$2,0)-MATCH("temp_stage",[1]stages!$2:$2,0)+1),MATCH(G$1,[1]stages!$2:$2,0)-MATCH("temp_stage",[1]stages!$2:$2,0)+1,FALSE)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377" s="4" t="str">
        <f ca="1">VLOOKUP($C377&amp;"_"&amp;$F377,OFFSET([1]stages!$A$1,0,0,COUNTA([1]stages!$A:$A),MATCH(H$1,[1]stages!$2:$2,0)-MATCH("temp_stage",[1]stages!$2:$2,0)+1),MATCH(H$1,[1]stages!$2:$2,0)-MATCH("temp_stage",[1]stages!$2:$2,0)+1,FALSE)</f>
        <v>ドロップイベント1-3</v>
      </c>
      <c r="I377" s="19">
        <v>0</v>
      </c>
      <c r="J377" s="6">
        <f>COUNTIF(C$1:C377,C377)</f>
        <v>1</v>
      </c>
      <c r="K377">
        <v>1</v>
      </c>
      <c r="L377" s="6" t="s">
        <v>17</v>
      </c>
      <c r="M377" s="36" t="str">
        <f>VLOOKUP(K377,[2]stage_hints!$A:$C,3,FALSE)</f>
        <v>長くつなげて大ダメージ</v>
      </c>
      <c r="N377" s="37" t="str">
        <f>VLOOKUP(K377,[2]stage_hints!$A:$D,4,FALSE)</f>
        <v>パネルを長くつなげるほど_x000D_大ダメージを与えることができます</v>
      </c>
      <c r="O377" s="22" t="s">
        <v>117</v>
      </c>
      <c r="P377">
        <v>1</v>
      </c>
    </row>
    <row r="378" spans="1:16" x14ac:dyDescent="0.15">
      <c r="A378" s="29" t="str">
        <f t="shared" si="56"/>
        <v>20003_1_2</v>
      </c>
      <c r="B378" s="27" t="s">
        <v>33</v>
      </c>
      <c r="C378" s="5">
        <v>20003</v>
      </c>
      <c r="D378" s="4" t="str">
        <f ca="1">VLOOKUP($C378,OFFSET([1]quests!$A$1,0,0,COUNTA([1]quests!$A:$A),MATCH(D$1,[1]quests!$1:$1,0)-MATCH($C$1,[1]quests!$1:$1,0)+1),MATCH(D$1,[1]quests!$1:$1,0)-MATCH($C$1,[1]quests!$1:$1,0)+1,FALSE)</f>
        <v>忍び寄る短剣</v>
      </c>
      <c r="E378" s="4" t="str">
        <f ca="1">VLOOKUP($C378,OFFSET([1]quests!$A$1,0,0,COUNTA([1]quests!$A:$A),MATCH(E$1,[1]quests!$1:$1,0)-MATCH($C$1,[1]quests!$1:$1,0)+1),MATCH(E$1,[1]quests!$1:$1,0)-MATCH($C$1,[1]quests!$1:$1,0)+1,FALSE)</f>
        <v>ドロップイベント1-3</v>
      </c>
      <c r="F378" s="6">
        <v>1</v>
      </c>
      <c r="G378" s="4" t="str">
        <f ca="1">VLOOKUP($C378&amp;"_"&amp;$F378,OFFSET([1]stages!$A$1,0,0,COUNTA([1]stages!$A:$A),MATCH(G$1,[1]stages!$2:$2,0)-MATCH("temp_stage",[1]stages!$2:$2,0)+1),MATCH(G$1,[1]stages!$2:$2,0)-MATCH("temp_stage",[1]stages!$2:$2,0)+1,FALSE)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378" s="4" t="str">
        <f ca="1">VLOOKUP($C378&amp;"_"&amp;$F378,OFFSET([1]stages!$A$1,0,0,COUNTA([1]stages!$A:$A),MATCH(H$1,[1]stages!$2:$2,0)-MATCH("temp_stage",[1]stages!$2:$2,0)+1),MATCH(H$1,[1]stages!$2:$2,0)-MATCH("temp_stage",[1]stages!$2:$2,0)+1,FALSE)</f>
        <v>ドロップイベント1-3</v>
      </c>
      <c r="I378" s="19">
        <v>0</v>
      </c>
      <c r="J378" s="6">
        <f>COUNTIF(C$1:C378,C378)</f>
        <v>2</v>
      </c>
      <c r="K378">
        <v>2</v>
      </c>
      <c r="L378" s="6" t="s">
        <v>17</v>
      </c>
      <c r="M378" s="36" t="str">
        <f>VLOOKUP(K378,[2]stage_hints!$A:$C,3,FALSE)</f>
        <v>属性の相性</v>
      </c>
      <c r="N378" s="37" t="str">
        <f>VLOOKUP(K378,[2]stage_hints!$A:$D,4,FALSE)</f>
        <v>赤＞青　青＞黄　黄＞緑　緑＞赤_x000D_敵属性に最適なパーティがオススメです</v>
      </c>
      <c r="O378" s="22" t="s">
        <v>117</v>
      </c>
      <c r="P378">
        <v>2</v>
      </c>
    </row>
    <row r="379" spans="1:16" x14ac:dyDescent="0.15">
      <c r="A379" s="29" t="str">
        <f t="shared" si="56"/>
        <v>20003_1_3</v>
      </c>
      <c r="B379" s="27" t="s">
        <v>33</v>
      </c>
      <c r="C379" s="5">
        <v>20003</v>
      </c>
      <c r="D379" s="4" t="str">
        <f ca="1">VLOOKUP($C379,OFFSET([1]quests!$A$1,0,0,COUNTA([1]quests!$A:$A),MATCH(D$1,[1]quests!$1:$1,0)-MATCH($C$1,[1]quests!$1:$1,0)+1),MATCH(D$1,[1]quests!$1:$1,0)-MATCH($C$1,[1]quests!$1:$1,0)+1,FALSE)</f>
        <v>忍び寄る短剣</v>
      </c>
      <c r="E379" s="4" t="str">
        <f ca="1">VLOOKUP($C379,OFFSET([1]quests!$A$1,0,0,COUNTA([1]quests!$A:$A),MATCH(E$1,[1]quests!$1:$1,0)-MATCH($C$1,[1]quests!$1:$1,0)+1),MATCH(E$1,[1]quests!$1:$1,0)-MATCH($C$1,[1]quests!$1:$1,0)+1,FALSE)</f>
        <v>ドロップイベント1-3</v>
      </c>
      <c r="F379" s="6">
        <v>1</v>
      </c>
      <c r="G379" s="4" t="str">
        <f ca="1">VLOOKUP($C379&amp;"_"&amp;$F379,OFFSET([1]stages!$A$1,0,0,COUNTA([1]stages!$A:$A),MATCH(G$1,[1]stages!$2:$2,0)-MATCH("temp_stage",[1]stages!$2:$2,0)+1),MATCH(G$1,[1]stages!$2:$2,0)-MATCH("temp_stage",[1]stages!$2:$2,0)+1,FALSE)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379" s="4" t="str">
        <f ca="1">VLOOKUP($C379&amp;"_"&amp;$F379,OFFSET([1]stages!$A$1,0,0,COUNTA([1]stages!$A:$A),MATCH(H$1,[1]stages!$2:$2,0)-MATCH("temp_stage",[1]stages!$2:$2,0)+1),MATCH(H$1,[1]stages!$2:$2,0)-MATCH("temp_stage",[1]stages!$2:$2,0)+1,FALSE)</f>
        <v>ドロップイベント1-3</v>
      </c>
      <c r="I379" s="19">
        <v>0</v>
      </c>
      <c r="J379" s="6">
        <f>COUNTIF(C$1:C379,C379)</f>
        <v>3</v>
      </c>
      <c r="K379">
        <v>3</v>
      </c>
      <c r="L379" s="6" t="s">
        <v>17</v>
      </c>
      <c r="M379" s="36" t="str">
        <f>VLOOKUP(K379,[2]stage_hints!$A:$C,3,FALSE)</f>
        <v>ターゲット</v>
      </c>
      <c r="N379" s="37" t="str">
        <f>VLOOKUP(K379,[2]stage_hints!$A:$D,4,FALSE)</f>
        <v>敵ユニットをタップすると_x000D_その敵を狙い撃ちできます</v>
      </c>
      <c r="O379" s="22" t="s">
        <v>117</v>
      </c>
      <c r="P379">
        <v>3</v>
      </c>
    </row>
    <row r="380" spans="1:16" x14ac:dyDescent="0.15">
      <c r="A380" s="29" t="str">
        <f t="shared" si="56"/>
        <v>20003_1_4</v>
      </c>
      <c r="B380" s="27" t="s">
        <v>33</v>
      </c>
      <c r="C380" s="5">
        <v>20003</v>
      </c>
      <c r="D380" s="4" t="str">
        <f ca="1">VLOOKUP($C380,OFFSET([1]quests!$A$1,0,0,COUNTA([1]quests!$A:$A),MATCH(D$1,[1]quests!$1:$1,0)-MATCH($C$1,[1]quests!$1:$1,0)+1),MATCH(D$1,[1]quests!$1:$1,0)-MATCH($C$1,[1]quests!$1:$1,0)+1,FALSE)</f>
        <v>忍び寄る短剣</v>
      </c>
      <c r="E380" s="4" t="str">
        <f ca="1">VLOOKUP($C380,OFFSET([1]quests!$A$1,0,0,COUNTA([1]quests!$A:$A),MATCH(E$1,[1]quests!$1:$1,0)-MATCH($C$1,[1]quests!$1:$1,0)+1),MATCH(E$1,[1]quests!$1:$1,0)-MATCH($C$1,[1]quests!$1:$1,0)+1,FALSE)</f>
        <v>ドロップイベント1-3</v>
      </c>
      <c r="F380" s="6">
        <v>1</v>
      </c>
      <c r="G380" s="4" t="str">
        <f ca="1">VLOOKUP($C380&amp;"_"&amp;$F380,OFFSET([1]stages!$A$1,0,0,COUNTA([1]stages!$A:$A),MATCH(G$1,[1]stages!$2:$2,0)-MATCH("temp_stage",[1]stages!$2:$2,0)+1),MATCH(G$1,[1]stages!$2:$2,0)-MATCH("temp_stage",[1]stages!$2:$2,0)+1,FALSE)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380" s="4" t="str">
        <f ca="1">VLOOKUP($C380&amp;"_"&amp;$F380,OFFSET([1]stages!$A$1,0,0,COUNTA([1]stages!$A:$A),MATCH(H$1,[1]stages!$2:$2,0)-MATCH("temp_stage",[1]stages!$2:$2,0)+1),MATCH(H$1,[1]stages!$2:$2,0)-MATCH("temp_stage",[1]stages!$2:$2,0)+1,FALSE)</f>
        <v>ドロップイベント1-3</v>
      </c>
      <c r="I380" s="19">
        <v>0</v>
      </c>
      <c r="J380" s="6">
        <f>COUNTIF(C$1:C380,C380)</f>
        <v>4</v>
      </c>
      <c r="K380">
        <v>5</v>
      </c>
      <c r="L380" s="6" t="s">
        <v>17</v>
      </c>
      <c r="M380" s="36" t="str">
        <f>VLOOKUP(K380,[2]stage_hints!$A:$C,3,FALSE)</f>
        <v>ユニット強化でレベルアップ</v>
      </c>
      <c r="N380" s="37" t="str">
        <f>VLOOKUP(K380,[2]stage_hints!$A:$D,4,FALSE)</f>
        <v>「ユニット強化」でレベルアップすると_x000D_勝てない敵にも勝てるようになります</v>
      </c>
      <c r="O380" s="22" t="s">
        <v>117</v>
      </c>
      <c r="P380">
        <v>5</v>
      </c>
    </row>
    <row r="381" spans="1:16" x14ac:dyDescent="0.15">
      <c r="A381" s="29" t="str">
        <f t="shared" si="56"/>
        <v>20003_1_5</v>
      </c>
      <c r="B381" s="27" t="s">
        <v>33</v>
      </c>
      <c r="C381" s="5">
        <v>20003</v>
      </c>
      <c r="D381" s="4" t="str">
        <f ca="1">VLOOKUP($C381,OFFSET([1]quests!$A$1,0,0,COUNTA([1]quests!$A:$A),MATCH(D$1,[1]quests!$1:$1,0)-MATCH($C$1,[1]quests!$1:$1,0)+1),MATCH(D$1,[1]quests!$1:$1,0)-MATCH($C$1,[1]quests!$1:$1,0)+1,FALSE)</f>
        <v>忍び寄る短剣</v>
      </c>
      <c r="E381" s="4" t="str">
        <f ca="1">VLOOKUP($C381,OFFSET([1]quests!$A$1,0,0,COUNTA([1]quests!$A:$A),MATCH(E$1,[1]quests!$1:$1,0)-MATCH($C$1,[1]quests!$1:$1,0)+1),MATCH(E$1,[1]quests!$1:$1,0)-MATCH($C$1,[1]quests!$1:$1,0)+1,FALSE)</f>
        <v>ドロップイベント1-3</v>
      </c>
      <c r="F381" s="6">
        <v>1</v>
      </c>
      <c r="G381" s="4" t="str">
        <f ca="1">VLOOKUP($C381&amp;"_"&amp;$F381,OFFSET([1]stages!$A$1,0,0,COUNTA([1]stages!$A:$A),MATCH(G$1,[1]stages!$2:$2,0)-MATCH("temp_stage",[1]stages!$2:$2,0)+1),MATCH(G$1,[1]stages!$2:$2,0)-MATCH("temp_stage",[1]stages!$2:$2,0)+1,FALSE)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381" s="4" t="str">
        <f ca="1">VLOOKUP($C381&amp;"_"&amp;$F381,OFFSET([1]stages!$A$1,0,0,COUNTA([1]stages!$A:$A),MATCH(H$1,[1]stages!$2:$2,0)-MATCH("temp_stage",[1]stages!$2:$2,0)+1),MATCH(H$1,[1]stages!$2:$2,0)-MATCH("temp_stage",[1]stages!$2:$2,0)+1,FALSE)</f>
        <v>ドロップイベント1-3</v>
      </c>
      <c r="I381" s="19">
        <v>0</v>
      </c>
      <c r="J381" s="6">
        <f>COUNTIF(C$1:C381,C381)</f>
        <v>5</v>
      </c>
      <c r="K381">
        <v>6</v>
      </c>
      <c r="L381" s="6" t="s">
        <v>17</v>
      </c>
      <c r="M381" s="36" t="str">
        <f>VLOOKUP(K381,[2]stage_hints!$A:$C,3,FALSE)</f>
        <v>ユニット強化の属性ボーナス</v>
      </c>
      <c r="N381" s="37" t="str">
        <f>VLOOKUP(K381,[2]stage_hints!$A:$D,4,FALSE)</f>
        <v>同属性ユニットを強化素材にすると_x000D_経験値が多くもらえます</v>
      </c>
      <c r="O381" s="22" t="s">
        <v>117</v>
      </c>
      <c r="P381">
        <v>6</v>
      </c>
    </row>
    <row r="382" spans="1:16" x14ac:dyDescent="0.15">
      <c r="A382" s="29" t="str">
        <f t="shared" si="56"/>
        <v>20003_1_6</v>
      </c>
      <c r="B382" s="27" t="s">
        <v>33</v>
      </c>
      <c r="C382" s="5">
        <v>20003</v>
      </c>
      <c r="D382" s="4" t="str">
        <f ca="1">VLOOKUP($C382,OFFSET([1]quests!$A$1,0,0,COUNTA([1]quests!$A:$A),MATCH(D$1,[1]quests!$1:$1,0)-MATCH($C$1,[1]quests!$1:$1,0)+1),MATCH(D$1,[1]quests!$1:$1,0)-MATCH($C$1,[1]quests!$1:$1,0)+1,FALSE)</f>
        <v>忍び寄る短剣</v>
      </c>
      <c r="E382" s="4" t="str">
        <f ca="1">VLOOKUP($C382,OFFSET([1]quests!$A$1,0,0,COUNTA([1]quests!$A:$A),MATCH(E$1,[1]quests!$1:$1,0)-MATCH($C$1,[1]quests!$1:$1,0)+1),MATCH(E$1,[1]quests!$1:$1,0)-MATCH($C$1,[1]quests!$1:$1,0)+1,FALSE)</f>
        <v>ドロップイベント1-3</v>
      </c>
      <c r="F382" s="6">
        <v>1</v>
      </c>
      <c r="G382" s="4" t="str">
        <f ca="1">VLOOKUP($C382&amp;"_"&amp;$F382,OFFSET([1]stages!$A$1,0,0,COUNTA([1]stages!$A:$A),MATCH(G$1,[1]stages!$2:$2,0)-MATCH("temp_stage",[1]stages!$2:$2,0)+1),MATCH(G$1,[1]stages!$2:$2,0)-MATCH("temp_stage",[1]stages!$2:$2,0)+1,FALSE)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382" s="4" t="str">
        <f ca="1">VLOOKUP($C382&amp;"_"&amp;$F382,OFFSET([1]stages!$A$1,0,0,COUNTA([1]stages!$A:$A),MATCH(H$1,[1]stages!$2:$2,0)-MATCH("temp_stage",[1]stages!$2:$2,0)+1),MATCH(H$1,[1]stages!$2:$2,0)-MATCH("temp_stage",[1]stages!$2:$2,0)+1,FALSE)</f>
        <v>ドロップイベント1-3</v>
      </c>
      <c r="I382" s="19">
        <v>0</v>
      </c>
      <c r="J382" s="6">
        <f>COUNTIF(C$1:C382,C382)</f>
        <v>6</v>
      </c>
      <c r="K382">
        <v>7</v>
      </c>
      <c r="L382" s="6" t="s">
        <v>17</v>
      </c>
      <c r="M382" s="36" t="str">
        <f>VLOOKUP(K382,[2]stage_hints!$A:$C,3,FALSE)</f>
        <v>メタルダックで経験値を獲得</v>
      </c>
      <c r="N382" s="37" t="str">
        <f>VLOOKUP(K382,[2]stage_hints!$A:$D,4,FALSE)</f>
        <v>「メタルなアヒル」を強化素材にすると_x000D_大量の経験値がもらえます</v>
      </c>
      <c r="O382" s="22" t="s">
        <v>117</v>
      </c>
      <c r="P382">
        <v>7</v>
      </c>
    </row>
    <row r="383" spans="1:16" x14ac:dyDescent="0.15">
      <c r="A383" s="29" t="str">
        <f t="shared" si="56"/>
        <v>20003_1_7</v>
      </c>
      <c r="B383" s="27" t="s">
        <v>33</v>
      </c>
      <c r="C383" s="5">
        <v>20003</v>
      </c>
      <c r="D383" s="4" t="str">
        <f ca="1">VLOOKUP($C383,OFFSET([1]quests!$A$1,0,0,COUNTA([1]quests!$A:$A),MATCH(D$1,[1]quests!$1:$1,0)-MATCH($C$1,[1]quests!$1:$1,0)+1),MATCH(D$1,[1]quests!$1:$1,0)-MATCH($C$1,[1]quests!$1:$1,0)+1,FALSE)</f>
        <v>忍び寄る短剣</v>
      </c>
      <c r="E383" s="4" t="str">
        <f ca="1">VLOOKUP($C383,OFFSET([1]quests!$A$1,0,0,COUNTA([1]quests!$A:$A),MATCH(E$1,[1]quests!$1:$1,0)-MATCH($C$1,[1]quests!$1:$1,0)+1),MATCH(E$1,[1]quests!$1:$1,0)-MATCH($C$1,[1]quests!$1:$1,0)+1,FALSE)</f>
        <v>ドロップイベント1-3</v>
      </c>
      <c r="F383" s="6">
        <v>1</v>
      </c>
      <c r="G383" s="4" t="str">
        <f ca="1">VLOOKUP($C383&amp;"_"&amp;$F383,OFFSET([1]stages!$A$1,0,0,COUNTA([1]stages!$A:$A),MATCH(G$1,[1]stages!$2:$2,0)-MATCH("temp_stage",[1]stages!$2:$2,0)+1),MATCH(G$1,[1]stages!$2:$2,0)-MATCH("temp_stage",[1]stages!$2:$2,0)+1,FALSE)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383" s="4" t="str">
        <f ca="1">VLOOKUP($C383&amp;"_"&amp;$F383,OFFSET([1]stages!$A$1,0,0,COUNTA([1]stages!$A:$A),MATCH(H$1,[1]stages!$2:$2,0)-MATCH("temp_stage",[1]stages!$2:$2,0)+1),MATCH(H$1,[1]stages!$2:$2,0)-MATCH("temp_stage",[1]stages!$2:$2,0)+1,FALSE)</f>
        <v>ドロップイベント1-3</v>
      </c>
      <c r="I383" s="19">
        <v>0</v>
      </c>
      <c r="J383" s="6">
        <f>COUNTIF(C$1:C383,C383)</f>
        <v>7</v>
      </c>
      <c r="K383">
        <v>8</v>
      </c>
      <c r="L383" s="6" t="s">
        <v>17</v>
      </c>
      <c r="M383" s="36" t="str">
        <f>VLOOKUP(K383,[2]stage_hints!$A:$C,3,FALSE)</f>
        <v>ゲリラクエストは要チェック</v>
      </c>
      <c r="N383" s="37" t="str">
        <f>VLOOKUP(K383,[2]stage_hints!$A:$D,4,FALSE)</f>
        <v>時間限定の「アヒル捕獲作戦」では_x000D_経験値素材ユニットが多く手に入ります</v>
      </c>
      <c r="O383" s="22" t="s">
        <v>117</v>
      </c>
      <c r="P383">
        <v>8</v>
      </c>
    </row>
    <row r="384" spans="1:16" x14ac:dyDescent="0.15">
      <c r="A384" s="29" t="str">
        <f t="shared" si="56"/>
        <v>20003_1_8</v>
      </c>
      <c r="B384" s="27" t="s">
        <v>33</v>
      </c>
      <c r="C384" s="5">
        <v>20003</v>
      </c>
      <c r="D384" s="4" t="str">
        <f ca="1">VLOOKUP($C384,OFFSET([1]quests!$A$1,0,0,COUNTA([1]quests!$A:$A),MATCH(D$1,[1]quests!$1:$1,0)-MATCH($C$1,[1]quests!$1:$1,0)+1),MATCH(D$1,[1]quests!$1:$1,0)-MATCH($C$1,[1]quests!$1:$1,0)+1,FALSE)</f>
        <v>忍び寄る短剣</v>
      </c>
      <c r="E384" s="4" t="str">
        <f ca="1">VLOOKUP($C384,OFFSET([1]quests!$A$1,0,0,COUNTA([1]quests!$A:$A),MATCH(E$1,[1]quests!$1:$1,0)-MATCH($C$1,[1]quests!$1:$1,0)+1),MATCH(E$1,[1]quests!$1:$1,0)-MATCH($C$1,[1]quests!$1:$1,0)+1,FALSE)</f>
        <v>ドロップイベント1-3</v>
      </c>
      <c r="F384" s="6">
        <v>1</v>
      </c>
      <c r="G384" s="4" t="str">
        <f ca="1">VLOOKUP($C384&amp;"_"&amp;$F384,OFFSET([1]stages!$A$1,0,0,COUNTA([1]stages!$A:$A),MATCH(G$1,[1]stages!$2:$2,0)-MATCH("temp_stage",[1]stages!$2:$2,0)+1),MATCH(G$1,[1]stages!$2:$2,0)-MATCH("temp_stage",[1]stages!$2:$2,0)+1,FALSE)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384" s="4" t="str">
        <f ca="1">VLOOKUP($C384&amp;"_"&amp;$F384,OFFSET([1]stages!$A$1,0,0,COUNTA([1]stages!$A:$A),MATCH(H$1,[1]stages!$2:$2,0)-MATCH("temp_stage",[1]stages!$2:$2,0)+1),MATCH(H$1,[1]stages!$2:$2,0)-MATCH("temp_stage",[1]stages!$2:$2,0)+1,FALSE)</f>
        <v>ドロップイベント1-3</v>
      </c>
      <c r="I384" s="19">
        <v>0</v>
      </c>
      <c r="J384" s="6">
        <f>COUNTIF(C$1:C384,C384)</f>
        <v>8</v>
      </c>
      <c r="K384">
        <v>9</v>
      </c>
      <c r="L384" s="6" t="s">
        <v>17</v>
      </c>
      <c r="M384" s="36" t="str">
        <f>VLOOKUP(K384,[2]stage_hints!$A:$C,3,FALSE)</f>
        <v>ゴールドダックでビットを獲得</v>
      </c>
      <c r="N384" s="37" t="str">
        <f>VLOOKUP(K384,[2]stage_hints!$A:$D,4,FALSE)</f>
        <v>「ゴールドなアヒル」を売却すると_x000D_大量のビットがもらえます</v>
      </c>
      <c r="O384" s="22" t="s">
        <v>117</v>
      </c>
      <c r="P384">
        <v>9</v>
      </c>
    </row>
    <row r="385" spans="1:16" x14ac:dyDescent="0.15">
      <c r="A385" s="29" t="str">
        <f t="shared" si="56"/>
        <v>20003_1_9</v>
      </c>
      <c r="B385" s="27" t="s">
        <v>33</v>
      </c>
      <c r="C385" s="5">
        <v>20003</v>
      </c>
      <c r="D385" s="4" t="str">
        <f ca="1">VLOOKUP($C385,OFFSET([1]quests!$A$1,0,0,COUNTA([1]quests!$A:$A),MATCH(D$1,[1]quests!$1:$1,0)-MATCH($C$1,[1]quests!$1:$1,0)+1),MATCH(D$1,[1]quests!$1:$1,0)-MATCH($C$1,[1]quests!$1:$1,0)+1,FALSE)</f>
        <v>忍び寄る短剣</v>
      </c>
      <c r="E385" s="4" t="str">
        <f ca="1">VLOOKUP($C385,OFFSET([1]quests!$A$1,0,0,COUNTA([1]quests!$A:$A),MATCH(E$1,[1]quests!$1:$1,0)-MATCH($C$1,[1]quests!$1:$1,0)+1),MATCH(E$1,[1]quests!$1:$1,0)-MATCH($C$1,[1]quests!$1:$1,0)+1,FALSE)</f>
        <v>ドロップイベント1-3</v>
      </c>
      <c r="F385" s="6">
        <v>1</v>
      </c>
      <c r="G385" s="4" t="str">
        <f ca="1">VLOOKUP($C385&amp;"_"&amp;$F385,OFFSET([1]stages!$A$1,0,0,COUNTA([1]stages!$A:$A),MATCH(G$1,[1]stages!$2:$2,0)-MATCH("temp_stage",[1]stages!$2:$2,0)+1),MATCH(G$1,[1]stages!$2:$2,0)-MATCH("temp_stage",[1]stages!$2:$2,0)+1,FALSE)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385" s="4" t="str">
        <f ca="1">VLOOKUP($C385&amp;"_"&amp;$F385,OFFSET([1]stages!$A$1,0,0,COUNTA([1]stages!$A:$A),MATCH(H$1,[1]stages!$2:$2,0)-MATCH("temp_stage",[1]stages!$2:$2,0)+1),MATCH(H$1,[1]stages!$2:$2,0)-MATCH("temp_stage",[1]stages!$2:$2,0)+1,FALSE)</f>
        <v>ドロップイベント1-3</v>
      </c>
      <c r="I385" s="19">
        <v>0</v>
      </c>
      <c r="J385" s="6">
        <f>COUNTIF(C$1:C385,C385)</f>
        <v>9</v>
      </c>
      <c r="K385">
        <v>10</v>
      </c>
      <c r="L385" s="6" t="s">
        <v>17</v>
      </c>
      <c r="M385" s="36" t="str">
        <f>VLOOKUP(K385,[2]stage_hints!$A:$C,3,FALSE)</f>
        <v>土日に大量のビットを獲得</v>
      </c>
      <c r="N385" s="37" t="str">
        <f>VLOOKUP(K385,[2]stage_hints!$A:$D,4,FALSE)</f>
        <v>土日限定の「ゴールドカジノ」では_x000D_売却素材ユニットが多く手に入ります</v>
      </c>
      <c r="O385" s="22" t="s">
        <v>117</v>
      </c>
      <c r="P385">
        <v>10</v>
      </c>
    </row>
    <row r="386" spans="1:16" x14ac:dyDescent="0.15">
      <c r="A386" s="29" t="str">
        <f t="shared" ref="A386:A395" si="57">C386&amp;"_"&amp;F386&amp;"_"&amp;J386</f>
        <v>20003_1_10</v>
      </c>
      <c r="B386" s="27" t="s">
        <v>33</v>
      </c>
      <c r="C386" s="5">
        <v>20003</v>
      </c>
      <c r="D386" s="4" t="str">
        <f ca="1">VLOOKUP($C386,OFFSET([1]quests!$A$1,0,0,COUNTA([1]quests!$A:$A),MATCH(D$1,[1]quests!$1:$1,0)-MATCH($C$1,[1]quests!$1:$1,0)+1),MATCH(D$1,[1]quests!$1:$1,0)-MATCH($C$1,[1]quests!$1:$1,0)+1,FALSE)</f>
        <v>忍び寄る短剣</v>
      </c>
      <c r="E386" s="4" t="str">
        <f ca="1">VLOOKUP($C386,OFFSET([1]quests!$A$1,0,0,COUNTA([1]quests!$A:$A),MATCH(E$1,[1]quests!$1:$1,0)-MATCH($C$1,[1]quests!$1:$1,0)+1),MATCH(E$1,[1]quests!$1:$1,0)-MATCH($C$1,[1]quests!$1:$1,0)+1,FALSE)</f>
        <v>ドロップイベント1-3</v>
      </c>
      <c r="F386" s="6">
        <v>1</v>
      </c>
      <c r="G386" s="4" t="str">
        <f ca="1">VLOOKUP($C386&amp;"_"&amp;$F386,OFFSET([1]stages!$A$1,0,0,COUNTA([1]stages!$A:$A),MATCH(G$1,[1]stages!$2:$2,0)-MATCH("temp_stage",[1]stages!$2:$2,0)+1),MATCH(G$1,[1]stages!$2:$2,0)-MATCH("temp_stage",[1]stages!$2:$2,0)+1,FALSE)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386" s="4" t="str">
        <f ca="1">VLOOKUP($C386&amp;"_"&amp;$F386,OFFSET([1]stages!$A$1,0,0,COUNTA([1]stages!$A:$A),MATCH(H$1,[1]stages!$2:$2,0)-MATCH("temp_stage",[1]stages!$2:$2,0)+1),MATCH(H$1,[1]stages!$2:$2,0)-MATCH("temp_stage",[1]stages!$2:$2,0)+1,FALSE)</f>
        <v>ドロップイベント1-3</v>
      </c>
      <c r="I386" s="19">
        <v>0</v>
      </c>
      <c r="J386" s="6">
        <f>COUNTIF(C$1:C386,C386)</f>
        <v>10</v>
      </c>
      <c r="K386">
        <v>11</v>
      </c>
      <c r="L386" s="6" t="s">
        <v>17</v>
      </c>
      <c r="M386" s="36" t="str">
        <f>VLOOKUP(K386,[2]stage_hints!$A:$C,3,FALSE)</f>
        <v>ランク解放クエスト</v>
      </c>
      <c r="N386" s="37" t="str">
        <f>VLOOKUP(K386,[2]stage_hints!$A:$D,4,FALSE)</f>
        <v>一定ランクに到達すると_x000D_報酬付きのランク開放クエストが現れます</v>
      </c>
      <c r="O386" s="22" t="s">
        <v>117</v>
      </c>
      <c r="P386">
        <v>11</v>
      </c>
    </row>
    <row r="387" spans="1:16" x14ac:dyDescent="0.15">
      <c r="A387" s="29" t="str">
        <f t="shared" si="57"/>
        <v>20003_1_11</v>
      </c>
      <c r="B387" s="27" t="s">
        <v>33</v>
      </c>
      <c r="C387" s="5">
        <v>20003</v>
      </c>
      <c r="D387" s="4" t="str">
        <f ca="1">VLOOKUP($C387,OFFSET([1]quests!$A$1,0,0,COUNTA([1]quests!$A:$A),MATCH(D$1,[1]quests!$1:$1,0)-MATCH($C$1,[1]quests!$1:$1,0)+1),MATCH(D$1,[1]quests!$1:$1,0)-MATCH($C$1,[1]quests!$1:$1,0)+1,FALSE)</f>
        <v>忍び寄る短剣</v>
      </c>
      <c r="E387" s="4" t="str">
        <f ca="1">VLOOKUP($C387,OFFSET([1]quests!$A$1,0,0,COUNTA([1]quests!$A:$A),MATCH(E$1,[1]quests!$1:$1,0)-MATCH($C$1,[1]quests!$1:$1,0)+1),MATCH(E$1,[1]quests!$1:$1,0)-MATCH($C$1,[1]quests!$1:$1,0)+1,FALSE)</f>
        <v>ドロップイベント1-3</v>
      </c>
      <c r="F387" s="6">
        <v>1</v>
      </c>
      <c r="G387" s="4" t="str">
        <f ca="1">VLOOKUP($C387&amp;"_"&amp;$F387,OFFSET([1]stages!$A$1,0,0,COUNTA([1]stages!$A:$A),MATCH(G$1,[1]stages!$2:$2,0)-MATCH("temp_stage",[1]stages!$2:$2,0)+1),MATCH(G$1,[1]stages!$2:$2,0)-MATCH("temp_stage",[1]stages!$2:$2,0)+1,FALSE)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387" s="4" t="str">
        <f ca="1">VLOOKUP($C387&amp;"_"&amp;$F387,OFFSET([1]stages!$A$1,0,0,COUNTA([1]stages!$A:$A),MATCH(H$1,[1]stages!$2:$2,0)-MATCH("temp_stage",[1]stages!$2:$2,0)+1),MATCH(H$1,[1]stages!$2:$2,0)-MATCH("temp_stage",[1]stages!$2:$2,0)+1,FALSE)</f>
        <v>ドロップイベント1-3</v>
      </c>
      <c r="I387" s="19">
        <v>0</v>
      </c>
      <c r="J387" s="6">
        <f>COUNTIF(C$1:C387,C387)</f>
        <v>11</v>
      </c>
      <c r="K387">
        <v>12</v>
      </c>
      <c r="L387" s="6" t="s">
        <v>17</v>
      </c>
      <c r="M387" s="36" t="str">
        <f>VLOOKUP(K387,[2]stage_hints!$A:$C,3,FALSE)</f>
        <v>ユニットのお気に入り登録</v>
      </c>
      <c r="N387" s="37" t="str">
        <f>VLOOKUP(K387,[2]stage_hints!$A:$D,4,FALSE)</f>
        <v>大事なユニットを誤って消さないように_x000D_フォルダから「お気に入り登録」しましょう</v>
      </c>
      <c r="O387" s="22" t="s">
        <v>117</v>
      </c>
      <c r="P387">
        <v>12</v>
      </c>
    </row>
    <row r="388" spans="1:16" x14ac:dyDescent="0.15">
      <c r="A388" s="29" t="str">
        <f t="shared" si="57"/>
        <v>20003_1_12</v>
      </c>
      <c r="B388" s="27" t="s">
        <v>33</v>
      </c>
      <c r="C388" s="5">
        <v>20003</v>
      </c>
      <c r="D388" s="4" t="str">
        <f ca="1">VLOOKUP($C388,OFFSET([1]quests!$A$1,0,0,COUNTA([1]quests!$A:$A),MATCH(D$1,[1]quests!$1:$1,0)-MATCH($C$1,[1]quests!$1:$1,0)+1),MATCH(D$1,[1]quests!$1:$1,0)-MATCH($C$1,[1]quests!$1:$1,0)+1,FALSE)</f>
        <v>忍び寄る短剣</v>
      </c>
      <c r="E388" s="4" t="str">
        <f ca="1">VLOOKUP($C388,OFFSET([1]quests!$A$1,0,0,COUNTA([1]quests!$A:$A),MATCH(E$1,[1]quests!$1:$1,0)-MATCH($C$1,[1]quests!$1:$1,0)+1),MATCH(E$1,[1]quests!$1:$1,0)-MATCH($C$1,[1]quests!$1:$1,0)+1,FALSE)</f>
        <v>ドロップイベント1-3</v>
      </c>
      <c r="F388" s="6">
        <v>1</v>
      </c>
      <c r="G388" s="4" t="str">
        <f ca="1">VLOOKUP($C388&amp;"_"&amp;$F388,OFFSET([1]stages!$A$1,0,0,COUNTA([1]stages!$A:$A),MATCH(G$1,[1]stages!$2:$2,0)-MATCH("temp_stage",[1]stages!$2:$2,0)+1),MATCH(G$1,[1]stages!$2:$2,0)-MATCH("temp_stage",[1]stages!$2:$2,0)+1,FALSE)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388" s="4" t="str">
        <f ca="1">VLOOKUP($C388&amp;"_"&amp;$F388,OFFSET([1]stages!$A$1,0,0,COUNTA([1]stages!$A:$A),MATCH(H$1,[1]stages!$2:$2,0)-MATCH("temp_stage",[1]stages!$2:$2,0)+1),MATCH(H$1,[1]stages!$2:$2,0)-MATCH("temp_stage",[1]stages!$2:$2,0)+1,FALSE)</f>
        <v>ドロップイベント1-3</v>
      </c>
      <c r="I388" s="19">
        <v>0</v>
      </c>
      <c r="J388" s="6">
        <f>COUNTIF(C$1:C388,C388)</f>
        <v>12</v>
      </c>
      <c r="K388">
        <v>13</v>
      </c>
      <c r="L388" s="6" t="s">
        <v>17</v>
      </c>
      <c r="M388" s="36" t="str">
        <f>VLOOKUP(K388,[2]stage_hints!$A:$C,3,FALSE)</f>
        <v>ユニットの覚醒</v>
      </c>
      <c r="N388" s="37" t="str">
        <f>VLOOKUP(K388,[2]stage_hints!$A:$D,4,FALSE)</f>
        <v>ユニットを覚醒させると_x000D_比べものにならない強さが手に入ります</v>
      </c>
      <c r="O388" s="22" t="s">
        <v>117</v>
      </c>
      <c r="P388">
        <v>13</v>
      </c>
    </row>
    <row r="389" spans="1:16" x14ac:dyDescent="0.15">
      <c r="A389" s="29" t="str">
        <f t="shared" si="57"/>
        <v>20003_1_13</v>
      </c>
      <c r="B389" s="27" t="s">
        <v>33</v>
      </c>
      <c r="C389" s="5">
        <v>20003</v>
      </c>
      <c r="D389" s="4" t="str">
        <f ca="1">VLOOKUP($C389,OFFSET([1]quests!$A$1,0,0,COUNTA([1]quests!$A:$A),MATCH(D$1,[1]quests!$1:$1,0)-MATCH($C$1,[1]quests!$1:$1,0)+1),MATCH(D$1,[1]quests!$1:$1,0)-MATCH($C$1,[1]quests!$1:$1,0)+1,FALSE)</f>
        <v>忍び寄る短剣</v>
      </c>
      <c r="E389" s="4" t="str">
        <f ca="1">VLOOKUP($C389,OFFSET([1]quests!$A$1,0,0,COUNTA([1]quests!$A:$A),MATCH(E$1,[1]quests!$1:$1,0)-MATCH($C$1,[1]quests!$1:$1,0)+1),MATCH(E$1,[1]quests!$1:$1,0)-MATCH($C$1,[1]quests!$1:$1,0)+1,FALSE)</f>
        <v>ドロップイベント1-3</v>
      </c>
      <c r="F389" s="6">
        <v>1</v>
      </c>
      <c r="G389" s="4" t="str">
        <f ca="1">VLOOKUP($C389&amp;"_"&amp;$F389,OFFSET([1]stages!$A$1,0,0,COUNTA([1]stages!$A:$A),MATCH(G$1,[1]stages!$2:$2,0)-MATCH("temp_stage",[1]stages!$2:$2,0)+1),MATCH(G$1,[1]stages!$2:$2,0)-MATCH("temp_stage",[1]stages!$2:$2,0)+1,FALSE)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389" s="4" t="str">
        <f ca="1">VLOOKUP($C389&amp;"_"&amp;$F389,OFFSET([1]stages!$A$1,0,0,COUNTA([1]stages!$A:$A),MATCH(H$1,[1]stages!$2:$2,0)-MATCH("temp_stage",[1]stages!$2:$2,0)+1),MATCH(H$1,[1]stages!$2:$2,0)-MATCH("temp_stage",[1]stages!$2:$2,0)+1,FALSE)</f>
        <v>ドロップイベント1-3</v>
      </c>
      <c r="I389" s="19">
        <v>0</v>
      </c>
      <c r="J389" s="6">
        <f>COUNTIF(C$1:C389,C389)</f>
        <v>13</v>
      </c>
      <c r="K389">
        <v>14</v>
      </c>
      <c r="L389" s="6" t="s">
        <v>17</v>
      </c>
      <c r="M389" s="36" t="str">
        <f>VLOOKUP(K389,[2]stage_hints!$A:$C,3,FALSE)</f>
        <v>覚醒するにはレベルを最大に</v>
      </c>
      <c r="N389" s="37" t="str">
        <f>VLOOKUP(K389,[2]stage_hints!$A:$D,4,FALSE)</f>
        <v>覚醒するにはユニットのレベルを_x000D_最大まで上げる必要があります</v>
      </c>
      <c r="O389" s="22" t="s">
        <v>117</v>
      </c>
      <c r="P389">
        <v>14</v>
      </c>
    </row>
    <row r="390" spans="1:16" x14ac:dyDescent="0.15">
      <c r="A390" s="29" t="str">
        <f t="shared" si="57"/>
        <v>20003_1_14</v>
      </c>
      <c r="B390" s="27" t="s">
        <v>33</v>
      </c>
      <c r="C390" s="5">
        <v>20003</v>
      </c>
      <c r="D390" s="4" t="str">
        <f ca="1">VLOOKUP($C390,OFFSET([1]quests!$A$1,0,0,COUNTA([1]quests!$A:$A),MATCH(D$1,[1]quests!$1:$1,0)-MATCH($C$1,[1]quests!$1:$1,0)+1),MATCH(D$1,[1]quests!$1:$1,0)-MATCH($C$1,[1]quests!$1:$1,0)+1,FALSE)</f>
        <v>忍び寄る短剣</v>
      </c>
      <c r="E390" s="4" t="str">
        <f ca="1">VLOOKUP($C390,OFFSET([1]quests!$A$1,0,0,COUNTA([1]quests!$A:$A),MATCH(E$1,[1]quests!$1:$1,0)-MATCH($C$1,[1]quests!$1:$1,0)+1),MATCH(E$1,[1]quests!$1:$1,0)-MATCH($C$1,[1]quests!$1:$1,0)+1,FALSE)</f>
        <v>ドロップイベント1-3</v>
      </c>
      <c r="F390" s="6">
        <v>1</v>
      </c>
      <c r="G390" s="4" t="str">
        <f ca="1">VLOOKUP($C390&amp;"_"&amp;$F390,OFFSET([1]stages!$A$1,0,0,COUNTA([1]stages!$A:$A),MATCH(G$1,[1]stages!$2:$2,0)-MATCH("temp_stage",[1]stages!$2:$2,0)+1),MATCH(G$1,[1]stages!$2:$2,0)-MATCH("temp_stage",[1]stages!$2:$2,0)+1,FALSE)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390" s="4" t="str">
        <f ca="1">VLOOKUP($C390&amp;"_"&amp;$F390,OFFSET([1]stages!$A$1,0,0,COUNTA([1]stages!$A:$A),MATCH(H$1,[1]stages!$2:$2,0)-MATCH("temp_stage",[1]stages!$2:$2,0)+1),MATCH(H$1,[1]stages!$2:$2,0)-MATCH("temp_stage",[1]stages!$2:$2,0)+1,FALSE)</f>
        <v>ドロップイベント1-3</v>
      </c>
      <c r="I390" s="19">
        <v>0</v>
      </c>
      <c r="J390" s="6">
        <f>COUNTIF(C$1:C390,C390)</f>
        <v>14</v>
      </c>
      <c r="K390">
        <v>15</v>
      </c>
      <c r="L390" s="6" t="s">
        <v>17</v>
      </c>
      <c r="M390" s="36" t="str">
        <f>VLOOKUP(K390,[2]stage_hints!$A:$C,3,FALSE)</f>
        <v>覚醒素材を獲得</v>
      </c>
      <c r="N390" s="37" t="str">
        <f>VLOOKUP(K390,[2]stage_hints!$A:$D,4,FALSE)</f>
        <v>「曜日クエスト」では_x000D_ユニットの覚醒に必要な素材が手に入ります</v>
      </c>
      <c r="O390" s="22" t="s">
        <v>117</v>
      </c>
      <c r="P390">
        <v>15</v>
      </c>
    </row>
    <row r="391" spans="1:16" x14ac:dyDescent="0.15">
      <c r="A391" s="29" t="str">
        <f t="shared" si="57"/>
        <v>20003_1_15</v>
      </c>
      <c r="B391" s="27" t="s">
        <v>33</v>
      </c>
      <c r="C391" s="5">
        <v>20003</v>
      </c>
      <c r="D391" s="4" t="str">
        <f ca="1">VLOOKUP($C391,OFFSET([1]quests!$A$1,0,0,COUNTA([1]quests!$A:$A),MATCH(D$1,[1]quests!$1:$1,0)-MATCH($C$1,[1]quests!$1:$1,0)+1),MATCH(D$1,[1]quests!$1:$1,0)-MATCH($C$1,[1]quests!$1:$1,0)+1,FALSE)</f>
        <v>忍び寄る短剣</v>
      </c>
      <c r="E391" s="4" t="str">
        <f ca="1">VLOOKUP($C391,OFFSET([1]quests!$A$1,0,0,COUNTA([1]quests!$A:$A),MATCH(E$1,[1]quests!$1:$1,0)-MATCH($C$1,[1]quests!$1:$1,0)+1),MATCH(E$1,[1]quests!$1:$1,0)-MATCH($C$1,[1]quests!$1:$1,0)+1,FALSE)</f>
        <v>ドロップイベント1-3</v>
      </c>
      <c r="F391" s="6">
        <v>1</v>
      </c>
      <c r="G391" s="4" t="str">
        <f ca="1">VLOOKUP($C391&amp;"_"&amp;$F391,OFFSET([1]stages!$A$1,0,0,COUNTA([1]stages!$A:$A),MATCH(G$1,[1]stages!$2:$2,0)-MATCH("temp_stage",[1]stages!$2:$2,0)+1),MATCH(G$1,[1]stages!$2:$2,0)-MATCH("temp_stage",[1]stages!$2:$2,0)+1,FALSE)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391" s="4" t="str">
        <f ca="1">VLOOKUP($C391&amp;"_"&amp;$F391,OFFSET([1]stages!$A$1,0,0,COUNTA([1]stages!$A:$A),MATCH(H$1,[1]stages!$2:$2,0)-MATCH("temp_stage",[1]stages!$2:$2,0)+1),MATCH(H$1,[1]stages!$2:$2,0)-MATCH("temp_stage",[1]stages!$2:$2,0)+1,FALSE)</f>
        <v>ドロップイベント1-3</v>
      </c>
      <c r="I391" s="19">
        <v>0</v>
      </c>
      <c r="J391" s="6">
        <f>COUNTIF(C$1:C391,C391)</f>
        <v>15</v>
      </c>
      <c r="K391">
        <v>16</v>
      </c>
      <c r="L391" s="6" t="s">
        <v>17</v>
      </c>
      <c r="M391" s="36" t="str">
        <f>VLOOKUP(K391,[2]stage_hints!$A:$C,3,FALSE)</f>
        <v>マルチプレイのメリット（その1）</v>
      </c>
      <c r="N391" s="37" t="str">
        <f>VLOOKUP(K391,[2]stage_hints!$A:$D,4,FALSE)</f>
        <v>他のプレイヤーとマルチプレイで遊ぶと_x000D_ポリゴンがもらえます（100人まで）</v>
      </c>
      <c r="O391" s="22" t="s">
        <v>117</v>
      </c>
      <c r="P391">
        <v>16</v>
      </c>
    </row>
    <row r="392" spans="1:16" x14ac:dyDescent="0.15">
      <c r="A392" s="29" t="str">
        <f t="shared" si="57"/>
        <v>20003_1_16</v>
      </c>
      <c r="B392" s="27" t="s">
        <v>33</v>
      </c>
      <c r="C392" s="5">
        <v>20003</v>
      </c>
      <c r="D392" s="4" t="str">
        <f ca="1">VLOOKUP($C392,OFFSET([1]quests!$A$1,0,0,COUNTA([1]quests!$A:$A),MATCH(D$1,[1]quests!$1:$1,0)-MATCH($C$1,[1]quests!$1:$1,0)+1),MATCH(D$1,[1]quests!$1:$1,0)-MATCH($C$1,[1]quests!$1:$1,0)+1,FALSE)</f>
        <v>忍び寄る短剣</v>
      </c>
      <c r="E392" s="4" t="str">
        <f ca="1">VLOOKUP($C392,OFFSET([1]quests!$A$1,0,0,COUNTA([1]quests!$A:$A),MATCH(E$1,[1]quests!$1:$1,0)-MATCH($C$1,[1]quests!$1:$1,0)+1),MATCH(E$1,[1]quests!$1:$1,0)-MATCH($C$1,[1]quests!$1:$1,0)+1,FALSE)</f>
        <v>ドロップイベント1-3</v>
      </c>
      <c r="F392" s="6">
        <v>1</v>
      </c>
      <c r="G392" s="4" t="str">
        <f ca="1">VLOOKUP($C392&amp;"_"&amp;$F392,OFFSET([1]stages!$A$1,0,0,COUNTA([1]stages!$A:$A),MATCH(G$1,[1]stages!$2:$2,0)-MATCH("temp_stage",[1]stages!$2:$2,0)+1),MATCH(G$1,[1]stages!$2:$2,0)-MATCH("temp_stage",[1]stages!$2:$2,0)+1,FALSE)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392" s="4" t="str">
        <f ca="1">VLOOKUP($C392&amp;"_"&amp;$F392,OFFSET([1]stages!$A$1,0,0,COUNTA([1]stages!$A:$A),MATCH(H$1,[1]stages!$2:$2,0)-MATCH("temp_stage",[1]stages!$2:$2,0)+1),MATCH(H$1,[1]stages!$2:$2,0)-MATCH("temp_stage",[1]stages!$2:$2,0)+1,FALSE)</f>
        <v>ドロップイベント1-3</v>
      </c>
      <c r="I392" s="19">
        <v>0</v>
      </c>
      <c r="J392" s="6">
        <f>COUNTIF(C$1:C392,C392)</f>
        <v>16</v>
      </c>
      <c r="K392">
        <v>17</v>
      </c>
      <c r="L392" s="6" t="s">
        <v>17</v>
      </c>
      <c r="M392" s="36" t="str">
        <f>VLOOKUP(K392,[2]stage_hints!$A:$C,3,FALSE)</f>
        <v>リンクガチャ</v>
      </c>
      <c r="N392" s="37" t="str">
        <f>VLOOKUP(K392,[2]stage_hints!$A:$D,4,FALSE)</f>
        <v>無料のリンクガチャを回して_x000D_経験値素材や売却素材を獲得しましょう</v>
      </c>
      <c r="O392" s="22" t="s">
        <v>117</v>
      </c>
      <c r="P392">
        <v>17</v>
      </c>
    </row>
    <row r="393" spans="1:16" x14ac:dyDescent="0.15">
      <c r="A393" s="29" t="str">
        <f t="shared" si="57"/>
        <v>20003_1_17</v>
      </c>
      <c r="B393" s="27" t="s">
        <v>33</v>
      </c>
      <c r="C393" s="5">
        <v>20003</v>
      </c>
      <c r="D393" s="4" t="str">
        <f ca="1">VLOOKUP($C393,OFFSET([1]quests!$A$1,0,0,COUNTA([1]quests!$A:$A),MATCH(D$1,[1]quests!$1:$1,0)-MATCH($C$1,[1]quests!$1:$1,0)+1),MATCH(D$1,[1]quests!$1:$1,0)-MATCH($C$1,[1]quests!$1:$1,0)+1,FALSE)</f>
        <v>忍び寄る短剣</v>
      </c>
      <c r="E393" s="4" t="str">
        <f ca="1">VLOOKUP($C393,OFFSET([1]quests!$A$1,0,0,COUNTA([1]quests!$A:$A),MATCH(E$1,[1]quests!$1:$1,0)-MATCH($C$1,[1]quests!$1:$1,0)+1),MATCH(E$1,[1]quests!$1:$1,0)-MATCH($C$1,[1]quests!$1:$1,0)+1,FALSE)</f>
        <v>ドロップイベント1-3</v>
      </c>
      <c r="F393" s="6">
        <v>1</v>
      </c>
      <c r="G393" s="4" t="str">
        <f ca="1">VLOOKUP($C393&amp;"_"&amp;$F393,OFFSET([1]stages!$A$1,0,0,COUNTA([1]stages!$A:$A),MATCH(G$1,[1]stages!$2:$2,0)-MATCH("temp_stage",[1]stages!$2:$2,0)+1),MATCH(G$1,[1]stages!$2:$2,0)-MATCH("temp_stage",[1]stages!$2:$2,0)+1,FALSE)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393" s="4" t="str">
        <f ca="1">VLOOKUP($C393&amp;"_"&amp;$F393,OFFSET([1]stages!$A$1,0,0,COUNTA([1]stages!$A:$A),MATCH(H$1,[1]stages!$2:$2,0)-MATCH("temp_stage",[1]stages!$2:$2,0)+1),MATCH(H$1,[1]stages!$2:$2,0)-MATCH("temp_stage",[1]stages!$2:$2,0)+1,FALSE)</f>
        <v>ドロップイベント1-3</v>
      </c>
      <c r="I393" s="19">
        <v>0</v>
      </c>
      <c r="J393" s="6">
        <f>COUNTIF(C$1:C393,C393)</f>
        <v>17</v>
      </c>
      <c r="K393">
        <v>18</v>
      </c>
      <c r="L393" s="6" t="s">
        <v>17</v>
      </c>
      <c r="M393" s="36" t="str">
        <f>VLOOKUP(K393,[2]stage_hints!$A:$C,3,FALSE)</f>
        <v>マルチプレイのメリット（その2）</v>
      </c>
      <c r="N393" s="37" t="str">
        <f>VLOOKUP(K393,[2]stage_hints!$A:$D,4,FALSE)</f>
        <v>マルチプレイならリンクが2倍もらえます_x000D_リンクガチャをたくさん回しましょう</v>
      </c>
      <c r="O393" s="22" t="s">
        <v>117</v>
      </c>
      <c r="P393">
        <v>18</v>
      </c>
    </row>
    <row r="394" spans="1:16" x14ac:dyDescent="0.15">
      <c r="A394" s="29" t="str">
        <f t="shared" si="57"/>
        <v>20003_1_18</v>
      </c>
      <c r="B394" s="27" t="s">
        <v>33</v>
      </c>
      <c r="C394" s="5">
        <v>20003</v>
      </c>
      <c r="D394" s="4" t="str">
        <f ca="1">VLOOKUP($C394,OFFSET([1]quests!$A$1,0,0,COUNTA([1]quests!$A:$A),MATCH(D$1,[1]quests!$1:$1,0)-MATCH($C$1,[1]quests!$1:$1,0)+1),MATCH(D$1,[1]quests!$1:$1,0)-MATCH($C$1,[1]quests!$1:$1,0)+1,FALSE)</f>
        <v>忍び寄る短剣</v>
      </c>
      <c r="E394" s="4" t="str">
        <f ca="1">VLOOKUP($C394,OFFSET([1]quests!$A$1,0,0,COUNTA([1]quests!$A:$A),MATCH(E$1,[1]quests!$1:$1,0)-MATCH($C$1,[1]quests!$1:$1,0)+1),MATCH(E$1,[1]quests!$1:$1,0)-MATCH($C$1,[1]quests!$1:$1,0)+1,FALSE)</f>
        <v>ドロップイベント1-3</v>
      </c>
      <c r="F394" s="6">
        <v>1</v>
      </c>
      <c r="G394" s="4" t="str">
        <f ca="1">VLOOKUP($C394&amp;"_"&amp;$F394,OFFSET([1]stages!$A$1,0,0,COUNTA([1]stages!$A:$A),MATCH(G$1,[1]stages!$2:$2,0)-MATCH("temp_stage",[1]stages!$2:$2,0)+1),MATCH(G$1,[1]stages!$2:$2,0)-MATCH("temp_stage",[1]stages!$2:$2,0)+1,FALSE)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394" s="4" t="str">
        <f ca="1">VLOOKUP($C394&amp;"_"&amp;$F394,OFFSET([1]stages!$A$1,0,0,COUNTA([1]stages!$A:$A),MATCH(H$1,[1]stages!$2:$2,0)-MATCH("temp_stage",[1]stages!$2:$2,0)+1),MATCH(H$1,[1]stages!$2:$2,0)-MATCH("temp_stage",[1]stages!$2:$2,0)+1,FALSE)</f>
        <v>ドロップイベント1-3</v>
      </c>
      <c r="I394" s="19">
        <v>0</v>
      </c>
      <c r="J394" s="6">
        <f>COUNTIF(C$1:C394,C394)</f>
        <v>18</v>
      </c>
      <c r="K394">
        <v>19</v>
      </c>
      <c r="L394" s="6" t="s">
        <v>17</v>
      </c>
      <c r="M394" s="36" t="str">
        <f>VLOOKUP(K394,[2]stage_hints!$A:$C,3,FALSE)</f>
        <v>ソロ専用チャレンジタワー</v>
      </c>
      <c r="N394" s="37" t="str">
        <f>VLOOKUP(K394,[2]stage_hints!$A:$D,4,FALSE)</f>
        <v>ソロ専用の「チャレンジタワー」では_x000D_各フロアごとにクリア報酬がもらえます</v>
      </c>
      <c r="O394" s="22" t="s">
        <v>117</v>
      </c>
      <c r="P394">
        <v>19</v>
      </c>
    </row>
    <row r="395" spans="1:16" x14ac:dyDescent="0.15">
      <c r="A395" s="29" t="str">
        <f t="shared" si="57"/>
        <v>20003_1_19</v>
      </c>
      <c r="B395" s="27" t="s">
        <v>33</v>
      </c>
      <c r="C395" s="5">
        <v>20003</v>
      </c>
      <c r="D395" s="4" t="str">
        <f ca="1">VLOOKUP($C395,OFFSET([1]quests!$A$1,0,0,COUNTA([1]quests!$A:$A),MATCH(D$1,[1]quests!$1:$1,0)-MATCH($C$1,[1]quests!$1:$1,0)+1),MATCH(D$1,[1]quests!$1:$1,0)-MATCH($C$1,[1]quests!$1:$1,0)+1,FALSE)</f>
        <v>忍び寄る短剣</v>
      </c>
      <c r="E395" s="4" t="str">
        <f ca="1">VLOOKUP($C395,OFFSET([1]quests!$A$1,0,0,COUNTA([1]quests!$A:$A),MATCH(E$1,[1]quests!$1:$1,0)-MATCH($C$1,[1]quests!$1:$1,0)+1),MATCH(E$1,[1]quests!$1:$1,0)-MATCH($C$1,[1]quests!$1:$1,0)+1,FALSE)</f>
        <v>ドロップイベント1-3</v>
      </c>
      <c r="F395" s="6">
        <v>1</v>
      </c>
      <c r="G395" s="4" t="str">
        <f ca="1">VLOOKUP($C395&amp;"_"&amp;$F395,OFFSET([1]stages!$A$1,0,0,COUNTA([1]stages!$A:$A),MATCH(G$1,[1]stages!$2:$2,0)-MATCH("temp_stage",[1]stages!$2:$2,0)+1),MATCH(G$1,[1]stages!$2:$2,0)-MATCH("temp_stage",[1]stages!$2:$2,0)+1,FALSE)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395" s="4" t="str">
        <f ca="1">VLOOKUP($C395&amp;"_"&amp;$F395,OFFSET([1]stages!$A$1,0,0,COUNTA([1]stages!$A:$A),MATCH(H$1,[1]stages!$2:$2,0)-MATCH("temp_stage",[1]stages!$2:$2,0)+1),MATCH(H$1,[1]stages!$2:$2,0)-MATCH("temp_stage",[1]stages!$2:$2,0)+1,FALSE)</f>
        <v>ドロップイベント1-3</v>
      </c>
      <c r="I395" s="19">
        <v>0</v>
      </c>
      <c r="J395" s="6">
        <f>COUNTIF(C$1:C395,C395)</f>
        <v>19</v>
      </c>
      <c r="K395">
        <v>20</v>
      </c>
      <c r="L395" s="6" t="s">
        <v>17</v>
      </c>
      <c r="M395" s="36" t="str">
        <f>VLOOKUP(K395,[2]stage_hints!$A:$C,3,FALSE)</f>
        <v>マルチプレイのメリット（その3）</v>
      </c>
      <c r="N395" s="37" t="str">
        <f>VLOOKUP(K395,[2]stage_hints!$A:$D,4,FALSE)</f>
        <v>マルチプレイへの参加はエナジー消費ゼロ_x000D_いつでも好きなだけ遊ぶことができます</v>
      </c>
      <c r="O395" s="22" t="s">
        <v>117</v>
      </c>
      <c r="P395">
        <v>20</v>
      </c>
    </row>
    <row r="396" spans="1:16" x14ac:dyDescent="0.15">
      <c r="A396" s="29" t="str">
        <f t="shared" ref="A396:A400" si="58">C396&amp;"_"&amp;F396&amp;"_"&amp;J396</f>
        <v>20003_1_20</v>
      </c>
      <c r="B396" s="27" t="s">
        <v>33</v>
      </c>
      <c r="C396" s="5">
        <v>20003</v>
      </c>
      <c r="D396" s="4" t="str">
        <f ca="1">VLOOKUP($C396,OFFSET([1]quests!$A$1,0,0,COUNTA([1]quests!$A:$A),MATCH(D$1,[1]quests!$1:$1,0)-MATCH($C$1,[1]quests!$1:$1,0)+1),MATCH(D$1,[1]quests!$1:$1,0)-MATCH($C$1,[1]quests!$1:$1,0)+1,FALSE)</f>
        <v>忍び寄る短剣</v>
      </c>
      <c r="E396" s="4" t="str">
        <f ca="1">VLOOKUP($C396,OFFSET([1]quests!$A$1,0,0,COUNTA([1]quests!$A:$A),MATCH(E$1,[1]quests!$1:$1,0)-MATCH($C$1,[1]quests!$1:$1,0)+1),MATCH(E$1,[1]quests!$1:$1,0)-MATCH($C$1,[1]quests!$1:$1,0)+1,FALSE)</f>
        <v>ドロップイベント1-3</v>
      </c>
      <c r="F396" s="6">
        <v>1</v>
      </c>
      <c r="G396" s="4" t="str">
        <f ca="1">VLOOKUP($C396&amp;"_"&amp;$F396,OFFSET([1]stages!$A$1,0,0,COUNTA([1]stages!$A:$A),MATCH(G$1,[1]stages!$2:$2,0)-MATCH("temp_stage",[1]stages!$2:$2,0)+1),MATCH(G$1,[1]stages!$2:$2,0)-MATCH("temp_stage",[1]stages!$2:$2,0)+1,FALSE)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396" s="4" t="str">
        <f ca="1">VLOOKUP($C396&amp;"_"&amp;$F396,OFFSET([1]stages!$A$1,0,0,COUNTA([1]stages!$A:$A),MATCH(H$1,[1]stages!$2:$2,0)-MATCH("temp_stage",[1]stages!$2:$2,0)+1),MATCH(H$1,[1]stages!$2:$2,0)-MATCH("temp_stage",[1]stages!$2:$2,0)+1,FALSE)</f>
        <v>ドロップイベント1-3</v>
      </c>
      <c r="I396" s="19">
        <v>0</v>
      </c>
      <c r="J396" s="6">
        <f>COUNTIF(C$1:C396,C396)</f>
        <v>20</v>
      </c>
      <c r="K396">
        <v>21</v>
      </c>
      <c r="L396" s="6" t="s">
        <v>17</v>
      </c>
      <c r="M396" s="36" t="str">
        <f>VLOOKUP(K396,[2]stage_hints!$A:$C,3,FALSE)</f>
        <v>スキルを有効に</v>
      </c>
      <c r="N396" s="37" t="str">
        <f>VLOOKUP(K396,[2]stage_hints!$A:$D,4,FALSE)</f>
        <v>ターン経過でユニットのスキルが使えます_x000D_強力スキルでバトルを有利に進めましょう</v>
      </c>
      <c r="O396" s="22" t="s">
        <v>117</v>
      </c>
      <c r="P396">
        <v>21</v>
      </c>
    </row>
    <row r="397" spans="1:16" x14ac:dyDescent="0.15">
      <c r="A397" s="29" t="str">
        <f t="shared" si="58"/>
        <v>20003_1_21</v>
      </c>
      <c r="B397" s="27" t="s">
        <v>33</v>
      </c>
      <c r="C397" s="5">
        <v>20003</v>
      </c>
      <c r="D397" s="4" t="str">
        <f ca="1">VLOOKUP($C397,OFFSET([1]quests!$A$1,0,0,COUNTA([1]quests!$A:$A),MATCH(D$1,[1]quests!$1:$1,0)-MATCH($C$1,[1]quests!$1:$1,0)+1),MATCH(D$1,[1]quests!$1:$1,0)-MATCH($C$1,[1]quests!$1:$1,0)+1,FALSE)</f>
        <v>忍び寄る短剣</v>
      </c>
      <c r="E397" s="4" t="str">
        <f ca="1">VLOOKUP($C397,OFFSET([1]quests!$A$1,0,0,COUNTA([1]quests!$A:$A),MATCH(E$1,[1]quests!$1:$1,0)-MATCH($C$1,[1]quests!$1:$1,0)+1),MATCH(E$1,[1]quests!$1:$1,0)-MATCH($C$1,[1]quests!$1:$1,0)+1,FALSE)</f>
        <v>ドロップイベント1-3</v>
      </c>
      <c r="F397" s="6">
        <v>1</v>
      </c>
      <c r="G397" s="4" t="str">
        <f ca="1">VLOOKUP($C397&amp;"_"&amp;$F397,OFFSET([1]stages!$A$1,0,0,COUNTA([1]stages!$A:$A),MATCH(G$1,[1]stages!$2:$2,0)-MATCH("temp_stage",[1]stages!$2:$2,0)+1),MATCH(G$1,[1]stages!$2:$2,0)-MATCH("temp_stage",[1]stages!$2:$2,0)+1,FALSE)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397" s="4" t="str">
        <f ca="1">VLOOKUP($C397&amp;"_"&amp;$F397,OFFSET([1]stages!$A$1,0,0,COUNTA([1]stages!$A:$A),MATCH(H$1,[1]stages!$2:$2,0)-MATCH("temp_stage",[1]stages!$2:$2,0)+1),MATCH(H$1,[1]stages!$2:$2,0)-MATCH("temp_stage",[1]stages!$2:$2,0)+1,FALSE)</f>
        <v>ドロップイベント1-3</v>
      </c>
      <c r="I397" s="19">
        <v>0</v>
      </c>
      <c r="J397" s="6">
        <f>COUNTIF(C$1:C397,C397)</f>
        <v>21</v>
      </c>
      <c r="K397">
        <v>22</v>
      </c>
      <c r="L397" s="6" t="s">
        <v>17</v>
      </c>
      <c r="M397" s="36" t="str">
        <f>VLOOKUP(K397,[2]stage_hints!$A:$C,3,FALSE)</f>
        <v>フィーバーで一発逆転（その1）</v>
      </c>
      <c r="N397" s="37" t="str">
        <f>VLOOKUP(K397,[2]stage_hints!$A:$D,4,FALSE)</f>
        <v>フィーバーは攻撃と回復を兼ね備えます_x000D_ピンチからの一発逆転を狙いましょう</v>
      </c>
      <c r="O397" s="22" t="s">
        <v>117</v>
      </c>
      <c r="P397">
        <v>22</v>
      </c>
    </row>
    <row r="398" spans="1:16" x14ac:dyDescent="0.15">
      <c r="A398" s="29" t="str">
        <f t="shared" si="58"/>
        <v>20003_1_22</v>
      </c>
      <c r="B398" s="27" t="s">
        <v>33</v>
      </c>
      <c r="C398" s="5">
        <v>20003</v>
      </c>
      <c r="D398" s="4" t="str">
        <f ca="1">VLOOKUP($C398,OFFSET([1]quests!$A$1,0,0,COUNTA([1]quests!$A:$A),MATCH(D$1,[1]quests!$1:$1,0)-MATCH($C$1,[1]quests!$1:$1,0)+1),MATCH(D$1,[1]quests!$1:$1,0)-MATCH($C$1,[1]quests!$1:$1,0)+1,FALSE)</f>
        <v>忍び寄る短剣</v>
      </c>
      <c r="E398" s="4" t="str">
        <f ca="1">VLOOKUP($C398,OFFSET([1]quests!$A$1,0,0,COUNTA([1]quests!$A:$A),MATCH(E$1,[1]quests!$1:$1,0)-MATCH($C$1,[1]quests!$1:$1,0)+1),MATCH(E$1,[1]quests!$1:$1,0)-MATCH($C$1,[1]quests!$1:$1,0)+1,FALSE)</f>
        <v>ドロップイベント1-3</v>
      </c>
      <c r="F398" s="6">
        <v>1</v>
      </c>
      <c r="G398" s="4" t="str">
        <f ca="1">VLOOKUP($C398&amp;"_"&amp;$F398,OFFSET([1]stages!$A$1,0,0,COUNTA([1]stages!$A:$A),MATCH(G$1,[1]stages!$2:$2,0)-MATCH("temp_stage",[1]stages!$2:$2,0)+1),MATCH(G$1,[1]stages!$2:$2,0)-MATCH("temp_stage",[1]stages!$2:$2,0)+1,FALSE)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398" s="4" t="str">
        <f ca="1">VLOOKUP($C398&amp;"_"&amp;$F398,OFFSET([1]stages!$A$1,0,0,COUNTA([1]stages!$A:$A),MATCH(H$1,[1]stages!$2:$2,0)-MATCH("temp_stage",[1]stages!$2:$2,0)+1),MATCH(H$1,[1]stages!$2:$2,0)-MATCH("temp_stage",[1]stages!$2:$2,0)+1,FALSE)</f>
        <v>ドロップイベント1-3</v>
      </c>
      <c r="I398" s="19">
        <v>0</v>
      </c>
      <c r="J398" s="6">
        <f>COUNTIF(C$1:C398,C398)</f>
        <v>22</v>
      </c>
      <c r="K398">
        <v>23</v>
      </c>
      <c r="L398" s="6" t="s">
        <v>17</v>
      </c>
      <c r="M398" s="36" t="str">
        <f>VLOOKUP(K398,[2]stage_hints!$A:$C,3,FALSE)</f>
        <v>フィーバーで一発逆転（その2）</v>
      </c>
      <c r="N398" s="37" t="str">
        <f>VLOOKUP(K398,[2]stage_hints!$A:$D,4,FALSE)</f>
        <v>フィーバー中は虹色のボムパネルを狙って_x000D_画面上のパネルを一気に破壊しましょう</v>
      </c>
      <c r="O398" s="22" t="s">
        <v>117</v>
      </c>
      <c r="P398">
        <v>23</v>
      </c>
    </row>
    <row r="399" spans="1:16" x14ac:dyDescent="0.15">
      <c r="A399" s="29" t="str">
        <f t="shared" si="58"/>
        <v>20003_1_23</v>
      </c>
      <c r="B399" s="27" t="s">
        <v>33</v>
      </c>
      <c r="C399" s="5">
        <v>20003</v>
      </c>
      <c r="D399" s="4" t="str">
        <f ca="1">VLOOKUP($C399,OFFSET([1]quests!$A$1,0,0,COUNTA([1]quests!$A:$A),MATCH(D$1,[1]quests!$1:$1,0)-MATCH($C$1,[1]quests!$1:$1,0)+1),MATCH(D$1,[1]quests!$1:$1,0)-MATCH($C$1,[1]quests!$1:$1,0)+1,FALSE)</f>
        <v>忍び寄る短剣</v>
      </c>
      <c r="E399" s="4" t="str">
        <f ca="1">VLOOKUP($C399,OFFSET([1]quests!$A$1,0,0,COUNTA([1]quests!$A:$A),MATCH(E$1,[1]quests!$1:$1,0)-MATCH($C$1,[1]quests!$1:$1,0)+1),MATCH(E$1,[1]quests!$1:$1,0)-MATCH($C$1,[1]quests!$1:$1,0)+1,FALSE)</f>
        <v>ドロップイベント1-3</v>
      </c>
      <c r="F399" s="6">
        <v>1</v>
      </c>
      <c r="G399" s="4" t="str">
        <f ca="1">VLOOKUP($C399&amp;"_"&amp;$F399,OFFSET([1]stages!$A$1,0,0,COUNTA([1]stages!$A:$A),MATCH(G$1,[1]stages!$2:$2,0)-MATCH("temp_stage",[1]stages!$2:$2,0)+1),MATCH(G$1,[1]stages!$2:$2,0)-MATCH("temp_stage",[1]stages!$2:$2,0)+1,FALSE)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399" s="4" t="str">
        <f ca="1">VLOOKUP($C399&amp;"_"&amp;$F399,OFFSET([1]stages!$A$1,0,0,COUNTA([1]stages!$A:$A),MATCH(H$1,[1]stages!$2:$2,0)-MATCH("temp_stage",[1]stages!$2:$2,0)+1),MATCH(H$1,[1]stages!$2:$2,0)-MATCH("temp_stage",[1]stages!$2:$2,0)+1,FALSE)</f>
        <v>ドロップイベント1-3</v>
      </c>
      <c r="I399" s="19">
        <v>0</v>
      </c>
      <c r="J399" s="6">
        <f>COUNTIF(C$1:C399,C399)</f>
        <v>23</v>
      </c>
      <c r="K399">
        <v>24</v>
      </c>
      <c r="L399" s="6" t="s">
        <v>17</v>
      </c>
      <c r="M399" s="36" t="str">
        <f>VLOOKUP(K399,[2]stage_hints!$A:$C,3,FALSE)</f>
        <v>りんごを使って限界突破</v>
      </c>
      <c r="N399" s="37" t="str">
        <f>VLOOKUP(K399,[2]stage_hints!$A:$D,4,FALSE)</f>
        <v>赤りんご(攻撃力) 青りんご(回復力)_x000D_緑りんご(体力)をユニット強化に使うと_x000D_ステータスが限界突破します（計99個迄）</v>
      </c>
      <c r="O399" s="22" t="s">
        <v>117</v>
      </c>
      <c r="P399">
        <v>24</v>
      </c>
    </row>
    <row r="400" spans="1:16" x14ac:dyDescent="0.15">
      <c r="A400" s="29" t="str">
        <f t="shared" si="58"/>
        <v>20003_1_24</v>
      </c>
      <c r="B400" s="27" t="s">
        <v>33</v>
      </c>
      <c r="C400" s="5">
        <v>20003</v>
      </c>
      <c r="D400" s="4" t="str">
        <f ca="1">VLOOKUP($C400,OFFSET([1]quests!$A$1,0,0,COUNTA([1]quests!$A:$A),MATCH(D$1,[1]quests!$1:$1,0)-MATCH($C$1,[1]quests!$1:$1,0)+1),MATCH(D$1,[1]quests!$1:$1,0)-MATCH($C$1,[1]quests!$1:$1,0)+1,FALSE)</f>
        <v>忍び寄る短剣</v>
      </c>
      <c r="E400" s="4" t="str">
        <f ca="1">VLOOKUP($C400,OFFSET([1]quests!$A$1,0,0,COUNTA([1]quests!$A:$A),MATCH(E$1,[1]quests!$1:$1,0)-MATCH($C$1,[1]quests!$1:$1,0)+1),MATCH(E$1,[1]quests!$1:$1,0)-MATCH($C$1,[1]quests!$1:$1,0)+1,FALSE)</f>
        <v>ドロップイベント1-3</v>
      </c>
      <c r="F400" s="6">
        <v>1</v>
      </c>
      <c r="G400" s="4" t="str">
        <f ca="1">VLOOKUP($C400&amp;"_"&amp;$F400,OFFSET([1]stages!$A$1,0,0,COUNTA([1]stages!$A:$A),MATCH(G$1,[1]stages!$2:$2,0)-MATCH("temp_stage",[1]stages!$2:$2,0)+1),MATCH(G$1,[1]stages!$2:$2,0)-MATCH("temp_stage",[1]stages!$2:$2,0)+1,FALSE)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400" s="4" t="str">
        <f ca="1">VLOOKUP($C400&amp;"_"&amp;$F400,OFFSET([1]stages!$A$1,0,0,COUNTA([1]stages!$A:$A),MATCH(H$1,[1]stages!$2:$2,0)-MATCH("temp_stage",[1]stages!$2:$2,0)+1),MATCH(H$1,[1]stages!$2:$2,0)-MATCH("temp_stage",[1]stages!$2:$2,0)+1,FALSE)</f>
        <v>ドロップイベント1-3</v>
      </c>
      <c r="I400" s="19">
        <v>0</v>
      </c>
      <c r="J400" s="6">
        <f>COUNTIF(C$1:C400,C400)</f>
        <v>24</v>
      </c>
      <c r="K400">
        <v>25</v>
      </c>
      <c r="L400" s="6" t="s">
        <v>17</v>
      </c>
      <c r="M400" s="36" t="str">
        <f>VLOOKUP(K400,[2]stage_hints!$A:$C,3,FALSE)</f>
        <v>スキルレベルアップ</v>
      </c>
      <c r="N400" s="37" t="str">
        <f>VLOOKUP(K400,[2]stage_hints!$A:$D,4,FALSE)</f>
        <v>「クリスタルのりんご」を強化に使うと_x000D_スキルレベルを上げることができます</v>
      </c>
      <c r="O400" s="22" t="s">
        <v>117</v>
      </c>
      <c r="P400">
        <v>25</v>
      </c>
    </row>
    <row r="401" spans="1:16" x14ac:dyDescent="0.15">
      <c r="A401" s="29" t="str">
        <f t="shared" ref="A401:A414" si="59">C401&amp;"_"&amp;F401&amp;"_"&amp;J401</f>
        <v>20003_1_25</v>
      </c>
      <c r="B401" s="27" t="s">
        <v>33</v>
      </c>
      <c r="C401" s="5">
        <v>20003</v>
      </c>
      <c r="D401" s="4" t="str">
        <f ca="1">VLOOKUP($C401,OFFSET([1]quests!$A$1,0,0,COUNTA([1]quests!$A:$A),MATCH(D$1,[1]quests!$1:$1,0)-MATCH($C$1,[1]quests!$1:$1,0)+1),MATCH(D$1,[1]quests!$1:$1,0)-MATCH($C$1,[1]quests!$1:$1,0)+1,FALSE)</f>
        <v>忍び寄る短剣</v>
      </c>
      <c r="E401" s="4" t="str">
        <f ca="1">VLOOKUP($C401,OFFSET([1]quests!$A$1,0,0,COUNTA([1]quests!$A:$A),MATCH(E$1,[1]quests!$1:$1,0)-MATCH($C$1,[1]quests!$1:$1,0)+1),MATCH(E$1,[1]quests!$1:$1,0)-MATCH($C$1,[1]quests!$1:$1,0)+1,FALSE)</f>
        <v>ドロップイベント1-3</v>
      </c>
      <c r="F401" s="6">
        <v>1</v>
      </c>
      <c r="G401" s="4" t="str">
        <f ca="1">VLOOKUP($C401&amp;"_"&amp;$F401,OFFSET([1]stages!$A$1,0,0,COUNTA([1]stages!$A:$A),MATCH(G$1,[1]stages!$2:$2,0)-MATCH("temp_stage",[1]stages!$2:$2,0)+1),MATCH(G$1,[1]stages!$2:$2,0)-MATCH("temp_stage",[1]stages!$2:$2,0)+1,FALSE)</f>
        <v xml:space="preserve">【初級】忍び寄る短剣 </v>
      </c>
      <c r="H401" s="4" t="str">
        <f ca="1">VLOOKUP($C401&amp;"_"&amp;$F401,OFFSET([1]stages!$A$1,0,0,COUNTA([1]stages!$A:$A),MATCH(H$1,[1]stages!$2:$2,0)-MATCH("temp_stage",[1]stages!$2:$2,0)+1),MATCH(H$1,[1]stages!$2:$2,0)-MATCH("temp_stage",[1]stages!$2:$2,0)+1,FALSE)</f>
        <v>ドロップイベント1-3</v>
      </c>
      <c r="I401" s="19">
        <v>0</v>
      </c>
      <c r="J401" s="6">
        <f>COUNTIF(C$1:C401,C401)</f>
        <v>25</v>
      </c>
      <c r="K401">
        <v>26</v>
      </c>
      <c r="L401" s="6" t="s">
        <v>17</v>
      </c>
      <c r="M401" s="36" t="str">
        <f>VLOOKUP(K401,[2]stage_hints!$A:$C,3,FALSE)</f>
        <v>スキルレベルの効果</v>
      </c>
      <c r="N401" s="37" t="str">
        <f>VLOOKUP(K401,[2]stage_hints!$A:$D,4,FALSE)</f>
        <v>スキルレベルが上がると_x000D_短いターンでスキルを使うことができます</v>
      </c>
      <c r="O401" s="22" t="s">
        <v>117</v>
      </c>
      <c r="P401">
        <v>26</v>
      </c>
    </row>
    <row r="402" spans="1:16" x14ac:dyDescent="0.15">
      <c r="A402" s="29" t="str">
        <f t="shared" si="59"/>
        <v>20004_1_1</v>
      </c>
      <c r="B402" s="27" t="s">
        <v>33</v>
      </c>
      <c r="C402" s="5">
        <v>20004</v>
      </c>
      <c r="D402" s="4" t="str">
        <f ca="1">VLOOKUP($C402,OFFSET([1]quests!$A$1,0,0,COUNTA([1]quests!$A:$A),MATCH(D$1,[1]quests!$1:$1,0)-MATCH($C$1,[1]quests!$1:$1,0)+1),MATCH(D$1,[1]quests!$1:$1,0)-MATCH($C$1,[1]quests!$1:$1,0)+1,FALSE)</f>
        <v>雷雲からの刺客</v>
      </c>
      <c r="E402" s="4" t="str">
        <f ca="1">VLOOKUP($C402,OFFSET([1]quests!$A$1,0,0,COUNTA([1]quests!$A:$A),MATCH(E$1,[1]quests!$1:$1,0)-MATCH($C$1,[1]quests!$1:$1,0)+1),MATCH(E$1,[1]quests!$1:$1,0)-MATCH($C$1,[1]quests!$1:$1,0)+1,FALSE)</f>
        <v>ドロップイベント1-4</v>
      </c>
      <c r="F402" s="6">
        <v>1</v>
      </c>
      <c r="G402" s="4" t="str">
        <f ca="1">VLOOKUP($C402&amp;"_"&amp;$F402,OFFSET([1]stages!$A$1,0,0,COUNTA([1]stages!$A:$A),MATCH(G$1,[1]stages!$2:$2,0)-MATCH("temp_stage",[1]stages!$2:$2,0)+1),MATCH(G$1,[1]stages!$2:$2,0)-MATCH("temp_stage",[1]stages!$2:$2,0)+1,FALSE)</f>
        <v>【初級】雷雲からの刺客</v>
      </c>
      <c r="H402" s="4" t="str">
        <f ca="1">VLOOKUP($C402&amp;"_"&amp;$F402,OFFSET([1]stages!$A$1,0,0,COUNTA([1]stages!$A:$A),MATCH(H$1,[1]stages!$2:$2,0)-MATCH("temp_stage",[1]stages!$2:$2,0)+1),MATCH(H$1,[1]stages!$2:$2,0)-MATCH("temp_stage",[1]stages!$2:$2,0)+1,FALSE)</f>
        <v>ドロップイベント1-4</v>
      </c>
      <c r="I402" s="19">
        <v>0</v>
      </c>
      <c r="J402" s="6">
        <f>COUNTIF(C$1:C402,C402)</f>
        <v>1</v>
      </c>
      <c r="K402">
        <v>1</v>
      </c>
      <c r="L402" s="6" t="s">
        <v>17</v>
      </c>
      <c r="M402" s="36" t="str">
        <f>VLOOKUP(K402,[2]stage_hints!$A:$C,3,FALSE)</f>
        <v>長くつなげて大ダメージ</v>
      </c>
      <c r="N402" s="37" t="str">
        <f>VLOOKUP(K402,[2]stage_hints!$A:$D,4,FALSE)</f>
        <v>パネルを長くつなげるほど_x000D_大ダメージを与えることができます</v>
      </c>
      <c r="O402" s="22" t="s">
        <v>117</v>
      </c>
      <c r="P402">
        <v>1</v>
      </c>
    </row>
    <row r="403" spans="1:16" x14ac:dyDescent="0.15">
      <c r="A403" s="29" t="str">
        <f t="shared" si="59"/>
        <v>20004_1_2</v>
      </c>
      <c r="B403" s="27" t="s">
        <v>33</v>
      </c>
      <c r="C403" s="5">
        <v>20004</v>
      </c>
      <c r="D403" s="4" t="str">
        <f ca="1">VLOOKUP($C403,OFFSET([1]quests!$A$1,0,0,COUNTA([1]quests!$A:$A),MATCH(D$1,[1]quests!$1:$1,0)-MATCH($C$1,[1]quests!$1:$1,0)+1),MATCH(D$1,[1]quests!$1:$1,0)-MATCH($C$1,[1]quests!$1:$1,0)+1,FALSE)</f>
        <v>雷雲からの刺客</v>
      </c>
      <c r="E403" s="4" t="str">
        <f ca="1">VLOOKUP($C403,OFFSET([1]quests!$A$1,0,0,COUNTA([1]quests!$A:$A),MATCH(E$1,[1]quests!$1:$1,0)-MATCH($C$1,[1]quests!$1:$1,0)+1),MATCH(E$1,[1]quests!$1:$1,0)-MATCH($C$1,[1]quests!$1:$1,0)+1,FALSE)</f>
        <v>ドロップイベント1-4</v>
      </c>
      <c r="F403" s="6">
        <v>1</v>
      </c>
      <c r="G403" s="4" t="str">
        <f ca="1">VLOOKUP($C403&amp;"_"&amp;$F403,OFFSET([1]stages!$A$1,0,0,COUNTA([1]stages!$A:$A),MATCH(G$1,[1]stages!$2:$2,0)-MATCH("temp_stage",[1]stages!$2:$2,0)+1),MATCH(G$1,[1]stages!$2:$2,0)-MATCH("temp_stage",[1]stages!$2:$2,0)+1,FALSE)</f>
        <v>【初級】雷雲からの刺客</v>
      </c>
      <c r="H403" s="4" t="str">
        <f ca="1">VLOOKUP($C403&amp;"_"&amp;$F403,OFFSET([1]stages!$A$1,0,0,COUNTA([1]stages!$A:$A),MATCH(H$1,[1]stages!$2:$2,0)-MATCH("temp_stage",[1]stages!$2:$2,0)+1),MATCH(H$1,[1]stages!$2:$2,0)-MATCH("temp_stage",[1]stages!$2:$2,0)+1,FALSE)</f>
        <v>ドロップイベント1-4</v>
      </c>
      <c r="I403" s="19">
        <v>0</v>
      </c>
      <c r="J403" s="6">
        <f>COUNTIF(C$1:C403,C403)</f>
        <v>2</v>
      </c>
      <c r="K403">
        <v>2</v>
      </c>
      <c r="L403" s="6" t="s">
        <v>17</v>
      </c>
      <c r="M403" s="36" t="str">
        <f>VLOOKUP(K403,[2]stage_hints!$A:$C,3,FALSE)</f>
        <v>属性の相性</v>
      </c>
      <c r="N403" s="37" t="str">
        <f>VLOOKUP(K403,[2]stage_hints!$A:$D,4,FALSE)</f>
        <v>赤＞青　青＞黄　黄＞緑　緑＞赤_x000D_敵属性に最適なパーティがオススメです</v>
      </c>
      <c r="O403" s="22" t="s">
        <v>117</v>
      </c>
      <c r="P403">
        <v>2</v>
      </c>
    </row>
    <row r="404" spans="1:16" x14ac:dyDescent="0.15">
      <c r="A404" s="29" t="str">
        <f t="shared" si="59"/>
        <v>20004_1_3</v>
      </c>
      <c r="B404" s="27" t="s">
        <v>33</v>
      </c>
      <c r="C404" s="5">
        <v>20004</v>
      </c>
      <c r="D404" s="4" t="str">
        <f ca="1">VLOOKUP($C404,OFFSET([1]quests!$A$1,0,0,COUNTA([1]quests!$A:$A),MATCH(D$1,[1]quests!$1:$1,0)-MATCH($C$1,[1]quests!$1:$1,0)+1),MATCH(D$1,[1]quests!$1:$1,0)-MATCH($C$1,[1]quests!$1:$1,0)+1,FALSE)</f>
        <v>雷雲からの刺客</v>
      </c>
      <c r="E404" s="4" t="str">
        <f ca="1">VLOOKUP($C404,OFFSET([1]quests!$A$1,0,0,COUNTA([1]quests!$A:$A),MATCH(E$1,[1]quests!$1:$1,0)-MATCH($C$1,[1]quests!$1:$1,0)+1),MATCH(E$1,[1]quests!$1:$1,0)-MATCH($C$1,[1]quests!$1:$1,0)+1,FALSE)</f>
        <v>ドロップイベント1-4</v>
      </c>
      <c r="F404" s="6">
        <v>1</v>
      </c>
      <c r="G404" s="4" t="str">
        <f ca="1">VLOOKUP($C404&amp;"_"&amp;$F404,OFFSET([1]stages!$A$1,0,0,COUNTA([1]stages!$A:$A),MATCH(G$1,[1]stages!$2:$2,0)-MATCH("temp_stage",[1]stages!$2:$2,0)+1),MATCH(G$1,[1]stages!$2:$2,0)-MATCH("temp_stage",[1]stages!$2:$2,0)+1,FALSE)</f>
        <v>【初級】雷雲からの刺客</v>
      </c>
      <c r="H404" s="4" t="str">
        <f ca="1">VLOOKUP($C404&amp;"_"&amp;$F404,OFFSET([1]stages!$A$1,0,0,COUNTA([1]stages!$A:$A),MATCH(H$1,[1]stages!$2:$2,0)-MATCH("temp_stage",[1]stages!$2:$2,0)+1),MATCH(H$1,[1]stages!$2:$2,0)-MATCH("temp_stage",[1]stages!$2:$2,0)+1,FALSE)</f>
        <v>ドロップイベント1-4</v>
      </c>
      <c r="I404" s="19">
        <v>0</v>
      </c>
      <c r="J404" s="6">
        <f>COUNTIF(C$1:C404,C404)</f>
        <v>3</v>
      </c>
      <c r="K404">
        <v>3</v>
      </c>
      <c r="L404" s="6" t="s">
        <v>17</v>
      </c>
      <c r="M404" s="36" t="str">
        <f>VLOOKUP(K404,[2]stage_hints!$A:$C,3,FALSE)</f>
        <v>ターゲット</v>
      </c>
      <c r="N404" s="37" t="str">
        <f>VLOOKUP(K404,[2]stage_hints!$A:$D,4,FALSE)</f>
        <v>敵ユニットをタップすると_x000D_その敵を狙い撃ちできます</v>
      </c>
      <c r="O404" s="22" t="s">
        <v>117</v>
      </c>
      <c r="P404">
        <v>3</v>
      </c>
    </row>
    <row r="405" spans="1:16" x14ac:dyDescent="0.15">
      <c r="A405" s="29" t="str">
        <f t="shared" si="59"/>
        <v>20004_1_4</v>
      </c>
      <c r="B405" s="27" t="s">
        <v>33</v>
      </c>
      <c r="C405" s="5">
        <v>20004</v>
      </c>
      <c r="D405" s="4" t="str">
        <f ca="1">VLOOKUP($C405,OFFSET([1]quests!$A$1,0,0,COUNTA([1]quests!$A:$A),MATCH(D$1,[1]quests!$1:$1,0)-MATCH($C$1,[1]quests!$1:$1,0)+1),MATCH(D$1,[1]quests!$1:$1,0)-MATCH($C$1,[1]quests!$1:$1,0)+1,FALSE)</f>
        <v>雷雲からの刺客</v>
      </c>
      <c r="E405" s="4" t="str">
        <f ca="1">VLOOKUP($C405,OFFSET([1]quests!$A$1,0,0,COUNTA([1]quests!$A:$A),MATCH(E$1,[1]quests!$1:$1,0)-MATCH($C$1,[1]quests!$1:$1,0)+1),MATCH(E$1,[1]quests!$1:$1,0)-MATCH($C$1,[1]quests!$1:$1,0)+1,FALSE)</f>
        <v>ドロップイベント1-4</v>
      </c>
      <c r="F405" s="6">
        <v>1</v>
      </c>
      <c r="G405" s="4" t="str">
        <f ca="1">VLOOKUP($C405&amp;"_"&amp;$F405,OFFSET([1]stages!$A$1,0,0,COUNTA([1]stages!$A:$A),MATCH(G$1,[1]stages!$2:$2,0)-MATCH("temp_stage",[1]stages!$2:$2,0)+1),MATCH(G$1,[1]stages!$2:$2,0)-MATCH("temp_stage",[1]stages!$2:$2,0)+1,FALSE)</f>
        <v>【初級】雷雲からの刺客</v>
      </c>
      <c r="H405" s="4" t="str">
        <f ca="1">VLOOKUP($C405&amp;"_"&amp;$F405,OFFSET([1]stages!$A$1,0,0,COUNTA([1]stages!$A:$A),MATCH(H$1,[1]stages!$2:$2,0)-MATCH("temp_stage",[1]stages!$2:$2,0)+1),MATCH(H$1,[1]stages!$2:$2,0)-MATCH("temp_stage",[1]stages!$2:$2,0)+1,FALSE)</f>
        <v>ドロップイベント1-4</v>
      </c>
      <c r="I405" s="19">
        <v>0</v>
      </c>
      <c r="J405" s="6">
        <f>COUNTIF(C$1:C405,C405)</f>
        <v>4</v>
      </c>
      <c r="K405">
        <v>5</v>
      </c>
      <c r="L405" s="6" t="s">
        <v>17</v>
      </c>
      <c r="M405" s="36" t="str">
        <f>VLOOKUP(K405,[2]stage_hints!$A:$C,3,FALSE)</f>
        <v>ユニット強化でレベルアップ</v>
      </c>
      <c r="N405" s="37" t="str">
        <f>VLOOKUP(K405,[2]stage_hints!$A:$D,4,FALSE)</f>
        <v>「ユニット強化」でレベルアップすると_x000D_勝てない敵にも勝てるようになります</v>
      </c>
      <c r="O405" s="22" t="s">
        <v>117</v>
      </c>
      <c r="P405">
        <v>5</v>
      </c>
    </row>
    <row r="406" spans="1:16" x14ac:dyDescent="0.15">
      <c r="A406" s="29" t="str">
        <f t="shared" si="59"/>
        <v>20004_1_5</v>
      </c>
      <c r="B406" s="27" t="s">
        <v>33</v>
      </c>
      <c r="C406" s="5">
        <v>20004</v>
      </c>
      <c r="D406" s="4" t="str">
        <f ca="1">VLOOKUP($C406,OFFSET([1]quests!$A$1,0,0,COUNTA([1]quests!$A:$A),MATCH(D$1,[1]quests!$1:$1,0)-MATCH($C$1,[1]quests!$1:$1,0)+1),MATCH(D$1,[1]quests!$1:$1,0)-MATCH($C$1,[1]quests!$1:$1,0)+1,FALSE)</f>
        <v>雷雲からの刺客</v>
      </c>
      <c r="E406" s="4" t="str">
        <f ca="1">VLOOKUP($C406,OFFSET([1]quests!$A$1,0,0,COUNTA([1]quests!$A:$A),MATCH(E$1,[1]quests!$1:$1,0)-MATCH($C$1,[1]quests!$1:$1,0)+1),MATCH(E$1,[1]quests!$1:$1,0)-MATCH($C$1,[1]quests!$1:$1,0)+1,FALSE)</f>
        <v>ドロップイベント1-4</v>
      </c>
      <c r="F406" s="6">
        <v>1</v>
      </c>
      <c r="G406" s="4" t="str">
        <f ca="1">VLOOKUP($C406&amp;"_"&amp;$F406,OFFSET([1]stages!$A$1,0,0,COUNTA([1]stages!$A:$A),MATCH(G$1,[1]stages!$2:$2,0)-MATCH("temp_stage",[1]stages!$2:$2,0)+1),MATCH(G$1,[1]stages!$2:$2,0)-MATCH("temp_stage",[1]stages!$2:$2,0)+1,FALSE)</f>
        <v>【初級】雷雲からの刺客</v>
      </c>
      <c r="H406" s="4" t="str">
        <f ca="1">VLOOKUP($C406&amp;"_"&amp;$F406,OFFSET([1]stages!$A$1,0,0,COUNTA([1]stages!$A:$A),MATCH(H$1,[1]stages!$2:$2,0)-MATCH("temp_stage",[1]stages!$2:$2,0)+1),MATCH(H$1,[1]stages!$2:$2,0)-MATCH("temp_stage",[1]stages!$2:$2,0)+1,FALSE)</f>
        <v>ドロップイベント1-4</v>
      </c>
      <c r="I406" s="19">
        <v>0</v>
      </c>
      <c r="J406" s="6">
        <f>COUNTIF(C$1:C406,C406)</f>
        <v>5</v>
      </c>
      <c r="K406">
        <v>6</v>
      </c>
      <c r="L406" s="6" t="s">
        <v>17</v>
      </c>
      <c r="M406" s="36" t="str">
        <f>VLOOKUP(K406,[2]stage_hints!$A:$C,3,FALSE)</f>
        <v>ユニット強化の属性ボーナス</v>
      </c>
      <c r="N406" s="37" t="str">
        <f>VLOOKUP(K406,[2]stage_hints!$A:$D,4,FALSE)</f>
        <v>同属性ユニットを強化素材にすると_x000D_経験値が多くもらえます</v>
      </c>
      <c r="O406" s="22" t="s">
        <v>117</v>
      </c>
      <c r="P406">
        <v>6</v>
      </c>
    </row>
    <row r="407" spans="1:16" x14ac:dyDescent="0.15">
      <c r="A407" s="29" t="str">
        <f t="shared" si="59"/>
        <v>20004_1_6</v>
      </c>
      <c r="B407" s="27" t="s">
        <v>33</v>
      </c>
      <c r="C407" s="5">
        <v>20004</v>
      </c>
      <c r="D407" s="4" t="str">
        <f ca="1">VLOOKUP($C407,OFFSET([1]quests!$A$1,0,0,COUNTA([1]quests!$A:$A),MATCH(D$1,[1]quests!$1:$1,0)-MATCH($C$1,[1]quests!$1:$1,0)+1),MATCH(D$1,[1]quests!$1:$1,0)-MATCH($C$1,[1]quests!$1:$1,0)+1,FALSE)</f>
        <v>雷雲からの刺客</v>
      </c>
      <c r="E407" s="4" t="str">
        <f ca="1">VLOOKUP($C407,OFFSET([1]quests!$A$1,0,0,COUNTA([1]quests!$A:$A),MATCH(E$1,[1]quests!$1:$1,0)-MATCH($C$1,[1]quests!$1:$1,0)+1),MATCH(E$1,[1]quests!$1:$1,0)-MATCH($C$1,[1]quests!$1:$1,0)+1,FALSE)</f>
        <v>ドロップイベント1-4</v>
      </c>
      <c r="F407" s="6">
        <v>1</v>
      </c>
      <c r="G407" s="4" t="str">
        <f ca="1">VLOOKUP($C407&amp;"_"&amp;$F407,OFFSET([1]stages!$A$1,0,0,COUNTA([1]stages!$A:$A),MATCH(G$1,[1]stages!$2:$2,0)-MATCH("temp_stage",[1]stages!$2:$2,0)+1),MATCH(G$1,[1]stages!$2:$2,0)-MATCH("temp_stage",[1]stages!$2:$2,0)+1,FALSE)</f>
        <v>【初級】雷雲からの刺客</v>
      </c>
      <c r="H407" s="4" t="str">
        <f ca="1">VLOOKUP($C407&amp;"_"&amp;$F407,OFFSET([1]stages!$A$1,0,0,COUNTA([1]stages!$A:$A),MATCH(H$1,[1]stages!$2:$2,0)-MATCH("temp_stage",[1]stages!$2:$2,0)+1),MATCH(H$1,[1]stages!$2:$2,0)-MATCH("temp_stage",[1]stages!$2:$2,0)+1,FALSE)</f>
        <v>ドロップイベント1-4</v>
      </c>
      <c r="I407" s="19">
        <v>0</v>
      </c>
      <c r="J407" s="6">
        <f>COUNTIF(C$1:C407,C407)</f>
        <v>6</v>
      </c>
      <c r="K407">
        <v>7</v>
      </c>
      <c r="L407" s="6" t="s">
        <v>17</v>
      </c>
      <c r="M407" s="36" t="str">
        <f>VLOOKUP(K407,[2]stage_hints!$A:$C,3,FALSE)</f>
        <v>メタルダックで経験値を獲得</v>
      </c>
      <c r="N407" s="37" t="str">
        <f>VLOOKUP(K407,[2]stage_hints!$A:$D,4,FALSE)</f>
        <v>「メタルなアヒル」を強化素材にすると_x000D_大量の経験値がもらえます</v>
      </c>
      <c r="O407" s="22" t="s">
        <v>117</v>
      </c>
      <c r="P407">
        <v>7</v>
      </c>
    </row>
    <row r="408" spans="1:16" x14ac:dyDescent="0.15">
      <c r="A408" s="29" t="str">
        <f t="shared" si="59"/>
        <v>20004_1_7</v>
      </c>
      <c r="B408" s="27" t="s">
        <v>33</v>
      </c>
      <c r="C408" s="5">
        <v>20004</v>
      </c>
      <c r="D408" s="4" t="str">
        <f ca="1">VLOOKUP($C408,OFFSET([1]quests!$A$1,0,0,COUNTA([1]quests!$A:$A),MATCH(D$1,[1]quests!$1:$1,0)-MATCH($C$1,[1]quests!$1:$1,0)+1),MATCH(D$1,[1]quests!$1:$1,0)-MATCH($C$1,[1]quests!$1:$1,0)+1,FALSE)</f>
        <v>雷雲からの刺客</v>
      </c>
      <c r="E408" s="4" t="str">
        <f ca="1">VLOOKUP($C408,OFFSET([1]quests!$A$1,0,0,COUNTA([1]quests!$A:$A),MATCH(E$1,[1]quests!$1:$1,0)-MATCH($C$1,[1]quests!$1:$1,0)+1),MATCH(E$1,[1]quests!$1:$1,0)-MATCH($C$1,[1]quests!$1:$1,0)+1,FALSE)</f>
        <v>ドロップイベント1-4</v>
      </c>
      <c r="F408" s="6">
        <v>1</v>
      </c>
      <c r="G408" s="4" t="str">
        <f ca="1">VLOOKUP($C408&amp;"_"&amp;$F408,OFFSET([1]stages!$A$1,0,0,COUNTA([1]stages!$A:$A),MATCH(G$1,[1]stages!$2:$2,0)-MATCH("temp_stage",[1]stages!$2:$2,0)+1),MATCH(G$1,[1]stages!$2:$2,0)-MATCH("temp_stage",[1]stages!$2:$2,0)+1,FALSE)</f>
        <v>【初級】雷雲からの刺客</v>
      </c>
      <c r="H408" s="4" t="str">
        <f ca="1">VLOOKUP($C408&amp;"_"&amp;$F408,OFFSET([1]stages!$A$1,0,0,COUNTA([1]stages!$A:$A),MATCH(H$1,[1]stages!$2:$2,0)-MATCH("temp_stage",[1]stages!$2:$2,0)+1),MATCH(H$1,[1]stages!$2:$2,0)-MATCH("temp_stage",[1]stages!$2:$2,0)+1,FALSE)</f>
        <v>ドロップイベント1-4</v>
      </c>
      <c r="I408" s="19">
        <v>0</v>
      </c>
      <c r="J408" s="6">
        <f>COUNTIF(C$1:C408,C408)</f>
        <v>7</v>
      </c>
      <c r="K408">
        <v>8</v>
      </c>
      <c r="L408" s="6" t="s">
        <v>17</v>
      </c>
      <c r="M408" s="36" t="str">
        <f>VLOOKUP(K408,[2]stage_hints!$A:$C,3,FALSE)</f>
        <v>ゲリラクエストは要チェック</v>
      </c>
      <c r="N408" s="37" t="str">
        <f>VLOOKUP(K408,[2]stage_hints!$A:$D,4,FALSE)</f>
        <v>時間限定の「アヒル捕獲作戦」では_x000D_経験値素材ユニットが多く手に入ります</v>
      </c>
      <c r="O408" s="22" t="s">
        <v>117</v>
      </c>
      <c r="P408">
        <v>8</v>
      </c>
    </row>
    <row r="409" spans="1:16" x14ac:dyDescent="0.15">
      <c r="A409" s="29" t="str">
        <f t="shared" si="59"/>
        <v>20004_1_8</v>
      </c>
      <c r="B409" s="27" t="s">
        <v>33</v>
      </c>
      <c r="C409" s="5">
        <v>20004</v>
      </c>
      <c r="D409" s="4" t="str">
        <f ca="1">VLOOKUP($C409,OFFSET([1]quests!$A$1,0,0,COUNTA([1]quests!$A:$A),MATCH(D$1,[1]quests!$1:$1,0)-MATCH($C$1,[1]quests!$1:$1,0)+1),MATCH(D$1,[1]quests!$1:$1,0)-MATCH($C$1,[1]quests!$1:$1,0)+1,FALSE)</f>
        <v>雷雲からの刺客</v>
      </c>
      <c r="E409" s="4" t="str">
        <f ca="1">VLOOKUP($C409,OFFSET([1]quests!$A$1,0,0,COUNTA([1]quests!$A:$A),MATCH(E$1,[1]quests!$1:$1,0)-MATCH($C$1,[1]quests!$1:$1,0)+1),MATCH(E$1,[1]quests!$1:$1,0)-MATCH($C$1,[1]quests!$1:$1,0)+1,FALSE)</f>
        <v>ドロップイベント1-4</v>
      </c>
      <c r="F409" s="6">
        <v>1</v>
      </c>
      <c r="G409" s="4" t="str">
        <f ca="1">VLOOKUP($C409&amp;"_"&amp;$F409,OFFSET([1]stages!$A$1,0,0,COUNTA([1]stages!$A:$A),MATCH(G$1,[1]stages!$2:$2,0)-MATCH("temp_stage",[1]stages!$2:$2,0)+1),MATCH(G$1,[1]stages!$2:$2,0)-MATCH("temp_stage",[1]stages!$2:$2,0)+1,FALSE)</f>
        <v>【初級】雷雲からの刺客</v>
      </c>
      <c r="H409" s="4" t="str">
        <f ca="1">VLOOKUP($C409&amp;"_"&amp;$F409,OFFSET([1]stages!$A$1,0,0,COUNTA([1]stages!$A:$A),MATCH(H$1,[1]stages!$2:$2,0)-MATCH("temp_stage",[1]stages!$2:$2,0)+1),MATCH(H$1,[1]stages!$2:$2,0)-MATCH("temp_stage",[1]stages!$2:$2,0)+1,FALSE)</f>
        <v>ドロップイベント1-4</v>
      </c>
      <c r="I409" s="19">
        <v>0</v>
      </c>
      <c r="J409" s="6">
        <f>COUNTIF(C$1:C409,C409)</f>
        <v>8</v>
      </c>
      <c r="K409">
        <v>9</v>
      </c>
      <c r="L409" s="6" t="s">
        <v>17</v>
      </c>
      <c r="M409" s="36" t="str">
        <f>VLOOKUP(K409,[2]stage_hints!$A:$C,3,FALSE)</f>
        <v>ゴールドダックでビットを獲得</v>
      </c>
      <c r="N409" s="37" t="str">
        <f>VLOOKUP(K409,[2]stage_hints!$A:$D,4,FALSE)</f>
        <v>「ゴールドなアヒル」を売却すると_x000D_大量のビットがもらえます</v>
      </c>
      <c r="O409" s="22" t="s">
        <v>117</v>
      </c>
      <c r="P409">
        <v>9</v>
      </c>
    </row>
    <row r="410" spans="1:16" x14ac:dyDescent="0.15">
      <c r="A410" s="29" t="str">
        <f t="shared" si="59"/>
        <v>20004_1_9</v>
      </c>
      <c r="B410" s="27" t="s">
        <v>33</v>
      </c>
      <c r="C410" s="5">
        <v>20004</v>
      </c>
      <c r="D410" s="4" t="str">
        <f ca="1">VLOOKUP($C410,OFFSET([1]quests!$A$1,0,0,COUNTA([1]quests!$A:$A),MATCH(D$1,[1]quests!$1:$1,0)-MATCH($C$1,[1]quests!$1:$1,0)+1),MATCH(D$1,[1]quests!$1:$1,0)-MATCH($C$1,[1]quests!$1:$1,0)+1,FALSE)</f>
        <v>雷雲からの刺客</v>
      </c>
      <c r="E410" s="4" t="str">
        <f ca="1">VLOOKUP($C410,OFFSET([1]quests!$A$1,0,0,COUNTA([1]quests!$A:$A),MATCH(E$1,[1]quests!$1:$1,0)-MATCH($C$1,[1]quests!$1:$1,0)+1),MATCH(E$1,[1]quests!$1:$1,0)-MATCH($C$1,[1]quests!$1:$1,0)+1,FALSE)</f>
        <v>ドロップイベント1-4</v>
      </c>
      <c r="F410" s="6">
        <v>1</v>
      </c>
      <c r="G410" s="4" t="str">
        <f ca="1">VLOOKUP($C410&amp;"_"&amp;$F410,OFFSET([1]stages!$A$1,0,0,COUNTA([1]stages!$A:$A),MATCH(G$1,[1]stages!$2:$2,0)-MATCH("temp_stage",[1]stages!$2:$2,0)+1),MATCH(G$1,[1]stages!$2:$2,0)-MATCH("temp_stage",[1]stages!$2:$2,0)+1,FALSE)</f>
        <v>【初級】雷雲からの刺客</v>
      </c>
      <c r="H410" s="4" t="str">
        <f ca="1">VLOOKUP($C410&amp;"_"&amp;$F410,OFFSET([1]stages!$A$1,0,0,COUNTA([1]stages!$A:$A),MATCH(H$1,[1]stages!$2:$2,0)-MATCH("temp_stage",[1]stages!$2:$2,0)+1),MATCH(H$1,[1]stages!$2:$2,0)-MATCH("temp_stage",[1]stages!$2:$2,0)+1,FALSE)</f>
        <v>ドロップイベント1-4</v>
      </c>
      <c r="I410" s="19">
        <v>0</v>
      </c>
      <c r="J410" s="6">
        <f>COUNTIF(C$1:C410,C410)</f>
        <v>9</v>
      </c>
      <c r="K410">
        <v>10</v>
      </c>
      <c r="L410" s="6" t="s">
        <v>17</v>
      </c>
      <c r="M410" s="36" t="str">
        <f>VLOOKUP(K410,[2]stage_hints!$A:$C,3,FALSE)</f>
        <v>土日に大量のビットを獲得</v>
      </c>
      <c r="N410" s="37" t="str">
        <f>VLOOKUP(K410,[2]stage_hints!$A:$D,4,FALSE)</f>
        <v>土日限定の「ゴールドカジノ」では_x000D_売却素材ユニットが多く手に入ります</v>
      </c>
      <c r="O410" s="22" t="s">
        <v>117</v>
      </c>
      <c r="P410">
        <v>10</v>
      </c>
    </row>
    <row r="411" spans="1:16" x14ac:dyDescent="0.15">
      <c r="A411" s="29" t="str">
        <f t="shared" si="59"/>
        <v>20004_1_10</v>
      </c>
      <c r="B411" s="27" t="s">
        <v>33</v>
      </c>
      <c r="C411" s="5">
        <v>20004</v>
      </c>
      <c r="D411" s="4" t="str">
        <f ca="1">VLOOKUP($C411,OFFSET([1]quests!$A$1,0,0,COUNTA([1]quests!$A:$A),MATCH(D$1,[1]quests!$1:$1,0)-MATCH($C$1,[1]quests!$1:$1,0)+1),MATCH(D$1,[1]quests!$1:$1,0)-MATCH($C$1,[1]quests!$1:$1,0)+1,FALSE)</f>
        <v>雷雲からの刺客</v>
      </c>
      <c r="E411" s="4" t="str">
        <f ca="1">VLOOKUP($C411,OFFSET([1]quests!$A$1,0,0,COUNTA([1]quests!$A:$A),MATCH(E$1,[1]quests!$1:$1,0)-MATCH($C$1,[1]quests!$1:$1,0)+1),MATCH(E$1,[1]quests!$1:$1,0)-MATCH($C$1,[1]quests!$1:$1,0)+1,FALSE)</f>
        <v>ドロップイベント1-4</v>
      </c>
      <c r="F411" s="6">
        <v>1</v>
      </c>
      <c r="G411" s="4" t="str">
        <f ca="1">VLOOKUP($C411&amp;"_"&amp;$F411,OFFSET([1]stages!$A$1,0,0,COUNTA([1]stages!$A:$A),MATCH(G$1,[1]stages!$2:$2,0)-MATCH("temp_stage",[1]stages!$2:$2,0)+1),MATCH(G$1,[1]stages!$2:$2,0)-MATCH("temp_stage",[1]stages!$2:$2,0)+1,FALSE)</f>
        <v>【初級】雷雲からの刺客</v>
      </c>
      <c r="H411" s="4" t="str">
        <f ca="1">VLOOKUP($C411&amp;"_"&amp;$F411,OFFSET([1]stages!$A$1,0,0,COUNTA([1]stages!$A:$A),MATCH(H$1,[1]stages!$2:$2,0)-MATCH("temp_stage",[1]stages!$2:$2,0)+1),MATCH(H$1,[1]stages!$2:$2,0)-MATCH("temp_stage",[1]stages!$2:$2,0)+1,FALSE)</f>
        <v>ドロップイベント1-4</v>
      </c>
      <c r="I411" s="19">
        <v>0</v>
      </c>
      <c r="J411" s="6">
        <f>COUNTIF(C$1:C411,C411)</f>
        <v>10</v>
      </c>
      <c r="K411">
        <v>11</v>
      </c>
      <c r="L411" s="6" t="s">
        <v>17</v>
      </c>
      <c r="M411" s="36" t="str">
        <f>VLOOKUP(K411,[2]stage_hints!$A:$C,3,FALSE)</f>
        <v>ランク解放クエスト</v>
      </c>
      <c r="N411" s="37" t="str">
        <f>VLOOKUP(K411,[2]stage_hints!$A:$D,4,FALSE)</f>
        <v>一定ランクに到達すると_x000D_報酬付きのランク開放クエストが現れます</v>
      </c>
      <c r="O411" s="22" t="s">
        <v>117</v>
      </c>
      <c r="P411">
        <v>11</v>
      </c>
    </row>
    <row r="412" spans="1:16" x14ac:dyDescent="0.15">
      <c r="A412" s="29" t="str">
        <f t="shared" si="59"/>
        <v>20004_1_11</v>
      </c>
      <c r="B412" s="27" t="s">
        <v>33</v>
      </c>
      <c r="C412" s="5">
        <v>20004</v>
      </c>
      <c r="D412" s="4" t="str">
        <f ca="1">VLOOKUP($C412,OFFSET([1]quests!$A$1,0,0,COUNTA([1]quests!$A:$A),MATCH(D$1,[1]quests!$1:$1,0)-MATCH($C$1,[1]quests!$1:$1,0)+1),MATCH(D$1,[1]quests!$1:$1,0)-MATCH($C$1,[1]quests!$1:$1,0)+1,FALSE)</f>
        <v>雷雲からの刺客</v>
      </c>
      <c r="E412" s="4" t="str">
        <f ca="1">VLOOKUP($C412,OFFSET([1]quests!$A$1,0,0,COUNTA([1]quests!$A:$A),MATCH(E$1,[1]quests!$1:$1,0)-MATCH($C$1,[1]quests!$1:$1,0)+1),MATCH(E$1,[1]quests!$1:$1,0)-MATCH($C$1,[1]quests!$1:$1,0)+1,FALSE)</f>
        <v>ドロップイベント1-4</v>
      </c>
      <c r="F412" s="6">
        <v>1</v>
      </c>
      <c r="G412" s="4" t="str">
        <f ca="1">VLOOKUP($C412&amp;"_"&amp;$F412,OFFSET([1]stages!$A$1,0,0,COUNTA([1]stages!$A:$A),MATCH(G$1,[1]stages!$2:$2,0)-MATCH("temp_stage",[1]stages!$2:$2,0)+1),MATCH(G$1,[1]stages!$2:$2,0)-MATCH("temp_stage",[1]stages!$2:$2,0)+1,FALSE)</f>
        <v>【初級】雷雲からの刺客</v>
      </c>
      <c r="H412" s="4" t="str">
        <f ca="1">VLOOKUP($C412&amp;"_"&amp;$F412,OFFSET([1]stages!$A$1,0,0,COUNTA([1]stages!$A:$A),MATCH(H$1,[1]stages!$2:$2,0)-MATCH("temp_stage",[1]stages!$2:$2,0)+1),MATCH(H$1,[1]stages!$2:$2,0)-MATCH("temp_stage",[1]stages!$2:$2,0)+1,FALSE)</f>
        <v>ドロップイベント1-4</v>
      </c>
      <c r="I412" s="19">
        <v>0</v>
      </c>
      <c r="J412" s="6">
        <f>COUNTIF(C$1:C412,C412)</f>
        <v>11</v>
      </c>
      <c r="K412">
        <v>12</v>
      </c>
      <c r="L412" s="6" t="s">
        <v>17</v>
      </c>
      <c r="M412" s="36" t="str">
        <f>VLOOKUP(K412,[2]stage_hints!$A:$C,3,FALSE)</f>
        <v>ユニットのお気に入り登録</v>
      </c>
      <c r="N412" s="37" t="str">
        <f>VLOOKUP(K412,[2]stage_hints!$A:$D,4,FALSE)</f>
        <v>大事なユニットを誤って消さないように_x000D_フォルダから「お気に入り登録」しましょう</v>
      </c>
      <c r="O412" s="22" t="s">
        <v>117</v>
      </c>
      <c r="P412">
        <v>12</v>
      </c>
    </row>
    <row r="413" spans="1:16" x14ac:dyDescent="0.15">
      <c r="A413" s="29" t="str">
        <f t="shared" si="59"/>
        <v>20004_1_12</v>
      </c>
      <c r="B413" s="27" t="s">
        <v>33</v>
      </c>
      <c r="C413" s="5">
        <v>20004</v>
      </c>
      <c r="D413" s="4" t="str">
        <f ca="1">VLOOKUP($C413,OFFSET([1]quests!$A$1,0,0,COUNTA([1]quests!$A:$A),MATCH(D$1,[1]quests!$1:$1,0)-MATCH($C$1,[1]quests!$1:$1,0)+1),MATCH(D$1,[1]quests!$1:$1,0)-MATCH($C$1,[1]quests!$1:$1,0)+1,FALSE)</f>
        <v>雷雲からの刺客</v>
      </c>
      <c r="E413" s="4" t="str">
        <f ca="1">VLOOKUP($C413,OFFSET([1]quests!$A$1,0,0,COUNTA([1]quests!$A:$A),MATCH(E$1,[1]quests!$1:$1,0)-MATCH($C$1,[1]quests!$1:$1,0)+1),MATCH(E$1,[1]quests!$1:$1,0)-MATCH($C$1,[1]quests!$1:$1,0)+1,FALSE)</f>
        <v>ドロップイベント1-4</v>
      </c>
      <c r="F413" s="6">
        <v>1</v>
      </c>
      <c r="G413" s="4" t="str">
        <f ca="1">VLOOKUP($C413&amp;"_"&amp;$F413,OFFSET([1]stages!$A$1,0,0,COUNTA([1]stages!$A:$A),MATCH(G$1,[1]stages!$2:$2,0)-MATCH("temp_stage",[1]stages!$2:$2,0)+1),MATCH(G$1,[1]stages!$2:$2,0)-MATCH("temp_stage",[1]stages!$2:$2,0)+1,FALSE)</f>
        <v>【初級】雷雲からの刺客</v>
      </c>
      <c r="H413" s="4" t="str">
        <f ca="1">VLOOKUP($C413&amp;"_"&amp;$F413,OFFSET([1]stages!$A$1,0,0,COUNTA([1]stages!$A:$A),MATCH(H$1,[1]stages!$2:$2,0)-MATCH("temp_stage",[1]stages!$2:$2,0)+1),MATCH(H$1,[1]stages!$2:$2,0)-MATCH("temp_stage",[1]stages!$2:$2,0)+1,FALSE)</f>
        <v>ドロップイベント1-4</v>
      </c>
      <c r="I413" s="19">
        <v>0</v>
      </c>
      <c r="J413" s="6">
        <f>COUNTIF(C$1:C413,C413)</f>
        <v>12</v>
      </c>
      <c r="K413">
        <v>13</v>
      </c>
      <c r="L413" s="6" t="s">
        <v>17</v>
      </c>
      <c r="M413" s="36" t="str">
        <f>VLOOKUP(K413,[2]stage_hints!$A:$C,3,FALSE)</f>
        <v>ユニットの覚醒</v>
      </c>
      <c r="N413" s="37" t="str">
        <f>VLOOKUP(K413,[2]stage_hints!$A:$D,4,FALSE)</f>
        <v>ユニットを覚醒させると_x000D_比べものにならない強さが手に入ります</v>
      </c>
      <c r="O413" s="22" t="s">
        <v>117</v>
      </c>
      <c r="P413">
        <v>13</v>
      </c>
    </row>
    <row r="414" spans="1:16" x14ac:dyDescent="0.15">
      <c r="A414" s="29" t="str">
        <f t="shared" si="59"/>
        <v>20004_1_13</v>
      </c>
      <c r="B414" s="27" t="s">
        <v>33</v>
      </c>
      <c r="C414" s="5">
        <v>20004</v>
      </c>
      <c r="D414" s="4" t="str">
        <f ca="1">VLOOKUP($C414,OFFSET([1]quests!$A$1,0,0,COUNTA([1]quests!$A:$A),MATCH(D$1,[1]quests!$1:$1,0)-MATCH($C$1,[1]quests!$1:$1,0)+1),MATCH(D$1,[1]quests!$1:$1,0)-MATCH($C$1,[1]quests!$1:$1,0)+1,FALSE)</f>
        <v>雷雲からの刺客</v>
      </c>
      <c r="E414" s="4" t="str">
        <f ca="1">VLOOKUP($C414,OFFSET([1]quests!$A$1,0,0,COUNTA([1]quests!$A:$A),MATCH(E$1,[1]quests!$1:$1,0)-MATCH($C$1,[1]quests!$1:$1,0)+1),MATCH(E$1,[1]quests!$1:$1,0)-MATCH($C$1,[1]quests!$1:$1,0)+1,FALSE)</f>
        <v>ドロップイベント1-4</v>
      </c>
      <c r="F414" s="6">
        <v>1</v>
      </c>
      <c r="G414" s="4" t="str">
        <f ca="1">VLOOKUP($C414&amp;"_"&amp;$F414,OFFSET([1]stages!$A$1,0,0,COUNTA([1]stages!$A:$A),MATCH(G$1,[1]stages!$2:$2,0)-MATCH("temp_stage",[1]stages!$2:$2,0)+1),MATCH(G$1,[1]stages!$2:$2,0)-MATCH("temp_stage",[1]stages!$2:$2,0)+1,FALSE)</f>
        <v>【初級】雷雲からの刺客</v>
      </c>
      <c r="H414" s="4" t="str">
        <f ca="1">VLOOKUP($C414&amp;"_"&amp;$F414,OFFSET([1]stages!$A$1,0,0,COUNTA([1]stages!$A:$A),MATCH(H$1,[1]stages!$2:$2,0)-MATCH("temp_stage",[1]stages!$2:$2,0)+1),MATCH(H$1,[1]stages!$2:$2,0)-MATCH("temp_stage",[1]stages!$2:$2,0)+1,FALSE)</f>
        <v>ドロップイベント1-4</v>
      </c>
      <c r="I414" s="19">
        <v>0</v>
      </c>
      <c r="J414" s="6">
        <f>COUNTIF(C$1:C414,C414)</f>
        <v>13</v>
      </c>
      <c r="K414">
        <v>14</v>
      </c>
      <c r="L414" s="6" t="s">
        <v>17</v>
      </c>
      <c r="M414" s="36" t="str">
        <f>VLOOKUP(K414,[2]stage_hints!$A:$C,3,FALSE)</f>
        <v>覚醒するにはレベルを最大に</v>
      </c>
      <c r="N414" s="37" t="str">
        <f>VLOOKUP(K414,[2]stage_hints!$A:$D,4,FALSE)</f>
        <v>覚醒するにはユニットのレベルを_x000D_最大まで上げる必要があります</v>
      </c>
      <c r="O414" s="22" t="s">
        <v>117</v>
      </c>
      <c r="P414">
        <v>14</v>
      </c>
    </row>
    <row r="415" spans="1:16" x14ac:dyDescent="0.15">
      <c r="A415" s="29" t="str">
        <f t="shared" ref="A415:A429" si="60">C415&amp;"_"&amp;F415&amp;"_"&amp;J415</f>
        <v>20004_1_14</v>
      </c>
      <c r="B415" s="27" t="s">
        <v>33</v>
      </c>
      <c r="C415" s="5">
        <v>20004</v>
      </c>
      <c r="D415" s="4" t="str">
        <f ca="1">VLOOKUP($C415,OFFSET([1]quests!$A$1,0,0,COUNTA([1]quests!$A:$A),MATCH(D$1,[1]quests!$1:$1,0)-MATCH($C$1,[1]quests!$1:$1,0)+1),MATCH(D$1,[1]quests!$1:$1,0)-MATCH($C$1,[1]quests!$1:$1,0)+1,FALSE)</f>
        <v>雷雲からの刺客</v>
      </c>
      <c r="E415" s="4" t="str">
        <f ca="1">VLOOKUP($C415,OFFSET([1]quests!$A$1,0,0,COUNTA([1]quests!$A:$A),MATCH(E$1,[1]quests!$1:$1,0)-MATCH($C$1,[1]quests!$1:$1,0)+1),MATCH(E$1,[1]quests!$1:$1,0)-MATCH($C$1,[1]quests!$1:$1,0)+1,FALSE)</f>
        <v>ドロップイベント1-4</v>
      </c>
      <c r="F415" s="6">
        <v>1</v>
      </c>
      <c r="G415" s="4" t="str">
        <f ca="1">VLOOKUP($C415&amp;"_"&amp;$F415,OFFSET([1]stages!$A$1,0,0,COUNTA([1]stages!$A:$A),MATCH(G$1,[1]stages!$2:$2,0)-MATCH("temp_stage",[1]stages!$2:$2,0)+1),MATCH(G$1,[1]stages!$2:$2,0)-MATCH("temp_stage",[1]stages!$2:$2,0)+1,FALSE)</f>
        <v>【初級】雷雲からの刺客</v>
      </c>
      <c r="H415" s="4" t="str">
        <f ca="1">VLOOKUP($C415&amp;"_"&amp;$F415,OFFSET([1]stages!$A$1,0,0,COUNTA([1]stages!$A:$A),MATCH(H$1,[1]stages!$2:$2,0)-MATCH("temp_stage",[1]stages!$2:$2,0)+1),MATCH(H$1,[1]stages!$2:$2,0)-MATCH("temp_stage",[1]stages!$2:$2,0)+1,FALSE)</f>
        <v>ドロップイベント1-4</v>
      </c>
      <c r="I415" s="19">
        <v>0</v>
      </c>
      <c r="J415" s="6">
        <f>COUNTIF(C$1:C415,C415)</f>
        <v>14</v>
      </c>
      <c r="K415">
        <v>15</v>
      </c>
      <c r="L415" s="6" t="s">
        <v>17</v>
      </c>
      <c r="M415" s="36" t="str">
        <f>VLOOKUP(K415,[2]stage_hints!$A:$C,3,FALSE)</f>
        <v>覚醒素材を獲得</v>
      </c>
      <c r="N415" s="37" t="str">
        <f>VLOOKUP(K415,[2]stage_hints!$A:$D,4,FALSE)</f>
        <v>「曜日クエスト」では_x000D_ユニットの覚醒に必要な素材が手に入ります</v>
      </c>
      <c r="O415" s="22" t="s">
        <v>117</v>
      </c>
      <c r="P415">
        <v>15</v>
      </c>
    </row>
    <row r="416" spans="1:16" x14ac:dyDescent="0.15">
      <c r="A416" s="29" t="str">
        <f t="shared" si="60"/>
        <v>20004_1_15</v>
      </c>
      <c r="B416" s="27" t="s">
        <v>33</v>
      </c>
      <c r="C416" s="5">
        <v>20004</v>
      </c>
      <c r="D416" s="4" t="str">
        <f ca="1">VLOOKUP($C416,OFFSET([1]quests!$A$1,0,0,COUNTA([1]quests!$A:$A),MATCH(D$1,[1]quests!$1:$1,0)-MATCH($C$1,[1]quests!$1:$1,0)+1),MATCH(D$1,[1]quests!$1:$1,0)-MATCH($C$1,[1]quests!$1:$1,0)+1,FALSE)</f>
        <v>雷雲からの刺客</v>
      </c>
      <c r="E416" s="4" t="str">
        <f ca="1">VLOOKUP($C416,OFFSET([1]quests!$A$1,0,0,COUNTA([1]quests!$A:$A),MATCH(E$1,[1]quests!$1:$1,0)-MATCH($C$1,[1]quests!$1:$1,0)+1),MATCH(E$1,[1]quests!$1:$1,0)-MATCH($C$1,[1]quests!$1:$1,0)+1,FALSE)</f>
        <v>ドロップイベント1-4</v>
      </c>
      <c r="F416" s="6">
        <v>1</v>
      </c>
      <c r="G416" s="4" t="str">
        <f ca="1">VLOOKUP($C416&amp;"_"&amp;$F416,OFFSET([1]stages!$A$1,0,0,COUNTA([1]stages!$A:$A),MATCH(G$1,[1]stages!$2:$2,0)-MATCH("temp_stage",[1]stages!$2:$2,0)+1),MATCH(G$1,[1]stages!$2:$2,0)-MATCH("temp_stage",[1]stages!$2:$2,0)+1,FALSE)</f>
        <v>【初級】雷雲からの刺客</v>
      </c>
      <c r="H416" s="4" t="str">
        <f ca="1">VLOOKUP($C416&amp;"_"&amp;$F416,OFFSET([1]stages!$A$1,0,0,COUNTA([1]stages!$A:$A),MATCH(H$1,[1]stages!$2:$2,0)-MATCH("temp_stage",[1]stages!$2:$2,0)+1),MATCH(H$1,[1]stages!$2:$2,0)-MATCH("temp_stage",[1]stages!$2:$2,0)+1,FALSE)</f>
        <v>ドロップイベント1-4</v>
      </c>
      <c r="I416" s="19">
        <v>0</v>
      </c>
      <c r="J416" s="6">
        <f>COUNTIF(C$1:C416,C416)</f>
        <v>15</v>
      </c>
      <c r="K416">
        <v>16</v>
      </c>
      <c r="L416" s="6" t="s">
        <v>17</v>
      </c>
      <c r="M416" s="36" t="str">
        <f>VLOOKUP(K416,[2]stage_hints!$A:$C,3,FALSE)</f>
        <v>マルチプレイのメリット（その1）</v>
      </c>
      <c r="N416" s="37" t="str">
        <f>VLOOKUP(K416,[2]stage_hints!$A:$D,4,FALSE)</f>
        <v>他のプレイヤーとマルチプレイで遊ぶと_x000D_ポリゴンがもらえます（100人まで）</v>
      </c>
      <c r="O416" s="22" t="s">
        <v>117</v>
      </c>
      <c r="P416">
        <v>16</v>
      </c>
    </row>
    <row r="417" spans="1:16" x14ac:dyDescent="0.15">
      <c r="A417" s="29" t="str">
        <f t="shared" si="60"/>
        <v>20004_1_16</v>
      </c>
      <c r="B417" s="27" t="s">
        <v>33</v>
      </c>
      <c r="C417" s="5">
        <v>20004</v>
      </c>
      <c r="D417" s="4" t="str">
        <f ca="1">VLOOKUP($C417,OFFSET([1]quests!$A$1,0,0,COUNTA([1]quests!$A:$A),MATCH(D$1,[1]quests!$1:$1,0)-MATCH($C$1,[1]quests!$1:$1,0)+1),MATCH(D$1,[1]quests!$1:$1,0)-MATCH($C$1,[1]quests!$1:$1,0)+1,FALSE)</f>
        <v>雷雲からの刺客</v>
      </c>
      <c r="E417" s="4" t="str">
        <f ca="1">VLOOKUP($C417,OFFSET([1]quests!$A$1,0,0,COUNTA([1]quests!$A:$A),MATCH(E$1,[1]quests!$1:$1,0)-MATCH($C$1,[1]quests!$1:$1,0)+1),MATCH(E$1,[1]quests!$1:$1,0)-MATCH($C$1,[1]quests!$1:$1,0)+1,FALSE)</f>
        <v>ドロップイベント1-4</v>
      </c>
      <c r="F417" s="6">
        <v>1</v>
      </c>
      <c r="G417" s="4" t="str">
        <f ca="1">VLOOKUP($C417&amp;"_"&amp;$F417,OFFSET([1]stages!$A$1,0,0,COUNTA([1]stages!$A:$A),MATCH(G$1,[1]stages!$2:$2,0)-MATCH("temp_stage",[1]stages!$2:$2,0)+1),MATCH(G$1,[1]stages!$2:$2,0)-MATCH("temp_stage",[1]stages!$2:$2,0)+1,FALSE)</f>
        <v>【初級】雷雲からの刺客</v>
      </c>
      <c r="H417" s="4" t="str">
        <f ca="1">VLOOKUP($C417&amp;"_"&amp;$F417,OFFSET([1]stages!$A$1,0,0,COUNTA([1]stages!$A:$A),MATCH(H$1,[1]stages!$2:$2,0)-MATCH("temp_stage",[1]stages!$2:$2,0)+1),MATCH(H$1,[1]stages!$2:$2,0)-MATCH("temp_stage",[1]stages!$2:$2,0)+1,FALSE)</f>
        <v>ドロップイベント1-4</v>
      </c>
      <c r="I417" s="19">
        <v>0</v>
      </c>
      <c r="J417" s="6">
        <f>COUNTIF(C$1:C417,C417)</f>
        <v>16</v>
      </c>
      <c r="K417">
        <v>17</v>
      </c>
      <c r="L417" s="6" t="s">
        <v>17</v>
      </c>
      <c r="M417" s="36" t="str">
        <f>VLOOKUP(K417,[2]stage_hints!$A:$C,3,FALSE)</f>
        <v>リンクガチャ</v>
      </c>
      <c r="N417" s="37" t="str">
        <f>VLOOKUP(K417,[2]stage_hints!$A:$D,4,FALSE)</f>
        <v>無料のリンクガチャを回して_x000D_経験値素材や売却素材を獲得しましょう</v>
      </c>
      <c r="O417" s="22" t="s">
        <v>117</v>
      </c>
      <c r="P417">
        <v>17</v>
      </c>
    </row>
    <row r="418" spans="1:16" x14ac:dyDescent="0.15">
      <c r="A418" s="29" t="str">
        <f t="shared" si="60"/>
        <v>20004_1_17</v>
      </c>
      <c r="B418" s="27" t="s">
        <v>33</v>
      </c>
      <c r="C418" s="5">
        <v>20004</v>
      </c>
      <c r="D418" s="4" t="str">
        <f ca="1">VLOOKUP($C418,OFFSET([1]quests!$A$1,0,0,COUNTA([1]quests!$A:$A),MATCH(D$1,[1]quests!$1:$1,0)-MATCH($C$1,[1]quests!$1:$1,0)+1),MATCH(D$1,[1]quests!$1:$1,0)-MATCH($C$1,[1]quests!$1:$1,0)+1,FALSE)</f>
        <v>雷雲からの刺客</v>
      </c>
      <c r="E418" s="4" t="str">
        <f ca="1">VLOOKUP($C418,OFFSET([1]quests!$A$1,0,0,COUNTA([1]quests!$A:$A),MATCH(E$1,[1]quests!$1:$1,0)-MATCH($C$1,[1]quests!$1:$1,0)+1),MATCH(E$1,[1]quests!$1:$1,0)-MATCH($C$1,[1]quests!$1:$1,0)+1,FALSE)</f>
        <v>ドロップイベント1-4</v>
      </c>
      <c r="F418" s="6">
        <v>1</v>
      </c>
      <c r="G418" s="4" t="str">
        <f ca="1">VLOOKUP($C418&amp;"_"&amp;$F418,OFFSET([1]stages!$A$1,0,0,COUNTA([1]stages!$A:$A),MATCH(G$1,[1]stages!$2:$2,0)-MATCH("temp_stage",[1]stages!$2:$2,0)+1),MATCH(G$1,[1]stages!$2:$2,0)-MATCH("temp_stage",[1]stages!$2:$2,0)+1,FALSE)</f>
        <v>【初級】雷雲からの刺客</v>
      </c>
      <c r="H418" s="4" t="str">
        <f ca="1">VLOOKUP($C418&amp;"_"&amp;$F418,OFFSET([1]stages!$A$1,0,0,COUNTA([1]stages!$A:$A),MATCH(H$1,[1]stages!$2:$2,0)-MATCH("temp_stage",[1]stages!$2:$2,0)+1),MATCH(H$1,[1]stages!$2:$2,0)-MATCH("temp_stage",[1]stages!$2:$2,0)+1,FALSE)</f>
        <v>ドロップイベント1-4</v>
      </c>
      <c r="I418" s="19">
        <v>0</v>
      </c>
      <c r="J418" s="6">
        <f>COUNTIF(C$1:C418,C418)</f>
        <v>17</v>
      </c>
      <c r="K418">
        <v>18</v>
      </c>
      <c r="L418" s="6" t="s">
        <v>17</v>
      </c>
      <c r="M418" s="36" t="str">
        <f>VLOOKUP(K418,[2]stage_hints!$A:$C,3,FALSE)</f>
        <v>マルチプレイのメリット（その2）</v>
      </c>
      <c r="N418" s="37" t="str">
        <f>VLOOKUP(K418,[2]stage_hints!$A:$D,4,FALSE)</f>
        <v>マルチプレイならリンクが2倍もらえます_x000D_リンクガチャをたくさん回しましょう</v>
      </c>
      <c r="O418" s="22" t="s">
        <v>117</v>
      </c>
      <c r="P418">
        <v>18</v>
      </c>
    </row>
    <row r="419" spans="1:16" x14ac:dyDescent="0.15">
      <c r="A419" s="29" t="str">
        <f t="shared" si="60"/>
        <v>20004_1_18</v>
      </c>
      <c r="B419" s="27" t="s">
        <v>33</v>
      </c>
      <c r="C419" s="5">
        <v>20004</v>
      </c>
      <c r="D419" s="4" t="str">
        <f ca="1">VLOOKUP($C419,OFFSET([1]quests!$A$1,0,0,COUNTA([1]quests!$A:$A),MATCH(D$1,[1]quests!$1:$1,0)-MATCH($C$1,[1]quests!$1:$1,0)+1),MATCH(D$1,[1]quests!$1:$1,0)-MATCH($C$1,[1]quests!$1:$1,0)+1,FALSE)</f>
        <v>雷雲からの刺客</v>
      </c>
      <c r="E419" s="4" t="str">
        <f ca="1">VLOOKUP($C419,OFFSET([1]quests!$A$1,0,0,COUNTA([1]quests!$A:$A),MATCH(E$1,[1]quests!$1:$1,0)-MATCH($C$1,[1]quests!$1:$1,0)+1),MATCH(E$1,[1]quests!$1:$1,0)-MATCH($C$1,[1]quests!$1:$1,0)+1,FALSE)</f>
        <v>ドロップイベント1-4</v>
      </c>
      <c r="F419" s="6">
        <v>1</v>
      </c>
      <c r="G419" s="4" t="str">
        <f ca="1">VLOOKUP($C419&amp;"_"&amp;$F419,OFFSET([1]stages!$A$1,0,0,COUNTA([1]stages!$A:$A),MATCH(G$1,[1]stages!$2:$2,0)-MATCH("temp_stage",[1]stages!$2:$2,0)+1),MATCH(G$1,[1]stages!$2:$2,0)-MATCH("temp_stage",[1]stages!$2:$2,0)+1,FALSE)</f>
        <v>【初級】雷雲からの刺客</v>
      </c>
      <c r="H419" s="4" t="str">
        <f ca="1">VLOOKUP($C419&amp;"_"&amp;$F419,OFFSET([1]stages!$A$1,0,0,COUNTA([1]stages!$A:$A),MATCH(H$1,[1]stages!$2:$2,0)-MATCH("temp_stage",[1]stages!$2:$2,0)+1),MATCH(H$1,[1]stages!$2:$2,0)-MATCH("temp_stage",[1]stages!$2:$2,0)+1,FALSE)</f>
        <v>ドロップイベント1-4</v>
      </c>
      <c r="I419" s="19">
        <v>0</v>
      </c>
      <c r="J419" s="6">
        <f>COUNTIF(C$1:C419,C419)</f>
        <v>18</v>
      </c>
      <c r="K419">
        <v>19</v>
      </c>
      <c r="L419" s="6" t="s">
        <v>17</v>
      </c>
      <c r="M419" s="36" t="str">
        <f>VLOOKUP(K419,[2]stage_hints!$A:$C,3,FALSE)</f>
        <v>ソロ専用チャレンジタワー</v>
      </c>
      <c r="N419" s="37" t="str">
        <f>VLOOKUP(K419,[2]stage_hints!$A:$D,4,FALSE)</f>
        <v>ソロ専用の「チャレンジタワー」では_x000D_各フロアごとにクリア報酬がもらえます</v>
      </c>
      <c r="O419" s="22" t="s">
        <v>117</v>
      </c>
      <c r="P419">
        <v>19</v>
      </c>
    </row>
    <row r="420" spans="1:16" x14ac:dyDescent="0.15">
      <c r="A420" s="29" t="str">
        <f t="shared" si="60"/>
        <v>20004_1_19</v>
      </c>
      <c r="B420" s="27" t="s">
        <v>33</v>
      </c>
      <c r="C420" s="5">
        <v>20004</v>
      </c>
      <c r="D420" s="4" t="str">
        <f ca="1">VLOOKUP($C420,OFFSET([1]quests!$A$1,0,0,COUNTA([1]quests!$A:$A),MATCH(D$1,[1]quests!$1:$1,0)-MATCH($C$1,[1]quests!$1:$1,0)+1),MATCH(D$1,[1]quests!$1:$1,0)-MATCH($C$1,[1]quests!$1:$1,0)+1,FALSE)</f>
        <v>雷雲からの刺客</v>
      </c>
      <c r="E420" s="4" t="str">
        <f ca="1">VLOOKUP($C420,OFFSET([1]quests!$A$1,0,0,COUNTA([1]quests!$A:$A),MATCH(E$1,[1]quests!$1:$1,0)-MATCH($C$1,[1]quests!$1:$1,0)+1),MATCH(E$1,[1]quests!$1:$1,0)-MATCH($C$1,[1]quests!$1:$1,0)+1,FALSE)</f>
        <v>ドロップイベント1-4</v>
      </c>
      <c r="F420" s="6">
        <v>1</v>
      </c>
      <c r="G420" s="4" t="str">
        <f ca="1">VLOOKUP($C420&amp;"_"&amp;$F420,OFFSET([1]stages!$A$1,0,0,COUNTA([1]stages!$A:$A),MATCH(G$1,[1]stages!$2:$2,0)-MATCH("temp_stage",[1]stages!$2:$2,0)+1),MATCH(G$1,[1]stages!$2:$2,0)-MATCH("temp_stage",[1]stages!$2:$2,0)+1,FALSE)</f>
        <v>【初級】雷雲からの刺客</v>
      </c>
      <c r="H420" s="4" t="str">
        <f ca="1">VLOOKUP($C420&amp;"_"&amp;$F420,OFFSET([1]stages!$A$1,0,0,COUNTA([1]stages!$A:$A),MATCH(H$1,[1]stages!$2:$2,0)-MATCH("temp_stage",[1]stages!$2:$2,0)+1),MATCH(H$1,[1]stages!$2:$2,0)-MATCH("temp_stage",[1]stages!$2:$2,0)+1,FALSE)</f>
        <v>ドロップイベント1-4</v>
      </c>
      <c r="I420" s="19">
        <v>0</v>
      </c>
      <c r="J420" s="6">
        <f>COUNTIF(C$1:C420,C420)</f>
        <v>19</v>
      </c>
      <c r="K420">
        <v>20</v>
      </c>
      <c r="L420" s="6" t="s">
        <v>17</v>
      </c>
      <c r="M420" s="36" t="str">
        <f>VLOOKUP(K420,[2]stage_hints!$A:$C,3,FALSE)</f>
        <v>マルチプレイのメリット（その3）</v>
      </c>
      <c r="N420" s="37" t="str">
        <f>VLOOKUP(K420,[2]stage_hints!$A:$D,4,FALSE)</f>
        <v>マルチプレイへの参加はエナジー消費ゼロ_x000D_いつでも好きなだけ遊ぶことができます</v>
      </c>
      <c r="O420" s="22" t="s">
        <v>117</v>
      </c>
      <c r="P420">
        <v>20</v>
      </c>
    </row>
    <row r="421" spans="1:16" x14ac:dyDescent="0.15">
      <c r="A421" s="29" t="str">
        <f t="shared" si="60"/>
        <v>20004_1_20</v>
      </c>
      <c r="B421" s="27" t="s">
        <v>33</v>
      </c>
      <c r="C421" s="5">
        <v>20004</v>
      </c>
      <c r="D421" s="4" t="str">
        <f ca="1">VLOOKUP($C421,OFFSET([1]quests!$A$1,0,0,COUNTA([1]quests!$A:$A),MATCH(D$1,[1]quests!$1:$1,0)-MATCH($C$1,[1]quests!$1:$1,0)+1),MATCH(D$1,[1]quests!$1:$1,0)-MATCH($C$1,[1]quests!$1:$1,0)+1,FALSE)</f>
        <v>雷雲からの刺客</v>
      </c>
      <c r="E421" s="4" t="str">
        <f ca="1">VLOOKUP($C421,OFFSET([1]quests!$A$1,0,0,COUNTA([1]quests!$A:$A),MATCH(E$1,[1]quests!$1:$1,0)-MATCH($C$1,[1]quests!$1:$1,0)+1),MATCH(E$1,[1]quests!$1:$1,0)-MATCH($C$1,[1]quests!$1:$1,0)+1,FALSE)</f>
        <v>ドロップイベント1-4</v>
      </c>
      <c r="F421" s="6">
        <v>1</v>
      </c>
      <c r="G421" s="4" t="str">
        <f ca="1">VLOOKUP($C421&amp;"_"&amp;$F421,OFFSET([1]stages!$A$1,0,0,COUNTA([1]stages!$A:$A),MATCH(G$1,[1]stages!$2:$2,0)-MATCH("temp_stage",[1]stages!$2:$2,0)+1),MATCH(G$1,[1]stages!$2:$2,0)-MATCH("temp_stage",[1]stages!$2:$2,0)+1,FALSE)</f>
        <v>【初級】雷雲からの刺客</v>
      </c>
      <c r="H421" s="4" t="str">
        <f ca="1">VLOOKUP($C421&amp;"_"&amp;$F421,OFFSET([1]stages!$A$1,0,0,COUNTA([1]stages!$A:$A),MATCH(H$1,[1]stages!$2:$2,0)-MATCH("temp_stage",[1]stages!$2:$2,0)+1),MATCH(H$1,[1]stages!$2:$2,0)-MATCH("temp_stage",[1]stages!$2:$2,0)+1,FALSE)</f>
        <v>ドロップイベント1-4</v>
      </c>
      <c r="I421" s="19">
        <v>0</v>
      </c>
      <c r="J421" s="6">
        <f>COUNTIF(C$1:C421,C421)</f>
        <v>20</v>
      </c>
      <c r="K421">
        <v>21</v>
      </c>
      <c r="L421" s="6" t="s">
        <v>17</v>
      </c>
      <c r="M421" s="36" t="str">
        <f>VLOOKUP(K421,[2]stage_hints!$A:$C,3,FALSE)</f>
        <v>スキルを有効に</v>
      </c>
      <c r="N421" s="37" t="str">
        <f>VLOOKUP(K421,[2]stage_hints!$A:$D,4,FALSE)</f>
        <v>ターン経過でユニットのスキルが使えます_x000D_強力スキルでバトルを有利に進めましょう</v>
      </c>
      <c r="O421" s="22" t="s">
        <v>117</v>
      </c>
      <c r="P421">
        <v>21</v>
      </c>
    </row>
    <row r="422" spans="1:16" x14ac:dyDescent="0.15">
      <c r="A422" s="29" t="str">
        <f t="shared" si="60"/>
        <v>20004_1_21</v>
      </c>
      <c r="B422" s="27" t="s">
        <v>33</v>
      </c>
      <c r="C422" s="5">
        <v>20004</v>
      </c>
      <c r="D422" s="4" t="str">
        <f ca="1">VLOOKUP($C422,OFFSET([1]quests!$A$1,0,0,COUNTA([1]quests!$A:$A),MATCH(D$1,[1]quests!$1:$1,0)-MATCH($C$1,[1]quests!$1:$1,0)+1),MATCH(D$1,[1]quests!$1:$1,0)-MATCH($C$1,[1]quests!$1:$1,0)+1,FALSE)</f>
        <v>雷雲からの刺客</v>
      </c>
      <c r="E422" s="4" t="str">
        <f ca="1">VLOOKUP($C422,OFFSET([1]quests!$A$1,0,0,COUNTA([1]quests!$A:$A),MATCH(E$1,[1]quests!$1:$1,0)-MATCH($C$1,[1]quests!$1:$1,0)+1),MATCH(E$1,[1]quests!$1:$1,0)-MATCH($C$1,[1]quests!$1:$1,0)+1,FALSE)</f>
        <v>ドロップイベント1-4</v>
      </c>
      <c r="F422" s="6">
        <v>1</v>
      </c>
      <c r="G422" s="4" t="str">
        <f ca="1">VLOOKUP($C422&amp;"_"&amp;$F422,OFFSET([1]stages!$A$1,0,0,COUNTA([1]stages!$A:$A),MATCH(G$1,[1]stages!$2:$2,0)-MATCH("temp_stage",[1]stages!$2:$2,0)+1),MATCH(G$1,[1]stages!$2:$2,0)-MATCH("temp_stage",[1]stages!$2:$2,0)+1,FALSE)</f>
        <v>【初級】雷雲からの刺客</v>
      </c>
      <c r="H422" s="4" t="str">
        <f ca="1">VLOOKUP($C422&amp;"_"&amp;$F422,OFFSET([1]stages!$A$1,0,0,COUNTA([1]stages!$A:$A),MATCH(H$1,[1]stages!$2:$2,0)-MATCH("temp_stage",[1]stages!$2:$2,0)+1),MATCH(H$1,[1]stages!$2:$2,0)-MATCH("temp_stage",[1]stages!$2:$2,0)+1,FALSE)</f>
        <v>ドロップイベント1-4</v>
      </c>
      <c r="I422" s="19">
        <v>0</v>
      </c>
      <c r="J422" s="6">
        <f>COUNTIF(C$1:C422,C422)</f>
        <v>21</v>
      </c>
      <c r="K422">
        <v>22</v>
      </c>
      <c r="L422" s="6" t="s">
        <v>17</v>
      </c>
      <c r="M422" s="36" t="str">
        <f>VLOOKUP(K422,[2]stage_hints!$A:$C,3,FALSE)</f>
        <v>フィーバーで一発逆転（その1）</v>
      </c>
      <c r="N422" s="37" t="str">
        <f>VLOOKUP(K422,[2]stage_hints!$A:$D,4,FALSE)</f>
        <v>フィーバーは攻撃と回復を兼ね備えます_x000D_ピンチからの一発逆転を狙いましょう</v>
      </c>
      <c r="O422" s="22" t="s">
        <v>117</v>
      </c>
      <c r="P422">
        <v>22</v>
      </c>
    </row>
    <row r="423" spans="1:16" x14ac:dyDescent="0.15">
      <c r="A423" s="29" t="str">
        <f t="shared" si="60"/>
        <v>20004_1_22</v>
      </c>
      <c r="B423" s="27" t="s">
        <v>33</v>
      </c>
      <c r="C423" s="5">
        <v>20004</v>
      </c>
      <c r="D423" s="4" t="str">
        <f ca="1">VLOOKUP($C423,OFFSET([1]quests!$A$1,0,0,COUNTA([1]quests!$A:$A),MATCH(D$1,[1]quests!$1:$1,0)-MATCH($C$1,[1]quests!$1:$1,0)+1),MATCH(D$1,[1]quests!$1:$1,0)-MATCH($C$1,[1]quests!$1:$1,0)+1,FALSE)</f>
        <v>雷雲からの刺客</v>
      </c>
      <c r="E423" s="4" t="str">
        <f ca="1">VLOOKUP($C423,OFFSET([1]quests!$A$1,0,0,COUNTA([1]quests!$A:$A),MATCH(E$1,[1]quests!$1:$1,0)-MATCH($C$1,[1]quests!$1:$1,0)+1),MATCH(E$1,[1]quests!$1:$1,0)-MATCH($C$1,[1]quests!$1:$1,0)+1,FALSE)</f>
        <v>ドロップイベント1-4</v>
      </c>
      <c r="F423" s="6">
        <v>1</v>
      </c>
      <c r="G423" s="4" t="str">
        <f ca="1">VLOOKUP($C423&amp;"_"&amp;$F423,OFFSET([1]stages!$A$1,0,0,COUNTA([1]stages!$A:$A),MATCH(G$1,[1]stages!$2:$2,0)-MATCH("temp_stage",[1]stages!$2:$2,0)+1),MATCH(G$1,[1]stages!$2:$2,0)-MATCH("temp_stage",[1]stages!$2:$2,0)+1,FALSE)</f>
        <v>【初級】雷雲からの刺客</v>
      </c>
      <c r="H423" s="4" t="str">
        <f ca="1">VLOOKUP($C423&amp;"_"&amp;$F423,OFFSET([1]stages!$A$1,0,0,COUNTA([1]stages!$A:$A),MATCH(H$1,[1]stages!$2:$2,0)-MATCH("temp_stage",[1]stages!$2:$2,0)+1),MATCH(H$1,[1]stages!$2:$2,0)-MATCH("temp_stage",[1]stages!$2:$2,0)+1,FALSE)</f>
        <v>ドロップイベント1-4</v>
      </c>
      <c r="I423" s="19">
        <v>0</v>
      </c>
      <c r="J423" s="6">
        <f>COUNTIF(C$1:C423,C423)</f>
        <v>22</v>
      </c>
      <c r="K423">
        <v>23</v>
      </c>
      <c r="L423" s="6" t="s">
        <v>17</v>
      </c>
      <c r="M423" s="36" t="str">
        <f>VLOOKUP(K423,[2]stage_hints!$A:$C,3,FALSE)</f>
        <v>フィーバーで一発逆転（その2）</v>
      </c>
      <c r="N423" s="37" t="str">
        <f>VLOOKUP(K423,[2]stage_hints!$A:$D,4,FALSE)</f>
        <v>フィーバー中は虹色のボムパネルを狙って_x000D_画面上のパネルを一気に破壊しましょう</v>
      </c>
      <c r="O423" s="22" t="s">
        <v>117</v>
      </c>
      <c r="P423">
        <v>23</v>
      </c>
    </row>
    <row r="424" spans="1:16" x14ac:dyDescent="0.15">
      <c r="A424" s="29" t="str">
        <f t="shared" si="60"/>
        <v>20004_1_23</v>
      </c>
      <c r="B424" s="27" t="s">
        <v>33</v>
      </c>
      <c r="C424" s="5">
        <v>20004</v>
      </c>
      <c r="D424" s="4" t="str">
        <f ca="1">VLOOKUP($C424,OFFSET([1]quests!$A$1,0,0,COUNTA([1]quests!$A:$A),MATCH(D$1,[1]quests!$1:$1,0)-MATCH($C$1,[1]quests!$1:$1,0)+1),MATCH(D$1,[1]quests!$1:$1,0)-MATCH($C$1,[1]quests!$1:$1,0)+1,FALSE)</f>
        <v>雷雲からの刺客</v>
      </c>
      <c r="E424" s="4" t="str">
        <f ca="1">VLOOKUP($C424,OFFSET([1]quests!$A$1,0,0,COUNTA([1]quests!$A:$A),MATCH(E$1,[1]quests!$1:$1,0)-MATCH($C$1,[1]quests!$1:$1,0)+1),MATCH(E$1,[1]quests!$1:$1,0)-MATCH($C$1,[1]quests!$1:$1,0)+1,FALSE)</f>
        <v>ドロップイベント1-4</v>
      </c>
      <c r="F424" s="6">
        <v>1</v>
      </c>
      <c r="G424" s="4" t="str">
        <f ca="1">VLOOKUP($C424&amp;"_"&amp;$F424,OFFSET([1]stages!$A$1,0,0,COUNTA([1]stages!$A:$A),MATCH(G$1,[1]stages!$2:$2,0)-MATCH("temp_stage",[1]stages!$2:$2,0)+1),MATCH(G$1,[1]stages!$2:$2,0)-MATCH("temp_stage",[1]stages!$2:$2,0)+1,FALSE)</f>
        <v>【初級】雷雲からの刺客</v>
      </c>
      <c r="H424" s="4" t="str">
        <f ca="1">VLOOKUP($C424&amp;"_"&amp;$F424,OFFSET([1]stages!$A$1,0,0,COUNTA([1]stages!$A:$A),MATCH(H$1,[1]stages!$2:$2,0)-MATCH("temp_stage",[1]stages!$2:$2,0)+1),MATCH(H$1,[1]stages!$2:$2,0)-MATCH("temp_stage",[1]stages!$2:$2,0)+1,FALSE)</f>
        <v>ドロップイベント1-4</v>
      </c>
      <c r="I424" s="19">
        <v>0</v>
      </c>
      <c r="J424" s="6">
        <f>COUNTIF(C$1:C424,C424)</f>
        <v>23</v>
      </c>
      <c r="K424">
        <v>24</v>
      </c>
      <c r="L424" s="6" t="s">
        <v>17</v>
      </c>
      <c r="M424" s="36" t="str">
        <f>VLOOKUP(K424,[2]stage_hints!$A:$C,3,FALSE)</f>
        <v>りんごを使って限界突破</v>
      </c>
      <c r="N424" s="37" t="str">
        <f>VLOOKUP(K424,[2]stage_hints!$A:$D,4,FALSE)</f>
        <v>赤りんご(攻撃力) 青りんご(回復力)_x000D_緑りんご(体力)をユニット強化に使うと_x000D_ステータスが限界突破します（計99個迄）</v>
      </c>
      <c r="O424" s="22" t="s">
        <v>117</v>
      </c>
      <c r="P424">
        <v>24</v>
      </c>
    </row>
    <row r="425" spans="1:16" x14ac:dyDescent="0.15">
      <c r="A425" s="29" t="str">
        <f t="shared" si="60"/>
        <v>20004_1_24</v>
      </c>
      <c r="B425" s="27" t="s">
        <v>33</v>
      </c>
      <c r="C425" s="5">
        <v>20004</v>
      </c>
      <c r="D425" s="4" t="str">
        <f ca="1">VLOOKUP($C425,OFFSET([1]quests!$A$1,0,0,COUNTA([1]quests!$A:$A),MATCH(D$1,[1]quests!$1:$1,0)-MATCH($C$1,[1]quests!$1:$1,0)+1),MATCH(D$1,[1]quests!$1:$1,0)-MATCH($C$1,[1]quests!$1:$1,0)+1,FALSE)</f>
        <v>雷雲からの刺客</v>
      </c>
      <c r="E425" s="4" t="str">
        <f ca="1">VLOOKUP($C425,OFFSET([1]quests!$A$1,0,0,COUNTA([1]quests!$A:$A),MATCH(E$1,[1]quests!$1:$1,0)-MATCH($C$1,[1]quests!$1:$1,0)+1),MATCH(E$1,[1]quests!$1:$1,0)-MATCH($C$1,[1]quests!$1:$1,0)+1,FALSE)</f>
        <v>ドロップイベント1-4</v>
      </c>
      <c r="F425" s="6">
        <v>1</v>
      </c>
      <c r="G425" s="4" t="str">
        <f ca="1">VLOOKUP($C425&amp;"_"&amp;$F425,OFFSET([1]stages!$A$1,0,0,COUNTA([1]stages!$A:$A),MATCH(G$1,[1]stages!$2:$2,0)-MATCH("temp_stage",[1]stages!$2:$2,0)+1),MATCH(G$1,[1]stages!$2:$2,0)-MATCH("temp_stage",[1]stages!$2:$2,0)+1,FALSE)</f>
        <v>【初級】雷雲からの刺客</v>
      </c>
      <c r="H425" s="4" t="str">
        <f ca="1">VLOOKUP($C425&amp;"_"&amp;$F425,OFFSET([1]stages!$A$1,0,0,COUNTA([1]stages!$A:$A),MATCH(H$1,[1]stages!$2:$2,0)-MATCH("temp_stage",[1]stages!$2:$2,0)+1),MATCH(H$1,[1]stages!$2:$2,0)-MATCH("temp_stage",[1]stages!$2:$2,0)+1,FALSE)</f>
        <v>ドロップイベント1-4</v>
      </c>
      <c r="I425" s="19">
        <v>0</v>
      </c>
      <c r="J425" s="6">
        <f>COUNTIF(C$1:C425,C425)</f>
        <v>24</v>
      </c>
      <c r="K425">
        <v>25</v>
      </c>
      <c r="L425" s="6" t="s">
        <v>17</v>
      </c>
      <c r="M425" s="36" t="str">
        <f>VLOOKUP(K425,[2]stage_hints!$A:$C,3,FALSE)</f>
        <v>スキルレベルアップ</v>
      </c>
      <c r="N425" s="37" t="str">
        <f>VLOOKUP(K425,[2]stage_hints!$A:$D,4,FALSE)</f>
        <v>「クリスタルのりんご」を強化に使うと_x000D_スキルレベルを上げることができます</v>
      </c>
      <c r="O425" s="22" t="s">
        <v>117</v>
      </c>
      <c r="P425">
        <v>25</v>
      </c>
    </row>
    <row r="426" spans="1:16" x14ac:dyDescent="0.15">
      <c r="A426" s="29" t="str">
        <f t="shared" si="60"/>
        <v>20004_1_25</v>
      </c>
      <c r="B426" s="27" t="s">
        <v>33</v>
      </c>
      <c r="C426" s="5">
        <v>20004</v>
      </c>
      <c r="D426" s="4" t="str">
        <f ca="1">VLOOKUP($C426,OFFSET([1]quests!$A$1,0,0,COUNTA([1]quests!$A:$A),MATCH(D$1,[1]quests!$1:$1,0)-MATCH($C$1,[1]quests!$1:$1,0)+1),MATCH(D$1,[1]quests!$1:$1,0)-MATCH($C$1,[1]quests!$1:$1,0)+1,FALSE)</f>
        <v>雷雲からの刺客</v>
      </c>
      <c r="E426" s="4" t="str">
        <f ca="1">VLOOKUP($C426,OFFSET([1]quests!$A$1,0,0,COUNTA([1]quests!$A:$A),MATCH(E$1,[1]quests!$1:$1,0)-MATCH($C$1,[1]quests!$1:$1,0)+1),MATCH(E$1,[1]quests!$1:$1,0)-MATCH($C$1,[1]quests!$1:$1,0)+1,FALSE)</f>
        <v>ドロップイベント1-4</v>
      </c>
      <c r="F426" s="6">
        <v>1</v>
      </c>
      <c r="G426" s="4" t="str">
        <f ca="1">VLOOKUP($C426&amp;"_"&amp;$F426,OFFSET([1]stages!$A$1,0,0,COUNTA([1]stages!$A:$A),MATCH(G$1,[1]stages!$2:$2,0)-MATCH("temp_stage",[1]stages!$2:$2,0)+1),MATCH(G$1,[1]stages!$2:$2,0)-MATCH("temp_stage",[1]stages!$2:$2,0)+1,FALSE)</f>
        <v>【初級】雷雲からの刺客</v>
      </c>
      <c r="H426" s="4" t="str">
        <f ca="1">VLOOKUP($C426&amp;"_"&amp;$F426,OFFSET([1]stages!$A$1,0,0,COUNTA([1]stages!$A:$A),MATCH(H$1,[1]stages!$2:$2,0)-MATCH("temp_stage",[1]stages!$2:$2,0)+1),MATCH(H$1,[1]stages!$2:$2,0)-MATCH("temp_stage",[1]stages!$2:$2,0)+1,FALSE)</f>
        <v>ドロップイベント1-4</v>
      </c>
      <c r="I426" s="19">
        <v>0</v>
      </c>
      <c r="J426" s="6">
        <f>COUNTIF(C$1:C426,C426)</f>
        <v>25</v>
      </c>
      <c r="K426">
        <v>26</v>
      </c>
      <c r="L426" s="6" t="s">
        <v>17</v>
      </c>
      <c r="M426" s="36" t="str">
        <f>VLOOKUP(K426,[2]stage_hints!$A:$C,3,FALSE)</f>
        <v>スキルレベルの効果</v>
      </c>
      <c r="N426" s="37" t="str">
        <f>VLOOKUP(K426,[2]stage_hints!$A:$D,4,FALSE)</f>
        <v>スキルレベルが上がると_x000D_短いターンでスキルを使うことができます</v>
      </c>
      <c r="O426" s="22" t="s">
        <v>117</v>
      </c>
      <c r="P426">
        <v>26</v>
      </c>
    </row>
    <row r="427" spans="1:16" x14ac:dyDescent="0.15">
      <c r="A427" s="29" t="str">
        <f t="shared" si="60"/>
        <v>20005_1_1</v>
      </c>
      <c r="B427" s="27" t="s">
        <v>33</v>
      </c>
      <c r="C427" s="5">
        <v>20005</v>
      </c>
      <c r="D427" s="4" t="str">
        <f ca="1">VLOOKUP($C427,OFFSET([1]quests!$A$1,0,0,COUNTA([1]quests!$A:$A),MATCH(D$1,[1]quests!$1:$1,0)-MATCH($C$1,[1]quests!$1:$1,0)+1),MATCH(D$1,[1]quests!$1:$1,0)-MATCH($C$1,[1]quests!$1:$1,0)+1,FALSE)</f>
        <v>ザ・キャノン</v>
      </c>
      <c r="E427" s="4" t="str">
        <f ca="1">VLOOKUP($C427,OFFSET([1]quests!$A$1,0,0,COUNTA([1]quests!$A:$A),MATCH(E$1,[1]quests!$1:$1,0)-MATCH($C$1,[1]quests!$1:$1,0)+1),MATCH(E$1,[1]quests!$1:$1,0)-MATCH($C$1,[1]quests!$1:$1,0)+1,FALSE)</f>
        <v>ドロップイベント2-2</v>
      </c>
      <c r="F427" s="6">
        <v>1</v>
      </c>
      <c r="G427" s="4" t="str">
        <f ca="1">VLOOKUP($C427&amp;"_"&amp;$F427,OFFSET([1]stages!$A$1,0,0,COUNTA([1]stages!$A:$A),MATCH(G$1,[1]stages!$2:$2,0)-MATCH("temp_stage",[1]stages!$2:$2,0)+1),MATCH(G$1,[1]stages!$2:$2,0)-MATCH("temp_stage",[1]stages!$2:$2,0)+1,FALSE)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27" s="4" t="str">
        <f ca="1">VLOOKUP($C427&amp;"_"&amp;$F427,OFFSET([1]stages!$A$1,0,0,COUNTA([1]stages!$A:$A),MATCH(H$1,[1]stages!$2:$2,0)-MATCH("temp_stage",[1]stages!$2:$2,0)+1),MATCH(H$1,[1]stages!$2:$2,0)-MATCH("temp_stage",[1]stages!$2:$2,0)+1,FALSE)</f>
        <v>ドロップイベント2-2</v>
      </c>
      <c r="I427" s="19">
        <v>0</v>
      </c>
      <c r="J427" s="6">
        <f>COUNTIF(C$1:C427,C427)</f>
        <v>1</v>
      </c>
      <c r="K427">
        <v>1</v>
      </c>
      <c r="L427" s="6" t="s">
        <v>17</v>
      </c>
      <c r="M427" s="36" t="str">
        <f>VLOOKUP(K427,[2]stage_hints!$A:$C,3,FALSE)</f>
        <v>長くつなげて大ダメージ</v>
      </c>
      <c r="N427" s="37" t="str">
        <f>VLOOKUP(K427,[2]stage_hints!$A:$D,4,FALSE)</f>
        <v>パネルを長くつなげるほど_x000D_大ダメージを与えることができます</v>
      </c>
      <c r="O427" s="22" t="s">
        <v>117</v>
      </c>
      <c r="P427">
        <v>1</v>
      </c>
    </row>
    <row r="428" spans="1:16" x14ac:dyDescent="0.15">
      <c r="A428" s="29" t="str">
        <f t="shared" si="60"/>
        <v>20005_1_2</v>
      </c>
      <c r="B428" s="27" t="s">
        <v>33</v>
      </c>
      <c r="C428" s="5">
        <v>20005</v>
      </c>
      <c r="D428" s="4" t="str">
        <f ca="1">VLOOKUP($C428,OFFSET([1]quests!$A$1,0,0,COUNTA([1]quests!$A:$A),MATCH(D$1,[1]quests!$1:$1,0)-MATCH($C$1,[1]quests!$1:$1,0)+1),MATCH(D$1,[1]quests!$1:$1,0)-MATCH($C$1,[1]quests!$1:$1,0)+1,FALSE)</f>
        <v>ザ・キャノン</v>
      </c>
      <c r="E428" s="4" t="str">
        <f ca="1">VLOOKUP($C428,OFFSET([1]quests!$A$1,0,0,COUNTA([1]quests!$A:$A),MATCH(E$1,[1]quests!$1:$1,0)-MATCH($C$1,[1]quests!$1:$1,0)+1),MATCH(E$1,[1]quests!$1:$1,0)-MATCH($C$1,[1]quests!$1:$1,0)+1,FALSE)</f>
        <v>ドロップイベント2-2</v>
      </c>
      <c r="F428" s="6">
        <v>1</v>
      </c>
      <c r="G428" s="4" t="str">
        <f ca="1">VLOOKUP($C428&amp;"_"&amp;$F428,OFFSET([1]stages!$A$1,0,0,COUNTA([1]stages!$A:$A),MATCH(G$1,[1]stages!$2:$2,0)-MATCH("temp_stage",[1]stages!$2:$2,0)+1),MATCH(G$1,[1]stages!$2:$2,0)-MATCH("temp_stage",[1]stages!$2:$2,0)+1,FALSE)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28" s="4" t="str">
        <f ca="1">VLOOKUP($C428&amp;"_"&amp;$F428,OFFSET([1]stages!$A$1,0,0,COUNTA([1]stages!$A:$A),MATCH(H$1,[1]stages!$2:$2,0)-MATCH("temp_stage",[1]stages!$2:$2,0)+1),MATCH(H$1,[1]stages!$2:$2,0)-MATCH("temp_stage",[1]stages!$2:$2,0)+1,FALSE)</f>
        <v>ドロップイベント2-2</v>
      </c>
      <c r="I428" s="19">
        <v>0</v>
      </c>
      <c r="J428" s="6">
        <f>COUNTIF(C$1:C428,C428)</f>
        <v>2</v>
      </c>
      <c r="K428">
        <v>2</v>
      </c>
      <c r="L428" s="6" t="s">
        <v>17</v>
      </c>
      <c r="M428" s="36" t="str">
        <f>VLOOKUP(K428,[2]stage_hints!$A:$C,3,FALSE)</f>
        <v>属性の相性</v>
      </c>
      <c r="N428" s="37" t="str">
        <f>VLOOKUP(K428,[2]stage_hints!$A:$D,4,FALSE)</f>
        <v>赤＞青　青＞黄　黄＞緑　緑＞赤_x000D_敵属性に最適なパーティがオススメです</v>
      </c>
      <c r="O428" s="22" t="s">
        <v>117</v>
      </c>
      <c r="P428">
        <v>2</v>
      </c>
    </row>
    <row r="429" spans="1:16" x14ac:dyDescent="0.15">
      <c r="A429" s="29" t="str">
        <f t="shared" si="60"/>
        <v>20005_1_3</v>
      </c>
      <c r="B429" s="27" t="s">
        <v>33</v>
      </c>
      <c r="C429" s="5">
        <v>20005</v>
      </c>
      <c r="D429" s="4" t="str">
        <f ca="1">VLOOKUP($C429,OFFSET([1]quests!$A$1,0,0,COUNTA([1]quests!$A:$A),MATCH(D$1,[1]quests!$1:$1,0)-MATCH($C$1,[1]quests!$1:$1,0)+1),MATCH(D$1,[1]quests!$1:$1,0)-MATCH($C$1,[1]quests!$1:$1,0)+1,FALSE)</f>
        <v>ザ・キャノン</v>
      </c>
      <c r="E429" s="4" t="str">
        <f ca="1">VLOOKUP($C429,OFFSET([1]quests!$A$1,0,0,COUNTA([1]quests!$A:$A),MATCH(E$1,[1]quests!$1:$1,0)-MATCH($C$1,[1]quests!$1:$1,0)+1),MATCH(E$1,[1]quests!$1:$1,0)-MATCH($C$1,[1]quests!$1:$1,0)+1,FALSE)</f>
        <v>ドロップイベント2-2</v>
      </c>
      <c r="F429" s="6">
        <v>1</v>
      </c>
      <c r="G429" s="4" t="str">
        <f ca="1">VLOOKUP($C429&amp;"_"&amp;$F429,OFFSET([1]stages!$A$1,0,0,COUNTA([1]stages!$A:$A),MATCH(G$1,[1]stages!$2:$2,0)-MATCH("temp_stage",[1]stages!$2:$2,0)+1),MATCH(G$1,[1]stages!$2:$2,0)-MATCH("temp_stage",[1]stages!$2:$2,0)+1,FALSE)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29" s="4" t="str">
        <f ca="1">VLOOKUP($C429&amp;"_"&amp;$F429,OFFSET([1]stages!$A$1,0,0,COUNTA([1]stages!$A:$A),MATCH(H$1,[1]stages!$2:$2,0)-MATCH("temp_stage",[1]stages!$2:$2,0)+1),MATCH(H$1,[1]stages!$2:$2,0)-MATCH("temp_stage",[1]stages!$2:$2,0)+1,FALSE)</f>
        <v>ドロップイベント2-2</v>
      </c>
      <c r="I429" s="19">
        <v>0</v>
      </c>
      <c r="J429" s="6">
        <f>COUNTIF(C$1:C429,C429)</f>
        <v>3</v>
      </c>
      <c r="K429">
        <v>3</v>
      </c>
      <c r="L429" s="6" t="s">
        <v>17</v>
      </c>
      <c r="M429" s="36" t="str">
        <f>VLOOKUP(K429,[2]stage_hints!$A:$C,3,FALSE)</f>
        <v>ターゲット</v>
      </c>
      <c r="N429" s="37" t="str">
        <f>VLOOKUP(K429,[2]stage_hints!$A:$D,4,FALSE)</f>
        <v>敵ユニットをタップすると_x000D_その敵を狙い撃ちできます</v>
      </c>
      <c r="O429" s="22" t="s">
        <v>117</v>
      </c>
      <c r="P429">
        <v>3</v>
      </c>
    </row>
    <row r="430" spans="1:16" x14ac:dyDescent="0.15">
      <c r="A430" s="29" t="str">
        <f t="shared" ref="A430:A443" si="61">C430&amp;"_"&amp;F430&amp;"_"&amp;J430</f>
        <v>20005_1_4</v>
      </c>
      <c r="B430" s="27" t="s">
        <v>33</v>
      </c>
      <c r="C430" s="5">
        <v>20005</v>
      </c>
      <c r="D430" s="4" t="str">
        <f ca="1">VLOOKUP($C430,OFFSET([1]quests!$A$1,0,0,COUNTA([1]quests!$A:$A),MATCH(D$1,[1]quests!$1:$1,0)-MATCH($C$1,[1]quests!$1:$1,0)+1),MATCH(D$1,[1]quests!$1:$1,0)-MATCH($C$1,[1]quests!$1:$1,0)+1,FALSE)</f>
        <v>ザ・キャノン</v>
      </c>
      <c r="E430" s="4" t="str">
        <f ca="1">VLOOKUP($C430,OFFSET([1]quests!$A$1,0,0,COUNTA([1]quests!$A:$A),MATCH(E$1,[1]quests!$1:$1,0)-MATCH($C$1,[1]quests!$1:$1,0)+1),MATCH(E$1,[1]quests!$1:$1,0)-MATCH($C$1,[1]quests!$1:$1,0)+1,FALSE)</f>
        <v>ドロップイベント2-2</v>
      </c>
      <c r="F430" s="6">
        <v>1</v>
      </c>
      <c r="G430" s="4" t="str">
        <f ca="1">VLOOKUP($C430&amp;"_"&amp;$F430,OFFSET([1]stages!$A$1,0,0,COUNTA([1]stages!$A:$A),MATCH(G$1,[1]stages!$2:$2,0)-MATCH("temp_stage",[1]stages!$2:$2,0)+1),MATCH(G$1,[1]stages!$2:$2,0)-MATCH("temp_stage",[1]stages!$2:$2,0)+1,FALSE)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30" s="4" t="str">
        <f ca="1">VLOOKUP($C430&amp;"_"&amp;$F430,OFFSET([1]stages!$A$1,0,0,COUNTA([1]stages!$A:$A),MATCH(H$1,[1]stages!$2:$2,0)-MATCH("temp_stage",[1]stages!$2:$2,0)+1),MATCH(H$1,[1]stages!$2:$2,0)-MATCH("temp_stage",[1]stages!$2:$2,0)+1,FALSE)</f>
        <v>ドロップイベント2-2</v>
      </c>
      <c r="I430" s="19">
        <v>0</v>
      </c>
      <c r="J430" s="6">
        <f>COUNTIF(C$1:C430,C430)</f>
        <v>4</v>
      </c>
      <c r="K430">
        <v>5</v>
      </c>
      <c r="L430" s="6" t="s">
        <v>17</v>
      </c>
      <c r="M430" s="36" t="str">
        <f>VLOOKUP(K430,[2]stage_hints!$A:$C,3,FALSE)</f>
        <v>ユニット強化でレベルアップ</v>
      </c>
      <c r="N430" s="37" t="str">
        <f>VLOOKUP(K430,[2]stage_hints!$A:$D,4,FALSE)</f>
        <v>「ユニット強化」でレベルアップすると_x000D_勝てない敵にも勝てるようになります</v>
      </c>
      <c r="O430" s="22" t="s">
        <v>117</v>
      </c>
      <c r="P430">
        <v>5</v>
      </c>
    </row>
    <row r="431" spans="1:16" x14ac:dyDescent="0.15">
      <c r="A431" s="29" t="str">
        <f t="shared" si="61"/>
        <v>20005_1_5</v>
      </c>
      <c r="B431" s="27" t="s">
        <v>33</v>
      </c>
      <c r="C431" s="5">
        <v>20005</v>
      </c>
      <c r="D431" s="4" t="str">
        <f ca="1">VLOOKUP($C431,OFFSET([1]quests!$A$1,0,0,COUNTA([1]quests!$A:$A),MATCH(D$1,[1]quests!$1:$1,0)-MATCH($C$1,[1]quests!$1:$1,0)+1),MATCH(D$1,[1]quests!$1:$1,0)-MATCH($C$1,[1]quests!$1:$1,0)+1,FALSE)</f>
        <v>ザ・キャノン</v>
      </c>
      <c r="E431" s="4" t="str">
        <f ca="1">VLOOKUP($C431,OFFSET([1]quests!$A$1,0,0,COUNTA([1]quests!$A:$A),MATCH(E$1,[1]quests!$1:$1,0)-MATCH($C$1,[1]quests!$1:$1,0)+1),MATCH(E$1,[1]quests!$1:$1,0)-MATCH($C$1,[1]quests!$1:$1,0)+1,FALSE)</f>
        <v>ドロップイベント2-2</v>
      </c>
      <c r="F431" s="6">
        <v>1</v>
      </c>
      <c r="G431" s="4" t="str">
        <f ca="1">VLOOKUP($C431&amp;"_"&amp;$F431,OFFSET([1]stages!$A$1,0,0,COUNTA([1]stages!$A:$A),MATCH(G$1,[1]stages!$2:$2,0)-MATCH("temp_stage",[1]stages!$2:$2,0)+1),MATCH(G$1,[1]stages!$2:$2,0)-MATCH("temp_stage",[1]stages!$2:$2,0)+1,FALSE)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31" s="4" t="str">
        <f ca="1">VLOOKUP($C431&amp;"_"&amp;$F431,OFFSET([1]stages!$A$1,0,0,COUNTA([1]stages!$A:$A),MATCH(H$1,[1]stages!$2:$2,0)-MATCH("temp_stage",[1]stages!$2:$2,0)+1),MATCH(H$1,[1]stages!$2:$2,0)-MATCH("temp_stage",[1]stages!$2:$2,0)+1,FALSE)</f>
        <v>ドロップイベント2-2</v>
      </c>
      <c r="I431" s="19">
        <v>0</v>
      </c>
      <c r="J431" s="6">
        <f>COUNTIF(C$1:C431,C431)</f>
        <v>5</v>
      </c>
      <c r="K431">
        <v>6</v>
      </c>
      <c r="L431" s="6" t="s">
        <v>17</v>
      </c>
      <c r="M431" s="36" t="str">
        <f>VLOOKUP(K431,[2]stage_hints!$A:$C,3,FALSE)</f>
        <v>ユニット強化の属性ボーナス</v>
      </c>
      <c r="N431" s="37" t="str">
        <f>VLOOKUP(K431,[2]stage_hints!$A:$D,4,FALSE)</f>
        <v>同属性ユニットを強化素材にすると_x000D_経験値が多くもらえます</v>
      </c>
      <c r="O431" s="22" t="s">
        <v>117</v>
      </c>
      <c r="P431">
        <v>6</v>
      </c>
    </row>
    <row r="432" spans="1:16" x14ac:dyDescent="0.15">
      <c r="A432" s="29" t="str">
        <f t="shared" si="61"/>
        <v>20005_1_6</v>
      </c>
      <c r="B432" s="27" t="s">
        <v>33</v>
      </c>
      <c r="C432" s="5">
        <v>20005</v>
      </c>
      <c r="D432" s="4" t="str">
        <f ca="1">VLOOKUP($C432,OFFSET([1]quests!$A$1,0,0,COUNTA([1]quests!$A:$A),MATCH(D$1,[1]quests!$1:$1,0)-MATCH($C$1,[1]quests!$1:$1,0)+1),MATCH(D$1,[1]quests!$1:$1,0)-MATCH($C$1,[1]quests!$1:$1,0)+1,FALSE)</f>
        <v>ザ・キャノン</v>
      </c>
      <c r="E432" s="4" t="str">
        <f ca="1">VLOOKUP($C432,OFFSET([1]quests!$A$1,0,0,COUNTA([1]quests!$A:$A),MATCH(E$1,[1]quests!$1:$1,0)-MATCH($C$1,[1]quests!$1:$1,0)+1),MATCH(E$1,[1]quests!$1:$1,0)-MATCH($C$1,[1]quests!$1:$1,0)+1,FALSE)</f>
        <v>ドロップイベント2-2</v>
      </c>
      <c r="F432" s="6">
        <v>1</v>
      </c>
      <c r="G432" s="4" t="str">
        <f ca="1">VLOOKUP($C432&amp;"_"&amp;$F432,OFFSET([1]stages!$A$1,0,0,COUNTA([1]stages!$A:$A),MATCH(G$1,[1]stages!$2:$2,0)-MATCH("temp_stage",[1]stages!$2:$2,0)+1),MATCH(G$1,[1]stages!$2:$2,0)-MATCH("temp_stage",[1]stages!$2:$2,0)+1,FALSE)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32" s="4" t="str">
        <f ca="1">VLOOKUP($C432&amp;"_"&amp;$F432,OFFSET([1]stages!$A$1,0,0,COUNTA([1]stages!$A:$A),MATCH(H$1,[1]stages!$2:$2,0)-MATCH("temp_stage",[1]stages!$2:$2,0)+1),MATCH(H$1,[1]stages!$2:$2,0)-MATCH("temp_stage",[1]stages!$2:$2,0)+1,FALSE)</f>
        <v>ドロップイベント2-2</v>
      </c>
      <c r="I432" s="19">
        <v>0</v>
      </c>
      <c r="J432" s="6">
        <f>COUNTIF(C$1:C432,C432)</f>
        <v>6</v>
      </c>
      <c r="K432">
        <v>7</v>
      </c>
      <c r="L432" s="6" t="s">
        <v>17</v>
      </c>
      <c r="M432" s="36" t="str">
        <f>VLOOKUP(K432,[2]stage_hints!$A:$C,3,FALSE)</f>
        <v>メタルダックで経験値を獲得</v>
      </c>
      <c r="N432" s="37" t="str">
        <f>VLOOKUP(K432,[2]stage_hints!$A:$D,4,FALSE)</f>
        <v>「メタルなアヒル」を強化素材にすると_x000D_大量の経験値がもらえます</v>
      </c>
      <c r="O432" s="22" t="s">
        <v>117</v>
      </c>
      <c r="P432">
        <v>7</v>
      </c>
    </row>
    <row r="433" spans="1:16" x14ac:dyDescent="0.15">
      <c r="A433" s="29" t="str">
        <f t="shared" si="61"/>
        <v>20005_1_7</v>
      </c>
      <c r="B433" s="27" t="s">
        <v>33</v>
      </c>
      <c r="C433" s="5">
        <v>20005</v>
      </c>
      <c r="D433" s="4" t="str">
        <f ca="1">VLOOKUP($C433,OFFSET([1]quests!$A$1,0,0,COUNTA([1]quests!$A:$A),MATCH(D$1,[1]quests!$1:$1,0)-MATCH($C$1,[1]quests!$1:$1,0)+1),MATCH(D$1,[1]quests!$1:$1,0)-MATCH($C$1,[1]quests!$1:$1,0)+1,FALSE)</f>
        <v>ザ・キャノン</v>
      </c>
      <c r="E433" s="4" t="str">
        <f ca="1">VLOOKUP($C433,OFFSET([1]quests!$A$1,0,0,COUNTA([1]quests!$A:$A),MATCH(E$1,[1]quests!$1:$1,0)-MATCH($C$1,[1]quests!$1:$1,0)+1),MATCH(E$1,[1]quests!$1:$1,0)-MATCH($C$1,[1]quests!$1:$1,0)+1,FALSE)</f>
        <v>ドロップイベント2-2</v>
      </c>
      <c r="F433" s="6">
        <v>1</v>
      </c>
      <c r="G433" s="4" t="str">
        <f ca="1">VLOOKUP($C433&amp;"_"&amp;$F433,OFFSET([1]stages!$A$1,0,0,COUNTA([1]stages!$A:$A),MATCH(G$1,[1]stages!$2:$2,0)-MATCH("temp_stage",[1]stages!$2:$2,0)+1),MATCH(G$1,[1]stages!$2:$2,0)-MATCH("temp_stage",[1]stages!$2:$2,0)+1,FALSE)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33" s="4" t="str">
        <f ca="1">VLOOKUP($C433&amp;"_"&amp;$F433,OFFSET([1]stages!$A$1,0,0,COUNTA([1]stages!$A:$A),MATCH(H$1,[1]stages!$2:$2,0)-MATCH("temp_stage",[1]stages!$2:$2,0)+1),MATCH(H$1,[1]stages!$2:$2,0)-MATCH("temp_stage",[1]stages!$2:$2,0)+1,FALSE)</f>
        <v>ドロップイベント2-2</v>
      </c>
      <c r="I433" s="19">
        <v>0</v>
      </c>
      <c r="J433" s="6">
        <f>COUNTIF(C$1:C433,C433)</f>
        <v>7</v>
      </c>
      <c r="K433">
        <v>8</v>
      </c>
      <c r="L433" s="6" t="s">
        <v>17</v>
      </c>
      <c r="M433" s="36" t="str">
        <f>VLOOKUP(K433,[2]stage_hints!$A:$C,3,FALSE)</f>
        <v>ゲリラクエストは要チェック</v>
      </c>
      <c r="N433" s="37" t="str">
        <f>VLOOKUP(K433,[2]stage_hints!$A:$D,4,FALSE)</f>
        <v>時間限定の「アヒル捕獲作戦」では_x000D_経験値素材ユニットが多く手に入ります</v>
      </c>
      <c r="O433" s="22" t="s">
        <v>117</v>
      </c>
      <c r="P433">
        <v>8</v>
      </c>
    </row>
    <row r="434" spans="1:16" x14ac:dyDescent="0.15">
      <c r="A434" s="29" t="str">
        <f t="shared" si="61"/>
        <v>20005_1_8</v>
      </c>
      <c r="B434" s="27" t="s">
        <v>33</v>
      </c>
      <c r="C434" s="5">
        <v>20005</v>
      </c>
      <c r="D434" s="4" t="str">
        <f ca="1">VLOOKUP($C434,OFFSET([1]quests!$A$1,0,0,COUNTA([1]quests!$A:$A),MATCH(D$1,[1]quests!$1:$1,0)-MATCH($C$1,[1]quests!$1:$1,0)+1),MATCH(D$1,[1]quests!$1:$1,0)-MATCH($C$1,[1]quests!$1:$1,0)+1,FALSE)</f>
        <v>ザ・キャノン</v>
      </c>
      <c r="E434" s="4" t="str">
        <f ca="1">VLOOKUP($C434,OFFSET([1]quests!$A$1,0,0,COUNTA([1]quests!$A:$A),MATCH(E$1,[1]quests!$1:$1,0)-MATCH($C$1,[1]quests!$1:$1,0)+1),MATCH(E$1,[1]quests!$1:$1,0)-MATCH($C$1,[1]quests!$1:$1,0)+1,FALSE)</f>
        <v>ドロップイベント2-2</v>
      </c>
      <c r="F434" s="6">
        <v>1</v>
      </c>
      <c r="G434" s="4" t="str">
        <f ca="1">VLOOKUP($C434&amp;"_"&amp;$F434,OFFSET([1]stages!$A$1,0,0,COUNTA([1]stages!$A:$A),MATCH(G$1,[1]stages!$2:$2,0)-MATCH("temp_stage",[1]stages!$2:$2,0)+1),MATCH(G$1,[1]stages!$2:$2,0)-MATCH("temp_stage",[1]stages!$2:$2,0)+1,FALSE)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34" s="4" t="str">
        <f ca="1">VLOOKUP($C434&amp;"_"&amp;$F434,OFFSET([1]stages!$A$1,0,0,COUNTA([1]stages!$A:$A),MATCH(H$1,[1]stages!$2:$2,0)-MATCH("temp_stage",[1]stages!$2:$2,0)+1),MATCH(H$1,[1]stages!$2:$2,0)-MATCH("temp_stage",[1]stages!$2:$2,0)+1,FALSE)</f>
        <v>ドロップイベント2-2</v>
      </c>
      <c r="I434" s="19">
        <v>0</v>
      </c>
      <c r="J434" s="6">
        <f>COUNTIF(C$1:C434,C434)</f>
        <v>8</v>
      </c>
      <c r="K434">
        <v>9</v>
      </c>
      <c r="L434" s="6" t="s">
        <v>17</v>
      </c>
      <c r="M434" s="36" t="str">
        <f>VLOOKUP(K434,[2]stage_hints!$A:$C,3,FALSE)</f>
        <v>ゴールドダックでビットを獲得</v>
      </c>
      <c r="N434" s="37" t="str">
        <f>VLOOKUP(K434,[2]stage_hints!$A:$D,4,FALSE)</f>
        <v>「ゴールドなアヒル」を売却すると_x000D_大量のビットがもらえます</v>
      </c>
      <c r="O434" s="22" t="s">
        <v>117</v>
      </c>
      <c r="P434">
        <v>9</v>
      </c>
    </row>
    <row r="435" spans="1:16" x14ac:dyDescent="0.15">
      <c r="A435" s="29" t="str">
        <f t="shared" si="61"/>
        <v>20005_1_9</v>
      </c>
      <c r="B435" s="27" t="s">
        <v>33</v>
      </c>
      <c r="C435" s="5">
        <v>20005</v>
      </c>
      <c r="D435" s="4" t="str">
        <f ca="1">VLOOKUP($C435,OFFSET([1]quests!$A$1,0,0,COUNTA([1]quests!$A:$A),MATCH(D$1,[1]quests!$1:$1,0)-MATCH($C$1,[1]quests!$1:$1,0)+1),MATCH(D$1,[1]quests!$1:$1,0)-MATCH($C$1,[1]quests!$1:$1,0)+1,FALSE)</f>
        <v>ザ・キャノン</v>
      </c>
      <c r="E435" s="4" t="str">
        <f ca="1">VLOOKUP($C435,OFFSET([1]quests!$A$1,0,0,COUNTA([1]quests!$A:$A),MATCH(E$1,[1]quests!$1:$1,0)-MATCH($C$1,[1]quests!$1:$1,0)+1),MATCH(E$1,[1]quests!$1:$1,0)-MATCH($C$1,[1]quests!$1:$1,0)+1,FALSE)</f>
        <v>ドロップイベント2-2</v>
      </c>
      <c r="F435" s="6">
        <v>1</v>
      </c>
      <c r="G435" s="4" t="str">
        <f ca="1">VLOOKUP($C435&amp;"_"&amp;$F435,OFFSET([1]stages!$A$1,0,0,COUNTA([1]stages!$A:$A),MATCH(G$1,[1]stages!$2:$2,0)-MATCH("temp_stage",[1]stages!$2:$2,0)+1),MATCH(G$1,[1]stages!$2:$2,0)-MATCH("temp_stage",[1]stages!$2:$2,0)+1,FALSE)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35" s="4" t="str">
        <f ca="1">VLOOKUP($C435&amp;"_"&amp;$F435,OFFSET([1]stages!$A$1,0,0,COUNTA([1]stages!$A:$A),MATCH(H$1,[1]stages!$2:$2,0)-MATCH("temp_stage",[1]stages!$2:$2,0)+1),MATCH(H$1,[1]stages!$2:$2,0)-MATCH("temp_stage",[1]stages!$2:$2,0)+1,FALSE)</f>
        <v>ドロップイベント2-2</v>
      </c>
      <c r="I435" s="19">
        <v>0</v>
      </c>
      <c r="J435" s="6">
        <f>COUNTIF(C$1:C435,C435)</f>
        <v>9</v>
      </c>
      <c r="K435">
        <v>10</v>
      </c>
      <c r="L435" s="6" t="s">
        <v>17</v>
      </c>
      <c r="M435" s="36" t="str">
        <f>VLOOKUP(K435,[2]stage_hints!$A:$C,3,FALSE)</f>
        <v>土日に大量のビットを獲得</v>
      </c>
      <c r="N435" s="37" t="str">
        <f>VLOOKUP(K435,[2]stage_hints!$A:$D,4,FALSE)</f>
        <v>土日限定の「ゴールドカジノ」では_x000D_売却素材ユニットが多く手に入ります</v>
      </c>
      <c r="O435" s="22" t="s">
        <v>117</v>
      </c>
      <c r="P435">
        <v>10</v>
      </c>
    </row>
    <row r="436" spans="1:16" x14ac:dyDescent="0.15">
      <c r="A436" s="29" t="str">
        <f t="shared" si="61"/>
        <v>20005_1_10</v>
      </c>
      <c r="B436" s="27" t="s">
        <v>33</v>
      </c>
      <c r="C436" s="5">
        <v>20005</v>
      </c>
      <c r="D436" s="4" t="str">
        <f ca="1">VLOOKUP($C436,OFFSET([1]quests!$A$1,0,0,COUNTA([1]quests!$A:$A),MATCH(D$1,[1]quests!$1:$1,0)-MATCH($C$1,[1]quests!$1:$1,0)+1),MATCH(D$1,[1]quests!$1:$1,0)-MATCH($C$1,[1]quests!$1:$1,0)+1,FALSE)</f>
        <v>ザ・キャノン</v>
      </c>
      <c r="E436" s="4" t="str">
        <f ca="1">VLOOKUP($C436,OFFSET([1]quests!$A$1,0,0,COUNTA([1]quests!$A:$A),MATCH(E$1,[1]quests!$1:$1,0)-MATCH($C$1,[1]quests!$1:$1,0)+1),MATCH(E$1,[1]quests!$1:$1,0)-MATCH($C$1,[1]quests!$1:$1,0)+1,FALSE)</f>
        <v>ドロップイベント2-2</v>
      </c>
      <c r="F436" s="6">
        <v>1</v>
      </c>
      <c r="G436" s="4" t="str">
        <f ca="1">VLOOKUP($C436&amp;"_"&amp;$F436,OFFSET([1]stages!$A$1,0,0,COUNTA([1]stages!$A:$A),MATCH(G$1,[1]stages!$2:$2,0)-MATCH("temp_stage",[1]stages!$2:$2,0)+1),MATCH(G$1,[1]stages!$2:$2,0)-MATCH("temp_stage",[1]stages!$2:$2,0)+1,FALSE)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36" s="4" t="str">
        <f ca="1">VLOOKUP($C436&amp;"_"&amp;$F436,OFFSET([1]stages!$A$1,0,0,COUNTA([1]stages!$A:$A),MATCH(H$1,[1]stages!$2:$2,0)-MATCH("temp_stage",[1]stages!$2:$2,0)+1),MATCH(H$1,[1]stages!$2:$2,0)-MATCH("temp_stage",[1]stages!$2:$2,0)+1,FALSE)</f>
        <v>ドロップイベント2-2</v>
      </c>
      <c r="I436" s="19">
        <v>0</v>
      </c>
      <c r="J436" s="6">
        <f>COUNTIF(C$1:C436,C436)</f>
        <v>10</v>
      </c>
      <c r="K436">
        <v>11</v>
      </c>
      <c r="L436" s="6" t="s">
        <v>17</v>
      </c>
      <c r="M436" s="36" t="str">
        <f>VLOOKUP(K436,[2]stage_hints!$A:$C,3,FALSE)</f>
        <v>ランク解放クエスト</v>
      </c>
      <c r="N436" s="37" t="str">
        <f>VLOOKUP(K436,[2]stage_hints!$A:$D,4,FALSE)</f>
        <v>一定ランクに到達すると_x000D_報酬付きのランク開放クエストが現れます</v>
      </c>
      <c r="O436" s="22" t="s">
        <v>117</v>
      </c>
      <c r="P436">
        <v>11</v>
      </c>
    </row>
    <row r="437" spans="1:16" x14ac:dyDescent="0.15">
      <c r="A437" s="29" t="str">
        <f t="shared" si="61"/>
        <v>20005_1_11</v>
      </c>
      <c r="B437" s="27" t="s">
        <v>33</v>
      </c>
      <c r="C437" s="5">
        <v>20005</v>
      </c>
      <c r="D437" s="4" t="str">
        <f ca="1">VLOOKUP($C437,OFFSET([1]quests!$A$1,0,0,COUNTA([1]quests!$A:$A),MATCH(D$1,[1]quests!$1:$1,0)-MATCH($C$1,[1]quests!$1:$1,0)+1),MATCH(D$1,[1]quests!$1:$1,0)-MATCH($C$1,[1]quests!$1:$1,0)+1,FALSE)</f>
        <v>ザ・キャノン</v>
      </c>
      <c r="E437" s="4" t="str">
        <f ca="1">VLOOKUP($C437,OFFSET([1]quests!$A$1,0,0,COUNTA([1]quests!$A:$A),MATCH(E$1,[1]quests!$1:$1,0)-MATCH($C$1,[1]quests!$1:$1,0)+1),MATCH(E$1,[1]quests!$1:$1,0)-MATCH($C$1,[1]quests!$1:$1,0)+1,FALSE)</f>
        <v>ドロップイベント2-2</v>
      </c>
      <c r="F437" s="6">
        <v>1</v>
      </c>
      <c r="G437" s="4" t="str">
        <f ca="1">VLOOKUP($C437&amp;"_"&amp;$F437,OFFSET([1]stages!$A$1,0,0,COUNTA([1]stages!$A:$A),MATCH(G$1,[1]stages!$2:$2,0)-MATCH("temp_stage",[1]stages!$2:$2,0)+1),MATCH(G$1,[1]stages!$2:$2,0)-MATCH("temp_stage",[1]stages!$2:$2,0)+1,FALSE)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37" s="4" t="str">
        <f ca="1">VLOOKUP($C437&amp;"_"&amp;$F437,OFFSET([1]stages!$A$1,0,0,COUNTA([1]stages!$A:$A),MATCH(H$1,[1]stages!$2:$2,0)-MATCH("temp_stage",[1]stages!$2:$2,0)+1),MATCH(H$1,[1]stages!$2:$2,0)-MATCH("temp_stage",[1]stages!$2:$2,0)+1,FALSE)</f>
        <v>ドロップイベント2-2</v>
      </c>
      <c r="I437" s="19">
        <v>0</v>
      </c>
      <c r="J437" s="6">
        <f>COUNTIF(C$1:C437,C437)</f>
        <v>11</v>
      </c>
      <c r="K437">
        <v>12</v>
      </c>
      <c r="L437" s="6" t="s">
        <v>17</v>
      </c>
      <c r="M437" s="36" t="str">
        <f>VLOOKUP(K437,[2]stage_hints!$A:$C,3,FALSE)</f>
        <v>ユニットのお気に入り登録</v>
      </c>
      <c r="N437" s="37" t="str">
        <f>VLOOKUP(K437,[2]stage_hints!$A:$D,4,FALSE)</f>
        <v>大事なユニットを誤って消さないように_x000D_フォルダから「お気に入り登録」しましょう</v>
      </c>
      <c r="O437" s="22" t="s">
        <v>117</v>
      </c>
      <c r="P437">
        <v>12</v>
      </c>
    </row>
    <row r="438" spans="1:16" x14ac:dyDescent="0.15">
      <c r="A438" s="29" t="str">
        <f t="shared" si="61"/>
        <v>20005_1_12</v>
      </c>
      <c r="B438" s="27" t="s">
        <v>33</v>
      </c>
      <c r="C438" s="5">
        <v>20005</v>
      </c>
      <c r="D438" s="4" t="str">
        <f ca="1">VLOOKUP($C438,OFFSET([1]quests!$A$1,0,0,COUNTA([1]quests!$A:$A),MATCH(D$1,[1]quests!$1:$1,0)-MATCH($C$1,[1]quests!$1:$1,0)+1),MATCH(D$1,[1]quests!$1:$1,0)-MATCH($C$1,[1]quests!$1:$1,0)+1,FALSE)</f>
        <v>ザ・キャノン</v>
      </c>
      <c r="E438" s="4" t="str">
        <f ca="1">VLOOKUP($C438,OFFSET([1]quests!$A$1,0,0,COUNTA([1]quests!$A:$A),MATCH(E$1,[1]quests!$1:$1,0)-MATCH($C$1,[1]quests!$1:$1,0)+1),MATCH(E$1,[1]quests!$1:$1,0)-MATCH($C$1,[1]quests!$1:$1,0)+1,FALSE)</f>
        <v>ドロップイベント2-2</v>
      </c>
      <c r="F438" s="6">
        <v>1</v>
      </c>
      <c r="G438" s="4" t="str">
        <f ca="1">VLOOKUP($C438&amp;"_"&amp;$F438,OFFSET([1]stages!$A$1,0,0,COUNTA([1]stages!$A:$A),MATCH(G$1,[1]stages!$2:$2,0)-MATCH("temp_stage",[1]stages!$2:$2,0)+1),MATCH(G$1,[1]stages!$2:$2,0)-MATCH("temp_stage",[1]stages!$2:$2,0)+1,FALSE)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38" s="4" t="str">
        <f ca="1">VLOOKUP($C438&amp;"_"&amp;$F438,OFFSET([1]stages!$A$1,0,0,COUNTA([1]stages!$A:$A),MATCH(H$1,[1]stages!$2:$2,0)-MATCH("temp_stage",[1]stages!$2:$2,0)+1),MATCH(H$1,[1]stages!$2:$2,0)-MATCH("temp_stage",[1]stages!$2:$2,0)+1,FALSE)</f>
        <v>ドロップイベント2-2</v>
      </c>
      <c r="I438" s="19">
        <v>0</v>
      </c>
      <c r="J438" s="6">
        <f>COUNTIF(C$1:C438,C438)</f>
        <v>12</v>
      </c>
      <c r="K438">
        <v>13</v>
      </c>
      <c r="L438" s="6" t="s">
        <v>17</v>
      </c>
      <c r="M438" s="36" t="str">
        <f>VLOOKUP(K438,[2]stage_hints!$A:$C,3,FALSE)</f>
        <v>ユニットの覚醒</v>
      </c>
      <c r="N438" s="37" t="str">
        <f>VLOOKUP(K438,[2]stage_hints!$A:$D,4,FALSE)</f>
        <v>ユニットを覚醒させると_x000D_比べものにならない強さが手に入ります</v>
      </c>
      <c r="O438" s="22" t="s">
        <v>117</v>
      </c>
      <c r="P438">
        <v>13</v>
      </c>
    </row>
    <row r="439" spans="1:16" x14ac:dyDescent="0.15">
      <c r="A439" s="29" t="str">
        <f t="shared" si="61"/>
        <v>20005_1_13</v>
      </c>
      <c r="B439" s="27" t="s">
        <v>33</v>
      </c>
      <c r="C439" s="5">
        <v>20005</v>
      </c>
      <c r="D439" s="4" t="str">
        <f ca="1">VLOOKUP($C439,OFFSET([1]quests!$A$1,0,0,COUNTA([1]quests!$A:$A),MATCH(D$1,[1]quests!$1:$1,0)-MATCH($C$1,[1]quests!$1:$1,0)+1),MATCH(D$1,[1]quests!$1:$1,0)-MATCH($C$1,[1]quests!$1:$1,0)+1,FALSE)</f>
        <v>ザ・キャノン</v>
      </c>
      <c r="E439" s="4" t="str">
        <f ca="1">VLOOKUP($C439,OFFSET([1]quests!$A$1,0,0,COUNTA([1]quests!$A:$A),MATCH(E$1,[1]quests!$1:$1,0)-MATCH($C$1,[1]quests!$1:$1,0)+1),MATCH(E$1,[1]quests!$1:$1,0)-MATCH($C$1,[1]quests!$1:$1,0)+1,FALSE)</f>
        <v>ドロップイベント2-2</v>
      </c>
      <c r="F439" s="6">
        <v>1</v>
      </c>
      <c r="G439" s="4" t="str">
        <f ca="1">VLOOKUP($C439&amp;"_"&amp;$F439,OFFSET([1]stages!$A$1,0,0,COUNTA([1]stages!$A:$A),MATCH(G$1,[1]stages!$2:$2,0)-MATCH("temp_stage",[1]stages!$2:$2,0)+1),MATCH(G$1,[1]stages!$2:$2,0)-MATCH("temp_stage",[1]stages!$2:$2,0)+1,FALSE)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39" s="4" t="str">
        <f ca="1">VLOOKUP($C439&amp;"_"&amp;$F439,OFFSET([1]stages!$A$1,0,0,COUNTA([1]stages!$A:$A),MATCH(H$1,[1]stages!$2:$2,0)-MATCH("temp_stage",[1]stages!$2:$2,0)+1),MATCH(H$1,[1]stages!$2:$2,0)-MATCH("temp_stage",[1]stages!$2:$2,0)+1,FALSE)</f>
        <v>ドロップイベント2-2</v>
      </c>
      <c r="I439" s="19">
        <v>0</v>
      </c>
      <c r="J439" s="6">
        <f>COUNTIF(C$1:C439,C439)</f>
        <v>13</v>
      </c>
      <c r="K439">
        <v>14</v>
      </c>
      <c r="L439" s="6" t="s">
        <v>17</v>
      </c>
      <c r="M439" s="36" t="str">
        <f>VLOOKUP(K439,[2]stage_hints!$A:$C,3,FALSE)</f>
        <v>覚醒するにはレベルを最大に</v>
      </c>
      <c r="N439" s="37" t="str">
        <f>VLOOKUP(K439,[2]stage_hints!$A:$D,4,FALSE)</f>
        <v>覚醒するにはユニットのレベルを_x000D_最大まで上げる必要があります</v>
      </c>
      <c r="O439" s="22" t="s">
        <v>117</v>
      </c>
      <c r="P439">
        <v>14</v>
      </c>
    </row>
    <row r="440" spans="1:16" x14ac:dyDescent="0.15">
      <c r="A440" s="29" t="str">
        <f t="shared" si="61"/>
        <v>20005_1_14</v>
      </c>
      <c r="B440" s="27" t="s">
        <v>33</v>
      </c>
      <c r="C440" s="5">
        <v>20005</v>
      </c>
      <c r="D440" s="4" t="str">
        <f ca="1">VLOOKUP($C440,OFFSET([1]quests!$A$1,0,0,COUNTA([1]quests!$A:$A),MATCH(D$1,[1]quests!$1:$1,0)-MATCH($C$1,[1]quests!$1:$1,0)+1),MATCH(D$1,[1]quests!$1:$1,0)-MATCH($C$1,[1]quests!$1:$1,0)+1,FALSE)</f>
        <v>ザ・キャノン</v>
      </c>
      <c r="E440" s="4" t="str">
        <f ca="1">VLOOKUP($C440,OFFSET([1]quests!$A$1,0,0,COUNTA([1]quests!$A:$A),MATCH(E$1,[1]quests!$1:$1,0)-MATCH($C$1,[1]quests!$1:$1,0)+1),MATCH(E$1,[1]quests!$1:$1,0)-MATCH($C$1,[1]quests!$1:$1,0)+1,FALSE)</f>
        <v>ドロップイベント2-2</v>
      </c>
      <c r="F440" s="6">
        <v>1</v>
      </c>
      <c r="G440" s="4" t="str">
        <f ca="1">VLOOKUP($C440&amp;"_"&amp;$F440,OFFSET([1]stages!$A$1,0,0,COUNTA([1]stages!$A:$A),MATCH(G$1,[1]stages!$2:$2,0)-MATCH("temp_stage",[1]stages!$2:$2,0)+1),MATCH(G$1,[1]stages!$2:$2,0)-MATCH("temp_stage",[1]stages!$2:$2,0)+1,FALSE)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40" s="4" t="str">
        <f ca="1">VLOOKUP($C440&amp;"_"&amp;$F440,OFFSET([1]stages!$A$1,0,0,COUNTA([1]stages!$A:$A),MATCH(H$1,[1]stages!$2:$2,0)-MATCH("temp_stage",[1]stages!$2:$2,0)+1),MATCH(H$1,[1]stages!$2:$2,0)-MATCH("temp_stage",[1]stages!$2:$2,0)+1,FALSE)</f>
        <v>ドロップイベント2-2</v>
      </c>
      <c r="I440" s="19">
        <v>0</v>
      </c>
      <c r="J440" s="6">
        <f>COUNTIF(C$1:C440,C440)</f>
        <v>14</v>
      </c>
      <c r="K440">
        <v>15</v>
      </c>
      <c r="L440" s="6" t="s">
        <v>17</v>
      </c>
      <c r="M440" s="36" t="str">
        <f>VLOOKUP(K440,[2]stage_hints!$A:$C,3,FALSE)</f>
        <v>覚醒素材を獲得</v>
      </c>
      <c r="N440" s="37" t="str">
        <f>VLOOKUP(K440,[2]stage_hints!$A:$D,4,FALSE)</f>
        <v>「曜日クエスト」では_x000D_ユニットの覚醒に必要な素材が手に入ります</v>
      </c>
      <c r="O440" s="22" t="s">
        <v>117</v>
      </c>
      <c r="P440">
        <v>15</v>
      </c>
    </row>
    <row r="441" spans="1:16" x14ac:dyDescent="0.15">
      <c r="A441" s="29" t="str">
        <f t="shared" si="61"/>
        <v>20005_1_15</v>
      </c>
      <c r="B441" s="27" t="s">
        <v>33</v>
      </c>
      <c r="C441" s="5">
        <v>20005</v>
      </c>
      <c r="D441" s="4" t="str">
        <f ca="1">VLOOKUP($C441,OFFSET([1]quests!$A$1,0,0,COUNTA([1]quests!$A:$A),MATCH(D$1,[1]quests!$1:$1,0)-MATCH($C$1,[1]quests!$1:$1,0)+1),MATCH(D$1,[1]quests!$1:$1,0)-MATCH($C$1,[1]quests!$1:$1,0)+1,FALSE)</f>
        <v>ザ・キャノン</v>
      </c>
      <c r="E441" s="4" t="str">
        <f ca="1">VLOOKUP($C441,OFFSET([1]quests!$A$1,0,0,COUNTA([1]quests!$A:$A),MATCH(E$1,[1]quests!$1:$1,0)-MATCH($C$1,[1]quests!$1:$1,0)+1),MATCH(E$1,[1]quests!$1:$1,0)-MATCH($C$1,[1]quests!$1:$1,0)+1,FALSE)</f>
        <v>ドロップイベント2-2</v>
      </c>
      <c r="F441" s="6">
        <v>1</v>
      </c>
      <c r="G441" s="4" t="str">
        <f ca="1">VLOOKUP($C441&amp;"_"&amp;$F441,OFFSET([1]stages!$A$1,0,0,COUNTA([1]stages!$A:$A),MATCH(G$1,[1]stages!$2:$2,0)-MATCH("temp_stage",[1]stages!$2:$2,0)+1),MATCH(G$1,[1]stages!$2:$2,0)-MATCH("temp_stage",[1]stages!$2:$2,0)+1,FALSE)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41" s="4" t="str">
        <f ca="1">VLOOKUP($C441&amp;"_"&amp;$F441,OFFSET([1]stages!$A$1,0,0,COUNTA([1]stages!$A:$A),MATCH(H$1,[1]stages!$2:$2,0)-MATCH("temp_stage",[1]stages!$2:$2,0)+1),MATCH(H$1,[1]stages!$2:$2,0)-MATCH("temp_stage",[1]stages!$2:$2,0)+1,FALSE)</f>
        <v>ドロップイベント2-2</v>
      </c>
      <c r="I441" s="19">
        <v>0</v>
      </c>
      <c r="J441" s="6">
        <f>COUNTIF(C$1:C441,C441)</f>
        <v>15</v>
      </c>
      <c r="K441">
        <v>16</v>
      </c>
      <c r="L441" s="6" t="s">
        <v>17</v>
      </c>
      <c r="M441" s="36" t="str">
        <f>VLOOKUP(K441,[2]stage_hints!$A:$C,3,FALSE)</f>
        <v>マルチプレイのメリット（その1）</v>
      </c>
      <c r="N441" s="37" t="str">
        <f>VLOOKUP(K441,[2]stage_hints!$A:$D,4,FALSE)</f>
        <v>他のプレイヤーとマルチプレイで遊ぶと_x000D_ポリゴンがもらえます（100人まで）</v>
      </c>
      <c r="O441" s="22" t="s">
        <v>117</v>
      </c>
      <c r="P441">
        <v>16</v>
      </c>
    </row>
    <row r="442" spans="1:16" x14ac:dyDescent="0.15">
      <c r="A442" s="29" t="str">
        <f t="shared" si="61"/>
        <v>20005_1_16</v>
      </c>
      <c r="B442" s="27" t="s">
        <v>33</v>
      </c>
      <c r="C442" s="5">
        <v>20005</v>
      </c>
      <c r="D442" s="4" t="str">
        <f ca="1">VLOOKUP($C442,OFFSET([1]quests!$A$1,0,0,COUNTA([1]quests!$A:$A),MATCH(D$1,[1]quests!$1:$1,0)-MATCH($C$1,[1]quests!$1:$1,0)+1),MATCH(D$1,[1]quests!$1:$1,0)-MATCH($C$1,[1]quests!$1:$1,0)+1,FALSE)</f>
        <v>ザ・キャノン</v>
      </c>
      <c r="E442" s="4" t="str">
        <f ca="1">VLOOKUP($C442,OFFSET([1]quests!$A$1,0,0,COUNTA([1]quests!$A:$A),MATCH(E$1,[1]quests!$1:$1,0)-MATCH($C$1,[1]quests!$1:$1,0)+1),MATCH(E$1,[1]quests!$1:$1,0)-MATCH($C$1,[1]quests!$1:$1,0)+1,FALSE)</f>
        <v>ドロップイベント2-2</v>
      </c>
      <c r="F442" s="6">
        <v>1</v>
      </c>
      <c r="G442" s="4" t="str">
        <f ca="1">VLOOKUP($C442&amp;"_"&amp;$F442,OFFSET([1]stages!$A$1,0,0,COUNTA([1]stages!$A:$A),MATCH(G$1,[1]stages!$2:$2,0)-MATCH("temp_stage",[1]stages!$2:$2,0)+1),MATCH(G$1,[1]stages!$2:$2,0)-MATCH("temp_stage",[1]stages!$2:$2,0)+1,FALSE)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42" s="4" t="str">
        <f ca="1">VLOOKUP($C442&amp;"_"&amp;$F442,OFFSET([1]stages!$A$1,0,0,COUNTA([1]stages!$A:$A),MATCH(H$1,[1]stages!$2:$2,0)-MATCH("temp_stage",[1]stages!$2:$2,0)+1),MATCH(H$1,[1]stages!$2:$2,0)-MATCH("temp_stage",[1]stages!$2:$2,0)+1,FALSE)</f>
        <v>ドロップイベント2-2</v>
      </c>
      <c r="I442" s="19">
        <v>0</v>
      </c>
      <c r="J442" s="6">
        <f>COUNTIF(C$1:C442,C442)</f>
        <v>16</v>
      </c>
      <c r="K442">
        <v>17</v>
      </c>
      <c r="L442" s="6" t="s">
        <v>17</v>
      </c>
      <c r="M442" s="36" t="str">
        <f>VLOOKUP(K442,[2]stage_hints!$A:$C,3,FALSE)</f>
        <v>リンクガチャ</v>
      </c>
      <c r="N442" s="37" t="str">
        <f>VLOOKUP(K442,[2]stage_hints!$A:$D,4,FALSE)</f>
        <v>無料のリンクガチャを回して_x000D_経験値素材や売却素材を獲得しましょう</v>
      </c>
      <c r="O442" s="22" t="s">
        <v>117</v>
      </c>
      <c r="P442">
        <v>17</v>
      </c>
    </row>
    <row r="443" spans="1:16" x14ac:dyDescent="0.15">
      <c r="A443" s="29" t="str">
        <f t="shared" si="61"/>
        <v>20005_1_17</v>
      </c>
      <c r="B443" s="27" t="s">
        <v>33</v>
      </c>
      <c r="C443" s="5">
        <v>20005</v>
      </c>
      <c r="D443" s="4" t="str">
        <f ca="1">VLOOKUP($C443,OFFSET([1]quests!$A$1,0,0,COUNTA([1]quests!$A:$A),MATCH(D$1,[1]quests!$1:$1,0)-MATCH($C$1,[1]quests!$1:$1,0)+1),MATCH(D$1,[1]quests!$1:$1,0)-MATCH($C$1,[1]quests!$1:$1,0)+1,FALSE)</f>
        <v>ザ・キャノン</v>
      </c>
      <c r="E443" s="4" t="str">
        <f ca="1">VLOOKUP($C443,OFFSET([1]quests!$A$1,0,0,COUNTA([1]quests!$A:$A),MATCH(E$1,[1]quests!$1:$1,0)-MATCH($C$1,[1]quests!$1:$1,0)+1),MATCH(E$1,[1]quests!$1:$1,0)-MATCH($C$1,[1]quests!$1:$1,0)+1,FALSE)</f>
        <v>ドロップイベント2-2</v>
      </c>
      <c r="F443" s="6">
        <v>1</v>
      </c>
      <c r="G443" s="4" t="str">
        <f ca="1">VLOOKUP($C443&amp;"_"&amp;$F443,OFFSET([1]stages!$A$1,0,0,COUNTA([1]stages!$A:$A),MATCH(G$1,[1]stages!$2:$2,0)-MATCH("temp_stage",[1]stages!$2:$2,0)+1),MATCH(G$1,[1]stages!$2:$2,0)-MATCH("temp_stage",[1]stages!$2:$2,0)+1,FALSE)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43" s="4" t="str">
        <f ca="1">VLOOKUP($C443&amp;"_"&amp;$F443,OFFSET([1]stages!$A$1,0,0,COUNTA([1]stages!$A:$A),MATCH(H$1,[1]stages!$2:$2,0)-MATCH("temp_stage",[1]stages!$2:$2,0)+1),MATCH(H$1,[1]stages!$2:$2,0)-MATCH("temp_stage",[1]stages!$2:$2,0)+1,FALSE)</f>
        <v>ドロップイベント2-2</v>
      </c>
      <c r="I443" s="19">
        <v>0</v>
      </c>
      <c r="J443" s="6">
        <f>COUNTIF(C$1:C443,C443)</f>
        <v>17</v>
      </c>
      <c r="K443">
        <v>18</v>
      </c>
      <c r="L443" s="6" t="s">
        <v>17</v>
      </c>
      <c r="M443" s="36" t="str">
        <f>VLOOKUP(K443,[2]stage_hints!$A:$C,3,FALSE)</f>
        <v>マルチプレイのメリット（その2）</v>
      </c>
      <c r="N443" s="37" t="str">
        <f>VLOOKUP(K443,[2]stage_hints!$A:$D,4,FALSE)</f>
        <v>マルチプレイならリンクが2倍もらえます_x000D_リンクガチャをたくさん回しましょう</v>
      </c>
      <c r="O443" s="22" t="s">
        <v>117</v>
      </c>
      <c r="P443">
        <v>18</v>
      </c>
    </row>
    <row r="444" spans="1:16" x14ac:dyDescent="0.15">
      <c r="A444" s="29" t="str">
        <f t="shared" ref="A444:A458" si="62">C444&amp;"_"&amp;F444&amp;"_"&amp;J444</f>
        <v>20005_1_18</v>
      </c>
      <c r="B444" s="27" t="s">
        <v>33</v>
      </c>
      <c r="C444" s="5">
        <v>20005</v>
      </c>
      <c r="D444" s="4" t="str">
        <f ca="1">VLOOKUP($C444,OFFSET([1]quests!$A$1,0,0,COUNTA([1]quests!$A:$A),MATCH(D$1,[1]quests!$1:$1,0)-MATCH($C$1,[1]quests!$1:$1,0)+1),MATCH(D$1,[1]quests!$1:$1,0)-MATCH($C$1,[1]quests!$1:$1,0)+1,FALSE)</f>
        <v>ザ・キャノン</v>
      </c>
      <c r="E444" s="4" t="str">
        <f ca="1">VLOOKUP($C444,OFFSET([1]quests!$A$1,0,0,COUNTA([1]quests!$A:$A),MATCH(E$1,[1]quests!$1:$1,0)-MATCH($C$1,[1]quests!$1:$1,0)+1),MATCH(E$1,[1]quests!$1:$1,0)-MATCH($C$1,[1]quests!$1:$1,0)+1,FALSE)</f>
        <v>ドロップイベント2-2</v>
      </c>
      <c r="F444" s="6">
        <v>1</v>
      </c>
      <c r="G444" s="4" t="str">
        <f ca="1">VLOOKUP($C444&amp;"_"&amp;$F444,OFFSET([1]stages!$A$1,0,0,COUNTA([1]stages!$A:$A),MATCH(G$1,[1]stages!$2:$2,0)-MATCH("temp_stage",[1]stages!$2:$2,0)+1),MATCH(G$1,[1]stages!$2:$2,0)-MATCH("temp_stage",[1]stages!$2:$2,0)+1,FALSE)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44" s="4" t="str">
        <f ca="1">VLOOKUP($C444&amp;"_"&amp;$F444,OFFSET([1]stages!$A$1,0,0,COUNTA([1]stages!$A:$A),MATCH(H$1,[1]stages!$2:$2,0)-MATCH("temp_stage",[1]stages!$2:$2,0)+1),MATCH(H$1,[1]stages!$2:$2,0)-MATCH("temp_stage",[1]stages!$2:$2,0)+1,FALSE)</f>
        <v>ドロップイベント2-2</v>
      </c>
      <c r="I444" s="19">
        <v>0</v>
      </c>
      <c r="J444" s="6">
        <f>COUNTIF(C$1:C444,C444)</f>
        <v>18</v>
      </c>
      <c r="K444">
        <v>19</v>
      </c>
      <c r="L444" s="6" t="s">
        <v>17</v>
      </c>
      <c r="M444" s="36" t="str">
        <f>VLOOKUP(K444,[2]stage_hints!$A:$C,3,FALSE)</f>
        <v>ソロ専用チャレンジタワー</v>
      </c>
      <c r="N444" s="37" t="str">
        <f>VLOOKUP(K444,[2]stage_hints!$A:$D,4,FALSE)</f>
        <v>ソロ専用の「チャレンジタワー」では_x000D_各フロアごとにクリア報酬がもらえます</v>
      </c>
      <c r="O444" s="22" t="s">
        <v>117</v>
      </c>
      <c r="P444">
        <v>19</v>
      </c>
    </row>
    <row r="445" spans="1:16" x14ac:dyDescent="0.15">
      <c r="A445" s="29" t="str">
        <f t="shared" si="62"/>
        <v>20005_1_19</v>
      </c>
      <c r="B445" s="27" t="s">
        <v>33</v>
      </c>
      <c r="C445" s="5">
        <v>20005</v>
      </c>
      <c r="D445" s="4" t="str">
        <f ca="1">VLOOKUP($C445,OFFSET([1]quests!$A$1,0,0,COUNTA([1]quests!$A:$A),MATCH(D$1,[1]quests!$1:$1,0)-MATCH($C$1,[1]quests!$1:$1,0)+1),MATCH(D$1,[1]quests!$1:$1,0)-MATCH($C$1,[1]quests!$1:$1,0)+1,FALSE)</f>
        <v>ザ・キャノン</v>
      </c>
      <c r="E445" s="4" t="str">
        <f ca="1">VLOOKUP($C445,OFFSET([1]quests!$A$1,0,0,COUNTA([1]quests!$A:$A),MATCH(E$1,[1]quests!$1:$1,0)-MATCH($C$1,[1]quests!$1:$1,0)+1),MATCH(E$1,[1]quests!$1:$1,0)-MATCH($C$1,[1]quests!$1:$1,0)+1,FALSE)</f>
        <v>ドロップイベント2-2</v>
      </c>
      <c r="F445" s="6">
        <v>1</v>
      </c>
      <c r="G445" s="4" t="str">
        <f ca="1">VLOOKUP($C445&amp;"_"&amp;$F445,OFFSET([1]stages!$A$1,0,0,COUNTA([1]stages!$A:$A),MATCH(G$1,[1]stages!$2:$2,0)-MATCH("temp_stage",[1]stages!$2:$2,0)+1),MATCH(G$1,[1]stages!$2:$2,0)-MATCH("temp_stage",[1]stages!$2:$2,0)+1,FALSE)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45" s="4" t="str">
        <f ca="1">VLOOKUP($C445&amp;"_"&amp;$F445,OFFSET([1]stages!$A$1,0,0,COUNTA([1]stages!$A:$A),MATCH(H$1,[1]stages!$2:$2,0)-MATCH("temp_stage",[1]stages!$2:$2,0)+1),MATCH(H$1,[1]stages!$2:$2,0)-MATCH("temp_stage",[1]stages!$2:$2,0)+1,FALSE)</f>
        <v>ドロップイベント2-2</v>
      </c>
      <c r="I445" s="19">
        <v>0</v>
      </c>
      <c r="J445" s="6">
        <f>COUNTIF(C$1:C445,C445)</f>
        <v>19</v>
      </c>
      <c r="K445">
        <v>20</v>
      </c>
      <c r="L445" s="6" t="s">
        <v>17</v>
      </c>
      <c r="M445" s="36" t="str">
        <f>VLOOKUP(K445,[2]stage_hints!$A:$C,3,FALSE)</f>
        <v>マルチプレイのメリット（その3）</v>
      </c>
      <c r="N445" s="37" t="str">
        <f>VLOOKUP(K445,[2]stage_hints!$A:$D,4,FALSE)</f>
        <v>マルチプレイへの参加はエナジー消費ゼロ_x000D_いつでも好きなだけ遊ぶことができます</v>
      </c>
      <c r="O445" s="22" t="s">
        <v>117</v>
      </c>
      <c r="P445">
        <v>20</v>
      </c>
    </row>
    <row r="446" spans="1:16" x14ac:dyDescent="0.15">
      <c r="A446" s="29" t="str">
        <f t="shared" si="62"/>
        <v>20005_1_20</v>
      </c>
      <c r="B446" s="27" t="s">
        <v>33</v>
      </c>
      <c r="C446" s="5">
        <v>20005</v>
      </c>
      <c r="D446" s="4" t="str">
        <f ca="1">VLOOKUP($C446,OFFSET([1]quests!$A$1,0,0,COUNTA([1]quests!$A:$A),MATCH(D$1,[1]quests!$1:$1,0)-MATCH($C$1,[1]quests!$1:$1,0)+1),MATCH(D$1,[1]quests!$1:$1,0)-MATCH($C$1,[1]quests!$1:$1,0)+1,FALSE)</f>
        <v>ザ・キャノン</v>
      </c>
      <c r="E446" s="4" t="str">
        <f ca="1">VLOOKUP($C446,OFFSET([1]quests!$A$1,0,0,COUNTA([1]quests!$A:$A),MATCH(E$1,[1]quests!$1:$1,0)-MATCH($C$1,[1]quests!$1:$1,0)+1),MATCH(E$1,[1]quests!$1:$1,0)-MATCH($C$1,[1]quests!$1:$1,0)+1,FALSE)</f>
        <v>ドロップイベント2-2</v>
      </c>
      <c r="F446" s="6">
        <v>1</v>
      </c>
      <c r="G446" s="4" t="str">
        <f ca="1">VLOOKUP($C446&amp;"_"&amp;$F446,OFFSET([1]stages!$A$1,0,0,COUNTA([1]stages!$A:$A),MATCH(G$1,[1]stages!$2:$2,0)-MATCH("temp_stage",[1]stages!$2:$2,0)+1),MATCH(G$1,[1]stages!$2:$2,0)-MATCH("temp_stage",[1]stages!$2:$2,0)+1,FALSE)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46" s="4" t="str">
        <f ca="1">VLOOKUP($C446&amp;"_"&amp;$F446,OFFSET([1]stages!$A$1,0,0,COUNTA([1]stages!$A:$A),MATCH(H$1,[1]stages!$2:$2,0)-MATCH("temp_stage",[1]stages!$2:$2,0)+1),MATCH(H$1,[1]stages!$2:$2,0)-MATCH("temp_stage",[1]stages!$2:$2,0)+1,FALSE)</f>
        <v>ドロップイベント2-2</v>
      </c>
      <c r="I446" s="19">
        <v>0</v>
      </c>
      <c r="J446" s="6">
        <f>COUNTIF(C$1:C446,C446)</f>
        <v>20</v>
      </c>
      <c r="K446">
        <v>21</v>
      </c>
      <c r="L446" s="6" t="s">
        <v>17</v>
      </c>
      <c r="M446" s="36" t="str">
        <f>VLOOKUP(K446,[2]stage_hints!$A:$C,3,FALSE)</f>
        <v>スキルを有効に</v>
      </c>
      <c r="N446" s="37" t="str">
        <f>VLOOKUP(K446,[2]stage_hints!$A:$D,4,FALSE)</f>
        <v>ターン経過でユニットのスキルが使えます_x000D_強力スキルでバトルを有利に進めましょう</v>
      </c>
      <c r="O446" s="22" t="s">
        <v>117</v>
      </c>
      <c r="P446">
        <v>21</v>
      </c>
    </row>
    <row r="447" spans="1:16" x14ac:dyDescent="0.15">
      <c r="A447" s="29" t="str">
        <f t="shared" si="62"/>
        <v>20005_1_21</v>
      </c>
      <c r="B447" s="27" t="s">
        <v>33</v>
      </c>
      <c r="C447" s="5">
        <v>20005</v>
      </c>
      <c r="D447" s="4" t="str">
        <f ca="1">VLOOKUP($C447,OFFSET([1]quests!$A$1,0,0,COUNTA([1]quests!$A:$A),MATCH(D$1,[1]quests!$1:$1,0)-MATCH($C$1,[1]quests!$1:$1,0)+1),MATCH(D$1,[1]quests!$1:$1,0)-MATCH($C$1,[1]quests!$1:$1,0)+1,FALSE)</f>
        <v>ザ・キャノン</v>
      </c>
      <c r="E447" s="4" t="str">
        <f ca="1">VLOOKUP($C447,OFFSET([1]quests!$A$1,0,0,COUNTA([1]quests!$A:$A),MATCH(E$1,[1]quests!$1:$1,0)-MATCH($C$1,[1]quests!$1:$1,0)+1),MATCH(E$1,[1]quests!$1:$1,0)-MATCH($C$1,[1]quests!$1:$1,0)+1,FALSE)</f>
        <v>ドロップイベント2-2</v>
      </c>
      <c r="F447" s="6">
        <v>1</v>
      </c>
      <c r="G447" s="4" t="str">
        <f ca="1">VLOOKUP($C447&amp;"_"&amp;$F447,OFFSET([1]stages!$A$1,0,0,COUNTA([1]stages!$A:$A),MATCH(G$1,[1]stages!$2:$2,0)-MATCH("temp_stage",[1]stages!$2:$2,0)+1),MATCH(G$1,[1]stages!$2:$2,0)-MATCH("temp_stage",[1]stages!$2:$2,0)+1,FALSE)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47" s="4" t="str">
        <f ca="1">VLOOKUP($C447&amp;"_"&amp;$F447,OFFSET([1]stages!$A$1,0,0,COUNTA([1]stages!$A:$A),MATCH(H$1,[1]stages!$2:$2,0)-MATCH("temp_stage",[1]stages!$2:$2,0)+1),MATCH(H$1,[1]stages!$2:$2,0)-MATCH("temp_stage",[1]stages!$2:$2,0)+1,FALSE)</f>
        <v>ドロップイベント2-2</v>
      </c>
      <c r="I447" s="19">
        <v>0</v>
      </c>
      <c r="J447" s="6">
        <f>COUNTIF(C$1:C447,C447)</f>
        <v>21</v>
      </c>
      <c r="K447">
        <v>22</v>
      </c>
      <c r="L447" s="6" t="s">
        <v>17</v>
      </c>
      <c r="M447" s="36" t="str">
        <f>VLOOKUP(K447,[2]stage_hints!$A:$C,3,FALSE)</f>
        <v>フィーバーで一発逆転（その1）</v>
      </c>
      <c r="N447" s="37" t="str">
        <f>VLOOKUP(K447,[2]stage_hints!$A:$D,4,FALSE)</f>
        <v>フィーバーは攻撃と回復を兼ね備えます_x000D_ピンチからの一発逆転を狙いましょう</v>
      </c>
      <c r="O447" s="22" t="s">
        <v>117</v>
      </c>
      <c r="P447">
        <v>22</v>
      </c>
    </row>
    <row r="448" spans="1:16" x14ac:dyDescent="0.15">
      <c r="A448" s="29" t="str">
        <f t="shared" si="62"/>
        <v>20005_1_22</v>
      </c>
      <c r="B448" s="27" t="s">
        <v>33</v>
      </c>
      <c r="C448" s="5">
        <v>20005</v>
      </c>
      <c r="D448" s="4" t="str">
        <f ca="1">VLOOKUP($C448,OFFSET([1]quests!$A$1,0,0,COUNTA([1]quests!$A:$A),MATCH(D$1,[1]quests!$1:$1,0)-MATCH($C$1,[1]quests!$1:$1,0)+1),MATCH(D$1,[1]quests!$1:$1,0)-MATCH($C$1,[1]quests!$1:$1,0)+1,FALSE)</f>
        <v>ザ・キャノン</v>
      </c>
      <c r="E448" s="4" t="str">
        <f ca="1">VLOOKUP($C448,OFFSET([1]quests!$A$1,0,0,COUNTA([1]quests!$A:$A),MATCH(E$1,[1]quests!$1:$1,0)-MATCH($C$1,[1]quests!$1:$1,0)+1),MATCH(E$1,[1]quests!$1:$1,0)-MATCH($C$1,[1]quests!$1:$1,0)+1,FALSE)</f>
        <v>ドロップイベント2-2</v>
      </c>
      <c r="F448" s="6">
        <v>1</v>
      </c>
      <c r="G448" s="4" t="str">
        <f ca="1">VLOOKUP($C448&amp;"_"&amp;$F448,OFFSET([1]stages!$A$1,0,0,COUNTA([1]stages!$A:$A),MATCH(G$1,[1]stages!$2:$2,0)-MATCH("temp_stage",[1]stages!$2:$2,0)+1),MATCH(G$1,[1]stages!$2:$2,0)-MATCH("temp_stage",[1]stages!$2:$2,0)+1,FALSE)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48" s="4" t="str">
        <f ca="1">VLOOKUP($C448&amp;"_"&amp;$F448,OFFSET([1]stages!$A$1,0,0,COUNTA([1]stages!$A:$A),MATCH(H$1,[1]stages!$2:$2,0)-MATCH("temp_stage",[1]stages!$2:$2,0)+1),MATCH(H$1,[1]stages!$2:$2,0)-MATCH("temp_stage",[1]stages!$2:$2,0)+1,FALSE)</f>
        <v>ドロップイベント2-2</v>
      </c>
      <c r="I448" s="19">
        <v>0</v>
      </c>
      <c r="J448" s="6">
        <f>COUNTIF(C$1:C448,C448)</f>
        <v>22</v>
      </c>
      <c r="K448">
        <v>23</v>
      </c>
      <c r="L448" s="6" t="s">
        <v>17</v>
      </c>
      <c r="M448" s="36" t="str">
        <f>VLOOKUP(K448,[2]stage_hints!$A:$C,3,FALSE)</f>
        <v>フィーバーで一発逆転（その2）</v>
      </c>
      <c r="N448" s="37" t="str">
        <f>VLOOKUP(K448,[2]stage_hints!$A:$D,4,FALSE)</f>
        <v>フィーバー中は虹色のボムパネルを狙って_x000D_画面上のパネルを一気に破壊しましょう</v>
      </c>
      <c r="O448" s="22" t="s">
        <v>117</v>
      </c>
      <c r="P448">
        <v>23</v>
      </c>
    </row>
    <row r="449" spans="1:16" x14ac:dyDescent="0.15">
      <c r="A449" s="29" t="str">
        <f t="shared" si="62"/>
        <v>20005_1_23</v>
      </c>
      <c r="B449" s="27" t="s">
        <v>33</v>
      </c>
      <c r="C449" s="5">
        <v>20005</v>
      </c>
      <c r="D449" s="4" t="str">
        <f ca="1">VLOOKUP($C449,OFFSET([1]quests!$A$1,0,0,COUNTA([1]quests!$A:$A),MATCH(D$1,[1]quests!$1:$1,0)-MATCH($C$1,[1]quests!$1:$1,0)+1),MATCH(D$1,[1]quests!$1:$1,0)-MATCH($C$1,[1]quests!$1:$1,0)+1,FALSE)</f>
        <v>ザ・キャノン</v>
      </c>
      <c r="E449" s="4" t="str">
        <f ca="1">VLOOKUP($C449,OFFSET([1]quests!$A$1,0,0,COUNTA([1]quests!$A:$A),MATCH(E$1,[1]quests!$1:$1,0)-MATCH($C$1,[1]quests!$1:$1,0)+1),MATCH(E$1,[1]quests!$1:$1,0)-MATCH($C$1,[1]quests!$1:$1,0)+1,FALSE)</f>
        <v>ドロップイベント2-2</v>
      </c>
      <c r="F449" s="6">
        <v>1</v>
      </c>
      <c r="G449" s="4" t="str">
        <f ca="1">VLOOKUP($C449&amp;"_"&amp;$F449,OFFSET([1]stages!$A$1,0,0,COUNTA([1]stages!$A:$A),MATCH(G$1,[1]stages!$2:$2,0)-MATCH("temp_stage",[1]stages!$2:$2,0)+1),MATCH(G$1,[1]stages!$2:$2,0)-MATCH("temp_stage",[1]stages!$2:$2,0)+1,FALSE)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49" s="4" t="str">
        <f ca="1">VLOOKUP($C449&amp;"_"&amp;$F449,OFFSET([1]stages!$A$1,0,0,COUNTA([1]stages!$A:$A),MATCH(H$1,[1]stages!$2:$2,0)-MATCH("temp_stage",[1]stages!$2:$2,0)+1),MATCH(H$1,[1]stages!$2:$2,0)-MATCH("temp_stage",[1]stages!$2:$2,0)+1,FALSE)</f>
        <v>ドロップイベント2-2</v>
      </c>
      <c r="I449" s="19">
        <v>0</v>
      </c>
      <c r="J449" s="6">
        <f>COUNTIF(C$1:C449,C449)</f>
        <v>23</v>
      </c>
      <c r="K449">
        <v>24</v>
      </c>
      <c r="L449" s="6" t="s">
        <v>17</v>
      </c>
      <c r="M449" s="36" t="str">
        <f>VLOOKUP(K449,[2]stage_hints!$A:$C,3,FALSE)</f>
        <v>りんごを使って限界突破</v>
      </c>
      <c r="N449" s="37" t="str">
        <f>VLOOKUP(K449,[2]stage_hints!$A:$D,4,FALSE)</f>
        <v>赤りんご(攻撃力) 青りんご(回復力)_x000D_緑りんご(体力)をユニット強化に使うと_x000D_ステータスが限界突破します（計99個迄）</v>
      </c>
      <c r="O449" s="22" t="s">
        <v>117</v>
      </c>
      <c r="P449">
        <v>24</v>
      </c>
    </row>
    <row r="450" spans="1:16" x14ac:dyDescent="0.15">
      <c r="A450" s="29" t="str">
        <f t="shared" si="62"/>
        <v>20005_1_24</v>
      </c>
      <c r="B450" s="27" t="s">
        <v>33</v>
      </c>
      <c r="C450" s="5">
        <v>20005</v>
      </c>
      <c r="D450" s="4" t="str">
        <f ca="1">VLOOKUP($C450,OFFSET([1]quests!$A$1,0,0,COUNTA([1]quests!$A:$A),MATCH(D$1,[1]quests!$1:$1,0)-MATCH($C$1,[1]quests!$1:$1,0)+1),MATCH(D$1,[1]quests!$1:$1,0)-MATCH($C$1,[1]quests!$1:$1,0)+1,FALSE)</f>
        <v>ザ・キャノン</v>
      </c>
      <c r="E450" s="4" t="str">
        <f ca="1">VLOOKUP($C450,OFFSET([1]quests!$A$1,0,0,COUNTA([1]quests!$A:$A),MATCH(E$1,[1]quests!$1:$1,0)-MATCH($C$1,[1]quests!$1:$1,0)+1),MATCH(E$1,[1]quests!$1:$1,0)-MATCH($C$1,[1]quests!$1:$1,0)+1,FALSE)</f>
        <v>ドロップイベント2-2</v>
      </c>
      <c r="F450" s="6">
        <v>1</v>
      </c>
      <c r="G450" s="4" t="str">
        <f ca="1">VLOOKUP($C450&amp;"_"&amp;$F450,OFFSET([1]stages!$A$1,0,0,COUNTA([1]stages!$A:$A),MATCH(G$1,[1]stages!$2:$2,0)-MATCH("temp_stage",[1]stages!$2:$2,0)+1),MATCH(G$1,[1]stages!$2:$2,0)-MATCH("temp_stage",[1]stages!$2:$2,0)+1,FALSE)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50" s="4" t="str">
        <f ca="1">VLOOKUP($C450&amp;"_"&amp;$F450,OFFSET([1]stages!$A$1,0,0,COUNTA([1]stages!$A:$A),MATCH(H$1,[1]stages!$2:$2,0)-MATCH("temp_stage",[1]stages!$2:$2,0)+1),MATCH(H$1,[1]stages!$2:$2,0)-MATCH("temp_stage",[1]stages!$2:$2,0)+1,FALSE)</f>
        <v>ドロップイベント2-2</v>
      </c>
      <c r="I450" s="19">
        <v>0</v>
      </c>
      <c r="J450" s="6">
        <f>COUNTIF(C$1:C450,C450)</f>
        <v>24</v>
      </c>
      <c r="K450">
        <v>25</v>
      </c>
      <c r="L450" s="6" t="s">
        <v>17</v>
      </c>
      <c r="M450" s="36" t="str">
        <f>VLOOKUP(K450,[2]stage_hints!$A:$C,3,FALSE)</f>
        <v>スキルレベルアップ</v>
      </c>
      <c r="N450" s="37" t="str">
        <f>VLOOKUP(K450,[2]stage_hints!$A:$D,4,FALSE)</f>
        <v>「クリスタルのりんご」を強化に使うと_x000D_スキルレベルを上げることができます</v>
      </c>
      <c r="O450" s="22" t="s">
        <v>117</v>
      </c>
      <c r="P450">
        <v>25</v>
      </c>
    </row>
    <row r="451" spans="1:16" x14ac:dyDescent="0.15">
      <c r="A451" s="29" t="str">
        <f t="shared" si="62"/>
        <v>20005_1_25</v>
      </c>
      <c r="B451" s="27" t="s">
        <v>33</v>
      </c>
      <c r="C451" s="5">
        <v>20005</v>
      </c>
      <c r="D451" s="4" t="str">
        <f ca="1">VLOOKUP($C451,OFFSET([1]quests!$A$1,0,0,COUNTA([1]quests!$A:$A),MATCH(D$1,[1]quests!$1:$1,0)-MATCH($C$1,[1]quests!$1:$1,0)+1),MATCH(D$1,[1]quests!$1:$1,0)-MATCH($C$1,[1]quests!$1:$1,0)+1,FALSE)</f>
        <v>ザ・キャノン</v>
      </c>
      <c r="E451" s="4" t="str">
        <f ca="1">VLOOKUP($C451,OFFSET([1]quests!$A$1,0,0,COUNTA([1]quests!$A:$A),MATCH(E$1,[1]quests!$1:$1,0)-MATCH($C$1,[1]quests!$1:$1,0)+1),MATCH(E$1,[1]quests!$1:$1,0)-MATCH($C$1,[1]quests!$1:$1,0)+1,FALSE)</f>
        <v>ドロップイベント2-2</v>
      </c>
      <c r="F451" s="6">
        <v>1</v>
      </c>
      <c r="G451" s="4" t="str">
        <f ca="1">VLOOKUP($C451&amp;"_"&amp;$F451,OFFSET([1]stages!$A$1,0,0,COUNTA([1]stages!$A:$A),MATCH(G$1,[1]stages!$2:$2,0)-MATCH("temp_stage",[1]stages!$2:$2,0)+1),MATCH(G$1,[1]stages!$2:$2,0)-MATCH("temp_stage",[1]stages!$2:$2,0)+1,FALSE)</f>
        <v>【初級】ザ・キャノン(4タップ）</v>
      </c>
      <c r="H451" s="4" t="str">
        <f ca="1">VLOOKUP($C451&amp;"_"&amp;$F451,OFFSET([1]stages!$A$1,0,0,COUNTA([1]stages!$A:$A),MATCH(H$1,[1]stages!$2:$2,0)-MATCH("temp_stage",[1]stages!$2:$2,0)+1),MATCH(H$1,[1]stages!$2:$2,0)-MATCH("temp_stage",[1]stages!$2:$2,0)+1,FALSE)</f>
        <v>ドロップイベント2-2</v>
      </c>
      <c r="I451" s="19">
        <v>0</v>
      </c>
      <c r="J451" s="6">
        <f>COUNTIF(C$1:C451,C451)</f>
        <v>25</v>
      </c>
      <c r="K451">
        <v>26</v>
      </c>
      <c r="L451" s="6" t="s">
        <v>17</v>
      </c>
      <c r="M451" s="36" t="str">
        <f>VLOOKUP(K451,[2]stage_hints!$A:$C,3,FALSE)</f>
        <v>スキルレベルの効果</v>
      </c>
      <c r="N451" s="37" t="str">
        <f>VLOOKUP(K451,[2]stage_hints!$A:$D,4,FALSE)</f>
        <v>スキルレベルが上がると_x000D_短いターンでスキルを使うことができます</v>
      </c>
      <c r="O451" s="22" t="s">
        <v>117</v>
      </c>
      <c r="P451">
        <v>26</v>
      </c>
    </row>
    <row r="452" spans="1:16" x14ac:dyDescent="0.15">
      <c r="A452" s="29" t="str">
        <f t="shared" si="62"/>
        <v>20006_1_1</v>
      </c>
      <c r="B452" s="27" t="s">
        <v>33</v>
      </c>
      <c r="C452" s="5">
        <v>20006</v>
      </c>
      <c r="D452" s="4" t="str">
        <f ca="1">VLOOKUP($C452,OFFSET([1]quests!$A$1,0,0,COUNTA([1]quests!$A:$A),MATCH(D$1,[1]quests!$1:$1,0)-MATCH($C$1,[1]quests!$1:$1,0)+1),MATCH(D$1,[1]quests!$1:$1,0)-MATCH($C$1,[1]quests!$1:$1,0)+1,FALSE)</f>
        <v>スチール・プレデター</v>
      </c>
      <c r="E452" s="4" t="str">
        <f ca="1">VLOOKUP($C452,OFFSET([1]quests!$A$1,0,0,COUNTA([1]quests!$A:$A),MATCH(E$1,[1]quests!$1:$1,0)-MATCH($C$1,[1]quests!$1:$1,0)+1),MATCH(E$1,[1]quests!$1:$1,0)-MATCH($C$1,[1]quests!$1:$1,0)+1,FALSE)</f>
        <v>ドロップイベント2-3</v>
      </c>
      <c r="F452" s="6">
        <v>1</v>
      </c>
      <c r="G452" s="4" t="str">
        <f ca="1">VLOOKUP($C452&amp;"_"&amp;$F452,OFFSET([1]stages!$A$1,0,0,COUNTA([1]stages!$A:$A),MATCH(G$1,[1]stages!$2:$2,0)-MATCH("temp_stage",[1]stages!$2:$2,0)+1),MATCH(G$1,[1]stages!$2:$2,0)-MATCH("temp_stage",[1]stages!$2:$2,0)+1,FALSE)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52" s="4" t="str">
        <f ca="1">VLOOKUP($C452&amp;"_"&amp;$F452,OFFSET([1]stages!$A$1,0,0,COUNTA([1]stages!$A:$A),MATCH(H$1,[1]stages!$2:$2,0)-MATCH("temp_stage",[1]stages!$2:$2,0)+1),MATCH(H$1,[1]stages!$2:$2,0)-MATCH("temp_stage",[1]stages!$2:$2,0)+1,FALSE)</f>
        <v>ドロップイベント2-3</v>
      </c>
      <c r="I452" s="19">
        <v>0</v>
      </c>
      <c r="J452" s="6">
        <f>COUNTIF(C$1:C452,C452)</f>
        <v>1</v>
      </c>
      <c r="K452">
        <v>1</v>
      </c>
      <c r="L452" s="6" t="s">
        <v>17</v>
      </c>
      <c r="M452" s="36" t="str">
        <f>VLOOKUP(K452,[2]stage_hints!$A:$C,3,FALSE)</f>
        <v>長くつなげて大ダメージ</v>
      </c>
      <c r="N452" s="37" t="str">
        <f>VLOOKUP(K452,[2]stage_hints!$A:$D,4,FALSE)</f>
        <v>パネルを長くつなげるほど_x000D_大ダメージを与えることができます</v>
      </c>
      <c r="O452" s="22" t="s">
        <v>117</v>
      </c>
      <c r="P452">
        <v>1</v>
      </c>
    </row>
    <row r="453" spans="1:16" x14ac:dyDescent="0.15">
      <c r="A453" s="29" t="str">
        <f t="shared" si="62"/>
        <v>20006_1_2</v>
      </c>
      <c r="B453" s="27" t="s">
        <v>33</v>
      </c>
      <c r="C453" s="5">
        <v>20006</v>
      </c>
      <c r="D453" s="4" t="str">
        <f ca="1">VLOOKUP($C453,OFFSET([1]quests!$A$1,0,0,COUNTA([1]quests!$A:$A),MATCH(D$1,[1]quests!$1:$1,0)-MATCH($C$1,[1]quests!$1:$1,0)+1),MATCH(D$1,[1]quests!$1:$1,0)-MATCH($C$1,[1]quests!$1:$1,0)+1,FALSE)</f>
        <v>スチール・プレデター</v>
      </c>
      <c r="E453" s="4" t="str">
        <f ca="1">VLOOKUP($C453,OFFSET([1]quests!$A$1,0,0,COUNTA([1]quests!$A:$A),MATCH(E$1,[1]quests!$1:$1,0)-MATCH($C$1,[1]quests!$1:$1,0)+1),MATCH(E$1,[1]quests!$1:$1,0)-MATCH($C$1,[1]quests!$1:$1,0)+1,FALSE)</f>
        <v>ドロップイベント2-3</v>
      </c>
      <c r="F453" s="6">
        <v>1</v>
      </c>
      <c r="G453" s="4" t="str">
        <f ca="1">VLOOKUP($C453&amp;"_"&amp;$F453,OFFSET([1]stages!$A$1,0,0,COUNTA([1]stages!$A:$A),MATCH(G$1,[1]stages!$2:$2,0)-MATCH("temp_stage",[1]stages!$2:$2,0)+1),MATCH(G$1,[1]stages!$2:$2,0)-MATCH("temp_stage",[1]stages!$2:$2,0)+1,FALSE)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53" s="4" t="str">
        <f ca="1">VLOOKUP($C453&amp;"_"&amp;$F453,OFFSET([1]stages!$A$1,0,0,COUNTA([1]stages!$A:$A),MATCH(H$1,[1]stages!$2:$2,0)-MATCH("temp_stage",[1]stages!$2:$2,0)+1),MATCH(H$1,[1]stages!$2:$2,0)-MATCH("temp_stage",[1]stages!$2:$2,0)+1,FALSE)</f>
        <v>ドロップイベント2-3</v>
      </c>
      <c r="I453" s="19">
        <v>0</v>
      </c>
      <c r="J453" s="6">
        <f>COUNTIF(C$1:C453,C453)</f>
        <v>2</v>
      </c>
      <c r="K453">
        <v>2</v>
      </c>
      <c r="L453" s="6" t="s">
        <v>17</v>
      </c>
      <c r="M453" s="36" t="str">
        <f>VLOOKUP(K453,[2]stage_hints!$A:$C,3,FALSE)</f>
        <v>属性の相性</v>
      </c>
      <c r="N453" s="37" t="str">
        <f>VLOOKUP(K453,[2]stage_hints!$A:$D,4,FALSE)</f>
        <v>赤＞青　青＞黄　黄＞緑　緑＞赤_x000D_敵属性に最適なパーティがオススメです</v>
      </c>
      <c r="O453" s="22" t="s">
        <v>117</v>
      </c>
      <c r="P453">
        <v>2</v>
      </c>
    </row>
    <row r="454" spans="1:16" x14ac:dyDescent="0.15">
      <c r="A454" s="29" t="str">
        <f t="shared" si="62"/>
        <v>20006_1_3</v>
      </c>
      <c r="B454" s="27" t="s">
        <v>33</v>
      </c>
      <c r="C454" s="5">
        <v>20006</v>
      </c>
      <c r="D454" s="4" t="str">
        <f ca="1">VLOOKUP($C454,OFFSET([1]quests!$A$1,0,0,COUNTA([1]quests!$A:$A),MATCH(D$1,[1]quests!$1:$1,0)-MATCH($C$1,[1]quests!$1:$1,0)+1),MATCH(D$1,[1]quests!$1:$1,0)-MATCH($C$1,[1]quests!$1:$1,0)+1,FALSE)</f>
        <v>スチール・プレデター</v>
      </c>
      <c r="E454" s="4" t="str">
        <f ca="1">VLOOKUP($C454,OFFSET([1]quests!$A$1,0,0,COUNTA([1]quests!$A:$A),MATCH(E$1,[1]quests!$1:$1,0)-MATCH($C$1,[1]quests!$1:$1,0)+1),MATCH(E$1,[1]quests!$1:$1,0)-MATCH($C$1,[1]quests!$1:$1,0)+1,FALSE)</f>
        <v>ドロップイベント2-3</v>
      </c>
      <c r="F454" s="6">
        <v>1</v>
      </c>
      <c r="G454" s="4" t="str">
        <f ca="1">VLOOKUP($C454&amp;"_"&amp;$F454,OFFSET([1]stages!$A$1,0,0,COUNTA([1]stages!$A:$A),MATCH(G$1,[1]stages!$2:$2,0)-MATCH("temp_stage",[1]stages!$2:$2,0)+1),MATCH(G$1,[1]stages!$2:$2,0)-MATCH("temp_stage",[1]stages!$2:$2,0)+1,FALSE)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54" s="4" t="str">
        <f ca="1">VLOOKUP($C454&amp;"_"&amp;$F454,OFFSET([1]stages!$A$1,0,0,COUNTA([1]stages!$A:$A),MATCH(H$1,[1]stages!$2:$2,0)-MATCH("temp_stage",[1]stages!$2:$2,0)+1),MATCH(H$1,[1]stages!$2:$2,0)-MATCH("temp_stage",[1]stages!$2:$2,0)+1,FALSE)</f>
        <v>ドロップイベント2-3</v>
      </c>
      <c r="I454" s="19">
        <v>0</v>
      </c>
      <c r="J454" s="6">
        <f>COUNTIF(C$1:C454,C454)</f>
        <v>3</v>
      </c>
      <c r="K454">
        <v>3</v>
      </c>
      <c r="L454" s="6" t="s">
        <v>17</v>
      </c>
      <c r="M454" s="36" t="str">
        <f>VLOOKUP(K454,[2]stage_hints!$A:$C,3,FALSE)</f>
        <v>ターゲット</v>
      </c>
      <c r="N454" s="37" t="str">
        <f>VLOOKUP(K454,[2]stage_hints!$A:$D,4,FALSE)</f>
        <v>敵ユニットをタップすると_x000D_その敵を狙い撃ちできます</v>
      </c>
      <c r="O454" s="22" t="s">
        <v>117</v>
      </c>
      <c r="P454">
        <v>3</v>
      </c>
    </row>
    <row r="455" spans="1:16" x14ac:dyDescent="0.15">
      <c r="A455" s="29" t="str">
        <f t="shared" si="62"/>
        <v>20006_1_4</v>
      </c>
      <c r="B455" s="27" t="s">
        <v>33</v>
      </c>
      <c r="C455" s="5">
        <v>20006</v>
      </c>
      <c r="D455" s="4" t="str">
        <f ca="1">VLOOKUP($C455,OFFSET([1]quests!$A$1,0,0,COUNTA([1]quests!$A:$A),MATCH(D$1,[1]quests!$1:$1,0)-MATCH($C$1,[1]quests!$1:$1,0)+1),MATCH(D$1,[1]quests!$1:$1,0)-MATCH($C$1,[1]quests!$1:$1,0)+1,FALSE)</f>
        <v>スチール・プレデター</v>
      </c>
      <c r="E455" s="4" t="str">
        <f ca="1">VLOOKUP($C455,OFFSET([1]quests!$A$1,0,0,COUNTA([1]quests!$A:$A),MATCH(E$1,[1]quests!$1:$1,0)-MATCH($C$1,[1]quests!$1:$1,0)+1),MATCH(E$1,[1]quests!$1:$1,0)-MATCH($C$1,[1]quests!$1:$1,0)+1,FALSE)</f>
        <v>ドロップイベント2-3</v>
      </c>
      <c r="F455" s="6">
        <v>1</v>
      </c>
      <c r="G455" s="4" t="str">
        <f ca="1">VLOOKUP($C455&amp;"_"&amp;$F455,OFFSET([1]stages!$A$1,0,0,COUNTA([1]stages!$A:$A),MATCH(G$1,[1]stages!$2:$2,0)-MATCH("temp_stage",[1]stages!$2:$2,0)+1),MATCH(G$1,[1]stages!$2:$2,0)-MATCH("temp_stage",[1]stages!$2:$2,0)+1,FALSE)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55" s="4" t="str">
        <f ca="1">VLOOKUP($C455&amp;"_"&amp;$F455,OFFSET([1]stages!$A$1,0,0,COUNTA([1]stages!$A:$A),MATCH(H$1,[1]stages!$2:$2,0)-MATCH("temp_stage",[1]stages!$2:$2,0)+1),MATCH(H$1,[1]stages!$2:$2,0)-MATCH("temp_stage",[1]stages!$2:$2,0)+1,FALSE)</f>
        <v>ドロップイベント2-3</v>
      </c>
      <c r="I455" s="19">
        <v>0</v>
      </c>
      <c r="J455" s="6">
        <f>COUNTIF(C$1:C455,C455)</f>
        <v>4</v>
      </c>
      <c r="K455">
        <v>5</v>
      </c>
      <c r="L455" s="6" t="s">
        <v>17</v>
      </c>
      <c r="M455" s="36" t="str">
        <f>VLOOKUP(K455,[2]stage_hints!$A:$C,3,FALSE)</f>
        <v>ユニット強化でレベルアップ</v>
      </c>
      <c r="N455" s="37" t="str">
        <f>VLOOKUP(K455,[2]stage_hints!$A:$D,4,FALSE)</f>
        <v>「ユニット強化」でレベルアップすると_x000D_勝てない敵にも勝てるようになります</v>
      </c>
      <c r="O455" s="22" t="s">
        <v>117</v>
      </c>
      <c r="P455">
        <v>5</v>
      </c>
    </row>
    <row r="456" spans="1:16" x14ac:dyDescent="0.15">
      <c r="A456" s="29" t="str">
        <f t="shared" si="62"/>
        <v>20006_1_5</v>
      </c>
      <c r="B456" s="27" t="s">
        <v>33</v>
      </c>
      <c r="C456" s="5">
        <v>20006</v>
      </c>
      <c r="D456" s="4" t="str">
        <f ca="1">VLOOKUP($C456,OFFSET([1]quests!$A$1,0,0,COUNTA([1]quests!$A:$A),MATCH(D$1,[1]quests!$1:$1,0)-MATCH($C$1,[1]quests!$1:$1,0)+1),MATCH(D$1,[1]quests!$1:$1,0)-MATCH($C$1,[1]quests!$1:$1,0)+1,FALSE)</f>
        <v>スチール・プレデター</v>
      </c>
      <c r="E456" s="4" t="str">
        <f ca="1">VLOOKUP($C456,OFFSET([1]quests!$A$1,0,0,COUNTA([1]quests!$A:$A),MATCH(E$1,[1]quests!$1:$1,0)-MATCH($C$1,[1]quests!$1:$1,0)+1),MATCH(E$1,[1]quests!$1:$1,0)-MATCH($C$1,[1]quests!$1:$1,0)+1,FALSE)</f>
        <v>ドロップイベント2-3</v>
      </c>
      <c r="F456" s="6">
        <v>1</v>
      </c>
      <c r="G456" s="4" t="str">
        <f ca="1">VLOOKUP($C456&amp;"_"&amp;$F456,OFFSET([1]stages!$A$1,0,0,COUNTA([1]stages!$A:$A),MATCH(G$1,[1]stages!$2:$2,0)-MATCH("temp_stage",[1]stages!$2:$2,0)+1),MATCH(G$1,[1]stages!$2:$2,0)-MATCH("temp_stage",[1]stages!$2:$2,0)+1,FALSE)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56" s="4" t="str">
        <f ca="1">VLOOKUP($C456&amp;"_"&amp;$F456,OFFSET([1]stages!$A$1,0,0,COUNTA([1]stages!$A:$A),MATCH(H$1,[1]stages!$2:$2,0)-MATCH("temp_stage",[1]stages!$2:$2,0)+1),MATCH(H$1,[1]stages!$2:$2,0)-MATCH("temp_stage",[1]stages!$2:$2,0)+1,FALSE)</f>
        <v>ドロップイベント2-3</v>
      </c>
      <c r="I456" s="19">
        <v>0</v>
      </c>
      <c r="J456" s="6">
        <f>COUNTIF(C$1:C456,C456)</f>
        <v>5</v>
      </c>
      <c r="K456">
        <v>6</v>
      </c>
      <c r="L456" s="6" t="s">
        <v>17</v>
      </c>
      <c r="M456" s="36" t="str">
        <f>VLOOKUP(K456,[2]stage_hints!$A:$C,3,FALSE)</f>
        <v>ユニット強化の属性ボーナス</v>
      </c>
      <c r="N456" s="37" t="str">
        <f>VLOOKUP(K456,[2]stage_hints!$A:$D,4,FALSE)</f>
        <v>同属性ユニットを強化素材にすると_x000D_経験値が多くもらえます</v>
      </c>
      <c r="O456" s="22" t="s">
        <v>117</v>
      </c>
      <c r="P456">
        <v>6</v>
      </c>
    </row>
    <row r="457" spans="1:16" x14ac:dyDescent="0.15">
      <c r="A457" s="29" t="str">
        <f t="shared" si="62"/>
        <v>20006_1_6</v>
      </c>
      <c r="B457" s="27" t="s">
        <v>33</v>
      </c>
      <c r="C457" s="5">
        <v>20006</v>
      </c>
      <c r="D457" s="4" t="str">
        <f ca="1">VLOOKUP($C457,OFFSET([1]quests!$A$1,0,0,COUNTA([1]quests!$A:$A),MATCH(D$1,[1]quests!$1:$1,0)-MATCH($C$1,[1]quests!$1:$1,0)+1),MATCH(D$1,[1]quests!$1:$1,0)-MATCH($C$1,[1]quests!$1:$1,0)+1,FALSE)</f>
        <v>スチール・プレデター</v>
      </c>
      <c r="E457" s="4" t="str">
        <f ca="1">VLOOKUP($C457,OFFSET([1]quests!$A$1,0,0,COUNTA([1]quests!$A:$A),MATCH(E$1,[1]quests!$1:$1,0)-MATCH($C$1,[1]quests!$1:$1,0)+1),MATCH(E$1,[1]quests!$1:$1,0)-MATCH($C$1,[1]quests!$1:$1,0)+1,FALSE)</f>
        <v>ドロップイベント2-3</v>
      </c>
      <c r="F457" s="6">
        <v>1</v>
      </c>
      <c r="G457" s="4" t="str">
        <f ca="1">VLOOKUP($C457&amp;"_"&amp;$F457,OFFSET([1]stages!$A$1,0,0,COUNTA([1]stages!$A:$A),MATCH(G$1,[1]stages!$2:$2,0)-MATCH("temp_stage",[1]stages!$2:$2,0)+1),MATCH(G$1,[1]stages!$2:$2,0)-MATCH("temp_stage",[1]stages!$2:$2,0)+1,FALSE)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57" s="4" t="str">
        <f ca="1">VLOOKUP($C457&amp;"_"&amp;$F457,OFFSET([1]stages!$A$1,0,0,COUNTA([1]stages!$A:$A),MATCH(H$1,[1]stages!$2:$2,0)-MATCH("temp_stage",[1]stages!$2:$2,0)+1),MATCH(H$1,[1]stages!$2:$2,0)-MATCH("temp_stage",[1]stages!$2:$2,0)+1,FALSE)</f>
        <v>ドロップイベント2-3</v>
      </c>
      <c r="I457" s="19">
        <v>0</v>
      </c>
      <c r="J457" s="6">
        <f>COUNTIF(C$1:C457,C457)</f>
        <v>6</v>
      </c>
      <c r="K457">
        <v>7</v>
      </c>
      <c r="L457" s="6" t="s">
        <v>17</v>
      </c>
      <c r="M457" s="36" t="str">
        <f>VLOOKUP(K457,[2]stage_hints!$A:$C,3,FALSE)</f>
        <v>メタルダックで経験値を獲得</v>
      </c>
      <c r="N457" s="37" t="str">
        <f>VLOOKUP(K457,[2]stage_hints!$A:$D,4,FALSE)</f>
        <v>「メタルなアヒル」を強化素材にすると_x000D_大量の経験値がもらえます</v>
      </c>
      <c r="O457" s="22" t="s">
        <v>117</v>
      </c>
      <c r="P457">
        <v>7</v>
      </c>
    </row>
    <row r="458" spans="1:16" x14ac:dyDescent="0.15">
      <c r="A458" s="29" t="str">
        <f t="shared" si="62"/>
        <v>20006_1_7</v>
      </c>
      <c r="B458" s="27" t="s">
        <v>33</v>
      </c>
      <c r="C458" s="5">
        <v>20006</v>
      </c>
      <c r="D458" s="4" t="str">
        <f ca="1">VLOOKUP($C458,OFFSET([1]quests!$A$1,0,0,COUNTA([1]quests!$A:$A),MATCH(D$1,[1]quests!$1:$1,0)-MATCH($C$1,[1]quests!$1:$1,0)+1),MATCH(D$1,[1]quests!$1:$1,0)-MATCH($C$1,[1]quests!$1:$1,0)+1,FALSE)</f>
        <v>スチール・プレデター</v>
      </c>
      <c r="E458" s="4" t="str">
        <f ca="1">VLOOKUP($C458,OFFSET([1]quests!$A$1,0,0,COUNTA([1]quests!$A:$A),MATCH(E$1,[1]quests!$1:$1,0)-MATCH($C$1,[1]quests!$1:$1,0)+1),MATCH(E$1,[1]quests!$1:$1,0)-MATCH($C$1,[1]quests!$1:$1,0)+1,FALSE)</f>
        <v>ドロップイベント2-3</v>
      </c>
      <c r="F458" s="6">
        <v>1</v>
      </c>
      <c r="G458" s="4" t="str">
        <f ca="1">VLOOKUP($C458&amp;"_"&amp;$F458,OFFSET([1]stages!$A$1,0,0,COUNTA([1]stages!$A:$A),MATCH(G$1,[1]stages!$2:$2,0)-MATCH("temp_stage",[1]stages!$2:$2,0)+1),MATCH(G$1,[1]stages!$2:$2,0)-MATCH("temp_stage",[1]stages!$2:$2,0)+1,FALSE)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58" s="4" t="str">
        <f ca="1">VLOOKUP($C458&amp;"_"&amp;$F458,OFFSET([1]stages!$A$1,0,0,COUNTA([1]stages!$A:$A),MATCH(H$1,[1]stages!$2:$2,0)-MATCH("temp_stage",[1]stages!$2:$2,0)+1),MATCH(H$1,[1]stages!$2:$2,0)-MATCH("temp_stage",[1]stages!$2:$2,0)+1,FALSE)</f>
        <v>ドロップイベント2-3</v>
      </c>
      <c r="I458" s="19">
        <v>0</v>
      </c>
      <c r="J458" s="6">
        <f>COUNTIF(C$1:C458,C458)</f>
        <v>7</v>
      </c>
      <c r="K458">
        <v>8</v>
      </c>
      <c r="L458" s="6" t="s">
        <v>17</v>
      </c>
      <c r="M458" s="36" t="str">
        <f>VLOOKUP(K458,[2]stage_hints!$A:$C,3,FALSE)</f>
        <v>ゲリラクエストは要チェック</v>
      </c>
      <c r="N458" s="37" t="str">
        <f>VLOOKUP(K458,[2]stage_hints!$A:$D,4,FALSE)</f>
        <v>時間限定の「アヒル捕獲作戦」では_x000D_経験値素材ユニットが多く手に入ります</v>
      </c>
      <c r="O458" s="22" t="s">
        <v>117</v>
      </c>
      <c r="P458">
        <v>8</v>
      </c>
    </row>
    <row r="459" spans="1:16" x14ac:dyDescent="0.15">
      <c r="A459" s="29" t="str">
        <f t="shared" ref="A459:A472" si="63">C459&amp;"_"&amp;F459&amp;"_"&amp;J459</f>
        <v>20006_1_8</v>
      </c>
      <c r="B459" s="27" t="s">
        <v>33</v>
      </c>
      <c r="C459" s="5">
        <v>20006</v>
      </c>
      <c r="D459" s="4" t="str">
        <f ca="1">VLOOKUP($C459,OFFSET([1]quests!$A$1,0,0,COUNTA([1]quests!$A:$A),MATCH(D$1,[1]quests!$1:$1,0)-MATCH($C$1,[1]quests!$1:$1,0)+1),MATCH(D$1,[1]quests!$1:$1,0)-MATCH($C$1,[1]quests!$1:$1,0)+1,FALSE)</f>
        <v>スチール・プレデター</v>
      </c>
      <c r="E459" s="4" t="str">
        <f ca="1">VLOOKUP($C459,OFFSET([1]quests!$A$1,0,0,COUNTA([1]quests!$A:$A),MATCH(E$1,[1]quests!$1:$1,0)-MATCH($C$1,[1]quests!$1:$1,0)+1),MATCH(E$1,[1]quests!$1:$1,0)-MATCH($C$1,[1]quests!$1:$1,0)+1,FALSE)</f>
        <v>ドロップイベント2-3</v>
      </c>
      <c r="F459" s="6">
        <v>1</v>
      </c>
      <c r="G459" s="4" t="str">
        <f ca="1">VLOOKUP($C459&amp;"_"&amp;$F459,OFFSET([1]stages!$A$1,0,0,COUNTA([1]stages!$A:$A),MATCH(G$1,[1]stages!$2:$2,0)-MATCH("temp_stage",[1]stages!$2:$2,0)+1),MATCH(G$1,[1]stages!$2:$2,0)-MATCH("temp_stage",[1]stages!$2:$2,0)+1,FALSE)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59" s="4" t="str">
        <f ca="1">VLOOKUP($C459&amp;"_"&amp;$F459,OFFSET([1]stages!$A$1,0,0,COUNTA([1]stages!$A:$A),MATCH(H$1,[1]stages!$2:$2,0)-MATCH("temp_stage",[1]stages!$2:$2,0)+1),MATCH(H$1,[1]stages!$2:$2,0)-MATCH("temp_stage",[1]stages!$2:$2,0)+1,FALSE)</f>
        <v>ドロップイベント2-3</v>
      </c>
      <c r="I459" s="19">
        <v>0</v>
      </c>
      <c r="J459" s="6">
        <f>COUNTIF(C$1:C459,C459)</f>
        <v>8</v>
      </c>
      <c r="K459">
        <v>9</v>
      </c>
      <c r="L459" s="6" t="s">
        <v>17</v>
      </c>
      <c r="M459" s="36" t="str">
        <f>VLOOKUP(K459,[2]stage_hints!$A:$C,3,FALSE)</f>
        <v>ゴールドダックでビットを獲得</v>
      </c>
      <c r="N459" s="37" t="str">
        <f>VLOOKUP(K459,[2]stage_hints!$A:$D,4,FALSE)</f>
        <v>「ゴールドなアヒル」を売却すると_x000D_大量のビットがもらえます</v>
      </c>
      <c r="O459" s="22" t="s">
        <v>117</v>
      </c>
      <c r="P459">
        <v>9</v>
      </c>
    </row>
    <row r="460" spans="1:16" x14ac:dyDescent="0.15">
      <c r="A460" s="29" t="str">
        <f t="shared" si="63"/>
        <v>20006_1_9</v>
      </c>
      <c r="B460" s="27" t="s">
        <v>33</v>
      </c>
      <c r="C460" s="5">
        <v>20006</v>
      </c>
      <c r="D460" s="4" t="str">
        <f ca="1">VLOOKUP($C460,OFFSET([1]quests!$A$1,0,0,COUNTA([1]quests!$A:$A),MATCH(D$1,[1]quests!$1:$1,0)-MATCH($C$1,[1]quests!$1:$1,0)+1),MATCH(D$1,[1]quests!$1:$1,0)-MATCH($C$1,[1]quests!$1:$1,0)+1,FALSE)</f>
        <v>スチール・プレデター</v>
      </c>
      <c r="E460" s="4" t="str">
        <f ca="1">VLOOKUP($C460,OFFSET([1]quests!$A$1,0,0,COUNTA([1]quests!$A:$A),MATCH(E$1,[1]quests!$1:$1,0)-MATCH($C$1,[1]quests!$1:$1,0)+1),MATCH(E$1,[1]quests!$1:$1,0)-MATCH($C$1,[1]quests!$1:$1,0)+1,FALSE)</f>
        <v>ドロップイベント2-3</v>
      </c>
      <c r="F460" s="6">
        <v>1</v>
      </c>
      <c r="G460" s="4" t="str">
        <f ca="1">VLOOKUP($C460&amp;"_"&amp;$F460,OFFSET([1]stages!$A$1,0,0,COUNTA([1]stages!$A:$A),MATCH(G$1,[1]stages!$2:$2,0)-MATCH("temp_stage",[1]stages!$2:$2,0)+1),MATCH(G$1,[1]stages!$2:$2,0)-MATCH("temp_stage",[1]stages!$2:$2,0)+1,FALSE)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60" s="4" t="str">
        <f ca="1">VLOOKUP($C460&amp;"_"&amp;$F460,OFFSET([1]stages!$A$1,0,0,COUNTA([1]stages!$A:$A),MATCH(H$1,[1]stages!$2:$2,0)-MATCH("temp_stage",[1]stages!$2:$2,0)+1),MATCH(H$1,[1]stages!$2:$2,0)-MATCH("temp_stage",[1]stages!$2:$2,0)+1,FALSE)</f>
        <v>ドロップイベント2-3</v>
      </c>
      <c r="I460" s="19">
        <v>0</v>
      </c>
      <c r="J460" s="6">
        <f>COUNTIF(C$1:C460,C460)</f>
        <v>9</v>
      </c>
      <c r="K460">
        <v>10</v>
      </c>
      <c r="L460" s="6" t="s">
        <v>17</v>
      </c>
      <c r="M460" s="36" t="str">
        <f>VLOOKUP(K460,[2]stage_hints!$A:$C,3,FALSE)</f>
        <v>土日に大量のビットを獲得</v>
      </c>
      <c r="N460" s="37" t="str">
        <f>VLOOKUP(K460,[2]stage_hints!$A:$D,4,FALSE)</f>
        <v>土日限定の「ゴールドカジノ」では_x000D_売却素材ユニットが多く手に入ります</v>
      </c>
      <c r="O460" s="22" t="s">
        <v>117</v>
      </c>
      <c r="P460">
        <v>10</v>
      </c>
    </row>
    <row r="461" spans="1:16" x14ac:dyDescent="0.15">
      <c r="A461" s="29" t="str">
        <f t="shared" si="63"/>
        <v>20006_1_10</v>
      </c>
      <c r="B461" s="27" t="s">
        <v>33</v>
      </c>
      <c r="C461" s="5">
        <v>20006</v>
      </c>
      <c r="D461" s="4" t="str">
        <f ca="1">VLOOKUP($C461,OFFSET([1]quests!$A$1,0,0,COUNTA([1]quests!$A:$A),MATCH(D$1,[1]quests!$1:$1,0)-MATCH($C$1,[1]quests!$1:$1,0)+1),MATCH(D$1,[1]quests!$1:$1,0)-MATCH($C$1,[1]quests!$1:$1,0)+1,FALSE)</f>
        <v>スチール・プレデター</v>
      </c>
      <c r="E461" s="4" t="str">
        <f ca="1">VLOOKUP($C461,OFFSET([1]quests!$A$1,0,0,COUNTA([1]quests!$A:$A),MATCH(E$1,[1]quests!$1:$1,0)-MATCH($C$1,[1]quests!$1:$1,0)+1),MATCH(E$1,[1]quests!$1:$1,0)-MATCH($C$1,[1]quests!$1:$1,0)+1,FALSE)</f>
        <v>ドロップイベント2-3</v>
      </c>
      <c r="F461" s="6">
        <v>1</v>
      </c>
      <c r="G461" s="4" t="str">
        <f ca="1">VLOOKUP($C461&amp;"_"&amp;$F461,OFFSET([1]stages!$A$1,0,0,COUNTA([1]stages!$A:$A),MATCH(G$1,[1]stages!$2:$2,0)-MATCH("temp_stage",[1]stages!$2:$2,0)+1),MATCH(G$1,[1]stages!$2:$2,0)-MATCH("temp_stage",[1]stages!$2:$2,0)+1,FALSE)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61" s="4" t="str">
        <f ca="1">VLOOKUP($C461&amp;"_"&amp;$F461,OFFSET([1]stages!$A$1,0,0,COUNTA([1]stages!$A:$A),MATCH(H$1,[1]stages!$2:$2,0)-MATCH("temp_stage",[1]stages!$2:$2,0)+1),MATCH(H$1,[1]stages!$2:$2,0)-MATCH("temp_stage",[1]stages!$2:$2,0)+1,FALSE)</f>
        <v>ドロップイベント2-3</v>
      </c>
      <c r="I461" s="19">
        <v>0</v>
      </c>
      <c r="J461" s="6">
        <f>COUNTIF(C$1:C461,C461)</f>
        <v>10</v>
      </c>
      <c r="K461">
        <v>11</v>
      </c>
      <c r="L461" s="6" t="s">
        <v>17</v>
      </c>
      <c r="M461" s="36" t="str">
        <f>VLOOKUP(K461,[2]stage_hints!$A:$C,3,FALSE)</f>
        <v>ランク解放クエスト</v>
      </c>
      <c r="N461" s="37" t="str">
        <f>VLOOKUP(K461,[2]stage_hints!$A:$D,4,FALSE)</f>
        <v>一定ランクに到達すると_x000D_報酬付きのランク開放クエストが現れます</v>
      </c>
      <c r="O461" s="22" t="s">
        <v>117</v>
      </c>
      <c r="P461">
        <v>11</v>
      </c>
    </row>
    <row r="462" spans="1:16" x14ac:dyDescent="0.15">
      <c r="A462" s="29" t="str">
        <f t="shared" si="63"/>
        <v>20006_1_11</v>
      </c>
      <c r="B462" s="27" t="s">
        <v>33</v>
      </c>
      <c r="C462" s="5">
        <v>20006</v>
      </c>
      <c r="D462" s="4" t="str">
        <f ca="1">VLOOKUP($C462,OFFSET([1]quests!$A$1,0,0,COUNTA([1]quests!$A:$A),MATCH(D$1,[1]quests!$1:$1,0)-MATCH($C$1,[1]quests!$1:$1,0)+1),MATCH(D$1,[1]quests!$1:$1,0)-MATCH($C$1,[1]quests!$1:$1,0)+1,FALSE)</f>
        <v>スチール・プレデター</v>
      </c>
      <c r="E462" s="4" t="str">
        <f ca="1">VLOOKUP($C462,OFFSET([1]quests!$A$1,0,0,COUNTA([1]quests!$A:$A),MATCH(E$1,[1]quests!$1:$1,0)-MATCH($C$1,[1]quests!$1:$1,0)+1),MATCH(E$1,[1]quests!$1:$1,0)-MATCH($C$1,[1]quests!$1:$1,0)+1,FALSE)</f>
        <v>ドロップイベント2-3</v>
      </c>
      <c r="F462" s="6">
        <v>1</v>
      </c>
      <c r="G462" s="4" t="str">
        <f ca="1">VLOOKUP($C462&amp;"_"&amp;$F462,OFFSET([1]stages!$A$1,0,0,COUNTA([1]stages!$A:$A),MATCH(G$1,[1]stages!$2:$2,0)-MATCH("temp_stage",[1]stages!$2:$2,0)+1),MATCH(G$1,[1]stages!$2:$2,0)-MATCH("temp_stage",[1]stages!$2:$2,0)+1,FALSE)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62" s="4" t="str">
        <f ca="1">VLOOKUP($C462&amp;"_"&amp;$F462,OFFSET([1]stages!$A$1,0,0,COUNTA([1]stages!$A:$A),MATCH(H$1,[1]stages!$2:$2,0)-MATCH("temp_stage",[1]stages!$2:$2,0)+1),MATCH(H$1,[1]stages!$2:$2,0)-MATCH("temp_stage",[1]stages!$2:$2,0)+1,FALSE)</f>
        <v>ドロップイベント2-3</v>
      </c>
      <c r="I462" s="19">
        <v>0</v>
      </c>
      <c r="J462" s="6">
        <f>COUNTIF(C$1:C462,C462)</f>
        <v>11</v>
      </c>
      <c r="K462">
        <v>12</v>
      </c>
      <c r="L462" s="6" t="s">
        <v>17</v>
      </c>
      <c r="M462" s="36" t="str">
        <f>VLOOKUP(K462,[2]stage_hints!$A:$C,3,FALSE)</f>
        <v>ユニットのお気に入り登録</v>
      </c>
      <c r="N462" s="37" t="str">
        <f>VLOOKUP(K462,[2]stage_hints!$A:$D,4,FALSE)</f>
        <v>大事なユニットを誤って消さないように_x000D_フォルダから「お気に入り登録」しましょう</v>
      </c>
      <c r="O462" s="22" t="s">
        <v>117</v>
      </c>
      <c r="P462">
        <v>12</v>
      </c>
    </row>
    <row r="463" spans="1:16" x14ac:dyDescent="0.15">
      <c r="A463" s="29" t="str">
        <f t="shared" si="63"/>
        <v>20006_1_12</v>
      </c>
      <c r="B463" s="27" t="s">
        <v>33</v>
      </c>
      <c r="C463" s="5">
        <v>20006</v>
      </c>
      <c r="D463" s="4" t="str">
        <f ca="1">VLOOKUP($C463,OFFSET([1]quests!$A$1,0,0,COUNTA([1]quests!$A:$A),MATCH(D$1,[1]quests!$1:$1,0)-MATCH($C$1,[1]quests!$1:$1,0)+1),MATCH(D$1,[1]quests!$1:$1,0)-MATCH($C$1,[1]quests!$1:$1,0)+1,FALSE)</f>
        <v>スチール・プレデター</v>
      </c>
      <c r="E463" s="4" t="str">
        <f ca="1">VLOOKUP($C463,OFFSET([1]quests!$A$1,0,0,COUNTA([1]quests!$A:$A),MATCH(E$1,[1]quests!$1:$1,0)-MATCH($C$1,[1]quests!$1:$1,0)+1),MATCH(E$1,[1]quests!$1:$1,0)-MATCH($C$1,[1]quests!$1:$1,0)+1,FALSE)</f>
        <v>ドロップイベント2-3</v>
      </c>
      <c r="F463" s="6">
        <v>1</v>
      </c>
      <c r="G463" s="4" t="str">
        <f ca="1">VLOOKUP($C463&amp;"_"&amp;$F463,OFFSET([1]stages!$A$1,0,0,COUNTA([1]stages!$A:$A),MATCH(G$1,[1]stages!$2:$2,0)-MATCH("temp_stage",[1]stages!$2:$2,0)+1),MATCH(G$1,[1]stages!$2:$2,0)-MATCH("temp_stage",[1]stages!$2:$2,0)+1,FALSE)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63" s="4" t="str">
        <f ca="1">VLOOKUP($C463&amp;"_"&amp;$F463,OFFSET([1]stages!$A$1,0,0,COUNTA([1]stages!$A:$A),MATCH(H$1,[1]stages!$2:$2,0)-MATCH("temp_stage",[1]stages!$2:$2,0)+1),MATCH(H$1,[1]stages!$2:$2,0)-MATCH("temp_stage",[1]stages!$2:$2,0)+1,FALSE)</f>
        <v>ドロップイベント2-3</v>
      </c>
      <c r="I463" s="19">
        <v>0</v>
      </c>
      <c r="J463" s="6">
        <f>COUNTIF(C$1:C463,C463)</f>
        <v>12</v>
      </c>
      <c r="K463">
        <v>13</v>
      </c>
      <c r="L463" s="6" t="s">
        <v>17</v>
      </c>
      <c r="M463" s="36" t="str">
        <f>VLOOKUP(K463,[2]stage_hints!$A:$C,3,FALSE)</f>
        <v>ユニットの覚醒</v>
      </c>
      <c r="N463" s="37" t="str">
        <f>VLOOKUP(K463,[2]stage_hints!$A:$D,4,FALSE)</f>
        <v>ユニットを覚醒させると_x000D_比べものにならない強さが手に入ります</v>
      </c>
      <c r="O463" s="22" t="s">
        <v>117</v>
      </c>
      <c r="P463">
        <v>13</v>
      </c>
    </row>
    <row r="464" spans="1:16" x14ac:dyDescent="0.15">
      <c r="A464" s="29" t="str">
        <f t="shared" si="63"/>
        <v>20006_1_13</v>
      </c>
      <c r="B464" s="27" t="s">
        <v>33</v>
      </c>
      <c r="C464" s="5">
        <v>20006</v>
      </c>
      <c r="D464" s="4" t="str">
        <f ca="1">VLOOKUP($C464,OFFSET([1]quests!$A$1,0,0,COUNTA([1]quests!$A:$A),MATCH(D$1,[1]quests!$1:$1,0)-MATCH($C$1,[1]quests!$1:$1,0)+1),MATCH(D$1,[1]quests!$1:$1,0)-MATCH($C$1,[1]quests!$1:$1,0)+1,FALSE)</f>
        <v>スチール・プレデター</v>
      </c>
      <c r="E464" s="4" t="str">
        <f ca="1">VLOOKUP($C464,OFFSET([1]quests!$A$1,0,0,COUNTA([1]quests!$A:$A),MATCH(E$1,[1]quests!$1:$1,0)-MATCH($C$1,[1]quests!$1:$1,0)+1),MATCH(E$1,[1]quests!$1:$1,0)-MATCH($C$1,[1]quests!$1:$1,0)+1,FALSE)</f>
        <v>ドロップイベント2-3</v>
      </c>
      <c r="F464" s="6">
        <v>1</v>
      </c>
      <c r="G464" s="4" t="str">
        <f ca="1">VLOOKUP($C464&amp;"_"&amp;$F464,OFFSET([1]stages!$A$1,0,0,COUNTA([1]stages!$A:$A),MATCH(G$1,[1]stages!$2:$2,0)-MATCH("temp_stage",[1]stages!$2:$2,0)+1),MATCH(G$1,[1]stages!$2:$2,0)-MATCH("temp_stage",[1]stages!$2:$2,0)+1,FALSE)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64" s="4" t="str">
        <f ca="1">VLOOKUP($C464&amp;"_"&amp;$F464,OFFSET([1]stages!$A$1,0,0,COUNTA([1]stages!$A:$A),MATCH(H$1,[1]stages!$2:$2,0)-MATCH("temp_stage",[1]stages!$2:$2,0)+1),MATCH(H$1,[1]stages!$2:$2,0)-MATCH("temp_stage",[1]stages!$2:$2,0)+1,FALSE)</f>
        <v>ドロップイベント2-3</v>
      </c>
      <c r="I464" s="19">
        <v>0</v>
      </c>
      <c r="J464" s="6">
        <f>COUNTIF(C$1:C464,C464)</f>
        <v>13</v>
      </c>
      <c r="K464">
        <v>14</v>
      </c>
      <c r="L464" s="6" t="s">
        <v>17</v>
      </c>
      <c r="M464" s="36" t="str">
        <f>VLOOKUP(K464,[2]stage_hints!$A:$C,3,FALSE)</f>
        <v>覚醒するにはレベルを最大に</v>
      </c>
      <c r="N464" s="37" t="str">
        <f>VLOOKUP(K464,[2]stage_hints!$A:$D,4,FALSE)</f>
        <v>覚醒するにはユニットのレベルを_x000D_最大まで上げる必要があります</v>
      </c>
      <c r="O464" s="22" t="s">
        <v>117</v>
      </c>
      <c r="P464">
        <v>14</v>
      </c>
    </row>
    <row r="465" spans="1:16" x14ac:dyDescent="0.15">
      <c r="A465" s="29" t="str">
        <f t="shared" si="63"/>
        <v>20006_1_14</v>
      </c>
      <c r="B465" s="27" t="s">
        <v>33</v>
      </c>
      <c r="C465" s="5">
        <v>20006</v>
      </c>
      <c r="D465" s="4" t="str">
        <f ca="1">VLOOKUP($C465,OFFSET([1]quests!$A$1,0,0,COUNTA([1]quests!$A:$A),MATCH(D$1,[1]quests!$1:$1,0)-MATCH($C$1,[1]quests!$1:$1,0)+1),MATCH(D$1,[1]quests!$1:$1,0)-MATCH($C$1,[1]quests!$1:$1,0)+1,FALSE)</f>
        <v>スチール・プレデター</v>
      </c>
      <c r="E465" s="4" t="str">
        <f ca="1">VLOOKUP($C465,OFFSET([1]quests!$A$1,0,0,COUNTA([1]quests!$A:$A),MATCH(E$1,[1]quests!$1:$1,0)-MATCH($C$1,[1]quests!$1:$1,0)+1),MATCH(E$1,[1]quests!$1:$1,0)-MATCH($C$1,[1]quests!$1:$1,0)+1,FALSE)</f>
        <v>ドロップイベント2-3</v>
      </c>
      <c r="F465" s="6">
        <v>1</v>
      </c>
      <c r="G465" s="4" t="str">
        <f ca="1">VLOOKUP($C465&amp;"_"&amp;$F465,OFFSET([1]stages!$A$1,0,0,COUNTA([1]stages!$A:$A),MATCH(G$1,[1]stages!$2:$2,0)-MATCH("temp_stage",[1]stages!$2:$2,0)+1),MATCH(G$1,[1]stages!$2:$2,0)-MATCH("temp_stage",[1]stages!$2:$2,0)+1,FALSE)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65" s="4" t="str">
        <f ca="1">VLOOKUP($C465&amp;"_"&amp;$F465,OFFSET([1]stages!$A$1,0,0,COUNTA([1]stages!$A:$A),MATCH(H$1,[1]stages!$2:$2,0)-MATCH("temp_stage",[1]stages!$2:$2,0)+1),MATCH(H$1,[1]stages!$2:$2,0)-MATCH("temp_stage",[1]stages!$2:$2,0)+1,FALSE)</f>
        <v>ドロップイベント2-3</v>
      </c>
      <c r="I465" s="19">
        <v>0</v>
      </c>
      <c r="J465" s="6">
        <f>COUNTIF(C$1:C465,C465)</f>
        <v>14</v>
      </c>
      <c r="K465">
        <v>15</v>
      </c>
      <c r="L465" s="6" t="s">
        <v>17</v>
      </c>
      <c r="M465" s="36" t="str">
        <f>VLOOKUP(K465,[2]stage_hints!$A:$C,3,FALSE)</f>
        <v>覚醒素材を獲得</v>
      </c>
      <c r="N465" s="37" t="str">
        <f>VLOOKUP(K465,[2]stage_hints!$A:$D,4,FALSE)</f>
        <v>「曜日クエスト」では_x000D_ユニットの覚醒に必要な素材が手に入ります</v>
      </c>
      <c r="O465" s="22" t="s">
        <v>117</v>
      </c>
      <c r="P465">
        <v>15</v>
      </c>
    </row>
    <row r="466" spans="1:16" x14ac:dyDescent="0.15">
      <c r="A466" s="29" t="str">
        <f t="shared" si="63"/>
        <v>20006_1_15</v>
      </c>
      <c r="B466" s="27" t="s">
        <v>33</v>
      </c>
      <c r="C466" s="5">
        <v>20006</v>
      </c>
      <c r="D466" s="4" t="str">
        <f ca="1">VLOOKUP($C466,OFFSET([1]quests!$A$1,0,0,COUNTA([1]quests!$A:$A),MATCH(D$1,[1]quests!$1:$1,0)-MATCH($C$1,[1]quests!$1:$1,0)+1),MATCH(D$1,[1]quests!$1:$1,0)-MATCH($C$1,[1]quests!$1:$1,0)+1,FALSE)</f>
        <v>スチール・プレデター</v>
      </c>
      <c r="E466" s="4" t="str">
        <f ca="1">VLOOKUP($C466,OFFSET([1]quests!$A$1,0,0,COUNTA([1]quests!$A:$A),MATCH(E$1,[1]quests!$1:$1,0)-MATCH($C$1,[1]quests!$1:$1,0)+1),MATCH(E$1,[1]quests!$1:$1,0)-MATCH($C$1,[1]quests!$1:$1,0)+1,FALSE)</f>
        <v>ドロップイベント2-3</v>
      </c>
      <c r="F466" s="6">
        <v>1</v>
      </c>
      <c r="G466" s="4" t="str">
        <f ca="1">VLOOKUP($C466&amp;"_"&amp;$F466,OFFSET([1]stages!$A$1,0,0,COUNTA([1]stages!$A:$A),MATCH(G$1,[1]stages!$2:$2,0)-MATCH("temp_stage",[1]stages!$2:$2,0)+1),MATCH(G$1,[1]stages!$2:$2,0)-MATCH("temp_stage",[1]stages!$2:$2,0)+1,FALSE)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66" s="4" t="str">
        <f ca="1">VLOOKUP($C466&amp;"_"&amp;$F466,OFFSET([1]stages!$A$1,0,0,COUNTA([1]stages!$A:$A),MATCH(H$1,[1]stages!$2:$2,0)-MATCH("temp_stage",[1]stages!$2:$2,0)+1),MATCH(H$1,[1]stages!$2:$2,0)-MATCH("temp_stage",[1]stages!$2:$2,0)+1,FALSE)</f>
        <v>ドロップイベント2-3</v>
      </c>
      <c r="I466" s="19">
        <v>0</v>
      </c>
      <c r="J466" s="6">
        <f>COUNTIF(C$1:C466,C466)</f>
        <v>15</v>
      </c>
      <c r="K466">
        <v>16</v>
      </c>
      <c r="L466" s="6" t="s">
        <v>17</v>
      </c>
      <c r="M466" s="36" t="str">
        <f>VLOOKUP(K466,[2]stage_hints!$A:$C,3,FALSE)</f>
        <v>マルチプレイのメリット（その1）</v>
      </c>
      <c r="N466" s="37" t="str">
        <f>VLOOKUP(K466,[2]stage_hints!$A:$D,4,FALSE)</f>
        <v>他のプレイヤーとマルチプレイで遊ぶと_x000D_ポリゴンがもらえます（100人まで）</v>
      </c>
      <c r="O466" s="22" t="s">
        <v>117</v>
      </c>
      <c r="P466">
        <v>16</v>
      </c>
    </row>
    <row r="467" spans="1:16" x14ac:dyDescent="0.15">
      <c r="A467" s="29" t="str">
        <f t="shared" si="63"/>
        <v>20006_1_16</v>
      </c>
      <c r="B467" s="27" t="s">
        <v>33</v>
      </c>
      <c r="C467" s="5">
        <v>20006</v>
      </c>
      <c r="D467" s="4" t="str">
        <f ca="1">VLOOKUP($C467,OFFSET([1]quests!$A$1,0,0,COUNTA([1]quests!$A:$A),MATCH(D$1,[1]quests!$1:$1,0)-MATCH($C$1,[1]quests!$1:$1,0)+1),MATCH(D$1,[1]quests!$1:$1,0)-MATCH($C$1,[1]quests!$1:$1,0)+1,FALSE)</f>
        <v>スチール・プレデター</v>
      </c>
      <c r="E467" s="4" t="str">
        <f ca="1">VLOOKUP($C467,OFFSET([1]quests!$A$1,0,0,COUNTA([1]quests!$A:$A),MATCH(E$1,[1]quests!$1:$1,0)-MATCH($C$1,[1]quests!$1:$1,0)+1),MATCH(E$1,[1]quests!$1:$1,0)-MATCH($C$1,[1]quests!$1:$1,0)+1,FALSE)</f>
        <v>ドロップイベント2-3</v>
      </c>
      <c r="F467" s="6">
        <v>1</v>
      </c>
      <c r="G467" s="4" t="str">
        <f ca="1">VLOOKUP($C467&amp;"_"&amp;$F467,OFFSET([1]stages!$A$1,0,0,COUNTA([1]stages!$A:$A),MATCH(G$1,[1]stages!$2:$2,0)-MATCH("temp_stage",[1]stages!$2:$2,0)+1),MATCH(G$1,[1]stages!$2:$2,0)-MATCH("temp_stage",[1]stages!$2:$2,0)+1,FALSE)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67" s="4" t="str">
        <f ca="1">VLOOKUP($C467&amp;"_"&amp;$F467,OFFSET([1]stages!$A$1,0,0,COUNTA([1]stages!$A:$A),MATCH(H$1,[1]stages!$2:$2,0)-MATCH("temp_stage",[1]stages!$2:$2,0)+1),MATCH(H$1,[1]stages!$2:$2,0)-MATCH("temp_stage",[1]stages!$2:$2,0)+1,FALSE)</f>
        <v>ドロップイベント2-3</v>
      </c>
      <c r="I467" s="19">
        <v>0</v>
      </c>
      <c r="J467" s="6">
        <f>COUNTIF(C$1:C467,C467)</f>
        <v>16</v>
      </c>
      <c r="K467">
        <v>17</v>
      </c>
      <c r="L467" s="6" t="s">
        <v>17</v>
      </c>
      <c r="M467" s="36" t="str">
        <f>VLOOKUP(K467,[2]stage_hints!$A:$C,3,FALSE)</f>
        <v>リンクガチャ</v>
      </c>
      <c r="N467" s="37" t="str">
        <f>VLOOKUP(K467,[2]stage_hints!$A:$D,4,FALSE)</f>
        <v>無料のリンクガチャを回して_x000D_経験値素材や売却素材を獲得しましょう</v>
      </c>
      <c r="O467" s="22" t="s">
        <v>117</v>
      </c>
      <c r="P467">
        <v>17</v>
      </c>
    </row>
    <row r="468" spans="1:16" x14ac:dyDescent="0.15">
      <c r="A468" s="29" t="str">
        <f t="shared" si="63"/>
        <v>20006_1_17</v>
      </c>
      <c r="B468" s="27" t="s">
        <v>33</v>
      </c>
      <c r="C468" s="5">
        <v>20006</v>
      </c>
      <c r="D468" s="4" t="str">
        <f ca="1">VLOOKUP($C468,OFFSET([1]quests!$A$1,0,0,COUNTA([1]quests!$A:$A),MATCH(D$1,[1]quests!$1:$1,0)-MATCH($C$1,[1]quests!$1:$1,0)+1),MATCH(D$1,[1]quests!$1:$1,0)-MATCH($C$1,[1]quests!$1:$1,0)+1,FALSE)</f>
        <v>スチール・プレデター</v>
      </c>
      <c r="E468" s="4" t="str">
        <f ca="1">VLOOKUP($C468,OFFSET([1]quests!$A$1,0,0,COUNTA([1]quests!$A:$A),MATCH(E$1,[1]quests!$1:$1,0)-MATCH($C$1,[1]quests!$1:$1,0)+1),MATCH(E$1,[1]quests!$1:$1,0)-MATCH($C$1,[1]quests!$1:$1,0)+1,FALSE)</f>
        <v>ドロップイベント2-3</v>
      </c>
      <c r="F468" s="6">
        <v>1</v>
      </c>
      <c r="G468" s="4" t="str">
        <f ca="1">VLOOKUP($C468&amp;"_"&amp;$F468,OFFSET([1]stages!$A$1,0,0,COUNTA([1]stages!$A:$A),MATCH(G$1,[1]stages!$2:$2,0)-MATCH("temp_stage",[1]stages!$2:$2,0)+1),MATCH(G$1,[1]stages!$2:$2,0)-MATCH("temp_stage",[1]stages!$2:$2,0)+1,FALSE)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68" s="4" t="str">
        <f ca="1">VLOOKUP($C468&amp;"_"&amp;$F468,OFFSET([1]stages!$A$1,0,0,COUNTA([1]stages!$A:$A),MATCH(H$1,[1]stages!$2:$2,0)-MATCH("temp_stage",[1]stages!$2:$2,0)+1),MATCH(H$1,[1]stages!$2:$2,0)-MATCH("temp_stage",[1]stages!$2:$2,0)+1,FALSE)</f>
        <v>ドロップイベント2-3</v>
      </c>
      <c r="I468" s="19">
        <v>0</v>
      </c>
      <c r="J468" s="6">
        <f>COUNTIF(C$1:C468,C468)</f>
        <v>17</v>
      </c>
      <c r="K468">
        <v>18</v>
      </c>
      <c r="L468" s="6" t="s">
        <v>17</v>
      </c>
      <c r="M468" s="36" t="str">
        <f>VLOOKUP(K468,[2]stage_hints!$A:$C,3,FALSE)</f>
        <v>マルチプレイのメリット（その2）</v>
      </c>
      <c r="N468" s="37" t="str">
        <f>VLOOKUP(K468,[2]stage_hints!$A:$D,4,FALSE)</f>
        <v>マルチプレイならリンクが2倍もらえます_x000D_リンクガチャをたくさん回しましょう</v>
      </c>
      <c r="O468" s="22" t="s">
        <v>117</v>
      </c>
      <c r="P468">
        <v>18</v>
      </c>
    </row>
    <row r="469" spans="1:16" x14ac:dyDescent="0.15">
      <c r="A469" s="29" t="str">
        <f t="shared" si="63"/>
        <v>20006_1_18</v>
      </c>
      <c r="B469" s="27" t="s">
        <v>33</v>
      </c>
      <c r="C469" s="5">
        <v>20006</v>
      </c>
      <c r="D469" s="4" t="str">
        <f ca="1">VLOOKUP($C469,OFFSET([1]quests!$A$1,0,0,COUNTA([1]quests!$A:$A),MATCH(D$1,[1]quests!$1:$1,0)-MATCH($C$1,[1]quests!$1:$1,0)+1),MATCH(D$1,[1]quests!$1:$1,0)-MATCH($C$1,[1]quests!$1:$1,0)+1,FALSE)</f>
        <v>スチール・プレデター</v>
      </c>
      <c r="E469" s="4" t="str">
        <f ca="1">VLOOKUP($C469,OFFSET([1]quests!$A$1,0,0,COUNTA([1]quests!$A:$A),MATCH(E$1,[1]quests!$1:$1,0)-MATCH($C$1,[1]quests!$1:$1,0)+1),MATCH(E$1,[1]quests!$1:$1,0)-MATCH($C$1,[1]quests!$1:$1,0)+1,FALSE)</f>
        <v>ドロップイベント2-3</v>
      </c>
      <c r="F469" s="6">
        <v>1</v>
      </c>
      <c r="G469" s="4" t="str">
        <f ca="1">VLOOKUP($C469&amp;"_"&amp;$F469,OFFSET([1]stages!$A$1,0,0,COUNTA([1]stages!$A:$A),MATCH(G$1,[1]stages!$2:$2,0)-MATCH("temp_stage",[1]stages!$2:$2,0)+1),MATCH(G$1,[1]stages!$2:$2,0)-MATCH("temp_stage",[1]stages!$2:$2,0)+1,FALSE)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69" s="4" t="str">
        <f ca="1">VLOOKUP($C469&amp;"_"&amp;$F469,OFFSET([1]stages!$A$1,0,0,COUNTA([1]stages!$A:$A),MATCH(H$1,[1]stages!$2:$2,0)-MATCH("temp_stage",[1]stages!$2:$2,0)+1),MATCH(H$1,[1]stages!$2:$2,0)-MATCH("temp_stage",[1]stages!$2:$2,0)+1,FALSE)</f>
        <v>ドロップイベント2-3</v>
      </c>
      <c r="I469" s="19">
        <v>0</v>
      </c>
      <c r="J469" s="6">
        <f>COUNTIF(C$1:C469,C469)</f>
        <v>18</v>
      </c>
      <c r="K469">
        <v>19</v>
      </c>
      <c r="L469" s="6" t="s">
        <v>17</v>
      </c>
      <c r="M469" s="36" t="str">
        <f>VLOOKUP(K469,[2]stage_hints!$A:$C,3,FALSE)</f>
        <v>ソロ専用チャレンジタワー</v>
      </c>
      <c r="N469" s="37" t="str">
        <f>VLOOKUP(K469,[2]stage_hints!$A:$D,4,FALSE)</f>
        <v>ソロ専用の「チャレンジタワー」では_x000D_各フロアごとにクリア報酬がもらえます</v>
      </c>
      <c r="O469" s="22" t="s">
        <v>117</v>
      </c>
      <c r="P469">
        <v>19</v>
      </c>
    </row>
    <row r="470" spans="1:16" x14ac:dyDescent="0.15">
      <c r="A470" s="29" t="str">
        <f t="shared" si="63"/>
        <v>20006_1_19</v>
      </c>
      <c r="B470" s="27" t="s">
        <v>33</v>
      </c>
      <c r="C470" s="5">
        <v>20006</v>
      </c>
      <c r="D470" s="4" t="str">
        <f ca="1">VLOOKUP($C470,OFFSET([1]quests!$A$1,0,0,COUNTA([1]quests!$A:$A),MATCH(D$1,[1]quests!$1:$1,0)-MATCH($C$1,[1]quests!$1:$1,0)+1),MATCH(D$1,[1]quests!$1:$1,0)-MATCH($C$1,[1]quests!$1:$1,0)+1,FALSE)</f>
        <v>スチール・プレデター</v>
      </c>
      <c r="E470" s="4" t="str">
        <f ca="1">VLOOKUP($C470,OFFSET([1]quests!$A$1,0,0,COUNTA([1]quests!$A:$A),MATCH(E$1,[1]quests!$1:$1,0)-MATCH($C$1,[1]quests!$1:$1,0)+1),MATCH(E$1,[1]quests!$1:$1,0)-MATCH($C$1,[1]quests!$1:$1,0)+1,FALSE)</f>
        <v>ドロップイベント2-3</v>
      </c>
      <c r="F470" s="6">
        <v>1</v>
      </c>
      <c r="G470" s="4" t="str">
        <f ca="1">VLOOKUP($C470&amp;"_"&amp;$F470,OFFSET([1]stages!$A$1,0,0,COUNTA([1]stages!$A:$A),MATCH(G$1,[1]stages!$2:$2,0)-MATCH("temp_stage",[1]stages!$2:$2,0)+1),MATCH(G$1,[1]stages!$2:$2,0)-MATCH("temp_stage",[1]stages!$2:$2,0)+1,FALSE)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70" s="4" t="str">
        <f ca="1">VLOOKUP($C470&amp;"_"&amp;$F470,OFFSET([1]stages!$A$1,0,0,COUNTA([1]stages!$A:$A),MATCH(H$1,[1]stages!$2:$2,0)-MATCH("temp_stage",[1]stages!$2:$2,0)+1),MATCH(H$1,[1]stages!$2:$2,0)-MATCH("temp_stage",[1]stages!$2:$2,0)+1,FALSE)</f>
        <v>ドロップイベント2-3</v>
      </c>
      <c r="I470" s="19">
        <v>0</v>
      </c>
      <c r="J470" s="6">
        <f>COUNTIF(C$1:C470,C470)</f>
        <v>19</v>
      </c>
      <c r="K470">
        <v>20</v>
      </c>
      <c r="L470" s="6" t="s">
        <v>17</v>
      </c>
      <c r="M470" s="36" t="str">
        <f>VLOOKUP(K470,[2]stage_hints!$A:$C,3,FALSE)</f>
        <v>マルチプレイのメリット（その3）</v>
      </c>
      <c r="N470" s="37" t="str">
        <f>VLOOKUP(K470,[2]stage_hints!$A:$D,4,FALSE)</f>
        <v>マルチプレイへの参加はエナジー消費ゼロ_x000D_いつでも好きなだけ遊ぶことができます</v>
      </c>
      <c r="O470" s="22" t="s">
        <v>117</v>
      </c>
      <c r="P470">
        <v>20</v>
      </c>
    </row>
    <row r="471" spans="1:16" x14ac:dyDescent="0.15">
      <c r="A471" s="29" t="str">
        <f t="shared" si="63"/>
        <v>20006_1_20</v>
      </c>
      <c r="B471" s="27" t="s">
        <v>33</v>
      </c>
      <c r="C471" s="5">
        <v>20006</v>
      </c>
      <c r="D471" s="4" t="str">
        <f ca="1">VLOOKUP($C471,OFFSET([1]quests!$A$1,0,0,COUNTA([1]quests!$A:$A),MATCH(D$1,[1]quests!$1:$1,0)-MATCH($C$1,[1]quests!$1:$1,0)+1),MATCH(D$1,[1]quests!$1:$1,0)-MATCH($C$1,[1]quests!$1:$1,0)+1,FALSE)</f>
        <v>スチール・プレデター</v>
      </c>
      <c r="E471" s="4" t="str">
        <f ca="1">VLOOKUP($C471,OFFSET([1]quests!$A$1,0,0,COUNTA([1]quests!$A:$A),MATCH(E$1,[1]quests!$1:$1,0)-MATCH($C$1,[1]quests!$1:$1,0)+1),MATCH(E$1,[1]quests!$1:$1,0)-MATCH($C$1,[1]quests!$1:$1,0)+1,FALSE)</f>
        <v>ドロップイベント2-3</v>
      </c>
      <c r="F471" s="6">
        <v>1</v>
      </c>
      <c r="G471" s="4" t="str">
        <f ca="1">VLOOKUP($C471&amp;"_"&amp;$F471,OFFSET([1]stages!$A$1,0,0,COUNTA([1]stages!$A:$A),MATCH(G$1,[1]stages!$2:$2,0)-MATCH("temp_stage",[1]stages!$2:$2,0)+1),MATCH(G$1,[1]stages!$2:$2,0)-MATCH("temp_stage",[1]stages!$2:$2,0)+1,FALSE)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71" s="4" t="str">
        <f ca="1">VLOOKUP($C471&amp;"_"&amp;$F471,OFFSET([1]stages!$A$1,0,0,COUNTA([1]stages!$A:$A),MATCH(H$1,[1]stages!$2:$2,0)-MATCH("temp_stage",[1]stages!$2:$2,0)+1),MATCH(H$1,[1]stages!$2:$2,0)-MATCH("temp_stage",[1]stages!$2:$2,0)+1,FALSE)</f>
        <v>ドロップイベント2-3</v>
      </c>
      <c r="I471" s="19">
        <v>0</v>
      </c>
      <c r="J471" s="6">
        <f>COUNTIF(C$1:C471,C471)</f>
        <v>20</v>
      </c>
      <c r="K471">
        <v>21</v>
      </c>
      <c r="L471" s="6" t="s">
        <v>17</v>
      </c>
      <c r="M471" s="36" t="str">
        <f>VLOOKUP(K471,[2]stage_hints!$A:$C,3,FALSE)</f>
        <v>スキルを有効に</v>
      </c>
      <c r="N471" s="37" t="str">
        <f>VLOOKUP(K471,[2]stage_hints!$A:$D,4,FALSE)</f>
        <v>ターン経過でユニットのスキルが使えます_x000D_強力スキルでバトルを有利に進めましょう</v>
      </c>
      <c r="O471" s="22" t="s">
        <v>117</v>
      </c>
      <c r="P471">
        <v>21</v>
      </c>
    </row>
    <row r="472" spans="1:16" x14ac:dyDescent="0.15">
      <c r="A472" s="29" t="str">
        <f t="shared" si="63"/>
        <v>20006_1_21</v>
      </c>
      <c r="B472" s="27" t="s">
        <v>33</v>
      </c>
      <c r="C472" s="5">
        <v>20006</v>
      </c>
      <c r="D472" s="4" t="str">
        <f ca="1">VLOOKUP($C472,OFFSET([1]quests!$A$1,0,0,COUNTA([1]quests!$A:$A),MATCH(D$1,[1]quests!$1:$1,0)-MATCH($C$1,[1]quests!$1:$1,0)+1),MATCH(D$1,[1]quests!$1:$1,0)-MATCH($C$1,[1]quests!$1:$1,0)+1,FALSE)</f>
        <v>スチール・プレデター</v>
      </c>
      <c r="E472" s="4" t="str">
        <f ca="1">VLOOKUP($C472,OFFSET([1]quests!$A$1,0,0,COUNTA([1]quests!$A:$A),MATCH(E$1,[1]quests!$1:$1,0)-MATCH($C$1,[1]quests!$1:$1,0)+1),MATCH(E$1,[1]quests!$1:$1,0)-MATCH($C$1,[1]quests!$1:$1,0)+1,FALSE)</f>
        <v>ドロップイベント2-3</v>
      </c>
      <c r="F472" s="6">
        <v>1</v>
      </c>
      <c r="G472" s="4" t="str">
        <f ca="1">VLOOKUP($C472&amp;"_"&amp;$F472,OFFSET([1]stages!$A$1,0,0,COUNTA([1]stages!$A:$A),MATCH(G$1,[1]stages!$2:$2,0)-MATCH("temp_stage",[1]stages!$2:$2,0)+1),MATCH(G$1,[1]stages!$2:$2,0)-MATCH("temp_stage",[1]stages!$2:$2,0)+1,FALSE)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72" s="4" t="str">
        <f ca="1">VLOOKUP($C472&amp;"_"&amp;$F472,OFFSET([1]stages!$A$1,0,0,COUNTA([1]stages!$A:$A),MATCH(H$1,[1]stages!$2:$2,0)-MATCH("temp_stage",[1]stages!$2:$2,0)+1),MATCH(H$1,[1]stages!$2:$2,0)-MATCH("temp_stage",[1]stages!$2:$2,0)+1,FALSE)</f>
        <v>ドロップイベント2-3</v>
      </c>
      <c r="I472" s="19">
        <v>0</v>
      </c>
      <c r="J472" s="6">
        <f>COUNTIF(C$1:C472,C472)</f>
        <v>21</v>
      </c>
      <c r="K472">
        <v>22</v>
      </c>
      <c r="L472" s="6" t="s">
        <v>17</v>
      </c>
      <c r="M472" s="36" t="str">
        <f>VLOOKUP(K472,[2]stage_hints!$A:$C,3,FALSE)</f>
        <v>フィーバーで一発逆転（その1）</v>
      </c>
      <c r="N472" s="37" t="str">
        <f>VLOOKUP(K472,[2]stage_hints!$A:$D,4,FALSE)</f>
        <v>フィーバーは攻撃と回復を兼ね備えます_x000D_ピンチからの一発逆転を狙いましょう</v>
      </c>
      <c r="O472" s="22" t="s">
        <v>117</v>
      </c>
      <c r="P472">
        <v>22</v>
      </c>
    </row>
    <row r="473" spans="1:16" x14ac:dyDescent="0.15">
      <c r="A473" s="29" t="str">
        <f t="shared" ref="A473:A487" si="64">C473&amp;"_"&amp;F473&amp;"_"&amp;J473</f>
        <v>20006_1_22</v>
      </c>
      <c r="B473" s="27" t="s">
        <v>33</v>
      </c>
      <c r="C473" s="5">
        <v>20006</v>
      </c>
      <c r="D473" s="4" t="str">
        <f ca="1">VLOOKUP($C473,OFFSET([1]quests!$A$1,0,0,COUNTA([1]quests!$A:$A),MATCH(D$1,[1]quests!$1:$1,0)-MATCH($C$1,[1]quests!$1:$1,0)+1),MATCH(D$1,[1]quests!$1:$1,0)-MATCH($C$1,[1]quests!$1:$1,0)+1,FALSE)</f>
        <v>スチール・プレデター</v>
      </c>
      <c r="E473" s="4" t="str">
        <f ca="1">VLOOKUP($C473,OFFSET([1]quests!$A$1,0,0,COUNTA([1]quests!$A:$A),MATCH(E$1,[1]quests!$1:$1,0)-MATCH($C$1,[1]quests!$1:$1,0)+1),MATCH(E$1,[1]quests!$1:$1,0)-MATCH($C$1,[1]quests!$1:$1,0)+1,FALSE)</f>
        <v>ドロップイベント2-3</v>
      </c>
      <c r="F473" s="6">
        <v>1</v>
      </c>
      <c r="G473" s="4" t="str">
        <f ca="1">VLOOKUP($C473&amp;"_"&amp;$F473,OFFSET([1]stages!$A$1,0,0,COUNTA([1]stages!$A:$A),MATCH(G$1,[1]stages!$2:$2,0)-MATCH("temp_stage",[1]stages!$2:$2,0)+1),MATCH(G$1,[1]stages!$2:$2,0)-MATCH("temp_stage",[1]stages!$2:$2,0)+1,FALSE)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73" s="4" t="str">
        <f ca="1">VLOOKUP($C473&amp;"_"&amp;$F473,OFFSET([1]stages!$A$1,0,0,COUNTA([1]stages!$A:$A),MATCH(H$1,[1]stages!$2:$2,0)-MATCH("temp_stage",[1]stages!$2:$2,0)+1),MATCH(H$1,[1]stages!$2:$2,0)-MATCH("temp_stage",[1]stages!$2:$2,0)+1,FALSE)</f>
        <v>ドロップイベント2-3</v>
      </c>
      <c r="I473" s="19">
        <v>0</v>
      </c>
      <c r="J473" s="6">
        <f>COUNTIF(C$1:C473,C473)</f>
        <v>22</v>
      </c>
      <c r="K473">
        <v>23</v>
      </c>
      <c r="L473" s="6" t="s">
        <v>17</v>
      </c>
      <c r="M473" s="36" t="str">
        <f>VLOOKUP(K473,[2]stage_hints!$A:$C,3,FALSE)</f>
        <v>フィーバーで一発逆転（その2）</v>
      </c>
      <c r="N473" s="37" t="str">
        <f>VLOOKUP(K473,[2]stage_hints!$A:$D,4,FALSE)</f>
        <v>フィーバー中は虹色のボムパネルを狙って_x000D_画面上のパネルを一気に破壊しましょう</v>
      </c>
      <c r="O473" s="22" t="s">
        <v>117</v>
      </c>
      <c r="P473">
        <v>23</v>
      </c>
    </row>
    <row r="474" spans="1:16" x14ac:dyDescent="0.15">
      <c r="A474" s="29" t="str">
        <f t="shared" si="64"/>
        <v>20006_1_23</v>
      </c>
      <c r="B474" s="27" t="s">
        <v>33</v>
      </c>
      <c r="C474" s="5">
        <v>20006</v>
      </c>
      <c r="D474" s="4" t="str">
        <f ca="1">VLOOKUP($C474,OFFSET([1]quests!$A$1,0,0,COUNTA([1]quests!$A:$A),MATCH(D$1,[1]quests!$1:$1,0)-MATCH($C$1,[1]quests!$1:$1,0)+1),MATCH(D$1,[1]quests!$1:$1,0)-MATCH($C$1,[1]quests!$1:$1,0)+1,FALSE)</f>
        <v>スチール・プレデター</v>
      </c>
      <c r="E474" s="4" t="str">
        <f ca="1">VLOOKUP($C474,OFFSET([1]quests!$A$1,0,0,COUNTA([1]quests!$A:$A),MATCH(E$1,[1]quests!$1:$1,0)-MATCH($C$1,[1]quests!$1:$1,0)+1),MATCH(E$1,[1]quests!$1:$1,0)-MATCH($C$1,[1]quests!$1:$1,0)+1,FALSE)</f>
        <v>ドロップイベント2-3</v>
      </c>
      <c r="F474" s="6">
        <v>1</v>
      </c>
      <c r="G474" s="4" t="str">
        <f ca="1">VLOOKUP($C474&amp;"_"&amp;$F474,OFFSET([1]stages!$A$1,0,0,COUNTA([1]stages!$A:$A),MATCH(G$1,[1]stages!$2:$2,0)-MATCH("temp_stage",[1]stages!$2:$2,0)+1),MATCH(G$1,[1]stages!$2:$2,0)-MATCH("temp_stage",[1]stages!$2:$2,0)+1,FALSE)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74" s="4" t="str">
        <f ca="1">VLOOKUP($C474&amp;"_"&amp;$F474,OFFSET([1]stages!$A$1,0,0,COUNTA([1]stages!$A:$A),MATCH(H$1,[1]stages!$2:$2,0)-MATCH("temp_stage",[1]stages!$2:$2,0)+1),MATCH(H$1,[1]stages!$2:$2,0)-MATCH("temp_stage",[1]stages!$2:$2,0)+1,FALSE)</f>
        <v>ドロップイベント2-3</v>
      </c>
      <c r="I474" s="19">
        <v>0</v>
      </c>
      <c r="J474" s="6">
        <f>COUNTIF(C$1:C474,C474)</f>
        <v>23</v>
      </c>
      <c r="K474">
        <v>24</v>
      </c>
      <c r="L474" s="6" t="s">
        <v>17</v>
      </c>
      <c r="M474" s="36" t="str">
        <f>VLOOKUP(K474,[2]stage_hints!$A:$C,3,FALSE)</f>
        <v>りんごを使って限界突破</v>
      </c>
      <c r="N474" s="37" t="str">
        <f>VLOOKUP(K474,[2]stage_hints!$A:$D,4,FALSE)</f>
        <v>赤りんご(攻撃力) 青りんご(回復力)_x000D_緑りんご(体力)をユニット強化に使うと_x000D_ステータスが限界突破します（計99個迄）</v>
      </c>
      <c r="O474" s="22" t="s">
        <v>117</v>
      </c>
      <c r="P474">
        <v>24</v>
      </c>
    </row>
    <row r="475" spans="1:16" x14ac:dyDescent="0.15">
      <c r="A475" s="29" t="str">
        <f t="shared" si="64"/>
        <v>20006_1_24</v>
      </c>
      <c r="B475" s="27" t="s">
        <v>33</v>
      </c>
      <c r="C475" s="5">
        <v>20006</v>
      </c>
      <c r="D475" s="4" t="str">
        <f ca="1">VLOOKUP($C475,OFFSET([1]quests!$A$1,0,0,COUNTA([1]quests!$A:$A),MATCH(D$1,[1]quests!$1:$1,0)-MATCH($C$1,[1]quests!$1:$1,0)+1),MATCH(D$1,[1]quests!$1:$1,0)-MATCH($C$1,[1]quests!$1:$1,0)+1,FALSE)</f>
        <v>スチール・プレデター</v>
      </c>
      <c r="E475" s="4" t="str">
        <f ca="1">VLOOKUP($C475,OFFSET([1]quests!$A$1,0,0,COUNTA([1]quests!$A:$A),MATCH(E$1,[1]quests!$1:$1,0)-MATCH($C$1,[1]quests!$1:$1,0)+1),MATCH(E$1,[1]quests!$1:$1,0)-MATCH($C$1,[1]quests!$1:$1,0)+1,FALSE)</f>
        <v>ドロップイベント2-3</v>
      </c>
      <c r="F475" s="6">
        <v>1</v>
      </c>
      <c r="G475" s="4" t="str">
        <f ca="1">VLOOKUP($C475&amp;"_"&amp;$F475,OFFSET([1]stages!$A$1,0,0,COUNTA([1]stages!$A:$A),MATCH(G$1,[1]stages!$2:$2,0)-MATCH("temp_stage",[1]stages!$2:$2,0)+1),MATCH(G$1,[1]stages!$2:$2,0)-MATCH("temp_stage",[1]stages!$2:$2,0)+1,FALSE)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75" s="4" t="str">
        <f ca="1">VLOOKUP($C475&amp;"_"&amp;$F475,OFFSET([1]stages!$A$1,0,0,COUNTA([1]stages!$A:$A),MATCH(H$1,[1]stages!$2:$2,0)-MATCH("temp_stage",[1]stages!$2:$2,0)+1),MATCH(H$1,[1]stages!$2:$2,0)-MATCH("temp_stage",[1]stages!$2:$2,0)+1,FALSE)</f>
        <v>ドロップイベント2-3</v>
      </c>
      <c r="I475" s="19">
        <v>0</v>
      </c>
      <c r="J475" s="6">
        <f>COUNTIF(C$1:C475,C475)</f>
        <v>24</v>
      </c>
      <c r="K475">
        <v>25</v>
      </c>
      <c r="L475" s="6" t="s">
        <v>17</v>
      </c>
      <c r="M475" s="36" t="str">
        <f>VLOOKUP(K475,[2]stage_hints!$A:$C,3,FALSE)</f>
        <v>スキルレベルアップ</v>
      </c>
      <c r="N475" s="37" t="str">
        <f>VLOOKUP(K475,[2]stage_hints!$A:$D,4,FALSE)</f>
        <v>「クリスタルのりんご」を強化に使うと_x000D_スキルレベルを上げることができます</v>
      </c>
      <c r="O475" s="22" t="s">
        <v>117</v>
      </c>
      <c r="P475">
        <v>25</v>
      </c>
    </row>
    <row r="476" spans="1:16" x14ac:dyDescent="0.15">
      <c r="A476" s="29" t="str">
        <f t="shared" si="64"/>
        <v>20006_1_25</v>
      </c>
      <c r="B476" s="27" t="s">
        <v>33</v>
      </c>
      <c r="C476" s="5">
        <v>20006</v>
      </c>
      <c r="D476" s="4" t="str">
        <f ca="1">VLOOKUP($C476,OFFSET([1]quests!$A$1,0,0,COUNTA([1]quests!$A:$A),MATCH(D$1,[1]quests!$1:$1,0)-MATCH($C$1,[1]quests!$1:$1,0)+1),MATCH(D$1,[1]quests!$1:$1,0)-MATCH($C$1,[1]quests!$1:$1,0)+1,FALSE)</f>
        <v>スチール・プレデター</v>
      </c>
      <c r="E476" s="4" t="str">
        <f ca="1">VLOOKUP($C476,OFFSET([1]quests!$A$1,0,0,COUNTA([1]quests!$A:$A),MATCH(E$1,[1]quests!$1:$1,0)-MATCH($C$1,[1]quests!$1:$1,0)+1),MATCH(E$1,[1]quests!$1:$1,0)-MATCH($C$1,[1]quests!$1:$1,0)+1,FALSE)</f>
        <v>ドロップイベント2-3</v>
      </c>
      <c r="F476" s="6">
        <v>1</v>
      </c>
      <c r="G476" s="4" t="str">
        <f ca="1">VLOOKUP($C476&amp;"_"&amp;$F476,OFFSET([1]stages!$A$1,0,0,COUNTA([1]stages!$A:$A),MATCH(G$1,[1]stages!$2:$2,0)-MATCH("temp_stage",[1]stages!$2:$2,0)+1),MATCH(G$1,[1]stages!$2:$2,0)-MATCH("temp_stage",[1]stages!$2:$2,0)+1,FALSE)</f>
        <v>【初級】スチール・プレデター</v>
      </c>
      <c r="H476" s="4" t="str">
        <f ca="1">VLOOKUP($C476&amp;"_"&amp;$F476,OFFSET([1]stages!$A$1,0,0,COUNTA([1]stages!$A:$A),MATCH(H$1,[1]stages!$2:$2,0)-MATCH("temp_stage",[1]stages!$2:$2,0)+1),MATCH(H$1,[1]stages!$2:$2,0)-MATCH("temp_stage",[1]stages!$2:$2,0)+1,FALSE)</f>
        <v>ドロップイベント2-3</v>
      </c>
      <c r="I476" s="19">
        <v>0</v>
      </c>
      <c r="J476" s="6">
        <f>COUNTIF(C$1:C476,C476)</f>
        <v>25</v>
      </c>
      <c r="K476">
        <v>26</v>
      </c>
      <c r="L476" s="6" t="s">
        <v>17</v>
      </c>
      <c r="M476" s="36" t="str">
        <f>VLOOKUP(K476,[2]stage_hints!$A:$C,3,FALSE)</f>
        <v>スキルレベルの効果</v>
      </c>
      <c r="N476" s="37" t="str">
        <f>VLOOKUP(K476,[2]stage_hints!$A:$D,4,FALSE)</f>
        <v>スキルレベルが上がると_x000D_短いターンでスキルを使うことができます</v>
      </c>
      <c r="O476" s="22" t="s">
        <v>117</v>
      </c>
      <c r="P476">
        <v>26</v>
      </c>
    </row>
    <row r="477" spans="1:16" x14ac:dyDescent="0.15">
      <c r="A477" s="29" t="str">
        <f t="shared" si="64"/>
        <v>20007_1_1</v>
      </c>
      <c r="B477" s="27" t="s">
        <v>33</v>
      </c>
      <c r="C477" s="5">
        <v>20007</v>
      </c>
      <c r="D477" s="4" t="str">
        <f ca="1">VLOOKUP($C477,OFFSET([1]quests!$A$1,0,0,COUNTA([1]quests!$A:$A),MATCH(D$1,[1]quests!$1:$1,0)-MATCH($C$1,[1]quests!$1:$1,0)+1),MATCH(D$1,[1]quests!$1:$1,0)-MATCH($C$1,[1]quests!$1:$1,0)+1,FALSE)</f>
        <v>女王陛下の処刑龍</v>
      </c>
      <c r="E477" s="4" t="str">
        <f ca="1">VLOOKUP($C477,OFFSET([1]quests!$A$1,0,0,COUNTA([1]quests!$A:$A),MATCH(E$1,[1]quests!$1:$1,0)-MATCH($C$1,[1]quests!$1:$1,0)+1),MATCH(E$1,[1]quests!$1:$1,0)-MATCH($C$1,[1]quests!$1:$1,0)+1,FALSE)</f>
        <v>ドロップイベント2-1</v>
      </c>
      <c r="F477" s="6">
        <v>1</v>
      </c>
      <c r="G477" s="4" t="str">
        <f ca="1">VLOOKUP($C477&amp;"_"&amp;$F477,OFFSET([1]stages!$A$1,0,0,COUNTA([1]stages!$A:$A),MATCH(G$1,[1]stages!$2:$2,0)-MATCH("temp_stage",[1]stages!$2:$2,0)+1),MATCH(G$1,[1]stages!$2:$2,0)-MATCH("temp_stage",[1]stages!$2:$2,0)+1,FALSE)</f>
        <v>【初級】女王陛下の処刑龍</v>
      </c>
      <c r="H477" s="4" t="str">
        <f ca="1">VLOOKUP($C477&amp;"_"&amp;$F477,OFFSET([1]stages!$A$1,0,0,COUNTA([1]stages!$A:$A),MATCH(H$1,[1]stages!$2:$2,0)-MATCH("temp_stage",[1]stages!$2:$2,0)+1),MATCH(H$1,[1]stages!$2:$2,0)-MATCH("temp_stage",[1]stages!$2:$2,0)+1,FALSE)</f>
        <v>ドロップイベント2-1</v>
      </c>
      <c r="I477" s="19">
        <v>0</v>
      </c>
      <c r="J477" s="6">
        <f>COUNTIF(C$1:C477,C477)</f>
        <v>1</v>
      </c>
      <c r="K477">
        <v>1</v>
      </c>
      <c r="L477" s="6" t="s">
        <v>17</v>
      </c>
      <c r="M477" s="36" t="str">
        <f>VLOOKUP(K477,[2]stage_hints!$A:$C,3,FALSE)</f>
        <v>長くつなげて大ダメージ</v>
      </c>
      <c r="N477" s="37" t="str">
        <f>VLOOKUP(K477,[2]stage_hints!$A:$D,4,FALSE)</f>
        <v>パネルを長くつなげるほど_x000D_大ダメージを与えることができます</v>
      </c>
      <c r="O477" s="22" t="s">
        <v>117</v>
      </c>
      <c r="P477">
        <v>1</v>
      </c>
    </row>
    <row r="478" spans="1:16" x14ac:dyDescent="0.15">
      <c r="A478" s="29" t="str">
        <f t="shared" si="64"/>
        <v>20007_1_2</v>
      </c>
      <c r="B478" s="27" t="s">
        <v>33</v>
      </c>
      <c r="C478" s="5">
        <v>20007</v>
      </c>
      <c r="D478" s="4" t="str">
        <f ca="1">VLOOKUP($C478,OFFSET([1]quests!$A$1,0,0,COUNTA([1]quests!$A:$A),MATCH(D$1,[1]quests!$1:$1,0)-MATCH($C$1,[1]quests!$1:$1,0)+1),MATCH(D$1,[1]quests!$1:$1,0)-MATCH($C$1,[1]quests!$1:$1,0)+1,FALSE)</f>
        <v>女王陛下の処刑龍</v>
      </c>
      <c r="E478" s="4" t="str">
        <f ca="1">VLOOKUP($C478,OFFSET([1]quests!$A$1,0,0,COUNTA([1]quests!$A:$A),MATCH(E$1,[1]quests!$1:$1,0)-MATCH($C$1,[1]quests!$1:$1,0)+1),MATCH(E$1,[1]quests!$1:$1,0)-MATCH($C$1,[1]quests!$1:$1,0)+1,FALSE)</f>
        <v>ドロップイベント2-1</v>
      </c>
      <c r="F478" s="6">
        <v>1</v>
      </c>
      <c r="G478" s="4" t="str">
        <f ca="1">VLOOKUP($C478&amp;"_"&amp;$F478,OFFSET([1]stages!$A$1,0,0,COUNTA([1]stages!$A:$A),MATCH(G$1,[1]stages!$2:$2,0)-MATCH("temp_stage",[1]stages!$2:$2,0)+1),MATCH(G$1,[1]stages!$2:$2,0)-MATCH("temp_stage",[1]stages!$2:$2,0)+1,FALSE)</f>
        <v>【初級】女王陛下の処刑龍</v>
      </c>
      <c r="H478" s="4" t="str">
        <f ca="1">VLOOKUP($C478&amp;"_"&amp;$F478,OFFSET([1]stages!$A$1,0,0,COUNTA([1]stages!$A:$A),MATCH(H$1,[1]stages!$2:$2,0)-MATCH("temp_stage",[1]stages!$2:$2,0)+1),MATCH(H$1,[1]stages!$2:$2,0)-MATCH("temp_stage",[1]stages!$2:$2,0)+1,FALSE)</f>
        <v>ドロップイベント2-1</v>
      </c>
      <c r="I478" s="19">
        <v>0</v>
      </c>
      <c r="J478" s="6">
        <f>COUNTIF(C$1:C478,C478)</f>
        <v>2</v>
      </c>
      <c r="K478">
        <v>2</v>
      </c>
      <c r="L478" s="6" t="s">
        <v>17</v>
      </c>
      <c r="M478" s="36" t="str">
        <f>VLOOKUP(K478,[2]stage_hints!$A:$C,3,FALSE)</f>
        <v>属性の相性</v>
      </c>
      <c r="N478" s="37" t="str">
        <f>VLOOKUP(K478,[2]stage_hints!$A:$D,4,FALSE)</f>
        <v>赤＞青　青＞黄　黄＞緑　緑＞赤_x000D_敵属性に最適なパーティがオススメです</v>
      </c>
      <c r="O478" s="22" t="s">
        <v>117</v>
      </c>
      <c r="P478">
        <v>2</v>
      </c>
    </row>
    <row r="479" spans="1:16" x14ac:dyDescent="0.15">
      <c r="A479" s="29" t="str">
        <f t="shared" si="64"/>
        <v>20007_1_3</v>
      </c>
      <c r="B479" s="27" t="s">
        <v>33</v>
      </c>
      <c r="C479" s="5">
        <v>20007</v>
      </c>
      <c r="D479" s="4" t="str">
        <f ca="1">VLOOKUP($C479,OFFSET([1]quests!$A$1,0,0,COUNTA([1]quests!$A:$A),MATCH(D$1,[1]quests!$1:$1,0)-MATCH($C$1,[1]quests!$1:$1,0)+1),MATCH(D$1,[1]quests!$1:$1,0)-MATCH($C$1,[1]quests!$1:$1,0)+1,FALSE)</f>
        <v>女王陛下の処刑龍</v>
      </c>
      <c r="E479" s="4" t="str">
        <f ca="1">VLOOKUP($C479,OFFSET([1]quests!$A$1,0,0,COUNTA([1]quests!$A:$A),MATCH(E$1,[1]quests!$1:$1,0)-MATCH($C$1,[1]quests!$1:$1,0)+1),MATCH(E$1,[1]quests!$1:$1,0)-MATCH($C$1,[1]quests!$1:$1,0)+1,FALSE)</f>
        <v>ドロップイベント2-1</v>
      </c>
      <c r="F479" s="6">
        <v>1</v>
      </c>
      <c r="G479" s="4" t="str">
        <f ca="1">VLOOKUP($C479&amp;"_"&amp;$F479,OFFSET([1]stages!$A$1,0,0,COUNTA([1]stages!$A:$A),MATCH(G$1,[1]stages!$2:$2,0)-MATCH("temp_stage",[1]stages!$2:$2,0)+1),MATCH(G$1,[1]stages!$2:$2,0)-MATCH("temp_stage",[1]stages!$2:$2,0)+1,FALSE)</f>
        <v>【初級】女王陛下の処刑龍</v>
      </c>
      <c r="H479" s="4" t="str">
        <f ca="1">VLOOKUP($C479&amp;"_"&amp;$F479,OFFSET([1]stages!$A$1,0,0,COUNTA([1]stages!$A:$A),MATCH(H$1,[1]stages!$2:$2,0)-MATCH("temp_stage",[1]stages!$2:$2,0)+1),MATCH(H$1,[1]stages!$2:$2,0)-MATCH("temp_stage",[1]stages!$2:$2,0)+1,FALSE)</f>
        <v>ドロップイベント2-1</v>
      </c>
      <c r="I479" s="19">
        <v>0</v>
      </c>
      <c r="J479" s="6">
        <f>COUNTIF(C$1:C479,C479)</f>
        <v>3</v>
      </c>
      <c r="K479">
        <v>3</v>
      </c>
      <c r="L479" s="6" t="s">
        <v>17</v>
      </c>
      <c r="M479" s="36" t="str">
        <f>VLOOKUP(K479,[2]stage_hints!$A:$C,3,FALSE)</f>
        <v>ターゲット</v>
      </c>
      <c r="N479" s="37" t="str">
        <f>VLOOKUP(K479,[2]stage_hints!$A:$D,4,FALSE)</f>
        <v>敵ユニットをタップすると_x000D_その敵を狙い撃ちできます</v>
      </c>
      <c r="O479" s="22" t="s">
        <v>117</v>
      </c>
      <c r="P479">
        <v>3</v>
      </c>
    </row>
    <row r="480" spans="1:16" x14ac:dyDescent="0.15">
      <c r="A480" s="29" t="str">
        <f t="shared" si="64"/>
        <v>20007_1_4</v>
      </c>
      <c r="B480" s="27" t="s">
        <v>33</v>
      </c>
      <c r="C480" s="5">
        <v>20007</v>
      </c>
      <c r="D480" s="4" t="str">
        <f ca="1">VLOOKUP($C480,OFFSET([1]quests!$A$1,0,0,COUNTA([1]quests!$A:$A),MATCH(D$1,[1]quests!$1:$1,0)-MATCH($C$1,[1]quests!$1:$1,0)+1),MATCH(D$1,[1]quests!$1:$1,0)-MATCH($C$1,[1]quests!$1:$1,0)+1,FALSE)</f>
        <v>女王陛下の処刑龍</v>
      </c>
      <c r="E480" s="4" t="str">
        <f ca="1">VLOOKUP($C480,OFFSET([1]quests!$A$1,0,0,COUNTA([1]quests!$A:$A),MATCH(E$1,[1]quests!$1:$1,0)-MATCH($C$1,[1]quests!$1:$1,0)+1),MATCH(E$1,[1]quests!$1:$1,0)-MATCH($C$1,[1]quests!$1:$1,0)+1,FALSE)</f>
        <v>ドロップイベント2-1</v>
      </c>
      <c r="F480" s="6">
        <v>1</v>
      </c>
      <c r="G480" s="4" t="str">
        <f ca="1">VLOOKUP($C480&amp;"_"&amp;$F480,OFFSET([1]stages!$A$1,0,0,COUNTA([1]stages!$A:$A),MATCH(G$1,[1]stages!$2:$2,0)-MATCH("temp_stage",[1]stages!$2:$2,0)+1),MATCH(G$1,[1]stages!$2:$2,0)-MATCH("temp_stage",[1]stages!$2:$2,0)+1,FALSE)</f>
        <v>【初級】女王陛下の処刑龍</v>
      </c>
      <c r="H480" s="4" t="str">
        <f ca="1">VLOOKUP($C480&amp;"_"&amp;$F480,OFFSET([1]stages!$A$1,0,0,COUNTA([1]stages!$A:$A),MATCH(H$1,[1]stages!$2:$2,0)-MATCH("temp_stage",[1]stages!$2:$2,0)+1),MATCH(H$1,[1]stages!$2:$2,0)-MATCH("temp_stage",[1]stages!$2:$2,0)+1,FALSE)</f>
        <v>ドロップイベント2-1</v>
      </c>
      <c r="I480" s="19">
        <v>0</v>
      </c>
      <c r="J480" s="6">
        <f>COUNTIF(C$1:C480,C480)</f>
        <v>4</v>
      </c>
      <c r="K480">
        <v>5</v>
      </c>
      <c r="L480" s="6" t="s">
        <v>17</v>
      </c>
      <c r="M480" s="36" t="str">
        <f>VLOOKUP(K480,[2]stage_hints!$A:$C,3,FALSE)</f>
        <v>ユニット強化でレベルアップ</v>
      </c>
      <c r="N480" s="37" t="str">
        <f>VLOOKUP(K480,[2]stage_hints!$A:$D,4,FALSE)</f>
        <v>「ユニット強化」でレベルアップすると_x000D_勝てない敵にも勝てるようになります</v>
      </c>
      <c r="O480" s="22" t="s">
        <v>117</v>
      </c>
      <c r="P480">
        <v>5</v>
      </c>
    </row>
    <row r="481" spans="1:16" x14ac:dyDescent="0.15">
      <c r="A481" s="29" t="str">
        <f t="shared" si="64"/>
        <v>20007_1_5</v>
      </c>
      <c r="B481" s="27" t="s">
        <v>33</v>
      </c>
      <c r="C481" s="5">
        <v>20007</v>
      </c>
      <c r="D481" s="4" t="str">
        <f ca="1">VLOOKUP($C481,OFFSET([1]quests!$A$1,0,0,COUNTA([1]quests!$A:$A),MATCH(D$1,[1]quests!$1:$1,0)-MATCH($C$1,[1]quests!$1:$1,0)+1),MATCH(D$1,[1]quests!$1:$1,0)-MATCH($C$1,[1]quests!$1:$1,0)+1,FALSE)</f>
        <v>女王陛下の処刑龍</v>
      </c>
      <c r="E481" s="4" t="str">
        <f ca="1">VLOOKUP($C481,OFFSET([1]quests!$A$1,0,0,COUNTA([1]quests!$A:$A),MATCH(E$1,[1]quests!$1:$1,0)-MATCH($C$1,[1]quests!$1:$1,0)+1),MATCH(E$1,[1]quests!$1:$1,0)-MATCH($C$1,[1]quests!$1:$1,0)+1,FALSE)</f>
        <v>ドロップイベント2-1</v>
      </c>
      <c r="F481" s="6">
        <v>1</v>
      </c>
      <c r="G481" s="4" t="str">
        <f ca="1">VLOOKUP($C481&amp;"_"&amp;$F481,OFFSET([1]stages!$A$1,0,0,COUNTA([1]stages!$A:$A),MATCH(G$1,[1]stages!$2:$2,0)-MATCH("temp_stage",[1]stages!$2:$2,0)+1),MATCH(G$1,[1]stages!$2:$2,0)-MATCH("temp_stage",[1]stages!$2:$2,0)+1,FALSE)</f>
        <v>【初級】女王陛下の処刑龍</v>
      </c>
      <c r="H481" s="4" t="str">
        <f ca="1">VLOOKUP($C481&amp;"_"&amp;$F481,OFFSET([1]stages!$A$1,0,0,COUNTA([1]stages!$A:$A),MATCH(H$1,[1]stages!$2:$2,0)-MATCH("temp_stage",[1]stages!$2:$2,0)+1),MATCH(H$1,[1]stages!$2:$2,0)-MATCH("temp_stage",[1]stages!$2:$2,0)+1,FALSE)</f>
        <v>ドロップイベント2-1</v>
      </c>
      <c r="I481" s="19">
        <v>0</v>
      </c>
      <c r="J481" s="6">
        <f>COUNTIF(C$1:C481,C481)</f>
        <v>5</v>
      </c>
      <c r="K481">
        <v>6</v>
      </c>
      <c r="L481" s="6" t="s">
        <v>17</v>
      </c>
      <c r="M481" s="36" t="str">
        <f>VLOOKUP(K481,[2]stage_hints!$A:$C,3,FALSE)</f>
        <v>ユニット強化の属性ボーナス</v>
      </c>
      <c r="N481" s="37" t="str">
        <f>VLOOKUP(K481,[2]stage_hints!$A:$D,4,FALSE)</f>
        <v>同属性ユニットを強化素材にすると_x000D_経験値が多くもらえます</v>
      </c>
      <c r="O481" s="22" t="s">
        <v>117</v>
      </c>
      <c r="P481">
        <v>6</v>
      </c>
    </row>
    <row r="482" spans="1:16" x14ac:dyDescent="0.15">
      <c r="A482" s="29" t="str">
        <f t="shared" si="64"/>
        <v>20007_1_6</v>
      </c>
      <c r="B482" s="27" t="s">
        <v>33</v>
      </c>
      <c r="C482" s="5">
        <v>20007</v>
      </c>
      <c r="D482" s="4" t="str">
        <f ca="1">VLOOKUP($C482,OFFSET([1]quests!$A$1,0,0,COUNTA([1]quests!$A:$A),MATCH(D$1,[1]quests!$1:$1,0)-MATCH($C$1,[1]quests!$1:$1,0)+1),MATCH(D$1,[1]quests!$1:$1,0)-MATCH($C$1,[1]quests!$1:$1,0)+1,FALSE)</f>
        <v>女王陛下の処刑龍</v>
      </c>
      <c r="E482" s="4" t="str">
        <f ca="1">VLOOKUP($C482,OFFSET([1]quests!$A$1,0,0,COUNTA([1]quests!$A:$A),MATCH(E$1,[1]quests!$1:$1,0)-MATCH($C$1,[1]quests!$1:$1,0)+1),MATCH(E$1,[1]quests!$1:$1,0)-MATCH($C$1,[1]quests!$1:$1,0)+1,FALSE)</f>
        <v>ドロップイベント2-1</v>
      </c>
      <c r="F482" s="6">
        <v>1</v>
      </c>
      <c r="G482" s="4" t="str">
        <f ca="1">VLOOKUP($C482&amp;"_"&amp;$F482,OFFSET([1]stages!$A$1,0,0,COUNTA([1]stages!$A:$A),MATCH(G$1,[1]stages!$2:$2,0)-MATCH("temp_stage",[1]stages!$2:$2,0)+1),MATCH(G$1,[1]stages!$2:$2,0)-MATCH("temp_stage",[1]stages!$2:$2,0)+1,FALSE)</f>
        <v>【初級】女王陛下の処刑龍</v>
      </c>
      <c r="H482" s="4" t="str">
        <f ca="1">VLOOKUP($C482&amp;"_"&amp;$F482,OFFSET([1]stages!$A$1,0,0,COUNTA([1]stages!$A:$A),MATCH(H$1,[1]stages!$2:$2,0)-MATCH("temp_stage",[1]stages!$2:$2,0)+1),MATCH(H$1,[1]stages!$2:$2,0)-MATCH("temp_stage",[1]stages!$2:$2,0)+1,FALSE)</f>
        <v>ドロップイベント2-1</v>
      </c>
      <c r="I482" s="19">
        <v>0</v>
      </c>
      <c r="J482" s="6">
        <f>COUNTIF(C$1:C482,C482)</f>
        <v>6</v>
      </c>
      <c r="K482">
        <v>7</v>
      </c>
      <c r="L482" s="6" t="s">
        <v>17</v>
      </c>
      <c r="M482" s="36" t="str">
        <f>VLOOKUP(K482,[2]stage_hints!$A:$C,3,FALSE)</f>
        <v>メタルダックで経験値を獲得</v>
      </c>
      <c r="N482" s="37" t="str">
        <f>VLOOKUP(K482,[2]stage_hints!$A:$D,4,FALSE)</f>
        <v>「メタルなアヒル」を強化素材にすると_x000D_大量の経験値がもらえます</v>
      </c>
      <c r="O482" s="22" t="s">
        <v>117</v>
      </c>
      <c r="P482">
        <v>7</v>
      </c>
    </row>
    <row r="483" spans="1:16" x14ac:dyDescent="0.15">
      <c r="A483" s="29" t="str">
        <f t="shared" si="64"/>
        <v>20007_1_7</v>
      </c>
      <c r="B483" s="27" t="s">
        <v>33</v>
      </c>
      <c r="C483" s="5">
        <v>20007</v>
      </c>
      <c r="D483" s="4" t="str">
        <f ca="1">VLOOKUP($C483,OFFSET([1]quests!$A$1,0,0,COUNTA([1]quests!$A:$A),MATCH(D$1,[1]quests!$1:$1,0)-MATCH($C$1,[1]quests!$1:$1,0)+1),MATCH(D$1,[1]quests!$1:$1,0)-MATCH($C$1,[1]quests!$1:$1,0)+1,FALSE)</f>
        <v>女王陛下の処刑龍</v>
      </c>
      <c r="E483" s="4" t="str">
        <f ca="1">VLOOKUP($C483,OFFSET([1]quests!$A$1,0,0,COUNTA([1]quests!$A:$A),MATCH(E$1,[1]quests!$1:$1,0)-MATCH($C$1,[1]quests!$1:$1,0)+1),MATCH(E$1,[1]quests!$1:$1,0)-MATCH($C$1,[1]quests!$1:$1,0)+1,FALSE)</f>
        <v>ドロップイベント2-1</v>
      </c>
      <c r="F483" s="6">
        <v>1</v>
      </c>
      <c r="G483" s="4" t="str">
        <f ca="1">VLOOKUP($C483&amp;"_"&amp;$F483,OFFSET([1]stages!$A$1,0,0,COUNTA([1]stages!$A:$A),MATCH(G$1,[1]stages!$2:$2,0)-MATCH("temp_stage",[1]stages!$2:$2,0)+1),MATCH(G$1,[1]stages!$2:$2,0)-MATCH("temp_stage",[1]stages!$2:$2,0)+1,FALSE)</f>
        <v>【初級】女王陛下の処刑龍</v>
      </c>
      <c r="H483" s="4" t="str">
        <f ca="1">VLOOKUP($C483&amp;"_"&amp;$F483,OFFSET([1]stages!$A$1,0,0,COUNTA([1]stages!$A:$A),MATCH(H$1,[1]stages!$2:$2,0)-MATCH("temp_stage",[1]stages!$2:$2,0)+1),MATCH(H$1,[1]stages!$2:$2,0)-MATCH("temp_stage",[1]stages!$2:$2,0)+1,FALSE)</f>
        <v>ドロップイベント2-1</v>
      </c>
      <c r="I483" s="19">
        <v>0</v>
      </c>
      <c r="J483" s="6">
        <f>COUNTIF(C$1:C483,C483)</f>
        <v>7</v>
      </c>
      <c r="K483">
        <v>8</v>
      </c>
      <c r="L483" s="6" t="s">
        <v>17</v>
      </c>
      <c r="M483" s="36" t="str">
        <f>VLOOKUP(K483,[2]stage_hints!$A:$C,3,FALSE)</f>
        <v>ゲリラクエストは要チェック</v>
      </c>
      <c r="N483" s="37" t="str">
        <f>VLOOKUP(K483,[2]stage_hints!$A:$D,4,FALSE)</f>
        <v>時間限定の「アヒル捕獲作戦」では_x000D_経験値素材ユニットが多く手に入ります</v>
      </c>
      <c r="O483" s="22" t="s">
        <v>117</v>
      </c>
      <c r="P483">
        <v>8</v>
      </c>
    </row>
    <row r="484" spans="1:16" x14ac:dyDescent="0.15">
      <c r="A484" s="29" t="str">
        <f t="shared" si="64"/>
        <v>20007_1_8</v>
      </c>
      <c r="B484" s="27" t="s">
        <v>33</v>
      </c>
      <c r="C484" s="5">
        <v>20007</v>
      </c>
      <c r="D484" s="4" t="str">
        <f ca="1">VLOOKUP($C484,OFFSET([1]quests!$A$1,0,0,COUNTA([1]quests!$A:$A),MATCH(D$1,[1]quests!$1:$1,0)-MATCH($C$1,[1]quests!$1:$1,0)+1),MATCH(D$1,[1]quests!$1:$1,0)-MATCH($C$1,[1]quests!$1:$1,0)+1,FALSE)</f>
        <v>女王陛下の処刑龍</v>
      </c>
      <c r="E484" s="4" t="str">
        <f ca="1">VLOOKUP($C484,OFFSET([1]quests!$A$1,0,0,COUNTA([1]quests!$A:$A),MATCH(E$1,[1]quests!$1:$1,0)-MATCH($C$1,[1]quests!$1:$1,0)+1),MATCH(E$1,[1]quests!$1:$1,0)-MATCH($C$1,[1]quests!$1:$1,0)+1,FALSE)</f>
        <v>ドロップイベント2-1</v>
      </c>
      <c r="F484" s="6">
        <v>1</v>
      </c>
      <c r="G484" s="4" t="str">
        <f ca="1">VLOOKUP($C484&amp;"_"&amp;$F484,OFFSET([1]stages!$A$1,0,0,COUNTA([1]stages!$A:$A),MATCH(G$1,[1]stages!$2:$2,0)-MATCH("temp_stage",[1]stages!$2:$2,0)+1),MATCH(G$1,[1]stages!$2:$2,0)-MATCH("temp_stage",[1]stages!$2:$2,0)+1,FALSE)</f>
        <v>【初級】女王陛下の処刑龍</v>
      </c>
      <c r="H484" s="4" t="str">
        <f ca="1">VLOOKUP($C484&amp;"_"&amp;$F484,OFFSET([1]stages!$A$1,0,0,COUNTA([1]stages!$A:$A),MATCH(H$1,[1]stages!$2:$2,0)-MATCH("temp_stage",[1]stages!$2:$2,0)+1),MATCH(H$1,[1]stages!$2:$2,0)-MATCH("temp_stage",[1]stages!$2:$2,0)+1,FALSE)</f>
        <v>ドロップイベント2-1</v>
      </c>
      <c r="I484" s="19">
        <v>0</v>
      </c>
      <c r="J484" s="6">
        <f>COUNTIF(C$1:C484,C484)</f>
        <v>8</v>
      </c>
      <c r="K484">
        <v>9</v>
      </c>
      <c r="L484" s="6" t="s">
        <v>17</v>
      </c>
      <c r="M484" s="36" t="str">
        <f>VLOOKUP(K484,[2]stage_hints!$A:$C,3,FALSE)</f>
        <v>ゴールドダックでビットを獲得</v>
      </c>
      <c r="N484" s="37" t="str">
        <f>VLOOKUP(K484,[2]stage_hints!$A:$D,4,FALSE)</f>
        <v>「ゴールドなアヒル」を売却すると_x000D_大量のビットがもらえます</v>
      </c>
      <c r="O484" s="22" t="s">
        <v>117</v>
      </c>
      <c r="P484">
        <v>9</v>
      </c>
    </row>
    <row r="485" spans="1:16" x14ac:dyDescent="0.15">
      <c r="A485" s="29" t="str">
        <f t="shared" si="64"/>
        <v>20007_1_9</v>
      </c>
      <c r="B485" s="27" t="s">
        <v>33</v>
      </c>
      <c r="C485" s="5">
        <v>20007</v>
      </c>
      <c r="D485" s="4" t="str">
        <f ca="1">VLOOKUP($C485,OFFSET([1]quests!$A$1,0,0,COUNTA([1]quests!$A:$A),MATCH(D$1,[1]quests!$1:$1,0)-MATCH($C$1,[1]quests!$1:$1,0)+1),MATCH(D$1,[1]quests!$1:$1,0)-MATCH($C$1,[1]quests!$1:$1,0)+1,FALSE)</f>
        <v>女王陛下の処刑龍</v>
      </c>
      <c r="E485" s="4" t="str">
        <f ca="1">VLOOKUP($C485,OFFSET([1]quests!$A$1,0,0,COUNTA([1]quests!$A:$A),MATCH(E$1,[1]quests!$1:$1,0)-MATCH($C$1,[1]quests!$1:$1,0)+1),MATCH(E$1,[1]quests!$1:$1,0)-MATCH($C$1,[1]quests!$1:$1,0)+1,FALSE)</f>
        <v>ドロップイベント2-1</v>
      </c>
      <c r="F485" s="6">
        <v>1</v>
      </c>
      <c r="G485" s="4" t="str">
        <f ca="1">VLOOKUP($C485&amp;"_"&amp;$F485,OFFSET([1]stages!$A$1,0,0,COUNTA([1]stages!$A:$A),MATCH(G$1,[1]stages!$2:$2,0)-MATCH("temp_stage",[1]stages!$2:$2,0)+1),MATCH(G$1,[1]stages!$2:$2,0)-MATCH("temp_stage",[1]stages!$2:$2,0)+1,FALSE)</f>
        <v>【初級】女王陛下の処刑龍</v>
      </c>
      <c r="H485" s="4" t="str">
        <f ca="1">VLOOKUP($C485&amp;"_"&amp;$F485,OFFSET([1]stages!$A$1,0,0,COUNTA([1]stages!$A:$A),MATCH(H$1,[1]stages!$2:$2,0)-MATCH("temp_stage",[1]stages!$2:$2,0)+1),MATCH(H$1,[1]stages!$2:$2,0)-MATCH("temp_stage",[1]stages!$2:$2,0)+1,FALSE)</f>
        <v>ドロップイベント2-1</v>
      </c>
      <c r="I485" s="19">
        <v>0</v>
      </c>
      <c r="J485" s="6">
        <f>COUNTIF(C$1:C485,C485)</f>
        <v>9</v>
      </c>
      <c r="K485">
        <v>10</v>
      </c>
      <c r="L485" s="6" t="s">
        <v>17</v>
      </c>
      <c r="M485" s="36" t="str">
        <f>VLOOKUP(K485,[2]stage_hints!$A:$C,3,FALSE)</f>
        <v>土日に大量のビットを獲得</v>
      </c>
      <c r="N485" s="37" t="str">
        <f>VLOOKUP(K485,[2]stage_hints!$A:$D,4,FALSE)</f>
        <v>土日限定の「ゴールドカジノ」では_x000D_売却素材ユニットが多く手に入ります</v>
      </c>
      <c r="O485" s="22" t="s">
        <v>117</v>
      </c>
      <c r="P485">
        <v>10</v>
      </c>
    </row>
    <row r="486" spans="1:16" x14ac:dyDescent="0.15">
      <c r="A486" s="29" t="str">
        <f t="shared" si="64"/>
        <v>20007_1_10</v>
      </c>
      <c r="B486" s="27" t="s">
        <v>33</v>
      </c>
      <c r="C486" s="5">
        <v>20007</v>
      </c>
      <c r="D486" s="4" t="str">
        <f ca="1">VLOOKUP($C486,OFFSET([1]quests!$A$1,0,0,COUNTA([1]quests!$A:$A),MATCH(D$1,[1]quests!$1:$1,0)-MATCH($C$1,[1]quests!$1:$1,0)+1),MATCH(D$1,[1]quests!$1:$1,0)-MATCH($C$1,[1]quests!$1:$1,0)+1,FALSE)</f>
        <v>女王陛下の処刑龍</v>
      </c>
      <c r="E486" s="4" t="str">
        <f ca="1">VLOOKUP($C486,OFFSET([1]quests!$A$1,0,0,COUNTA([1]quests!$A:$A),MATCH(E$1,[1]quests!$1:$1,0)-MATCH($C$1,[1]quests!$1:$1,0)+1),MATCH(E$1,[1]quests!$1:$1,0)-MATCH($C$1,[1]quests!$1:$1,0)+1,FALSE)</f>
        <v>ドロップイベント2-1</v>
      </c>
      <c r="F486" s="6">
        <v>1</v>
      </c>
      <c r="G486" s="4" t="str">
        <f ca="1">VLOOKUP($C486&amp;"_"&amp;$F486,OFFSET([1]stages!$A$1,0,0,COUNTA([1]stages!$A:$A),MATCH(G$1,[1]stages!$2:$2,0)-MATCH("temp_stage",[1]stages!$2:$2,0)+1),MATCH(G$1,[1]stages!$2:$2,0)-MATCH("temp_stage",[1]stages!$2:$2,0)+1,FALSE)</f>
        <v>【初級】女王陛下の処刑龍</v>
      </c>
      <c r="H486" s="4" t="str">
        <f ca="1">VLOOKUP($C486&amp;"_"&amp;$F486,OFFSET([1]stages!$A$1,0,0,COUNTA([1]stages!$A:$A),MATCH(H$1,[1]stages!$2:$2,0)-MATCH("temp_stage",[1]stages!$2:$2,0)+1),MATCH(H$1,[1]stages!$2:$2,0)-MATCH("temp_stage",[1]stages!$2:$2,0)+1,FALSE)</f>
        <v>ドロップイベント2-1</v>
      </c>
      <c r="I486" s="19">
        <v>0</v>
      </c>
      <c r="J486" s="6">
        <f>COUNTIF(C$1:C486,C486)</f>
        <v>10</v>
      </c>
      <c r="K486">
        <v>11</v>
      </c>
      <c r="L486" s="6" t="s">
        <v>17</v>
      </c>
      <c r="M486" s="36" t="str">
        <f>VLOOKUP(K486,[2]stage_hints!$A:$C,3,FALSE)</f>
        <v>ランク解放クエスト</v>
      </c>
      <c r="N486" s="37" t="str">
        <f>VLOOKUP(K486,[2]stage_hints!$A:$D,4,FALSE)</f>
        <v>一定ランクに到達すると_x000D_報酬付きのランク開放クエストが現れます</v>
      </c>
      <c r="O486" s="22" t="s">
        <v>117</v>
      </c>
      <c r="P486">
        <v>11</v>
      </c>
    </row>
    <row r="487" spans="1:16" x14ac:dyDescent="0.15">
      <c r="A487" s="29" t="str">
        <f t="shared" si="64"/>
        <v>20007_1_11</v>
      </c>
      <c r="B487" s="27" t="s">
        <v>33</v>
      </c>
      <c r="C487" s="5">
        <v>20007</v>
      </c>
      <c r="D487" s="4" t="str">
        <f ca="1">VLOOKUP($C487,OFFSET([1]quests!$A$1,0,0,COUNTA([1]quests!$A:$A),MATCH(D$1,[1]quests!$1:$1,0)-MATCH($C$1,[1]quests!$1:$1,0)+1),MATCH(D$1,[1]quests!$1:$1,0)-MATCH($C$1,[1]quests!$1:$1,0)+1,FALSE)</f>
        <v>女王陛下の処刑龍</v>
      </c>
      <c r="E487" s="4" t="str">
        <f ca="1">VLOOKUP($C487,OFFSET([1]quests!$A$1,0,0,COUNTA([1]quests!$A:$A),MATCH(E$1,[1]quests!$1:$1,0)-MATCH($C$1,[1]quests!$1:$1,0)+1),MATCH(E$1,[1]quests!$1:$1,0)-MATCH($C$1,[1]quests!$1:$1,0)+1,FALSE)</f>
        <v>ドロップイベント2-1</v>
      </c>
      <c r="F487" s="6">
        <v>1</v>
      </c>
      <c r="G487" s="4" t="str">
        <f ca="1">VLOOKUP($C487&amp;"_"&amp;$F487,OFFSET([1]stages!$A$1,0,0,COUNTA([1]stages!$A:$A),MATCH(G$1,[1]stages!$2:$2,0)-MATCH("temp_stage",[1]stages!$2:$2,0)+1),MATCH(G$1,[1]stages!$2:$2,0)-MATCH("temp_stage",[1]stages!$2:$2,0)+1,FALSE)</f>
        <v>【初級】女王陛下の処刑龍</v>
      </c>
      <c r="H487" s="4" t="str">
        <f ca="1">VLOOKUP($C487&amp;"_"&amp;$F487,OFFSET([1]stages!$A$1,0,0,COUNTA([1]stages!$A:$A),MATCH(H$1,[1]stages!$2:$2,0)-MATCH("temp_stage",[1]stages!$2:$2,0)+1),MATCH(H$1,[1]stages!$2:$2,0)-MATCH("temp_stage",[1]stages!$2:$2,0)+1,FALSE)</f>
        <v>ドロップイベント2-1</v>
      </c>
      <c r="I487" s="19">
        <v>0</v>
      </c>
      <c r="J487" s="6">
        <f>COUNTIF(C$1:C487,C487)</f>
        <v>11</v>
      </c>
      <c r="K487">
        <v>12</v>
      </c>
      <c r="L487" s="6" t="s">
        <v>17</v>
      </c>
      <c r="M487" s="36" t="str">
        <f>VLOOKUP(K487,[2]stage_hints!$A:$C,3,FALSE)</f>
        <v>ユニットのお気に入り登録</v>
      </c>
      <c r="N487" s="37" t="str">
        <f>VLOOKUP(K487,[2]stage_hints!$A:$D,4,FALSE)</f>
        <v>大事なユニットを誤って消さないように_x000D_フォルダから「お気に入り登録」しましょう</v>
      </c>
      <c r="O487" s="22" t="s">
        <v>117</v>
      </c>
      <c r="P487">
        <v>12</v>
      </c>
    </row>
    <row r="488" spans="1:16" x14ac:dyDescent="0.15">
      <c r="A488" s="29" t="str">
        <f t="shared" ref="A488:A501" si="65">C488&amp;"_"&amp;F488&amp;"_"&amp;J488</f>
        <v>20007_1_12</v>
      </c>
      <c r="B488" s="27" t="s">
        <v>33</v>
      </c>
      <c r="C488" s="5">
        <v>20007</v>
      </c>
      <c r="D488" s="4" t="str">
        <f ca="1">VLOOKUP($C488,OFFSET([1]quests!$A$1,0,0,COUNTA([1]quests!$A:$A),MATCH(D$1,[1]quests!$1:$1,0)-MATCH($C$1,[1]quests!$1:$1,0)+1),MATCH(D$1,[1]quests!$1:$1,0)-MATCH($C$1,[1]quests!$1:$1,0)+1,FALSE)</f>
        <v>女王陛下の処刑龍</v>
      </c>
      <c r="E488" s="4" t="str">
        <f ca="1">VLOOKUP($C488,OFFSET([1]quests!$A$1,0,0,COUNTA([1]quests!$A:$A),MATCH(E$1,[1]quests!$1:$1,0)-MATCH($C$1,[1]quests!$1:$1,0)+1),MATCH(E$1,[1]quests!$1:$1,0)-MATCH($C$1,[1]quests!$1:$1,0)+1,FALSE)</f>
        <v>ドロップイベント2-1</v>
      </c>
      <c r="F488" s="6">
        <v>1</v>
      </c>
      <c r="G488" s="4" t="str">
        <f ca="1">VLOOKUP($C488&amp;"_"&amp;$F488,OFFSET([1]stages!$A$1,0,0,COUNTA([1]stages!$A:$A),MATCH(G$1,[1]stages!$2:$2,0)-MATCH("temp_stage",[1]stages!$2:$2,0)+1),MATCH(G$1,[1]stages!$2:$2,0)-MATCH("temp_stage",[1]stages!$2:$2,0)+1,FALSE)</f>
        <v>【初級】女王陛下の処刑龍</v>
      </c>
      <c r="H488" s="4" t="str">
        <f ca="1">VLOOKUP($C488&amp;"_"&amp;$F488,OFFSET([1]stages!$A$1,0,0,COUNTA([1]stages!$A:$A),MATCH(H$1,[1]stages!$2:$2,0)-MATCH("temp_stage",[1]stages!$2:$2,0)+1),MATCH(H$1,[1]stages!$2:$2,0)-MATCH("temp_stage",[1]stages!$2:$2,0)+1,FALSE)</f>
        <v>ドロップイベント2-1</v>
      </c>
      <c r="I488" s="19">
        <v>0</v>
      </c>
      <c r="J488" s="6">
        <f>COUNTIF(C$1:C488,C488)</f>
        <v>12</v>
      </c>
      <c r="K488">
        <v>13</v>
      </c>
      <c r="L488" s="6" t="s">
        <v>17</v>
      </c>
      <c r="M488" s="36" t="str">
        <f>VLOOKUP(K488,[2]stage_hints!$A:$C,3,FALSE)</f>
        <v>ユニットの覚醒</v>
      </c>
      <c r="N488" s="37" t="str">
        <f>VLOOKUP(K488,[2]stage_hints!$A:$D,4,FALSE)</f>
        <v>ユニットを覚醒させると_x000D_比べものにならない強さが手に入ります</v>
      </c>
      <c r="O488" s="22" t="s">
        <v>117</v>
      </c>
      <c r="P488">
        <v>13</v>
      </c>
    </row>
    <row r="489" spans="1:16" x14ac:dyDescent="0.15">
      <c r="A489" s="29" t="str">
        <f t="shared" si="65"/>
        <v>20007_1_13</v>
      </c>
      <c r="B489" s="27" t="s">
        <v>33</v>
      </c>
      <c r="C489" s="5">
        <v>20007</v>
      </c>
      <c r="D489" s="4" t="str">
        <f ca="1">VLOOKUP($C489,OFFSET([1]quests!$A$1,0,0,COUNTA([1]quests!$A:$A),MATCH(D$1,[1]quests!$1:$1,0)-MATCH($C$1,[1]quests!$1:$1,0)+1),MATCH(D$1,[1]quests!$1:$1,0)-MATCH($C$1,[1]quests!$1:$1,0)+1,FALSE)</f>
        <v>女王陛下の処刑龍</v>
      </c>
      <c r="E489" s="4" t="str">
        <f ca="1">VLOOKUP($C489,OFFSET([1]quests!$A$1,0,0,COUNTA([1]quests!$A:$A),MATCH(E$1,[1]quests!$1:$1,0)-MATCH($C$1,[1]quests!$1:$1,0)+1),MATCH(E$1,[1]quests!$1:$1,0)-MATCH($C$1,[1]quests!$1:$1,0)+1,FALSE)</f>
        <v>ドロップイベント2-1</v>
      </c>
      <c r="F489" s="6">
        <v>1</v>
      </c>
      <c r="G489" s="4" t="str">
        <f ca="1">VLOOKUP($C489&amp;"_"&amp;$F489,OFFSET([1]stages!$A$1,0,0,COUNTA([1]stages!$A:$A),MATCH(G$1,[1]stages!$2:$2,0)-MATCH("temp_stage",[1]stages!$2:$2,0)+1),MATCH(G$1,[1]stages!$2:$2,0)-MATCH("temp_stage",[1]stages!$2:$2,0)+1,FALSE)</f>
        <v>【初級】女王陛下の処刑龍</v>
      </c>
      <c r="H489" s="4" t="str">
        <f ca="1">VLOOKUP($C489&amp;"_"&amp;$F489,OFFSET([1]stages!$A$1,0,0,COUNTA([1]stages!$A:$A),MATCH(H$1,[1]stages!$2:$2,0)-MATCH("temp_stage",[1]stages!$2:$2,0)+1),MATCH(H$1,[1]stages!$2:$2,0)-MATCH("temp_stage",[1]stages!$2:$2,0)+1,FALSE)</f>
        <v>ドロップイベント2-1</v>
      </c>
      <c r="I489" s="19">
        <v>0</v>
      </c>
      <c r="J489" s="6">
        <f>COUNTIF(C$1:C489,C489)</f>
        <v>13</v>
      </c>
      <c r="K489">
        <v>14</v>
      </c>
      <c r="L489" s="6" t="s">
        <v>17</v>
      </c>
      <c r="M489" s="36" t="str">
        <f>VLOOKUP(K489,[2]stage_hints!$A:$C,3,FALSE)</f>
        <v>覚醒するにはレベルを最大に</v>
      </c>
      <c r="N489" s="37" t="str">
        <f>VLOOKUP(K489,[2]stage_hints!$A:$D,4,FALSE)</f>
        <v>覚醒するにはユニットのレベルを_x000D_最大まで上げる必要があります</v>
      </c>
      <c r="O489" s="22" t="s">
        <v>117</v>
      </c>
      <c r="P489">
        <v>14</v>
      </c>
    </row>
    <row r="490" spans="1:16" x14ac:dyDescent="0.15">
      <c r="A490" s="29" t="str">
        <f t="shared" si="65"/>
        <v>20007_1_14</v>
      </c>
      <c r="B490" s="27" t="s">
        <v>33</v>
      </c>
      <c r="C490" s="5">
        <v>20007</v>
      </c>
      <c r="D490" s="4" t="str">
        <f ca="1">VLOOKUP($C490,OFFSET([1]quests!$A$1,0,0,COUNTA([1]quests!$A:$A),MATCH(D$1,[1]quests!$1:$1,0)-MATCH($C$1,[1]quests!$1:$1,0)+1),MATCH(D$1,[1]quests!$1:$1,0)-MATCH($C$1,[1]quests!$1:$1,0)+1,FALSE)</f>
        <v>女王陛下の処刑龍</v>
      </c>
      <c r="E490" s="4" t="str">
        <f ca="1">VLOOKUP($C490,OFFSET([1]quests!$A$1,0,0,COUNTA([1]quests!$A:$A),MATCH(E$1,[1]quests!$1:$1,0)-MATCH($C$1,[1]quests!$1:$1,0)+1),MATCH(E$1,[1]quests!$1:$1,0)-MATCH($C$1,[1]quests!$1:$1,0)+1,FALSE)</f>
        <v>ドロップイベント2-1</v>
      </c>
      <c r="F490" s="6">
        <v>1</v>
      </c>
      <c r="G490" s="4" t="str">
        <f ca="1">VLOOKUP($C490&amp;"_"&amp;$F490,OFFSET([1]stages!$A$1,0,0,COUNTA([1]stages!$A:$A),MATCH(G$1,[1]stages!$2:$2,0)-MATCH("temp_stage",[1]stages!$2:$2,0)+1),MATCH(G$1,[1]stages!$2:$2,0)-MATCH("temp_stage",[1]stages!$2:$2,0)+1,FALSE)</f>
        <v>【初級】女王陛下の処刑龍</v>
      </c>
      <c r="H490" s="4" t="str">
        <f ca="1">VLOOKUP($C490&amp;"_"&amp;$F490,OFFSET([1]stages!$A$1,0,0,COUNTA([1]stages!$A:$A),MATCH(H$1,[1]stages!$2:$2,0)-MATCH("temp_stage",[1]stages!$2:$2,0)+1),MATCH(H$1,[1]stages!$2:$2,0)-MATCH("temp_stage",[1]stages!$2:$2,0)+1,FALSE)</f>
        <v>ドロップイベント2-1</v>
      </c>
      <c r="I490" s="19">
        <v>0</v>
      </c>
      <c r="J490" s="6">
        <f>COUNTIF(C$1:C490,C490)</f>
        <v>14</v>
      </c>
      <c r="K490">
        <v>15</v>
      </c>
      <c r="L490" s="6" t="s">
        <v>17</v>
      </c>
      <c r="M490" s="36" t="str">
        <f>VLOOKUP(K490,[2]stage_hints!$A:$C,3,FALSE)</f>
        <v>覚醒素材を獲得</v>
      </c>
      <c r="N490" s="37" t="str">
        <f>VLOOKUP(K490,[2]stage_hints!$A:$D,4,FALSE)</f>
        <v>「曜日クエスト」では_x000D_ユニットの覚醒に必要な素材が手に入ります</v>
      </c>
      <c r="O490" s="22" t="s">
        <v>117</v>
      </c>
      <c r="P490">
        <v>15</v>
      </c>
    </row>
    <row r="491" spans="1:16" x14ac:dyDescent="0.15">
      <c r="A491" s="29" t="str">
        <f t="shared" si="65"/>
        <v>20007_1_15</v>
      </c>
      <c r="B491" s="27" t="s">
        <v>33</v>
      </c>
      <c r="C491" s="5">
        <v>20007</v>
      </c>
      <c r="D491" s="4" t="str">
        <f ca="1">VLOOKUP($C491,OFFSET([1]quests!$A$1,0,0,COUNTA([1]quests!$A:$A),MATCH(D$1,[1]quests!$1:$1,0)-MATCH($C$1,[1]quests!$1:$1,0)+1),MATCH(D$1,[1]quests!$1:$1,0)-MATCH($C$1,[1]quests!$1:$1,0)+1,FALSE)</f>
        <v>女王陛下の処刑龍</v>
      </c>
      <c r="E491" s="4" t="str">
        <f ca="1">VLOOKUP($C491,OFFSET([1]quests!$A$1,0,0,COUNTA([1]quests!$A:$A),MATCH(E$1,[1]quests!$1:$1,0)-MATCH($C$1,[1]quests!$1:$1,0)+1),MATCH(E$1,[1]quests!$1:$1,0)-MATCH($C$1,[1]quests!$1:$1,0)+1,FALSE)</f>
        <v>ドロップイベント2-1</v>
      </c>
      <c r="F491" s="6">
        <v>1</v>
      </c>
      <c r="G491" s="4" t="str">
        <f ca="1">VLOOKUP($C491&amp;"_"&amp;$F491,OFFSET([1]stages!$A$1,0,0,COUNTA([1]stages!$A:$A),MATCH(G$1,[1]stages!$2:$2,0)-MATCH("temp_stage",[1]stages!$2:$2,0)+1),MATCH(G$1,[1]stages!$2:$2,0)-MATCH("temp_stage",[1]stages!$2:$2,0)+1,FALSE)</f>
        <v>【初級】女王陛下の処刑龍</v>
      </c>
      <c r="H491" s="4" t="str">
        <f ca="1">VLOOKUP($C491&amp;"_"&amp;$F491,OFFSET([1]stages!$A$1,0,0,COUNTA([1]stages!$A:$A),MATCH(H$1,[1]stages!$2:$2,0)-MATCH("temp_stage",[1]stages!$2:$2,0)+1),MATCH(H$1,[1]stages!$2:$2,0)-MATCH("temp_stage",[1]stages!$2:$2,0)+1,FALSE)</f>
        <v>ドロップイベント2-1</v>
      </c>
      <c r="I491" s="19">
        <v>0</v>
      </c>
      <c r="J491" s="6">
        <f>COUNTIF(C$1:C491,C491)</f>
        <v>15</v>
      </c>
      <c r="K491">
        <v>16</v>
      </c>
      <c r="L491" s="6" t="s">
        <v>17</v>
      </c>
      <c r="M491" s="36" t="str">
        <f>VLOOKUP(K491,[2]stage_hints!$A:$C,3,FALSE)</f>
        <v>マルチプレイのメリット（その1）</v>
      </c>
      <c r="N491" s="37" t="str">
        <f>VLOOKUP(K491,[2]stage_hints!$A:$D,4,FALSE)</f>
        <v>他のプレイヤーとマルチプレイで遊ぶと_x000D_ポリゴンがもらえます（100人まで）</v>
      </c>
      <c r="O491" s="22" t="s">
        <v>117</v>
      </c>
      <c r="P491">
        <v>16</v>
      </c>
    </row>
    <row r="492" spans="1:16" x14ac:dyDescent="0.15">
      <c r="A492" s="29" t="str">
        <f t="shared" si="65"/>
        <v>20007_1_16</v>
      </c>
      <c r="B492" s="27" t="s">
        <v>33</v>
      </c>
      <c r="C492" s="5">
        <v>20007</v>
      </c>
      <c r="D492" s="4" t="str">
        <f ca="1">VLOOKUP($C492,OFFSET([1]quests!$A$1,0,0,COUNTA([1]quests!$A:$A),MATCH(D$1,[1]quests!$1:$1,0)-MATCH($C$1,[1]quests!$1:$1,0)+1),MATCH(D$1,[1]quests!$1:$1,0)-MATCH($C$1,[1]quests!$1:$1,0)+1,FALSE)</f>
        <v>女王陛下の処刑龍</v>
      </c>
      <c r="E492" s="4" t="str">
        <f ca="1">VLOOKUP($C492,OFFSET([1]quests!$A$1,0,0,COUNTA([1]quests!$A:$A),MATCH(E$1,[1]quests!$1:$1,0)-MATCH($C$1,[1]quests!$1:$1,0)+1),MATCH(E$1,[1]quests!$1:$1,0)-MATCH($C$1,[1]quests!$1:$1,0)+1,FALSE)</f>
        <v>ドロップイベント2-1</v>
      </c>
      <c r="F492" s="6">
        <v>1</v>
      </c>
      <c r="G492" s="4" t="str">
        <f ca="1">VLOOKUP($C492&amp;"_"&amp;$F492,OFFSET([1]stages!$A$1,0,0,COUNTA([1]stages!$A:$A),MATCH(G$1,[1]stages!$2:$2,0)-MATCH("temp_stage",[1]stages!$2:$2,0)+1),MATCH(G$1,[1]stages!$2:$2,0)-MATCH("temp_stage",[1]stages!$2:$2,0)+1,FALSE)</f>
        <v>【初級】女王陛下の処刑龍</v>
      </c>
      <c r="H492" s="4" t="str">
        <f ca="1">VLOOKUP($C492&amp;"_"&amp;$F492,OFFSET([1]stages!$A$1,0,0,COUNTA([1]stages!$A:$A),MATCH(H$1,[1]stages!$2:$2,0)-MATCH("temp_stage",[1]stages!$2:$2,0)+1),MATCH(H$1,[1]stages!$2:$2,0)-MATCH("temp_stage",[1]stages!$2:$2,0)+1,FALSE)</f>
        <v>ドロップイベント2-1</v>
      </c>
      <c r="I492" s="19">
        <v>0</v>
      </c>
      <c r="J492" s="6">
        <f>COUNTIF(C$1:C492,C492)</f>
        <v>16</v>
      </c>
      <c r="K492">
        <v>17</v>
      </c>
      <c r="L492" s="6" t="s">
        <v>17</v>
      </c>
      <c r="M492" s="36" t="str">
        <f>VLOOKUP(K492,[2]stage_hints!$A:$C,3,FALSE)</f>
        <v>リンクガチャ</v>
      </c>
      <c r="N492" s="37" t="str">
        <f>VLOOKUP(K492,[2]stage_hints!$A:$D,4,FALSE)</f>
        <v>無料のリンクガチャを回して_x000D_経験値素材や売却素材を獲得しましょう</v>
      </c>
      <c r="O492" s="22" t="s">
        <v>117</v>
      </c>
      <c r="P492">
        <v>17</v>
      </c>
    </row>
    <row r="493" spans="1:16" x14ac:dyDescent="0.15">
      <c r="A493" s="29" t="str">
        <f t="shared" si="65"/>
        <v>20007_1_17</v>
      </c>
      <c r="B493" s="27" t="s">
        <v>33</v>
      </c>
      <c r="C493" s="5">
        <v>20007</v>
      </c>
      <c r="D493" s="4" t="str">
        <f ca="1">VLOOKUP($C493,OFFSET([1]quests!$A$1,0,0,COUNTA([1]quests!$A:$A),MATCH(D$1,[1]quests!$1:$1,0)-MATCH($C$1,[1]quests!$1:$1,0)+1),MATCH(D$1,[1]quests!$1:$1,0)-MATCH($C$1,[1]quests!$1:$1,0)+1,FALSE)</f>
        <v>女王陛下の処刑龍</v>
      </c>
      <c r="E493" s="4" t="str">
        <f ca="1">VLOOKUP($C493,OFFSET([1]quests!$A$1,0,0,COUNTA([1]quests!$A:$A),MATCH(E$1,[1]quests!$1:$1,0)-MATCH($C$1,[1]quests!$1:$1,0)+1),MATCH(E$1,[1]quests!$1:$1,0)-MATCH($C$1,[1]quests!$1:$1,0)+1,FALSE)</f>
        <v>ドロップイベント2-1</v>
      </c>
      <c r="F493" s="6">
        <v>1</v>
      </c>
      <c r="G493" s="4" t="str">
        <f ca="1">VLOOKUP($C493&amp;"_"&amp;$F493,OFFSET([1]stages!$A$1,0,0,COUNTA([1]stages!$A:$A),MATCH(G$1,[1]stages!$2:$2,0)-MATCH("temp_stage",[1]stages!$2:$2,0)+1),MATCH(G$1,[1]stages!$2:$2,0)-MATCH("temp_stage",[1]stages!$2:$2,0)+1,FALSE)</f>
        <v>【初級】女王陛下の処刑龍</v>
      </c>
      <c r="H493" s="4" t="str">
        <f ca="1">VLOOKUP($C493&amp;"_"&amp;$F493,OFFSET([1]stages!$A$1,0,0,COUNTA([1]stages!$A:$A),MATCH(H$1,[1]stages!$2:$2,0)-MATCH("temp_stage",[1]stages!$2:$2,0)+1),MATCH(H$1,[1]stages!$2:$2,0)-MATCH("temp_stage",[1]stages!$2:$2,0)+1,FALSE)</f>
        <v>ドロップイベント2-1</v>
      </c>
      <c r="I493" s="19">
        <v>0</v>
      </c>
      <c r="J493" s="6">
        <f>COUNTIF(C$1:C493,C493)</f>
        <v>17</v>
      </c>
      <c r="K493">
        <v>18</v>
      </c>
      <c r="L493" s="6" t="s">
        <v>17</v>
      </c>
      <c r="M493" s="36" t="str">
        <f>VLOOKUP(K493,[2]stage_hints!$A:$C,3,FALSE)</f>
        <v>マルチプレイのメリット（その2）</v>
      </c>
      <c r="N493" s="37" t="str">
        <f>VLOOKUP(K493,[2]stage_hints!$A:$D,4,FALSE)</f>
        <v>マルチプレイならリンクが2倍もらえます_x000D_リンクガチャをたくさん回しましょう</v>
      </c>
      <c r="O493" s="22" t="s">
        <v>117</v>
      </c>
      <c r="P493">
        <v>18</v>
      </c>
    </row>
    <row r="494" spans="1:16" x14ac:dyDescent="0.15">
      <c r="A494" s="29" t="str">
        <f t="shared" si="65"/>
        <v>20007_1_18</v>
      </c>
      <c r="B494" s="27" t="s">
        <v>33</v>
      </c>
      <c r="C494" s="5">
        <v>20007</v>
      </c>
      <c r="D494" s="4" t="str">
        <f ca="1">VLOOKUP($C494,OFFSET([1]quests!$A$1,0,0,COUNTA([1]quests!$A:$A),MATCH(D$1,[1]quests!$1:$1,0)-MATCH($C$1,[1]quests!$1:$1,0)+1),MATCH(D$1,[1]quests!$1:$1,0)-MATCH($C$1,[1]quests!$1:$1,0)+1,FALSE)</f>
        <v>女王陛下の処刑龍</v>
      </c>
      <c r="E494" s="4" t="str">
        <f ca="1">VLOOKUP($C494,OFFSET([1]quests!$A$1,0,0,COUNTA([1]quests!$A:$A),MATCH(E$1,[1]quests!$1:$1,0)-MATCH($C$1,[1]quests!$1:$1,0)+1),MATCH(E$1,[1]quests!$1:$1,0)-MATCH($C$1,[1]quests!$1:$1,0)+1,FALSE)</f>
        <v>ドロップイベント2-1</v>
      </c>
      <c r="F494" s="6">
        <v>1</v>
      </c>
      <c r="G494" s="4" t="str">
        <f ca="1">VLOOKUP($C494&amp;"_"&amp;$F494,OFFSET([1]stages!$A$1,0,0,COUNTA([1]stages!$A:$A),MATCH(G$1,[1]stages!$2:$2,0)-MATCH("temp_stage",[1]stages!$2:$2,0)+1),MATCH(G$1,[1]stages!$2:$2,0)-MATCH("temp_stage",[1]stages!$2:$2,0)+1,FALSE)</f>
        <v>【初級】女王陛下の処刑龍</v>
      </c>
      <c r="H494" s="4" t="str">
        <f ca="1">VLOOKUP($C494&amp;"_"&amp;$F494,OFFSET([1]stages!$A$1,0,0,COUNTA([1]stages!$A:$A),MATCH(H$1,[1]stages!$2:$2,0)-MATCH("temp_stage",[1]stages!$2:$2,0)+1),MATCH(H$1,[1]stages!$2:$2,0)-MATCH("temp_stage",[1]stages!$2:$2,0)+1,FALSE)</f>
        <v>ドロップイベント2-1</v>
      </c>
      <c r="I494" s="19">
        <v>0</v>
      </c>
      <c r="J494" s="6">
        <f>COUNTIF(C$1:C494,C494)</f>
        <v>18</v>
      </c>
      <c r="K494">
        <v>19</v>
      </c>
      <c r="L494" s="6" t="s">
        <v>17</v>
      </c>
      <c r="M494" s="36" t="str">
        <f>VLOOKUP(K494,[2]stage_hints!$A:$C,3,FALSE)</f>
        <v>ソロ専用チャレンジタワー</v>
      </c>
      <c r="N494" s="37" t="str">
        <f>VLOOKUP(K494,[2]stage_hints!$A:$D,4,FALSE)</f>
        <v>ソロ専用の「チャレンジタワー」では_x000D_各フロアごとにクリア報酬がもらえます</v>
      </c>
      <c r="O494" s="22" t="s">
        <v>117</v>
      </c>
      <c r="P494">
        <v>19</v>
      </c>
    </row>
    <row r="495" spans="1:16" x14ac:dyDescent="0.15">
      <c r="A495" s="29" t="str">
        <f t="shared" si="65"/>
        <v>20007_1_19</v>
      </c>
      <c r="B495" s="27" t="s">
        <v>33</v>
      </c>
      <c r="C495" s="5">
        <v>20007</v>
      </c>
      <c r="D495" s="4" t="str">
        <f ca="1">VLOOKUP($C495,OFFSET([1]quests!$A$1,0,0,COUNTA([1]quests!$A:$A),MATCH(D$1,[1]quests!$1:$1,0)-MATCH($C$1,[1]quests!$1:$1,0)+1),MATCH(D$1,[1]quests!$1:$1,0)-MATCH($C$1,[1]quests!$1:$1,0)+1,FALSE)</f>
        <v>女王陛下の処刑龍</v>
      </c>
      <c r="E495" s="4" t="str">
        <f ca="1">VLOOKUP($C495,OFFSET([1]quests!$A$1,0,0,COUNTA([1]quests!$A:$A),MATCH(E$1,[1]quests!$1:$1,0)-MATCH($C$1,[1]quests!$1:$1,0)+1),MATCH(E$1,[1]quests!$1:$1,0)-MATCH($C$1,[1]quests!$1:$1,0)+1,FALSE)</f>
        <v>ドロップイベント2-1</v>
      </c>
      <c r="F495" s="6">
        <v>1</v>
      </c>
      <c r="G495" s="4" t="str">
        <f ca="1">VLOOKUP($C495&amp;"_"&amp;$F495,OFFSET([1]stages!$A$1,0,0,COUNTA([1]stages!$A:$A),MATCH(G$1,[1]stages!$2:$2,0)-MATCH("temp_stage",[1]stages!$2:$2,0)+1),MATCH(G$1,[1]stages!$2:$2,0)-MATCH("temp_stage",[1]stages!$2:$2,0)+1,FALSE)</f>
        <v>【初級】女王陛下の処刑龍</v>
      </c>
      <c r="H495" s="4" t="str">
        <f ca="1">VLOOKUP($C495&amp;"_"&amp;$F495,OFFSET([1]stages!$A$1,0,0,COUNTA([1]stages!$A:$A),MATCH(H$1,[1]stages!$2:$2,0)-MATCH("temp_stage",[1]stages!$2:$2,0)+1),MATCH(H$1,[1]stages!$2:$2,0)-MATCH("temp_stage",[1]stages!$2:$2,0)+1,FALSE)</f>
        <v>ドロップイベント2-1</v>
      </c>
      <c r="I495" s="19">
        <v>0</v>
      </c>
      <c r="J495" s="6">
        <f>COUNTIF(C$1:C495,C495)</f>
        <v>19</v>
      </c>
      <c r="K495">
        <v>20</v>
      </c>
      <c r="L495" s="6" t="s">
        <v>17</v>
      </c>
      <c r="M495" s="36" t="str">
        <f>VLOOKUP(K495,[2]stage_hints!$A:$C,3,FALSE)</f>
        <v>マルチプレイのメリット（その3）</v>
      </c>
      <c r="N495" s="37" t="str">
        <f>VLOOKUP(K495,[2]stage_hints!$A:$D,4,FALSE)</f>
        <v>マルチプレイへの参加はエナジー消費ゼロ_x000D_いつでも好きなだけ遊ぶことができます</v>
      </c>
      <c r="O495" s="22" t="s">
        <v>117</v>
      </c>
      <c r="P495">
        <v>20</v>
      </c>
    </row>
    <row r="496" spans="1:16" x14ac:dyDescent="0.15">
      <c r="A496" s="29" t="str">
        <f t="shared" si="65"/>
        <v>20007_1_20</v>
      </c>
      <c r="B496" s="27" t="s">
        <v>33</v>
      </c>
      <c r="C496" s="5">
        <v>20007</v>
      </c>
      <c r="D496" s="4" t="str">
        <f ca="1">VLOOKUP($C496,OFFSET([1]quests!$A$1,0,0,COUNTA([1]quests!$A:$A),MATCH(D$1,[1]quests!$1:$1,0)-MATCH($C$1,[1]quests!$1:$1,0)+1),MATCH(D$1,[1]quests!$1:$1,0)-MATCH($C$1,[1]quests!$1:$1,0)+1,FALSE)</f>
        <v>女王陛下の処刑龍</v>
      </c>
      <c r="E496" s="4" t="str">
        <f ca="1">VLOOKUP($C496,OFFSET([1]quests!$A$1,0,0,COUNTA([1]quests!$A:$A),MATCH(E$1,[1]quests!$1:$1,0)-MATCH($C$1,[1]quests!$1:$1,0)+1),MATCH(E$1,[1]quests!$1:$1,0)-MATCH($C$1,[1]quests!$1:$1,0)+1,FALSE)</f>
        <v>ドロップイベント2-1</v>
      </c>
      <c r="F496" s="6">
        <v>1</v>
      </c>
      <c r="G496" s="4" t="str">
        <f ca="1">VLOOKUP($C496&amp;"_"&amp;$F496,OFFSET([1]stages!$A$1,0,0,COUNTA([1]stages!$A:$A),MATCH(G$1,[1]stages!$2:$2,0)-MATCH("temp_stage",[1]stages!$2:$2,0)+1),MATCH(G$1,[1]stages!$2:$2,0)-MATCH("temp_stage",[1]stages!$2:$2,0)+1,FALSE)</f>
        <v>【初級】女王陛下の処刑龍</v>
      </c>
      <c r="H496" s="4" t="str">
        <f ca="1">VLOOKUP($C496&amp;"_"&amp;$F496,OFFSET([1]stages!$A$1,0,0,COUNTA([1]stages!$A:$A),MATCH(H$1,[1]stages!$2:$2,0)-MATCH("temp_stage",[1]stages!$2:$2,0)+1),MATCH(H$1,[1]stages!$2:$2,0)-MATCH("temp_stage",[1]stages!$2:$2,0)+1,FALSE)</f>
        <v>ドロップイベント2-1</v>
      </c>
      <c r="I496" s="19">
        <v>0</v>
      </c>
      <c r="J496" s="6">
        <f>COUNTIF(C$1:C496,C496)</f>
        <v>20</v>
      </c>
      <c r="K496">
        <v>21</v>
      </c>
      <c r="L496" s="6" t="s">
        <v>17</v>
      </c>
      <c r="M496" s="36" t="str">
        <f>VLOOKUP(K496,[2]stage_hints!$A:$C,3,FALSE)</f>
        <v>スキルを有効に</v>
      </c>
      <c r="N496" s="37" t="str">
        <f>VLOOKUP(K496,[2]stage_hints!$A:$D,4,FALSE)</f>
        <v>ターン経過でユニットのスキルが使えます_x000D_強力スキルでバトルを有利に進めましょう</v>
      </c>
      <c r="O496" s="22" t="s">
        <v>117</v>
      </c>
      <c r="P496">
        <v>21</v>
      </c>
    </row>
    <row r="497" spans="1:16" x14ac:dyDescent="0.15">
      <c r="A497" s="29" t="str">
        <f t="shared" si="65"/>
        <v>20007_1_21</v>
      </c>
      <c r="B497" s="27" t="s">
        <v>33</v>
      </c>
      <c r="C497" s="5">
        <v>20007</v>
      </c>
      <c r="D497" s="4" t="str">
        <f ca="1">VLOOKUP($C497,OFFSET([1]quests!$A$1,0,0,COUNTA([1]quests!$A:$A),MATCH(D$1,[1]quests!$1:$1,0)-MATCH($C$1,[1]quests!$1:$1,0)+1),MATCH(D$1,[1]quests!$1:$1,0)-MATCH($C$1,[1]quests!$1:$1,0)+1,FALSE)</f>
        <v>女王陛下の処刑龍</v>
      </c>
      <c r="E497" s="4" t="str">
        <f ca="1">VLOOKUP($C497,OFFSET([1]quests!$A$1,0,0,COUNTA([1]quests!$A:$A),MATCH(E$1,[1]quests!$1:$1,0)-MATCH($C$1,[1]quests!$1:$1,0)+1),MATCH(E$1,[1]quests!$1:$1,0)-MATCH($C$1,[1]quests!$1:$1,0)+1,FALSE)</f>
        <v>ドロップイベント2-1</v>
      </c>
      <c r="F497" s="6">
        <v>1</v>
      </c>
      <c r="G497" s="4" t="str">
        <f ca="1">VLOOKUP($C497&amp;"_"&amp;$F497,OFFSET([1]stages!$A$1,0,0,COUNTA([1]stages!$A:$A),MATCH(G$1,[1]stages!$2:$2,0)-MATCH("temp_stage",[1]stages!$2:$2,0)+1),MATCH(G$1,[1]stages!$2:$2,0)-MATCH("temp_stage",[1]stages!$2:$2,0)+1,FALSE)</f>
        <v>【初級】女王陛下の処刑龍</v>
      </c>
      <c r="H497" s="4" t="str">
        <f ca="1">VLOOKUP($C497&amp;"_"&amp;$F497,OFFSET([1]stages!$A$1,0,0,COUNTA([1]stages!$A:$A),MATCH(H$1,[1]stages!$2:$2,0)-MATCH("temp_stage",[1]stages!$2:$2,0)+1),MATCH(H$1,[1]stages!$2:$2,0)-MATCH("temp_stage",[1]stages!$2:$2,0)+1,FALSE)</f>
        <v>ドロップイベント2-1</v>
      </c>
      <c r="I497" s="19">
        <v>0</v>
      </c>
      <c r="J497" s="6">
        <f>COUNTIF(C$1:C497,C497)</f>
        <v>21</v>
      </c>
      <c r="K497">
        <v>22</v>
      </c>
      <c r="L497" s="6" t="s">
        <v>17</v>
      </c>
      <c r="M497" s="36" t="str">
        <f>VLOOKUP(K497,[2]stage_hints!$A:$C,3,FALSE)</f>
        <v>フィーバーで一発逆転（その1）</v>
      </c>
      <c r="N497" s="37" t="str">
        <f>VLOOKUP(K497,[2]stage_hints!$A:$D,4,FALSE)</f>
        <v>フィーバーは攻撃と回復を兼ね備えます_x000D_ピンチからの一発逆転を狙いましょう</v>
      </c>
      <c r="O497" s="22" t="s">
        <v>117</v>
      </c>
      <c r="P497">
        <v>22</v>
      </c>
    </row>
    <row r="498" spans="1:16" x14ac:dyDescent="0.15">
      <c r="A498" s="29" t="str">
        <f t="shared" si="65"/>
        <v>20007_1_22</v>
      </c>
      <c r="B498" s="27" t="s">
        <v>33</v>
      </c>
      <c r="C498" s="5">
        <v>20007</v>
      </c>
      <c r="D498" s="4" t="str">
        <f ca="1">VLOOKUP($C498,OFFSET([1]quests!$A$1,0,0,COUNTA([1]quests!$A:$A),MATCH(D$1,[1]quests!$1:$1,0)-MATCH($C$1,[1]quests!$1:$1,0)+1),MATCH(D$1,[1]quests!$1:$1,0)-MATCH($C$1,[1]quests!$1:$1,0)+1,FALSE)</f>
        <v>女王陛下の処刑龍</v>
      </c>
      <c r="E498" s="4" t="str">
        <f ca="1">VLOOKUP($C498,OFFSET([1]quests!$A$1,0,0,COUNTA([1]quests!$A:$A),MATCH(E$1,[1]quests!$1:$1,0)-MATCH($C$1,[1]quests!$1:$1,0)+1),MATCH(E$1,[1]quests!$1:$1,0)-MATCH($C$1,[1]quests!$1:$1,0)+1,FALSE)</f>
        <v>ドロップイベント2-1</v>
      </c>
      <c r="F498" s="6">
        <v>1</v>
      </c>
      <c r="G498" s="4" t="str">
        <f ca="1">VLOOKUP($C498&amp;"_"&amp;$F498,OFFSET([1]stages!$A$1,0,0,COUNTA([1]stages!$A:$A),MATCH(G$1,[1]stages!$2:$2,0)-MATCH("temp_stage",[1]stages!$2:$2,0)+1),MATCH(G$1,[1]stages!$2:$2,0)-MATCH("temp_stage",[1]stages!$2:$2,0)+1,FALSE)</f>
        <v>【初級】女王陛下の処刑龍</v>
      </c>
      <c r="H498" s="4" t="str">
        <f ca="1">VLOOKUP($C498&amp;"_"&amp;$F498,OFFSET([1]stages!$A$1,0,0,COUNTA([1]stages!$A:$A),MATCH(H$1,[1]stages!$2:$2,0)-MATCH("temp_stage",[1]stages!$2:$2,0)+1),MATCH(H$1,[1]stages!$2:$2,0)-MATCH("temp_stage",[1]stages!$2:$2,0)+1,FALSE)</f>
        <v>ドロップイベント2-1</v>
      </c>
      <c r="I498" s="19">
        <v>0</v>
      </c>
      <c r="J498" s="6">
        <f>COUNTIF(C$1:C498,C498)</f>
        <v>22</v>
      </c>
      <c r="K498">
        <v>23</v>
      </c>
      <c r="L498" s="6" t="s">
        <v>17</v>
      </c>
      <c r="M498" s="36" t="str">
        <f>VLOOKUP(K498,[2]stage_hints!$A:$C,3,FALSE)</f>
        <v>フィーバーで一発逆転（その2）</v>
      </c>
      <c r="N498" s="37" t="str">
        <f>VLOOKUP(K498,[2]stage_hints!$A:$D,4,FALSE)</f>
        <v>フィーバー中は虹色のボムパネルを狙って_x000D_画面上のパネルを一気に破壊しましょう</v>
      </c>
      <c r="O498" s="22" t="s">
        <v>117</v>
      </c>
      <c r="P498">
        <v>23</v>
      </c>
    </row>
    <row r="499" spans="1:16" x14ac:dyDescent="0.15">
      <c r="A499" s="29" t="str">
        <f t="shared" si="65"/>
        <v>20007_1_23</v>
      </c>
      <c r="B499" s="27" t="s">
        <v>33</v>
      </c>
      <c r="C499" s="5">
        <v>20007</v>
      </c>
      <c r="D499" s="4" t="str">
        <f ca="1">VLOOKUP($C499,OFFSET([1]quests!$A$1,0,0,COUNTA([1]quests!$A:$A),MATCH(D$1,[1]quests!$1:$1,0)-MATCH($C$1,[1]quests!$1:$1,0)+1),MATCH(D$1,[1]quests!$1:$1,0)-MATCH($C$1,[1]quests!$1:$1,0)+1,FALSE)</f>
        <v>女王陛下の処刑龍</v>
      </c>
      <c r="E499" s="4" t="str">
        <f ca="1">VLOOKUP($C499,OFFSET([1]quests!$A$1,0,0,COUNTA([1]quests!$A:$A),MATCH(E$1,[1]quests!$1:$1,0)-MATCH($C$1,[1]quests!$1:$1,0)+1),MATCH(E$1,[1]quests!$1:$1,0)-MATCH($C$1,[1]quests!$1:$1,0)+1,FALSE)</f>
        <v>ドロップイベント2-1</v>
      </c>
      <c r="F499" s="6">
        <v>1</v>
      </c>
      <c r="G499" s="4" t="str">
        <f ca="1">VLOOKUP($C499&amp;"_"&amp;$F499,OFFSET([1]stages!$A$1,0,0,COUNTA([1]stages!$A:$A),MATCH(G$1,[1]stages!$2:$2,0)-MATCH("temp_stage",[1]stages!$2:$2,0)+1),MATCH(G$1,[1]stages!$2:$2,0)-MATCH("temp_stage",[1]stages!$2:$2,0)+1,FALSE)</f>
        <v>【初級】女王陛下の処刑龍</v>
      </c>
      <c r="H499" s="4" t="str">
        <f ca="1">VLOOKUP($C499&amp;"_"&amp;$F499,OFFSET([1]stages!$A$1,0,0,COUNTA([1]stages!$A:$A),MATCH(H$1,[1]stages!$2:$2,0)-MATCH("temp_stage",[1]stages!$2:$2,0)+1),MATCH(H$1,[1]stages!$2:$2,0)-MATCH("temp_stage",[1]stages!$2:$2,0)+1,FALSE)</f>
        <v>ドロップイベント2-1</v>
      </c>
      <c r="I499" s="19">
        <v>0</v>
      </c>
      <c r="J499" s="6">
        <f>COUNTIF(C$1:C499,C499)</f>
        <v>23</v>
      </c>
      <c r="K499">
        <v>24</v>
      </c>
      <c r="L499" s="6" t="s">
        <v>17</v>
      </c>
      <c r="M499" s="36" t="str">
        <f>VLOOKUP(K499,[2]stage_hints!$A:$C,3,FALSE)</f>
        <v>りんごを使って限界突破</v>
      </c>
      <c r="N499" s="37" t="str">
        <f>VLOOKUP(K499,[2]stage_hints!$A:$D,4,FALSE)</f>
        <v>赤りんご(攻撃力) 青りんご(回復力)_x000D_緑りんご(体力)をユニット強化に使うと_x000D_ステータスが限界突破します（計99個迄）</v>
      </c>
      <c r="O499" s="22" t="s">
        <v>117</v>
      </c>
      <c r="P499">
        <v>24</v>
      </c>
    </row>
    <row r="500" spans="1:16" x14ac:dyDescent="0.15">
      <c r="A500" s="29" t="str">
        <f t="shared" si="65"/>
        <v>20007_1_24</v>
      </c>
      <c r="B500" s="27" t="s">
        <v>33</v>
      </c>
      <c r="C500" s="5">
        <v>20007</v>
      </c>
      <c r="D500" s="4" t="str">
        <f ca="1">VLOOKUP($C500,OFFSET([1]quests!$A$1,0,0,COUNTA([1]quests!$A:$A),MATCH(D$1,[1]quests!$1:$1,0)-MATCH($C$1,[1]quests!$1:$1,0)+1),MATCH(D$1,[1]quests!$1:$1,0)-MATCH($C$1,[1]quests!$1:$1,0)+1,FALSE)</f>
        <v>女王陛下の処刑龍</v>
      </c>
      <c r="E500" s="4" t="str">
        <f ca="1">VLOOKUP($C500,OFFSET([1]quests!$A$1,0,0,COUNTA([1]quests!$A:$A),MATCH(E$1,[1]quests!$1:$1,0)-MATCH($C$1,[1]quests!$1:$1,0)+1),MATCH(E$1,[1]quests!$1:$1,0)-MATCH($C$1,[1]quests!$1:$1,0)+1,FALSE)</f>
        <v>ドロップイベント2-1</v>
      </c>
      <c r="F500" s="6">
        <v>1</v>
      </c>
      <c r="G500" s="4" t="str">
        <f ca="1">VLOOKUP($C500&amp;"_"&amp;$F500,OFFSET([1]stages!$A$1,0,0,COUNTA([1]stages!$A:$A),MATCH(G$1,[1]stages!$2:$2,0)-MATCH("temp_stage",[1]stages!$2:$2,0)+1),MATCH(G$1,[1]stages!$2:$2,0)-MATCH("temp_stage",[1]stages!$2:$2,0)+1,FALSE)</f>
        <v>【初級】女王陛下の処刑龍</v>
      </c>
      <c r="H500" s="4" t="str">
        <f ca="1">VLOOKUP($C500&amp;"_"&amp;$F500,OFFSET([1]stages!$A$1,0,0,COUNTA([1]stages!$A:$A),MATCH(H$1,[1]stages!$2:$2,0)-MATCH("temp_stage",[1]stages!$2:$2,0)+1),MATCH(H$1,[1]stages!$2:$2,0)-MATCH("temp_stage",[1]stages!$2:$2,0)+1,FALSE)</f>
        <v>ドロップイベント2-1</v>
      </c>
      <c r="I500" s="19">
        <v>0</v>
      </c>
      <c r="J500" s="6">
        <f>COUNTIF(C$1:C500,C500)</f>
        <v>24</v>
      </c>
      <c r="K500">
        <v>25</v>
      </c>
      <c r="L500" s="6" t="s">
        <v>17</v>
      </c>
      <c r="M500" s="36" t="str">
        <f>VLOOKUP(K500,[2]stage_hints!$A:$C,3,FALSE)</f>
        <v>スキルレベルアップ</v>
      </c>
      <c r="N500" s="37" t="str">
        <f>VLOOKUP(K500,[2]stage_hints!$A:$D,4,FALSE)</f>
        <v>「クリスタルのりんご」を強化に使うと_x000D_スキルレベルを上げることができます</v>
      </c>
      <c r="O500" s="22" t="s">
        <v>117</v>
      </c>
      <c r="P500">
        <v>25</v>
      </c>
    </row>
    <row r="501" spans="1:16" x14ac:dyDescent="0.15">
      <c r="A501" s="29" t="str">
        <f t="shared" si="65"/>
        <v>20007_1_25</v>
      </c>
      <c r="B501" s="27" t="s">
        <v>33</v>
      </c>
      <c r="C501" s="5">
        <v>20007</v>
      </c>
      <c r="D501" s="4" t="str">
        <f ca="1">VLOOKUP($C501,OFFSET([1]quests!$A$1,0,0,COUNTA([1]quests!$A:$A),MATCH(D$1,[1]quests!$1:$1,0)-MATCH($C$1,[1]quests!$1:$1,0)+1),MATCH(D$1,[1]quests!$1:$1,0)-MATCH($C$1,[1]quests!$1:$1,0)+1,FALSE)</f>
        <v>女王陛下の処刑龍</v>
      </c>
      <c r="E501" s="4" t="str">
        <f ca="1">VLOOKUP($C501,OFFSET([1]quests!$A$1,0,0,COUNTA([1]quests!$A:$A),MATCH(E$1,[1]quests!$1:$1,0)-MATCH($C$1,[1]quests!$1:$1,0)+1),MATCH(E$1,[1]quests!$1:$1,0)-MATCH($C$1,[1]quests!$1:$1,0)+1,FALSE)</f>
        <v>ドロップイベント2-1</v>
      </c>
      <c r="F501" s="6">
        <v>1</v>
      </c>
      <c r="G501" s="4" t="str">
        <f ca="1">VLOOKUP($C501&amp;"_"&amp;$F501,OFFSET([1]stages!$A$1,0,0,COUNTA([1]stages!$A:$A),MATCH(G$1,[1]stages!$2:$2,0)-MATCH("temp_stage",[1]stages!$2:$2,0)+1),MATCH(G$1,[1]stages!$2:$2,0)-MATCH("temp_stage",[1]stages!$2:$2,0)+1,FALSE)</f>
        <v>【初級】女王陛下の処刑龍</v>
      </c>
      <c r="H501" s="4" t="str">
        <f ca="1">VLOOKUP($C501&amp;"_"&amp;$F501,OFFSET([1]stages!$A$1,0,0,COUNTA([1]stages!$A:$A),MATCH(H$1,[1]stages!$2:$2,0)-MATCH("temp_stage",[1]stages!$2:$2,0)+1),MATCH(H$1,[1]stages!$2:$2,0)-MATCH("temp_stage",[1]stages!$2:$2,0)+1,FALSE)</f>
        <v>ドロップイベント2-1</v>
      </c>
      <c r="I501" s="19">
        <v>0</v>
      </c>
      <c r="J501" s="6">
        <f>COUNTIF(C$1:C501,C501)</f>
        <v>25</v>
      </c>
      <c r="K501">
        <v>26</v>
      </c>
      <c r="L501" s="6" t="s">
        <v>17</v>
      </c>
      <c r="M501" s="36" t="str">
        <f>VLOOKUP(K501,[2]stage_hints!$A:$C,3,FALSE)</f>
        <v>スキルレベルの効果</v>
      </c>
      <c r="N501" s="37" t="str">
        <f>VLOOKUP(K501,[2]stage_hints!$A:$D,4,FALSE)</f>
        <v>スキルレベルが上がると_x000D_短いターンでスキルを使うことができます</v>
      </c>
      <c r="O501" s="22" t="s">
        <v>117</v>
      </c>
      <c r="P501">
        <v>26</v>
      </c>
    </row>
    <row r="502" spans="1:16" x14ac:dyDescent="0.15">
      <c r="A502" s="29" t="str">
        <f t="shared" ref="A502:A516" si="66">C502&amp;"_"&amp;F502&amp;"_"&amp;J502</f>
        <v>20008_1_1</v>
      </c>
      <c r="B502" s="27" t="s">
        <v>33</v>
      </c>
      <c r="C502" s="5">
        <v>20008</v>
      </c>
      <c r="D502" s="4" t="str">
        <f ca="1">VLOOKUP($C502,OFFSET([1]quests!$A$1,0,0,COUNTA([1]quests!$A:$A),MATCH(D$1,[1]quests!$1:$1,0)-MATCH($C$1,[1]quests!$1:$1,0)+1),MATCH(D$1,[1]quests!$1:$1,0)-MATCH($C$1,[1]quests!$1:$1,0)+1,FALSE)</f>
        <v>天翔ける金轟機龍</v>
      </c>
      <c r="E502" s="4" t="str">
        <f ca="1">VLOOKUP($C502,OFFSET([1]quests!$A$1,0,0,COUNTA([1]quests!$A:$A),MATCH(E$1,[1]quests!$1:$1,0)-MATCH($C$1,[1]quests!$1:$1,0)+1),MATCH(E$1,[1]quests!$1:$1,0)-MATCH($C$1,[1]quests!$1:$1,0)+1,FALSE)</f>
        <v>ドロップイベント2-4</v>
      </c>
      <c r="F502" s="6">
        <v>1</v>
      </c>
      <c r="G502" s="4" t="str">
        <f ca="1">VLOOKUP($C502&amp;"_"&amp;$F502,OFFSET([1]stages!$A$1,0,0,COUNTA([1]stages!$A:$A),MATCH(G$1,[1]stages!$2:$2,0)-MATCH("temp_stage",[1]stages!$2:$2,0)+1),MATCH(G$1,[1]stages!$2:$2,0)-MATCH("temp_stage",[1]stages!$2:$2,0)+1,FALSE)</f>
        <v>【初級】天翔ける金轟機龍</v>
      </c>
      <c r="H502" s="4" t="str">
        <f ca="1">VLOOKUP($C502&amp;"_"&amp;$F502,OFFSET([1]stages!$A$1,0,0,COUNTA([1]stages!$A:$A),MATCH(H$1,[1]stages!$2:$2,0)-MATCH("temp_stage",[1]stages!$2:$2,0)+1),MATCH(H$1,[1]stages!$2:$2,0)-MATCH("temp_stage",[1]stages!$2:$2,0)+1,FALSE)</f>
        <v>ドロップイベント2-4</v>
      </c>
      <c r="I502" s="19">
        <v>0</v>
      </c>
      <c r="J502" s="6">
        <f>COUNTIF(C$1:C502,C502)</f>
        <v>1</v>
      </c>
      <c r="K502">
        <v>1</v>
      </c>
      <c r="L502" s="6" t="s">
        <v>17</v>
      </c>
      <c r="M502" s="36" t="str">
        <f>VLOOKUP(K502,[2]stage_hints!$A:$C,3,FALSE)</f>
        <v>長くつなげて大ダメージ</v>
      </c>
      <c r="N502" s="37" t="str">
        <f>VLOOKUP(K502,[2]stage_hints!$A:$D,4,FALSE)</f>
        <v>パネルを長くつなげるほど_x000D_大ダメージを与えることができます</v>
      </c>
      <c r="O502" s="22" t="s">
        <v>117</v>
      </c>
      <c r="P502">
        <v>1</v>
      </c>
    </row>
    <row r="503" spans="1:16" x14ac:dyDescent="0.15">
      <c r="A503" s="29" t="str">
        <f t="shared" si="66"/>
        <v>20008_1_2</v>
      </c>
      <c r="B503" s="27" t="s">
        <v>33</v>
      </c>
      <c r="C503" s="5">
        <v>20008</v>
      </c>
      <c r="D503" s="4" t="str">
        <f ca="1">VLOOKUP($C503,OFFSET([1]quests!$A$1,0,0,COUNTA([1]quests!$A:$A),MATCH(D$1,[1]quests!$1:$1,0)-MATCH($C$1,[1]quests!$1:$1,0)+1),MATCH(D$1,[1]quests!$1:$1,0)-MATCH($C$1,[1]quests!$1:$1,0)+1,FALSE)</f>
        <v>天翔ける金轟機龍</v>
      </c>
      <c r="E503" s="4" t="str">
        <f ca="1">VLOOKUP($C503,OFFSET([1]quests!$A$1,0,0,COUNTA([1]quests!$A:$A),MATCH(E$1,[1]quests!$1:$1,0)-MATCH($C$1,[1]quests!$1:$1,0)+1),MATCH(E$1,[1]quests!$1:$1,0)-MATCH($C$1,[1]quests!$1:$1,0)+1,FALSE)</f>
        <v>ドロップイベント2-4</v>
      </c>
      <c r="F503" s="6">
        <v>1</v>
      </c>
      <c r="G503" s="4" t="str">
        <f ca="1">VLOOKUP($C503&amp;"_"&amp;$F503,OFFSET([1]stages!$A$1,0,0,COUNTA([1]stages!$A:$A),MATCH(G$1,[1]stages!$2:$2,0)-MATCH("temp_stage",[1]stages!$2:$2,0)+1),MATCH(G$1,[1]stages!$2:$2,0)-MATCH("temp_stage",[1]stages!$2:$2,0)+1,FALSE)</f>
        <v>【初級】天翔ける金轟機龍</v>
      </c>
      <c r="H503" s="4" t="str">
        <f ca="1">VLOOKUP($C503&amp;"_"&amp;$F503,OFFSET([1]stages!$A$1,0,0,COUNTA([1]stages!$A:$A),MATCH(H$1,[1]stages!$2:$2,0)-MATCH("temp_stage",[1]stages!$2:$2,0)+1),MATCH(H$1,[1]stages!$2:$2,0)-MATCH("temp_stage",[1]stages!$2:$2,0)+1,FALSE)</f>
        <v>ドロップイベント2-4</v>
      </c>
      <c r="I503" s="19">
        <v>0</v>
      </c>
      <c r="J503" s="6">
        <f>COUNTIF(C$1:C503,C503)</f>
        <v>2</v>
      </c>
      <c r="K503">
        <v>2</v>
      </c>
      <c r="L503" s="6" t="s">
        <v>17</v>
      </c>
      <c r="M503" s="36" t="str">
        <f>VLOOKUP(K503,[2]stage_hints!$A:$C,3,FALSE)</f>
        <v>属性の相性</v>
      </c>
      <c r="N503" s="37" t="str">
        <f>VLOOKUP(K503,[2]stage_hints!$A:$D,4,FALSE)</f>
        <v>赤＞青　青＞黄　黄＞緑　緑＞赤_x000D_敵属性に最適なパーティがオススメです</v>
      </c>
      <c r="O503" s="22" t="s">
        <v>117</v>
      </c>
      <c r="P503">
        <v>2</v>
      </c>
    </row>
    <row r="504" spans="1:16" x14ac:dyDescent="0.15">
      <c r="A504" s="29" t="str">
        <f t="shared" si="66"/>
        <v>20008_1_3</v>
      </c>
      <c r="B504" s="27" t="s">
        <v>33</v>
      </c>
      <c r="C504" s="5">
        <v>20008</v>
      </c>
      <c r="D504" s="4" t="str">
        <f ca="1">VLOOKUP($C504,OFFSET([1]quests!$A$1,0,0,COUNTA([1]quests!$A:$A),MATCH(D$1,[1]quests!$1:$1,0)-MATCH($C$1,[1]quests!$1:$1,0)+1),MATCH(D$1,[1]quests!$1:$1,0)-MATCH($C$1,[1]quests!$1:$1,0)+1,FALSE)</f>
        <v>天翔ける金轟機龍</v>
      </c>
      <c r="E504" s="4" t="str">
        <f ca="1">VLOOKUP($C504,OFFSET([1]quests!$A$1,0,0,COUNTA([1]quests!$A:$A),MATCH(E$1,[1]quests!$1:$1,0)-MATCH($C$1,[1]quests!$1:$1,0)+1),MATCH(E$1,[1]quests!$1:$1,0)-MATCH($C$1,[1]quests!$1:$1,0)+1,FALSE)</f>
        <v>ドロップイベント2-4</v>
      </c>
      <c r="F504" s="6">
        <v>1</v>
      </c>
      <c r="G504" s="4" t="str">
        <f ca="1">VLOOKUP($C504&amp;"_"&amp;$F504,OFFSET([1]stages!$A$1,0,0,COUNTA([1]stages!$A:$A),MATCH(G$1,[1]stages!$2:$2,0)-MATCH("temp_stage",[1]stages!$2:$2,0)+1),MATCH(G$1,[1]stages!$2:$2,0)-MATCH("temp_stage",[1]stages!$2:$2,0)+1,FALSE)</f>
        <v>【初級】天翔ける金轟機龍</v>
      </c>
      <c r="H504" s="4" t="str">
        <f ca="1">VLOOKUP($C504&amp;"_"&amp;$F504,OFFSET([1]stages!$A$1,0,0,COUNTA([1]stages!$A:$A),MATCH(H$1,[1]stages!$2:$2,0)-MATCH("temp_stage",[1]stages!$2:$2,0)+1),MATCH(H$1,[1]stages!$2:$2,0)-MATCH("temp_stage",[1]stages!$2:$2,0)+1,FALSE)</f>
        <v>ドロップイベント2-4</v>
      </c>
      <c r="I504" s="19">
        <v>0</v>
      </c>
      <c r="J504" s="6">
        <f>COUNTIF(C$1:C504,C504)</f>
        <v>3</v>
      </c>
      <c r="K504">
        <v>3</v>
      </c>
      <c r="L504" s="6" t="s">
        <v>17</v>
      </c>
      <c r="M504" s="36" t="str">
        <f>VLOOKUP(K504,[2]stage_hints!$A:$C,3,FALSE)</f>
        <v>ターゲット</v>
      </c>
      <c r="N504" s="37" t="str">
        <f>VLOOKUP(K504,[2]stage_hints!$A:$D,4,FALSE)</f>
        <v>敵ユニットをタップすると_x000D_その敵を狙い撃ちできます</v>
      </c>
      <c r="O504" s="22" t="s">
        <v>117</v>
      </c>
      <c r="P504">
        <v>3</v>
      </c>
    </row>
    <row r="505" spans="1:16" x14ac:dyDescent="0.15">
      <c r="A505" s="29" t="str">
        <f t="shared" si="66"/>
        <v>20008_1_4</v>
      </c>
      <c r="B505" s="27" t="s">
        <v>33</v>
      </c>
      <c r="C505" s="5">
        <v>20008</v>
      </c>
      <c r="D505" s="4" t="str">
        <f ca="1">VLOOKUP($C505,OFFSET([1]quests!$A$1,0,0,COUNTA([1]quests!$A:$A),MATCH(D$1,[1]quests!$1:$1,0)-MATCH($C$1,[1]quests!$1:$1,0)+1),MATCH(D$1,[1]quests!$1:$1,0)-MATCH($C$1,[1]quests!$1:$1,0)+1,FALSE)</f>
        <v>天翔ける金轟機龍</v>
      </c>
      <c r="E505" s="4" t="str">
        <f ca="1">VLOOKUP($C505,OFFSET([1]quests!$A$1,0,0,COUNTA([1]quests!$A:$A),MATCH(E$1,[1]quests!$1:$1,0)-MATCH($C$1,[1]quests!$1:$1,0)+1),MATCH(E$1,[1]quests!$1:$1,0)-MATCH($C$1,[1]quests!$1:$1,0)+1,FALSE)</f>
        <v>ドロップイベント2-4</v>
      </c>
      <c r="F505" s="6">
        <v>1</v>
      </c>
      <c r="G505" s="4" t="str">
        <f ca="1">VLOOKUP($C505&amp;"_"&amp;$F505,OFFSET([1]stages!$A$1,0,0,COUNTA([1]stages!$A:$A),MATCH(G$1,[1]stages!$2:$2,0)-MATCH("temp_stage",[1]stages!$2:$2,0)+1),MATCH(G$1,[1]stages!$2:$2,0)-MATCH("temp_stage",[1]stages!$2:$2,0)+1,FALSE)</f>
        <v>【初級】天翔ける金轟機龍</v>
      </c>
      <c r="H505" s="4" t="str">
        <f ca="1">VLOOKUP($C505&amp;"_"&amp;$F505,OFFSET([1]stages!$A$1,0,0,COUNTA([1]stages!$A:$A),MATCH(H$1,[1]stages!$2:$2,0)-MATCH("temp_stage",[1]stages!$2:$2,0)+1),MATCH(H$1,[1]stages!$2:$2,0)-MATCH("temp_stage",[1]stages!$2:$2,0)+1,FALSE)</f>
        <v>ドロップイベント2-4</v>
      </c>
      <c r="I505" s="19">
        <v>0</v>
      </c>
      <c r="J505" s="6">
        <f>COUNTIF(C$1:C505,C505)</f>
        <v>4</v>
      </c>
      <c r="K505">
        <v>5</v>
      </c>
      <c r="L505" s="6" t="s">
        <v>17</v>
      </c>
      <c r="M505" s="36" t="str">
        <f>VLOOKUP(K505,[2]stage_hints!$A:$C,3,FALSE)</f>
        <v>ユニット強化でレベルアップ</v>
      </c>
      <c r="N505" s="37" t="str">
        <f>VLOOKUP(K505,[2]stage_hints!$A:$D,4,FALSE)</f>
        <v>「ユニット強化」でレベルアップすると_x000D_勝てない敵にも勝てるようになります</v>
      </c>
      <c r="O505" s="22" t="s">
        <v>117</v>
      </c>
      <c r="P505">
        <v>5</v>
      </c>
    </row>
    <row r="506" spans="1:16" x14ac:dyDescent="0.15">
      <c r="A506" s="29" t="str">
        <f t="shared" si="66"/>
        <v>20008_1_5</v>
      </c>
      <c r="B506" s="27" t="s">
        <v>33</v>
      </c>
      <c r="C506" s="5">
        <v>20008</v>
      </c>
      <c r="D506" s="4" t="str">
        <f ca="1">VLOOKUP($C506,OFFSET([1]quests!$A$1,0,0,COUNTA([1]quests!$A:$A),MATCH(D$1,[1]quests!$1:$1,0)-MATCH($C$1,[1]quests!$1:$1,0)+1),MATCH(D$1,[1]quests!$1:$1,0)-MATCH($C$1,[1]quests!$1:$1,0)+1,FALSE)</f>
        <v>天翔ける金轟機龍</v>
      </c>
      <c r="E506" s="4" t="str">
        <f ca="1">VLOOKUP($C506,OFFSET([1]quests!$A$1,0,0,COUNTA([1]quests!$A:$A),MATCH(E$1,[1]quests!$1:$1,0)-MATCH($C$1,[1]quests!$1:$1,0)+1),MATCH(E$1,[1]quests!$1:$1,0)-MATCH($C$1,[1]quests!$1:$1,0)+1,FALSE)</f>
        <v>ドロップイベント2-4</v>
      </c>
      <c r="F506" s="6">
        <v>1</v>
      </c>
      <c r="G506" s="4" t="str">
        <f ca="1">VLOOKUP($C506&amp;"_"&amp;$F506,OFFSET([1]stages!$A$1,0,0,COUNTA([1]stages!$A:$A),MATCH(G$1,[1]stages!$2:$2,0)-MATCH("temp_stage",[1]stages!$2:$2,0)+1),MATCH(G$1,[1]stages!$2:$2,0)-MATCH("temp_stage",[1]stages!$2:$2,0)+1,FALSE)</f>
        <v>【初級】天翔ける金轟機龍</v>
      </c>
      <c r="H506" s="4" t="str">
        <f ca="1">VLOOKUP($C506&amp;"_"&amp;$F506,OFFSET([1]stages!$A$1,0,0,COUNTA([1]stages!$A:$A),MATCH(H$1,[1]stages!$2:$2,0)-MATCH("temp_stage",[1]stages!$2:$2,0)+1),MATCH(H$1,[1]stages!$2:$2,0)-MATCH("temp_stage",[1]stages!$2:$2,0)+1,FALSE)</f>
        <v>ドロップイベント2-4</v>
      </c>
      <c r="I506" s="19">
        <v>0</v>
      </c>
      <c r="J506" s="6">
        <f>COUNTIF(C$1:C506,C506)</f>
        <v>5</v>
      </c>
      <c r="K506">
        <v>6</v>
      </c>
      <c r="L506" s="6" t="s">
        <v>17</v>
      </c>
      <c r="M506" s="36" t="str">
        <f>VLOOKUP(K506,[2]stage_hints!$A:$C,3,FALSE)</f>
        <v>ユニット強化の属性ボーナス</v>
      </c>
      <c r="N506" s="37" t="str">
        <f>VLOOKUP(K506,[2]stage_hints!$A:$D,4,FALSE)</f>
        <v>同属性ユニットを強化素材にすると_x000D_経験値が多くもらえます</v>
      </c>
      <c r="O506" s="22" t="s">
        <v>117</v>
      </c>
      <c r="P506">
        <v>6</v>
      </c>
    </row>
    <row r="507" spans="1:16" x14ac:dyDescent="0.15">
      <c r="A507" s="29" t="str">
        <f t="shared" si="66"/>
        <v>20008_1_6</v>
      </c>
      <c r="B507" s="27" t="s">
        <v>33</v>
      </c>
      <c r="C507" s="5">
        <v>20008</v>
      </c>
      <c r="D507" s="4" t="str">
        <f ca="1">VLOOKUP($C507,OFFSET([1]quests!$A$1,0,0,COUNTA([1]quests!$A:$A),MATCH(D$1,[1]quests!$1:$1,0)-MATCH($C$1,[1]quests!$1:$1,0)+1),MATCH(D$1,[1]quests!$1:$1,0)-MATCH($C$1,[1]quests!$1:$1,0)+1,FALSE)</f>
        <v>天翔ける金轟機龍</v>
      </c>
      <c r="E507" s="4" t="str">
        <f ca="1">VLOOKUP($C507,OFFSET([1]quests!$A$1,0,0,COUNTA([1]quests!$A:$A),MATCH(E$1,[1]quests!$1:$1,0)-MATCH($C$1,[1]quests!$1:$1,0)+1),MATCH(E$1,[1]quests!$1:$1,0)-MATCH($C$1,[1]quests!$1:$1,0)+1,FALSE)</f>
        <v>ドロップイベント2-4</v>
      </c>
      <c r="F507" s="6">
        <v>1</v>
      </c>
      <c r="G507" s="4" t="str">
        <f ca="1">VLOOKUP($C507&amp;"_"&amp;$F507,OFFSET([1]stages!$A$1,0,0,COUNTA([1]stages!$A:$A),MATCH(G$1,[1]stages!$2:$2,0)-MATCH("temp_stage",[1]stages!$2:$2,0)+1),MATCH(G$1,[1]stages!$2:$2,0)-MATCH("temp_stage",[1]stages!$2:$2,0)+1,FALSE)</f>
        <v>【初級】天翔ける金轟機龍</v>
      </c>
      <c r="H507" s="4" t="str">
        <f ca="1">VLOOKUP($C507&amp;"_"&amp;$F507,OFFSET([1]stages!$A$1,0,0,COUNTA([1]stages!$A:$A),MATCH(H$1,[1]stages!$2:$2,0)-MATCH("temp_stage",[1]stages!$2:$2,0)+1),MATCH(H$1,[1]stages!$2:$2,0)-MATCH("temp_stage",[1]stages!$2:$2,0)+1,FALSE)</f>
        <v>ドロップイベント2-4</v>
      </c>
      <c r="I507" s="19">
        <v>0</v>
      </c>
      <c r="J507" s="6">
        <f>COUNTIF(C$1:C507,C507)</f>
        <v>6</v>
      </c>
      <c r="K507">
        <v>7</v>
      </c>
      <c r="L507" s="6" t="s">
        <v>17</v>
      </c>
      <c r="M507" s="36" t="str">
        <f>VLOOKUP(K507,[2]stage_hints!$A:$C,3,FALSE)</f>
        <v>メタルダックで経験値を獲得</v>
      </c>
      <c r="N507" s="37" t="str">
        <f>VLOOKUP(K507,[2]stage_hints!$A:$D,4,FALSE)</f>
        <v>「メタルなアヒル」を強化素材にすると_x000D_大量の経験値がもらえます</v>
      </c>
      <c r="O507" s="22" t="s">
        <v>117</v>
      </c>
      <c r="P507">
        <v>7</v>
      </c>
    </row>
    <row r="508" spans="1:16" x14ac:dyDescent="0.15">
      <c r="A508" s="29" t="str">
        <f t="shared" si="66"/>
        <v>20008_1_7</v>
      </c>
      <c r="B508" s="27" t="s">
        <v>33</v>
      </c>
      <c r="C508" s="5">
        <v>20008</v>
      </c>
      <c r="D508" s="4" t="str">
        <f ca="1">VLOOKUP($C508,OFFSET([1]quests!$A$1,0,0,COUNTA([1]quests!$A:$A),MATCH(D$1,[1]quests!$1:$1,0)-MATCH($C$1,[1]quests!$1:$1,0)+1),MATCH(D$1,[1]quests!$1:$1,0)-MATCH($C$1,[1]quests!$1:$1,0)+1,FALSE)</f>
        <v>天翔ける金轟機龍</v>
      </c>
      <c r="E508" s="4" t="str">
        <f ca="1">VLOOKUP($C508,OFFSET([1]quests!$A$1,0,0,COUNTA([1]quests!$A:$A),MATCH(E$1,[1]quests!$1:$1,0)-MATCH($C$1,[1]quests!$1:$1,0)+1),MATCH(E$1,[1]quests!$1:$1,0)-MATCH($C$1,[1]quests!$1:$1,0)+1,FALSE)</f>
        <v>ドロップイベント2-4</v>
      </c>
      <c r="F508" s="6">
        <v>1</v>
      </c>
      <c r="G508" s="4" t="str">
        <f ca="1">VLOOKUP($C508&amp;"_"&amp;$F508,OFFSET([1]stages!$A$1,0,0,COUNTA([1]stages!$A:$A),MATCH(G$1,[1]stages!$2:$2,0)-MATCH("temp_stage",[1]stages!$2:$2,0)+1),MATCH(G$1,[1]stages!$2:$2,0)-MATCH("temp_stage",[1]stages!$2:$2,0)+1,FALSE)</f>
        <v>【初級】天翔ける金轟機龍</v>
      </c>
      <c r="H508" s="4" t="str">
        <f ca="1">VLOOKUP($C508&amp;"_"&amp;$F508,OFFSET([1]stages!$A$1,0,0,COUNTA([1]stages!$A:$A),MATCH(H$1,[1]stages!$2:$2,0)-MATCH("temp_stage",[1]stages!$2:$2,0)+1),MATCH(H$1,[1]stages!$2:$2,0)-MATCH("temp_stage",[1]stages!$2:$2,0)+1,FALSE)</f>
        <v>ドロップイベント2-4</v>
      </c>
      <c r="I508" s="19">
        <v>0</v>
      </c>
      <c r="J508" s="6">
        <f>COUNTIF(C$1:C508,C508)</f>
        <v>7</v>
      </c>
      <c r="K508">
        <v>8</v>
      </c>
      <c r="L508" s="6" t="s">
        <v>17</v>
      </c>
      <c r="M508" s="36" t="str">
        <f>VLOOKUP(K508,[2]stage_hints!$A:$C,3,FALSE)</f>
        <v>ゲリラクエストは要チェック</v>
      </c>
      <c r="N508" s="37" t="str">
        <f>VLOOKUP(K508,[2]stage_hints!$A:$D,4,FALSE)</f>
        <v>時間限定の「アヒル捕獲作戦」では_x000D_経験値素材ユニットが多く手に入ります</v>
      </c>
      <c r="O508" s="22" t="s">
        <v>117</v>
      </c>
      <c r="P508">
        <v>8</v>
      </c>
    </row>
    <row r="509" spans="1:16" x14ac:dyDescent="0.15">
      <c r="A509" s="29" t="str">
        <f t="shared" si="66"/>
        <v>20008_1_8</v>
      </c>
      <c r="B509" s="27" t="s">
        <v>33</v>
      </c>
      <c r="C509" s="5">
        <v>20008</v>
      </c>
      <c r="D509" s="4" t="str">
        <f ca="1">VLOOKUP($C509,OFFSET([1]quests!$A$1,0,0,COUNTA([1]quests!$A:$A),MATCH(D$1,[1]quests!$1:$1,0)-MATCH($C$1,[1]quests!$1:$1,0)+1),MATCH(D$1,[1]quests!$1:$1,0)-MATCH($C$1,[1]quests!$1:$1,0)+1,FALSE)</f>
        <v>天翔ける金轟機龍</v>
      </c>
      <c r="E509" s="4" t="str">
        <f ca="1">VLOOKUP($C509,OFFSET([1]quests!$A$1,0,0,COUNTA([1]quests!$A:$A),MATCH(E$1,[1]quests!$1:$1,0)-MATCH($C$1,[1]quests!$1:$1,0)+1),MATCH(E$1,[1]quests!$1:$1,0)-MATCH($C$1,[1]quests!$1:$1,0)+1,FALSE)</f>
        <v>ドロップイベント2-4</v>
      </c>
      <c r="F509" s="6">
        <v>1</v>
      </c>
      <c r="G509" s="4" t="str">
        <f ca="1">VLOOKUP($C509&amp;"_"&amp;$F509,OFFSET([1]stages!$A$1,0,0,COUNTA([1]stages!$A:$A),MATCH(G$1,[1]stages!$2:$2,0)-MATCH("temp_stage",[1]stages!$2:$2,0)+1),MATCH(G$1,[1]stages!$2:$2,0)-MATCH("temp_stage",[1]stages!$2:$2,0)+1,FALSE)</f>
        <v>【初級】天翔ける金轟機龍</v>
      </c>
      <c r="H509" s="4" t="str">
        <f ca="1">VLOOKUP($C509&amp;"_"&amp;$F509,OFFSET([1]stages!$A$1,0,0,COUNTA([1]stages!$A:$A),MATCH(H$1,[1]stages!$2:$2,0)-MATCH("temp_stage",[1]stages!$2:$2,0)+1),MATCH(H$1,[1]stages!$2:$2,0)-MATCH("temp_stage",[1]stages!$2:$2,0)+1,FALSE)</f>
        <v>ドロップイベント2-4</v>
      </c>
      <c r="I509" s="19">
        <v>0</v>
      </c>
      <c r="J509" s="6">
        <f>COUNTIF(C$1:C509,C509)</f>
        <v>8</v>
      </c>
      <c r="K509">
        <v>9</v>
      </c>
      <c r="L509" s="6" t="s">
        <v>17</v>
      </c>
      <c r="M509" s="36" t="str">
        <f>VLOOKUP(K509,[2]stage_hints!$A:$C,3,FALSE)</f>
        <v>ゴールドダックでビットを獲得</v>
      </c>
      <c r="N509" s="37" t="str">
        <f>VLOOKUP(K509,[2]stage_hints!$A:$D,4,FALSE)</f>
        <v>「ゴールドなアヒル」を売却すると_x000D_大量のビットがもらえます</v>
      </c>
      <c r="O509" s="22" t="s">
        <v>117</v>
      </c>
      <c r="P509">
        <v>9</v>
      </c>
    </row>
    <row r="510" spans="1:16" x14ac:dyDescent="0.15">
      <c r="A510" s="29" t="str">
        <f t="shared" si="66"/>
        <v>20008_1_9</v>
      </c>
      <c r="B510" s="27" t="s">
        <v>33</v>
      </c>
      <c r="C510" s="5">
        <v>20008</v>
      </c>
      <c r="D510" s="4" t="str">
        <f ca="1">VLOOKUP($C510,OFFSET([1]quests!$A$1,0,0,COUNTA([1]quests!$A:$A),MATCH(D$1,[1]quests!$1:$1,0)-MATCH($C$1,[1]quests!$1:$1,0)+1),MATCH(D$1,[1]quests!$1:$1,0)-MATCH($C$1,[1]quests!$1:$1,0)+1,FALSE)</f>
        <v>天翔ける金轟機龍</v>
      </c>
      <c r="E510" s="4" t="str">
        <f ca="1">VLOOKUP($C510,OFFSET([1]quests!$A$1,0,0,COUNTA([1]quests!$A:$A),MATCH(E$1,[1]quests!$1:$1,0)-MATCH($C$1,[1]quests!$1:$1,0)+1),MATCH(E$1,[1]quests!$1:$1,0)-MATCH($C$1,[1]quests!$1:$1,0)+1,FALSE)</f>
        <v>ドロップイベント2-4</v>
      </c>
      <c r="F510" s="6">
        <v>1</v>
      </c>
      <c r="G510" s="4" t="str">
        <f ca="1">VLOOKUP($C510&amp;"_"&amp;$F510,OFFSET([1]stages!$A$1,0,0,COUNTA([1]stages!$A:$A),MATCH(G$1,[1]stages!$2:$2,0)-MATCH("temp_stage",[1]stages!$2:$2,0)+1),MATCH(G$1,[1]stages!$2:$2,0)-MATCH("temp_stage",[1]stages!$2:$2,0)+1,FALSE)</f>
        <v>【初級】天翔ける金轟機龍</v>
      </c>
      <c r="H510" s="4" t="str">
        <f ca="1">VLOOKUP($C510&amp;"_"&amp;$F510,OFFSET([1]stages!$A$1,0,0,COUNTA([1]stages!$A:$A),MATCH(H$1,[1]stages!$2:$2,0)-MATCH("temp_stage",[1]stages!$2:$2,0)+1),MATCH(H$1,[1]stages!$2:$2,0)-MATCH("temp_stage",[1]stages!$2:$2,0)+1,FALSE)</f>
        <v>ドロップイベント2-4</v>
      </c>
      <c r="I510" s="19">
        <v>0</v>
      </c>
      <c r="J510" s="6">
        <f>COUNTIF(C$1:C510,C510)</f>
        <v>9</v>
      </c>
      <c r="K510">
        <v>10</v>
      </c>
      <c r="L510" s="6" t="s">
        <v>17</v>
      </c>
      <c r="M510" s="36" t="str">
        <f>VLOOKUP(K510,[2]stage_hints!$A:$C,3,FALSE)</f>
        <v>土日に大量のビットを獲得</v>
      </c>
      <c r="N510" s="37" t="str">
        <f>VLOOKUP(K510,[2]stage_hints!$A:$D,4,FALSE)</f>
        <v>土日限定の「ゴールドカジノ」では_x000D_売却素材ユニットが多く手に入ります</v>
      </c>
      <c r="O510" s="22" t="s">
        <v>117</v>
      </c>
      <c r="P510">
        <v>10</v>
      </c>
    </row>
    <row r="511" spans="1:16" x14ac:dyDescent="0.15">
      <c r="A511" s="29" t="str">
        <f t="shared" si="66"/>
        <v>20008_1_10</v>
      </c>
      <c r="B511" s="27" t="s">
        <v>33</v>
      </c>
      <c r="C511" s="5">
        <v>20008</v>
      </c>
      <c r="D511" s="4" t="str">
        <f ca="1">VLOOKUP($C511,OFFSET([1]quests!$A$1,0,0,COUNTA([1]quests!$A:$A),MATCH(D$1,[1]quests!$1:$1,0)-MATCH($C$1,[1]quests!$1:$1,0)+1),MATCH(D$1,[1]quests!$1:$1,0)-MATCH($C$1,[1]quests!$1:$1,0)+1,FALSE)</f>
        <v>天翔ける金轟機龍</v>
      </c>
      <c r="E511" s="4" t="str">
        <f ca="1">VLOOKUP($C511,OFFSET([1]quests!$A$1,0,0,COUNTA([1]quests!$A:$A),MATCH(E$1,[1]quests!$1:$1,0)-MATCH($C$1,[1]quests!$1:$1,0)+1),MATCH(E$1,[1]quests!$1:$1,0)-MATCH($C$1,[1]quests!$1:$1,0)+1,FALSE)</f>
        <v>ドロップイベント2-4</v>
      </c>
      <c r="F511" s="6">
        <v>1</v>
      </c>
      <c r="G511" s="4" t="str">
        <f ca="1">VLOOKUP($C511&amp;"_"&amp;$F511,OFFSET([1]stages!$A$1,0,0,COUNTA([1]stages!$A:$A),MATCH(G$1,[1]stages!$2:$2,0)-MATCH("temp_stage",[1]stages!$2:$2,0)+1),MATCH(G$1,[1]stages!$2:$2,0)-MATCH("temp_stage",[1]stages!$2:$2,0)+1,FALSE)</f>
        <v>【初級】天翔ける金轟機龍</v>
      </c>
      <c r="H511" s="4" t="str">
        <f ca="1">VLOOKUP($C511&amp;"_"&amp;$F511,OFFSET([1]stages!$A$1,0,0,COUNTA([1]stages!$A:$A),MATCH(H$1,[1]stages!$2:$2,0)-MATCH("temp_stage",[1]stages!$2:$2,0)+1),MATCH(H$1,[1]stages!$2:$2,0)-MATCH("temp_stage",[1]stages!$2:$2,0)+1,FALSE)</f>
        <v>ドロップイベント2-4</v>
      </c>
      <c r="I511" s="19">
        <v>0</v>
      </c>
      <c r="J511" s="6">
        <f>COUNTIF(C$1:C511,C511)</f>
        <v>10</v>
      </c>
      <c r="K511">
        <v>11</v>
      </c>
      <c r="L511" s="6" t="s">
        <v>17</v>
      </c>
      <c r="M511" s="36" t="str">
        <f>VLOOKUP(K511,[2]stage_hints!$A:$C,3,FALSE)</f>
        <v>ランク解放クエスト</v>
      </c>
      <c r="N511" s="37" t="str">
        <f>VLOOKUP(K511,[2]stage_hints!$A:$D,4,FALSE)</f>
        <v>一定ランクに到達すると_x000D_報酬付きのランク開放クエストが現れます</v>
      </c>
      <c r="O511" s="22" t="s">
        <v>117</v>
      </c>
      <c r="P511">
        <v>11</v>
      </c>
    </row>
    <row r="512" spans="1:16" x14ac:dyDescent="0.15">
      <c r="A512" s="29" t="str">
        <f t="shared" si="66"/>
        <v>20008_1_11</v>
      </c>
      <c r="B512" s="27" t="s">
        <v>33</v>
      </c>
      <c r="C512" s="5">
        <v>20008</v>
      </c>
      <c r="D512" s="4" t="str">
        <f ca="1">VLOOKUP($C512,OFFSET([1]quests!$A$1,0,0,COUNTA([1]quests!$A:$A),MATCH(D$1,[1]quests!$1:$1,0)-MATCH($C$1,[1]quests!$1:$1,0)+1),MATCH(D$1,[1]quests!$1:$1,0)-MATCH($C$1,[1]quests!$1:$1,0)+1,FALSE)</f>
        <v>天翔ける金轟機龍</v>
      </c>
      <c r="E512" s="4" t="str">
        <f ca="1">VLOOKUP($C512,OFFSET([1]quests!$A$1,0,0,COUNTA([1]quests!$A:$A),MATCH(E$1,[1]quests!$1:$1,0)-MATCH($C$1,[1]quests!$1:$1,0)+1),MATCH(E$1,[1]quests!$1:$1,0)-MATCH($C$1,[1]quests!$1:$1,0)+1,FALSE)</f>
        <v>ドロップイベント2-4</v>
      </c>
      <c r="F512" s="6">
        <v>1</v>
      </c>
      <c r="G512" s="4" t="str">
        <f ca="1">VLOOKUP($C512&amp;"_"&amp;$F512,OFFSET([1]stages!$A$1,0,0,COUNTA([1]stages!$A:$A),MATCH(G$1,[1]stages!$2:$2,0)-MATCH("temp_stage",[1]stages!$2:$2,0)+1),MATCH(G$1,[1]stages!$2:$2,0)-MATCH("temp_stage",[1]stages!$2:$2,0)+1,FALSE)</f>
        <v>【初級】天翔ける金轟機龍</v>
      </c>
      <c r="H512" s="4" t="str">
        <f ca="1">VLOOKUP($C512&amp;"_"&amp;$F512,OFFSET([1]stages!$A$1,0,0,COUNTA([1]stages!$A:$A),MATCH(H$1,[1]stages!$2:$2,0)-MATCH("temp_stage",[1]stages!$2:$2,0)+1),MATCH(H$1,[1]stages!$2:$2,0)-MATCH("temp_stage",[1]stages!$2:$2,0)+1,FALSE)</f>
        <v>ドロップイベント2-4</v>
      </c>
      <c r="I512" s="19">
        <v>0</v>
      </c>
      <c r="J512" s="6">
        <f>COUNTIF(C$1:C512,C512)</f>
        <v>11</v>
      </c>
      <c r="K512">
        <v>12</v>
      </c>
      <c r="L512" s="6" t="s">
        <v>17</v>
      </c>
      <c r="M512" s="36" t="str">
        <f>VLOOKUP(K512,[2]stage_hints!$A:$C,3,FALSE)</f>
        <v>ユニットのお気に入り登録</v>
      </c>
      <c r="N512" s="37" t="str">
        <f>VLOOKUP(K512,[2]stage_hints!$A:$D,4,FALSE)</f>
        <v>大事なユニットを誤って消さないように_x000D_フォルダから「お気に入り登録」しましょう</v>
      </c>
      <c r="O512" s="22" t="s">
        <v>117</v>
      </c>
      <c r="P512">
        <v>12</v>
      </c>
    </row>
    <row r="513" spans="1:16" x14ac:dyDescent="0.15">
      <c r="A513" s="29" t="str">
        <f t="shared" si="66"/>
        <v>20008_1_12</v>
      </c>
      <c r="B513" s="27" t="s">
        <v>33</v>
      </c>
      <c r="C513" s="5">
        <v>20008</v>
      </c>
      <c r="D513" s="4" t="str">
        <f ca="1">VLOOKUP($C513,OFFSET([1]quests!$A$1,0,0,COUNTA([1]quests!$A:$A),MATCH(D$1,[1]quests!$1:$1,0)-MATCH($C$1,[1]quests!$1:$1,0)+1),MATCH(D$1,[1]quests!$1:$1,0)-MATCH($C$1,[1]quests!$1:$1,0)+1,FALSE)</f>
        <v>天翔ける金轟機龍</v>
      </c>
      <c r="E513" s="4" t="str">
        <f ca="1">VLOOKUP($C513,OFFSET([1]quests!$A$1,0,0,COUNTA([1]quests!$A:$A),MATCH(E$1,[1]quests!$1:$1,0)-MATCH($C$1,[1]quests!$1:$1,0)+1),MATCH(E$1,[1]quests!$1:$1,0)-MATCH($C$1,[1]quests!$1:$1,0)+1,FALSE)</f>
        <v>ドロップイベント2-4</v>
      </c>
      <c r="F513" s="6">
        <v>1</v>
      </c>
      <c r="G513" s="4" t="str">
        <f ca="1">VLOOKUP($C513&amp;"_"&amp;$F513,OFFSET([1]stages!$A$1,0,0,COUNTA([1]stages!$A:$A),MATCH(G$1,[1]stages!$2:$2,0)-MATCH("temp_stage",[1]stages!$2:$2,0)+1),MATCH(G$1,[1]stages!$2:$2,0)-MATCH("temp_stage",[1]stages!$2:$2,0)+1,FALSE)</f>
        <v>【初級】天翔ける金轟機龍</v>
      </c>
      <c r="H513" s="4" t="str">
        <f ca="1">VLOOKUP($C513&amp;"_"&amp;$F513,OFFSET([1]stages!$A$1,0,0,COUNTA([1]stages!$A:$A),MATCH(H$1,[1]stages!$2:$2,0)-MATCH("temp_stage",[1]stages!$2:$2,0)+1),MATCH(H$1,[1]stages!$2:$2,0)-MATCH("temp_stage",[1]stages!$2:$2,0)+1,FALSE)</f>
        <v>ドロップイベント2-4</v>
      </c>
      <c r="I513" s="19">
        <v>0</v>
      </c>
      <c r="J513" s="6">
        <f>COUNTIF(C$1:C513,C513)</f>
        <v>12</v>
      </c>
      <c r="K513">
        <v>13</v>
      </c>
      <c r="L513" s="6" t="s">
        <v>17</v>
      </c>
      <c r="M513" s="36" t="str">
        <f>VLOOKUP(K513,[2]stage_hints!$A:$C,3,FALSE)</f>
        <v>ユニットの覚醒</v>
      </c>
      <c r="N513" s="37" t="str">
        <f>VLOOKUP(K513,[2]stage_hints!$A:$D,4,FALSE)</f>
        <v>ユニットを覚醒させると_x000D_比べものにならない強さが手に入ります</v>
      </c>
      <c r="O513" s="22" t="s">
        <v>117</v>
      </c>
      <c r="P513">
        <v>13</v>
      </c>
    </row>
    <row r="514" spans="1:16" x14ac:dyDescent="0.15">
      <c r="A514" s="29" t="str">
        <f t="shared" si="66"/>
        <v>20008_1_13</v>
      </c>
      <c r="B514" s="27" t="s">
        <v>33</v>
      </c>
      <c r="C514" s="5">
        <v>20008</v>
      </c>
      <c r="D514" s="4" t="str">
        <f ca="1">VLOOKUP($C514,OFFSET([1]quests!$A$1,0,0,COUNTA([1]quests!$A:$A),MATCH(D$1,[1]quests!$1:$1,0)-MATCH($C$1,[1]quests!$1:$1,0)+1),MATCH(D$1,[1]quests!$1:$1,0)-MATCH($C$1,[1]quests!$1:$1,0)+1,FALSE)</f>
        <v>天翔ける金轟機龍</v>
      </c>
      <c r="E514" s="4" t="str">
        <f ca="1">VLOOKUP($C514,OFFSET([1]quests!$A$1,0,0,COUNTA([1]quests!$A:$A),MATCH(E$1,[1]quests!$1:$1,0)-MATCH($C$1,[1]quests!$1:$1,0)+1),MATCH(E$1,[1]quests!$1:$1,0)-MATCH($C$1,[1]quests!$1:$1,0)+1,FALSE)</f>
        <v>ドロップイベント2-4</v>
      </c>
      <c r="F514" s="6">
        <v>1</v>
      </c>
      <c r="G514" s="4" t="str">
        <f ca="1">VLOOKUP($C514&amp;"_"&amp;$F514,OFFSET([1]stages!$A$1,0,0,COUNTA([1]stages!$A:$A),MATCH(G$1,[1]stages!$2:$2,0)-MATCH("temp_stage",[1]stages!$2:$2,0)+1),MATCH(G$1,[1]stages!$2:$2,0)-MATCH("temp_stage",[1]stages!$2:$2,0)+1,FALSE)</f>
        <v>【初級】天翔ける金轟機龍</v>
      </c>
      <c r="H514" s="4" t="str">
        <f ca="1">VLOOKUP($C514&amp;"_"&amp;$F514,OFFSET([1]stages!$A$1,0,0,COUNTA([1]stages!$A:$A),MATCH(H$1,[1]stages!$2:$2,0)-MATCH("temp_stage",[1]stages!$2:$2,0)+1),MATCH(H$1,[1]stages!$2:$2,0)-MATCH("temp_stage",[1]stages!$2:$2,0)+1,FALSE)</f>
        <v>ドロップイベント2-4</v>
      </c>
      <c r="I514" s="19">
        <v>0</v>
      </c>
      <c r="J514" s="6">
        <f>COUNTIF(C$1:C514,C514)</f>
        <v>13</v>
      </c>
      <c r="K514">
        <v>14</v>
      </c>
      <c r="L514" s="6" t="s">
        <v>17</v>
      </c>
      <c r="M514" s="36" t="str">
        <f>VLOOKUP(K514,[2]stage_hints!$A:$C,3,FALSE)</f>
        <v>覚醒するにはレベルを最大に</v>
      </c>
      <c r="N514" s="37" t="str">
        <f>VLOOKUP(K514,[2]stage_hints!$A:$D,4,FALSE)</f>
        <v>覚醒するにはユニットのレベルを_x000D_最大まで上げる必要があります</v>
      </c>
      <c r="O514" s="22" t="s">
        <v>117</v>
      </c>
      <c r="P514">
        <v>14</v>
      </c>
    </row>
    <row r="515" spans="1:16" x14ac:dyDescent="0.15">
      <c r="A515" s="29" t="str">
        <f t="shared" si="66"/>
        <v>20008_1_14</v>
      </c>
      <c r="B515" s="27" t="s">
        <v>33</v>
      </c>
      <c r="C515" s="5">
        <v>20008</v>
      </c>
      <c r="D515" s="4" t="str">
        <f ca="1">VLOOKUP($C515,OFFSET([1]quests!$A$1,0,0,COUNTA([1]quests!$A:$A),MATCH(D$1,[1]quests!$1:$1,0)-MATCH($C$1,[1]quests!$1:$1,0)+1),MATCH(D$1,[1]quests!$1:$1,0)-MATCH($C$1,[1]quests!$1:$1,0)+1,FALSE)</f>
        <v>天翔ける金轟機龍</v>
      </c>
      <c r="E515" s="4" t="str">
        <f ca="1">VLOOKUP($C515,OFFSET([1]quests!$A$1,0,0,COUNTA([1]quests!$A:$A),MATCH(E$1,[1]quests!$1:$1,0)-MATCH($C$1,[1]quests!$1:$1,0)+1),MATCH(E$1,[1]quests!$1:$1,0)-MATCH($C$1,[1]quests!$1:$1,0)+1,FALSE)</f>
        <v>ドロップイベント2-4</v>
      </c>
      <c r="F515" s="6">
        <v>1</v>
      </c>
      <c r="G515" s="4" t="str">
        <f ca="1">VLOOKUP($C515&amp;"_"&amp;$F515,OFFSET([1]stages!$A$1,0,0,COUNTA([1]stages!$A:$A),MATCH(G$1,[1]stages!$2:$2,0)-MATCH("temp_stage",[1]stages!$2:$2,0)+1),MATCH(G$1,[1]stages!$2:$2,0)-MATCH("temp_stage",[1]stages!$2:$2,0)+1,FALSE)</f>
        <v>【初級】天翔ける金轟機龍</v>
      </c>
      <c r="H515" s="4" t="str">
        <f ca="1">VLOOKUP($C515&amp;"_"&amp;$F515,OFFSET([1]stages!$A$1,0,0,COUNTA([1]stages!$A:$A),MATCH(H$1,[1]stages!$2:$2,0)-MATCH("temp_stage",[1]stages!$2:$2,0)+1),MATCH(H$1,[1]stages!$2:$2,0)-MATCH("temp_stage",[1]stages!$2:$2,0)+1,FALSE)</f>
        <v>ドロップイベント2-4</v>
      </c>
      <c r="I515" s="19">
        <v>0</v>
      </c>
      <c r="J515" s="6">
        <f>COUNTIF(C$1:C515,C515)</f>
        <v>14</v>
      </c>
      <c r="K515">
        <v>15</v>
      </c>
      <c r="L515" s="6" t="s">
        <v>17</v>
      </c>
      <c r="M515" s="36" t="str">
        <f>VLOOKUP(K515,[2]stage_hints!$A:$C,3,FALSE)</f>
        <v>覚醒素材を獲得</v>
      </c>
      <c r="N515" s="37" t="str">
        <f>VLOOKUP(K515,[2]stage_hints!$A:$D,4,FALSE)</f>
        <v>「曜日クエスト」では_x000D_ユニットの覚醒に必要な素材が手に入ります</v>
      </c>
      <c r="O515" s="22" t="s">
        <v>117</v>
      </c>
      <c r="P515">
        <v>15</v>
      </c>
    </row>
    <row r="516" spans="1:16" x14ac:dyDescent="0.15">
      <c r="A516" s="29" t="str">
        <f t="shared" si="66"/>
        <v>20008_1_15</v>
      </c>
      <c r="B516" s="27" t="s">
        <v>33</v>
      </c>
      <c r="C516" s="5">
        <v>20008</v>
      </c>
      <c r="D516" s="4" t="str">
        <f ca="1">VLOOKUP($C516,OFFSET([1]quests!$A$1,0,0,COUNTA([1]quests!$A:$A),MATCH(D$1,[1]quests!$1:$1,0)-MATCH($C$1,[1]quests!$1:$1,0)+1),MATCH(D$1,[1]quests!$1:$1,0)-MATCH($C$1,[1]quests!$1:$1,0)+1,FALSE)</f>
        <v>天翔ける金轟機龍</v>
      </c>
      <c r="E516" s="4" t="str">
        <f ca="1">VLOOKUP($C516,OFFSET([1]quests!$A$1,0,0,COUNTA([1]quests!$A:$A),MATCH(E$1,[1]quests!$1:$1,0)-MATCH($C$1,[1]quests!$1:$1,0)+1),MATCH(E$1,[1]quests!$1:$1,0)-MATCH($C$1,[1]quests!$1:$1,0)+1,FALSE)</f>
        <v>ドロップイベント2-4</v>
      </c>
      <c r="F516" s="6">
        <v>1</v>
      </c>
      <c r="G516" s="4" t="str">
        <f ca="1">VLOOKUP($C516&amp;"_"&amp;$F516,OFFSET([1]stages!$A$1,0,0,COUNTA([1]stages!$A:$A),MATCH(G$1,[1]stages!$2:$2,0)-MATCH("temp_stage",[1]stages!$2:$2,0)+1),MATCH(G$1,[1]stages!$2:$2,0)-MATCH("temp_stage",[1]stages!$2:$2,0)+1,FALSE)</f>
        <v>【初級】天翔ける金轟機龍</v>
      </c>
      <c r="H516" s="4" t="str">
        <f ca="1">VLOOKUP($C516&amp;"_"&amp;$F516,OFFSET([1]stages!$A$1,0,0,COUNTA([1]stages!$A:$A),MATCH(H$1,[1]stages!$2:$2,0)-MATCH("temp_stage",[1]stages!$2:$2,0)+1),MATCH(H$1,[1]stages!$2:$2,0)-MATCH("temp_stage",[1]stages!$2:$2,0)+1,FALSE)</f>
        <v>ドロップイベント2-4</v>
      </c>
      <c r="I516" s="19">
        <v>0</v>
      </c>
      <c r="J516" s="6">
        <f>COUNTIF(C$1:C516,C516)</f>
        <v>15</v>
      </c>
      <c r="K516">
        <v>16</v>
      </c>
      <c r="L516" s="6" t="s">
        <v>17</v>
      </c>
      <c r="M516" s="36" t="str">
        <f>VLOOKUP(K516,[2]stage_hints!$A:$C,3,FALSE)</f>
        <v>マルチプレイのメリット（その1）</v>
      </c>
      <c r="N516" s="37" t="str">
        <f>VLOOKUP(K516,[2]stage_hints!$A:$D,4,FALSE)</f>
        <v>他のプレイヤーとマルチプレイで遊ぶと_x000D_ポリゴンがもらえます（100人まで）</v>
      </c>
      <c r="O516" s="22" t="s">
        <v>117</v>
      </c>
      <c r="P516">
        <v>16</v>
      </c>
    </row>
    <row r="517" spans="1:16" x14ac:dyDescent="0.15">
      <c r="A517" s="29" t="str">
        <f t="shared" ref="A517:A530" si="67">C517&amp;"_"&amp;F517&amp;"_"&amp;J517</f>
        <v>20008_1_16</v>
      </c>
      <c r="B517" s="27" t="s">
        <v>33</v>
      </c>
      <c r="C517" s="5">
        <v>20008</v>
      </c>
      <c r="D517" s="4" t="str">
        <f ca="1">VLOOKUP($C517,OFFSET([1]quests!$A$1,0,0,COUNTA([1]quests!$A:$A),MATCH(D$1,[1]quests!$1:$1,0)-MATCH($C$1,[1]quests!$1:$1,0)+1),MATCH(D$1,[1]quests!$1:$1,0)-MATCH($C$1,[1]quests!$1:$1,0)+1,FALSE)</f>
        <v>天翔ける金轟機龍</v>
      </c>
      <c r="E517" s="4" t="str">
        <f ca="1">VLOOKUP($C517,OFFSET([1]quests!$A$1,0,0,COUNTA([1]quests!$A:$A),MATCH(E$1,[1]quests!$1:$1,0)-MATCH($C$1,[1]quests!$1:$1,0)+1),MATCH(E$1,[1]quests!$1:$1,0)-MATCH($C$1,[1]quests!$1:$1,0)+1,FALSE)</f>
        <v>ドロップイベント2-4</v>
      </c>
      <c r="F517" s="6">
        <v>1</v>
      </c>
      <c r="G517" s="4" t="str">
        <f ca="1">VLOOKUP($C517&amp;"_"&amp;$F517,OFFSET([1]stages!$A$1,0,0,COUNTA([1]stages!$A:$A),MATCH(G$1,[1]stages!$2:$2,0)-MATCH("temp_stage",[1]stages!$2:$2,0)+1),MATCH(G$1,[1]stages!$2:$2,0)-MATCH("temp_stage",[1]stages!$2:$2,0)+1,FALSE)</f>
        <v>【初級】天翔ける金轟機龍</v>
      </c>
      <c r="H517" s="4" t="str">
        <f ca="1">VLOOKUP($C517&amp;"_"&amp;$F517,OFFSET([1]stages!$A$1,0,0,COUNTA([1]stages!$A:$A),MATCH(H$1,[1]stages!$2:$2,0)-MATCH("temp_stage",[1]stages!$2:$2,0)+1),MATCH(H$1,[1]stages!$2:$2,0)-MATCH("temp_stage",[1]stages!$2:$2,0)+1,FALSE)</f>
        <v>ドロップイベント2-4</v>
      </c>
      <c r="I517" s="19">
        <v>0</v>
      </c>
      <c r="J517" s="6">
        <f>COUNTIF(C$1:C517,C517)</f>
        <v>16</v>
      </c>
      <c r="K517">
        <v>17</v>
      </c>
      <c r="L517" s="6" t="s">
        <v>17</v>
      </c>
      <c r="M517" s="36" t="str">
        <f>VLOOKUP(K517,[2]stage_hints!$A:$C,3,FALSE)</f>
        <v>リンクガチャ</v>
      </c>
      <c r="N517" s="37" t="str">
        <f>VLOOKUP(K517,[2]stage_hints!$A:$D,4,FALSE)</f>
        <v>無料のリンクガチャを回して_x000D_経験値素材や売却素材を獲得しましょう</v>
      </c>
      <c r="O517" s="22" t="s">
        <v>117</v>
      </c>
      <c r="P517">
        <v>17</v>
      </c>
    </row>
    <row r="518" spans="1:16" x14ac:dyDescent="0.15">
      <c r="A518" s="29" t="str">
        <f t="shared" si="67"/>
        <v>20008_1_17</v>
      </c>
      <c r="B518" s="27" t="s">
        <v>33</v>
      </c>
      <c r="C518" s="5">
        <v>20008</v>
      </c>
      <c r="D518" s="4" t="str">
        <f ca="1">VLOOKUP($C518,OFFSET([1]quests!$A$1,0,0,COUNTA([1]quests!$A:$A),MATCH(D$1,[1]quests!$1:$1,0)-MATCH($C$1,[1]quests!$1:$1,0)+1),MATCH(D$1,[1]quests!$1:$1,0)-MATCH($C$1,[1]quests!$1:$1,0)+1,FALSE)</f>
        <v>天翔ける金轟機龍</v>
      </c>
      <c r="E518" s="4" t="str">
        <f ca="1">VLOOKUP($C518,OFFSET([1]quests!$A$1,0,0,COUNTA([1]quests!$A:$A),MATCH(E$1,[1]quests!$1:$1,0)-MATCH($C$1,[1]quests!$1:$1,0)+1),MATCH(E$1,[1]quests!$1:$1,0)-MATCH($C$1,[1]quests!$1:$1,0)+1,FALSE)</f>
        <v>ドロップイベント2-4</v>
      </c>
      <c r="F518" s="6">
        <v>1</v>
      </c>
      <c r="G518" s="4" t="str">
        <f ca="1">VLOOKUP($C518&amp;"_"&amp;$F518,OFFSET([1]stages!$A$1,0,0,COUNTA([1]stages!$A:$A),MATCH(G$1,[1]stages!$2:$2,0)-MATCH("temp_stage",[1]stages!$2:$2,0)+1),MATCH(G$1,[1]stages!$2:$2,0)-MATCH("temp_stage",[1]stages!$2:$2,0)+1,FALSE)</f>
        <v>【初級】天翔ける金轟機龍</v>
      </c>
      <c r="H518" s="4" t="str">
        <f ca="1">VLOOKUP($C518&amp;"_"&amp;$F518,OFFSET([1]stages!$A$1,0,0,COUNTA([1]stages!$A:$A),MATCH(H$1,[1]stages!$2:$2,0)-MATCH("temp_stage",[1]stages!$2:$2,0)+1),MATCH(H$1,[1]stages!$2:$2,0)-MATCH("temp_stage",[1]stages!$2:$2,0)+1,FALSE)</f>
        <v>ドロップイベント2-4</v>
      </c>
      <c r="I518" s="19">
        <v>0</v>
      </c>
      <c r="J518" s="6">
        <f>COUNTIF(C$1:C518,C518)</f>
        <v>17</v>
      </c>
      <c r="K518">
        <v>18</v>
      </c>
      <c r="L518" s="6" t="s">
        <v>17</v>
      </c>
      <c r="M518" s="36" t="str">
        <f>VLOOKUP(K518,[2]stage_hints!$A:$C,3,FALSE)</f>
        <v>マルチプレイのメリット（その2）</v>
      </c>
      <c r="N518" s="37" t="str">
        <f>VLOOKUP(K518,[2]stage_hints!$A:$D,4,FALSE)</f>
        <v>マルチプレイならリンクが2倍もらえます_x000D_リンクガチャをたくさん回しましょう</v>
      </c>
      <c r="O518" s="22" t="s">
        <v>117</v>
      </c>
      <c r="P518">
        <v>18</v>
      </c>
    </row>
    <row r="519" spans="1:16" x14ac:dyDescent="0.15">
      <c r="A519" s="29" t="str">
        <f t="shared" si="67"/>
        <v>20008_1_18</v>
      </c>
      <c r="B519" s="27" t="s">
        <v>33</v>
      </c>
      <c r="C519" s="5">
        <v>20008</v>
      </c>
      <c r="D519" s="4" t="str">
        <f ca="1">VLOOKUP($C519,OFFSET([1]quests!$A$1,0,0,COUNTA([1]quests!$A:$A),MATCH(D$1,[1]quests!$1:$1,0)-MATCH($C$1,[1]quests!$1:$1,0)+1),MATCH(D$1,[1]quests!$1:$1,0)-MATCH($C$1,[1]quests!$1:$1,0)+1,FALSE)</f>
        <v>天翔ける金轟機龍</v>
      </c>
      <c r="E519" s="4" t="str">
        <f ca="1">VLOOKUP($C519,OFFSET([1]quests!$A$1,0,0,COUNTA([1]quests!$A:$A),MATCH(E$1,[1]quests!$1:$1,0)-MATCH($C$1,[1]quests!$1:$1,0)+1),MATCH(E$1,[1]quests!$1:$1,0)-MATCH($C$1,[1]quests!$1:$1,0)+1,FALSE)</f>
        <v>ドロップイベント2-4</v>
      </c>
      <c r="F519" s="6">
        <v>1</v>
      </c>
      <c r="G519" s="4" t="str">
        <f ca="1">VLOOKUP($C519&amp;"_"&amp;$F519,OFFSET([1]stages!$A$1,0,0,COUNTA([1]stages!$A:$A),MATCH(G$1,[1]stages!$2:$2,0)-MATCH("temp_stage",[1]stages!$2:$2,0)+1),MATCH(G$1,[1]stages!$2:$2,0)-MATCH("temp_stage",[1]stages!$2:$2,0)+1,FALSE)</f>
        <v>【初級】天翔ける金轟機龍</v>
      </c>
      <c r="H519" s="4" t="str">
        <f ca="1">VLOOKUP($C519&amp;"_"&amp;$F519,OFFSET([1]stages!$A$1,0,0,COUNTA([1]stages!$A:$A),MATCH(H$1,[1]stages!$2:$2,0)-MATCH("temp_stage",[1]stages!$2:$2,0)+1),MATCH(H$1,[1]stages!$2:$2,0)-MATCH("temp_stage",[1]stages!$2:$2,0)+1,FALSE)</f>
        <v>ドロップイベント2-4</v>
      </c>
      <c r="I519" s="19">
        <v>0</v>
      </c>
      <c r="J519" s="6">
        <f>COUNTIF(C$1:C519,C519)</f>
        <v>18</v>
      </c>
      <c r="K519">
        <v>19</v>
      </c>
      <c r="L519" s="6" t="s">
        <v>17</v>
      </c>
      <c r="M519" s="36" t="str">
        <f>VLOOKUP(K519,[2]stage_hints!$A:$C,3,FALSE)</f>
        <v>ソロ専用チャレンジタワー</v>
      </c>
      <c r="N519" s="37" t="str">
        <f>VLOOKUP(K519,[2]stage_hints!$A:$D,4,FALSE)</f>
        <v>ソロ専用の「チャレンジタワー」では_x000D_各フロアごとにクリア報酬がもらえます</v>
      </c>
      <c r="O519" s="22" t="s">
        <v>117</v>
      </c>
      <c r="P519">
        <v>19</v>
      </c>
    </row>
    <row r="520" spans="1:16" x14ac:dyDescent="0.15">
      <c r="A520" s="29" t="str">
        <f t="shared" si="67"/>
        <v>20008_1_19</v>
      </c>
      <c r="B520" s="27" t="s">
        <v>33</v>
      </c>
      <c r="C520" s="5">
        <v>20008</v>
      </c>
      <c r="D520" s="4" t="str">
        <f ca="1">VLOOKUP($C520,OFFSET([1]quests!$A$1,0,0,COUNTA([1]quests!$A:$A),MATCH(D$1,[1]quests!$1:$1,0)-MATCH($C$1,[1]quests!$1:$1,0)+1),MATCH(D$1,[1]quests!$1:$1,0)-MATCH($C$1,[1]quests!$1:$1,0)+1,FALSE)</f>
        <v>天翔ける金轟機龍</v>
      </c>
      <c r="E520" s="4" t="str">
        <f ca="1">VLOOKUP($C520,OFFSET([1]quests!$A$1,0,0,COUNTA([1]quests!$A:$A),MATCH(E$1,[1]quests!$1:$1,0)-MATCH($C$1,[1]quests!$1:$1,0)+1),MATCH(E$1,[1]quests!$1:$1,0)-MATCH($C$1,[1]quests!$1:$1,0)+1,FALSE)</f>
        <v>ドロップイベント2-4</v>
      </c>
      <c r="F520" s="6">
        <v>1</v>
      </c>
      <c r="G520" s="4" t="str">
        <f ca="1">VLOOKUP($C520&amp;"_"&amp;$F520,OFFSET([1]stages!$A$1,0,0,COUNTA([1]stages!$A:$A),MATCH(G$1,[1]stages!$2:$2,0)-MATCH("temp_stage",[1]stages!$2:$2,0)+1),MATCH(G$1,[1]stages!$2:$2,0)-MATCH("temp_stage",[1]stages!$2:$2,0)+1,FALSE)</f>
        <v>【初級】天翔ける金轟機龍</v>
      </c>
      <c r="H520" s="4" t="str">
        <f ca="1">VLOOKUP($C520&amp;"_"&amp;$F520,OFFSET([1]stages!$A$1,0,0,COUNTA([1]stages!$A:$A),MATCH(H$1,[1]stages!$2:$2,0)-MATCH("temp_stage",[1]stages!$2:$2,0)+1),MATCH(H$1,[1]stages!$2:$2,0)-MATCH("temp_stage",[1]stages!$2:$2,0)+1,FALSE)</f>
        <v>ドロップイベント2-4</v>
      </c>
      <c r="I520" s="19">
        <v>0</v>
      </c>
      <c r="J520" s="6">
        <f>COUNTIF(C$1:C520,C520)</f>
        <v>19</v>
      </c>
      <c r="K520">
        <v>20</v>
      </c>
      <c r="L520" s="6" t="s">
        <v>17</v>
      </c>
      <c r="M520" s="36" t="str">
        <f>VLOOKUP(K520,[2]stage_hints!$A:$C,3,FALSE)</f>
        <v>マルチプレイのメリット（その3）</v>
      </c>
      <c r="N520" s="37" t="str">
        <f>VLOOKUP(K520,[2]stage_hints!$A:$D,4,FALSE)</f>
        <v>マルチプレイへの参加はエナジー消費ゼロ_x000D_いつでも好きなだけ遊ぶことができます</v>
      </c>
      <c r="O520" s="22" t="s">
        <v>117</v>
      </c>
      <c r="P520">
        <v>20</v>
      </c>
    </row>
    <row r="521" spans="1:16" x14ac:dyDescent="0.15">
      <c r="A521" s="29" t="str">
        <f t="shared" si="67"/>
        <v>20008_1_20</v>
      </c>
      <c r="B521" s="27" t="s">
        <v>33</v>
      </c>
      <c r="C521" s="5">
        <v>20008</v>
      </c>
      <c r="D521" s="4" t="str">
        <f ca="1">VLOOKUP($C521,OFFSET([1]quests!$A$1,0,0,COUNTA([1]quests!$A:$A),MATCH(D$1,[1]quests!$1:$1,0)-MATCH($C$1,[1]quests!$1:$1,0)+1),MATCH(D$1,[1]quests!$1:$1,0)-MATCH($C$1,[1]quests!$1:$1,0)+1,FALSE)</f>
        <v>天翔ける金轟機龍</v>
      </c>
      <c r="E521" s="4" t="str">
        <f ca="1">VLOOKUP($C521,OFFSET([1]quests!$A$1,0,0,COUNTA([1]quests!$A:$A),MATCH(E$1,[1]quests!$1:$1,0)-MATCH($C$1,[1]quests!$1:$1,0)+1),MATCH(E$1,[1]quests!$1:$1,0)-MATCH($C$1,[1]quests!$1:$1,0)+1,FALSE)</f>
        <v>ドロップイベント2-4</v>
      </c>
      <c r="F521" s="6">
        <v>1</v>
      </c>
      <c r="G521" s="4" t="str">
        <f ca="1">VLOOKUP($C521&amp;"_"&amp;$F521,OFFSET([1]stages!$A$1,0,0,COUNTA([1]stages!$A:$A),MATCH(G$1,[1]stages!$2:$2,0)-MATCH("temp_stage",[1]stages!$2:$2,0)+1),MATCH(G$1,[1]stages!$2:$2,0)-MATCH("temp_stage",[1]stages!$2:$2,0)+1,FALSE)</f>
        <v>【初級】天翔ける金轟機龍</v>
      </c>
      <c r="H521" s="4" t="str">
        <f ca="1">VLOOKUP($C521&amp;"_"&amp;$F521,OFFSET([1]stages!$A$1,0,0,COUNTA([1]stages!$A:$A),MATCH(H$1,[1]stages!$2:$2,0)-MATCH("temp_stage",[1]stages!$2:$2,0)+1),MATCH(H$1,[1]stages!$2:$2,0)-MATCH("temp_stage",[1]stages!$2:$2,0)+1,FALSE)</f>
        <v>ドロップイベント2-4</v>
      </c>
      <c r="I521" s="19">
        <v>0</v>
      </c>
      <c r="J521" s="6">
        <f>COUNTIF(C$1:C521,C521)</f>
        <v>20</v>
      </c>
      <c r="K521">
        <v>21</v>
      </c>
      <c r="L521" s="6" t="s">
        <v>17</v>
      </c>
      <c r="M521" s="36" t="str">
        <f>VLOOKUP(K521,[2]stage_hints!$A:$C,3,FALSE)</f>
        <v>スキルを有効に</v>
      </c>
      <c r="N521" s="37" t="str">
        <f>VLOOKUP(K521,[2]stage_hints!$A:$D,4,FALSE)</f>
        <v>ターン経過でユニットのスキルが使えます_x000D_強力スキルでバトルを有利に進めましょう</v>
      </c>
      <c r="O521" s="22" t="s">
        <v>117</v>
      </c>
      <c r="P521">
        <v>21</v>
      </c>
    </row>
    <row r="522" spans="1:16" x14ac:dyDescent="0.15">
      <c r="A522" s="29" t="str">
        <f t="shared" si="67"/>
        <v>20008_1_21</v>
      </c>
      <c r="B522" s="27" t="s">
        <v>33</v>
      </c>
      <c r="C522" s="5">
        <v>20008</v>
      </c>
      <c r="D522" s="4" t="str">
        <f ca="1">VLOOKUP($C522,OFFSET([1]quests!$A$1,0,0,COUNTA([1]quests!$A:$A),MATCH(D$1,[1]quests!$1:$1,0)-MATCH($C$1,[1]quests!$1:$1,0)+1),MATCH(D$1,[1]quests!$1:$1,0)-MATCH($C$1,[1]quests!$1:$1,0)+1,FALSE)</f>
        <v>天翔ける金轟機龍</v>
      </c>
      <c r="E522" s="4" t="str">
        <f ca="1">VLOOKUP($C522,OFFSET([1]quests!$A$1,0,0,COUNTA([1]quests!$A:$A),MATCH(E$1,[1]quests!$1:$1,0)-MATCH($C$1,[1]quests!$1:$1,0)+1),MATCH(E$1,[1]quests!$1:$1,0)-MATCH($C$1,[1]quests!$1:$1,0)+1,FALSE)</f>
        <v>ドロップイベント2-4</v>
      </c>
      <c r="F522" s="6">
        <v>1</v>
      </c>
      <c r="G522" s="4" t="str">
        <f ca="1">VLOOKUP($C522&amp;"_"&amp;$F522,OFFSET([1]stages!$A$1,0,0,COUNTA([1]stages!$A:$A),MATCH(G$1,[1]stages!$2:$2,0)-MATCH("temp_stage",[1]stages!$2:$2,0)+1),MATCH(G$1,[1]stages!$2:$2,0)-MATCH("temp_stage",[1]stages!$2:$2,0)+1,FALSE)</f>
        <v>【初級】天翔ける金轟機龍</v>
      </c>
      <c r="H522" s="4" t="str">
        <f ca="1">VLOOKUP($C522&amp;"_"&amp;$F522,OFFSET([1]stages!$A$1,0,0,COUNTA([1]stages!$A:$A),MATCH(H$1,[1]stages!$2:$2,0)-MATCH("temp_stage",[1]stages!$2:$2,0)+1),MATCH(H$1,[1]stages!$2:$2,0)-MATCH("temp_stage",[1]stages!$2:$2,0)+1,FALSE)</f>
        <v>ドロップイベント2-4</v>
      </c>
      <c r="I522" s="19">
        <v>0</v>
      </c>
      <c r="J522" s="6">
        <f>COUNTIF(C$1:C522,C522)</f>
        <v>21</v>
      </c>
      <c r="K522">
        <v>22</v>
      </c>
      <c r="L522" s="6" t="s">
        <v>17</v>
      </c>
      <c r="M522" s="36" t="str">
        <f>VLOOKUP(K522,[2]stage_hints!$A:$C,3,FALSE)</f>
        <v>フィーバーで一発逆転（その1）</v>
      </c>
      <c r="N522" s="37" t="str">
        <f>VLOOKUP(K522,[2]stage_hints!$A:$D,4,FALSE)</f>
        <v>フィーバーは攻撃と回復を兼ね備えます_x000D_ピンチからの一発逆転を狙いましょう</v>
      </c>
      <c r="O522" s="22" t="s">
        <v>117</v>
      </c>
      <c r="P522">
        <v>22</v>
      </c>
    </row>
    <row r="523" spans="1:16" x14ac:dyDescent="0.15">
      <c r="A523" s="29" t="str">
        <f t="shared" si="67"/>
        <v>20008_1_22</v>
      </c>
      <c r="B523" s="27" t="s">
        <v>33</v>
      </c>
      <c r="C523" s="5">
        <v>20008</v>
      </c>
      <c r="D523" s="4" t="str">
        <f ca="1">VLOOKUP($C523,OFFSET([1]quests!$A$1,0,0,COUNTA([1]quests!$A:$A),MATCH(D$1,[1]quests!$1:$1,0)-MATCH($C$1,[1]quests!$1:$1,0)+1),MATCH(D$1,[1]quests!$1:$1,0)-MATCH($C$1,[1]quests!$1:$1,0)+1,FALSE)</f>
        <v>天翔ける金轟機龍</v>
      </c>
      <c r="E523" s="4" t="str">
        <f ca="1">VLOOKUP($C523,OFFSET([1]quests!$A$1,0,0,COUNTA([1]quests!$A:$A),MATCH(E$1,[1]quests!$1:$1,0)-MATCH($C$1,[1]quests!$1:$1,0)+1),MATCH(E$1,[1]quests!$1:$1,0)-MATCH($C$1,[1]quests!$1:$1,0)+1,FALSE)</f>
        <v>ドロップイベント2-4</v>
      </c>
      <c r="F523" s="6">
        <v>1</v>
      </c>
      <c r="G523" s="4" t="str">
        <f ca="1">VLOOKUP($C523&amp;"_"&amp;$F523,OFFSET([1]stages!$A$1,0,0,COUNTA([1]stages!$A:$A),MATCH(G$1,[1]stages!$2:$2,0)-MATCH("temp_stage",[1]stages!$2:$2,0)+1),MATCH(G$1,[1]stages!$2:$2,0)-MATCH("temp_stage",[1]stages!$2:$2,0)+1,FALSE)</f>
        <v>【初級】天翔ける金轟機龍</v>
      </c>
      <c r="H523" s="4" t="str">
        <f ca="1">VLOOKUP($C523&amp;"_"&amp;$F523,OFFSET([1]stages!$A$1,0,0,COUNTA([1]stages!$A:$A),MATCH(H$1,[1]stages!$2:$2,0)-MATCH("temp_stage",[1]stages!$2:$2,0)+1),MATCH(H$1,[1]stages!$2:$2,0)-MATCH("temp_stage",[1]stages!$2:$2,0)+1,FALSE)</f>
        <v>ドロップイベント2-4</v>
      </c>
      <c r="I523" s="19">
        <v>0</v>
      </c>
      <c r="J523" s="6">
        <f>COUNTIF(C$1:C523,C523)</f>
        <v>22</v>
      </c>
      <c r="K523">
        <v>23</v>
      </c>
      <c r="L523" s="6" t="s">
        <v>17</v>
      </c>
      <c r="M523" s="36" t="str">
        <f>VLOOKUP(K523,[2]stage_hints!$A:$C,3,FALSE)</f>
        <v>フィーバーで一発逆転（その2）</v>
      </c>
      <c r="N523" s="37" t="str">
        <f>VLOOKUP(K523,[2]stage_hints!$A:$D,4,FALSE)</f>
        <v>フィーバー中は虹色のボムパネルを狙って_x000D_画面上のパネルを一気に破壊しましょう</v>
      </c>
      <c r="O523" s="22" t="s">
        <v>117</v>
      </c>
      <c r="P523">
        <v>23</v>
      </c>
    </row>
    <row r="524" spans="1:16" x14ac:dyDescent="0.15">
      <c r="A524" s="29" t="str">
        <f t="shared" si="67"/>
        <v>20008_1_23</v>
      </c>
      <c r="B524" s="27" t="s">
        <v>33</v>
      </c>
      <c r="C524" s="5">
        <v>20008</v>
      </c>
      <c r="D524" s="4" t="str">
        <f ca="1">VLOOKUP($C524,OFFSET([1]quests!$A$1,0,0,COUNTA([1]quests!$A:$A),MATCH(D$1,[1]quests!$1:$1,0)-MATCH($C$1,[1]quests!$1:$1,0)+1),MATCH(D$1,[1]quests!$1:$1,0)-MATCH($C$1,[1]quests!$1:$1,0)+1,FALSE)</f>
        <v>天翔ける金轟機龍</v>
      </c>
      <c r="E524" s="4" t="str">
        <f ca="1">VLOOKUP($C524,OFFSET([1]quests!$A$1,0,0,COUNTA([1]quests!$A:$A),MATCH(E$1,[1]quests!$1:$1,0)-MATCH($C$1,[1]quests!$1:$1,0)+1),MATCH(E$1,[1]quests!$1:$1,0)-MATCH($C$1,[1]quests!$1:$1,0)+1,FALSE)</f>
        <v>ドロップイベント2-4</v>
      </c>
      <c r="F524" s="6">
        <v>1</v>
      </c>
      <c r="G524" s="4" t="str">
        <f ca="1">VLOOKUP($C524&amp;"_"&amp;$F524,OFFSET([1]stages!$A$1,0,0,COUNTA([1]stages!$A:$A),MATCH(G$1,[1]stages!$2:$2,0)-MATCH("temp_stage",[1]stages!$2:$2,0)+1),MATCH(G$1,[1]stages!$2:$2,0)-MATCH("temp_stage",[1]stages!$2:$2,0)+1,FALSE)</f>
        <v>【初級】天翔ける金轟機龍</v>
      </c>
      <c r="H524" s="4" t="str">
        <f ca="1">VLOOKUP($C524&amp;"_"&amp;$F524,OFFSET([1]stages!$A$1,0,0,COUNTA([1]stages!$A:$A),MATCH(H$1,[1]stages!$2:$2,0)-MATCH("temp_stage",[1]stages!$2:$2,0)+1),MATCH(H$1,[1]stages!$2:$2,0)-MATCH("temp_stage",[1]stages!$2:$2,0)+1,FALSE)</f>
        <v>ドロップイベント2-4</v>
      </c>
      <c r="I524" s="19">
        <v>0</v>
      </c>
      <c r="J524" s="6">
        <f>COUNTIF(C$1:C524,C524)</f>
        <v>23</v>
      </c>
      <c r="K524">
        <v>24</v>
      </c>
      <c r="L524" s="6" t="s">
        <v>17</v>
      </c>
      <c r="M524" s="36" t="str">
        <f>VLOOKUP(K524,[2]stage_hints!$A:$C,3,FALSE)</f>
        <v>りんごを使って限界突破</v>
      </c>
      <c r="N524" s="37" t="str">
        <f>VLOOKUP(K524,[2]stage_hints!$A:$D,4,FALSE)</f>
        <v>赤りんご(攻撃力) 青りんご(回復力)_x000D_緑りんご(体力)をユニット強化に使うと_x000D_ステータスが限界突破します（計99個迄）</v>
      </c>
      <c r="O524" s="22" t="s">
        <v>117</v>
      </c>
      <c r="P524">
        <v>24</v>
      </c>
    </row>
    <row r="525" spans="1:16" x14ac:dyDescent="0.15">
      <c r="A525" s="29" t="str">
        <f t="shared" si="67"/>
        <v>20008_1_24</v>
      </c>
      <c r="B525" s="27" t="s">
        <v>33</v>
      </c>
      <c r="C525" s="5">
        <v>20008</v>
      </c>
      <c r="D525" s="4" t="str">
        <f ca="1">VLOOKUP($C525,OFFSET([1]quests!$A$1,0,0,COUNTA([1]quests!$A:$A),MATCH(D$1,[1]quests!$1:$1,0)-MATCH($C$1,[1]quests!$1:$1,0)+1),MATCH(D$1,[1]quests!$1:$1,0)-MATCH($C$1,[1]quests!$1:$1,0)+1,FALSE)</f>
        <v>天翔ける金轟機龍</v>
      </c>
      <c r="E525" s="4" t="str">
        <f ca="1">VLOOKUP($C525,OFFSET([1]quests!$A$1,0,0,COUNTA([1]quests!$A:$A),MATCH(E$1,[1]quests!$1:$1,0)-MATCH($C$1,[1]quests!$1:$1,0)+1),MATCH(E$1,[1]quests!$1:$1,0)-MATCH($C$1,[1]quests!$1:$1,0)+1,FALSE)</f>
        <v>ドロップイベント2-4</v>
      </c>
      <c r="F525" s="6">
        <v>1</v>
      </c>
      <c r="G525" s="4" t="str">
        <f ca="1">VLOOKUP($C525&amp;"_"&amp;$F525,OFFSET([1]stages!$A$1,0,0,COUNTA([1]stages!$A:$A),MATCH(G$1,[1]stages!$2:$2,0)-MATCH("temp_stage",[1]stages!$2:$2,0)+1),MATCH(G$1,[1]stages!$2:$2,0)-MATCH("temp_stage",[1]stages!$2:$2,0)+1,FALSE)</f>
        <v>【初級】天翔ける金轟機龍</v>
      </c>
      <c r="H525" s="4" t="str">
        <f ca="1">VLOOKUP($C525&amp;"_"&amp;$F525,OFFSET([1]stages!$A$1,0,0,COUNTA([1]stages!$A:$A),MATCH(H$1,[1]stages!$2:$2,0)-MATCH("temp_stage",[1]stages!$2:$2,0)+1),MATCH(H$1,[1]stages!$2:$2,0)-MATCH("temp_stage",[1]stages!$2:$2,0)+1,FALSE)</f>
        <v>ドロップイベント2-4</v>
      </c>
      <c r="I525" s="19">
        <v>0</v>
      </c>
      <c r="J525" s="6">
        <f>COUNTIF(C$1:C525,C525)</f>
        <v>24</v>
      </c>
      <c r="K525">
        <v>25</v>
      </c>
      <c r="L525" s="6" t="s">
        <v>17</v>
      </c>
      <c r="M525" s="36" t="str">
        <f>VLOOKUP(K525,[2]stage_hints!$A:$C,3,FALSE)</f>
        <v>スキルレベルアップ</v>
      </c>
      <c r="N525" s="37" t="str">
        <f>VLOOKUP(K525,[2]stage_hints!$A:$D,4,FALSE)</f>
        <v>「クリスタルのりんご」を強化に使うと_x000D_スキルレベルを上げることができます</v>
      </c>
      <c r="O525" s="22" t="s">
        <v>117</v>
      </c>
      <c r="P525">
        <v>25</v>
      </c>
    </row>
    <row r="526" spans="1:16" x14ac:dyDescent="0.15">
      <c r="A526" s="29" t="str">
        <f t="shared" si="67"/>
        <v>20008_1_25</v>
      </c>
      <c r="B526" s="27" t="s">
        <v>33</v>
      </c>
      <c r="C526" s="5">
        <v>20008</v>
      </c>
      <c r="D526" s="4" t="str">
        <f ca="1">VLOOKUP($C526,OFFSET([1]quests!$A$1,0,0,COUNTA([1]quests!$A:$A),MATCH(D$1,[1]quests!$1:$1,0)-MATCH($C$1,[1]quests!$1:$1,0)+1),MATCH(D$1,[1]quests!$1:$1,0)-MATCH($C$1,[1]quests!$1:$1,0)+1,FALSE)</f>
        <v>天翔ける金轟機龍</v>
      </c>
      <c r="E526" s="4" t="str">
        <f ca="1">VLOOKUP($C526,OFFSET([1]quests!$A$1,0,0,COUNTA([1]quests!$A:$A),MATCH(E$1,[1]quests!$1:$1,0)-MATCH($C$1,[1]quests!$1:$1,0)+1),MATCH(E$1,[1]quests!$1:$1,0)-MATCH($C$1,[1]quests!$1:$1,0)+1,FALSE)</f>
        <v>ドロップイベント2-4</v>
      </c>
      <c r="F526" s="6">
        <v>1</v>
      </c>
      <c r="G526" s="4" t="str">
        <f ca="1">VLOOKUP($C526&amp;"_"&amp;$F526,OFFSET([1]stages!$A$1,0,0,COUNTA([1]stages!$A:$A),MATCH(G$1,[1]stages!$2:$2,0)-MATCH("temp_stage",[1]stages!$2:$2,0)+1),MATCH(G$1,[1]stages!$2:$2,0)-MATCH("temp_stage",[1]stages!$2:$2,0)+1,FALSE)</f>
        <v>【初級】天翔ける金轟機龍</v>
      </c>
      <c r="H526" s="4" t="str">
        <f ca="1">VLOOKUP($C526&amp;"_"&amp;$F526,OFFSET([1]stages!$A$1,0,0,COUNTA([1]stages!$A:$A),MATCH(H$1,[1]stages!$2:$2,0)-MATCH("temp_stage",[1]stages!$2:$2,0)+1),MATCH(H$1,[1]stages!$2:$2,0)-MATCH("temp_stage",[1]stages!$2:$2,0)+1,FALSE)</f>
        <v>ドロップイベント2-4</v>
      </c>
      <c r="I526" s="19">
        <v>0</v>
      </c>
      <c r="J526" s="6">
        <f>COUNTIF(C$1:C526,C526)</f>
        <v>25</v>
      </c>
      <c r="K526">
        <v>26</v>
      </c>
      <c r="L526" s="6" t="s">
        <v>17</v>
      </c>
      <c r="M526" s="36" t="str">
        <f>VLOOKUP(K526,[2]stage_hints!$A:$C,3,FALSE)</f>
        <v>スキルレベルの効果</v>
      </c>
      <c r="N526" s="37" t="str">
        <f>VLOOKUP(K526,[2]stage_hints!$A:$D,4,FALSE)</f>
        <v>スキルレベルが上がると_x000D_短いターンでスキルを使うことができます</v>
      </c>
      <c r="O526" s="22" t="s">
        <v>117</v>
      </c>
      <c r="P526">
        <v>26</v>
      </c>
    </row>
    <row r="527" spans="1:16" x14ac:dyDescent="0.15">
      <c r="A527" s="29" t="str">
        <f t="shared" si="67"/>
        <v>20010_1_1</v>
      </c>
      <c r="B527" s="27" t="s">
        <v>33</v>
      </c>
      <c r="C527" s="5">
        <v>20010</v>
      </c>
      <c r="D527" s="4" t="str">
        <f ca="1">VLOOKUP($C527,OFFSET([1]quests!$A$1,0,0,COUNTA([1]quests!$A:$A),MATCH(D$1,[1]quests!$1:$1,0)-MATCH($C$1,[1]quests!$1:$1,0)+1),MATCH(D$1,[1]quests!$1:$1,0)-MATCH($C$1,[1]quests!$1:$1,0)+1,FALSE)</f>
        <v>悪夢の一目惚れ</v>
      </c>
      <c r="E527" s="4" t="str">
        <f ca="1">VLOOKUP($C527,OFFSET([1]quests!$A$1,0,0,COUNTA([1]quests!$A:$A),MATCH(E$1,[1]quests!$1:$1,0)-MATCH($C$1,[1]quests!$1:$1,0)+1),MATCH(E$1,[1]quests!$1:$1,0)-MATCH($C$1,[1]quests!$1:$1,0)+1,FALSE)</f>
        <v>ドロップイベント3</v>
      </c>
      <c r="F527" s="6">
        <v>1</v>
      </c>
      <c r="G527" s="4" t="str">
        <f ca="1">VLOOKUP($C527&amp;"_"&amp;$F527,OFFSET([1]stages!$A$1,0,0,COUNTA([1]stages!$A:$A),MATCH(G$1,[1]stages!$2:$2,0)-MATCH("temp_stage",[1]stages!$2:$2,0)+1),MATCH(G$1,[1]stages!$2:$2,0)-MATCH("temp_stage",[1]stages!$2:$2,0)+1,FALSE)</f>
        <v>【初級】悪夢の一目惚れ</v>
      </c>
      <c r="H527" s="4" t="str">
        <f ca="1">VLOOKUP($C527&amp;"_"&amp;$F527,OFFSET([1]stages!$A$1,0,0,COUNTA([1]stages!$A:$A),MATCH(H$1,[1]stages!$2:$2,0)-MATCH("temp_stage",[1]stages!$2:$2,0)+1),MATCH(H$1,[1]stages!$2:$2,0)-MATCH("temp_stage",[1]stages!$2:$2,0)+1,FALSE)</f>
        <v>ドロップイベント3</v>
      </c>
      <c r="I527" s="19">
        <v>0</v>
      </c>
      <c r="J527" s="6">
        <f>COUNTIF(C$1:C527,C527)</f>
        <v>1</v>
      </c>
      <c r="K527">
        <v>1</v>
      </c>
      <c r="L527" s="6" t="s">
        <v>17</v>
      </c>
      <c r="M527" s="36" t="str">
        <f>VLOOKUP(K527,[2]stage_hints!$A:$C,3,FALSE)</f>
        <v>長くつなげて大ダメージ</v>
      </c>
      <c r="N527" s="37" t="str">
        <f>VLOOKUP(K527,[2]stage_hints!$A:$D,4,FALSE)</f>
        <v>パネルを長くつなげるほど_x000D_大ダメージを与えることができます</v>
      </c>
      <c r="O527" s="22" t="s">
        <v>117</v>
      </c>
      <c r="P527">
        <v>1</v>
      </c>
    </row>
    <row r="528" spans="1:16" x14ac:dyDescent="0.15">
      <c r="A528" s="29" t="str">
        <f t="shared" si="67"/>
        <v>20010_1_2</v>
      </c>
      <c r="B528" s="27" t="s">
        <v>33</v>
      </c>
      <c r="C528" s="5">
        <v>20010</v>
      </c>
      <c r="D528" s="4" t="str">
        <f ca="1">VLOOKUP($C528,OFFSET([1]quests!$A$1,0,0,COUNTA([1]quests!$A:$A),MATCH(D$1,[1]quests!$1:$1,0)-MATCH($C$1,[1]quests!$1:$1,0)+1),MATCH(D$1,[1]quests!$1:$1,0)-MATCH($C$1,[1]quests!$1:$1,0)+1,FALSE)</f>
        <v>悪夢の一目惚れ</v>
      </c>
      <c r="E528" s="4" t="str">
        <f ca="1">VLOOKUP($C528,OFFSET([1]quests!$A$1,0,0,COUNTA([1]quests!$A:$A),MATCH(E$1,[1]quests!$1:$1,0)-MATCH($C$1,[1]quests!$1:$1,0)+1),MATCH(E$1,[1]quests!$1:$1,0)-MATCH($C$1,[1]quests!$1:$1,0)+1,FALSE)</f>
        <v>ドロップイベント3</v>
      </c>
      <c r="F528" s="6">
        <v>1</v>
      </c>
      <c r="G528" s="4" t="str">
        <f ca="1">VLOOKUP($C528&amp;"_"&amp;$F528,OFFSET([1]stages!$A$1,0,0,COUNTA([1]stages!$A:$A),MATCH(G$1,[1]stages!$2:$2,0)-MATCH("temp_stage",[1]stages!$2:$2,0)+1),MATCH(G$1,[1]stages!$2:$2,0)-MATCH("temp_stage",[1]stages!$2:$2,0)+1,FALSE)</f>
        <v>【初級】悪夢の一目惚れ</v>
      </c>
      <c r="H528" s="4" t="str">
        <f ca="1">VLOOKUP($C528&amp;"_"&amp;$F528,OFFSET([1]stages!$A$1,0,0,COUNTA([1]stages!$A:$A),MATCH(H$1,[1]stages!$2:$2,0)-MATCH("temp_stage",[1]stages!$2:$2,0)+1),MATCH(H$1,[1]stages!$2:$2,0)-MATCH("temp_stage",[1]stages!$2:$2,0)+1,FALSE)</f>
        <v>ドロップイベント3</v>
      </c>
      <c r="I528" s="19">
        <v>0</v>
      </c>
      <c r="J528" s="6">
        <f>COUNTIF(C$1:C528,C528)</f>
        <v>2</v>
      </c>
      <c r="K528">
        <v>2</v>
      </c>
      <c r="L528" s="6" t="s">
        <v>17</v>
      </c>
      <c r="M528" s="36" t="str">
        <f>VLOOKUP(K528,[2]stage_hints!$A:$C,3,FALSE)</f>
        <v>属性の相性</v>
      </c>
      <c r="N528" s="37" t="str">
        <f>VLOOKUP(K528,[2]stage_hints!$A:$D,4,FALSE)</f>
        <v>赤＞青　青＞黄　黄＞緑　緑＞赤_x000D_敵属性に最適なパーティがオススメです</v>
      </c>
      <c r="O528" s="22" t="s">
        <v>117</v>
      </c>
      <c r="P528">
        <v>2</v>
      </c>
    </row>
    <row r="529" spans="1:16" x14ac:dyDescent="0.15">
      <c r="A529" s="29" t="str">
        <f t="shared" si="67"/>
        <v>20010_1_3</v>
      </c>
      <c r="B529" s="27" t="s">
        <v>33</v>
      </c>
      <c r="C529" s="5">
        <v>20010</v>
      </c>
      <c r="D529" s="4" t="str">
        <f ca="1">VLOOKUP($C529,OFFSET([1]quests!$A$1,0,0,COUNTA([1]quests!$A:$A),MATCH(D$1,[1]quests!$1:$1,0)-MATCH($C$1,[1]quests!$1:$1,0)+1),MATCH(D$1,[1]quests!$1:$1,0)-MATCH($C$1,[1]quests!$1:$1,0)+1,FALSE)</f>
        <v>悪夢の一目惚れ</v>
      </c>
      <c r="E529" s="4" t="str">
        <f ca="1">VLOOKUP($C529,OFFSET([1]quests!$A$1,0,0,COUNTA([1]quests!$A:$A),MATCH(E$1,[1]quests!$1:$1,0)-MATCH($C$1,[1]quests!$1:$1,0)+1),MATCH(E$1,[1]quests!$1:$1,0)-MATCH($C$1,[1]quests!$1:$1,0)+1,FALSE)</f>
        <v>ドロップイベント3</v>
      </c>
      <c r="F529" s="6">
        <v>1</v>
      </c>
      <c r="G529" s="4" t="str">
        <f ca="1">VLOOKUP($C529&amp;"_"&amp;$F529,OFFSET([1]stages!$A$1,0,0,COUNTA([1]stages!$A:$A),MATCH(G$1,[1]stages!$2:$2,0)-MATCH("temp_stage",[1]stages!$2:$2,0)+1),MATCH(G$1,[1]stages!$2:$2,0)-MATCH("temp_stage",[1]stages!$2:$2,0)+1,FALSE)</f>
        <v>【初級】悪夢の一目惚れ</v>
      </c>
      <c r="H529" s="4" t="str">
        <f ca="1">VLOOKUP($C529&amp;"_"&amp;$F529,OFFSET([1]stages!$A$1,0,0,COUNTA([1]stages!$A:$A),MATCH(H$1,[1]stages!$2:$2,0)-MATCH("temp_stage",[1]stages!$2:$2,0)+1),MATCH(H$1,[1]stages!$2:$2,0)-MATCH("temp_stage",[1]stages!$2:$2,0)+1,FALSE)</f>
        <v>ドロップイベント3</v>
      </c>
      <c r="I529" s="19">
        <v>0</v>
      </c>
      <c r="J529" s="6">
        <f>COUNTIF(C$1:C529,C529)</f>
        <v>3</v>
      </c>
      <c r="K529">
        <v>3</v>
      </c>
      <c r="L529" s="6" t="s">
        <v>17</v>
      </c>
      <c r="M529" s="36" t="str">
        <f>VLOOKUP(K529,[2]stage_hints!$A:$C,3,FALSE)</f>
        <v>ターゲット</v>
      </c>
      <c r="N529" s="37" t="str">
        <f>VLOOKUP(K529,[2]stage_hints!$A:$D,4,FALSE)</f>
        <v>敵ユニットをタップすると_x000D_その敵を狙い撃ちできます</v>
      </c>
      <c r="O529" s="22" t="s">
        <v>117</v>
      </c>
      <c r="P529">
        <v>3</v>
      </c>
    </row>
    <row r="530" spans="1:16" x14ac:dyDescent="0.15">
      <c r="A530" s="29" t="str">
        <f t="shared" si="67"/>
        <v>20010_1_4</v>
      </c>
      <c r="B530" s="27" t="s">
        <v>33</v>
      </c>
      <c r="C530" s="5">
        <v>20010</v>
      </c>
      <c r="D530" s="4" t="str">
        <f ca="1">VLOOKUP($C530,OFFSET([1]quests!$A$1,0,0,COUNTA([1]quests!$A:$A),MATCH(D$1,[1]quests!$1:$1,0)-MATCH($C$1,[1]quests!$1:$1,0)+1),MATCH(D$1,[1]quests!$1:$1,0)-MATCH($C$1,[1]quests!$1:$1,0)+1,FALSE)</f>
        <v>悪夢の一目惚れ</v>
      </c>
      <c r="E530" s="4" t="str">
        <f ca="1">VLOOKUP($C530,OFFSET([1]quests!$A$1,0,0,COUNTA([1]quests!$A:$A),MATCH(E$1,[1]quests!$1:$1,0)-MATCH($C$1,[1]quests!$1:$1,0)+1),MATCH(E$1,[1]quests!$1:$1,0)-MATCH($C$1,[1]quests!$1:$1,0)+1,FALSE)</f>
        <v>ドロップイベント3</v>
      </c>
      <c r="F530" s="6">
        <v>1</v>
      </c>
      <c r="G530" s="4" t="str">
        <f ca="1">VLOOKUP($C530&amp;"_"&amp;$F530,OFFSET([1]stages!$A$1,0,0,COUNTA([1]stages!$A:$A),MATCH(G$1,[1]stages!$2:$2,0)-MATCH("temp_stage",[1]stages!$2:$2,0)+1),MATCH(G$1,[1]stages!$2:$2,0)-MATCH("temp_stage",[1]stages!$2:$2,0)+1,FALSE)</f>
        <v>【初級】悪夢の一目惚れ</v>
      </c>
      <c r="H530" s="4" t="str">
        <f ca="1">VLOOKUP($C530&amp;"_"&amp;$F530,OFFSET([1]stages!$A$1,0,0,COUNTA([1]stages!$A:$A),MATCH(H$1,[1]stages!$2:$2,0)-MATCH("temp_stage",[1]stages!$2:$2,0)+1),MATCH(H$1,[1]stages!$2:$2,0)-MATCH("temp_stage",[1]stages!$2:$2,0)+1,FALSE)</f>
        <v>ドロップイベント3</v>
      </c>
      <c r="I530" s="19">
        <v>0</v>
      </c>
      <c r="J530" s="6">
        <f>COUNTIF(C$1:C530,C530)</f>
        <v>4</v>
      </c>
      <c r="K530">
        <v>5</v>
      </c>
      <c r="L530" s="6" t="s">
        <v>17</v>
      </c>
      <c r="M530" s="36" t="str">
        <f>VLOOKUP(K530,[2]stage_hints!$A:$C,3,FALSE)</f>
        <v>ユニット強化でレベルアップ</v>
      </c>
      <c r="N530" s="37" t="str">
        <f>VLOOKUP(K530,[2]stage_hints!$A:$D,4,FALSE)</f>
        <v>「ユニット強化」でレベルアップすると_x000D_勝てない敵にも勝てるようになります</v>
      </c>
      <c r="O530" s="22" t="s">
        <v>117</v>
      </c>
      <c r="P530">
        <v>5</v>
      </c>
    </row>
    <row r="531" spans="1:16" x14ac:dyDescent="0.15">
      <c r="A531" s="29" t="str">
        <f t="shared" ref="A531:A545" si="68">C531&amp;"_"&amp;F531&amp;"_"&amp;J531</f>
        <v>20010_1_5</v>
      </c>
      <c r="B531" s="27" t="s">
        <v>33</v>
      </c>
      <c r="C531" s="5">
        <v>20010</v>
      </c>
      <c r="D531" s="4" t="str">
        <f ca="1">VLOOKUP($C531,OFFSET([1]quests!$A$1,0,0,COUNTA([1]quests!$A:$A),MATCH(D$1,[1]quests!$1:$1,0)-MATCH($C$1,[1]quests!$1:$1,0)+1),MATCH(D$1,[1]quests!$1:$1,0)-MATCH($C$1,[1]quests!$1:$1,0)+1,FALSE)</f>
        <v>悪夢の一目惚れ</v>
      </c>
      <c r="E531" s="4" t="str">
        <f ca="1">VLOOKUP($C531,OFFSET([1]quests!$A$1,0,0,COUNTA([1]quests!$A:$A),MATCH(E$1,[1]quests!$1:$1,0)-MATCH($C$1,[1]quests!$1:$1,0)+1),MATCH(E$1,[1]quests!$1:$1,0)-MATCH($C$1,[1]quests!$1:$1,0)+1,FALSE)</f>
        <v>ドロップイベント3</v>
      </c>
      <c r="F531" s="6">
        <v>1</v>
      </c>
      <c r="G531" s="4" t="str">
        <f ca="1">VLOOKUP($C531&amp;"_"&amp;$F531,OFFSET([1]stages!$A$1,0,0,COUNTA([1]stages!$A:$A),MATCH(G$1,[1]stages!$2:$2,0)-MATCH("temp_stage",[1]stages!$2:$2,0)+1),MATCH(G$1,[1]stages!$2:$2,0)-MATCH("temp_stage",[1]stages!$2:$2,0)+1,FALSE)</f>
        <v>【初級】悪夢の一目惚れ</v>
      </c>
      <c r="H531" s="4" t="str">
        <f ca="1">VLOOKUP($C531&amp;"_"&amp;$F531,OFFSET([1]stages!$A$1,0,0,COUNTA([1]stages!$A:$A),MATCH(H$1,[1]stages!$2:$2,0)-MATCH("temp_stage",[1]stages!$2:$2,0)+1),MATCH(H$1,[1]stages!$2:$2,0)-MATCH("temp_stage",[1]stages!$2:$2,0)+1,FALSE)</f>
        <v>ドロップイベント3</v>
      </c>
      <c r="I531" s="19">
        <v>0</v>
      </c>
      <c r="J531" s="6">
        <f>COUNTIF(C$1:C531,C531)</f>
        <v>5</v>
      </c>
      <c r="K531">
        <v>6</v>
      </c>
      <c r="L531" s="6" t="s">
        <v>17</v>
      </c>
      <c r="M531" s="36" t="str">
        <f>VLOOKUP(K531,[2]stage_hints!$A:$C,3,FALSE)</f>
        <v>ユニット強化の属性ボーナス</v>
      </c>
      <c r="N531" s="37" t="str">
        <f>VLOOKUP(K531,[2]stage_hints!$A:$D,4,FALSE)</f>
        <v>同属性ユニットを強化素材にすると_x000D_経験値が多くもらえます</v>
      </c>
      <c r="O531" s="22" t="s">
        <v>117</v>
      </c>
      <c r="P531">
        <v>6</v>
      </c>
    </row>
    <row r="532" spans="1:16" x14ac:dyDescent="0.15">
      <c r="A532" s="29" t="str">
        <f t="shared" si="68"/>
        <v>20010_1_6</v>
      </c>
      <c r="B532" s="27" t="s">
        <v>33</v>
      </c>
      <c r="C532" s="5">
        <v>20010</v>
      </c>
      <c r="D532" s="4" t="str">
        <f ca="1">VLOOKUP($C532,OFFSET([1]quests!$A$1,0,0,COUNTA([1]quests!$A:$A),MATCH(D$1,[1]quests!$1:$1,0)-MATCH($C$1,[1]quests!$1:$1,0)+1),MATCH(D$1,[1]quests!$1:$1,0)-MATCH($C$1,[1]quests!$1:$1,0)+1,FALSE)</f>
        <v>悪夢の一目惚れ</v>
      </c>
      <c r="E532" s="4" t="str">
        <f ca="1">VLOOKUP($C532,OFFSET([1]quests!$A$1,0,0,COUNTA([1]quests!$A:$A),MATCH(E$1,[1]quests!$1:$1,0)-MATCH($C$1,[1]quests!$1:$1,0)+1),MATCH(E$1,[1]quests!$1:$1,0)-MATCH($C$1,[1]quests!$1:$1,0)+1,FALSE)</f>
        <v>ドロップイベント3</v>
      </c>
      <c r="F532" s="6">
        <v>1</v>
      </c>
      <c r="G532" s="4" t="str">
        <f ca="1">VLOOKUP($C532&amp;"_"&amp;$F532,OFFSET([1]stages!$A$1,0,0,COUNTA([1]stages!$A:$A),MATCH(G$1,[1]stages!$2:$2,0)-MATCH("temp_stage",[1]stages!$2:$2,0)+1),MATCH(G$1,[1]stages!$2:$2,0)-MATCH("temp_stage",[1]stages!$2:$2,0)+1,FALSE)</f>
        <v>【初級】悪夢の一目惚れ</v>
      </c>
      <c r="H532" s="4" t="str">
        <f ca="1">VLOOKUP($C532&amp;"_"&amp;$F532,OFFSET([1]stages!$A$1,0,0,COUNTA([1]stages!$A:$A),MATCH(H$1,[1]stages!$2:$2,0)-MATCH("temp_stage",[1]stages!$2:$2,0)+1),MATCH(H$1,[1]stages!$2:$2,0)-MATCH("temp_stage",[1]stages!$2:$2,0)+1,FALSE)</f>
        <v>ドロップイベント3</v>
      </c>
      <c r="I532" s="19">
        <v>0</v>
      </c>
      <c r="J532" s="6">
        <f>COUNTIF(C$1:C532,C532)</f>
        <v>6</v>
      </c>
      <c r="K532">
        <v>7</v>
      </c>
      <c r="L532" s="6" t="s">
        <v>17</v>
      </c>
      <c r="M532" s="36" t="str">
        <f>VLOOKUP(K532,[2]stage_hints!$A:$C,3,FALSE)</f>
        <v>メタルダックで経験値を獲得</v>
      </c>
      <c r="N532" s="37" t="str">
        <f>VLOOKUP(K532,[2]stage_hints!$A:$D,4,FALSE)</f>
        <v>「メタルなアヒル」を強化素材にすると_x000D_大量の経験値がもらえます</v>
      </c>
      <c r="O532" s="22" t="s">
        <v>117</v>
      </c>
      <c r="P532">
        <v>7</v>
      </c>
    </row>
    <row r="533" spans="1:16" x14ac:dyDescent="0.15">
      <c r="A533" s="29" t="str">
        <f t="shared" si="68"/>
        <v>20010_1_7</v>
      </c>
      <c r="B533" s="27" t="s">
        <v>33</v>
      </c>
      <c r="C533" s="5">
        <v>20010</v>
      </c>
      <c r="D533" s="4" t="str">
        <f ca="1">VLOOKUP($C533,OFFSET([1]quests!$A$1,0,0,COUNTA([1]quests!$A:$A),MATCH(D$1,[1]quests!$1:$1,0)-MATCH($C$1,[1]quests!$1:$1,0)+1),MATCH(D$1,[1]quests!$1:$1,0)-MATCH($C$1,[1]quests!$1:$1,0)+1,FALSE)</f>
        <v>悪夢の一目惚れ</v>
      </c>
      <c r="E533" s="4" t="str">
        <f ca="1">VLOOKUP($C533,OFFSET([1]quests!$A$1,0,0,COUNTA([1]quests!$A:$A),MATCH(E$1,[1]quests!$1:$1,0)-MATCH($C$1,[1]quests!$1:$1,0)+1),MATCH(E$1,[1]quests!$1:$1,0)-MATCH($C$1,[1]quests!$1:$1,0)+1,FALSE)</f>
        <v>ドロップイベント3</v>
      </c>
      <c r="F533" s="6">
        <v>1</v>
      </c>
      <c r="G533" s="4" t="str">
        <f ca="1">VLOOKUP($C533&amp;"_"&amp;$F533,OFFSET([1]stages!$A$1,0,0,COUNTA([1]stages!$A:$A),MATCH(G$1,[1]stages!$2:$2,0)-MATCH("temp_stage",[1]stages!$2:$2,0)+1),MATCH(G$1,[1]stages!$2:$2,0)-MATCH("temp_stage",[1]stages!$2:$2,0)+1,FALSE)</f>
        <v>【初級】悪夢の一目惚れ</v>
      </c>
      <c r="H533" s="4" t="str">
        <f ca="1">VLOOKUP($C533&amp;"_"&amp;$F533,OFFSET([1]stages!$A$1,0,0,COUNTA([1]stages!$A:$A),MATCH(H$1,[1]stages!$2:$2,0)-MATCH("temp_stage",[1]stages!$2:$2,0)+1),MATCH(H$1,[1]stages!$2:$2,0)-MATCH("temp_stage",[1]stages!$2:$2,0)+1,FALSE)</f>
        <v>ドロップイベント3</v>
      </c>
      <c r="I533" s="19">
        <v>0</v>
      </c>
      <c r="J533" s="6">
        <f>COUNTIF(C$1:C533,C533)</f>
        <v>7</v>
      </c>
      <c r="K533">
        <v>8</v>
      </c>
      <c r="L533" s="6" t="s">
        <v>17</v>
      </c>
      <c r="M533" s="36" t="str">
        <f>VLOOKUP(K533,[2]stage_hints!$A:$C,3,FALSE)</f>
        <v>ゲリラクエストは要チェック</v>
      </c>
      <c r="N533" s="37" t="str">
        <f>VLOOKUP(K533,[2]stage_hints!$A:$D,4,FALSE)</f>
        <v>時間限定の「アヒル捕獲作戦」では_x000D_経験値素材ユニットが多く手に入ります</v>
      </c>
      <c r="O533" s="22" t="s">
        <v>117</v>
      </c>
      <c r="P533">
        <v>8</v>
      </c>
    </row>
    <row r="534" spans="1:16" x14ac:dyDescent="0.15">
      <c r="A534" s="29" t="str">
        <f t="shared" si="68"/>
        <v>20010_1_8</v>
      </c>
      <c r="B534" s="27" t="s">
        <v>33</v>
      </c>
      <c r="C534" s="5">
        <v>20010</v>
      </c>
      <c r="D534" s="4" t="str">
        <f ca="1">VLOOKUP($C534,OFFSET([1]quests!$A$1,0,0,COUNTA([1]quests!$A:$A),MATCH(D$1,[1]quests!$1:$1,0)-MATCH($C$1,[1]quests!$1:$1,0)+1),MATCH(D$1,[1]quests!$1:$1,0)-MATCH($C$1,[1]quests!$1:$1,0)+1,FALSE)</f>
        <v>悪夢の一目惚れ</v>
      </c>
      <c r="E534" s="4" t="str">
        <f ca="1">VLOOKUP($C534,OFFSET([1]quests!$A$1,0,0,COUNTA([1]quests!$A:$A),MATCH(E$1,[1]quests!$1:$1,0)-MATCH($C$1,[1]quests!$1:$1,0)+1),MATCH(E$1,[1]quests!$1:$1,0)-MATCH($C$1,[1]quests!$1:$1,0)+1,FALSE)</f>
        <v>ドロップイベント3</v>
      </c>
      <c r="F534" s="6">
        <v>1</v>
      </c>
      <c r="G534" s="4" t="str">
        <f ca="1">VLOOKUP($C534&amp;"_"&amp;$F534,OFFSET([1]stages!$A$1,0,0,COUNTA([1]stages!$A:$A),MATCH(G$1,[1]stages!$2:$2,0)-MATCH("temp_stage",[1]stages!$2:$2,0)+1),MATCH(G$1,[1]stages!$2:$2,0)-MATCH("temp_stage",[1]stages!$2:$2,0)+1,FALSE)</f>
        <v>【初級】悪夢の一目惚れ</v>
      </c>
      <c r="H534" s="4" t="str">
        <f ca="1">VLOOKUP($C534&amp;"_"&amp;$F534,OFFSET([1]stages!$A$1,0,0,COUNTA([1]stages!$A:$A),MATCH(H$1,[1]stages!$2:$2,0)-MATCH("temp_stage",[1]stages!$2:$2,0)+1),MATCH(H$1,[1]stages!$2:$2,0)-MATCH("temp_stage",[1]stages!$2:$2,0)+1,FALSE)</f>
        <v>ドロップイベント3</v>
      </c>
      <c r="I534" s="19">
        <v>0</v>
      </c>
      <c r="J534" s="6">
        <f>COUNTIF(C$1:C534,C534)</f>
        <v>8</v>
      </c>
      <c r="K534">
        <v>9</v>
      </c>
      <c r="L534" s="6" t="s">
        <v>17</v>
      </c>
      <c r="M534" s="36" t="str">
        <f>VLOOKUP(K534,[2]stage_hints!$A:$C,3,FALSE)</f>
        <v>ゴールドダックでビットを獲得</v>
      </c>
      <c r="N534" s="37" t="str">
        <f>VLOOKUP(K534,[2]stage_hints!$A:$D,4,FALSE)</f>
        <v>「ゴールドなアヒル」を売却すると_x000D_大量のビットがもらえます</v>
      </c>
      <c r="O534" s="22" t="s">
        <v>117</v>
      </c>
      <c r="P534">
        <v>9</v>
      </c>
    </row>
    <row r="535" spans="1:16" x14ac:dyDescent="0.15">
      <c r="A535" s="29" t="str">
        <f t="shared" si="68"/>
        <v>20010_1_9</v>
      </c>
      <c r="B535" s="27" t="s">
        <v>33</v>
      </c>
      <c r="C535" s="5">
        <v>20010</v>
      </c>
      <c r="D535" s="4" t="str">
        <f ca="1">VLOOKUP($C535,OFFSET([1]quests!$A$1,0,0,COUNTA([1]quests!$A:$A),MATCH(D$1,[1]quests!$1:$1,0)-MATCH($C$1,[1]quests!$1:$1,0)+1),MATCH(D$1,[1]quests!$1:$1,0)-MATCH($C$1,[1]quests!$1:$1,0)+1,FALSE)</f>
        <v>悪夢の一目惚れ</v>
      </c>
      <c r="E535" s="4" t="str">
        <f ca="1">VLOOKUP($C535,OFFSET([1]quests!$A$1,0,0,COUNTA([1]quests!$A:$A),MATCH(E$1,[1]quests!$1:$1,0)-MATCH($C$1,[1]quests!$1:$1,0)+1),MATCH(E$1,[1]quests!$1:$1,0)-MATCH($C$1,[1]quests!$1:$1,0)+1,FALSE)</f>
        <v>ドロップイベント3</v>
      </c>
      <c r="F535" s="6">
        <v>1</v>
      </c>
      <c r="G535" s="4" t="str">
        <f ca="1">VLOOKUP($C535&amp;"_"&amp;$F535,OFFSET([1]stages!$A$1,0,0,COUNTA([1]stages!$A:$A),MATCH(G$1,[1]stages!$2:$2,0)-MATCH("temp_stage",[1]stages!$2:$2,0)+1),MATCH(G$1,[1]stages!$2:$2,0)-MATCH("temp_stage",[1]stages!$2:$2,0)+1,FALSE)</f>
        <v>【初級】悪夢の一目惚れ</v>
      </c>
      <c r="H535" s="4" t="str">
        <f ca="1">VLOOKUP($C535&amp;"_"&amp;$F535,OFFSET([1]stages!$A$1,0,0,COUNTA([1]stages!$A:$A),MATCH(H$1,[1]stages!$2:$2,0)-MATCH("temp_stage",[1]stages!$2:$2,0)+1),MATCH(H$1,[1]stages!$2:$2,0)-MATCH("temp_stage",[1]stages!$2:$2,0)+1,FALSE)</f>
        <v>ドロップイベント3</v>
      </c>
      <c r="I535" s="19">
        <v>0</v>
      </c>
      <c r="J535" s="6">
        <f>COUNTIF(C$1:C535,C535)</f>
        <v>9</v>
      </c>
      <c r="K535">
        <v>10</v>
      </c>
      <c r="L535" s="6" t="s">
        <v>17</v>
      </c>
      <c r="M535" s="36" t="str">
        <f>VLOOKUP(K535,[2]stage_hints!$A:$C,3,FALSE)</f>
        <v>土日に大量のビットを獲得</v>
      </c>
      <c r="N535" s="37" t="str">
        <f>VLOOKUP(K535,[2]stage_hints!$A:$D,4,FALSE)</f>
        <v>土日限定の「ゴールドカジノ」では_x000D_売却素材ユニットが多く手に入ります</v>
      </c>
      <c r="O535" s="22" t="s">
        <v>117</v>
      </c>
      <c r="P535">
        <v>10</v>
      </c>
    </row>
    <row r="536" spans="1:16" x14ac:dyDescent="0.15">
      <c r="A536" s="29" t="str">
        <f t="shared" si="68"/>
        <v>20010_1_10</v>
      </c>
      <c r="B536" s="27" t="s">
        <v>33</v>
      </c>
      <c r="C536" s="5">
        <v>20010</v>
      </c>
      <c r="D536" s="4" t="str">
        <f ca="1">VLOOKUP($C536,OFFSET([1]quests!$A$1,0,0,COUNTA([1]quests!$A:$A),MATCH(D$1,[1]quests!$1:$1,0)-MATCH($C$1,[1]quests!$1:$1,0)+1),MATCH(D$1,[1]quests!$1:$1,0)-MATCH($C$1,[1]quests!$1:$1,0)+1,FALSE)</f>
        <v>悪夢の一目惚れ</v>
      </c>
      <c r="E536" s="4" t="str">
        <f ca="1">VLOOKUP($C536,OFFSET([1]quests!$A$1,0,0,COUNTA([1]quests!$A:$A),MATCH(E$1,[1]quests!$1:$1,0)-MATCH($C$1,[1]quests!$1:$1,0)+1),MATCH(E$1,[1]quests!$1:$1,0)-MATCH($C$1,[1]quests!$1:$1,0)+1,FALSE)</f>
        <v>ドロップイベント3</v>
      </c>
      <c r="F536" s="6">
        <v>1</v>
      </c>
      <c r="G536" s="4" t="str">
        <f ca="1">VLOOKUP($C536&amp;"_"&amp;$F536,OFFSET([1]stages!$A$1,0,0,COUNTA([1]stages!$A:$A),MATCH(G$1,[1]stages!$2:$2,0)-MATCH("temp_stage",[1]stages!$2:$2,0)+1),MATCH(G$1,[1]stages!$2:$2,0)-MATCH("temp_stage",[1]stages!$2:$2,0)+1,FALSE)</f>
        <v>【初級】悪夢の一目惚れ</v>
      </c>
      <c r="H536" s="4" t="str">
        <f ca="1">VLOOKUP($C536&amp;"_"&amp;$F536,OFFSET([1]stages!$A$1,0,0,COUNTA([1]stages!$A:$A),MATCH(H$1,[1]stages!$2:$2,0)-MATCH("temp_stage",[1]stages!$2:$2,0)+1),MATCH(H$1,[1]stages!$2:$2,0)-MATCH("temp_stage",[1]stages!$2:$2,0)+1,FALSE)</f>
        <v>ドロップイベント3</v>
      </c>
      <c r="I536" s="19">
        <v>0</v>
      </c>
      <c r="J536" s="6">
        <f>COUNTIF(C$1:C536,C536)</f>
        <v>10</v>
      </c>
      <c r="K536">
        <v>11</v>
      </c>
      <c r="L536" s="6" t="s">
        <v>17</v>
      </c>
      <c r="M536" s="36" t="str">
        <f>VLOOKUP(K536,[2]stage_hints!$A:$C,3,FALSE)</f>
        <v>ランク解放クエスト</v>
      </c>
      <c r="N536" s="37" t="str">
        <f>VLOOKUP(K536,[2]stage_hints!$A:$D,4,FALSE)</f>
        <v>一定ランクに到達すると_x000D_報酬付きのランク開放クエストが現れます</v>
      </c>
      <c r="O536" s="22" t="s">
        <v>117</v>
      </c>
      <c r="P536">
        <v>11</v>
      </c>
    </row>
    <row r="537" spans="1:16" x14ac:dyDescent="0.15">
      <c r="A537" s="29" t="str">
        <f t="shared" si="68"/>
        <v>20010_1_11</v>
      </c>
      <c r="B537" s="27" t="s">
        <v>33</v>
      </c>
      <c r="C537" s="5">
        <v>20010</v>
      </c>
      <c r="D537" s="4" t="str">
        <f ca="1">VLOOKUP($C537,OFFSET([1]quests!$A$1,0,0,COUNTA([1]quests!$A:$A),MATCH(D$1,[1]quests!$1:$1,0)-MATCH($C$1,[1]quests!$1:$1,0)+1),MATCH(D$1,[1]quests!$1:$1,0)-MATCH($C$1,[1]quests!$1:$1,0)+1,FALSE)</f>
        <v>悪夢の一目惚れ</v>
      </c>
      <c r="E537" s="4" t="str">
        <f ca="1">VLOOKUP($C537,OFFSET([1]quests!$A$1,0,0,COUNTA([1]quests!$A:$A),MATCH(E$1,[1]quests!$1:$1,0)-MATCH($C$1,[1]quests!$1:$1,0)+1),MATCH(E$1,[1]quests!$1:$1,0)-MATCH($C$1,[1]quests!$1:$1,0)+1,FALSE)</f>
        <v>ドロップイベント3</v>
      </c>
      <c r="F537" s="6">
        <v>1</v>
      </c>
      <c r="G537" s="4" t="str">
        <f ca="1">VLOOKUP($C537&amp;"_"&amp;$F537,OFFSET([1]stages!$A$1,0,0,COUNTA([1]stages!$A:$A),MATCH(G$1,[1]stages!$2:$2,0)-MATCH("temp_stage",[1]stages!$2:$2,0)+1),MATCH(G$1,[1]stages!$2:$2,0)-MATCH("temp_stage",[1]stages!$2:$2,0)+1,FALSE)</f>
        <v>【初級】悪夢の一目惚れ</v>
      </c>
      <c r="H537" s="4" t="str">
        <f ca="1">VLOOKUP($C537&amp;"_"&amp;$F537,OFFSET([1]stages!$A$1,0,0,COUNTA([1]stages!$A:$A),MATCH(H$1,[1]stages!$2:$2,0)-MATCH("temp_stage",[1]stages!$2:$2,0)+1),MATCH(H$1,[1]stages!$2:$2,0)-MATCH("temp_stage",[1]stages!$2:$2,0)+1,FALSE)</f>
        <v>ドロップイベント3</v>
      </c>
      <c r="I537" s="19">
        <v>0</v>
      </c>
      <c r="J537" s="6">
        <f>COUNTIF(C$1:C537,C537)</f>
        <v>11</v>
      </c>
      <c r="K537">
        <v>12</v>
      </c>
      <c r="L537" s="6" t="s">
        <v>17</v>
      </c>
      <c r="M537" s="36" t="str">
        <f>VLOOKUP(K537,[2]stage_hints!$A:$C,3,FALSE)</f>
        <v>ユニットのお気に入り登録</v>
      </c>
      <c r="N537" s="37" t="str">
        <f>VLOOKUP(K537,[2]stage_hints!$A:$D,4,FALSE)</f>
        <v>大事なユニットを誤って消さないように_x000D_フォルダから「お気に入り登録」しましょう</v>
      </c>
      <c r="O537" s="22" t="s">
        <v>117</v>
      </c>
      <c r="P537">
        <v>12</v>
      </c>
    </row>
    <row r="538" spans="1:16" x14ac:dyDescent="0.15">
      <c r="A538" s="29" t="str">
        <f t="shared" si="68"/>
        <v>20010_1_12</v>
      </c>
      <c r="B538" s="27" t="s">
        <v>33</v>
      </c>
      <c r="C538" s="5">
        <v>20010</v>
      </c>
      <c r="D538" s="4" t="str">
        <f ca="1">VLOOKUP($C538,OFFSET([1]quests!$A$1,0,0,COUNTA([1]quests!$A:$A),MATCH(D$1,[1]quests!$1:$1,0)-MATCH($C$1,[1]quests!$1:$1,0)+1),MATCH(D$1,[1]quests!$1:$1,0)-MATCH($C$1,[1]quests!$1:$1,0)+1,FALSE)</f>
        <v>悪夢の一目惚れ</v>
      </c>
      <c r="E538" s="4" t="str">
        <f ca="1">VLOOKUP($C538,OFFSET([1]quests!$A$1,0,0,COUNTA([1]quests!$A:$A),MATCH(E$1,[1]quests!$1:$1,0)-MATCH($C$1,[1]quests!$1:$1,0)+1),MATCH(E$1,[1]quests!$1:$1,0)-MATCH($C$1,[1]quests!$1:$1,0)+1,FALSE)</f>
        <v>ドロップイベント3</v>
      </c>
      <c r="F538" s="6">
        <v>1</v>
      </c>
      <c r="G538" s="4" t="str">
        <f ca="1">VLOOKUP($C538&amp;"_"&amp;$F538,OFFSET([1]stages!$A$1,0,0,COUNTA([1]stages!$A:$A),MATCH(G$1,[1]stages!$2:$2,0)-MATCH("temp_stage",[1]stages!$2:$2,0)+1),MATCH(G$1,[1]stages!$2:$2,0)-MATCH("temp_stage",[1]stages!$2:$2,0)+1,FALSE)</f>
        <v>【初級】悪夢の一目惚れ</v>
      </c>
      <c r="H538" s="4" t="str">
        <f ca="1">VLOOKUP($C538&amp;"_"&amp;$F538,OFFSET([1]stages!$A$1,0,0,COUNTA([1]stages!$A:$A),MATCH(H$1,[1]stages!$2:$2,0)-MATCH("temp_stage",[1]stages!$2:$2,0)+1),MATCH(H$1,[1]stages!$2:$2,0)-MATCH("temp_stage",[1]stages!$2:$2,0)+1,FALSE)</f>
        <v>ドロップイベント3</v>
      </c>
      <c r="I538" s="19">
        <v>0</v>
      </c>
      <c r="J538" s="6">
        <f>COUNTIF(C$1:C538,C538)</f>
        <v>12</v>
      </c>
      <c r="K538">
        <v>13</v>
      </c>
      <c r="L538" s="6" t="s">
        <v>17</v>
      </c>
      <c r="M538" s="36" t="str">
        <f>VLOOKUP(K538,[2]stage_hints!$A:$C,3,FALSE)</f>
        <v>ユニットの覚醒</v>
      </c>
      <c r="N538" s="37" t="str">
        <f>VLOOKUP(K538,[2]stage_hints!$A:$D,4,FALSE)</f>
        <v>ユニットを覚醒させると_x000D_比べものにならない強さが手に入ります</v>
      </c>
      <c r="O538" s="22" t="s">
        <v>117</v>
      </c>
      <c r="P538">
        <v>13</v>
      </c>
    </row>
    <row r="539" spans="1:16" x14ac:dyDescent="0.15">
      <c r="A539" s="29" t="str">
        <f t="shared" si="68"/>
        <v>20010_1_13</v>
      </c>
      <c r="B539" s="27" t="s">
        <v>33</v>
      </c>
      <c r="C539" s="5">
        <v>20010</v>
      </c>
      <c r="D539" s="4" t="str">
        <f ca="1">VLOOKUP($C539,OFFSET([1]quests!$A$1,0,0,COUNTA([1]quests!$A:$A),MATCH(D$1,[1]quests!$1:$1,0)-MATCH($C$1,[1]quests!$1:$1,0)+1),MATCH(D$1,[1]quests!$1:$1,0)-MATCH($C$1,[1]quests!$1:$1,0)+1,FALSE)</f>
        <v>悪夢の一目惚れ</v>
      </c>
      <c r="E539" s="4" t="str">
        <f ca="1">VLOOKUP($C539,OFFSET([1]quests!$A$1,0,0,COUNTA([1]quests!$A:$A),MATCH(E$1,[1]quests!$1:$1,0)-MATCH($C$1,[1]quests!$1:$1,0)+1),MATCH(E$1,[1]quests!$1:$1,0)-MATCH($C$1,[1]quests!$1:$1,0)+1,FALSE)</f>
        <v>ドロップイベント3</v>
      </c>
      <c r="F539" s="6">
        <v>1</v>
      </c>
      <c r="G539" s="4" t="str">
        <f ca="1">VLOOKUP($C539&amp;"_"&amp;$F539,OFFSET([1]stages!$A$1,0,0,COUNTA([1]stages!$A:$A),MATCH(G$1,[1]stages!$2:$2,0)-MATCH("temp_stage",[1]stages!$2:$2,0)+1),MATCH(G$1,[1]stages!$2:$2,0)-MATCH("temp_stage",[1]stages!$2:$2,0)+1,FALSE)</f>
        <v>【初級】悪夢の一目惚れ</v>
      </c>
      <c r="H539" s="4" t="str">
        <f ca="1">VLOOKUP($C539&amp;"_"&amp;$F539,OFFSET([1]stages!$A$1,0,0,COUNTA([1]stages!$A:$A),MATCH(H$1,[1]stages!$2:$2,0)-MATCH("temp_stage",[1]stages!$2:$2,0)+1),MATCH(H$1,[1]stages!$2:$2,0)-MATCH("temp_stage",[1]stages!$2:$2,0)+1,FALSE)</f>
        <v>ドロップイベント3</v>
      </c>
      <c r="I539" s="19">
        <v>0</v>
      </c>
      <c r="J539" s="6">
        <f>COUNTIF(C$1:C539,C539)</f>
        <v>13</v>
      </c>
      <c r="K539">
        <v>14</v>
      </c>
      <c r="L539" s="6" t="s">
        <v>17</v>
      </c>
      <c r="M539" s="36" t="str">
        <f>VLOOKUP(K539,[2]stage_hints!$A:$C,3,FALSE)</f>
        <v>覚醒するにはレベルを最大に</v>
      </c>
      <c r="N539" s="37" t="str">
        <f>VLOOKUP(K539,[2]stage_hints!$A:$D,4,FALSE)</f>
        <v>覚醒するにはユニットのレベルを_x000D_最大まで上げる必要があります</v>
      </c>
      <c r="O539" s="22" t="s">
        <v>117</v>
      </c>
      <c r="P539">
        <v>14</v>
      </c>
    </row>
    <row r="540" spans="1:16" x14ac:dyDescent="0.15">
      <c r="A540" s="29" t="str">
        <f t="shared" si="68"/>
        <v>20010_1_14</v>
      </c>
      <c r="B540" s="27" t="s">
        <v>33</v>
      </c>
      <c r="C540" s="5">
        <v>20010</v>
      </c>
      <c r="D540" s="4" t="str">
        <f ca="1">VLOOKUP($C540,OFFSET([1]quests!$A$1,0,0,COUNTA([1]quests!$A:$A),MATCH(D$1,[1]quests!$1:$1,0)-MATCH($C$1,[1]quests!$1:$1,0)+1),MATCH(D$1,[1]quests!$1:$1,0)-MATCH($C$1,[1]quests!$1:$1,0)+1,FALSE)</f>
        <v>悪夢の一目惚れ</v>
      </c>
      <c r="E540" s="4" t="str">
        <f ca="1">VLOOKUP($C540,OFFSET([1]quests!$A$1,0,0,COUNTA([1]quests!$A:$A),MATCH(E$1,[1]quests!$1:$1,0)-MATCH($C$1,[1]quests!$1:$1,0)+1),MATCH(E$1,[1]quests!$1:$1,0)-MATCH($C$1,[1]quests!$1:$1,0)+1,FALSE)</f>
        <v>ドロップイベント3</v>
      </c>
      <c r="F540" s="6">
        <v>1</v>
      </c>
      <c r="G540" s="4" t="str">
        <f ca="1">VLOOKUP($C540&amp;"_"&amp;$F540,OFFSET([1]stages!$A$1,0,0,COUNTA([1]stages!$A:$A),MATCH(G$1,[1]stages!$2:$2,0)-MATCH("temp_stage",[1]stages!$2:$2,0)+1),MATCH(G$1,[1]stages!$2:$2,0)-MATCH("temp_stage",[1]stages!$2:$2,0)+1,FALSE)</f>
        <v>【初級】悪夢の一目惚れ</v>
      </c>
      <c r="H540" s="4" t="str">
        <f ca="1">VLOOKUP($C540&amp;"_"&amp;$F540,OFFSET([1]stages!$A$1,0,0,COUNTA([1]stages!$A:$A),MATCH(H$1,[1]stages!$2:$2,0)-MATCH("temp_stage",[1]stages!$2:$2,0)+1),MATCH(H$1,[1]stages!$2:$2,0)-MATCH("temp_stage",[1]stages!$2:$2,0)+1,FALSE)</f>
        <v>ドロップイベント3</v>
      </c>
      <c r="I540" s="19">
        <v>0</v>
      </c>
      <c r="J540" s="6">
        <f>COUNTIF(C$1:C540,C540)</f>
        <v>14</v>
      </c>
      <c r="K540">
        <v>15</v>
      </c>
      <c r="L540" s="6" t="s">
        <v>17</v>
      </c>
      <c r="M540" s="36" t="str">
        <f>VLOOKUP(K540,[2]stage_hints!$A:$C,3,FALSE)</f>
        <v>覚醒素材を獲得</v>
      </c>
      <c r="N540" s="37" t="str">
        <f>VLOOKUP(K540,[2]stage_hints!$A:$D,4,FALSE)</f>
        <v>「曜日クエスト」では_x000D_ユニットの覚醒に必要な素材が手に入ります</v>
      </c>
      <c r="O540" s="22" t="s">
        <v>117</v>
      </c>
      <c r="P540">
        <v>15</v>
      </c>
    </row>
    <row r="541" spans="1:16" x14ac:dyDescent="0.15">
      <c r="A541" s="29" t="str">
        <f t="shared" si="68"/>
        <v>20010_1_15</v>
      </c>
      <c r="B541" s="27" t="s">
        <v>33</v>
      </c>
      <c r="C541" s="5">
        <v>20010</v>
      </c>
      <c r="D541" s="4" t="str">
        <f ca="1">VLOOKUP($C541,OFFSET([1]quests!$A$1,0,0,COUNTA([1]quests!$A:$A),MATCH(D$1,[1]quests!$1:$1,0)-MATCH($C$1,[1]quests!$1:$1,0)+1),MATCH(D$1,[1]quests!$1:$1,0)-MATCH($C$1,[1]quests!$1:$1,0)+1,FALSE)</f>
        <v>悪夢の一目惚れ</v>
      </c>
      <c r="E541" s="4" t="str">
        <f ca="1">VLOOKUP($C541,OFFSET([1]quests!$A$1,0,0,COUNTA([1]quests!$A:$A),MATCH(E$1,[1]quests!$1:$1,0)-MATCH($C$1,[1]quests!$1:$1,0)+1),MATCH(E$1,[1]quests!$1:$1,0)-MATCH($C$1,[1]quests!$1:$1,0)+1,FALSE)</f>
        <v>ドロップイベント3</v>
      </c>
      <c r="F541" s="6">
        <v>1</v>
      </c>
      <c r="G541" s="4" t="str">
        <f ca="1">VLOOKUP($C541&amp;"_"&amp;$F541,OFFSET([1]stages!$A$1,0,0,COUNTA([1]stages!$A:$A),MATCH(G$1,[1]stages!$2:$2,0)-MATCH("temp_stage",[1]stages!$2:$2,0)+1),MATCH(G$1,[1]stages!$2:$2,0)-MATCH("temp_stage",[1]stages!$2:$2,0)+1,FALSE)</f>
        <v>【初級】悪夢の一目惚れ</v>
      </c>
      <c r="H541" s="4" t="str">
        <f ca="1">VLOOKUP($C541&amp;"_"&amp;$F541,OFFSET([1]stages!$A$1,0,0,COUNTA([1]stages!$A:$A),MATCH(H$1,[1]stages!$2:$2,0)-MATCH("temp_stage",[1]stages!$2:$2,0)+1),MATCH(H$1,[1]stages!$2:$2,0)-MATCH("temp_stage",[1]stages!$2:$2,0)+1,FALSE)</f>
        <v>ドロップイベント3</v>
      </c>
      <c r="I541" s="19">
        <v>0</v>
      </c>
      <c r="J541" s="6">
        <f>COUNTIF(C$1:C541,C541)</f>
        <v>15</v>
      </c>
      <c r="K541">
        <v>16</v>
      </c>
      <c r="L541" s="6" t="s">
        <v>17</v>
      </c>
      <c r="M541" s="36" t="str">
        <f>VLOOKUP(K541,[2]stage_hints!$A:$C,3,FALSE)</f>
        <v>マルチプレイのメリット（その1）</v>
      </c>
      <c r="N541" s="37" t="str">
        <f>VLOOKUP(K541,[2]stage_hints!$A:$D,4,FALSE)</f>
        <v>他のプレイヤーとマルチプレイで遊ぶと_x000D_ポリゴンがもらえます（100人まで）</v>
      </c>
      <c r="O541" s="22" t="s">
        <v>117</v>
      </c>
      <c r="P541">
        <v>16</v>
      </c>
    </row>
    <row r="542" spans="1:16" x14ac:dyDescent="0.15">
      <c r="A542" s="29" t="str">
        <f t="shared" si="68"/>
        <v>20010_1_16</v>
      </c>
      <c r="B542" s="27" t="s">
        <v>33</v>
      </c>
      <c r="C542" s="5">
        <v>20010</v>
      </c>
      <c r="D542" s="4" t="str">
        <f ca="1">VLOOKUP($C542,OFFSET([1]quests!$A$1,0,0,COUNTA([1]quests!$A:$A),MATCH(D$1,[1]quests!$1:$1,0)-MATCH($C$1,[1]quests!$1:$1,0)+1),MATCH(D$1,[1]quests!$1:$1,0)-MATCH($C$1,[1]quests!$1:$1,0)+1,FALSE)</f>
        <v>悪夢の一目惚れ</v>
      </c>
      <c r="E542" s="4" t="str">
        <f ca="1">VLOOKUP($C542,OFFSET([1]quests!$A$1,0,0,COUNTA([1]quests!$A:$A),MATCH(E$1,[1]quests!$1:$1,0)-MATCH($C$1,[1]quests!$1:$1,0)+1),MATCH(E$1,[1]quests!$1:$1,0)-MATCH($C$1,[1]quests!$1:$1,0)+1,FALSE)</f>
        <v>ドロップイベント3</v>
      </c>
      <c r="F542" s="6">
        <v>1</v>
      </c>
      <c r="G542" s="4" t="str">
        <f ca="1">VLOOKUP($C542&amp;"_"&amp;$F542,OFFSET([1]stages!$A$1,0,0,COUNTA([1]stages!$A:$A),MATCH(G$1,[1]stages!$2:$2,0)-MATCH("temp_stage",[1]stages!$2:$2,0)+1),MATCH(G$1,[1]stages!$2:$2,0)-MATCH("temp_stage",[1]stages!$2:$2,0)+1,FALSE)</f>
        <v>【初級】悪夢の一目惚れ</v>
      </c>
      <c r="H542" s="4" t="str">
        <f ca="1">VLOOKUP($C542&amp;"_"&amp;$F542,OFFSET([1]stages!$A$1,0,0,COUNTA([1]stages!$A:$A),MATCH(H$1,[1]stages!$2:$2,0)-MATCH("temp_stage",[1]stages!$2:$2,0)+1),MATCH(H$1,[1]stages!$2:$2,0)-MATCH("temp_stage",[1]stages!$2:$2,0)+1,FALSE)</f>
        <v>ドロップイベント3</v>
      </c>
      <c r="I542" s="19">
        <v>0</v>
      </c>
      <c r="J542" s="6">
        <f>COUNTIF(C$1:C542,C542)</f>
        <v>16</v>
      </c>
      <c r="K542">
        <v>17</v>
      </c>
      <c r="L542" s="6" t="s">
        <v>17</v>
      </c>
      <c r="M542" s="36" t="str">
        <f>VLOOKUP(K542,[2]stage_hints!$A:$C,3,FALSE)</f>
        <v>リンクガチャ</v>
      </c>
      <c r="N542" s="37" t="str">
        <f>VLOOKUP(K542,[2]stage_hints!$A:$D,4,FALSE)</f>
        <v>無料のリンクガチャを回して_x000D_経験値素材や売却素材を獲得しましょう</v>
      </c>
      <c r="O542" s="22" t="s">
        <v>117</v>
      </c>
      <c r="P542">
        <v>17</v>
      </c>
    </row>
    <row r="543" spans="1:16" x14ac:dyDescent="0.15">
      <c r="A543" s="29" t="str">
        <f t="shared" si="68"/>
        <v>20010_1_17</v>
      </c>
      <c r="B543" s="27" t="s">
        <v>33</v>
      </c>
      <c r="C543" s="5">
        <v>20010</v>
      </c>
      <c r="D543" s="4" t="str">
        <f ca="1">VLOOKUP($C543,OFFSET([1]quests!$A$1,0,0,COUNTA([1]quests!$A:$A),MATCH(D$1,[1]quests!$1:$1,0)-MATCH($C$1,[1]quests!$1:$1,0)+1),MATCH(D$1,[1]quests!$1:$1,0)-MATCH($C$1,[1]quests!$1:$1,0)+1,FALSE)</f>
        <v>悪夢の一目惚れ</v>
      </c>
      <c r="E543" s="4" t="str">
        <f ca="1">VLOOKUP($C543,OFFSET([1]quests!$A$1,0,0,COUNTA([1]quests!$A:$A),MATCH(E$1,[1]quests!$1:$1,0)-MATCH($C$1,[1]quests!$1:$1,0)+1),MATCH(E$1,[1]quests!$1:$1,0)-MATCH($C$1,[1]quests!$1:$1,0)+1,FALSE)</f>
        <v>ドロップイベント3</v>
      </c>
      <c r="F543" s="6">
        <v>1</v>
      </c>
      <c r="G543" s="4" t="str">
        <f ca="1">VLOOKUP($C543&amp;"_"&amp;$F543,OFFSET([1]stages!$A$1,0,0,COUNTA([1]stages!$A:$A),MATCH(G$1,[1]stages!$2:$2,0)-MATCH("temp_stage",[1]stages!$2:$2,0)+1),MATCH(G$1,[1]stages!$2:$2,0)-MATCH("temp_stage",[1]stages!$2:$2,0)+1,FALSE)</f>
        <v>【初級】悪夢の一目惚れ</v>
      </c>
      <c r="H543" s="4" t="str">
        <f ca="1">VLOOKUP($C543&amp;"_"&amp;$F543,OFFSET([1]stages!$A$1,0,0,COUNTA([1]stages!$A:$A),MATCH(H$1,[1]stages!$2:$2,0)-MATCH("temp_stage",[1]stages!$2:$2,0)+1),MATCH(H$1,[1]stages!$2:$2,0)-MATCH("temp_stage",[1]stages!$2:$2,0)+1,FALSE)</f>
        <v>ドロップイベント3</v>
      </c>
      <c r="I543" s="19">
        <v>0</v>
      </c>
      <c r="J543" s="6">
        <f>COUNTIF(C$1:C543,C543)</f>
        <v>17</v>
      </c>
      <c r="K543">
        <v>18</v>
      </c>
      <c r="L543" s="6" t="s">
        <v>17</v>
      </c>
      <c r="M543" s="36" t="str">
        <f>VLOOKUP(K543,[2]stage_hints!$A:$C,3,FALSE)</f>
        <v>マルチプレイのメリット（その2）</v>
      </c>
      <c r="N543" s="37" t="str">
        <f>VLOOKUP(K543,[2]stage_hints!$A:$D,4,FALSE)</f>
        <v>マルチプレイならリンクが2倍もらえます_x000D_リンクガチャをたくさん回しましょう</v>
      </c>
      <c r="O543" s="22" t="s">
        <v>117</v>
      </c>
      <c r="P543">
        <v>18</v>
      </c>
    </row>
    <row r="544" spans="1:16" x14ac:dyDescent="0.15">
      <c r="A544" s="29" t="str">
        <f t="shared" si="68"/>
        <v>20010_1_18</v>
      </c>
      <c r="B544" s="27" t="s">
        <v>33</v>
      </c>
      <c r="C544" s="5">
        <v>20010</v>
      </c>
      <c r="D544" s="4" t="str">
        <f ca="1">VLOOKUP($C544,OFFSET([1]quests!$A$1,0,0,COUNTA([1]quests!$A:$A),MATCH(D$1,[1]quests!$1:$1,0)-MATCH($C$1,[1]quests!$1:$1,0)+1),MATCH(D$1,[1]quests!$1:$1,0)-MATCH($C$1,[1]quests!$1:$1,0)+1,FALSE)</f>
        <v>悪夢の一目惚れ</v>
      </c>
      <c r="E544" s="4" t="str">
        <f ca="1">VLOOKUP($C544,OFFSET([1]quests!$A$1,0,0,COUNTA([1]quests!$A:$A),MATCH(E$1,[1]quests!$1:$1,0)-MATCH($C$1,[1]quests!$1:$1,0)+1),MATCH(E$1,[1]quests!$1:$1,0)-MATCH($C$1,[1]quests!$1:$1,0)+1,FALSE)</f>
        <v>ドロップイベント3</v>
      </c>
      <c r="F544" s="6">
        <v>1</v>
      </c>
      <c r="G544" s="4" t="str">
        <f ca="1">VLOOKUP($C544&amp;"_"&amp;$F544,OFFSET([1]stages!$A$1,0,0,COUNTA([1]stages!$A:$A),MATCH(G$1,[1]stages!$2:$2,0)-MATCH("temp_stage",[1]stages!$2:$2,0)+1),MATCH(G$1,[1]stages!$2:$2,0)-MATCH("temp_stage",[1]stages!$2:$2,0)+1,FALSE)</f>
        <v>【初級】悪夢の一目惚れ</v>
      </c>
      <c r="H544" s="4" t="str">
        <f ca="1">VLOOKUP($C544&amp;"_"&amp;$F544,OFFSET([1]stages!$A$1,0,0,COUNTA([1]stages!$A:$A),MATCH(H$1,[1]stages!$2:$2,0)-MATCH("temp_stage",[1]stages!$2:$2,0)+1),MATCH(H$1,[1]stages!$2:$2,0)-MATCH("temp_stage",[1]stages!$2:$2,0)+1,FALSE)</f>
        <v>ドロップイベント3</v>
      </c>
      <c r="I544" s="19">
        <v>0</v>
      </c>
      <c r="J544" s="6">
        <f>COUNTIF(C$1:C544,C544)</f>
        <v>18</v>
      </c>
      <c r="K544">
        <v>19</v>
      </c>
      <c r="L544" s="6" t="s">
        <v>17</v>
      </c>
      <c r="M544" s="36" t="str">
        <f>VLOOKUP(K544,[2]stage_hints!$A:$C,3,FALSE)</f>
        <v>ソロ専用チャレンジタワー</v>
      </c>
      <c r="N544" s="37" t="str">
        <f>VLOOKUP(K544,[2]stage_hints!$A:$D,4,FALSE)</f>
        <v>ソロ専用の「チャレンジタワー」では_x000D_各フロアごとにクリア報酬がもらえます</v>
      </c>
      <c r="O544" s="22" t="s">
        <v>117</v>
      </c>
      <c r="P544">
        <v>19</v>
      </c>
    </row>
    <row r="545" spans="1:16" x14ac:dyDescent="0.15">
      <c r="A545" s="29" t="str">
        <f t="shared" si="68"/>
        <v>20010_1_19</v>
      </c>
      <c r="B545" s="27" t="s">
        <v>33</v>
      </c>
      <c r="C545" s="5">
        <v>20010</v>
      </c>
      <c r="D545" s="4" t="str">
        <f ca="1">VLOOKUP($C545,OFFSET([1]quests!$A$1,0,0,COUNTA([1]quests!$A:$A),MATCH(D$1,[1]quests!$1:$1,0)-MATCH($C$1,[1]quests!$1:$1,0)+1),MATCH(D$1,[1]quests!$1:$1,0)-MATCH($C$1,[1]quests!$1:$1,0)+1,FALSE)</f>
        <v>悪夢の一目惚れ</v>
      </c>
      <c r="E545" s="4" t="str">
        <f ca="1">VLOOKUP($C545,OFFSET([1]quests!$A$1,0,0,COUNTA([1]quests!$A:$A),MATCH(E$1,[1]quests!$1:$1,0)-MATCH($C$1,[1]quests!$1:$1,0)+1),MATCH(E$1,[1]quests!$1:$1,0)-MATCH($C$1,[1]quests!$1:$1,0)+1,FALSE)</f>
        <v>ドロップイベント3</v>
      </c>
      <c r="F545" s="6">
        <v>1</v>
      </c>
      <c r="G545" s="4" t="str">
        <f ca="1">VLOOKUP($C545&amp;"_"&amp;$F545,OFFSET([1]stages!$A$1,0,0,COUNTA([1]stages!$A:$A),MATCH(G$1,[1]stages!$2:$2,0)-MATCH("temp_stage",[1]stages!$2:$2,0)+1),MATCH(G$1,[1]stages!$2:$2,0)-MATCH("temp_stage",[1]stages!$2:$2,0)+1,FALSE)</f>
        <v>【初級】悪夢の一目惚れ</v>
      </c>
      <c r="H545" s="4" t="str">
        <f ca="1">VLOOKUP($C545&amp;"_"&amp;$F545,OFFSET([1]stages!$A$1,0,0,COUNTA([1]stages!$A:$A),MATCH(H$1,[1]stages!$2:$2,0)-MATCH("temp_stage",[1]stages!$2:$2,0)+1),MATCH(H$1,[1]stages!$2:$2,0)-MATCH("temp_stage",[1]stages!$2:$2,0)+1,FALSE)</f>
        <v>ドロップイベント3</v>
      </c>
      <c r="I545" s="19">
        <v>0</v>
      </c>
      <c r="J545" s="6">
        <f>COUNTIF(C$1:C545,C545)</f>
        <v>19</v>
      </c>
      <c r="K545">
        <v>20</v>
      </c>
      <c r="L545" s="6" t="s">
        <v>17</v>
      </c>
      <c r="M545" s="36" t="str">
        <f>VLOOKUP(K545,[2]stage_hints!$A:$C,3,FALSE)</f>
        <v>マルチプレイのメリット（その3）</v>
      </c>
      <c r="N545" s="37" t="str">
        <f>VLOOKUP(K545,[2]stage_hints!$A:$D,4,FALSE)</f>
        <v>マルチプレイへの参加はエナジー消費ゼロ_x000D_いつでも好きなだけ遊ぶことができます</v>
      </c>
      <c r="O545" s="22" t="s">
        <v>117</v>
      </c>
      <c r="P545">
        <v>20</v>
      </c>
    </row>
    <row r="546" spans="1:16" x14ac:dyDescent="0.15">
      <c r="A546" s="29" t="str">
        <f t="shared" ref="A546:A559" si="69">C546&amp;"_"&amp;F546&amp;"_"&amp;J546</f>
        <v>20010_1_20</v>
      </c>
      <c r="B546" s="27" t="s">
        <v>33</v>
      </c>
      <c r="C546" s="5">
        <v>20010</v>
      </c>
      <c r="D546" s="4" t="str">
        <f ca="1">VLOOKUP($C546,OFFSET([1]quests!$A$1,0,0,COUNTA([1]quests!$A:$A),MATCH(D$1,[1]quests!$1:$1,0)-MATCH($C$1,[1]quests!$1:$1,0)+1),MATCH(D$1,[1]quests!$1:$1,0)-MATCH($C$1,[1]quests!$1:$1,0)+1,FALSE)</f>
        <v>悪夢の一目惚れ</v>
      </c>
      <c r="E546" s="4" t="str">
        <f ca="1">VLOOKUP($C546,OFFSET([1]quests!$A$1,0,0,COUNTA([1]quests!$A:$A),MATCH(E$1,[1]quests!$1:$1,0)-MATCH($C$1,[1]quests!$1:$1,0)+1),MATCH(E$1,[1]quests!$1:$1,0)-MATCH($C$1,[1]quests!$1:$1,0)+1,FALSE)</f>
        <v>ドロップイベント3</v>
      </c>
      <c r="F546" s="6">
        <v>1</v>
      </c>
      <c r="G546" s="4" t="str">
        <f ca="1">VLOOKUP($C546&amp;"_"&amp;$F546,OFFSET([1]stages!$A$1,0,0,COUNTA([1]stages!$A:$A),MATCH(G$1,[1]stages!$2:$2,0)-MATCH("temp_stage",[1]stages!$2:$2,0)+1),MATCH(G$1,[1]stages!$2:$2,0)-MATCH("temp_stage",[1]stages!$2:$2,0)+1,FALSE)</f>
        <v>【初級】悪夢の一目惚れ</v>
      </c>
      <c r="H546" s="4" t="str">
        <f ca="1">VLOOKUP($C546&amp;"_"&amp;$F546,OFFSET([1]stages!$A$1,0,0,COUNTA([1]stages!$A:$A),MATCH(H$1,[1]stages!$2:$2,0)-MATCH("temp_stage",[1]stages!$2:$2,0)+1),MATCH(H$1,[1]stages!$2:$2,0)-MATCH("temp_stage",[1]stages!$2:$2,0)+1,FALSE)</f>
        <v>ドロップイベント3</v>
      </c>
      <c r="I546" s="19">
        <v>0</v>
      </c>
      <c r="J546" s="6">
        <f>COUNTIF(C$1:C546,C546)</f>
        <v>20</v>
      </c>
      <c r="K546">
        <v>21</v>
      </c>
      <c r="L546" s="6" t="s">
        <v>17</v>
      </c>
      <c r="M546" s="36" t="str">
        <f>VLOOKUP(K546,[2]stage_hints!$A:$C,3,FALSE)</f>
        <v>スキルを有効に</v>
      </c>
      <c r="N546" s="37" t="str">
        <f>VLOOKUP(K546,[2]stage_hints!$A:$D,4,FALSE)</f>
        <v>ターン経過でユニットのスキルが使えます_x000D_強力スキルでバトルを有利に進めましょう</v>
      </c>
      <c r="O546" s="22" t="s">
        <v>117</v>
      </c>
      <c r="P546">
        <v>21</v>
      </c>
    </row>
    <row r="547" spans="1:16" x14ac:dyDescent="0.15">
      <c r="A547" s="29" t="str">
        <f t="shared" si="69"/>
        <v>20010_1_21</v>
      </c>
      <c r="B547" s="27" t="s">
        <v>33</v>
      </c>
      <c r="C547" s="5">
        <v>20010</v>
      </c>
      <c r="D547" s="4" t="str">
        <f ca="1">VLOOKUP($C547,OFFSET([1]quests!$A$1,0,0,COUNTA([1]quests!$A:$A),MATCH(D$1,[1]quests!$1:$1,0)-MATCH($C$1,[1]quests!$1:$1,0)+1),MATCH(D$1,[1]quests!$1:$1,0)-MATCH($C$1,[1]quests!$1:$1,0)+1,FALSE)</f>
        <v>悪夢の一目惚れ</v>
      </c>
      <c r="E547" s="4" t="str">
        <f ca="1">VLOOKUP($C547,OFFSET([1]quests!$A$1,0,0,COUNTA([1]quests!$A:$A),MATCH(E$1,[1]quests!$1:$1,0)-MATCH($C$1,[1]quests!$1:$1,0)+1),MATCH(E$1,[1]quests!$1:$1,0)-MATCH($C$1,[1]quests!$1:$1,0)+1,FALSE)</f>
        <v>ドロップイベント3</v>
      </c>
      <c r="F547" s="6">
        <v>1</v>
      </c>
      <c r="G547" s="4" t="str">
        <f ca="1">VLOOKUP($C547&amp;"_"&amp;$F547,OFFSET([1]stages!$A$1,0,0,COUNTA([1]stages!$A:$A),MATCH(G$1,[1]stages!$2:$2,0)-MATCH("temp_stage",[1]stages!$2:$2,0)+1),MATCH(G$1,[1]stages!$2:$2,0)-MATCH("temp_stage",[1]stages!$2:$2,0)+1,FALSE)</f>
        <v>【初級】悪夢の一目惚れ</v>
      </c>
      <c r="H547" s="4" t="str">
        <f ca="1">VLOOKUP($C547&amp;"_"&amp;$F547,OFFSET([1]stages!$A$1,0,0,COUNTA([1]stages!$A:$A),MATCH(H$1,[1]stages!$2:$2,0)-MATCH("temp_stage",[1]stages!$2:$2,0)+1),MATCH(H$1,[1]stages!$2:$2,0)-MATCH("temp_stage",[1]stages!$2:$2,0)+1,FALSE)</f>
        <v>ドロップイベント3</v>
      </c>
      <c r="I547" s="19">
        <v>0</v>
      </c>
      <c r="J547" s="6">
        <f>COUNTIF(C$1:C547,C547)</f>
        <v>21</v>
      </c>
      <c r="K547">
        <v>22</v>
      </c>
      <c r="L547" s="6" t="s">
        <v>17</v>
      </c>
      <c r="M547" s="36" t="str">
        <f>VLOOKUP(K547,[2]stage_hints!$A:$C,3,FALSE)</f>
        <v>フィーバーで一発逆転（その1）</v>
      </c>
      <c r="N547" s="37" t="str">
        <f>VLOOKUP(K547,[2]stage_hints!$A:$D,4,FALSE)</f>
        <v>フィーバーは攻撃と回復を兼ね備えます_x000D_ピンチからの一発逆転を狙いましょう</v>
      </c>
      <c r="O547" s="22" t="s">
        <v>117</v>
      </c>
      <c r="P547">
        <v>22</v>
      </c>
    </row>
    <row r="548" spans="1:16" x14ac:dyDescent="0.15">
      <c r="A548" s="29" t="str">
        <f t="shared" si="69"/>
        <v>20010_1_22</v>
      </c>
      <c r="B548" s="27" t="s">
        <v>33</v>
      </c>
      <c r="C548" s="5">
        <v>20010</v>
      </c>
      <c r="D548" s="4" t="str">
        <f ca="1">VLOOKUP($C548,OFFSET([1]quests!$A$1,0,0,COUNTA([1]quests!$A:$A),MATCH(D$1,[1]quests!$1:$1,0)-MATCH($C$1,[1]quests!$1:$1,0)+1),MATCH(D$1,[1]quests!$1:$1,0)-MATCH($C$1,[1]quests!$1:$1,0)+1,FALSE)</f>
        <v>悪夢の一目惚れ</v>
      </c>
      <c r="E548" s="4" t="str">
        <f ca="1">VLOOKUP($C548,OFFSET([1]quests!$A$1,0,0,COUNTA([1]quests!$A:$A),MATCH(E$1,[1]quests!$1:$1,0)-MATCH($C$1,[1]quests!$1:$1,0)+1),MATCH(E$1,[1]quests!$1:$1,0)-MATCH($C$1,[1]quests!$1:$1,0)+1,FALSE)</f>
        <v>ドロップイベント3</v>
      </c>
      <c r="F548" s="6">
        <v>1</v>
      </c>
      <c r="G548" s="4" t="str">
        <f ca="1">VLOOKUP($C548&amp;"_"&amp;$F548,OFFSET([1]stages!$A$1,0,0,COUNTA([1]stages!$A:$A),MATCH(G$1,[1]stages!$2:$2,0)-MATCH("temp_stage",[1]stages!$2:$2,0)+1),MATCH(G$1,[1]stages!$2:$2,0)-MATCH("temp_stage",[1]stages!$2:$2,0)+1,FALSE)</f>
        <v>【初級】悪夢の一目惚れ</v>
      </c>
      <c r="H548" s="4" t="str">
        <f ca="1">VLOOKUP($C548&amp;"_"&amp;$F548,OFFSET([1]stages!$A$1,0,0,COUNTA([1]stages!$A:$A),MATCH(H$1,[1]stages!$2:$2,0)-MATCH("temp_stage",[1]stages!$2:$2,0)+1),MATCH(H$1,[1]stages!$2:$2,0)-MATCH("temp_stage",[1]stages!$2:$2,0)+1,FALSE)</f>
        <v>ドロップイベント3</v>
      </c>
      <c r="I548" s="19">
        <v>0</v>
      </c>
      <c r="J548" s="6">
        <f>COUNTIF(C$1:C548,C548)</f>
        <v>22</v>
      </c>
      <c r="K548">
        <v>23</v>
      </c>
      <c r="L548" s="6" t="s">
        <v>17</v>
      </c>
      <c r="M548" s="36" t="str">
        <f>VLOOKUP(K548,[2]stage_hints!$A:$C,3,FALSE)</f>
        <v>フィーバーで一発逆転（その2）</v>
      </c>
      <c r="N548" s="37" t="str">
        <f>VLOOKUP(K548,[2]stage_hints!$A:$D,4,FALSE)</f>
        <v>フィーバー中は虹色のボムパネルを狙って_x000D_画面上のパネルを一気に破壊しましょう</v>
      </c>
      <c r="O548" s="22" t="s">
        <v>117</v>
      </c>
      <c r="P548">
        <v>23</v>
      </c>
    </row>
    <row r="549" spans="1:16" x14ac:dyDescent="0.15">
      <c r="A549" s="29" t="str">
        <f t="shared" si="69"/>
        <v>20010_1_23</v>
      </c>
      <c r="B549" s="27" t="s">
        <v>33</v>
      </c>
      <c r="C549" s="5">
        <v>20010</v>
      </c>
      <c r="D549" s="4" t="str">
        <f ca="1">VLOOKUP($C549,OFFSET([1]quests!$A$1,0,0,COUNTA([1]quests!$A:$A),MATCH(D$1,[1]quests!$1:$1,0)-MATCH($C$1,[1]quests!$1:$1,0)+1),MATCH(D$1,[1]quests!$1:$1,0)-MATCH($C$1,[1]quests!$1:$1,0)+1,FALSE)</f>
        <v>悪夢の一目惚れ</v>
      </c>
      <c r="E549" s="4" t="str">
        <f ca="1">VLOOKUP($C549,OFFSET([1]quests!$A$1,0,0,COUNTA([1]quests!$A:$A),MATCH(E$1,[1]quests!$1:$1,0)-MATCH($C$1,[1]quests!$1:$1,0)+1),MATCH(E$1,[1]quests!$1:$1,0)-MATCH($C$1,[1]quests!$1:$1,0)+1,FALSE)</f>
        <v>ドロップイベント3</v>
      </c>
      <c r="F549" s="6">
        <v>1</v>
      </c>
      <c r="G549" s="4" t="str">
        <f ca="1">VLOOKUP($C549&amp;"_"&amp;$F549,OFFSET([1]stages!$A$1,0,0,COUNTA([1]stages!$A:$A),MATCH(G$1,[1]stages!$2:$2,0)-MATCH("temp_stage",[1]stages!$2:$2,0)+1),MATCH(G$1,[1]stages!$2:$2,0)-MATCH("temp_stage",[1]stages!$2:$2,0)+1,FALSE)</f>
        <v>【初級】悪夢の一目惚れ</v>
      </c>
      <c r="H549" s="4" t="str">
        <f ca="1">VLOOKUP($C549&amp;"_"&amp;$F549,OFFSET([1]stages!$A$1,0,0,COUNTA([1]stages!$A:$A),MATCH(H$1,[1]stages!$2:$2,0)-MATCH("temp_stage",[1]stages!$2:$2,0)+1),MATCH(H$1,[1]stages!$2:$2,0)-MATCH("temp_stage",[1]stages!$2:$2,0)+1,FALSE)</f>
        <v>ドロップイベント3</v>
      </c>
      <c r="I549" s="19">
        <v>0</v>
      </c>
      <c r="J549" s="6">
        <f>COUNTIF(C$1:C549,C549)</f>
        <v>23</v>
      </c>
      <c r="K549">
        <v>24</v>
      </c>
      <c r="L549" s="6" t="s">
        <v>17</v>
      </c>
      <c r="M549" s="36" t="str">
        <f>VLOOKUP(K549,[2]stage_hints!$A:$C,3,FALSE)</f>
        <v>りんごを使って限界突破</v>
      </c>
      <c r="N549" s="37" t="str">
        <f>VLOOKUP(K549,[2]stage_hints!$A:$D,4,FALSE)</f>
        <v>赤りんご(攻撃力) 青りんご(回復力)_x000D_緑りんご(体力)をユニット強化に使うと_x000D_ステータスが限界突破します（計99個迄）</v>
      </c>
      <c r="O549" s="22" t="s">
        <v>117</v>
      </c>
      <c r="P549">
        <v>24</v>
      </c>
    </row>
    <row r="550" spans="1:16" x14ac:dyDescent="0.15">
      <c r="A550" s="29" t="str">
        <f t="shared" si="69"/>
        <v>20010_1_24</v>
      </c>
      <c r="B550" s="27" t="s">
        <v>33</v>
      </c>
      <c r="C550" s="5">
        <v>20010</v>
      </c>
      <c r="D550" s="4" t="str">
        <f ca="1">VLOOKUP($C550,OFFSET([1]quests!$A$1,0,0,COUNTA([1]quests!$A:$A),MATCH(D$1,[1]quests!$1:$1,0)-MATCH($C$1,[1]quests!$1:$1,0)+1),MATCH(D$1,[1]quests!$1:$1,0)-MATCH($C$1,[1]quests!$1:$1,0)+1,FALSE)</f>
        <v>悪夢の一目惚れ</v>
      </c>
      <c r="E550" s="4" t="str">
        <f ca="1">VLOOKUP($C550,OFFSET([1]quests!$A$1,0,0,COUNTA([1]quests!$A:$A),MATCH(E$1,[1]quests!$1:$1,0)-MATCH($C$1,[1]quests!$1:$1,0)+1),MATCH(E$1,[1]quests!$1:$1,0)-MATCH($C$1,[1]quests!$1:$1,0)+1,FALSE)</f>
        <v>ドロップイベント3</v>
      </c>
      <c r="F550" s="6">
        <v>1</v>
      </c>
      <c r="G550" s="4" t="str">
        <f ca="1">VLOOKUP($C550&amp;"_"&amp;$F550,OFFSET([1]stages!$A$1,0,0,COUNTA([1]stages!$A:$A),MATCH(G$1,[1]stages!$2:$2,0)-MATCH("temp_stage",[1]stages!$2:$2,0)+1),MATCH(G$1,[1]stages!$2:$2,0)-MATCH("temp_stage",[1]stages!$2:$2,0)+1,FALSE)</f>
        <v>【初級】悪夢の一目惚れ</v>
      </c>
      <c r="H550" s="4" t="str">
        <f ca="1">VLOOKUP($C550&amp;"_"&amp;$F550,OFFSET([1]stages!$A$1,0,0,COUNTA([1]stages!$A:$A),MATCH(H$1,[1]stages!$2:$2,0)-MATCH("temp_stage",[1]stages!$2:$2,0)+1),MATCH(H$1,[1]stages!$2:$2,0)-MATCH("temp_stage",[1]stages!$2:$2,0)+1,FALSE)</f>
        <v>ドロップイベント3</v>
      </c>
      <c r="I550" s="19">
        <v>0</v>
      </c>
      <c r="J550" s="6">
        <f>COUNTIF(C$1:C550,C550)</f>
        <v>24</v>
      </c>
      <c r="K550">
        <v>25</v>
      </c>
      <c r="L550" s="6" t="s">
        <v>17</v>
      </c>
      <c r="M550" s="36" t="str">
        <f>VLOOKUP(K550,[2]stage_hints!$A:$C,3,FALSE)</f>
        <v>スキルレベルアップ</v>
      </c>
      <c r="N550" s="37" t="str">
        <f>VLOOKUP(K550,[2]stage_hints!$A:$D,4,FALSE)</f>
        <v>「クリスタルのりんご」を強化に使うと_x000D_スキルレベルを上げることができます</v>
      </c>
      <c r="O550" s="22" t="s">
        <v>117</v>
      </c>
      <c r="P550">
        <v>25</v>
      </c>
    </row>
    <row r="551" spans="1:16" x14ac:dyDescent="0.15">
      <c r="A551" s="29" t="str">
        <f t="shared" si="69"/>
        <v>20010_1_25</v>
      </c>
      <c r="B551" s="27" t="s">
        <v>33</v>
      </c>
      <c r="C551" s="5">
        <v>20010</v>
      </c>
      <c r="D551" s="4" t="str">
        <f ca="1">VLOOKUP($C551,OFFSET([1]quests!$A$1,0,0,COUNTA([1]quests!$A:$A),MATCH(D$1,[1]quests!$1:$1,0)-MATCH($C$1,[1]quests!$1:$1,0)+1),MATCH(D$1,[1]quests!$1:$1,0)-MATCH($C$1,[1]quests!$1:$1,0)+1,FALSE)</f>
        <v>悪夢の一目惚れ</v>
      </c>
      <c r="E551" s="4" t="str">
        <f ca="1">VLOOKUP($C551,OFFSET([1]quests!$A$1,0,0,COUNTA([1]quests!$A:$A),MATCH(E$1,[1]quests!$1:$1,0)-MATCH($C$1,[1]quests!$1:$1,0)+1),MATCH(E$1,[1]quests!$1:$1,0)-MATCH($C$1,[1]quests!$1:$1,0)+1,FALSE)</f>
        <v>ドロップイベント3</v>
      </c>
      <c r="F551" s="6">
        <v>1</v>
      </c>
      <c r="G551" s="4" t="str">
        <f ca="1">VLOOKUP($C551&amp;"_"&amp;$F551,OFFSET([1]stages!$A$1,0,0,COUNTA([1]stages!$A:$A),MATCH(G$1,[1]stages!$2:$2,0)-MATCH("temp_stage",[1]stages!$2:$2,0)+1),MATCH(G$1,[1]stages!$2:$2,0)-MATCH("temp_stage",[1]stages!$2:$2,0)+1,FALSE)</f>
        <v>【初級】悪夢の一目惚れ</v>
      </c>
      <c r="H551" s="4" t="str">
        <f ca="1">VLOOKUP($C551&amp;"_"&amp;$F551,OFFSET([1]stages!$A$1,0,0,COUNTA([1]stages!$A:$A),MATCH(H$1,[1]stages!$2:$2,0)-MATCH("temp_stage",[1]stages!$2:$2,0)+1),MATCH(H$1,[1]stages!$2:$2,0)-MATCH("temp_stage",[1]stages!$2:$2,0)+1,FALSE)</f>
        <v>ドロップイベント3</v>
      </c>
      <c r="I551" s="19">
        <v>0</v>
      </c>
      <c r="J551" s="6">
        <f>COUNTIF(C$1:C551,C551)</f>
        <v>25</v>
      </c>
      <c r="K551">
        <v>26</v>
      </c>
      <c r="L551" s="6" t="s">
        <v>17</v>
      </c>
      <c r="M551" s="36" t="str">
        <f>VLOOKUP(K551,[2]stage_hints!$A:$C,3,FALSE)</f>
        <v>スキルレベルの効果</v>
      </c>
      <c r="N551" s="37" t="str">
        <f>VLOOKUP(K551,[2]stage_hints!$A:$D,4,FALSE)</f>
        <v>スキルレベルが上がると_x000D_短いターンでスキルを使うことができます</v>
      </c>
      <c r="O551" s="22" t="s">
        <v>117</v>
      </c>
      <c r="P551">
        <v>26</v>
      </c>
    </row>
    <row r="552" spans="1:16" x14ac:dyDescent="0.15">
      <c r="A552" s="29" t="str">
        <f t="shared" si="69"/>
        <v>20011_1_1</v>
      </c>
      <c r="B552" s="27" t="s">
        <v>33</v>
      </c>
      <c r="C552" s="5">
        <v>20011</v>
      </c>
      <c r="D552" s="4" t="str">
        <f ca="1">VLOOKUP($C552,OFFSET([1]quests!$A$1,0,0,COUNTA([1]quests!$A:$A),MATCH(D$1,[1]quests!$1:$1,0)-MATCH($C$1,[1]quests!$1:$1,0)+1),MATCH(D$1,[1]quests!$1:$1,0)-MATCH($C$1,[1]quests!$1:$1,0)+1,FALSE)</f>
        <v>すべてが灰になる</v>
      </c>
      <c r="E552" s="4" t="str">
        <f ca="1">VLOOKUP($C552,OFFSET([1]quests!$A$1,0,0,COUNTA([1]quests!$A:$A),MATCH(E$1,[1]quests!$1:$1,0)-MATCH($C$1,[1]quests!$1:$1,0)+1),MATCH(E$1,[1]quests!$1:$1,0)-MATCH($C$1,[1]quests!$1:$1,0)+1,FALSE)</f>
        <v>ドロップイベント3</v>
      </c>
      <c r="F552" s="6">
        <v>1</v>
      </c>
      <c r="G552" s="4" t="str">
        <f ca="1">VLOOKUP($C552&amp;"_"&amp;$F552,OFFSET([1]stages!$A$1,0,0,COUNTA([1]stages!$A:$A),MATCH(G$1,[1]stages!$2:$2,0)-MATCH("temp_stage",[1]stages!$2:$2,0)+1),MATCH(G$1,[1]stages!$2:$2,0)-MATCH("temp_stage",[1]stages!$2:$2,0)+1,FALSE)</f>
        <v>【初級】すべてが灰になる</v>
      </c>
      <c r="H552" s="4" t="str">
        <f ca="1">VLOOKUP($C552&amp;"_"&amp;$F552,OFFSET([1]stages!$A$1,0,0,COUNTA([1]stages!$A:$A),MATCH(H$1,[1]stages!$2:$2,0)-MATCH("temp_stage",[1]stages!$2:$2,0)+1),MATCH(H$1,[1]stages!$2:$2,0)-MATCH("temp_stage",[1]stages!$2:$2,0)+1,FALSE)</f>
        <v>ドロップイベント3</v>
      </c>
      <c r="I552" s="19">
        <v>0</v>
      </c>
      <c r="J552" s="6">
        <f>COUNTIF(C$1:C552,C552)</f>
        <v>1</v>
      </c>
      <c r="K552">
        <v>1</v>
      </c>
      <c r="L552" s="6" t="s">
        <v>17</v>
      </c>
      <c r="M552" s="36" t="str">
        <f>VLOOKUP(K552,[2]stage_hints!$A:$C,3,FALSE)</f>
        <v>長くつなげて大ダメージ</v>
      </c>
      <c r="N552" s="37" t="str">
        <f>VLOOKUP(K552,[2]stage_hints!$A:$D,4,FALSE)</f>
        <v>パネルを長くつなげるほど_x000D_大ダメージを与えることができます</v>
      </c>
      <c r="O552" s="22" t="s">
        <v>117</v>
      </c>
      <c r="P552">
        <v>1</v>
      </c>
    </row>
    <row r="553" spans="1:16" x14ac:dyDescent="0.15">
      <c r="A553" s="29" t="str">
        <f t="shared" si="69"/>
        <v>20011_1_2</v>
      </c>
      <c r="B553" s="27" t="s">
        <v>33</v>
      </c>
      <c r="C553" s="5">
        <v>20011</v>
      </c>
      <c r="D553" s="4" t="str">
        <f ca="1">VLOOKUP($C553,OFFSET([1]quests!$A$1,0,0,COUNTA([1]quests!$A:$A),MATCH(D$1,[1]quests!$1:$1,0)-MATCH($C$1,[1]quests!$1:$1,0)+1),MATCH(D$1,[1]quests!$1:$1,0)-MATCH($C$1,[1]quests!$1:$1,0)+1,FALSE)</f>
        <v>すべてが灰になる</v>
      </c>
      <c r="E553" s="4" t="str">
        <f ca="1">VLOOKUP($C553,OFFSET([1]quests!$A$1,0,0,COUNTA([1]quests!$A:$A),MATCH(E$1,[1]quests!$1:$1,0)-MATCH($C$1,[1]quests!$1:$1,0)+1),MATCH(E$1,[1]quests!$1:$1,0)-MATCH($C$1,[1]quests!$1:$1,0)+1,FALSE)</f>
        <v>ドロップイベント3</v>
      </c>
      <c r="F553" s="6">
        <v>1</v>
      </c>
      <c r="G553" s="4" t="str">
        <f ca="1">VLOOKUP($C553&amp;"_"&amp;$F553,OFFSET([1]stages!$A$1,0,0,COUNTA([1]stages!$A:$A),MATCH(G$1,[1]stages!$2:$2,0)-MATCH("temp_stage",[1]stages!$2:$2,0)+1),MATCH(G$1,[1]stages!$2:$2,0)-MATCH("temp_stage",[1]stages!$2:$2,0)+1,FALSE)</f>
        <v>【初級】すべてが灰になる</v>
      </c>
      <c r="H553" s="4" t="str">
        <f ca="1">VLOOKUP($C553&amp;"_"&amp;$F553,OFFSET([1]stages!$A$1,0,0,COUNTA([1]stages!$A:$A),MATCH(H$1,[1]stages!$2:$2,0)-MATCH("temp_stage",[1]stages!$2:$2,0)+1),MATCH(H$1,[1]stages!$2:$2,0)-MATCH("temp_stage",[1]stages!$2:$2,0)+1,FALSE)</f>
        <v>ドロップイベント3</v>
      </c>
      <c r="I553" s="19">
        <v>0</v>
      </c>
      <c r="J553" s="6">
        <f>COUNTIF(C$1:C553,C553)</f>
        <v>2</v>
      </c>
      <c r="K553">
        <v>2</v>
      </c>
      <c r="L553" s="6" t="s">
        <v>17</v>
      </c>
      <c r="M553" s="36" t="str">
        <f>VLOOKUP(K553,[2]stage_hints!$A:$C,3,FALSE)</f>
        <v>属性の相性</v>
      </c>
      <c r="N553" s="37" t="str">
        <f>VLOOKUP(K553,[2]stage_hints!$A:$D,4,FALSE)</f>
        <v>赤＞青　青＞黄　黄＞緑　緑＞赤_x000D_敵属性に最適なパーティがオススメです</v>
      </c>
      <c r="O553" s="22" t="s">
        <v>117</v>
      </c>
      <c r="P553">
        <v>2</v>
      </c>
    </row>
    <row r="554" spans="1:16" x14ac:dyDescent="0.15">
      <c r="A554" s="29" t="str">
        <f t="shared" si="69"/>
        <v>20011_1_3</v>
      </c>
      <c r="B554" s="27" t="s">
        <v>33</v>
      </c>
      <c r="C554" s="5">
        <v>20011</v>
      </c>
      <c r="D554" s="4" t="str">
        <f ca="1">VLOOKUP($C554,OFFSET([1]quests!$A$1,0,0,COUNTA([1]quests!$A:$A),MATCH(D$1,[1]quests!$1:$1,0)-MATCH($C$1,[1]quests!$1:$1,0)+1),MATCH(D$1,[1]quests!$1:$1,0)-MATCH($C$1,[1]quests!$1:$1,0)+1,FALSE)</f>
        <v>すべてが灰になる</v>
      </c>
      <c r="E554" s="4" t="str">
        <f ca="1">VLOOKUP($C554,OFFSET([1]quests!$A$1,0,0,COUNTA([1]quests!$A:$A),MATCH(E$1,[1]quests!$1:$1,0)-MATCH($C$1,[1]quests!$1:$1,0)+1),MATCH(E$1,[1]quests!$1:$1,0)-MATCH($C$1,[1]quests!$1:$1,0)+1,FALSE)</f>
        <v>ドロップイベント3</v>
      </c>
      <c r="F554" s="6">
        <v>1</v>
      </c>
      <c r="G554" s="4" t="str">
        <f ca="1">VLOOKUP($C554&amp;"_"&amp;$F554,OFFSET([1]stages!$A$1,0,0,COUNTA([1]stages!$A:$A),MATCH(G$1,[1]stages!$2:$2,0)-MATCH("temp_stage",[1]stages!$2:$2,0)+1),MATCH(G$1,[1]stages!$2:$2,0)-MATCH("temp_stage",[1]stages!$2:$2,0)+1,FALSE)</f>
        <v>【初級】すべてが灰になる</v>
      </c>
      <c r="H554" s="4" t="str">
        <f ca="1">VLOOKUP($C554&amp;"_"&amp;$F554,OFFSET([1]stages!$A$1,0,0,COUNTA([1]stages!$A:$A),MATCH(H$1,[1]stages!$2:$2,0)-MATCH("temp_stage",[1]stages!$2:$2,0)+1),MATCH(H$1,[1]stages!$2:$2,0)-MATCH("temp_stage",[1]stages!$2:$2,0)+1,FALSE)</f>
        <v>ドロップイベント3</v>
      </c>
      <c r="I554" s="19">
        <v>0</v>
      </c>
      <c r="J554" s="6">
        <f>COUNTIF(C$1:C554,C554)</f>
        <v>3</v>
      </c>
      <c r="K554">
        <v>3</v>
      </c>
      <c r="L554" s="6" t="s">
        <v>17</v>
      </c>
      <c r="M554" s="36" t="str">
        <f>VLOOKUP(K554,[2]stage_hints!$A:$C,3,FALSE)</f>
        <v>ターゲット</v>
      </c>
      <c r="N554" s="37" t="str">
        <f>VLOOKUP(K554,[2]stage_hints!$A:$D,4,FALSE)</f>
        <v>敵ユニットをタップすると_x000D_その敵を狙い撃ちできます</v>
      </c>
      <c r="O554" s="22" t="s">
        <v>117</v>
      </c>
      <c r="P554">
        <v>3</v>
      </c>
    </row>
    <row r="555" spans="1:16" x14ac:dyDescent="0.15">
      <c r="A555" s="29" t="str">
        <f t="shared" si="69"/>
        <v>20011_1_4</v>
      </c>
      <c r="B555" s="27" t="s">
        <v>33</v>
      </c>
      <c r="C555" s="5">
        <v>20011</v>
      </c>
      <c r="D555" s="4" t="str">
        <f ca="1">VLOOKUP($C555,OFFSET([1]quests!$A$1,0,0,COUNTA([1]quests!$A:$A),MATCH(D$1,[1]quests!$1:$1,0)-MATCH($C$1,[1]quests!$1:$1,0)+1),MATCH(D$1,[1]quests!$1:$1,0)-MATCH($C$1,[1]quests!$1:$1,0)+1,FALSE)</f>
        <v>すべてが灰になる</v>
      </c>
      <c r="E555" s="4" t="str">
        <f ca="1">VLOOKUP($C555,OFFSET([1]quests!$A$1,0,0,COUNTA([1]quests!$A:$A),MATCH(E$1,[1]quests!$1:$1,0)-MATCH($C$1,[1]quests!$1:$1,0)+1),MATCH(E$1,[1]quests!$1:$1,0)-MATCH($C$1,[1]quests!$1:$1,0)+1,FALSE)</f>
        <v>ドロップイベント3</v>
      </c>
      <c r="F555" s="6">
        <v>1</v>
      </c>
      <c r="G555" s="4" t="str">
        <f ca="1">VLOOKUP($C555&amp;"_"&amp;$F555,OFFSET([1]stages!$A$1,0,0,COUNTA([1]stages!$A:$A),MATCH(G$1,[1]stages!$2:$2,0)-MATCH("temp_stage",[1]stages!$2:$2,0)+1),MATCH(G$1,[1]stages!$2:$2,0)-MATCH("temp_stage",[1]stages!$2:$2,0)+1,FALSE)</f>
        <v>【初級】すべてが灰になる</v>
      </c>
      <c r="H555" s="4" t="str">
        <f ca="1">VLOOKUP($C555&amp;"_"&amp;$F555,OFFSET([1]stages!$A$1,0,0,COUNTA([1]stages!$A:$A),MATCH(H$1,[1]stages!$2:$2,0)-MATCH("temp_stage",[1]stages!$2:$2,0)+1),MATCH(H$1,[1]stages!$2:$2,0)-MATCH("temp_stage",[1]stages!$2:$2,0)+1,FALSE)</f>
        <v>ドロップイベント3</v>
      </c>
      <c r="I555" s="19">
        <v>0</v>
      </c>
      <c r="J555" s="6">
        <f>COUNTIF(C$1:C555,C555)</f>
        <v>4</v>
      </c>
      <c r="K555">
        <v>5</v>
      </c>
      <c r="L555" s="6" t="s">
        <v>17</v>
      </c>
      <c r="M555" s="36" t="str">
        <f>VLOOKUP(K555,[2]stage_hints!$A:$C,3,FALSE)</f>
        <v>ユニット強化でレベルアップ</v>
      </c>
      <c r="N555" s="37" t="str">
        <f>VLOOKUP(K555,[2]stage_hints!$A:$D,4,FALSE)</f>
        <v>「ユニット強化」でレベルアップすると_x000D_勝てない敵にも勝てるようになります</v>
      </c>
      <c r="O555" s="22" t="s">
        <v>117</v>
      </c>
      <c r="P555">
        <v>5</v>
      </c>
    </row>
    <row r="556" spans="1:16" x14ac:dyDescent="0.15">
      <c r="A556" s="29" t="str">
        <f t="shared" si="69"/>
        <v>20011_1_5</v>
      </c>
      <c r="B556" s="27" t="s">
        <v>33</v>
      </c>
      <c r="C556" s="5">
        <v>20011</v>
      </c>
      <c r="D556" s="4" t="str">
        <f ca="1">VLOOKUP($C556,OFFSET([1]quests!$A$1,0,0,COUNTA([1]quests!$A:$A),MATCH(D$1,[1]quests!$1:$1,0)-MATCH($C$1,[1]quests!$1:$1,0)+1),MATCH(D$1,[1]quests!$1:$1,0)-MATCH($C$1,[1]quests!$1:$1,0)+1,FALSE)</f>
        <v>すべてが灰になる</v>
      </c>
      <c r="E556" s="4" t="str">
        <f ca="1">VLOOKUP($C556,OFFSET([1]quests!$A$1,0,0,COUNTA([1]quests!$A:$A),MATCH(E$1,[1]quests!$1:$1,0)-MATCH($C$1,[1]quests!$1:$1,0)+1),MATCH(E$1,[1]quests!$1:$1,0)-MATCH($C$1,[1]quests!$1:$1,0)+1,FALSE)</f>
        <v>ドロップイベント3</v>
      </c>
      <c r="F556" s="6">
        <v>1</v>
      </c>
      <c r="G556" s="4" t="str">
        <f ca="1">VLOOKUP($C556&amp;"_"&amp;$F556,OFFSET([1]stages!$A$1,0,0,COUNTA([1]stages!$A:$A),MATCH(G$1,[1]stages!$2:$2,0)-MATCH("temp_stage",[1]stages!$2:$2,0)+1),MATCH(G$1,[1]stages!$2:$2,0)-MATCH("temp_stage",[1]stages!$2:$2,0)+1,FALSE)</f>
        <v>【初級】すべてが灰になる</v>
      </c>
      <c r="H556" s="4" t="str">
        <f ca="1">VLOOKUP($C556&amp;"_"&amp;$F556,OFFSET([1]stages!$A$1,0,0,COUNTA([1]stages!$A:$A),MATCH(H$1,[1]stages!$2:$2,0)-MATCH("temp_stage",[1]stages!$2:$2,0)+1),MATCH(H$1,[1]stages!$2:$2,0)-MATCH("temp_stage",[1]stages!$2:$2,0)+1,FALSE)</f>
        <v>ドロップイベント3</v>
      </c>
      <c r="I556" s="19">
        <v>0</v>
      </c>
      <c r="J556" s="6">
        <f>COUNTIF(C$1:C556,C556)</f>
        <v>5</v>
      </c>
      <c r="K556">
        <v>6</v>
      </c>
      <c r="L556" s="6" t="s">
        <v>17</v>
      </c>
      <c r="M556" s="36" t="str">
        <f>VLOOKUP(K556,[2]stage_hints!$A:$C,3,FALSE)</f>
        <v>ユニット強化の属性ボーナス</v>
      </c>
      <c r="N556" s="37" t="str">
        <f>VLOOKUP(K556,[2]stage_hints!$A:$D,4,FALSE)</f>
        <v>同属性ユニットを強化素材にすると_x000D_経験値が多くもらえます</v>
      </c>
      <c r="O556" s="22" t="s">
        <v>117</v>
      </c>
      <c r="P556">
        <v>6</v>
      </c>
    </row>
    <row r="557" spans="1:16" x14ac:dyDescent="0.15">
      <c r="A557" s="29" t="str">
        <f t="shared" si="69"/>
        <v>20011_1_6</v>
      </c>
      <c r="B557" s="27" t="s">
        <v>33</v>
      </c>
      <c r="C557" s="5">
        <v>20011</v>
      </c>
      <c r="D557" s="4" t="str">
        <f ca="1">VLOOKUP($C557,OFFSET([1]quests!$A$1,0,0,COUNTA([1]quests!$A:$A),MATCH(D$1,[1]quests!$1:$1,0)-MATCH($C$1,[1]quests!$1:$1,0)+1),MATCH(D$1,[1]quests!$1:$1,0)-MATCH($C$1,[1]quests!$1:$1,0)+1,FALSE)</f>
        <v>すべてが灰になる</v>
      </c>
      <c r="E557" s="4" t="str">
        <f ca="1">VLOOKUP($C557,OFFSET([1]quests!$A$1,0,0,COUNTA([1]quests!$A:$A),MATCH(E$1,[1]quests!$1:$1,0)-MATCH($C$1,[1]quests!$1:$1,0)+1),MATCH(E$1,[1]quests!$1:$1,0)-MATCH($C$1,[1]quests!$1:$1,0)+1,FALSE)</f>
        <v>ドロップイベント3</v>
      </c>
      <c r="F557" s="6">
        <v>1</v>
      </c>
      <c r="G557" s="4" t="str">
        <f ca="1">VLOOKUP($C557&amp;"_"&amp;$F557,OFFSET([1]stages!$A$1,0,0,COUNTA([1]stages!$A:$A),MATCH(G$1,[1]stages!$2:$2,0)-MATCH("temp_stage",[1]stages!$2:$2,0)+1),MATCH(G$1,[1]stages!$2:$2,0)-MATCH("temp_stage",[1]stages!$2:$2,0)+1,FALSE)</f>
        <v>【初級】すべてが灰になる</v>
      </c>
      <c r="H557" s="4" t="str">
        <f ca="1">VLOOKUP($C557&amp;"_"&amp;$F557,OFFSET([1]stages!$A$1,0,0,COUNTA([1]stages!$A:$A),MATCH(H$1,[1]stages!$2:$2,0)-MATCH("temp_stage",[1]stages!$2:$2,0)+1),MATCH(H$1,[1]stages!$2:$2,0)-MATCH("temp_stage",[1]stages!$2:$2,0)+1,FALSE)</f>
        <v>ドロップイベント3</v>
      </c>
      <c r="I557" s="19">
        <v>0</v>
      </c>
      <c r="J557" s="6">
        <f>COUNTIF(C$1:C557,C557)</f>
        <v>6</v>
      </c>
      <c r="K557">
        <v>7</v>
      </c>
      <c r="L557" s="6" t="s">
        <v>17</v>
      </c>
      <c r="M557" s="36" t="str">
        <f>VLOOKUP(K557,[2]stage_hints!$A:$C,3,FALSE)</f>
        <v>メタルダックで経験値を獲得</v>
      </c>
      <c r="N557" s="37" t="str">
        <f>VLOOKUP(K557,[2]stage_hints!$A:$D,4,FALSE)</f>
        <v>「メタルなアヒル」を強化素材にすると_x000D_大量の経験値がもらえます</v>
      </c>
      <c r="O557" s="22" t="s">
        <v>117</v>
      </c>
      <c r="P557">
        <v>7</v>
      </c>
    </row>
    <row r="558" spans="1:16" x14ac:dyDescent="0.15">
      <c r="A558" s="29" t="str">
        <f t="shared" si="69"/>
        <v>20011_1_7</v>
      </c>
      <c r="B558" s="27" t="s">
        <v>33</v>
      </c>
      <c r="C558" s="5">
        <v>20011</v>
      </c>
      <c r="D558" s="4" t="str">
        <f ca="1">VLOOKUP($C558,OFFSET([1]quests!$A$1,0,0,COUNTA([1]quests!$A:$A),MATCH(D$1,[1]quests!$1:$1,0)-MATCH($C$1,[1]quests!$1:$1,0)+1),MATCH(D$1,[1]quests!$1:$1,0)-MATCH($C$1,[1]quests!$1:$1,0)+1,FALSE)</f>
        <v>すべてが灰になる</v>
      </c>
      <c r="E558" s="4" t="str">
        <f ca="1">VLOOKUP($C558,OFFSET([1]quests!$A$1,0,0,COUNTA([1]quests!$A:$A),MATCH(E$1,[1]quests!$1:$1,0)-MATCH($C$1,[1]quests!$1:$1,0)+1),MATCH(E$1,[1]quests!$1:$1,0)-MATCH($C$1,[1]quests!$1:$1,0)+1,FALSE)</f>
        <v>ドロップイベント3</v>
      </c>
      <c r="F558" s="6">
        <v>1</v>
      </c>
      <c r="G558" s="4" t="str">
        <f ca="1">VLOOKUP($C558&amp;"_"&amp;$F558,OFFSET([1]stages!$A$1,0,0,COUNTA([1]stages!$A:$A),MATCH(G$1,[1]stages!$2:$2,0)-MATCH("temp_stage",[1]stages!$2:$2,0)+1),MATCH(G$1,[1]stages!$2:$2,0)-MATCH("temp_stage",[1]stages!$2:$2,0)+1,FALSE)</f>
        <v>【初級】すべてが灰になる</v>
      </c>
      <c r="H558" s="4" t="str">
        <f ca="1">VLOOKUP($C558&amp;"_"&amp;$F558,OFFSET([1]stages!$A$1,0,0,COUNTA([1]stages!$A:$A),MATCH(H$1,[1]stages!$2:$2,0)-MATCH("temp_stage",[1]stages!$2:$2,0)+1),MATCH(H$1,[1]stages!$2:$2,0)-MATCH("temp_stage",[1]stages!$2:$2,0)+1,FALSE)</f>
        <v>ドロップイベント3</v>
      </c>
      <c r="I558" s="19">
        <v>0</v>
      </c>
      <c r="J558" s="6">
        <f>COUNTIF(C$1:C558,C558)</f>
        <v>7</v>
      </c>
      <c r="K558">
        <v>8</v>
      </c>
      <c r="L558" s="6" t="s">
        <v>17</v>
      </c>
      <c r="M558" s="36" t="str">
        <f>VLOOKUP(K558,[2]stage_hints!$A:$C,3,FALSE)</f>
        <v>ゲリラクエストは要チェック</v>
      </c>
      <c r="N558" s="37" t="str">
        <f>VLOOKUP(K558,[2]stage_hints!$A:$D,4,FALSE)</f>
        <v>時間限定の「アヒル捕獲作戦」では_x000D_経験値素材ユニットが多く手に入ります</v>
      </c>
      <c r="O558" s="22" t="s">
        <v>117</v>
      </c>
      <c r="P558">
        <v>8</v>
      </c>
    </row>
    <row r="559" spans="1:16" x14ac:dyDescent="0.15">
      <c r="A559" s="29" t="str">
        <f t="shared" si="69"/>
        <v>20011_1_8</v>
      </c>
      <c r="B559" s="27" t="s">
        <v>33</v>
      </c>
      <c r="C559" s="5">
        <v>20011</v>
      </c>
      <c r="D559" s="4" t="str">
        <f ca="1">VLOOKUP($C559,OFFSET([1]quests!$A$1,0,0,COUNTA([1]quests!$A:$A),MATCH(D$1,[1]quests!$1:$1,0)-MATCH($C$1,[1]quests!$1:$1,0)+1),MATCH(D$1,[1]quests!$1:$1,0)-MATCH($C$1,[1]quests!$1:$1,0)+1,FALSE)</f>
        <v>すべてが灰になる</v>
      </c>
      <c r="E559" s="4" t="str">
        <f ca="1">VLOOKUP($C559,OFFSET([1]quests!$A$1,0,0,COUNTA([1]quests!$A:$A),MATCH(E$1,[1]quests!$1:$1,0)-MATCH($C$1,[1]quests!$1:$1,0)+1),MATCH(E$1,[1]quests!$1:$1,0)-MATCH($C$1,[1]quests!$1:$1,0)+1,FALSE)</f>
        <v>ドロップイベント3</v>
      </c>
      <c r="F559" s="6">
        <v>1</v>
      </c>
      <c r="G559" s="4" t="str">
        <f ca="1">VLOOKUP($C559&amp;"_"&amp;$F559,OFFSET([1]stages!$A$1,0,0,COUNTA([1]stages!$A:$A),MATCH(G$1,[1]stages!$2:$2,0)-MATCH("temp_stage",[1]stages!$2:$2,0)+1),MATCH(G$1,[1]stages!$2:$2,0)-MATCH("temp_stage",[1]stages!$2:$2,0)+1,FALSE)</f>
        <v>【初級】すべてが灰になる</v>
      </c>
      <c r="H559" s="4" t="str">
        <f ca="1">VLOOKUP($C559&amp;"_"&amp;$F559,OFFSET([1]stages!$A$1,0,0,COUNTA([1]stages!$A:$A),MATCH(H$1,[1]stages!$2:$2,0)-MATCH("temp_stage",[1]stages!$2:$2,0)+1),MATCH(H$1,[1]stages!$2:$2,0)-MATCH("temp_stage",[1]stages!$2:$2,0)+1,FALSE)</f>
        <v>ドロップイベント3</v>
      </c>
      <c r="I559" s="19">
        <v>0</v>
      </c>
      <c r="J559" s="6">
        <f>COUNTIF(C$1:C559,C559)</f>
        <v>8</v>
      </c>
      <c r="K559">
        <v>9</v>
      </c>
      <c r="L559" s="6" t="s">
        <v>17</v>
      </c>
      <c r="M559" s="36" t="str">
        <f>VLOOKUP(K559,[2]stage_hints!$A:$C,3,FALSE)</f>
        <v>ゴールドダックでビットを獲得</v>
      </c>
      <c r="N559" s="37" t="str">
        <f>VLOOKUP(K559,[2]stage_hints!$A:$D,4,FALSE)</f>
        <v>「ゴールドなアヒル」を売却すると_x000D_大量のビットがもらえます</v>
      </c>
      <c r="O559" s="22" t="s">
        <v>117</v>
      </c>
      <c r="P559">
        <v>9</v>
      </c>
    </row>
    <row r="560" spans="1:16" x14ac:dyDescent="0.15">
      <c r="A560" s="29" t="str">
        <f t="shared" ref="A560:A574" si="70">C560&amp;"_"&amp;F560&amp;"_"&amp;J560</f>
        <v>20011_1_9</v>
      </c>
      <c r="B560" s="27" t="s">
        <v>33</v>
      </c>
      <c r="C560" s="5">
        <v>20011</v>
      </c>
      <c r="D560" s="4" t="str">
        <f ca="1">VLOOKUP($C560,OFFSET([1]quests!$A$1,0,0,COUNTA([1]quests!$A:$A),MATCH(D$1,[1]quests!$1:$1,0)-MATCH($C$1,[1]quests!$1:$1,0)+1),MATCH(D$1,[1]quests!$1:$1,0)-MATCH($C$1,[1]quests!$1:$1,0)+1,FALSE)</f>
        <v>すべてが灰になる</v>
      </c>
      <c r="E560" s="4" t="str">
        <f ca="1">VLOOKUP($C560,OFFSET([1]quests!$A$1,0,0,COUNTA([1]quests!$A:$A),MATCH(E$1,[1]quests!$1:$1,0)-MATCH($C$1,[1]quests!$1:$1,0)+1),MATCH(E$1,[1]quests!$1:$1,0)-MATCH($C$1,[1]quests!$1:$1,0)+1,FALSE)</f>
        <v>ドロップイベント3</v>
      </c>
      <c r="F560" s="6">
        <v>1</v>
      </c>
      <c r="G560" s="4" t="str">
        <f ca="1">VLOOKUP($C560&amp;"_"&amp;$F560,OFFSET([1]stages!$A$1,0,0,COUNTA([1]stages!$A:$A),MATCH(G$1,[1]stages!$2:$2,0)-MATCH("temp_stage",[1]stages!$2:$2,0)+1),MATCH(G$1,[1]stages!$2:$2,0)-MATCH("temp_stage",[1]stages!$2:$2,0)+1,FALSE)</f>
        <v>【初級】すべてが灰になる</v>
      </c>
      <c r="H560" s="4" t="str">
        <f ca="1">VLOOKUP($C560&amp;"_"&amp;$F560,OFFSET([1]stages!$A$1,0,0,COUNTA([1]stages!$A:$A),MATCH(H$1,[1]stages!$2:$2,0)-MATCH("temp_stage",[1]stages!$2:$2,0)+1),MATCH(H$1,[1]stages!$2:$2,0)-MATCH("temp_stage",[1]stages!$2:$2,0)+1,FALSE)</f>
        <v>ドロップイベント3</v>
      </c>
      <c r="I560" s="19">
        <v>0</v>
      </c>
      <c r="J560" s="6">
        <f>COUNTIF(C$1:C560,C560)</f>
        <v>9</v>
      </c>
      <c r="K560">
        <v>10</v>
      </c>
      <c r="L560" s="6" t="s">
        <v>17</v>
      </c>
      <c r="M560" s="36" t="str">
        <f>VLOOKUP(K560,[2]stage_hints!$A:$C,3,FALSE)</f>
        <v>土日に大量のビットを獲得</v>
      </c>
      <c r="N560" s="37" t="str">
        <f>VLOOKUP(K560,[2]stage_hints!$A:$D,4,FALSE)</f>
        <v>土日限定の「ゴールドカジノ」では_x000D_売却素材ユニットが多く手に入ります</v>
      </c>
      <c r="O560" s="22" t="s">
        <v>117</v>
      </c>
      <c r="P560">
        <v>10</v>
      </c>
    </row>
    <row r="561" spans="1:16" x14ac:dyDescent="0.15">
      <c r="A561" s="29" t="str">
        <f t="shared" si="70"/>
        <v>20011_1_10</v>
      </c>
      <c r="B561" s="27" t="s">
        <v>33</v>
      </c>
      <c r="C561" s="5">
        <v>20011</v>
      </c>
      <c r="D561" s="4" t="str">
        <f ca="1">VLOOKUP($C561,OFFSET([1]quests!$A$1,0,0,COUNTA([1]quests!$A:$A),MATCH(D$1,[1]quests!$1:$1,0)-MATCH($C$1,[1]quests!$1:$1,0)+1),MATCH(D$1,[1]quests!$1:$1,0)-MATCH($C$1,[1]quests!$1:$1,0)+1,FALSE)</f>
        <v>すべてが灰になる</v>
      </c>
      <c r="E561" s="4" t="str">
        <f ca="1">VLOOKUP($C561,OFFSET([1]quests!$A$1,0,0,COUNTA([1]quests!$A:$A),MATCH(E$1,[1]quests!$1:$1,0)-MATCH($C$1,[1]quests!$1:$1,0)+1),MATCH(E$1,[1]quests!$1:$1,0)-MATCH($C$1,[1]quests!$1:$1,0)+1,FALSE)</f>
        <v>ドロップイベント3</v>
      </c>
      <c r="F561" s="6">
        <v>1</v>
      </c>
      <c r="G561" s="4" t="str">
        <f ca="1">VLOOKUP($C561&amp;"_"&amp;$F561,OFFSET([1]stages!$A$1,0,0,COUNTA([1]stages!$A:$A),MATCH(G$1,[1]stages!$2:$2,0)-MATCH("temp_stage",[1]stages!$2:$2,0)+1),MATCH(G$1,[1]stages!$2:$2,0)-MATCH("temp_stage",[1]stages!$2:$2,0)+1,FALSE)</f>
        <v>【初級】すべてが灰になる</v>
      </c>
      <c r="H561" s="4" t="str">
        <f ca="1">VLOOKUP($C561&amp;"_"&amp;$F561,OFFSET([1]stages!$A$1,0,0,COUNTA([1]stages!$A:$A),MATCH(H$1,[1]stages!$2:$2,0)-MATCH("temp_stage",[1]stages!$2:$2,0)+1),MATCH(H$1,[1]stages!$2:$2,0)-MATCH("temp_stage",[1]stages!$2:$2,0)+1,FALSE)</f>
        <v>ドロップイベント3</v>
      </c>
      <c r="I561" s="19">
        <v>0</v>
      </c>
      <c r="J561" s="6">
        <f>COUNTIF(C$1:C561,C561)</f>
        <v>10</v>
      </c>
      <c r="K561">
        <v>11</v>
      </c>
      <c r="L561" s="6" t="s">
        <v>17</v>
      </c>
      <c r="M561" s="36" t="str">
        <f>VLOOKUP(K561,[2]stage_hints!$A:$C,3,FALSE)</f>
        <v>ランク解放クエスト</v>
      </c>
      <c r="N561" s="37" t="str">
        <f>VLOOKUP(K561,[2]stage_hints!$A:$D,4,FALSE)</f>
        <v>一定ランクに到達すると_x000D_報酬付きのランク開放クエストが現れます</v>
      </c>
      <c r="O561" s="22" t="s">
        <v>117</v>
      </c>
      <c r="P561">
        <v>11</v>
      </c>
    </row>
    <row r="562" spans="1:16" x14ac:dyDescent="0.15">
      <c r="A562" s="29" t="str">
        <f t="shared" si="70"/>
        <v>20011_1_11</v>
      </c>
      <c r="B562" s="27" t="s">
        <v>33</v>
      </c>
      <c r="C562" s="5">
        <v>20011</v>
      </c>
      <c r="D562" s="4" t="str">
        <f ca="1">VLOOKUP($C562,OFFSET([1]quests!$A$1,0,0,COUNTA([1]quests!$A:$A),MATCH(D$1,[1]quests!$1:$1,0)-MATCH($C$1,[1]quests!$1:$1,0)+1),MATCH(D$1,[1]quests!$1:$1,0)-MATCH($C$1,[1]quests!$1:$1,0)+1,FALSE)</f>
        <v>すべてが灰になる</v>
      </c>
      <c r="E562" s="4" t="str">
        <f ca="1">VLOOKUP($C562,OFFSET([1]quests!$A$1,0,0,COUNTA([1]quests!$A:$A),MATCH(E$1,[1]quests!$1:$1,0)-MATCH($C$1,[1]quests!$1:$1,0)+1),MATCH(E$1,[1]quests!$1:$1,0)-MATCH($C$1,[1]quests!$1:$1,0)+1,FALSE)</f>
        <v>ドロップイベント3</v>
      </c>
      <c r="F562" s="6">
        <v>1</v>
      </c>
      <c r="G562" s="4" t="str">
        <f ca="1">VLOOKUP($C562&amp;"_"&amp;$F562,OFFSET([1]stages!$A$1,0,0,COUNTA([1]stages!$A:$A),MATCH(G$1,[1]stages!$2:$2,0)-MATCH("temp_stage",[1]stages!$2:$2,0)+1),MATCH(G$1,[1]stages!$2:$2,0)-MATCH("temp_stage",[1]stages!$2:$2,0)+1,FALSE)</f>
        <v>【初級】すべてが灰になる</v>
      </c>
      <c r="H562" s="4" t="str">
        <f ca="1">VLOOKUP($C562&amp;"_"&amp;$F562,OFFSET([1]stages!$A$1,0,0,COUNTA([1]stages!$A:$A),MATCH(H$1,[1]stages!$2:$2,0)-MATCH("temp_stage",[1]stages!$2:$2,0)+1),MATCH(H$1,[1]stages!$2:$2,0)-MATCH("temp_stage",[1]stages!$2:$2,0)+1,FALSE)</f>
        <v>ドロップイベント3</v>
      </c>
      <c r="I562" s="19">
        <v>0</v>
      </c>
      <c r="J562" s="6">
        <f>COUNTIF(C$1:C562,C562)</f>
        <v>11</v>
      </c>
      <c r="K562">
        <v>12</v>
      </c>
      <c r="L562" s="6" t="s">
        <v>17</v>
      </c>
      <c r="M562" s="36" t="str">
        <f>VLOOKUP(K562,[2]stage_hints!$A:$C,3,FALSE)</f>
        <v>ユニットのお気に入り登録</v>
      </c>
      <c r="N562" s="37" t="str">
        <f>VLOOKUP(K562,[2]stage_hints!$A:$D,4,FALSE)</f>
        <v>大事なユニットを誤って消さないように_x000D_フォルダから「お気に入り登録」しましょう</v>
      </c>
      <c r="O562" s="22" t="s">
        <v>117</v>
      </c>
      <c r="P562">
        <v>12</v>
      </c>
    </row>
    <row r="563" spans="1:16" x14ac:dyDescent="0.15">
      <c r="A563" s="29" t="str">
        <f t="shared" si="70"/>
        <v>20011_1_12</v>
      </c>
      <c r="B563" s="27" t="s">
        <v>33</v>
      </c>
      <c r="C563" s="5">
        <v>20011</v>
      </c>
      <c r="D563" s="4" t="str">
        <f ca="1">VLOOKUP($C563,OFFSET([1]quests!$A$1,0,0,COUNTA([1]quests!$A:$A),MATCH(D$1,[1]quests!$1:$1,0)-MATCH($C$1,[1]quests!$1:$1,0)+1),MATCH(D$1,[1]quests!$1:$1,0)-MATCH($C$1,[1]quests!$1:$1,0)+1,FALSE)</f>
        <v>すべてが灰になる</v>
      </c>
      <c r="E563" s="4" t="str">
        <f ca="1">VLOOKUP($C563,OFFSET([1]quests!$A$1,0,0,COUNTA([1]quests!$A:$A),MATCH(E$1,[1]quests!$1:$1,0)-MATCH($C$1,[1]quests!$1:$1,0)+1),MATCH(E$1,[1]quests!$1:$1,0)-MATCH($C$1,[1]quests!$1:$1,0)+1,FALSE)</f>
        <v>ドロップイベント3</v>
      </c>
      <c r="F563" s="6">
        <v>1</v>
      </c>
      <c r="G563" s="4" t="str">
        <f ca="1">VLOOKUP($C563&amp;"_"&amp;$F563,OFFSET([1]stages!$A$1,0,0,COUNTA([1]stages!$A:$A),MATCH(G$1,[1]stages!$2:$2,0)-MATCH("temp_stage",[1]stages!$2:$2,0)+1),MATCH(G$1,[1]stages!$2:$2,0)-MATCH("temp_stage",[1]stages!$2:$2,0)+1,FALSE)</f>
        <v>【初級】すべてが灰になる</v>
      </c>
      <c r="H563" s="4" t="str">
        <f ca="1">VLOOKUP($C563&amp;"_"&amp;$F563,OFFSET([1]stages!$A$1,0,0,COUNTA([1]stages!$A:$A),MATCH(H$1,[1]stages!$2:$2,0)-MATCH("temp_stage",[1]stages!$2:$2,0)+1),MATCH(H$1,[1]stages!$2:$2,0)-MATCH("temp_stage",[1]stages!$2:$2,0)+1,FALSE)</f>
        <v>ドロップイベント3</v>
      </c>
      <c r="I563" s="19">
        <v>0</v>
      </c>
      <c r="J563" s="6">
        <f>COUNTIF(C$1:C563,C563)</f>
        <v>12</v>
      </c>
      <c r="K563">
        <v>13</v>
      </c>
      <c r="L563" s="6" t="s">
        <v>17</v>
      </c>
      <c r="M563" s="36" t="str">
        <f>VLOOKUP(K563,[2]stage_hints!$A:$C,3,FALSE)</f>
        <v>ユニットの覚醒</v>
      </c>
      <c r="N563" s="37" t="str">
        <f>VLOOKUP(K563,[2]stage_hints!$A:$D,4,FALSE)</f>
        <v>ユニットを覚醒させると_x000D_比べものにならない強さが手に入ります</v>
      </c>
      <c r="O563" s="22" t="s">
        <v>117</v>
      </c>
      <c r="P563">
        <v>13</v>
      </c>
    </row>
    <row r="564" spans="1:16" x14ac:dyDescent="0.15">
      <c r="A564" s="29" t="str">
        <f t="shared" si="70"/>
        <v>20011_1_13</v>
      </c>
      <c r="B564" s="27" t="s">
        <v>33</v>
      </c>
      <c r="C564" s="5">
        <v>20011</v>
      </c>
      <c r="D564" s="4" t="str">
        <f ca="1">VLOOKUP($C564,OFFSET([1]quests!$A$1,0,0,COUNTA([1]quests!$A:$A),MATCH(D$1,[1]quests!$1:$1,0)-MATCH($C$1,[1]quests!$1:$1,0)+1),MATCH(D$1,[1]quests!$1:$1,0)-MATCH($C$1,[1]quests!$1:$1,0)+1,FALSE)</f>
        <v>すべてが灰になる</v>
      </c>
      <c r="E564" s="4" t="str">
        <f ca="1">VLOOKUP($C564,OFFSET([1]quests!$A$1,0,0,COUNTA([1]quests!$A:$A),MATCH(E$1,[1]quests!$1:$1,0)-MATCH($C$1,[1]quests!$1:$1,0)+1),MATCH(E$1,[1]quests!$1:$1,0)-MATCH($C$1,[1]quests!$1:$1,0)+1,FALSE)</f>
        <v>ドロップイベント3</v>
      </c>
      <c r="F564" s="6">
        <v>1</v>
      </c>
      <c r="G564" s="4" t="str">
        <f ca="1">VLOOKUP($C564&amp;"_"&amp;$F564,OFFSET([1]stages!$A$1,0,0,COUNTA([1]stages!$A:$A),MATCH(G$1,[1]stages!$2:$2,0)-MATCH("temp_stage",[1]stages!$2:$2,0)+1),MATCH(G$1,[1]stages!$2:$2,0)-MATCH("temp_stage",[1]stages!$2:$2,0)+1,FALSE)</f>
        <v>【初級】すべてが灰になる</v>
      </c>
      <c r="H564" s="4" t="str">
        <f ca="1">VLOOKUP($C564&amp;"_"&amp;$F564,OFFSET([1]stages!$A$1,0,0,COUNTA([1]stages!$A:$A),MATCH(H$1,[1]stages!$2:$2,0)-MATCH("temp_stage",[1]stages!$2:$2,0)+1),MATCH(H$1,[1]stages!$2:$2,0)-MATCH("temp_stage",[1]stages!$2:$2,0)+1,FALSE)</f>
        <v>ドロップイベント3</v>
      </c>
      <c r="I564" s="19">
        <v>0</v>
      </c>
      <c r="J564" s="6">
        <f>COUNTIF(C$1:C564,C564)</f>
        <v>13</v>
      </c>
      <c r="K564">
        <v>14</v>
      </c>
      <c r="L564" s="6" t="s">
        <v>17</v>
      </c>
      <c r="M564" s="36" t="str">
        <f>VLOOKUP(K564,[2]stage_hints!$A:$C,3,FALSE)</f>
        <v>覚醒するにはレベルを最大に</v>
      </c>
      <c r="N564" s="37" t="str">
        <f>VLOOKUP(K564,[2]stage_hints!$A:$D,4,FALSE)</f>
        <v>覚醒するにはユニットのレベルを_x000D_最大まで上げる必要があります</v>
      </c>
      <c r="O564" s="22" t="s">
        <v>117</v>
      </c>
      <c r="P564">
        <v>14</v>
      </c>
    </row>
    <row r="565" spans="1:16" x14ac:dyDescent="0.15">
      <c r="A565" s="29" t="str">
        <f t="shared" si="70"/>
        <v>20011_1_14</v>
      </c>
      <c r="B565" s="27" t="s">
        <v>33</v>
      </c>
      <c r="C565" s="5">
        <v>20011</v>
      </c>
      <c r="D565" s="4" t="str">
        <f ca="1">VLOOKUP($C565,OFFSET([1]quests!$A$1,0,0,COUNTA([1]quests!$A:$A),MATCH(D$1,[1]quests!$1:$1,0)-MATCH($C$1,[1]quests!$1:$1,0)+1),MATCH(D$1,[1]quests!$1:$1,0)-MATCH($C$1,[1]quests!$1:$1,0)+1,FALSE)</f>
        <v>すべてが灰になる</v>
      </c>
      <c r="E565" s="4" t="str">
        <f ca="1">VLOOKUP($C565,OFFSET([1]quests!$A$1,0,0,COUNTA([1]quests!$A:$A),MATCH(E$1,[1]quests!$1:$1,0)-MATCH($C$1,[1]quests!$1:$1,0)+1),MATCH(E$1,[1]quests!$1:$1,0)-MATCH($C$1,[1]quests!$1:$1,0)+1,FALSE)</f>
        <v>ドロップイベント3</v>
      </c>
      <c r="F565" s="6">
        <v>1</v>
      </c>
      <c r="G565" s="4" t="str">
        <f ca="1">VLOOKUP($C565&amp;"_"&amp;$F565,OFFSET([1]stages!$A$1,0,0,COUNTA([1]stages!$A:$A),MATCH(G$1,[1]stages!$2:$2,0)-MATCH("temp_stage",[1]stages!$2:$2,0)+1),MATCH(G$1,[1]stages!$2:$2,0)-MATCH("temp_stage",[1]stages!$2:$2,0)+1,FALSE)</f>
        <v>【初級】すべてが灰になる</v>
      </c>
      <c r="H565" s="4" t="str">
        <f ca="1">VLOOKUP($C565&amp;"_"&amp;$F565,OFFSET([1]stages!$A$1,0,0,COUNTA([1]stages!$A:$A),MATCH(H$1,[1]stages!$2:$2,0)-MATCH("temp_stage",[1]stages!$2:$2,0)+1),MATCH(H$1,[1]stages!$2:$2,0)-MATCH("temp_stage",[1]stages!$2:$2,0)+1,FALSE)</f>
        <v>ドロップイベント3</v>
      </c>
      <c r="I565" s="19">
        <v>0</v>
      </c>
      <c r="J565" s="6">
        <f>COUNTIF(C$1:C565,C565)</f>
        <v>14</v>
      </c>
      <c r="K565">
        <v>15</v>
      </c>
      <c r="L565" s="6" t="s">
        <v>17</v>
      </c>
      <c r="M565" s="36" t="str">
        <f>VLOOKUP(K565,[2]stage_hints!$A:$C,3,FALSE)</f>
        <v>覚醒素材を獲得</v>
      </c>
      <c r="N565" s="37" t="str">
        <f>VLOOKUP(K565,[2]stage_hints!$A:$D,4,FALSE)</f>
        <v>「曜日クエスト」では_x000D_ユニットの覚醒に必要な素材が手に入ります</v>
      </c>
      <c r="O565" s="22" t="s">
        <v>117</v>
      </c>
      <c r="P565">
        <v>15</v>
      </c>
    </row>
    <row r="566" spans="1:16" x14ac:dyDescent="0.15">
      <c r="A566" s="29" t="str">
        <f t="shared" si="70"/>
        <v>20011_1_15</v>
      </c>
      <c r="B566" s="27" t="s">
        <v>33</v>
      </c>
      <c r="C566" s="5">
        <v>20011</v>
      </c>
      <c r="D566" s="4" t="str">
        <f ca="1">VLOOKUP($C566,OFFSET([1]quests!$A$1,0,0,COUNTA([1]quests!$A:$A),MATCH(D$1,[1]quests!$1:$1,0)-MATCH($C$1,[1]quests!$1:$1,0)+1),MATCH(D$1,[1]quests!$1:$1,0)-MATCH($C$1,[1]quests!$1:$1,0)+1,FALSE)</f>
        <v>すべてが灰になる</v>
      </c>
      <c r="E566" s="4" t="str">
        <f ca="1">VLOOKUP($C566,OFFSET([1]quests!$A$1,0,0,COUNTA([1]quests!$A:$A),MATCH(E$1,[1]quests!$1:$1,0)-MATCH($C$1,[1]quests!$1:$1,0)+1),MATCH(E$1,[1]quests!$1:$1,0)-MATCH($C$1,[1]quests!$1:$1,0)+1,FALSE)</f>
        <v>ドロップイベント3</v>
      </c>
      <c r="F566" s="6">
        <v>1</v>
      </c>
      <c r="G566" s="4" t="str">
        <f ca="1">VLOOKUP($C566&amp;"_"&amp;$F566,OFFSET([1]stages!$A$1,0,0,COUNTA([1]stages!$A:$A),MATCH(G$1,[1]stages!$2:$2,0)-MATCH("temp_stage",[1]stages!$2:$2,0)+1),MATCH(G$1,[1]stages!$2:$2,0)-MATCH("temp_stage",[1]stages!$2:$2,0)+1,FALSE)</f>
        <v>【初級】すべてが灰になる</v>
      </c>
      <c r="H566" s="4" t="str">
        <f ca="1">VLOOKUP($C566&amp;"_"&amp;$F566,OFFSET([1]stages!$A$1,0,0,COUNTA([1]stages!$A:$A),MATCH(H$1,[1]stages!$2:$2,0)-MATCH("temp_stage",[1]stages!$2:$2,0)+1),MATCH(H$1,[1]stages!$2:$2,0)-MATCH("temp_stage",[1]stages!$2:$2,0)+1,FALSE)</f>
        <v>ドロップイベント3</v>
      </c>
      <c r="I566" s="19">
        <v>0</v>
      </c>
      <c r="J566" s="6">
        <f>COUNTIF(C$1:C566,C566)</f>
        <v>15</v>
      </c>
      <c r="K566">
        <v>16</v>
      </c>
      <c r="L566" s="6" t="s">
        <v>17</v>
      </c>
      <c r="M566" s="36" t="str">
        <f>VLOOKUP(K566,[2]stage_hints!$A:$C,3,FALSE)</f>
        <v>マルチプレイのメリット（その1）</v>
      </c>
      <c r="N566" s="37" t="str">
        <f>VLOOKUP(K566,[2]stage_hints!$A:$D,4,FALSE)</f>
        <v>他のプレイヤーとマルチプレイで遊ぶと_x000D_ポリゴンがもらえます（100人まで）</v>
      </c>
      <c r="O566" s="22" t="s">
        <v>117</v>
      </c>
      <c r="P566">
        <v>16</v>
      </c>
    </row>
    <row r="567" spans="1:16" x14ac:dyDescent="0.15">
      <c r="A567" s="29" t="str">
        <f t="shared" si="70"/>
        <v>20011_1_16</v>
      </c>
      <c r="B567" s="27" t="s">
        <v>33</v>
      </c>
      <c r="C567" s="5">
        <v>20011</v>
      </c>
      <c r="D567" s="4" t="str">
        <f ca="1">VLOOKUP($C567,OFFSET([1]quests!$A$1,0,0,COUNTA([1]quests!$A:$A),MATCH(D$1,[1]quests!$1:$1,0)-MATCH($C$1,[1]quests!$1:$1,0)+1),MATCH(D$1,[1]quests!$1:$1,0)-MATCH($C$1,[1]quests!$1:$1,0)+1,FALSE)</f>
        <v>すべてが灰になる</v>
      </c>
      <c r="E567" s="4" t="str">
        <f ca="1">VLOOKUP($C567,OFFSET([1]quests!$A$1,0,0,COUNTA([1]quests!$A:$A),MATCH(E$1,[1]quests!$1:$1,0)-MATCH($C$1,[1]quests!$1:$1,0)+1),MATCH(E$1,[1]quests!$1:$1,0)-MATCH($C$1,[1]quests!$1:$1,0)+1,FALSE)</f>
        <v>ドロップイベント3</v>
      </c>
      <c r="F567" s="6">
        <v>1</v>
      </c>
      <c r="G567" s="4" t="str">
        <f ca="1">VLOOKUP($C567&amp;"_"&amp;$F567,OFFSET([1]stages!$A$1,0,0,COUNTA([1]stages!$A:$A),MATCH(G$1,[1]stages!$2:$2,0)-MATCH("temp_stage",[1]stages!$2:$2,0)+1),MATCH(G$1,[1]stages!$2:$2,0)-MATCH("temp_stage",[1]stages!$2:$2,0)+1,FALSE)</f>
        <v>【初級】すべてが灰になる</v>
      </c>
      <c r="H567" s="4" t="str">
        <f ca="1">VLOOKUP($C567&amp;"_"&amp;$F567,OFFSET([1]stages!$A$1,0,0,COUNTA([1]stages!$A:$A),MATCH(H$1,[1]stages!$2:$2,0)-MATCH("temp_stage",[1]stages!$2:$2,0)+1),MATCH(H$1,[1]stages!$2:$2,0)-MATCH("temp_stage",[1]stages!$2:$2,0)+1,FALSE)</f>
        <v>ドロップイベント3</v>
      </c>
      <c r="I567" s="19">
        <v>0</v>
      </c>
      <c r="J567" s="6">
        <f>COUNTIF(C$1:C567,C567)</f>
        <v>16</v>
      </c>
      <c r="K567">
        <v>17</v>
      </c>
      <c r="L567" s="6" t="s">
        <v>17</v>
      </c>
      <c r="M567" s="36" t="str">
        <f>VLOOKUP(K567,[2]stage_hints!$A:$C,3,FALSE)</f>
        <v>リンクガチャ</v>
      </c>
      <c r="N567" s="37" t="str">
        <f>VLOOKUP(K567,[2]stage_hints!$A:$D,4,FALSE)</f>
        <v>無料のリンクガチャを回して_x000D_経験値素材や売却素材を獲得しましょう</v>
      </c>
      <c r="O567" s="22" t="s">
        <v>117</v>
      </c>
      <c r="P567">
        <v>17</v>
      </c>
    </row>
    <row r="568" spans="1:16" x14ac:dyDescent="0.15">
      <c r="A568" s="29" t="str">
        <f t="shared" si="70"/>
        <v>20011_1_17</v>
      </c>
      <c r="B568" s="27" t="s">
        <v>33</v>
      </c>
      <c r="C568" s="5">
        <v>20011</v>
      </c>
      <c r="D568" s="4" t="str">
        <f ca="1">VLOOKUP($C568,OFFSET([1]quests!$A$1,0,0,COUNTA([1]quests!$A:$A),MATCH(D$1,[1]quests!$1:$1,0)-MATCH($C$1,[1]quests!$1:$1,0)+1),MATCH(D$1,[1]quests!$1:$1,0)-MATCH($C$1,[1]quests!$1:$1,0)+1,FALSE)</f>
        <v>すべてが灰になる</v>
      </c>
      <c r="E568" s="4" t="str">
        <f ca="1">VLOOKUP($C568,OFFSET([1]quests!$A$1,0,0,COUNTA([1]quests!$A:$A),MATCH(E$1,[1]quests!$1:$1,0)-MATCH($C$1,[1]quests!$1:$1,0)+1),MATCH(E$1,[1]quests!$1:$1,0)-MATCH($C$1,[1]quests!$1:$1,0)+1,FALSE)</f>
        <v>ドロップイベント3</v>
      </c>
      <c r="F568" s="6">
        <v>1</v>
      </c>
      <c r="G568" s="4" t="str">
        <f ca="1">VLOOKUP($C568&amp;"_"&amp;$F568,OFFSET([1]stages!$A$1,0,0,COUNTA([1]stages!$A:$A),MATCH(G$1,[1]stages!$2:$2,0)-MATCH("temp_stage",[1]stages!$2:$2,0)+1),MATCH(G$1,[1]stages!$2:$2,0)-MATCH("temp_stage",[1]stages!$2:$2,0)+1,FALSE)</f>
        <v>【初級】すべてが灰になる</v>
      </c>
      <c r="H568" s="4" t="str">
        <f ca="1">VLOOKUP($C568&amp;"_"&amp;$F568,OFFSET([1]stages!$A$1,0,0,COUNTA([1]stages!$A:$A),MATCH(H$1,[1]stages!$2:$2,0)-MATCH("temp_stage",[1]stages!$2:$2,0)+1),MATCH(H$1,[1]stages!$2:$2,0)-MATCH("temp_stage",[1]stages!$2:$2,0)+1,FALSE)</f>
        <v>ドロップイベント3</v>
      </c>
      <c r="I568" s="19">
        <v>0</v>
      </c>
      <c r="J568" s="6">
        <f>COUNTIF(C$1:C568,C568)</f>
        <v>17</v>
      </c>
      <c r="K568">
        <v>18</v>
      </c>
      <c r="L568" s="6" t="s">
        <v>17</v>
      </c>
      <c r="M568" s="36" t="str">
        <f>VLOOKUP(K568,[2]stage_hints!$A:$C,3,FALSE)</f>
        <v>マルチプレイのメリット（その2）</v>
      </c>
      <c r="N568" s="37" t="str">
        <f>VLOOKUP(K568,[2]stage_hints!$A:$D,4,FALSE)</f>
        <v>マルチプレイならリンクが2倍もらえます_x000D_リンクガチャをたくさん回しましょう</v>
      </c>
      <c r="O568" s="22" t="s">
        <v>117</v>
      </c>
      <c r="P568">
        <v>18</v>
      </c>
    </row>
    <row r="569" spans="1:16" x14ac:dyDescent="0.15">
      <c r="A569" s="29" t="str">
        <f t="shared" si="70"/>
        <v>20011_1_18</v>
      </c>
      <c r="B569" s="27" t="s">
        <v>33</v>
      </c>
      <c r="C569" s="5">
        <v>20011</v>
      </c>
      <c r="D569" s="4" t="str">
        <f ca="1">VLOOKUP($C569,OFFSET([1]quests!$A$1,0,0,COUNTA([1]quests!$A:$A),MATCH(D$1,[1]quests!$1:$1,0)-MATCH($C$1,[1]quests!$1:$1,0)+1),MATCH(D$1,[1]quests!$1:$1,0)-MATCH($C$1,[1]quests!$1:$1,0)+1,FALSE)</f>
        <v>すべてが灰になる</v>
      </c>
      <c r="E569" s="4" t="str">
        <f ca="1">VLOOKUP($C569,OFFSET([1]quests!$A$1,0,0,COUNTA([1]quests!$A:$A),MATCH(E$1,[1]quests!$1:$1,0)-MATCH($C$1,[1]quests!$1:$1,0)+1),MATCH(E$1,[1]quests!$1:$1,0)-MATCH($C$1,[1]quests!$1:$1,0)+1,FALSE)</f>
        <v>ドロップイベント3</v>
      </c>
      <c r="F569" s="6">
        <v>1</v>
      </c>
      <c r="G569" s="4" t="str">
        <f ca="1">VLOOKUP($C569&amp;"_"&amp;$F569,OFFSET([1]stages!$A$1,0,0,COUNTA([1]stages!$A:$A),MATCH(G$1,[1]stages!$2:$2,0)-MATCH("temp_stage",[1]stages!$2:$2,0)+1),MATCH(G$1,[1]stages!$2:$2,0)-MATCH("temp_stage",[1]stages!$2:$2,0)+1,FALSE)</f>
        <v>【初級】すべてが灰になる</v>
      </c>
      <c r="H569" s="4" t="str">
        <f ca="1">VLOOKUP($C569&amp;"_"&amp;$F569,OFFSET([1]stages!$A$1,0,0,COUNTA([1]stages!$A:$A),MATCH(H$1,[1]stages!$2:$2,0)-MATCH("temp_stage",[1]stages!$2:$2,0)+1),MATCH(H$1,[1]stages!$2:$2,0)-MATCH("temp_stage",[1]stages!$2:$2,0)+1,FALSE)</f>
        <v>ドロップイベント3</v>
      </c>
      <c r="I569" s="19">
        <v>0</v>
      </c>
      <c r="J569" s="6">
        <f>COUNTIF(C$1:C569,C569)</f>
        <v>18</v>
      </c>
      <c r="K569">
        <v>19</v>
      </c>
      <c r="L569" s="6" t="s">
        <v>17</v>
      </c>
      <c r="M569" s="36" t="str">
        <f>VLOOKUP(K569,[2]stage_hints!$A:$C,3,FALSE)</f>
        <v>ソロ専用チャレンジタワー</v>
      </c>
      <c r="N569" s="37" t="str">
        <f>VLOOKUP(K569,[2]stage_hints!$A:$D,4,FALSE)</f>
        <v>ソロ専用の「チャレンジタワー」では_x000D_各フロアごとにクリア報酬がもらえます</v>
      </c>
      <c r="O569" s="22" t="s">
        <v>117</v>
      </c>
      <c r="P569">
        <v>19</v>
      </c>
    </row>
    <row r="570" spans="1:16" x14ac:dyDescent="0.15">
      <c r="A570" s="29" t="str">
        <f t="shared" si="70"/>
        <v>20011_1_19</v>
      </c>
      <c r="B570" s="27" t="s">
        <v>33</v>
      </c>
      <c r="C570" s="5">
        <v>20011</v>
      </c>
      <c r="D570" s="4" t="str">
        <f ca="1">VLOOKUP($C570,OFFSET([1]quests!$A$1,0,0,COUNTA([1]quests!$A:$A),MATCH(D$1,[1]quests!$1:$1,0)-MATCH($C$1,[1]quests!$1:$1,0)+1),MATCH(D$1,[1]quests!$1:$1,0)-MATCH($C$1,[1]quests!$1:$1,0)+1,FALSE)</f>
        <v>すべてが灰になる</v>
      </c>
      <c r="E570" s="4" t="str">
        <f ca="1">VLOOKUP($C570,OFFSET([1]quests!$A$1,0,0,COUNTA([1]quests!$A:$A),MATCH(E$1,[1]quests!$1:$1,0)-MATCH($C$1,[1]quests!$1:$1,0)+1),MATCH(E$1,[1]quests!$1:$1,0)-MATCH($C$1,[1]quests!$1:$1,0)+1,FALSE)</f>
        <v>ドロップイベント3</v>
      </c>
      <c r="F570" s="6">
        <v>1</v>
      </c>
      <c r="G570" s="4" t="str">
        <f ca="1">VLOOKUP($C570&amp;"_"&amp;$F570,OFFSET([1]stages!$A$1,0,0,COUNTA([1]stages!$A:$A),MATCH(G$1,[1]stages!$2:$2,0)-MATCH("temp_stage",[1]stages!$2:$2,0)+1),MATCH(G$1,[1]stages!$2:$2,0)-MATCH("temp_stage",[1]stages!$2:$2,0)+1,FALSE)</f>
        <v>【初級】すべてが灰になる</v>
      </c>
      <c r="H570" s="4" t="str">
        <f ca="1">VLOOKUP($C570&amp;"_"&amp;$F570,OFFSET([1]stages!$A$1,0,0,COUNTA([1]stages!$A:$A),MATCH(H$1,[1]stages!$2:$2,0)-MATCH("temp_stage",[1]stages!$2:$2,0)+1),MATCH(H$1,[1]stages!$2:$2,0)-MATCH("temp_stage",[1]stages!$2:$2,0)+1,FALSE)</f>
        <v>ドロップイベント3</v>
      </c>
      <c r="I570" s="19">
        <v>0</v>
      </c>
      <c r="J570" s="6">
        <f>COUNTIF(C$1:C570,C570)</f>
        <v>19</v>
      </c>
      <c r="K570">
        <v>20</v>
      </c>
      <c r="L570" s="6" t="s">
        <v>17</v>
      </c>
      <c r="M570" s="36" t="str">
        <f>VLOOKUP(K570,[2]stage_hints!$A:$C,3,FALSE)</f>
        <v>マルチプレイのメリット（その3）</v>
      </c>
      <c r="N570" s="37" t="str">
        <f>VLOOKUP(K570,[2]stage_hints!$A:$D,4,FALSE)</f>
        <v>マルチプレイへの参加はエナジー消費ゼロ_x000D_いつでも好きなだけ遊ぶことができます</v>
      </c>
      <c r="O570" s="22" t="s">
        <v>117</v>
      </c>
      <c r="P570">
        <v>20</v>
      </c>
    </row>
    <row r="571" spans="1:16" x14ac:dyDescent="0.15">
      <c r="A571" s="29" t="str">
        <f t="shared" si="70"/>
        <v>20011_1_20</v>
      </c>
      <c r="B571" s="27" t="s">
        <v>33</v>
      </c>
      <c r="C571" s="5">
        <v>20011</v>
      </c>
      <c r="D571" s="4" t="str">
        <f ca="1">VLOOKUP($C571,OFFSET([1]quests!$A$1,0,0,COUNTA([1]quests!$A:$A),MATCH(D$1,[1]quests!$1:$1,0)-MATCH($C$1,[1]quests!$1:$1,0)+1),MATCH(D$1,[1]quests!$1:$1,0)-MATCH($C$1,[1]quests!$1:$1,0)+1,FALSE)</f>
        <v>すべてが灰になる</v>
      </c>
      <c r="E571" s="4" t="str">
        <f ca="1">VLOOKUP($C571,OFFSET([1]quests!$A$1,0,0,COUNTA([1]quests!$A:$A),MATCH(E$1,[1]quests!$1:$1,0)-MATCH($C$1,[1]quests!$1:$1,0)+1),MATCH(E$1,[1]quests!$1:$1,0)-MATCH($C$1,[1]quests!$1:$1,0)+1,FALSE)</f>
        <v>ドロップイベント3</v>
      </c>
      <c r="F571" s="6">
        <v>1</v>
      </c>
      <c r="G571" s="4" t="str">
        <f ca="1">VLOOKUP($C571&amp;"_"&amp;$F571,OFFSET([1]stages!$A$1,0,0,COUNTA([1]stages!$A:$A),MATCH(G$1,[1]stages!$2:$2,0)-MATCH("temp_stage",[1]stages!$2:$2,0)+1),MATCH(G$1,[1]stages!$2:$2,0)-MATCH("temp_stage",[1]stages!$2:$2,0)+1,FALSE)</f>
        <v>【初級】すべてが灰になる</v>
      </c>
      <c r="H571" s="4" t="str">
        <f ca="1">VLOOKUP($C571&amp;"_"&amp;$F571,OFFSET([1]stages!$A$1,0,0,COUNTA([1]stages!$A:$A),MATCH(H$1,[1]stages!$2:$2,0)-MATCH("temp_stage",[1]stages!$2:$2,0)+1),MATCH(H$1,[1]stages!$2:$2,0)-MATCH("temp_stage",[1]stages!$2:$2,0)+1,FALSE)</f>
        <v>ドロップイベント3</v>
      </c>
      <c r="I571" s="19">
        <v>0</v>
      </c>
      <c r="J571" s="6">
        <f>COUNTIF(C$1:C571,C571)</f>
        <v>20</v>
      </c>
      <c r="K571">
        <v>21</v>
      </c>
      <c r="L571" s="6" t="s">
        <v>17</v>
      </c>
      <c r="M571" s="36" t="str">
        <f>VLOOKUP(K571,[2]stage_hints!$A:$C,3,FALSE)</f>
        <v>スキルを有効に</v>
      </c>
      <c r="N571" s="37" t="str">
        <f>VLOOKUP(K571,[2]stage_hints!$A:$D,4,FALSE)</f>
        <v>ターン経過でユニットのスキルが使えます_x000D_強力スキルでバトルを有利に進めましょう</v>
      </c>
      <c r="O571" s="22" t="s">
        <v>117</v>
      </c>
      <c r="P571">
        <v>21</v>
      </c>
    </row>
    <row r="572" spans="1:16" x14ac:dyDescent="0.15">
      <c r="A572" s="29" t="str">
        <f t="shared" si="70"/>
        <v>20011_1_21</v>
      </c>
      <c r="B572" s="27" t="s">
        <v>33</v>
      </c>
      <c r="C572" s="5">
        <v>20011</v>
      </c>
      <c r="D572" s="4" t="str">
        <f ca="1">VLOOKUP($C572,OFFSET([1]quests!$A$1,0,0,COUNTA([1]quests!$A:$A),MATCH(D$1,[1]quests!$1:$1,0)-MATCH($C$1,[1]quests!$1:$1,0)+1),MATCH(D$1,[1]quests!$1:$1,0)-MATCH($C$1,[1]quests!$1:$1,0)+1,FALSE)</f>
        <v>すべてが灰になる</v>
      </c>
      <c r="E572" s="4" t="str">
        <f ca="1">VLOOKUP($C572,OFFSET([1]quests!$A$1,0,0,COUNTA([1]quests!$A:$A),MATCH(E$1,[1]quests!$1:$1,0)-MATCH($C$1,[1]quests!$1:$1,0)+1),MATCH(E$1,[1]quests!$1:$1,0)-MATCH($C$1,[1]quests!$1:$1,0)+1,FALSE)</f>
        <v>ドロップイベント3</v>
      </c>
      <c r="F572" s="6">
        <v>1</v>
      </c>
      <c r="G572" s="4" t="str">
        <f ca="1">VLOOKUP($C572&amp;"_"&amp;$F572,OFFSET([1]stages!$A$1,0,0,COUNTA([1]stages!$A:$A),MATCH(G$1,[1]stages!$2:$2,0)-MATCH("temp_stage",[1]stages!$2:$2,0)+1),MATCH(G$1,[1]stages!$2:$2,0)-MATCH("temp_stage",[1]stages!$2:$2,0)+1,FALSE)</f>
        <v>【初級】すべてが灰になる</v>
      </c>
      <c r="H572" s="4" t="str">
        <f ca="1">VLOOKUP($C572&amp;"_"&amp;$F572,OFFSET([1]stages!$A$1,0,0,COUNTA([1]stages!$A:$A),MATCH(H$1,[1]stages!$2:$2,0)-MATCH("temp_stage",[1]stages!$2:$2,0)+1),MATCH(H$1,[1]stages!$2:$2,0)-MATCH("temp_stage",[1]stages!$2:$2,0)+1,FALSE)</f>
        <v>ドロップイベント3</v>
      </c>
      <c r="I572" s="19">
        <v>0</v>
      </c>
      <c r="J572" s="6">
        <f>COUNTIF(C$1:C572,C572)</f>
        <v>21</v>
      </c>
      <c r="K572">
        <v>22</v>
      </c>
      <c r="L572" s="6" t="s">
        <v>17</v>
      </c>
      <c r="M572" s="36" t="str">
        <f>VLOOKUP(K572,[2]stage_hints!$A:$C,3,FALSE)</f>
        <v>フィーバーで一発逆転（その1）</v>
      </c>
      <c r="N572" s="37" t="str">
        <f>VLOOKUP(K572,[2]stage_hints!$A:$D,4,FALSE)</f>
        <v>フィーバーは攻撃と回復を兼ね備えます_x000D_ピンチからの一発逆転を狙いましょう</v>
      </c>
      <c r="O572" s="22" t="s">
        <v>117</v>
      </c>
      <c r="P572">
        <v>22</v>
      </c>
    </row>
    <row r="573" spans="1:16" x14ac:dyDescent="0.15">
      <c r="A573" s="29" t="str">
        <f t="shared" si="70"/>
        <v>20011_1_22</v>
      </c>
      <c r="B573" s="27" t="s">
        <v>33</v>
      </c>
      <c r="C573" s="5">
        <v>20011</v>
      </c>
      <c r="D573" s="4" t="str">
        <f ca="1">VLOOKUP($C573,OFFSET([1]quests!$A$1,0,0,COUNTA([1]quests!$A:$A),MATCH(D$1,[1]quests!$1:$1,0)-MATCH($C$1,[1]quests!$1:$1,0)+1),MATCH(D$1,[1]quests!$1:$1,0)-MATCH($C$1,[1]quests!$1:$1,0)+1,FALSE)</f>
        <v>すべてが灰になる</v>
      </c>
      <c r="E573" s="4" t="str">
        <f ca="1">VLOOKUP($C573,OFFSET([1]quests!$A$1,0,0,COUNTA([1]quests!$A:$A),MATCH(E$1,[1]quests!$1:$1,0)-MATCH($C$1,[1]quests!$1:$1,0)+1),MATCH(E$1,[1]quests!$1:$1,0)-MATCH($C$1,[1]quests!$1:$1,0)+1,FALSE)</f>
        <v>ドロップイベント3</v>
      </c>
      <c r="F573" s="6">
        <v>1</v>
      </c>
      <c r="G573" s="4" t="str">
        <f ca="1">VLOOKUP($C573&amp;"_"&amp;$F573,OFFSET([1]stages!$A$1,0,0,COUNTA([1]stages!$A:$A),MATCH(G$1,[1]stages!$2:$2,0)-MATCH("temp_stage",[1]stages!$2:$2,0)+1),MATCH(G$1,[1]stages!$2:$2,0)-MATCH("temp_stage",[1]stages!$2:$2,0)+1,FALSE)</f>
        <v>【初級】すべてが灰になる</v>
      </c>
      <c r="H573" s="4" t="str">
        <f ca="1">VLOOKUP($C573&amp;"_"&amp;$F573,OFFSET([1]stages!$A$1,0,0,COUNTA([1]stages!$A:$A),MATCH(H$1,[1]stages!$2:$2,0)-MATCH("temp_stage",[1]stages!$2:$2,0)+1),MATCH(H$1,[1]stages!$2:$2,0)-MATCH("temp_stage",[1]stages!$2:$2,0)+1,FALSE)</f>
        <v>ドロップイベント3</v>
      </c>
      <c r="I573" s="19">
        <v>0</v>
      </c>
      <c r="J573" s="6">
        <f>COUNTIF(C$1:C573,C573)</f>
        <v>22</v>
      </c>
      <c r="K573">
        <v>23</v>
      </c>
      <c r="L573" s="6" t="s">
        <v>17</v>
      </c>
      <c r="M573" s="36" t="str">
        <f>VLOOKUP(K573,[2]stage_hints!$A:$C,3,FALSE)</f>
        <v>フィーバーで一発逆転（その2）</v>
      </c>
      <c r="N573" s="37" t="str">
        <f>VLOOKUP(K573,[2]stage_hints!$A:$D,4,FALSE)</f>
        <v>フィーバー中は虹色のボムパネルを狙って_x000D_画面上のパネルを一気に破壊しましょう</v>
      </c>
      <c r="O573" s="22" t="s">
        <v>117</v>
      </c>
      <c r="P573">
        <v>23</v>
      </c>
    </row>
    <row r="574" spans="1:16" x14ac:dyDescent="0.15">
      <c r="A574" s="29" t="str">
        <f t="shared" si="70"/>
        <v>20011_1_23</v>
      </c>
      <c r="B574" s="27" t="s">
        <v>33</v>
      </c>
      <c r="C574" s="5">
        <v>20011</v>
      </c>
      <c r="D574" s="4" t="str">
        <f ca="1">VLOOKUP($C574,OFFSET([1]quests!$A$1,0,0,COUNTA([1]quests!$A:$A),MATCH(D$1,[1]quests!$1:$1,0)-MATCH($C$1,[1]quests!$1:$1,0)+1),MATCH(D$1,[1]quests!$1:$1,0)-MATCH($C$1,[1]quests!$1:$1,0)+1,FALSE)</f>
        <v>すべてが灰になる</v>
      </c>
      <c r="E574" s="4" t="str">
        <f ca="1">VLOOKUP($C574,OFFSET([1]quests!$A$1,0,0,COUNTA([1]quests!$A:$A),MATCH(E$1,[1]quests!$1:$1,0)-MATCH($C$1,[1]quests!$1:$1,0)+1),MATCH(E$1,[1]quests!$1:$1,0)-MATCH($C$1,[1]quests!$1:$1,0)+1,FALSE)</f>
        <v>ドロップイベント3</v>
      </c>
      <c r="F574" s="6">
        <v>1</v>
      </c>
      <c r="G574" s="4" t="str">
        <f ca="1">VLOOKUP($C574&amp;"_"&amp;$F574,OFFSET([1]stages!$A$1,0,0,COUNTA([1]stages!$A:$A),MATCH(G$1,[1]stages!$2:$2,0)-MATCH("temp_stage",[1]stages!$2:$2,0)+1),MATCH(G$1,[1]stages!$2:$2,0)-MATCH("temp_stage",[1]stages!$2:$2,0)+1,FALSE)</f>
        <v>【初級】すべてが灰になる</v>
      </c>
      <c r="H574" s="4" t="str">
        <f ca="1">VLOOKUP($C574&amp;"_"&amp;$F574,OFFSET([1]stages!$A$1,0,0,COUNTA([1]stages!$A:$A),MATCH(H$1,[1]stages!$2:$2,0)-MATCH("temp_stage",[1]stages!$2:$2,0)+1),MATCH(H$1,[1]stages!$2:$2,0)-MATCH("temp_stage",[1]stages!$2:$2,0)+1,FALSE)</f>
        <v>ドロップイベント3</v>
      </c>
      <c r="I574" s="19">
        <v>0</v>
      </c>
      <c r="J574" s="6">
        <f>COUNTIF(C$1:C574,C574)</f>
        <v>23</v>
      </c>
      <c r="K574">
        <v>24</v>
      </c>
      <c r="L574" s="6" t="s">
        <v>17</v>
      </c>
      <c r="M574" s="36" t="str">
        <f>VLOOKUP(K574,[2]stage_hints!$A:$C,3,FALSE)</f>
        <v>りんごを使って限界突破</v>
      </c>
      <c r="N574" s="37" t="str">
        <f>VLOOKUP(K574,[2]stage_hints!$A:$D,4,FALSE)</f>
        <v>赤りんご(攻撃力) 青りんご(回復力)_x000D_緑りんご(体力)をユニット強化に使うと_x000D_ステータスが限界突破します（計99個迄）</v>
      </c>
      <c r="O574" s="22" t="s">
        <v>117</v>
      </c>
      <c r="P574">
        <v>24</v>
      </c>
    </row>
    <row r="575" spans="1:16" x14ac:dyDescent="0.15">
      <c r="A575" s="29" t="str">
        <f t="shared" ref="A575:A588" si="71">C575&amp;"_"&amp;F575&amp;"_"&amp;J575</f>
        <v>20011_1_24</v>
      </c>
      <c r="B575" s="27" t="s">
        <v>33</v>
      </c>
      <c r="C575" s="5">
        <v>20011</v>
      </c>
      <c r="D575" s="4" t="str">
        <f ca="1">VLOOKUP($C575,OFFSET([1]quests!$A$1,0,0,COUNTA([1]quests!$A:$A),MATCH(D$1,[1]quests!$1:$1,0)-MATCH($C$1,[1]quests!$1:$1,0)+1),MATCH(D$1,[1]quests!$1:$1,0)-MATCH($C$1,[1]quests!$1:$1,0)+1,FALSE)</f>
        <v>すべてが灰になる</v>
      </c>
      <c r="E575" s="4" t="str">
        <f ca="1">VLOOKUP($C575,OFFSET([1]quests!$A$1,0,0,COUNTA([1]quests!$A:$A),MATCH(E$1,[1]quests!$1:$1,0)-MATCH($C$1,[1]quests!$1:$1,0)+1),MATCH(E$1,[1]quests!$1:$1,0)-MATCH($C$1,[1]quests!$1:$1,0)+1,FALSE)</f>
        <v>ドロップイベント3</v>
      </c>
      <c r="F575" s="6">
        <v>1</v>
      </c>
      <c r="G575" s="4" t="str">
        <f ca="1">VLOOKUP($C575&amp;"_"&amp;$F575,OFFSET([1]stages!$A$1,0,0,COUNTA([1]stages!$A:$A),MATCH(G$1,[1]stages!$2:$2,0)-MATCH("temp_stage",[1]stages!$2:$2,0)+1),MATCH(G$1,[1]stages!$2:$2,0)-MATCH("temp_stage",[1]stages!$2:$2,0)+1,FALSE)</f>
        <v>【初級】すべてが灰になる</v>
      </c>
      <c r="H575" s="4" t="str">
        <f ca="1">VLOOKUP($C575&amp;"_"&amp;$F575,OFFSET([1]stages!$A$1,0,0,COUNTA([1]stages!$A:$A),MATCH(H$1,[1]stages!$2:$2,0)-MATCH("temp_stage",[1]stages!$2:$2,0)+1),MATCH(H$1,[1]stages!$2:$2,0)-MATCH("temp_stage",[1]stages!$2:$2,0)+1,FALSE)</f>
        <v>ドロップイベント3</v>
      </c>
      <c r="I575" s="19">
        <v>0</v>
      </c>
      <c r="J575" s="6">
        <f>COUNTIF(C$1:C575,C575)</f>
        <v>24</v>
      </c>
      <c r="K575">
        <v>25</v>
      </c>
      <c r="L575" s="6" t="s">
        <v>17</v>
      </c>
      <c r="M575" s="36" t="str">
        <f>VLOOKUP(K575,[2]stage_hints!$A:$C,3,FALSE)</f>
        <v>スキルレベルアップ</v>
      </c>
      <c r="N575" s="37" t="str">
        <f>VLOOKUP(K575,[2]stage_hints!$A:$D,4,FALSE)</f>
        <v>「クリスタルのりんご」を強化に使うと_x000D_スキルレベルを上げることができます</v>
      </c>
      <c r="O575" s="22" t="s">
        <v>117</v>
      </c>
      <c r="P575">
        <v>25</v>
      </c>
    </row>
    <row r="576" spans="1:16" x14ac:dyDescent="0.15">
      <c r="A576" s="29" t="str">
        <f t="shared" si="71"/>
        <v>20011_1_25</v>
      </c>
      <c r="B576" s="27" t="s">
        <v>33</v>
      </c>
      <c r="C576" s="5">
        <v>20011</v>
      </c>
      <c r="D576" s="4" t="str">
        <f ca="1">VLOOKUP($C576,OFFSET([1]quests!$A$1,0,0,COUNTA([1]quests!$A:$A),MATCH(D$1,[1]quests!$1:$1,0)-MATCH($C$1,[1]quests!$1:$1,0)+1),MATCH(D$1,[1]quests!$1:$1,0)-MATCH($C$1,[1]quests!$1:$1,0)+1,FALSE)</f>
        <v>すべてが灰になる</v>
      </c>
      <c r="E576" s="4" t="str">
        <f ca="1">VLOOKUP($C576,OFFSET([1]quests!$A$1,0,0,COUNTA([1]quests!$A:$A),MATCH(E$1,[1]quests!$1:$1,0)-MATCH($C$1,[1]quests!$1:$1,0)+1),MATCH(E$1,[1]quests!$1:$1,0)-MATCH($C$1,[1]quests!$1:$1,0)+1,FALSE)</f>
        <v>ドロップイベント3</v>
      </c>
      <c r="F576" s="6">
        <v>1</v>
      </c>
      <c r="G576" s="4" t="str">
        <f ca="1">VLOOKUP($C576&amp;"_"&amp;$F576,OFFSET([1]stages!$A$1,0,0,COUNTA([1]stages!$A:$A),MATCH(G$1,[1]stages!$2:$2,0)-MATCH("temp_stage",[1]stages!$2:$2,0)+1),MATCH(G$1,[1]stages!$2:$2,0)-MATCH("temp_stage",[1]stages!$2:$2,0)+1,FALSE)</f>
        <v>【初級】すべてが灰になる</v>
      </c>
      <c r="H576" s="4" t="str">
        <f ca="1">VLOOKUP($C576&amp;"_"&amp;$F576,OFFSET([1]stages!$A$1,0,0,COUNTA([1]stages!$A:$A),MATCH(H$1,[1]stages!$2:$2,0)-MATCH("temp_stage",[1]stages!$2:$2,0)+1),MATCH(H$1,[1]stages!$2:$2,0)-MATCH("temp_stage",[1]stages!$2:$2,0)+1,FALSE)</f>
        <v>ドロップイベント3</v>
      </c>
      <c r="I576" s="19">
        <v>0</v>
      </c>
      <c r="J576" s="6">
        <f>COUNTIF(C$1:C576,C576)</f>
        <v>25</v>
      </c>
      <c r="K576">
        <v>26</v>
      </c>
      <c r="L576" s="6" t="s">
        <v>17</v>
      </c>
      <c r="M576" s="36" t="str">
        <f>VLOOKUP(K576,[2]stage_hints!$A:$C,3,FALSE)</f>
        <v>スキルレベルの効果</v>
      </c>
      <c r="N576" s="37" t="str">
        <f>VLOOKUP(K576,[2]stage_hints!$A:$D,4,FALSE)</f>
        <v>スキルレベルが上がると_x000D_短いターンでスキルを使うことができます</v>
      </c>
      <c r="O576" s="22" t="s">
        <v>117</v>
      </c>
      <c r="P576">
        <v>26</v>
      </c>
    </row>
    <row r="577" spans="1:16" x14ac:dyDescent="0.15">
      <c r="A577" s="29" t="str">
        <f t="shared" si="71"/>
        <v>20012_1_1</v>
      </c>
      <c r="B577" s="27" t="s">
        <v>33</v>
      </c>
      <c r="C577" s="5">
        <v>20012</v>
      </c>
      <c r="D577" s="4" t="str">
        <f ca="1">VLOOKUP($C577,OFFSET([1]quests!$A$1,0,0,COUNTA([1]quests!$A:$A),MATCH(D$1,[1]quests!$1:$1,0)-MATCH($C$1,[1]quests!$1:$1,0)+1),MATCH(D$1,[1]quests!$1:$1,0)-MATCH($C$1,[1]quests!$1:$1,0)+1,FALSE)</f>
        <v>罪と劇薬</v>
      </c>
      <c r="E577" s="4" t="str">
        <f ca="1">VLOOKUP($C577,OFFSET([1]quests!$A$1,0,0,COUNTA([1]quests!$A:$A),MATCH(E$1,[1]quests!$1:$1,0)-MATCH($C$1,[1]quests!$1:$1,0)+1),MATCH(E$1,[1]quests!$1:$1,0)-MATCH($C$1,[1]quests!$1:$1,0)+1,FALSE)</f>
        <v>ドロップイベント3</v>
      </c>
      <c r="F577" s="6">
        <v>1</v>
      </c>
      <c r="G577" s="4" t="str">
        <f ca="1">VLOOKUP($C577&amp;"_"&amp;$F577,OFFSET([1]stages!$A$1,0,0,COUNTA([1]stages!$A:$A),MATCH(G$1,[1]stages!$2:$2,0)-MATCH("temp_stage",[1]stages!$2:$2,0)+1),MATCH(G$1,[1]stages!$2:$2,0)-MATCH("temp_stage",[1]stages!$2:$2,0)+1,FALSE)</f>
        <v>【初級】罪と劇薬</v>
      </c>
      <c r="H577" s="4" t="str">
        <f ca="1">VLOOKUP($C577&amp;"_"&amp;$F577,OFFSET([1]stages!$A$1,0,0,COUNTA([1]stages!$A:$A),MATCH(H$1,[1]stages!$2:$2,0)-MATCH("temp_stage",[1]stages!$2:$2,0)+1),MATCH(H$1,[1]stages!$2:$2,0)-MATCH("temp_stage",[1]stages!$2:$2,0)+1,FALSE)</f>
        <v>ドロップイベント3</v>
      </c>
      <c r="I577" s="19">
        <v>0</v>
      </c>
      <c r="J577" s="6">
        <f>COUNTIF(C$1:C577,C577)</f>
        <v>1</v>
      </c>
      <c r="K577">
        <v>1</v>
      </c>
      <c r="L577" s="6" t="s">
        <v>17</v>
      </c>
      <c r="M577" s="36" t="str">
        <f>VLOOKUP(K577,[2]stage_hints!$A:$C,3,FALSE)</f>
        <v>長くつなげて大ダメージ</v>
      </c>
      <c r="N577" s="37" t="str">
        <f>VLOOKUP(K577,[2]stage_hints!$A:$D,4,FALSE)</f>
        <v>パネルを長くつなげるほど_x000D_大ダメージを与えることができます</v>
      </c>
      <c r="O577" s="22" t="s">
        <v>117</v>
      </c>
      <c r="P577">
        <v>1</v>
      </c>
    </row>
    <row r="578" spans="1:16" x14ac:dyDescent="0.15">
      <c r="A578" s="29" t="str">
        <f t="shared" si="71"/>
        <v>20012_1_2</v>
      </c>
      <c r="B578" s="27" t="s">
        <v>33</v>
      </c>
      <c r="C578" s="5">
        <v>20012</v>
      </c>
      <c r="D578" s="4" t="str">
        <f ca="1">VLOOKUP($C578,OFFSET([1]quests!$A$1,0,0,COUNTA([1]quests!$A:$A),MATCH(D$1,[1]quests!$1:$1,0)-MATCH($C$1,[1]quests!$1:$1,0)+1),MATCH(D$1,[1]quests!$1:$1,0)-MATCH($C$1,[1]quests!$1:$1,0)+1,FALSE)</f>
        <v>罪と劇薬</v>
      </c>
      <c r="E578" s="4" t="str">
        <f ca="1">VLOOKUP($C578,OFFSET([1]quests!$A$1,0,0,COUNTA([1]quests!$A:$A),MATCH(E$1,[1]quests!$1:$1,0)-MATCH($C$1,[1]quests!$1:$1,0)+1),MATCH(E$1,[1]quests!$1:$1,0)-MATCH($C$1,[1]quests!$1:$1,0)+1,FALSE)</f>
        <v>ドロップイベント3</v>
      </c>
      <c r="F578" s="6">
        <v>1</v>
      </c>
      <c r="G578" s="4" t="str">
        <f ca="1">VLOOKUP($C578&amp;"_"&amp;$F578,OFFSET([1]stages!$A$1,0,0,COUNTA([1]stages!$A:$A),MATCH(G$1,[1]stages!$2:$2,0)-MATCH("temp_stage",[1]stages!$2:$2,0)+1),MATCH(G$1,[1]stages!$2:$2,0)-MATCH("temp_stage",[1]stages!$2:$2,0)+1,FALSE)</f>
        <v>【初級】罪と劇薬</v>
      </c>
      <c r="H578" s="4" t="str">
        <f ca="1">VLOOKUP($C578&amp;"_"&amp;$F578,OFFSET([1]stages!$A$1,0,0,COUNTA([1]stages!$A:$A),MATCH(H$1,[1]stages!$2:$2,0)-MATCH("temp_stage",[1]stages!$2:$2,0)+1),MATCH(H$1,[1]stages!$2:$2,0)-MATCH("temp_stage",[1]stages!$2:$2,0)+1,FALSE)</f>
        <v>ドロップイベント3</v>
      </c>
      <c r="I578" s="19">
        <v>0</v>
      </c>
      <c r="J578" s="6">
        <f>COUNTIF(C$1:C578,C578)</f>
        <v>2</v>
      </c>
      <c r="K578">
        <v>2</v>
      </c>
      <c r="L578" s="6" t="s">
        <v>17</v>
      </c>
      <c r="M578" s="36" t="str">
        <f>VLOOKUP(K578,[2]stage_hints!$A:$C,3,FALSE)</f>
        <v>属性の相性</v>
      </c>
      <c r="N578" s="37" t="str">
        <f>VLOOKUP(K578,[2]stage_hints!$A:$D,4,FALSE)</f>
        <v>赤＞青　青＞黄　黄＞緑　緑＞赤_x000D_敵属性に最適なパーティがオススメです</v>
      </c>
      <c r="O578" s="22" t="s">
        <v>117</v>
      </c>
      <c r="P578">
        <v>2</v>
      </c>
    </row>
    <row r="579" spans="1:16" x14ac:dyDescent="0.15">
      <c r="A579" s="29" t="str">
        <f t="shared" si="71"/>
        <v>20012_1_3</v>
      </c>
      <c r="B579" s="27" t="s">
        <v>33</v>
      </c>
      <c r="C579" s="5">
        <v>20012</v>
      </c>
      <c r="D579" s="4" t="str">
        <f ca="1">VLOOKUP($C579,OFFSET([1]quests!$A$1,0,0,COUNTA([1]quests!$A:$A),MATCH(D$1,[1]quests!$1:$1,0)-MATCH($C$1,[1]quests!$1:$1,0)+1),MATCH(D$1,[1]quests!$1:$1,0)-MATCH($C$1,[1]quests!$1:$1,0)+1,FALSE)</f>
        <v>罪と劇薬</v>
      </c>
      <c r="E579" s="4" t="str">
        <f ca="1">VLOOKUP($C579,OFFSET([1]quests!$A$1,0,0,COUNTA([1]quests!$A:$A),MATCH(E$1,[1]quests!$1:$1,0)-MATCH($C$1,[1]quests!$1:$1,0)+1),MATCH(E$1,[1]quests!$1:$1,0)-MATCH($C$1,[1]quests!$1:$1,0)+1,FALSE)</f>
        <v>ドロップイベント3</v>
      </c>
      <c r="F579" s="6">
        <v>1</v>
      </c>
      <c r="G579" s="4" t="str">
        <f ca="1">VLOOKUP($C579&amp;"_"&amp;$F579,OFFSET([1]stages!$A$1,0,0,COUNTA([1]stages!$A:$A),MATCH(G$1,[1]stages!$2:$2,0)-MATCH("temp_stage",[1]stages!$2:$2,0)+1),MATCH(G$1,[1]stages!$2:$2,0)-MATCH("temp_stage",[1]stages!$2:$2,0)+1,FALSE)</f>
        <v>【初級】罪と劇薬</v>
      </c>
      <c r="H579" s="4" t="str">
        <f ca="1">VLOOKUP($C579&amp;"_"&amp;$F579,OFFSET([1]stages!$A$1,0,0,COUNTA([1]stages!$A:$A),MATCH(H$1,[1]stages!$2:$2,0)-MATCH("temp_stage",[1]stages!$2:$2,0)+1),MATCH(H$1,[1]stages!$2:$2,0)-MATCH("temp_stage",[1]stages!$2:$2,0)+1,FALSE)</f>
        <v>ドロップイベント3</v>
      </c>
      <c r="I579" s="19">
        <v>0</v>
      </c>
      <c r="J579" s="6">
        <f>COUNTIF(C$1:C579,C579)</f>
        <v>3</v>
      </c>
      <c r="K579">
        <v>3</v>
      </c>
      <c r="L579" s="6" t="s">
        <v>17</v>
      </c>
      <c r="M579" s="36" t="str">
        <f>VLOOKUP(K579,[2]stage_hints!$A:$C,3,FALSE)</f>
        <v>ターゲット</v>
      </c>
      <c r="N579" s="37" t="str">
        <f>VLOOKUP(K579,[2]stage_hints!$A:$D,4,FALSE)</f>
        <v>敵ユニットをタップすると_x000D_その敵を狙い撃ちできます</v>
      </c>
      <c r="O579" s="22" t="s">
        <v>117</v>
      </c>
      <c r="P579">
        <v>3</v>
      </c>
    </row>
    <row r="580" spans="1:16" x14ac:dyDescent="0.15">
      <c r="A580" s="29" t="str">
        <f t="shared" si="71"/>
        <v>20012_1_4</v>
      </c>
      <c r="B580" s="27" t="s">
        <v>33</v>
      </c>
      <c r="C580" s="5">
        <v>20012</v>
      </c>
      <c r="D580" s="4" t="str">
        <f ca="1">VLOOKUP($C580,OFFSET([1]quests!$A$1,0,0,COUNTA([1]quests!$A:$A),MATCH(D$1,[1]quests!$1:$1,0)-MATCH($C$1,[1]quests!$1:$1,0)+1),MATCH(D$1,[1]quests!$1:$1,0)-MATCH($C$1,[1]quests!$1:$1,0)+1,FALSE)</f>
        <v>罪と劇薬</v>
      </c>
      <c r="E580" s="4" t="str">
        <f ca="1">VLOOKUP($C580,OFFSET([1]quests!$A$1,0,0,COUNTA([1]quests!$A:$A),MATCH(E$1,[1]quests!$1:$1,0)-MATCH($C$1,[1]quests!$1:$1,0)+1),MATCH(E$1,[1]quests!$1:$1,0)-MATCH($C$1,[1]quests!$1:$1,0)+1,FALSE)</f>
        <v>ドロップイベント3</v>
      </c>
      <c r="F580" s="6">
        <v>1</v>
      </c>
      <c r="G580" s="4" t="str">
        <f ca="1">VLOOKUP($C580&amp;"_"&amp;$F580,OFFSET([1]stages!$A$1,0,0,COUNTA([1]stages!$A:$A),MATCH(G$1,[1]stages!$2:$2,0)-MATCH("temp_stage",[1]stages!$2:$2,0)+1),MATCH(G$1,[1]stages!$2:$2,0)-MATCH("temp_stage",[1]stages!$2:$2,0)+1,FALSE)</f>
        <v>【初級】罪と劇薬</v>
      </c>
      <c r="H580" s="4" t="str">
        <f ca="1">VLOOKUP($C580&amp;"_"&amp;$F580,OFFSET([1]stages!$A$1,0,0,COUNTA([1]stages!$A:$A),MATCH(H$1,[1]stages!$2:$2,0)-MATCH("temp_stage",[1]stages!$2:$2,0)+1),MATCH(H$1,[1]stages!$2:$2,0)-MATCH("temp_stage",[1]stages!$2:$2,0)+1,FALSE)</f>
        <v>ドロップイベント3</v>
      </c>
      <c r="I580" s="19">
        <v>0</v>
      </c>
      <c r="J580" s="6">
        <f>COUNTIF(C$1:C580,C580)</f>
        <v>4</v>
      </c>
      <c r="K580">
        <v>5</v>
      </c>
      <c r="L580" s="6" t="s">
        <v>17</v>
      </c>
      <c r="M580" s="36" t="str">
        <f>VLOOKUP(K580,[2]stage_hints!$A:$C,3,FALSE)</f>
        <v>ユニット強化でレベルアップ</v>
      </c>
      <c r="N580" s="37" t="str">
        <f>VLOOKUP(K580,[2]stage_hints!$A:$D,4,FALSE)</f>
        <v>「ユニット強化」でレベルアップすると_x000D_勝てない敵にも勝てるようになります</v>
      </c>
      <c r="O580" s="22" t="s">
        <v>117</v>
      </c>
      <c r="P580">
        <v>5</v>
      </c>
    </row>
    <row r="581" spans="1:16" x14ac:dyDescent="0.15">
      <c r="A581" s="29" t="str">
        <f t="shared" si="71"/>
        <v>20012_1_5</v>
      </c>
      <c r="B581" s="27" t="s">
        <v>33</v>
      </c>
      <c r="C581" s="5">
        <v>20012</v>
      </c>
      <c r="D581" s="4" t="str">
        <f ca="1">VLOOKUP($C581,OFFSET([1]quests!$A$1,0,0,COUNTA([1]quests!$A:$A),MATCH(D$1,[1]quests!$1:$1,0)-MATCH($C$1,[1]quests!$1:$1,0)+1),MATCH(D$1,[1]quests!$1:$1,0)-MATCH($C$1,[1]quests!$1:$1,0)+1,FALSE)</f>
        <v>罪と劇薬</v>
      </c>
      <c r="E581" s="4" t="str">
        <f ca="1">VLOOKUP($C581,OFFSET([1]quests!$A$1,0,0,COUNTA([1]quests!$A:$A),MATCH(E$1,[1]quests!$1:$1,0)-MATCH($C$1,[1]quests!$1:$1,0)+1),MATCH(E$1,[1]quests!$1:$1,0)-MATCH($C$1,[1]quests!$1:$1,0)+1,FALSE)</f>
        <v>ドロップイベント3</v>
      </c>
      <c r="F581" s="6">
        <v>1</v>
      </c>
      <c r="G581" s="4" t="str">
        <f ca="1">VLOOKUP($C581&amp;"_"&amp;$F581,OFFSET([1]stages!$A$1,0,0,COUNTA([1]stages!$A:$A),MATCH(G$1,[1]stages!$2:$2,0)-MATCH("temp_stage",[1]stages!$2:$2,0)+1),MATCH(G$1,[1]stages!$2:$2,0)-MATCH("temp_stage",[1]stages!$2:$2,0)+1,FALSE)</f>
        <v>【初級】罪と劇薬</v>
      </c>
      <c r="H581" s="4" t="str">
        <f ca="1">VLOOKUP($C581&amp;"_"&amp;$F581,OFFSET([1]stages!$A$1,0,0,COUNTA([1]stages!$A:$A),MATCH(H$1,[1]stages!$2:$2,0)-MATCH("temp_stage",[1]stages!$2:$2,0)+1),MATCH(H$1,[1]stages!$2:$2,0)-MATCH("temp_stage",[1]stages!$2:$2,0)+1,FALSE)</f>
        <v>ドロップイベント3</v>
      </c>
      <c r="I581" s="19">
        <v>0</v>
      </c>
      <c r="J581" s="6">
        <f>COUNTIF(C$1:C581,C581)</f>
        <v>5</v>
      </c>
      <c r="K581">
        <v>6</v>
      </c>
      <c r="L581" s="6" t="s">
        <v>17</v>
      </c>
      <c r="M581" s="36" t="str">
        <f>VLOOKUP(K581,[2]stage_hints!$A:$C,3,FALSE)</f>
        <v>ユニット強化の属性ボーナス</v>
      </c>
      <c r="N581" s="37" t="str">
        <f>VLOOKUP(K581,[2]stage_hints!$A:$D,4,FALSE)</f>
        <v>同属性ユニットを強化素材にすると_x000D_経験値が多くもらえます</v>
      </c>
      <c r="O581" s="22" t="s">
        <v>117</v>
      </c>
      <c r="P581">
        <v>6</v>
      </c>
    </row>
    <row r="582" spans="1:16" x14ac:dyDescent="0.15">
      <c r="A582" s="29" t="str">
        <f t="shared" si="71"/>
        <v>20012_1_6</v>
      </c>
      <c r="B582" s="27" t="s">
        <v>33</v>
      </c>
      <c r="C582" s="5">
        <v>20012</v>
      </c>
      <c r="D582" s="4" t="str">
        <f ca="1">VLOOKUP($C582,OFFSET([1]quests!$A$1,0,0,COUNTA([1]quests!$A:$A),MATCH(D$1,[1]quests!$1:$1,0)-MATCH($C$1,[1]quests!$1:$1,0)+1),MATCH(D$1,[1]quests!$1:$1,0)-MATCH($C$1,[1]quests!$1:$1,0)+1,FALSE)</f>
        <v>罪と劇薬</v>
      </c>
      <c r="E582" s="4" t="str">
        <f ca="1">VLOOKUP($C582,OFFSET([1]quests!$A$1,0,0,COUNTA([1]quests!$A:$A),MATCH(E$1,[1]quests!$1:$1,0)-MATCH($C$1,[1]quests!$1:$1,0)+1),MATCH(E$1,[1]quests!$1:$1,0)-MATCH($C$1,[1]quests!$1:$1,0)+1,FALSE)</f>
        <v>ドロップイベント3</v>
      </c>
      <c r="F582" s="6">
        <v>1</v>
      </c>
      <c r="G582" s="4" t="str">
        <f ca="1">VLOOKUP($C582&amp;"_"&amp;$F582,OFFSET([1]stages!$A$1,0,0,COUNTA([1]stages!$A:$A),MATCH(G$1,[1]stages!$2:$2,0)-MATCH("temp_stage",[1]stages!$2:$2,0)+1),MATCH(G$1,[1]stages!$2:$2,0)-MATCH("temp_stage",[1]stages!$2:$2,0)+1,FALSE)</f>
        <v>【初級】罪と劇薬</v>
      </c>
      <c r="H582" s="4" t="str">
        <f ca="1">VLOOKUP($C582&amp;"_"&amp;$F582,OFFSET([1]stages!$A$1,0,0,COUNTA([1]stages!$A:$A),MATCH(H$1,[1]stages!$2:$2,0)-MATCH("temp_stage",[1]stages!$2:$2,0)+1),MATCH(H$1,[1]stages!$2:$2,0)-MATCH("temp_stage",[1]stages!$2:$2,0)+1,FALSE)</f>
        <v>ドロップイベント3</v>
      </c>
      <c r="I582" s="19">
        <v>0</v>
      </c>
      <c r="J582" s="6">
        <f>COUNTIF(C$1:C582,C582)</f>
        <v>6</v>
      </c>
      <c r="K582">
        <v>7</v>
      </c>
      <c r="L582" s="6" t="s">
        <v>17</v>
      </c>
      <c r="M582" s="36" t="str">
        <f>VLOOKUP(K582,[2]stage_hints!$A:$C,3,FALSE)</f>
        <v>メタルダックで経験値を獲得</v>
      </c>
      <c r="N582" s="37" t="str">
        <f>VLOOKUP(K582,[2]stage_hints!$A:$D,4,FALSE)</f>
        <v>「メタルなアヒル」を強化素材にすると_x000D_大量の経験値がもらえます</v>
      </c>
      <c r="O582" s="22" t="s">
        <v>117</v>
      </c>
      <c r="P582">
        <v>7</v>
      </c>
    </row>
    <row r="583" spans="1:16" x14ac:dyDescent="0.15">
      <c r="A583" s="29" t="str">
        <f t="shared" si="71"/>
        <v>20012_1_7</v>
      </c>
      <c r="B583" s="27" t="s">
        <v>33</v>
      </c>
      <c r="C583" s="5">
        <v>20012</v>
      </c>
      <c r="D583" s="4" t="str">
        <f ca="1">VLOOKUP($C583,OFFSET([1]quests!$A$1,0,0,COUNTA([1]quests!$A:$A),MATCH(D$1,[1]quests!$1:$1,0)-MATCH($C$1,[1]quests!$1:$1,0)+1),MATCH(D$1,[1]quests!$1:$1,0)-MATCH($C$1,[1]quests!$1:$1,0)+1,FALSE)</f>
        <v>罪と劇薬</v>
      </c>
      <c r="E583" s="4" t="str">
        <f ca="1">VLOOKUP($C583,OFFSET([1]quests!$A$1,0,0,COUNTA([1]quests!$A:$A),MATCH(E$1,[1]quests!$1:$1,0)-MATCH($C$1,[1]quests!$1:$1,0)+1),MATCH(E$1,[1]quests!$1:$1,0)-MATCH($C$1,[1]quests!$1:$1,0)+1,FALSE)</f>
        <v>ドロップイベント3</v>
      </c>
      <c r="F583" s="6">
        <v>1</v>
      </c>
      <c r="G583" s="4" t="str">
        <f ca="1">VLOOKUP($C583&amp;"_"&amp;$F583,OFFSET([1]stages!$A$1,0,0,COUNTA([1]stages!$A:$A),MATCH(G$1,[1]stages!$2:$2,0)-MATCH("temp_stage",[1]stages!$2:$2,0)+1),MATCH(G$1,[1]stages!$2:$2,0)-MATCH("temp_stage",[1]stages!$2:$2,0)+1,FALSE)</f>
        <v>【初級】罪と劇薬</v>
      </c>
      <c r="H583" s="4" t="str">
        <f ca="1">VLOOKUP($C583&amp;"_"&amp;$F583,OFFSET([1]stages!$A$1,0,0,COUNTA([1]stages!$A:$A),MATCH(H$1,[1]stages!$2:$2,0)-MATCH("temp_stage",[1]stages!$2:$2,0)+1),MATCH(H$1,[1]stages!$2:$2,0)-MATCH("temp_stage",[1]stages!$2:$2,0)+1,FALSE)</f>
        <v>ドロップイベント3</v>
      </c>
      <c r="I583" s="19">
        <v>0</v>
      </c>
      <c r="J583" s="6">
        <f>COUNTIF(C$1:C583,C583)</f>
        <v>7</v>
      </c>
      <c r="K583">
        <v>8</v>
      </c>
      <c r="L583" s="6" t="s">
        <v>17</v>
      </c>
      <c r="M583" s="36" t="str">
        <f>VLOOKUP(K583,[2]stage_hints!$A:$C,3,FALSE)</f>
        <v>ゲリラクエストは要チェック</v>
      </c>
      <c r="N583" s="37" t="str">
        <f>VLOOKUP(K583,[2]stage_hints!$A:$D,4,FALSE)</f>
        <v>時間限定の「アヒル捕獲作戦」では_x000D_経験値素材ユニットが多く手に入ります</v>
      </c>
      <c r="O583" s="22" t="s">
        <v>117</v>
      </c>
      <c r="P583">
        <v>8</v>
      </c>
    </row>
    <row r="584" spans="1:16" x14ac:dyDescent="0.15">
      <c r="A584" s="29" t="str">
        <f t="shared" si="71"/>
        <v>20012_1_8</v>
      </c>
      <c r="B584" s="27" t="s">
        <v>33</v>
      </c>
      <c r="C584" s="5">
        <v>20012</v>
      </c>
      <c r="D584" s="4" t="str">
        <f ca="1">VLOOKUP($C584,OFFSET([1]quests!$A$1,0,0,COUNTA([1]quests!$A:$A),MATCH(D$1,[1]quests!$1:$1,0)-MATCH($C$1,[1]quests!$1:$1,0)+1),MATCH(D$1,[1]quests!$1:$1,0)-MATCH($C$1,[1]quests!$1:$1,0)+1,FALSE)</f>
        <v>罪と劇薬</v>
      </c>
      <c r="E584" s="4" t="str">
        <f ca="1">VLOOKUP($C584,OFFSET([1]quests!$A$1,0,0,COUNTA([1]quests!$A:$A),MATCH(E$1,[1]quests!$1:$1,0)-MATCH($C$1,[1]quests!$1:$1,0)+1),MATCH(E$1,[1]quests!$1:$1,0)-MATCH($C$1,[1]quests!$1:$1,0)+1,FALSE)</f>
        <v>ドロップイベント3</v>
      </c>
      <c r="F584" s="6">
        <v>1</v>
      </c>
      <c r="G584" s="4" t="str">
        <f ca="1">VLOOKUP($C584&amp;"_"&amp;$F584,OFFSET([1]stages!$A$1,0,0,COUNTA([1]stages!$A:$A),MATCH(G$1,[1]stages!$2:$2,0)-MATCH("temp_stage",[1]stages!$2:$2,0)+1),MATCH(G$1,[1]stages!$2:$2,0)-MATCH("temp_stage",[1]stages!$2:$2,0)+1,FALSE)</f>
        <v>【初級】罪と劇薬</v>
      </c>
      <c r="H584" s="4" t="str">
        <f ca="1">VLOOKUP($C584&amp;"_"&amp;$F584,OFFSET([1]stages!$A$1,0,0,COUNTA([1]stages!$A:$A),MATCH(H$1,[1]stages!$2:$2,0)-MATCH("temp_stage",[1]stages!$2:$2,0)+1),MATCH(H$1,[1]stages!$2:$2,0)-MATCH("temp_stage",[1]stages!$2:$2,0)+1,FALSE)</f>
        <v>ドロップイベント3</v>
      </c>
      <c r="I584" s="19">
        <v>0</v>
      </c>
      <c r="J584" s="6">
        <f>COUNTIF(C$1:C584,C584)</f>
        <v>8</v>
      </c>
      <c r="K584">
        <v>9</v>
      </c>
      <c r="L584" s="6" t="s">
        <v>17</v>
      </c>
      <c r="M584" s="36" t="str">
        <f>VLOOKUP(K584,[2]stage_hints!$A:$C,3,FALSE)</f>
        <v>ゴールドダックでビットを獲得</v>
      </c>
      <c r="N584" s="37" t="str">
        <f>VLOOKUP(K584,[2]stage_hints!$A:$D,4,FALSE)</f>
        <v>「ゴールドなアヒル」を売却すると_x000D_大量のビットがもらえます</v>
      </c>
      <c r="O584" s="22" t="s">
        <v>117</v>
      </c>
      <c r="P584">
        <v>9</v>
      </c>
    </row>
    <row r="585" spans="1:16" x14ac:dyDescent="0.15">
      <c r="A585" s="29" t="str">
        <f t="shared" si="71"/>
        <v>20012_1_9</v>
      </c>
      <c r="B585" s="27" t="s">
        <v>33</v>
      </c>
      <c r="C585" s="5">
        <v>20012</v>
      </c>
      <c r="D585" s="4" t="str">
        <f ca="1">VLOOKUP($C585,OFFSET([1]quests!$A$1,0,0,COUNTA([1]quests!$A:$A),MATCH(D$1,[1]quests!$1:$1,0)-MATCH($C$1,[1]quests!$1:$1,0)+1),MATCH(D$1,[1]quests!$1:$1,0)-MATCH($C$1,[1]quests!$1:$1,0)+1,FALSE)</f>
        <v>罪と劇薬</v>
      </c>
      <c r="E585" s="4" t="str">
        <f ca="1">VLOOKUP($C585,OFFSET([1]quests!$A$1,0,0,COUNTA([1]quests!$A:$A),MATCH(E$1,[1]quests!$1:$1,0)-MATCH($C$1,[1]quests!$1:$1,0)+1),MATCH(E$1,[1]quests!$1:$1,0)-MATCH($C$1,[1]quests!$1:$1,0)+1,FALSE)</f>
        <v>ドロップイベント3</v>
      </c>
      <c r="F585" s="6">
        <v>1</v>
      </c>
      <c r="G585" s="4" t="str">
        <f ca="1">VLOOKUP($C585&amp;"_"&amp;$F585,OFFSET([1]stages!$A$1,0,0,COUNTA([1]stages!$A:$A),MATCH(G$1,[1]stages!$2:$2,0)-MATCH("temp_stage",[1]stages!$2:$2,0)+1),MATCH(G$1,[1]stages!$2:$2,0)-MATCH("temp_stage",[1]stages!$2:$2,0)+1,FALSE)</f>
        <v>【初級】罪と劇薬</v>
      </c>
      <c r="H585" s="4" t="str">
        <f ca="1">VLOOKUP($C585&amp;"_"&amp;$F585,OFFSET([1]stages!$A$1,0,0,COUNTA([1]stages!$A:$A),MATCH(H$1,[1]stages!$2:$2,0)-MATCH("temp_stage",[1]stages!$2:$2,0)+1),MATCH(H$1,[1]stages!$2:$2,0)-MATCH("temp_stage",[1]stages!$2:$2,0)+1,FALSE)</f>
        <v>ドロップイベント3</v>
      </c>
      <c r="I585" s="19">
        <v>0</v>
      </c>
      <c r="J585" s="6">
        <f>COUNTIF(C$1:C585,C585)</f>
        <v>9</v>
      </c>
      <c r="K585">
        <v>10</v>
      </c>
      <c r="L585" s="6" t="s">
        <v>17</v>
      </c>
      <c r="M585" s="36" t="str">
        <f>VLOOKUP(K585,[2]stage_hints!$A:$C,3,FALSE)</f>
        <v>土日に大量のビットを獲得</v>
      </c>
      <c r="N585" s="37" t="str">
        <f>VLOOKUP(K585,[2]stage_hints!$A:$D,4,FALSE)</f>
        <v>土日限定の「ゴールドカジノ」では_x000D_売却素材ユニットが多く手に入ります</v>
      </c>
      <c r="O585" s="22" t="s">
        <v>117</v>
      </c>
      <c r="P585">
        <v>10</v>
      </c>
    </row>
    <row r="586" spans="1:16" x14ac:dyDescent="0.15">
      <c r="A586" s="29" t="str">
        <f t="shared" si="71"/>
        <v>20012_1_10</v>
      </c>
      <c r="B586" s="27" t="s">
        <v>33</v>
      </c>
      <c r="C586" s="5">
        <v>20012</v>
      </c>
      <c r="D586" s="4" t="str">
        <f ca="1">VLOOKUP($C586,OFFSET([1]quests!$A$1,0,0,COUNTA([1]quests!$A:$A),MATCH(D$1,[1]quests!$1:$1,0)-MATCH($C$1,[1]quests!$1:$1,0)+1),MATCH(D$1,[1]quests!$1:$1,0)-MATCH($C$1,[1]quests!$1:$1,0)+1,FALSE)</f>
        <v>罪と劇薬</v>
      </c>
      <c r="E586" s="4" t="str">
        <f ca="1">VLOOKUP($C586,OFFSET([1]quests!$A$1,0,0,COUNTA([1]quests!$A:$A),MATCH(E$1,[1]quests!$1:$1,0)-MATCH($C$1,[1]quests!$1:$1,0)+1),MATCH(E$1,[1]quests!$1:$1,0)-MATCH($C$1,[1]quests!$1:$1,0)+1,FALSE)</f>
        <v>ドロップイベント3</v>
      </c>
      <c r="F586" s="6">
        <v>1</v>
      </c>
      <c r="G586" s="4" t="str">
        <f ca="1">VLOOKUP($C586&amp;"_"&amp;$F586,OFFSET([1]stages!$A$1,0,0,COUNTA([1]stages!$A:$A),MATCH(G$1,[1]stages!$2:$2,0)-MATCH("temp_stage",[1]stages!$2:$2,0)+1),MATCH(G$1,[1]stages!$2:$2,0)-MATCH("temp_stage",[1]stages!$2:$2,0)+1,FALSE)</f>
        <v>【初級】罪と劇薬</v>
      </c>
      <c r="H586" s="4" t="str">
        <f ca="1">VLOOKUP($C586&amp;"_"&amp;$F586,OFFSET([1]stages!$A$1,0,0,COUNTA([1]stages!$A:$A),MATCH(H$1,[1]stages!$2:$2,0)-MATCH("temp_stage",[1]stages!$2:$2,0)+1),MATCH(H$1,[1]stages!$2:$2,0)-MATCH("temp_stage",[1]stages!$2:$2,0)+1,FALSE)</f>
        <v>ドロップイベント3</v>
      </c>
      <c r="I586" s="19">
        <v>0</v>
      </c>
      <c r="J586" s="6">
        <f>COUNTIF(C$1:C586,C586)</f>
        <v>10</v>
      </c>
      <c r="K586">
        <v>11</v>
      </c>
      <c r="L586" s="6" t="s">
        <v>17</v>
      </c>
      <c r="M586" s="36" t="str">
        <f>VLOOKUP(K586,[2]stage_hints!$A:$C,3,FALSE)</f>
        <v>ランク解放クエスト</v>
      </c>
      <c r="N586" s="37" t="str">
        <f>VLOOKUP(K586,[2]stage_hints!$A:$D,4,FALSE)</f>
        <v>一定ランクに到達すると_x000D_報酬付きのランク開放クエストが現れます</v>
      </c>
      <c r="O586" s="22" t="s">
        <v>117</v>
      </c>
      <c r="P586">
        <v>11</v>
      </c>
    </row>
    <row r="587" spans="1:16" x14ac:dyDescent="0.15">
      <c r="A587" s="29" t="str">
        <f t="shared" si="71"/>
        <v>20012_1_11</v>
      </c>
      <c r="B587" s="27" t="s">
        <v>33</v>
      </c>
      <c r="C587" s="5">
        <v>20012</v>
      </c>
      <c r="D587" s="4" t="str">
        <f ca="1">VLOOKUP($C587,OFFSET([1]quests!$A$1,0,0,COUNTA([1]quests!$A:$A),MATCH(D$1,[1]quests!$1:$1,0)-MATCH($C$1,[1]quests!$1:$1,0)+1),MATCH(D$1,[1]quests!$1:$1,0)-MATCH($C$1,[1]quests!$1:$1,0)+1,FALSE)</f>
        <v>罪と劇薬</v>
      </c>
      <c r="E587" s="4" t="str">
        <f ca="1">VLOOKUP($C587,OFFSET([1]quests!$A$1,0,0,COUNTA([1]quests!$A:$A),MATCH(E$1,[1]quests!$1:$1,0)-MATCH($C$1,[1]quests!$1:$1,0)+1),MATCH(E$1,[1]quests!$1:$1,0)-MATCH($C$1,[1]quests!$1:$1,0)+1,FALSE)</f>
        <v>ドロップイベント3</v>
      </c>
      <c r="F587" s="6">
        <v>1</v>
      </c>
      <c r="G587" s="4" t="str">
        <f ca="1">VLOOKUP($C587&amp;"_"&amp;$F587,OFFSET([1]stages!$A$1,0,0,COUNTA([1]stages!$A:$A),MATCH(G$1,[1]stages!$2:$2,0)-MATCH("temp_stage",[1]stages!$2:$2,0)+1),MATCH(G$1,[1]stages!$2:$2,0)-MATCH("temp_stage",[1]stages!$2:$2,0)+1,FALSE)</f>
        <v>【初級】罪と劇薬</v>
      </c>
      <c r="H587" s="4" t="str">
        <f ca="1">VLOOKUP($C587&amp;"_"&amp;$F587,OFFSET([1]stages!$A$1,0,0,COUNTA([1]stages!$A:$A),MATCH(H$1,[1]stages!$2:$2,0)-MATCH("temp_stage",[1]stages!$2:$2,0)+1),MATCH(H$1,[1]stages!$2:$2,0)-MATCH("temp_stage",[1]stages!$2:$2,0)+1,FALSE)</f>
        <v>ドロップイベント3</v>
      </c>
      <c r="I587" s="19">
        <v>0</v>
      </c>
      <c r="J587" s="6">
        <f>COUNTIF(C$1:C587,C587)</f>
        <v>11</v>
      </c>
      <c r="K587">
        <v>12</v>
      </c>
      <c r="L587" s="6" t="s">
        <v>17</v>
      </c>
      <c r="M587" s="36" t="str">
        <f>VLOOKUP(K587,[2]stage_hints!$A:$C,3,FALSE)</f>
        <v>ユニットのお気に入り登録</v>
      </c>
      <c r="N587" s="37" t="str">
        <f>VLOOKUP(K587,[2]stage_hints!$A:$D,4,FALSE)</f>
        <v>大事なユニットを誤って消さないように_x000D_フォルダから「お気に入り登録」しましょう</v>
      </c>
      <c r="O587" s="22" t="s">
        <v>117</v>
      </c>
      <c r="P587">
        <v>12</v>
      </c>
    </row>
    <row r="588" spans="1:16" x14ac:dyDescent="0.15">
      <c r="A588" s="29" t="str">
        <f t="shared" si="71"/>
        <v>20012_1_12</v>
      </c>
      <c r="B588" s="27" t="s">
        <v>33</v>
      </c>
      <c r="C588" s="5">
        <v>20012</v>
      </c>
      <c r="D588" s="4" t="str">
        <f ca="1">VLOOKUP($C588,OFFSET([1]quests!$A$1,0,0,COUNTA([1]quests!$A:$A),MATCH(D$1,[1]quests!$1:$1,0)-MATCH($C$1,[1]quests!$1:$1,0)+1),MATCH(D$1,[1]quests!$1:$1,0)-MATCH($C$1,[1]quests!$1:$1,0)+1,FALSE)</f>
        <v>罪と劇薬</v>
      </c>
      <c r="E588" s="4" t="str">
        <f ca="1">VLOOKUP($C588,OFFSET([1]quests!$A$1,0,0,COUNTA([1]quests!$A:$A),MATCH(E$1,[1]quests!$1:$1,0)-MATCH($C$1,[1]quests!$1:$1,0)+1),MATCH(E$1,[1]quests!$1:$1,0)-MATCH($C$1,[1]quests!$1:$1,0)+1,FALSE)</f>
        <v>ドロップイベント3</v>
      </c>
      <c r="F588" s="6">
        <v>1</v>
      </c>
      <c r="G588" s="4" t="str">
        <f ca="1">VLOOKUP($C588&amp;"_"&amp;$F588,OFFSET([1]stages!$A$1,0,0,COUNTA([1]stages!$A:$A),MATCH(G$1,[1]stages!$2:$2,0)-MATCH("temp_stage",[1]stages!$2:$2,0)+1),MATCH(G$1,[1]stages!$2:$2,0)-MATCH("temp_stage",[1]stages!$2:$2,0)+1,FALSE)</f>
        <v>【初級】罪と劇薬</v>
      </c>
      <c r="H588" s="4" t="str">
        <f ca="1">VLOOKUP($C588&amp;"_"&amp;$F588,OFFSET([1]stages!$A$1,0,0,COUNTA([1]stages!$A:$A),MATCH(H$1,[1]stages!$2:$2,0)-MATCH("temp_stage",[1]stages!$2:$2,0)+1),MATCH(H$1,[1]stages!$2:$2,0)-MATCH("temp_stage",[1]stages!$2:$2,0)+1,FALSE)</f>
        <v>ドロップイベント3</v>
      </c>
      <c r="I588" s="19">
        <v>0</v>
      </c>
      <c r="J588" s="6">
        <f>COUNTIF(C$1:C588,C588)</f>
        <v>12</v>
      </c>
      <c r="K588">
        <v>13</v>
      </c>
      <c r="L588" s="6" t="s">
        <v>17</v>
      </c>
      <c r="M588" s="36" t="str">
        <f>VLOOKUP(K588,[2]stage_hints!$A:$C,3,FALSE)</f>
        <v>ユニットの覚醒</v>
      </c>
      <c r="N588" s="37" t="str">
        <f>VLOOKUP(K588,[2]stage_hints!$A:$D,4,FALSE)</f>
        <v>ユニットを覚醒させると_x000D_比べものにならない強さが手に入ります</v>
      </c>
      <c r="O588" s="22" t="s">
        <v>117</v>
      </c>
      <c r="P588">
        <v>13</v>
      </c>
    </row>
    <row r="589" spans="1:16" x14ac:dyDescent="0.15">
      <c r="A589" s="29" t="str">
        <f t="shared" ref="A589:A601" si="72">C589&amp;"_"&amp;F589&amp;"_"&amp;J589</f>
        <v>20012_1_13</v>
      </c>
      <c r="B589" s="27" t="s">
        <v>33</v>
      </c>
      <c r="C589" s="5">
        <v>20012</v>
      </c>
      <c r="D589" s="4" t="str">
        <f ca="1">VLOOKUP($C589,OFFSET([1]quests!$A$1,0,0,COUNTA([1]quests!$A:$A),MATCH(D$1,[1]quests!$1:$1,0)-MATCH($C$1,[1]quests!$1:$1,0)+1),MATCH(D$1,[1]quests!$1:$1,0)-MATCH($C$1,[1]quests!$1:$1,0)+1,FALSE)</f>
        <v>罪と劇薬</v>
      </c>
      <c r="E589" s="4" t="str">
        <f ca="1">VLOOKUP($C589,OFFSET([1]quests!$A$1,0,0,COUNTA([1]quests!$A:$A),MATCH(E$1,[1]quests!$1:$1,0)-MATCH($C$1,[1]quests!$1:$1,0)+1),MATCH(E$1,[1]quests!$1:$1,0)-MATCH($C$1,[1]quests!$1:$1,0)+1,FALSE)</f>
        <v>ドロップイベント3</v>
      </c>
      <c r="F589" s="6">
        <v>1</v>
      </c>
      <c r="G589" s="4" t="str">
        <f ca="1">VLOOKUP($C589&amp;"_"&amp;$F589,OFFSET([1]stages!$A$1,0,0,COUNTA([1]stages!$A:$A),MATCH(G$1,[1]stages!$2:$2,0)-MATCH("temp_stage",[1]stages!$2:$2,0)+1),MATCH(G$1,[1]stages!$2:$2,0)-MATCH("temp_stage",[1]stages!$2:$2,0)+1,FALSE)</f>
        <v>【初級】罪と劇薬</v>
      </c>
      <c r="H589" s="4" t="str">
        <f ca="1">VLOOKUP($C589&amp;"_"&amp;$F589,OFFSET([1]stages!$A$1,0,0,COUNTA([1]stages!$A:$A),MATCH(H$1,[1]stages!$2:$2,0)-MATCH("temp_stage",[1]stages!$2:$2,0)+1),MATCH(H$1,[1]stages!$2:$2,0)-MATCH("temp_stage",[1]stages!$2:$2,0)+1,FALSE)</f>
        <v>ドロップイベント3</v>
      </c>
      <c r="I589" s="19">
        <v>0</v>
      </c>
      <c r="J589" s="6">
        <f>COUNTIF(C$1:C589,C589)</f>
        <v>13</v>
      </c>
      <c r="K589">
        <v>14</v>
      </c>
      <c r="L589" s="6" t="s">
        <v>17</v>
      </c>
      <c r="M589" s="36" t="str">
        <f>VLOOKUP(K589,[2]stage_hints!$A:$C,3,FALSE)</f>
        <v>覚醒するにはレベルを最大に</v>
      </c>
      <c r="N589" s="37" t="str">
        <f>VLOOKUP(K589,[2]stage_hints!$A:$D,4,FALSE)</f>
        <v>覚醒するにはユニットのレベルを_x000D_最大まで上げる必要があります</v>
      </c>
      <c r="O589" s="22" t="s">
        <v>117</v>
      </c>
      <c r="P589">
        <v>14</v>
      </c>
    </row>
    <row r="590" spans="1:16" x14ac:dyDescent="0.15">
      <c r="A590" s="29" t="str">
        <f t="shared" si="72"/>
        <v>20012_1_14</v>
      </c>
      <c r="B590" s="27" t="s">
        <v>33</v>
      </c>
      <c r="C590" s="5">
        <v>20012</v>
      </c>
      <c r="D590" s="4" t="str">
        <f ca="1">VLOOKUP($C590,OFFSET([1]quests!$A$1,0,0,COUNTA([1]quests!$A:$A),MATCH(D$1,[1]quests!$1:$1,0)-MATCH($C$1,[1]quests!$1:$1,0)+1),MATCH(D$1,[1]quests!$1:$1,0)-MATCH($C$1,[1]quests!$1:$1,0)+1,FALSE)</f>
        <v>罪と劇薬</v>
      </c>
      <c r="E590" s="4" t="str">
        <f ca="1">VLOOKUP($C590,OFFSET([1]quests!$A$1,0,0,COUNTA([1]quests!$A:$A),MATCH(E$1,[1]quests!$1:$1,0)-MATCH($C$1,[1]quests!$1:$1,0)+1),MATCH(E$1,[1]quests!$1:$1,0)-MATCH($C$1,[1]quests!$1:$1,0)+1,FALSE)</f>
        <v>ドロップイベント3</v>
      </c>
      <c r="F590" s="6">
        <v>1</v>
      </c>
      <c r="G590" s="4" t="str">
        <f ca="1">VLOOKUP($C590&amp;"_"&amp;$F590,OFFSET([1]stages!$A$1,0,0,COUNTA([1]stages!$A:$A),MATCH(G$1,[1]stages!$2:$2,0)-MATCH("temp_stage",[1]stages!$2:$2,0)+1),MATCH(G$1,[1]stages!$2:$2,0)-MATCH("temp_stage",[1]stages!$2:$2,0)+1,FALSE)</f>
        <v>【初級】罪と劇薬</v>
      </c>
      <c r="H590" s="4" t="str">
        <f ca="1">VLOOKUP($C590&amp;"_"&amp;$F590,OFFSET([1]stages!$A$1,0,0,COUNTA([1]stages!$A:$A),MATCH(H$1,[1]stages!$2:$2,0)-MATCH("temp_stage",[1]stages!$2:$2,0)+1),MATCH(H$1,[1]stages!$2:$2,0)-MATCH("temp_stage",[1]stages!$2:$2,0)+1,FALSE)</f>
        <v>ドロップイベント3</v>
      </c>
      <c r="I590" s="19">
        <v>0</v>
      </c>
      <c r="J590" s="6">
        <f>COUNTIF(C$1:C590,C590)</f>
        <v>14</v>
      </c>
      <c r="K590">
        <v>15</v>
      </c>
      <c r="L590" s="6" t="s">
        <v>17</v>
      </c>
      <c r="M590" s="36" t="str">
        <f>VLOOKUP(K590,[2]stage_hints!$A:$C,3,FALSE)</f>
        <v>覚醒素材を獲得</v>
      </c>
      <c r="N590" s="37" t="str">
        <f>VLOOKUP(K590,[2]stage_hints!$A:$D,4,FALSE)</f>
        <v>「曜日クエスト」では_x000D_ユニットの覚醒に必要な素材が手に入ります</v>
      </c>
      <c r="O590" s="22" t="s">
        <v>117</v>
      </c>
      <c r="P590">
        <v>15</v>
      </c>
    </row>
    <row r="591" spans="1:16" x14ac:dyDescent="0.15">
      <c r="A591" s="29" t="str">
        <f t="shared" si="72"/>
        <v>20012_1_15</v>
      </c>
      <c r="B591" s="27" t="s">
        <v>33</v>
      </c>
      <c r="C591" s="5">
        <v>20012</v>
      </c>
      <c r="D591" s="4" t="str">
        <f ca="1">VLOOKUP($C591,OFFSET([1]quests!$A$1,0,0,COUNTA([1]quests!$A:$A),MATCH(D$1,[1]quests!$1:$1,0)-MATCH($C$1,[1]quests!$1:$1,0)+1),MATCH(D$1,[1]quests!$1:$1,0)-MATCH($C$1,[1]quests!$1:$1,0)+1,FALSE)</f>
        <v>罪と劇薬</v>
      </c>
      <c r="E591" s="4" t="str">
        <f ca="1">VLOOKUP($C591,OFFSET([1]quests!$A$1,0,0,COUNTA([1]quests!$A:$A),MATCH(E$1,[1]quests!$1:$1,0)-MATCH($C$1,[1]quests!$1:$1,0)+1),MATCH(E$1,[1]quests!$1:$1,0)-MATCH($C$1,[1]quests!$1:$1,0)+1,FALSE)</f>
        <v>ドロップイベント3</v>
      </c>
      <c r="F591" s="6">
        <v>1</v>
      </c>
      <c r="G591" s="4" t="str">
        <f ca="1">VLOOKUP($C591&amp;"_"&amp;$F591,OFFSET([1]stages!$A$1,0,0,COUNTA([1]stages!$A:$A),MATCH(G$1,[1]stages!$2:$2,0)-MATCH("temp_stage",[1]stages!$2:$2,0)+1),MATCH(G$1,[1]stages!$2:$2,0)-MATCH("temp_stage",[1]stages!$2:$2,0)+1,FALSE)</f>
        <v>【初級】罪と劇薬</v>
      </c>
      <c r="H591" s="4" t="str">
        <f ca="1">VLOOKUP($C591&amp;"_"&amp;$F591,OFFSET([1]stages!$A$1,0,0,COUNTA([1]stages!$A:$A),MATCH(H$1,[1]stages!$2:$2,0)-MATCH("temp_stage",[1]stages!$2:$2,0)+1),MATCH(H$1,[1]stages!$2:$2,0)-MATCH("temp_stage",[1]stages!$2:$2,0)+1,FALSE)</f>
        <v>ドロップイベント3</v>
      </c>
      <c r="I591" s="19">
        <v>0</v>
      </c>
      <c r="J591" s="6">
        <f>COUNTIF(C$1:C591,C591)</f>
        <v>15</v>
      </c>
      <c r="K591">
        <v>16</v>
      </c>
      <c r="L591" s="6" t="s">
        <v>17</v>
      </c>
      <c r="M591" s="36" t="str">
        <f>VLOOKUP(K591,[2]stage_hints!$A:$C,3,FALSE)</f>
        <v>マルチプレイのメリット（その1）</v>
      </c>
      <c r="N591" s="37" t="str">
        <f>VLOOKUP(K591,[2]stage_hints!$A:$D,4,FALSE)</f>
        <v>他のプレイヤーとマルチプレイで遊ぶと_x000D_ポリゴンがもらえます（100人まで）</v>
      </c>
      <c r="O591" s="22" t="s">
        <v>117</v>
      </c>
      <c r="P591">
        <v>16</v>
      </c>
    </row>
    <row r="592" spans="1:16" x14ac:dyDescent="0.15">
      <c r="A592" s="29" t="str">
        <f t="shared" si="72"/>
        <v>20012_1_16</v>
      </c>
      <c r="B592" s="27" t="s">
        <v>33</v>
      </c>
      <c r="C592" s="5">
        <v>20012</v>
      </c>
      <c r="D592" s="4" t="str">
        <f ca="1">VLOOKUP($C592,OFFSET([1]quests!$A$1,0,0,COUNTA([1]quests!$A:$A),MATCH(D$1,[1]quests!$1:$1,0)-MATCH($C$1,[1]quests!$1:$1,0)+1),MATCH(D$1,[1]quests!$1:$1,0)-MATCH($C$1,[1]quests!$1:$1,0)+1,FALSE)</f>
        <v>罪と劇薬</v>
      </c>
      <c r="E592" s="4" t="str">
        <f ca="1">VLOOKUP($C592,OFFSET([1]quests!$A$1,0,0,COUNTA([1]quests!$A:$A),MATCH(E$1,[1]quests!$1:$1,0)-MATCH($C$1,[1]quests!$1:$1,0)+1),MATCH(E$1,[1]quests!$1:$1,0)-MATCH($C$1,[1]quests!$1:$1,0)+1,FALSE)</f>
        <v>ドロップイベント3</v>
      </c>
      <c r="F592" s="6">
        <v>1</v>
      </c>
      <c r="G592" s="4" t="str">
        <f ca="1">VLOOKUP($C592&amp;"_"&amp;$F592,OFFSET([1]stages!$A$1,0,0,COUNTA([1]stages!$A:$A),MATCH(G$1,[1]stages!$2:$2,0)-MATCH("temp_stage",[1]stages!$2:$2,0)+1),MATCH(G$1,[1]stages!$2:$2,0)-MATCH("temp_stage",[1]stages!$2:$2,0)+1,FALSE)</f>
        <v>【初級】罪と劇薬</v>
      </c>
      <c r="H592" s="4" t="str">
        <f ca="1">VLOOKUP($C592&amp;"_"&amp;$F592,OFFSET([1]stages!$A$1,0,0,COUNTA([1]stages!$A:$A),MATCH(H$1,[1]stages!$2:$2,0)-MATCH("temp_stage",[1]stages!$2:$2,0)+1),MATCH(H$1,[1]stages!$2:$2,0)-MATCH("temp_stage",[1]stages!$2:$2,0)+1,FALSE)</f>
        <v>ドロップイベント3</v>
      </c>
      <c r="I592" s="19">
        <v>0</v>
      </c>
      <c r="J592" s="6">
        <f>COUNTIF(C$1:C592,C592)</f>
        <v>16</v>
      </c>
      <c r="K592">
        <v>17</v>
      </c>
      <c r="L592" s="6" t="s">
        <v>17</v>
      </c>
      <c r="M592" s="36" t="str">
        <f>VLOOKUP(K592,[2]stage_hints!$A:$C,3,FALSE)</f>
        <v>リンクガチャ</v>
      </c>
      <c r="N592" s="37" t="str">
        <f>VLOOKUP(K592,[2]stage_hints!$A:$D,4,FALSE)</f>
        <v>無料のリンクガチャを回して_x000D_経験値素材や売却素材を獲得しましょう</v>
      </c>
      <c r="O592" s="22" t="s">
        <v>117</v>
      </c>
      <c r="P592">
        <v>17</v>
      </c>
    </row>
    <row r="593" spans="1:16" x14ac:dyDescent="0.15">
      <c r="A593" s="29" t="str">
        <f t="shared" si="72"/>
        <v>20012_1_17</v>
      </c>
      <c r="B593" s="27" t="s">
        <v>33</v>
      </c>
      <c r="C593" s="5">
        <v>20012</v>
      </c>
      <c r="D593" s="4" t="str">
        <f ca="1">VLOOKUP($C593,OFFSET([1]quests!$A$1,0,0,COUNTA([1]quests!$A:$A),MATCH(D$1,[1]quests!$1:$1,0)-MATCH($C$1,[1]quests!$1:$1,0)+1),MATCH(D$1,[1]quests!$1:$1,0)-MATCH($C$1,[1]quests!$1:$1,0)+1,FALSE)</f>
        <v>罪と劇薬</v>
      </c>
      <c r="E593" s="4" t="str">
        <f ca="1">VLOOKUP($C593,OFFSET([1]quests!$A$1,0,0,COUNTA([1]quests!$A:$A),MATCH(E$1,[1]quests!$1:$1,0)-MATCH($C$1,[1]quests!$1:$1,0)+1),MATCH(E$1,[1]quests!$1:$1,0)-MATCH($C$1,[1]quests!$1:$1,0)+1,FALSE)</f>
        <v>ドロップイベント3</v>
      </c>
      <c r="F593" s="6">
        <v>1</v>
      </c>
      <c r="G593" s="4" t="str">
        <f ca="1">VLOOKUP($C593&amp;"_"&amp;$F593,OFFSET([1]stages!$A$1,0,0,COUNTA([1]stages!$A:$A),MATCH(G$1,[1]stages!$2:$2,0)-MATCH("temp_stage",[1]stages!$2:$2,0)+1),MATCH(G$1,[1]stages!$2:$2,0)-MATCH("temp_stage",[1]stages!$2:$2,0)+1,FALSE)</f>
        <v>【初級】罪と劇薬</v>
      </c>
      <c r="H593" s="4" t="str">
        <f ca="1">VLOOKUP($C593&amp;"_"&amp;$F593,OFFSET([1]stages!$A$1,0,0,COUNTA([1]stages!$A:$A),MATCH(H$1,[1]stages!$2:$2,0)-MATCH("temp_stage",[1]stages!$2:$2,0)+1),MATCH(H$1,[1]stages!$2:$2,0)-MATCH("temp_stage",[1]stages!$2:$2,0)+1,FALSE)</f>
        <v>ドロップイベント3</v>
      </c>
      <c r="I593" s="19">
        <v>0</v>
      </c>
      <c r="J593" s="6">
        <f>COUNTIF(C$1:C593,C593)</f>
        <v>17</v>
      </c>
      <c r="K593">
        <v>18</v>
      </c>
      <c r="L593" s="6" t="s">
        <v>17</v>
      </c>
      <c r="M593" s="36" t="str">
        <f>VLOOKUP(K593,[2]stage_hints!$A:$C,3,FALSE)</f>
        <v>マルチプレイのメリット（その2）</v>
      </c>
      <c r="N593" s="37" t="str">
        <f>VLOOKUP(K593,[2]stage_hints!$A:$D,4,FALSE)</f>
        <v>マルチプレイならリンクが2倍もらえます_x000D_リンクガチャをたくさん回しましょう</v>
      </c>
      <c r="O593" s="22" t="s">
        <v>117</v>
      </c>
      <c r="P593">
        <v>18</v>
      </c>
    </row>
    <row r="594" spans="1:16" x14ac:dyDescent="0.15">
      <c r="A594" s="29" t="str">
        <f t="shared" si="72"/>
        <v>20012_1_18</v>
      </c>
      <c r="B594" s="27" t="s">
        <v>33</v>
      </c>
      <c r="C594" s="5">
        <v>20012</v>
      </c>
      <c r="D594" s="4" t="str">
        <f ca="1">VLOOKUP($C594,OFFSET([1]quests!$A$1,0,0,COUNTA([1]quests!$A:$A),MATCH(D$1,[1]quests!$1:$1,0)-MATCH($C$1,[1]quests!$1:$1,0)+1),MATCH(D$1,[1]quests!$1:$1,0)-MATCH($C$1,[1]quests!$1:$1,0)+1,FALSE)</f>
        <v>罪と劇薬</v>
      </c>
      <c r="E594" s="4" t="str">
        <f ca="1">VLOOKUP($C594,OFFSET([1]quests!$A$1,0,0,COUNTA([1]quests!$A:$A),MATCH(E$1,[1]quests!$1:$1,0)-MATCH($C$1,[1]quests!$1:$1,0)+1),MATCH(E$1,[1]quests!$1:$1,0)-MATCH($C$1,[1]quests!$1:$1,0)+1,FALSE)</f>
        <v>ドロップイベント3</v>
      </c>
      <c r="F594" s="6">
        <v>1</v>
      </c>
      <c r="G594" s="4" t="str">
        <f ca="1">VLOOKUP($C594&amp;"_"&amp;$F594,OFFSET([1]stages!$A$1,0,0,COUNTA([1]stages!$A:$A),MATCH(G$1,[1]stages!$2:$2,0)-MATCH("temp_stage",[1]stages!$2:$2,0)+1),MATCH(G$1,[1]stages!$2:$2,0)-MATCH("temp_stage",[1]stages!$2:$2,0)+1,FALSE)</f>
        <v>【初級】罪と劇薬</v>
      </c>
      <c r="H594" s="4" t="str">
        <f ca="1">VLOOKUP($C594&amp;"_"&amp;$F594,OFFSET([1]stages!$A$1,0,0,COUNTA([1]stages!$A:$A),MATCH(H$1,[1]stages!$2:$2,0)-MATCH("temp_stage",[1]stages!$2:$2,0)+1),MATCH(H$1,[1]stages!$2:$2,0)-MATCH("temp_stage",[1]stages!$2:$2,0)+1,FALSE)</f>
        <v>ドロップイベント3</v>
      </c>
      <c r="I594" s="19">
        <v>0</v>
      </c>
      <c r="J594" s="6">
        <f>COUNTIF(C$1:C594,C594)</f>
        <v>18</v>
      </c>
      <c r="K594">
        <v>19</v>
      </c>
      <c r="L594" s="6" t="s">
        <v>17</v>
      </c>
      <c r="M594" s="36" t="str">
        <f>VLOOKUP(K594,[2]stage_hints!$A:$C,3,FALSE)</f>
        <v>ソロ専用チャレンジタワー</v>
      </c>
      <c r="N594" s="37" t="str">
        <f>VLOOKUP(K594,[2]stage_hints!$A:$D,4,FALSE)</f>
        <v>ソロ専用の「チャレンジタワー」では_x000D_各フロアごとにクリア報酬がもらえます</v>
      </c>
      <c r="O594" s="22" t="s">
        <v>117</v>
      </c>
      <c r="P594">
        <v>19</v>
      </c>
    </row>
    <row r="595" spans="1:16" x14ac:dyDescent="0.15">
      <c r="A595" s="29" t="str">
        <f t="shared" si="72"/>
        <v>20012_1_19</v>
      </c>
      <c r="B595" s="27" t="s">
        <v>33</v>
      </c>
      <c r="C595" s="5">
        <v>20012</v>
      </c>
      <c r="D595" s="4" t="str">
        <f ca="1">VLOOKUP($C595,OFFSET([1]quests!$A$1,0,0,COUNTA([1]quests!$A:$A),MATCH(D$1,[1]quests!$1:$1,0)-MATCH($C$1,[1]quests!$1:$1,0)+1),MATCH(D$1,[1]quests!$1:$1,0)-MATCH($C$1,[1]quests!$1:$1,0)+1,FALSE)</f>
        <v>罪と劇薬</v>
      </c>
      <c r="E595" s="4" t="str">
        <f ca="1">VLOOKUP($C595,OFFSET([1]quests!$A$1,0,0,COUNTA([1]quests!$A:$A),MATCH(E$1,[1]quests!$1:$1,0)-MATCH($C$1,[1]quests!$1:$1,0)+1),MATCH(E$1,[1]quests!$1:$1,0)-MATCH($C$1,[1]quests!$1:$1,0)+1,FALSE)</f>
        <v>ドロップイベント3</v>
      </c>
      <c r="F595" s="6">
        <v>1</v>
      </c>
      <c r="G595" s="4" t="str">
        <f ca="1">VLOOKUP($C595&amp;"_"&amp;$F595,OFFSET([1]stages!$A$1,0,0,COUNTA([1]stages!$A:$A),MATCH(G$1,[1]stages!$2:$2,0)-MATCH("temp_stage",[1]stages!$2:$2,0)+1),MATCH(G$1,[1]stages!$2:$2,0)-MATCH("temp_stage",[1]stages!$2:$2,0)+1,FALSE)</f>
        <v>【初級】罪と劇薬</v>
      </c>
      <c r="H595" s="4" t="str">
        <f ca="1">VLOOKUP($C595&amp;"_"&amp;$F595,OFFSET([1]stages!$A$1,0,0,COUNTA([1]stages!$A:$A),MATCH(H$1,[1]stages!$2:$2,0)-MATCH("temp_stage",[1]stages!$2:$2,0)+1),MATCH(H$1,[1]stages!$2:$2,0)-MATCH("temp_stage",[1]stages!$2:$2,0)+1,FALSE)</f>
        <v>ドロップイベント3</v>
      </c>
      <c r="I595" s="19">
        <v>0</v>
      </c>
      <c r="J595" s="6">
        <f>COUNTIF(C$1:C595,C595)</f>
        <v>19</v>
      </c>
      <c r="K595">
        <v>20</v>
      </c>
      <c r="L595" s="6" t="s">
        <v>17</v>
      </c>
      <c r="M595" s="36" t="str">
        <f>VLOOKUP(K595,[2]stage_hints!$A:$C,3,FALSE)</f>
        <v>マルチプレイのメリット（その3）</v>
      </c>
      <c r="N595" s="37" t="str">
        <f>VLOOKUP(K595,[2]stage_hints!$A:$D,4,FALSE)</f>
        <v>マルチプレイへの参加はエナジー消費ゼロ_x000D_いつでも好きなだけ遊ぶことができます</v>
      </c>
      <c r="O595" s="22" t="s">
        <v>117</v>
      </c>
      <c r="P595">
        <v>20</v>
      </c>
    </row>
    <row r="596" spans="1:16" x14ac:dyDescent="0.15">
      <c r="A596" s="29" t="str">
        <f t="shared" si="72"/>
        <v>20012_1_20</v>
      </c>
      <c r="B596" s="27" t="s">
        <v>33</v>
      </c>
      <c r="C596" s="5">
        <v>20012</v>
      </c>
      <c r="D596" s="4" t="str">
        <f ca="1">VLOOKUP($C596,OFFSET([1]quests!$A$1,0,0,COUNTA([1]quests!$A:$A),MATCH(D$1,[1]quests!$1:$1,0)-MATCH($C$1,[1]quests!$1:$1,0)+1),MATCH(D$1,[1]quests!$1:$1,0)-MATCH($C$1,[1]quests!$1:$1,0)+1,FALSE)</f>
        <v>罪と劇薬</v>
      </c>
      <c r="E596" s="4" t="str">
        <f ca="1">VLOOKUP($C596,OFFSET([1]quests!$A$1,0,0,COUNTA([1]quests!$A:$A),MATCH(E$1,[1]quests!$1:$1,0)-MATCH($C$1,[1]quests!$1:$1,0)+1),MATCH(E$1,[1]quests!$1:$1,0)-MATCH($C$1,[1]quests!$1:$1,0)+1,FALSE)</f>
        <v>ドロップイベント3</v>
      </c>
      <c r="F596" s="6">
        <v>1</v>
      </c>
      <c r="G596" s="4" t="str">
        <f ca="1">VLOOKUP($C596&amp;"_"&amp;$F596,OFFSET([1]stages!$A$1,0,0,COUNTA([1]stages!$A:$A),MATCH(G$1,[1]stages!$2:$2,0)-MATCH("temp_stage",[1]stages!$2:$2,0)+1),MATCH(G$1,[1]stages!$2:$2,0)-MATCH("temp_stage",[1]stages!$2:$2,0)+1,FALSE)</f>
        <v>【初級】罪と劇薬</v>
      </c>
      <c r="H596" s="4" t="str">
        <f ca="1">VLOOKUP($C596&amp;"_"&amp;$F596,OFFSET([1]stages!$A$1,0,0,COUNTA([1]stages!$A:$A),MATCH(H$1,[1]stages!$2:$2,0)-MATCH("temp_stage",[1]stages!$2:$2,0)+1),MATCH(H$1,[1]stages!$2:$2,0)-MATCH("temp_stage",[1]stages!$2:$2,0)+1,FALSE)</f>
        <v>ドロップイベント3</v>
      </c>
      <c r="I596" s="19">
        <v>0</v>
      </c>
      <c r="J596" s="6">
        <f>COUNTIF(C$1:C596,C596)</f>
        <v>20</v>
      </c>
      <c r="K596">
        <v>21</v>
      </c>
      <c r="L596" s="6" t="s">
        <v>17</v>
      </c>
      <c r="M596" s="36" t="str">
        <f>VLOOKUP(K596,[2]stage_hints!$A:$C,3,FALSE)</f>
        <v>スキルを有効に</v>
      </c>
      <c r="N596" s="37" t="str">
        <f>VLOOKUP(K596,[2]stage_hints!$A:$D,4,FALSE)</f>
        <v>ターン経過でユニットのスキルが使えます_x000D_強力スキルでバトルを有利に進めましょう</v>
      </c>
      <c r="O596" s="22" t="s">
        <v>117</v>
      </c>
      <c r="P596">
        <v>21</v>
      </c>
    </row>
    <row r="597" spans="1:16" x14ac:dyDescent="0.15">
      <c r="A597" s="29" t="str">
        <f t="shared" si="72"/>
        <v>20012_1_21</v>
      </c>
      <c r="B597" s="27" t="s">
        <v>33</v>
      </c>
      <c r="C597" s="5">
        <v>20012</v>
      </c>
      <c r="D597" s="4" t="str">
        <f ca="1">VLOOKUP($C597,OFFSET([1]quests!$A$1,0,0,COUNTA([1]quests!$A:$A),MATCH(D$1,[1]quests!$1:$1,0)-MATCH($C$1,[1]quests!$1:$1,0)+1),MATCH(D$1,[1]quests!$1:$1,0)-MATCH($C$1,[1]quests!$1:$1,0)+1,FALSE)</f>
        <v>罪と劇薬</v>
      </c>
      <c r="E597" s="4" t="str">
        <f ca="1">VLOOKUP($C597,OFFSET([1]quests!$A$1,0,0,COUNTA([1]quests!$A:$A),MATCH(E$1,[1]quests!$1:$1,0)-MATCH($C$1,[1]quests!$1:$1,0)+1),MATCH(E$1,[1]quests!$1:$1,0)-MATCH($C$1,[1]quests!$1:$1,0)+1,FALSE)</f>
        <v>ドロップイベント3</v>
      </c>
      <c r="F597" s="6">
        <v>1</v>
      </c>
      <c r="G597" s="4" t="str">
        <f ca="1">VLOOKUP($C597&amp;"_"&amp;$F597,OFFSET([1]stages!$A$1,0,0,COUNTA([1]stages!$A:$A),MATCH(G$1,[1]stages!$2:$2,0)-MATCH("temp_stage",[1]stages!$2:$2,0)+1),MATCH(G$1,[1]stages!$2:$2,0)-MATCH("temp_stage",[1]stages!$2:$2,0)+1,FALSE)</f>
        <v>【初級】罪と劇薬</v>
      </c>
      <c r="H597" s="4" t="str">
        <f ca="1">VLOOKUP($C597&amp;"_"&amp;$F597,OFFSET([1]stages!$A$1,0,0,COUNTA([1]stages!$A:$A),MATCH(H$1,[1]stages!$2:$2,0)-MATCH("temp_stage",[1]stages!$2:$2,0)+1),MATCH(H$1,[1]stages!$2:$2,0)-MATCH("temp_stage",[1]stages!$2:$2,0)+1,FALSE)</f>
        <v>ドロップイベント3</v>
      </c>
      <c r="I597" s="19">
        <v>0</v>
      </c>
      <c r="J597" s="6">
        <f>COUNTIF(C$1:C597,C597)</f>
        <v>21</v>
      </c>
      <c r="K597">
        <v>22</v>
      </c>
      <c r="L597" s="6" t="s">
        <v>17</v>
      </c>
      <c r="M597" s="36" t="str">
        <f>VLOOKUP(K597,[2]stage_hints!$A:$C,3,FALSE)</f>
        <v>フィーバーで一発逆転（その1）</v>
      </c>
      <c r="N597" s="37" t="str">
        <f>VLOOKUP(K597,[2]stage_hints!$A:$D,4,FALSE)</f>
        <v>フィーバーは攻撃と回復を兼ね備えます_x000D_ピンチからの一発逆転を狙いましょう</v>
      </c>
      <c r="O597" s="22" t="s">
        <v>117</v>
      </c>
      <c r="P597">
        <v>22</v>
      </c>
    </row>
    <row r="598" spans="1:16" x14ac:dyDescent="0.15">
      <c r="A598" s="29" t="str">
        <f t="shared" si="72"/>
        <v>20012_1_22</v>
      </c>
      <c r="B598" s="27" t="s">
        <v>33</v>
      </c>
      <c r="C598" s="5">
        <v>20012</v>
      </c>
      <c r="D598" s="4" t="str">
        <f ca="1">VLOOKUP($C598,OFFSET([1]quests!$A$1,0,0,COUNTA([1]quests!$A:$A),MATCH(D$1,[1]quests!$1:$1,0)-MATCH($C$1,[1]quests!$1:$1,0)+1),MATCH(D$1,[1]quests!$1:$1,0)-MATCH($C$1,[1]quests!$1:$1,0)+1,FALSE)</f>
        <v>罪と劇薬</v>
      </c>
      <c r="E598" s="4" t="str">
        <f ca="1">VLOOKUP($C598,OFFSET([1]quests!$A$1,0,0,COUNTA([1]quests!$A:$A),MATCH(E$1,[1]quests!$1:$1,0)-MATCH($C$1,[1]quests!$1:$1,0)+1),MATCH(E$1,[1]quests!$1:$1,0)-MATCH($C$1,[1]quests!$1:$1,0)+1,FALSE)</f>
        <v>ドロップイベント3</v>
      </c>
      <c r="F598" s="6">
        <v>1</v>
      </c>
      <c r="G598" s="4" t="str">
        <f ca="1">VLOOKUP($C598&amp;"_"&amp;$F598,OFFSET([1]stages!$A$1,0,0,COUNTA([1]stages!$A:$A),MATCH(G$1,[1]stages!$2:$2,0)-MATCH("temp_stage",[1]stages!$2:$2,0)+1),MATCH(G$1,[1]stages!$2:$2,0)-MATCH("temp_stage",[1]stages!$2:$2,0)+1,FALSE)</f>
        <v>【初級】罪と劇薬</v>
      </c>
      <c r="H598" s="4" t="str">
        <f ca="1">VLOOKUP($C598&amp;"_"&amp;$F598,OFFSET([1]stages!$A$1,0,0,COUNTA([1]stages!$A:$A),MATCH(H$1,[1]stages!$2:$2,0)-MATCH("temp_stage",[1]stages!$2:$2,0)+1),MATCH(H$1,[1]stages!$2:$2,0)-MATCH("temp_stage",[1]stages!$2:$2,0)+1,FALSE)</f>
        <v>ドロップイベント3</v>
      </c>
      <c r="I598" s="19">
        <v>0</v>
      </c>
      <c r="J598" s="6">
        <f>COUNTIF(C$1:C598,C598)</f>
        <v>22</v>
      </c>
      <c r="K598">
        <v>23</v>
      </c>
      <c r="L598" s="6" t="s">
        <v>17</v>
      </c>
      <c r="M598" s="36" t="str">
        <f>VLOOKUP(K598,[2]stage_hints!$A:$C,3,FALSE)</f>
        <v>フィーバーで一発逆転（その2）</v>
      </c>
      <c r="N598" s="37" t="str">
        <f>VLOOKUP(K598,[2]stage_hints!$A:$D,4,FALSE)</f>
        <v>フィーバー中は虹色のボムパネルを狙って_x000D_画面上のパネルを一気に破壊しましょう</v>
      </c>
      <c r="O598" s="22" t="s">
        <v>117</v>
      </c>
      <c r="P598">
        <v>23</v>
      </c>
    </row>
    <row r="599" spans="1:16" x14ac:dyDescent="0.15">
      <c r="A599" s="29" t="str">
        <f t="shared" si="72"/>
        <v>20012_1_23</v>
      </c>
      <c r="B599" s="27" t="s">
        <v>33</v>
      </c>
      <c r="C599" s="5">
        <v>20012</v>
      </c>
      <c r="D599" s="4" t="str">
        <f ca="1">VLOOKUP($C599,OFFSET([1]quests!$A$1,0,0,COUNTA([1]quests!$A:$A),MATCH(D$1,[1]quests!$1:$1,0)-MATCH($C$1,[1]quests!$1:$1,0)+1),MATCH(D$1,[1]quests!$1:$1,0)-MATCH($C$1,[1]quests!$1:$1,0)+1,FALSE)</f>
        <v>罪と劇薬</v>
      </c>
      <c r="E599" s="4" t="str">
        <f ca="1">VLOOKUP($C599,OFFSET([1]quests!$A$1,0,0,COUNTA([1]quests!$A:$A),MATCH(E$1,[1]quests!$1:$1,0)-MATCH($C$1,[1]quests!$1:$1,0)+1),MATCH(E$1,[1]quests!$1:$1,0)-MATCH($C$1,[1]quests!$1:$1,0)+1,FALSE)</f>
        <v>ドロップイベント3</v>
      </c>
      <c r="F599" s="6">
        <v>1</v>
      </c>
      <c r="G599" s="4" t="str">
        <f ca="1">VLOOKUP($C599&amp;"_"&amp;$F599,OFFSET([1]stages!$A$1,0,0,COUNTA([1]stages!$A:$A),MATCH(G$1,[1]stages!$2:$2,0)-MATCH("temp_stage",[1]stages!$2:$2,0)+1),MATCH(G$1,[1]stages!$2:$2,0)-MATCH("temp_stage",[1]stages!$2:$2,0)+1,FALSE)</f>
        <v>【初級】罪と劇薬</v>
      </c>
      <c r="H599" s="4" t="str">
        <f ca="1">VLOOKUP($C599&amp;"_"&amp;$F599,OFFSET([1]stages!$A$1,0,0,COUNTA([1]stages!$A:$A),MATCH(H$1,[1]stages!$2:$2,0)-MATCH("temp_stage",[1]stages!$2:$2,0)+1),MATCH(H$1,[1]stages!$2:$2,0)-MATCH("temp_stage",[1]stages!$2:$2,0)+1,FALSE)</f>
        <v>ドロップイベント3</v>
      </c>
      <c r="I599" s="19">
        <v>0</v>
      </c>
      <c r="J599" s="6">
        <f>COUNTIF(C$1:C599,C599)</f>
        <v>23</v>
      </c>
      <c r="K599">
        <v>24</v>
      </c>
      <c r="L599" s="6" t="s">
        <v>17</v>
      </c>
      <c r="M599" s="36" t="str">
        <f>VLOOKUP(K599,[2]stage_hints!$A:$C,3,FALSE)</f>
        <v>りんごを使って限界突破</v>
      </c>
      <c r="N599" s="37" t="str">
        <f>VLOOKUP(K599,[2]stage_hints!$A:$D,4,FALSE)</f>
        <v>赤りんご(攻撃力) 青りんご(回復力)_x000D_緑りんご(体力)をユニット強化に使うと_x000D_ステータスが限界突破します（計99個迄）</v>
      </c>
      <c r="O599" s="22" t="s">
        <v>117</v>
      </c>
      <c r="P599">
        <v>24</v>
      </c>
    </row>
    <row r="600" spans="1:16" x14ac:dyDescent="0.15">
      <c r="A600" s="29" t="str">
        <f t="shared" si="72"/>
        <v>20012_1_24</v>
      </c>
      <c r="B600" s="27" t="s">
        <v>33</v>
      </c>
      <c r="C600" s="5">
        <v>20012</v>
      </c>
      <c r="D600" s="4" t="str">
        <f ca="1">VLOOKUP($C600,OFFSET([1]quests!$A$1,0,0,COUNTA([1]quests!$A:$A),MATCH(D$1,[1]quests!$1:$1,0)-MATCH($C$1,[1]quests!$1:$1,0)+1),MATCH(D$1,[1]quests!$1:$1,0)-MATCH($C$1,[1]quests!$1:$1,0)+1,FALSE)</f>
        <v>罪と劇薬</v>
      </c>
      <c r="E600" s="4" t="str">
        <f ca="1">VLOOKUP($C600,OFFSET([1]quests!$A$1,0,0,COUNTA([1]quests!$A:$A),MATCH(E$1,[1]quests!$1:$1,0)-MATCH($C$1,[1]quests!$1:$1,0)+1),MATCH(E$1,[1]quests!$1:$1,0)-MATCH($C$1,[1]quests!$1:$1,0)+1,FALSE)</f>
        <v>ドロップイベント3</v>
      </c>
      <c r="F600" s="6">
        <v>1</v>
      </c>
      <c r="G600" s="4" t="str">
        <f ca="1">VLOOKUP($C600&amp;"_"&amp;$F600,OFFSET([1]stages!$A$1,0,0,COUNTA([1]stages!$A:$A),MATCH(G$1,[1]stages!$2:$2,0)-MATCH("temp_stage",[1]stages!$2:$2,0)+1),MATCH(G$1,[1]stages!$2:$2,0)-MATCH("temp_stage",[1]stages!$2:$2,0)+1,FALSE)</f>
        <v>【初級】罪と劇薬</v>
      </c>
      <c r="H600" s="4" t="str">
        <f ca="1">VLOOKUP($C600&amp;"_"&amp;$F600,OFFSET([1]stages!$A$1,0,0,COUNTA([1]stages!$A:$A),MATCH(H$1,[1]stages!$2:$2,0)-MATCH("temp_stage",[1]stages!$2:$2,0)+1),MATCH(H$1,[1]stages!$2:$2,0)-MATCH("temp_stage",[1]stages!$2:$2,0)+1,FALSE)</f>
        <v>ドロップイベント3</v>
      </c>
      <c r="I600" s="19">
        <v>0</v>
      </c>
      <c r="J600" s="6">
        <f>COUNTIF(C$1:C600,C600)</f>
        <v>24</v>
      </c>
      <c r="K600">
        <v>25</v>
      </c>
      <c r="L600" s="6" t="s">
        <v>17</v>
      </c>
      <c r="M600" s="36" t="str">
        <f>VLOOKUP(K600,[2]stage_hints!$A:$C,3,FALSE)</f>
        <v>スキルレベルアップ</v>
      </c>
      <c r="N600" s="37" t="str">
        <f>VLOOKUP(K600,[2]stage_hints!$A:$D,4,FALSE)</f>
        <v>「クリスタルのりんご」を強化に使うと_x000D_スキルレベルを上げることができます</v>
      </c>
      <c r="O600" s="22" t="s">
        <v>117</v>
      </c>
      <c r="P600">
        <v>25</v>
      </c>
    </row>
    <row r="601" spans="1:16" x14ac:dyDescent="0.15">
      <c r="A601" s="29" t="str">
        <f t="shared" si="72"/>
        <v>20012_1_25</v>
      </c>
      <c r="B601" s="27" t="s">
        <v>33</v>
      </c>
      <c r="C601" s="5">
        <v>20012</v>
      </c>
      <c r="D601" s="4" t="str">
        <f ca="1">VLOOKUP($C601,OFFSET([1]quests!$A$1,0,0,COUNTA([1]quests!$A:$A),MATCH(D$1,[1]quests!$1:$1,0)-MATCH($C$1,[1]quests!$1:$1,0)+1),MATCH(D$1,[1]quests!$1:$1,0)-MATCH($C$1,[1]quests!$1:$1,0)+1,FALSE)</f>
        <v>罪と劇薬</v>
      </c>
      <c r="E601" s="4" t="str">
        <f ca="1">VLOOKUP($C601,OFFSET([1]quests!$A$1,0,0,COUNTA([1]quests!$A:$A),MATCH(E$1,[1]quests!$1:$1,0)-MATCH($C$1,[1]quests!$1:$1,0)+1),MATCH(E$1,[1]quests!$1:$1,0)-MATCH($C$1,[1]quests!$1:$1,0)+1,FALSE)</f>
        <v>ドロップイベント3</v>
      </c>
      <c r="F601" s="6">
        <v>1</v>
      </c>
      <c r="G601" s="4" t="str">
        <f ca="1">VLOOKUP($C601&amp;"_"&amp;$F601,OFFSET([1]stages!$A$1,0,0,COUNTA([1]stages!$A:$A),MATCH(G$1,[1]stages!$2:$2,0)-MATCH("temp_stage",[1]stages!$2:$2,0)+1),MATCH(G$1,[1]stages!$2:$2,0)-MATCH("temp_stage",[1]stages!$2:$2,0)+1,FALSE)</f>
        <v>【初級】罪と劇薬</v>
      </c>
      <c r="H601" s="4" t="str">
        <f ca="1">VLOOKUP($C601&amp;"_"&amp;$F601,OFFSET([1]stages!$A$1,0,0,COUNTA([1]stages!$A:$A),MATCH(H$1,[1]stages!$2:$2,0)-MATCH("temp_stage",[1]stages!$2:$2,0)+1),MATCH(H$1,[1]stages!$2:$2,0)-MATCH("temp_stage",[1]stages!$2:$2,0)+1,FALSE)</f>
        <v>ドロップイベント3</v>
      </c>
      <c r="I601" s="19">
        <v>0</v>
      </c>
      <c r="J601" s="6">
        <f>COUNTIF(C$1:C601,C601)</f>
        <v>25</v>
      </c>
      <c r="K601">
        <v>26</v>
      </c>
      <c r="L601" s="6" t="s">
        <v>17</v>
      </c>
      <c r="M601" s="36" t="str">
        <f>VLOOKUP(K601,[2]stage_hints!$A:$C,3,FALSE)</f>
        <v>スキルレベルの効果</v>
      </c>
      <c r="N601" s="37" t="str">
        <f>VLOOKUP(K601,[2]stage_hints!$A:$D,4,FALSE)</f>
        <v>スキルレベルが上がると_x000D_短いターンでスキルを使うことができます</v>
      </c>
      <c r="O601" s="22" t="s">
        <v>117</v>
      </c>
      <c r="P601">
        <v>26</v>
      </c>
    </row>
  </sheetData>
  <phoneticPr fontId="5"/>
  <dataValidations count="1">
    <dataValidation type="list" allowBlank="1" showInputMessage="1" showErrorMessage="1" sqref="B2:B60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39"/>
  <sheetViews>
    <sheetView topLeftCell="A11" workbookViewId="0">
      <selection activeCell="C11" sqref="C11"/>
    </sheetView>
  </sheetViews>
  <sheetFormatPr baseColWidth="12" defaultRowHeight="15" x14ac:dyDescent="0.15"/>
  <cols>
    <col min="3" max="3" width="75.33203125" customWidth="1"/>
  </cols>
  <sheetData>
    <row r="1" spans="1:6" x14ac:dyDescent="0.15">
      <c r="A1" t="s">
        <v>73</v>
      </c>
      <c r="B1" t="s">
        <v>36</v>
      </c>
      <c r="C1" t="s">
        <v>37</v>
      </c>
    </row>
    <row r="2" spans="1:6" ht="28" x14ac:dyDescent="0.15">
      <c r="A2">
        <v>1</v>
      </c>
      <c r="B2" t="s">
        <v>38</v>
      </c>
      <c r="C2" s="30" t="s">
        <v>78</v>
      </c>
      <c r="D2">
        <v>1</v>
      </c>
      <c r="E2">
        <f>LEN(C2)</f>
        <v>37</v>
      </c>
      <c r="F2">
        <f>IF(E2&gt;64,1,)</f>
        <v>0</v>
      </c>
    </row>
    <row r="3" spans="1:6" ht="28" x14ac:dyDescent="0.15">
      <c r="A3">
        <v>2</v>
      </c>
      <c r="B3" t="s">
        <v>39</v>
      </c>
      <c r="C3" s="30" t="s">
        <v>79</v>
      </c>
      <c r="D3">
        <v>1</v>
      </c>
      <c r="E3">
        <f t="shared" ref="E3:E39" si="0">LEN(C3)</f>
        <v>42</v>
      </c>
      <c r="F3">
        <f t="shared" ref="F3:F39" si="1">IF(E3&gt;64,1,)</f>
        <v>0</v>
      </c>
    </row>
    <row r="4" spans="1:6" ht="28" x14ac:dyDescent="0.15">
      <c r="A4">
        <v>3</v>
      </c>
      <c r="B4" t="s">
        <v>40</v>
      </c>
      <c r="C4" s="30" t="s">
        <v>82</v>
      </c>
      <c r="D4">
        <v>1</v>
      </c>
      <c r="E4">
        <f t="shared" si="0"/>
        <v>26</v>
      </c>
      <c r="F4">
        <f t="shared" si="1"/>
        <v>0</v>
      </c>
    </row>
    <row r="5" spans="1:6" ht="42" x14ac:dyDescent="0.15">
      <c r="A5">
        <v>4</v>
      </c>
      <c r="B5" t="s">
        <v>41</v>
      </c>
      <c r="C5" s="30" t="s">
        <v>92</v>
      </c>
      <c r="D5">
        <v>1</v>
      </c>
      <c r="E5">
        <f t="shared" si="0"/>
        <v>53</v>
      </c>
      <c r="F5">
        <f t="shared" si="1"/>
        <v>0</v>
      </c>
    </row>
    <row r="6" spans="1:6" ht="42" x14ac:dyDescent="0.15">
      <c r="A6">
        <v>5</v>
      </c>
      <c r="B6" t="s">
        <v>42</v>
      </c>
      <c r="C6" s="30" t="s">
        <v>111</v>
      </c>
      <c r="D6">
        <v>1</v>
      </c>
      <c r="E6">
        <f>LEN(C6)</f>
        <v>63</v>
      </c>
      <c r="F6">
        <f t="shared" si="1"/>
        <v>0</v>
      </c>
    </row>
    <row r="7" spans="1:6" ht="42" x14ac:dyDescent="0.15">
      <c r="A7">
        <v>6</v>
      </c>
      <c r="B7" t="s">
        <v>43</v>
      </c>
      <c r="C7" s="30" t="s">
        <v>93</v>
      </c>
      <c r="D7">
        <v>1</v>
      </c>
      <c r="E7">
        <f t="shared" si="0"/>
        <v>41</v>
      </c>
      <c r="F7">
        <f t="shared" si="1"/>
        <v>0</v>
      </c>
    </row>
    <row r="8" spans="1:6" ht="42" x14ac:dyDescent="0.15">
      <c r="A8">
        <v>7</v>
      </c>
      <c r="B8" t="s">
        <v>44</v>
      </c>
      <c r="C8" s="30" t="s">
        <v>88</v>
      </c>
      <c r="D8">
        <v>1</v>
      </c>
      <c r="E8">
        <f t="shared" si="0"/>
        <v>56</v>
      </c>
      <c r="F8">
        <f t="shared" si="1"/>
        <v>0</v>
      </c>
    </row>
    <row r="9" spans="1:6" ht="42" x14ac:dyDescent="0.15">
      <c r="A9">
        <v>8</v>
      </c>
      <c r="B9" t="s">
        <v>45</v>
      </c>
      <c r="C9" s="30" t="s">
        <v>110</v>
      </c>
      <c r="D9">
        <v>1</v>
      </c>
      <c r="E9">
        <f t="shared" si="0"/>
        <v>64</v>
      </c>
      <c r="F9">
        <f t="shared" si="1"/>
        <v>0</v>
      </c>
    </row>
    <row r="10" spans="1:6" ht="42" x14ac:dyDescent="0.15">
      <c r="A10">
        <v>9</v>
      </c>
      <c r="B10" t="s">
        <v>46</v>
      </c>
      <c r="C10" s="30" t="s">
        <v>89</v>
      </c>
      <c r="D10">
        <v>1</v>
      </c>
      <c r="E10">
        <f t="shared" si="0"/>
        <v>51</v>
      </c>
      <c r="F10">
        <f t="shared" si="1"/>
        <v>0</v>
      </c>
    </row>
    <row r="11" spans="1:6" ht="42" x14ac:dyDescent="0.15">
      <c r="A11">
        <v>10</v>
      </c>
      <c r="B11" t="s">
        <v>47</v>
      </c>
      <c r="C11" s="30" t="s">
        <v>115</v>
      </c>
      <c r="D11">
        <v>1</v>
      </c>
      <c r="E11">
        <f t="shared" si="0"/>
        <v>48</v>
      </c>
      <c r="F11">
        <f t="shared" si="1"/>
        <v>0</v>
      </c>
    </row>
    <row r="12" spans="1:6" ht="42" x14ac:dyDescent="0.15">
      <c r="A12">
        <v>11</v>
      </c>
      <c r="B12" t="s">
        <v>48</v>
      </c>
      <c r="C12" s="31" t="s">
        <v>94</v>
      </c>
      <c r="D12">
        <v>1</v>
      </c>
      <c r="E12">
        <f t="shared" si="0"/>
        <v>61</v>
      </c>
      <c r="F12">
        <f t="shared" si="1"/>
        <v>0</v>
      </c>
    </row>
    <row r="13" spans="1:6" ht="28" x14ac:dyDescent="0.15">
      <c r="A13">
        <v>12</v>
      </c>
      <c r="B13" t="s">
        <v>34</v>
      </c>
      <c r="C13" s="30" t="s">
        <v>87</v>
      </c>
      <c r="D13">
        <v>1</v>
      </c>
      <c r="E13">
        <f t="shared" si="0"/>
        <v>28</v>
      </c>
      <c r="F13">
        <f t="shared" si="1"/>
        <v>0</v>
      </c>
    </row>
    <row r="14" spans="1:6" ht="28" x14ac:dyDescent="0.15">
      <c r="A14">
        <v>13</v>
      </c>
      <c r="B14" t="s">
        <v>49</v>
      </c>
      <c r="C14" s="30" t="s">
        <v>95</v>
      </c>
      <c r="D14">
        <v>1</v>
      </c>
      <c r="E14">
        <f t="shared" si="0"/>
        <v>37</v>
      </c>
      <c r="F14">
        <f t="shared" si="1"/>
        <v>0</v>
      </c>
    </row>
    <row r="15" spans="1:6" ht="42" x14ac:dyDescent="0.15">
      <c r="A15">
        <v>14</v>
      </c>
      <c r="B15" t="s">
        <v>50</v>
      </c>
      <c r="C15" s="30" t="s">
        <v>90</v>
      </c>
      <c r="D15">
        <v>1</v>
      </c>
      <c r="E15">
        <f t="shared" si="0"/>
        <v>51</v>
      </c>
      <c r="F15">
        <f t="shared" si="1"/>
        <v>0</v>
      </c>
    </row>
    <row r="16" spans="1:6" ht="28" x14ac:dyDescent="0.15">
      <c r="A16">
        <v>15</v>
      </c>
      <c r="B16" t="s">
        <v>51</v>
      </c>
      <c r="C16" s="30" t="s">
        <v>91</v>
      </c>
      <c r="D16">
        <v>1</v>
      </c>
      <c r="E16">
        <f t="shared" si="0"/>
        <v>28</v>
      </c>
      <c r="F16">
        <f t="shared" si="1"/>
        <v>0</v>
      </c>
    </row>
    <row r="17" spans="1:6" ht="42" x14ac:dyDescent="0.15">
      <c r="A17">
        <v>16</v>
      </c>
      <c r="B17" t="s">
        <v>52</v>
      </c>
      <c r="C17" s="30" t="s">
        <v>96</v>
      </c>
      <c r="D17">
        <v>1</v>
      </c>
      <c r="E17">
        <f t="shared" si="0"/>
        <v>45</v>
      </c>
      <c r="F17">
        <f t="shared" si="1"/>
        <v>0</v>
      </c>
    </row>
    <row r="18" spans="1:6" ht="42" x14ac:dyDescent="0.15">
      <c r="A18">
        <v>17</v>
      </c>
      <c r="B18" t="s">
        <v>53</v>
      </c>
      <c r="C18" s="31" t="s">
        <v>97</v>
      </c>
      <c r="D18">
        <v>1</v>
      </c>
      <c r="E18">
        <f t="shared" si="0"/>
        <v>60</v>
      </c>
      <c r="F18">
        <f t="shared" si="1"/>
        <v>0</v>
      </c>
    </row>
    <row r="19" spans="1:6" ht="28" x14ac:dyDescent="0.15">
      <c r="A19">
        <v>18</v>
      </c>
      <c r="B19" t="s">
        <v>54</v>
      </c>
      <c r="C19" s="30" t="s">
        <v>98</v>
      </c>
      <c r="D19">
        <v>1</v>
      </c>
      <c r="E19">
        <f t="shared" si="0"/>
        <v>40</v>
      </c>
      <c r="F19">
        <f t="shared" si="1"/>
        <v>0</v>
      </c>
    </row>
    <row r="20" spans="1:6" ht="42" x14ac:dyDescent="0.15">
      <c r="A20">
        <v>19</v>
      </c>
      <c r="B20" t="s">
        <v>55</v>
      </c>
      <c r="C20" s="31" t="s">
        <v>99</v>
      </c>
      <c r="D20">
        <v>1</v>
      </c>
      <c r="E20">
        <f t="shared" si="0"/>
        <v>58</v>
      </c>
      <c r="F20">
        <f t="shared" si="1"/>
        <v>0</v>
      </c>
    </row>
    <row r="21" spans="1:6" ht="28" x14ac:dyDescent="0.15">
      <c r="A21">
        <v>20</v>
      </c>
      <c r="B21" t="s">
        <v>35</v>
      </c>
      <c r="C21" s="32" t="s">
        <v>100</v>
      </c>
      <c r="D21">
        <v>1</v>
      </c>
      <c r="E21">
        <f t="shared" si="0"/>
        <v>51</v>
      </c>
      <c r="F21">
        <f t="shared" si="1"/>
        <v>0</v>
      </c>
    </row>
    <row r="22" spans="1:6" ht="56" x14ac:dyDescent="0.15">
      <c r="A22">
        <v>21</v>
      </c>
      <c r="B22" t="s">
        <v>56</v>
      </c>
      <c r="C22" s="31" t="s">
        <v>114</v>
      </c>
      <c r="D22">
        <v>1</v>
      </c>
      <c r="E22">
        <f t="shared" si="0"/>
        <v>61</v>
      </c>
      <c r="F22">
        <f t="shared" si="1"/>
        <v>0</v>
      </c>
    </row>
    <row r="23" spans="1:6" x14ac:dyDescent="0.15">
      <c r="A23">
        <v>22</v>
      </c>
      <c r="B23" t="s">
        <v>57</v>
      </c>
      <c r="C23" s="31" t="s">
        <v>101</v>
      </c>
      <c r="D23">
        <v>1</v>
      </c>
      <c r="E23">
        <f t="shared" si="0"/>
        <v>24</v>
      </c>
      <c r="F23">
        <f t="shared" si="1"/>
        <v>0</v>
      </c>
    </row>
    <row r="24" spans="1:6" ht="42" x14ac:dyDescent="0.15">
      <c r="A24">
        <v>23</v>
      </c>
      <c r="B24" t="s">
        <v>58</v>
      </c>
      <c r="C24" s="31" t="s">
        <v>102</v>
      </c>
      <c r="D24">
        <v>1</v>
      </c>
      <c r="E24">
        <f t="shared" si="0"/>
        <v>44</v>
      </c>
      <c r="F24">
        <f t="shared" si="1"/>
        <v>0</v>
      </c>
    </row>
    <row r="25" spans="1:6" ht="56" x14ac:dyDescent="0.15">
      <c r="A25">
        <v>24</v>
      </c>
      <c r="B25" t="s">
        <v>59</v>
      </c>
      <c r="C25" s="31" t="s">
        <v>112</v>
      </c>
      <c r="D25">
        <v>1</v>
      </c>
      <c r="E25">
        <f t="shared" si="0"/>
        <v>64</v>
      </c>
      <c r="F25">
        <f t="shared" si="1"/>
        <v>0</v>
      </c>
    </row>
    <row r="26" spans="1:6" ht="42" x14ac:dyDescent="0.15">
      <c r="A26">
        <v>25</v>
      </c>
      <c r="B26" t="s">
        <v>60</v>
      </c>
      <c r="C26" s="31" t="s">
        <v>103</v>
      </c>
      <c r="D26">
        <v>1</v>
      </c>
      <c r="E26">
        <f t="shared" si="0"/>
        <v>60</v>
      </c>
      <c r="F26">
        <f t="shared" si="1"/>
        <v>0</v>
      </c>
    </row>
    <row r="27" spans="1:6" ht="28" x14ac:dyDescent="0.15">
      <c r="A27">
        <v>26</v>
      </c>
      <c r="B27" t="s">
        <v>61</v>
      </c>
      <c r="C27" s="31" t="s">
        <v>83</v>
      </c>
      <c r="D27">
        <v>1</v>
      </c>
      <c r="E27">
        <f t="shared" si="0"/>
        <v>33</v>
      </c>
      <c r="F27">
        <f t="shared" si="1"/>
        <v>0</v>
      </c>
    </row>
    <row r="28" spans="1:6" ht="42" x14ac:dyDescent="0.15">
      <c r="A28">
        <v>27</v>
      </c>
      <c r="B28" t="s">
        <v>62</v>
      </c>
      <c r="C28" s="30" t="s">
        <v>84</v>
      </c>
      <c r="D28">
        <v>1</v>
      </c>
      <c r="E28">
        <f t="shared" si="0"/>
        <v>55</v>
      </c>
      <c r="F28">
        <f t="shared" si="1"/>
        <v>0</v>
      </c>
    </row>
    <row r="29" spans="1:6" ht="42" x14ac:dyDescent="0.15">
      <c r="A29">
        <v>28</v>
      </c>
      <c r="B29" t="s">
        <v>63</v>
      </c>
      <c r="C29" s="30" t="s">
        <v>85</v>
      </c>
      <c r="D29">
        <v>1</v>
      </c>
      <c r="E29">
        <f t="shared" si="0"/>
        <v>52</v>
      </c>
      <c r="F29">
        <f t="shared" si="1"/>
        <v>0</v>
      </c>
    </row>
    <row r="30" spans="1:6" x14ac:dyDescent="0.15">
      <c r="A30">
        <v>29</v>
      </c>
      <c r="B30" t="s">
        <v>64</v>
      </c>
      <c r="C30" s="33" t="s">
        <v>80</v>
      </c>
      <c r="D30">
        <v>1</v>
      </c>
      <c r="E30">
        <f t="shared" si="0"/>
        <v>22</v>
      </c>
      <c r="F30">
        <f t="shared" si="1"/>
        <v>0</v>
      </c>
    </row>
    <row r="31" spans="1:6" ht="28" x14ac:dyDescent="0.15">
      <c r="A31">
        <v>30</v>
      </c>
      <c r="B31" t="s">
        <v>65</v>
      </c>
      <c r="C31" s="34" t="s">
        <v>86</v>
      </c>
      <c r="D31">
        <v>1</v>
      </c>
      <c r="E31">
        <f t="shared" si="0"/>
        <v>37</v>
      </c>
      <c r="F31">
        <f t="shared" si="1"/>
        <v>0</v>
      </c>
    </row>
    <row r="32" spans="1:6" ht="28" x14ac:dyDescent="0.15">
      <c r="A32">
        <v>31</v>
      </c>
      <c r="B32" t="s">
        <v>74</v>
      </c>
      <c r="C32" s="35" t="s">
        <v>104</v>
      </c>
      <c r="D32">
        <v>1</v>
      </c>
      <c r="E32">
        <f t="shared" si="0"/>
        <v>32</v>
      </c>
      <c r="F32">
        <f t="shared" si="1"/>
        <v>0</v>
      </c>
    </row>
    <row r="33" spans="1:6" ht="28" x14ac:dyDescent="0.15">
      <c r="C33" s="31" t="s">
        <v>105</v>
      </c>
      <c r="D33">
        <v>1</v>
      </c>
      <c r="E33">
        <f t="shared" si="0"/>
        <v>40</v>
      </c>
      <c r="F33">
        <f t="shared" si="1"/>
        <v>0</v>
      </c>
    </row>
    <row r="34" spans="1:6" ht="28" x14ac:dyDescent="0.15">
      <c r="A34">
        <v>32</v>
      </c>
      <c r="B34" t="s">
        <v>66</v>
      </c>
      <c r="C34" s="31" t="s">
        <v>106</v>
      </c>
      <c r="D34">
        <v>1</v>
      </c>
      <c r="E34">
        <f t="shared" si="0"/>
        <v>49</v>
      </c>
      <c r="F34">
        <f t="shared" si="1"/>
        <v>0</v>
      </c>
    </row>
    <row r="35" spans="1:6" ht="56" x14ac:dyDescent="0.15">
      <c r="A35">
        <v>33</v>
      </c>
      <c r="B35" t="s">
        <v>67</v>
      </c>
      <c r="C35" s="30" t="s">
        <v>113</v>
      </c>
      <c r="D35">
        <v>1</v>
      </c>
      <c r="E35">
        <f t="shared" si="0"/>
        <v>64</v>
      </c>
      <c r="F35">
        <f t="shared" si="1"/>
        <v>0</v>
      </c>
    </row>
    <row r="36" spans="1:6" ht="28" x14ac:dyDescent="0.15">
      <c r="A36">
        <v>34</v>
      </c>
      <c r="B36" t="s">
        <v>68</v>
      </c>
      <c r="C36" s="30" t="s">
        <v>107</v>
      </c>
      <c r="D36">
        <v>1</v>
      </c>
      <c r="E36">
        <f t="shared" si="0"/>
        <v>41</v>
      </c>
      <c r="F36">
        <f t="shared" si="1"/>
        <v>0</v>
      </c>
    </row>
    <row r="37" spans="1:6" ht="42" x14ac:dyDescent="0.15">
      <c r="A37">
        <v>35</v>
      </c>
      <c r="B37" t="s">
        <v>69</v>
      </c>
      <c r="C37" s="30" t="s">
        <v>108</v>
      </c>
      <c r="D37">
        <v>1</v>
      </c>
      <c r="E37">
        <f t="shared" si="0"/>
        <v>40</v>
      </c>
      <c r="F37">
        <f t="shared" si="1"/>
        <v>0</v>
      </c>
    </row>
    <row r="38" spans="1:6" ht="42" x14ac:dyDescent="0.15">
      <c r="A38">
        <v>36</v>
      </c>
      <c r="B38" t="s">
        <v>70</v>
      </c>
      <c r="C38" s="31" t="s">
        <v>81</v>
      </c>
      <c r="D38">
        <v>1</v>
      </c>
      <c r="E38">
        <f t="shared" si="0"/>
        <v>41</v>
      </c>
      <c r="F38">
        <f t="shared" si="1"/>
        <v>0</v>
      </c>
    </row>
    <row r="39" spans="1:6" ht="42" x14ac:dyDescent="0.15">
      <c r="A39">
        <v>37</v>
      </c>
      <c r="B39" t="s">
        <v>71</v>
      </c>
      <c r="C39" s="31" t="s">
        <v>109</v>
      </c>
      <c r="D39">
        <v>1</v>
      </c>
      <c r="E39">
        <f t="shared" si="0"/>
        <v>57</v>
      </c>
      <c r="F39">
        <f t="shared" si="1"/>
        <v>0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stage_hints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¥98</dc:creator>
  <cp:lastModifiedBy>Microsoft Office ユーザー</cp:lastModifiedBy>
  <dcterms:created xsi:type="dcterms:W3CDTF">2013-10-07T08:00:17Z</dcterms:created>
  <dcterms:modified xsi:type="dcterms:W3CDTF">2016-07-26T07:23:09Z</dcterms:modified>
</cp:coreProperties>
</file>