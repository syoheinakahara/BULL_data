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40" yWindow="460" windowWidth="25160" windowHeight="15540" tabRatio="943" activeTab="2"/>
  </bookViews>
  <sheets>
    <sheet name="確率の考え方" sheetId="110" r:id="rId1"/>
    <sheet name="Sheet1" sheetId="107" r:id="rId2"/>
    <sheet name="output" sheetId="103" r:id="rId3"/>
    <sheet name="input_387010" sheetId="157" r:id="rId4"/>
    <sheet name="tables_387010" sheetId="158" r:id="rId5"/>
    <sheet name="input_387100" sheetId="153" r:id="rId6"/>
    <sheet name="tables_387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tables_387010!$A$1:$V$294</definedName>
    <definedName name="_xlnm._FilterDatabase" localSheetId="6" hidden="1">tables_387100!$A$1:$V$294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6" i="153" l="1"/>
  <c r="A36" i="157"/>
  <c r="A2" i="153"/>
  <c r="A295" i="154"/>
  <c r="I295" i="154"/>
  <c r="D295" i="154"/>
  <c r="J295" i="154"/>
  <c r="E295" i="154"/>
  <c r="F295" i="154"/>
  <c r="C295" i="154"/>
  <c r="H295" i="154"/>
  <c r="K295" i="154"/>
  <c r="L295" i="154"/>
  <c r="M295" i="154"/>
  <c r="N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F5" i="153"/>
  <c r="F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295" i="154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R3" i="153"/>
  <c r="E27" i="153"/>
  <c r="B27" i="153"/>
  <c r="G27" i="153"/>
  <c r="H27" i="153"/>
  <c r="O138" i="154"/>
  <c r="R4" i="153"/>
  <c r="E28" i="153"/>
  <c r="B28" i="153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R5" i="153"/>
  <c r="O189" i="154"/>
  <c r="R6" i="153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3" i="153"/>
  <c r="B22" i="153"/>
  <c r="G22" i="153"/>
  <c r="H22" i="153"/>
  <c r="O256" i="154"/>
  <c r="G23" i="153"/>
  <c r="E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6" i="154"/>
  <c r="O297" i="154"/>
  <c r="O298" i="154"/>
  <c r="O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2" i="157"/>
  <c r="A295" i="158"/>
  <c r="I295" i="158"/>
  <c r="D295" i="158"/>
  <c r="J295" i="158"/>
  <c r="E295" i="158"/>
  <c r="F295" i="158"/>
  <c r="C295" i="158"/>
  <c r="H295" i="158"/>
  <c r="K295" i="158"/>
  <c r="L295" i="158"/>
  <c r="M295" i="158"/>
  <c r="N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F5" i="157"/>
  <c r="F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295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R3" i="157"/>
  <c r="E27" i="157"/>
  <c r="B27" i="157"/>
  <c r="G27" i="157"/>
  <c r="H27" i="157"/>
  <c r="O138" i="158"/>
  <c r="R4" i="157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R5" i="157"/>
  <c r="O189" i="158"/>
  <c r="R6" i="157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3" i="157"/>
  <c r="B22" i="157"/>
  <c r="G22" i="157"/>
  <c r="H22" i="157"/>
  <c r="O256" i="158"/>
  <c r="G23" i="157"/>
  <c r="E23" i="157"/>
  <c r="H23" i="157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6" i="158"/>
  <c r="O297" i="158"/>
  <c r="O298" i="158"/>
  <c r="O299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7" i="153"/>
  <c r="R8" i="153"/>
  <c r="R9" i="153"/>
  <c r="R10" i="153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R7" i="157"/>
  <c r="R8" i="157"/>
  <c r="R9" i="157"/>
  <c r="R10" i="157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<sst xmlns="http://schemas.openxmlformats.org/spreadsheetml/2006/main" count="511" uniqueCount="253">
  <si>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</si>
  <si>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</si>
  <si>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</si>
  <si>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</si>
  <si>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</si>
  <si>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</si>
  <si>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</si>
  <si>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</si>
  <si>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</si>
  <si>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</si>
  <si>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</si>
  <si>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</si>
  <si>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</si>
  <si>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</si>
  <si>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</si>
  <si>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</si>
  <si>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</si>
  <si>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</si>
  <si>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</si>
  <si>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</si>
  <si>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</si>
  <si>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</si>
  <si>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</si>
  <si>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</si>
  <si>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</si>
  <si>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</si>
  <si>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</si>
  <si>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</si>
  <si>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</si>
  <si>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</si>
  <si>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</si>
  <si>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</si>
  <si>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</si>
  <si>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</si>
  <si>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</si>
  <si>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</si>
  <si>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</si>
  <si>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</si>
  <si>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</si>
  <si>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</si>
  <si>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</si>
  <si>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</si>
  <si>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</si>
  <si>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</si>
  <si>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</si>
  <si>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</si>
  <si>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</si>
  <si>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</si>
  <si>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</si>
  <si>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</si>
  <si>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</si>
  <si>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</si>
  <si>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</si>
  <si>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</si>
  <si>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</si>
  <si>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</si>
  <si>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</si>
  <si>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</si>
  <si>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</si>
  <si>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</si>
  <si>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</si>
  <si>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</si>
  <si>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</si>
  <si>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</si>
  <si>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</si>
  <si>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</si>
  <si>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</si>
  <si>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</si>
  <si>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</si>
  <si>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</si>
  <si>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</si>
  <si>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</si>
  <si>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</si>
  <si>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</si>
  <si>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</si>
  <si>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</si>
  <si>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</si>
  <si>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</si>
  <si>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</si>
  <si>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</si>
  <si>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</si>
  <si>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</si>
  <si>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</si>
  <si>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</si>
  <si>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</si>
  <si>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</si>
  <si>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</si>
  <si>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</si>
  <si>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</si>
  <si>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</si>
  <si>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</si>
  <si>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</si>
  <si>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</si>
  <si>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</si>
  <si>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</si>
  <si>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</si>
  <si>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</si>
  <si>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</si>
  <si>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</si>
  <si>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</si>
  <si>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</si>
  <si>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</si>
  <si>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</si>
  <si>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</si>
  <si>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</si>
  <si>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</si>
  <si>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</si>
  <si>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</si>
  <si>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</si>
  <si>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</si>
  <si>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</si>
  <si>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</si>
  <si>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</si>
  <si>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</si>
  <si>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</si>
  <si>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</si>
  <si>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</si>
  <si>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</si>
  <si>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</si>
  <si>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</si>
  <si>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</si>
  <si>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</si>
  <si>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</si>
  <si>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</si>
  <si>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</si>
  <si>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</si>
  <si>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</si>
  <si>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</si>
  <si>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</si>
  <si>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</si>
  <si>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</si>
  <si>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</si>
  <si>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</si>
  <si>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</si>
  <si>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</si>
  <si>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</si>
  <si>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</si>
  <si>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</si>
  <si>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</si>
  <si>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</si>
  <si>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</si>
  <si>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</si>
  <si>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</si>
  <si>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</si>
  <si>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</si>
  <si>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</si>
  <si>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</si>
  <si>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</si>
  <si>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</si>
  <si>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</si>
  <si>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</si>
  <si>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</si>
  <si>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</si>
  <si>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</si>
  <si>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</si>
  <si>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</si>
  <si>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</si>
  <si>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</si>
  <si>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</si>
  <si>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</si>
  <si>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</si>
  <si>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</si>
  <si>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</si>
  <si>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</si>
  <si>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</si>
  <si>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</si>
  <si>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</si>
  <si>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</si>
  <si>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</si>
  <si>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</si>
  <si>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</si>
  <si>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</si>
  <si>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</si>
  <si>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</si>
  <si>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</si>
  <si>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</si>
  <si>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</si>
  <si>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</si>
  <si>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</si>
  <si>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</si>
  <si>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</si>
  <si>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</si>
  <si>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</si>
  <si>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</si>
  <si>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</si>
  <si>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</si>
  <si>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</si>
  <si>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</si>
  <si>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</si>
  <si>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</si>
  <si>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</si>
  <si>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</si>
  <si>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</si>
  <si>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</si>
  <si>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</si>
  <si>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</si>
  <si>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</si>
  <si>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</si>
  <si>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</si>
  <si>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</si>
  <si>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</si>
  <si>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</si>
  <si>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</si>
  <si>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</si>
  <si>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</si>
  <si>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</si>
  <si>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</si>
  <si>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</si>
  <si>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</si>
  <si>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</si>
  <si>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</si>
  <si>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</si>
  <si>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</si>
  <si>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gacha_settle_tables_</t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</si>
  <si>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</si>
  <si>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</si>
  <si>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</si>
  <si>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</si>
  <si>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</si>
  <si>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</si>
  <si>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</si>
  <si>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</si>
  <si>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</si>
  <si>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</si>
  <si>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</si>
  <si>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</si>
  <si>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</si>
  <si>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</si>
  <si>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</si>
  <si>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</si>
  <si>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</si>
  <si>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</si>
  <si>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</si>
  <si>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</si>
  <si>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</si>
  <si>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</si>
  <si>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</si>
  <si>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</si>
  <si>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</si>
  <si>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</si>
  <si>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</si>
  <si>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</si>
  <si>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</si>
  <si>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</si>
  <si>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</si>
  <si>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</si>
  <si>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</si>
  <si>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</si>
  <si>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</si>
  <si>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tables_settle_364100</t>
    <phoneticPr fontId="20"/>
  </si>
  <si>
    <t>skip</t>
    <phoneticPr fontId="20"/>
  </si>
  <si>
    <t>tables_387010</t>
    <phoneticPr fontId="20"/>
  </si>
  <si>
    <t>tables_387100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</si>
</sst>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98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4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3" fillId="4" borderId="1" xfId="2978" applyFont="1" applyFill="1" applyBorder="1"/>
    <xf numFmtId="0" fontId="25" fillId="33" borderId="1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0" fontId="2" fillId="0" borderId="1" xfId="3036" applyFont="1" applyBorder="1"/>
    <xf numFmtId="0" fontId="26" fillId="25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源義経（牛若丸）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214</v>
      </c>
      <c r="K40" s="84" t="s">
        <v>190</v>
      </c>
      <c r="M40" s="84" t="s">
        <v>239</v>
      </c>
    </row>
    <row r="41" spans="1:13" x14ac:dyDescent="0.15">
      <c r="J41" s="84" t="s">
        <v>215</v>
      </c>
      <c r="K41" s="84" t="s">
        <v>216</v>
      </c>
      <c r="M41" s="66" t="s">
        <v>185</v>
      </c>
    </row>
    <row r="42" spans="1:13" x14ac:dyDescent="0.15">
      <c r="J42" s="84" t="s">
        <v>217</v>
      </c>
      <c r="K42" s="84" t="s">
        <v>218</v>
      </c>
    </row>
    <row r="43" spans="1:13" x14ac:dyDescent="0.15">
      <c r="J43" s="84" t="s">
        <v>219</v>
      </c>
      <c r="K43" s="84" t="s">
        <v>220</v>
      </c>
    </row>
    <row r="44" spans="1:13" x14ac:dyDescent="0.15">
      <c r="J44" s="84" t="s">
        <v>221</v>
      </c>
      <c r="K44" s="84" t="s">
        <v>222</v>
      </c>
    </row>
    <row r="45" spans="1:13" x14ac:dyDescent="0.15">
      <c r="J45" s="84" t="s">
        <v>223</v>
      </c>
      <c r="K45" s="84" t="s">
        <v>224</v>
      </c>
    </row>
    <row r="46" spans="1:13" x14ac:dyDescent="0.15">
      <c r="J46" s="84" t="s">
        <v>225</v>
      </c>
      <c r="K46" s="84" t="s">
        <v>226</v>
      </c>
    </row>
    <row r="47" spans="1:13" x14ac:dyDescent="0.15">
      <c r="J47" s="84" t="s">
        <v>227</v>
      </c>
      <c r="K47" s="84" t="s">
        <v>231</v>
      </c>
    </row>
    <row r="48" spans="1:13" x14ac:dyDescent="0.15">
      <c r="J48" s="84" t="s">
        <v>228</v>
      </c>
      <c r="K48" s="84" t="s">
        <v>232</v>
      </c>
    </row>
    <row r="49" spans="10:11" x14ac:dyDescent="0.15">
      <c r="J49" s="84" t="s">
        <v>229</v>
      </c>
      <c r="K49" s="84" t="s">
        <v>233</v>
      </c>
    </row>
    <row r="50" spans="10:11" x14ac:dyDescent="0.15">
      <c r="J50" s="84" t="s">
        <v>230</v>
      </c>
      <c r="K50" s="84" t="s">
        <v>234</v>
      </c>
    </row>
    <row r="51" spans="10:11" x14ac:dyDescent="0.15">
      <c r="J51" s="84" t="s">
        <v>236</v>
      </c>
      <c r="K51" s="84" t="s">
        <v>235</v>
      </c>
    </row>
    <row r="52" spans="10:11" x14ac:dyDescent="0.15">
      <c r="J52" s="84" t="s">
        <v>237</v>
      </c>
      <c r="K52" s="84" t="s">
        <v>238</v>
      </c>
    </row>
    <row r="53" spans="10:11" x14ac:dyDescent="0.15">
      <c r="J53" s="84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E3" sqref="E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3" t="s">
        <v>248</v>
      </c>
      <c r="B2" s="61" t="s">
        <v>110</v>
      </c>
      <c r="C2" s="50" t="str">
        <f t="shared" ref="C2" si="0">RIGHT(F2,6)</f>
        <v>387100</v>
      </c>
      <c r="D2" s="19" t="s">
        <v>45</v>
      </c>
      <c r="E2" s="17" t="str">
        <f t="shared" ref="E2" si="1">B2&amp;C2&amp;D2</f>
        <v>gacha_select_tables_387100.tmp</v>
      </c>
      <c r="F2" s="97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248</v>
      </c>
      <c r="B3" s="61" t="s">
        <v>110</v>
      </c>
      <c r="C3" s="50" t="str">
        <f t="shared" ref="C3:C7" si="2">RIGHT(F3,6)</f>
        <v>387010</v>
      </c>
      <c r="D3" s="19" t="s">
        <v>45</v>
      </c>
      <c r="E3" s="17" t="str">
        <f t="shared" ref="E3:E10" si="3">B3&amp;C3&amp;D3</f>
        <v>gacha_select_tables_387010.tmp</v>
      </c>
      <c r="F3" s="97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250</v>
      </c>
      <c r="B4" s="77" t="s">
        <v>213</v>
      </c>
      <c r="C4" s="50" t="str">
        <f t="shared" si="2"/>
        <v>364100</v>
      </c>
      <c r="D4" s="19" t="s">
        <v>45</v>
      </c>
      <c r="E4" s="17" t="str">
        <f t="shared" ref="E4:E7" si="4">B4&amp;C4&amp;D4</f>
        <v>gacha_settle_tables_364100.tmp</v>
      </c>
      <c r="F4" s="94" t="s">
        <v>249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8" t="s">
        <v>242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1" t="s">
        <v>245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8" t="s">
        <v>242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1" t="s">
        <v>246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8" t="s">
        <v>242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1" t="s">
        <v>247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8" t="s">
        <v>242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8" t="s">
        <v>242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8" t="s">
        <v>242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L3" sqref="L3:L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770</v>
      </c>
      <c r="M3" s="37" t="str">
        <f>VLOOKUP(L3,[1]characters!$A:$C,3,FALSE)</f>
        <v>ハヅル</v>
      </c>
      <c r="N3" s="63">
        <v>5.0000000000000001E-3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VLOOKUP(L3,tables_387010!B:C,2,FALSE)</f>
        <v>PremiumSS4</v>
      </c>
      <c r="R3" s="62">
        <f t="shared" ref="R3:R20" si="1">N3*A$36</f>
        <v>172000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771</v>
      </c>
      <c r="M4" s="37" t="str">
        <f>VLOOKUP(L4,[1]characters!$A:$C,3,FALSE)</f>
        <v>天織羽鶴 ハヅル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VLOOKUP(L4,tables_387010!B:C,2,FALSE)</f>
        <v>PremiumSS5</v>
      </c>
      <c r="R4" s="62">
        <f t="shared" si="1"/>
        <v>516000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2.5000000000000006E-4</v>
      </c>
      <c r="F5">
        <f>(COUNTIF(tables_387010!C:C,input_387010!A28)+COUNTIF(tables_387010!C:C,input_387010!A29))</f>
        <v>42</v>
      </c>
      <c r="H5" s="85">
        <v>0.04</v>
      </c>
      <c r="I5" s="31">
        <v>2</v>
      </c>
      <c r="L5" s="96">
        <v>772</v>
      </c>
      <c r="M5" s="37" t="str">
        <f>VLOOKUP(L5,[1]characters!$A:$C,3,FALSE)</f>
        <v>イナバ</v>
      </c>
      <c r="N5" s="63">
        <v>5.0000000000000001E-3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VLOOKUP(L5,tables_387010!B:C,2,FALSE)</f>
        <v>PremiumSS4</v>
      </c>
      <c r="R5" s="62">
        <f t="shared" si="1"/>
        <v>172000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1.1046511627906977E-2</v>
      </c>
      <c r="F6">
        <f>(COUNTIF(tables_387010!C:C,input_387010!A25)+COUNTIF(tables_387010!C:C,input_387010!A18)+COUNTIF(tables_387010!C:C,input_387010!A20)+COUNTIF(tables_387010!C:C,input_387010!A22))</f>
        <v>86</v>
      </c>
      <c r="H6" s="90">
        <v>0</v>
      </c>
      <c r="I6" s="31">
        <v>0</v>
      </c>
      <c r="L6" s="60">
        <v>773</v>
      </c>
      <c r="M6" s="37" t="str">
        <f>VLOOKUP(L6,[1]characters!$A:$C,3,FALSE)</f>
        <v>浮跳天兎 イナバ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VLOOKUP(L6,tables_387010!B:C,2,FALSE)</f>
        <v>PremiumSS5</v>
      </c>
      <c r="R6" s="62">
        <f t="shared" si="1"/>
        <v>516000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VLOOKUP(L7,tables_387010!B:C,2,FALSE)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244</v>
      </c>
      <c r="L11" s="89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0.01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0.19069767441860466</v>
      </c>
      <c r="C17" s="86">
        <f t="shared" ref="C17:C31" si="2">SUMIF(Q:Q,A17,N:N)</f>
        <v>0</v>
      </c>
      <c r="D17" s="74">
        <f t="shared" ref="D17:D32" si="3">B17-C17</f>
        <v>0.19069767441860466</v>
      </c>
      <c r="E17">
        <f>COUNTIF(tables_387010!C:C,input_387010!A17)-COUNTIF(Q:Q,A17)</f>
        <v>20</v>
      </c>
      <c r="F17" s="43">
        <f>IFERROR(B17/E17,0)</f>
        <v>9.5348837209302331E-3</v>
      </c>
      <c r="G17">
        <f t="shared" ref="G17:G31" si="4">A$36*B17</f>
        <v>6560000</v>
      </c>
      <c r="H17">
        <f t="shared" ref="H17:H31" si="5">IFERROR(ROUND(G17/E17,5),0)</f>
        <v>328000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3.0232558139534876E-2</v>
      </c>
      <c r="C18" s="86">
        <f t="shared" si="2"/>
        <v>0</v>
      </c>
      <c r="D18" s="74">
        <f t="shared" si="3"/>
        <v>3.0232558139534876E-2</v>
      </c>
      <c r="E18">
        <f>COUNTIF(tables_387010!C:C,input_387010!A18)-COUNTIF(Q:Q,A18)</f>
        <v>20</v>
      </c>
      <c r="F18" s="43">
        <f>IFERROR(B18/E18,0)</f>
        <v>1.5116279069767439E-3</v>
      </c>
      <c r="G18">
        <f t="shared" si="4"/>
        <v>1039999.9999999998</v>
      </c>
      <c r="H18">
        <f t="shared" si="5"/>
        <v>52000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0.28720930232558139</v>
      </c>
      <c r="C19" s="86">
        <f t="shared" si="2"/>
        <v>0</v>
      </c>
      <c r="D19" s="74">
        <f t="shared" si="3"/>
        <v>0.28720930232558139</v>
      </c>
      <c r="E19">
        <f>COUNTIF(tables_387010!C:C,input_387010!A19)-COUNTIF(Q:Q,A19)</f>
        <v>52</v>
      </c>
      <c r="F19" s="43">
        <f t="shared" ref="F19:F31" si="8">IFERROR(B19/E19,0)</f>
        <v>5.5232558139534883E-3</v>
      </c>
      <c r="G19">
        <f t="shared" si="4"/>
        <v>9880000</v>
      </c>
      <c r="H19">
        <f t="shared" si="5"/>
        <v>190000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0.25848837209302328</v>
      </c>
      <c r="C20" s="86">
        <f t="shared" si="2"/>
        <v>0</v>
      </c>
      <c r="D20" s="74">
        <f t="shared" si="3"/>
        <v>0.25848837209302328</v>
      </c>
      <c r="E20">
        <f>COUNTIF(tables_387010!C:C,input_387010!A20)-COUNTIF(Q:Q,A20)</f>
        <v>52</v>
      </c>
      <c r="F20" s="43">
        <f t="shared" si="8"/>
        <v>4.9709302325581396E-3</v>
      </c>
      <c r="G20">
        <f t="shared" si="4"/>
        <v>8892000</v>
      </c>
      <c r="H20">
        <f t="shared" si="5"/>
        <v>171000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2.8720930232558142E-2</v>
      </c>
      <c r="C21" s="86">
        <f t="shared" si="2"/>
        <v>0</v>
      </c>
      <c r="D21" s="74">
        <f t="shared" si="3"/>
        <v>2.8720930232558142E-2</v>
      </c>
      <c r="E21">
        <f>COUNTIF(tables_387010!C:C,input_387010!A21)-COUNTIF(Q:Q,A21)</f>
        <v>52</v>
      </c>
      <c r="F21" s="43">
        <f t="shared" si="8"/>
        <v>5.5232558139534885E-4</v>
      </c>
      <c r="G21">
        <f t="shared" si="4"/>
        <v>988000.00000000012</v>
      </c>
      <c r="H21">
        <f t="shared" si="5"/>
        <v>19000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9.5220348837209312E-2</v>
      </c>
      <c r="C22" s="86">
        <f t="shared" si="2"/>
        <v>0</v>
      </c>
      <c r="D22" s="74">
        <f t="shared" si="3"/>
        <v>9.5220348837209312E-2</v>
      </c>
      <c r="E22">
        <f>COUNTIF(tables_387010!C:C,input_387010!A22)-COUNTIF(Q:Q,A22)</f>
        <v>10</v>
      </c>
      <c r="F22" s="43">
        <f t="shared" si="8"/>
        <v>9.5220348837209319E-3</v>
      </c>
      <c r="G22">
        <f t="shared" si="4"/>
        <v>3275580.0000000005</v>
      </c>
      <c r="H22">
        <f t="shared" si="5"/>
        <v>327558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1.5244767441860461E-2</v>
      </c>
      <c r="C23" s="86">
        <f t="shared" si="2"/>
        <v>0</v>
      </c>
      <c r="D23" s="74">
        <f t="shared" si="3"/>
        <v>1.5244767441860461E-2</v>
      </c>
      <c r="E23">
        <f>COUNTIF(tables_387010!C:C,input_387010!A23)-COUNTIF(Q:Q,A23)</f>
        <v>10</v>
      </c>
      <c r="F23" s="43">
        <f t="shared" si="8"/>
        <v>1.524476744186046E-3</v>
      </c>
      <c r="G23">
        <f t="shared" si="4"/>
        <v>524419.99999999988</v>
      </c>
      <c r="H23">
        <f t="shared" si="5"/>
        <v>52442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2.2093023255813953E-2</v>
      </c>
      <c r="C24" s="86">
        <f t="shared" si="2"/>
        <v>0</v>
      </c>
      <c r="D24" s="74">
        <f t="shared" si="3"/>
        <v>2.2093023255813953E-2</v>
      </c>
      <c r="E24">
        <f>COUNTIF(tables_387010!C:C,input_387010!A24)-COUNTIF(Q:Q,A24)</f>
        <v>4</v>
      </c>
      <c r="F24" s="43">
        <f t="shared" si="8"/>
        <v>5.5232558139534883E-3</v>
      </c>
      <c r="G24">
        <f t="shared" si="4"/>
        <v>760000</v>
      </c>
      <c r="H24">
        <f t="shared" si="5"/>
        <v>190000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1.9883720930232558E-2</v>
      </c>
      <c r="C25" s="86">
        <f t="shared" si="2"/>
        <v>0</v>
      </c>
      <c r="D25" s="74">
        <f t="shared" si="3"/>
        <v>1.9883720930232558E-2</v>
      </c>
      <c r="E25">
        <f>COUNTIF(tables_387010!C:C,input_387010!A25)-COUNTIF(Q:Q,A25)</f>
        <v>4</v>
      </c>
      <c r="F25" s="43">
        <f t="shared" si="8"/>
        <v>4.9709302325581396E-3</v>
      </c>
      <c r="G25">
        <f t="shared" si="4"/>
        <v>684000</v>
      </c>
      <c r="H25">
        <f t="shared" si="5"/>
        <v>171000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2.2093023255813954E-3</v>
      </c>
      <c r="C26" s="86">
        <f t="shared" si="2"/>
        <v>0</v>
      </c>
      <c r="D26" s="74">
        <f t="shared" si="3"/>
        <v>2.2093023255813954E-3</v>
      </c>
      <c r="E26">
        <f>COUNTIF(tables_387010!C:C,input_387010!A26)-COUNTIF(Q:Q,A26)</f>
        <v>4</v>
      </c>
      <c r="F26" s="43">
        <f t="shared" si="8"/>
        <v>5.5232558139534885E-4</v>
      </c>
      <c r="G26">
        <f t="shared" si="4"/>
        <v>76000</v>
      </c>
      <c r="H26">
        <f t="shared" si="5"/>
        <v>19000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6.1750000000000008E-3</v>
      </c>
      <c r="C27" s="86">
        <f t="shared" si="2"/>
        <v>0.01</v>
      </c>
      <c r="D27" s="74">
        <f t="shared" si="3"/>
        <v>-3.8249999999999994E-3</v>
      </c>
      <c r="E27">
        <f>COUNTIF(tables_387010!C:C,input_387010!A27)-COUNTIF(Q:Q,A27)</f>
        <v>26</v>
      </c>
      <c r="F27" s="43">
        <f>IFERROR(B27/E27,0)</f>
        <v>2.3750000000000003E-4</v>
      </c>
      <c r="G27">
        <f t="shared" si="4"/>
        <v>212420.00000000003</v>
      </c>
      <c r="H27">
        <f t="shared" si="5"/>
        <v>8170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3.2500000000000009E-4</v>
      </c>
      <c r="C28" s="86">
        <f t="shared" si="2"/>
        <v>0.03</v>
      </c>
      <c r="D28" s="74">
        <f t="shared" si="3"/>
        <v>-2.9675E-2</v>
      </c>
      <c r="E28">
        <f>COUNTIF(tables_387010!C:C,input_387010!A28)-COUNTIF(Q:Q,A28)</f>
        <v>26</v>
      </c>
      <c r="F28" s="43">
        <f t="shared" si="8"/>
        <v>1.2500000000000004E-5</v>
      </c>
      <c r="G28">
        <f t="shared" si="4"/>
        <v>11180.000000000004</v>
      </c>
      <c r="H28">
        <f t="shared" si="5"/>
        <v>430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3.5000000000000009E-3</v>
      </c>
      <c r="C29" s="86">
        <f t="shared" si="2"/>
        <v>0</v>
      </c>
      <c r="D29" s="74">
        <f t="shared" si="3"/>
        <v>3.5000000000000009E-3</v>
      </c>
      <c r="E29">
        <f>COUNTIF(tables_387010!C:C,input_387010!A29)-COUNTIF(Q:Q,A29)</f>
        <v>14</v>
      </c>
      <c r="F29" s="43">
        <f t="shared" si="8"/>
        <v>2.5000000000000006E-4</v>
      </c>
      <c r="G29">
        <f t="shared" si="4"/>
        <v>120400.00000000003</v>
      </c>
      <c r="H29">
        <f t="shared" si="5"/>
        <v>8600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COUNTIF(tables_387010!C:C,input_387010!A30)-COUNTIF(Q:Q,A30)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COUNTIF(tables_387010!C:C,input_387010!A31)-COUNTIF(Q:Q,A31)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0.96000000000000019</v>
      </c>
      <c r="C32" s="41">
        <f>SUM(C19:C31)</f>
        <v>0.04</v>
      </c>
      <c r="D32" s="42">
        <f t="shared" si="3"/>
        <v>0.92000000000000015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LCM(F5-I5,F6-I6)*1000*2*2*5</f>
        <v>34400000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SUMIF(tables_387010!C:C,input_387010!A40,tables_387010!O:O)</f>
        <v>9880000</v>
      </c>
      <c r="C40" s="54">
        <f t="shared" ref="C40:C46" ca="1" si="9">B40/B$47</f>
        <v>0.46255547856701434</v>
      </c>
      <c r="E40">
        <v>3</v>
      </c>
      <c r="F40">
        <f ca="1">SUMIF(tables_387010!J:J,input_387010!E40,tables_387010!O:O)</f>
        <v>17200000</v>
      </c>
      <c r="G40">
        <f ca="1">F40/A36</f>
        <v>0.5</v>
      </c>
    </row>
    <row r="41" spans="1:7" x14ac:dyDescent="0.15">
      <c r="A41" s="33" t="s">
        <v>104</v>
      </c>
      <c r="B41">
        <f ca="1">SUMIF(tables_387010!C:C,input_387010!A41,tables_387010!O:O)</f>
        <v>8892000</v>
      </c>
      <c r="C41" s="54">
        <f t="shared" ca="1" si="9"/>
        <v>0.4162999307103129</v>
      </c>
      <c r="E41">
        <v>4</v>
      </c>
      <c r="F41">
        <f ca="1">SUMIF(tables_387010!J:J,input_387010!E41,tables_387010!O:O)</f>
        <v>14448000</v>
      </c>
      <c r="G41">
        <f ca="1">F41/A36</f>
        <v>0.42</v>
      </c>
    </row>
    <row r="42" spans="1:7" x14ac:dyDescent="0.15">
      <c r="A42" s="33" t="s">
        <v>106</v>
      </c>
      <c r="B42">
        <f ca="1">SUMIF(tables_387010!C:C,input_387010!A42,tables_387010!O:O)</f>
        <v>556420</v>
      </c>
      <c r="C42" s="54">
        <f t="shared" ca="1" si="9"/>
        <v>2.6050113298001835E-2</v>
      </c>
      <c r="E42">
        <v>5</v>
      </c>
      <c r="F42">
        <f ca="1">SUMIF(tables_387010!J:J,input_387010!E42,tables_387010!O:O)</f>
        <v>2752000</v>
      </c>
      <c r="G42">
        <f ca="1">F42/A36</f>
        <v>0.08</v>
      </c>
    </row>
    <row r="43" spans="1:7" x14ac:dyDescent="0.15">
      <c r="A43" s="33" t="s">
        <v>109</v>
      </c>
      <c r="B43">
        <f>SUMIF(tables_387010!C:C,input_387010!A43,tables_387010!O:O)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SUMIF(tables_387010!C:C,input_387010!A44,tables_387010!O:O)</f>
        <v>988000</v>
      </c>
      <c r="C44" s="54">
        <f t="shared" ca="1" si="9"/>
        <v>4.6255547856701433E-2</v>
      </c>
      <c r="E44" t="s">
        <v>54</v>
      </c>
      <c r="F44" s="55"/>
    </row>
    <row r="45" spans="1:7" x14ac:dyDescent="0.15">
      <c r="A45" s="33" t="s">
        <v>107</v>
      </c>
      <c r="B45">
        <f ca="1">SUMIF(tables_387010!C:C,input_387010!A45,tables_387010!O:O)</f>
        <v>1043180</v>
      </c>
      <c r="C45" s="54">
        <f t="shared" ca="1" si="9"/>
        <v>4.8838929567969439E-2</v>
      </c>
      <c r="E45" t="s">
        <v>204</v>
      </c>
      <c r="F45" s="55">
        <f ca="1">SUMIF(tables_387010!I:I,input_387010!E45,tables_387010!P:P)</f>
        <v>0.22093023255813943</v>
      </c>
    </row>
    <row r="46" spans="1:7" x14ac:dyDescent="0.15">
      <c r="A46" s="33" t="s">
        <v>108</v>
      </c>
      <c r="B46">
        <f>SUMIF(tables_387010!C:C,input_387010!A46,tables_387010!O:O)</f>
        <v>0</v>
      </c>
      <c r="C46" s="54">
        <f t="shared" ca="1" si="9"/>
        <v>0</v>
      </c>
      <c r="E46" t="s">
        <v>205</v>
      </c>
      <c r="F46" s="55">
        <f ca="1">SUMIF(tables_387010!I:I,input_387010!E46,tables_387010!P:P)</f>
        <v>0.22093023255813965</v>
      </c>
    </row>
    <row r="47" spans="1:7" x14ac:dyDescent="0.15">
      <c r="A47" s="39" t="s">
        <v>59</v>
      </c>
      <c r="B47">
        <f ca="1">SUM(B40:B46)</f>
        <v>21359600</v>
      </c>
      <c r="C47" s="55">
        <f ca="1">SUM(C40:C46)</f>
        <v>1</v>
      </c>
      <c r="E47" t="s">
        <v>206</v>
      </c>
      <c r="F47" s="55">
        <f ca="1">SUMIF(tables_387010!I:I,input_387010!E47,tables_387010!P:P)</f>
        <v>0.50813953488372055</v>
      </c>
    </row>
    <row r="48" spans="1:7" x14ac:dyDescent="0.15">
      <c r="E48" t="s">
        <v>207</v>
      </c>
      <c r="F48" s="55">
        <f ca="1">SUMIF(tables_387010!I:I,input_387010!E48,tables_387010!P:P)</f>
        <v>0.05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79" activePane="bottomLeft" state="frozen"/>
      <selection activeCell="H276" sqref="H276"/>
      <selection pane="bottomLeft" activeCell="B295" sqref="B295:B29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input_387010!A$2</f>
        <v>387010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IFERROR(VLOOKUP(B2,input_387010!L:R,7,FALSE),VLOOKUP(tables_387010!C2,input_387010!A:H,8,FALSE))</f>
        <v>328000</v>
      </c>
      <c r="P2" s="46">
        <f t="shared" ref="P2:P65" ca="1" si="2">O2/SUM(O:O)</f>
        <v>9.5348837209302331E-3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input_387010!A$2</f>
        <v>387010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IFERROR(VLOOKUP(B3,input_387010!L:R,7,FALSE),VLOOKUP(tables_387010!C3,input_387010!A:H,8,FALSE))</f>
        <v>52000</v>
      </c>
      <c r="P3" s="46">
        <f t="shared" ca="1" si="2"/>
        <v>1.5116279069767441E-3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input_387010!A$2</f>
        <v>387010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IFERROR(VLOOKUP(B4,input_387010!L:R,7,FALSE),VLOOKUP(tables_387010!C4,input_387010!A:H,8,FALSE))</f>
        <v>328000</v>
      </c>
      <c r="P4" s="46">
        <f t="shared" ca="1" si="2"/>
        <v>9.5348837209302331E-3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input_387010!A$2</f>
        <v>387010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IFERROR(VLOOKUP(B5,input_387010!L:R,7,FALSE),VLOOKUP(tables_387010!C5,input_387010!A:H,8,FALSE))</f>
        <v>52000</v>
      </c>
      <c r="P5" s="46">
        <f t="shared" ca="1" si="2"/>
        <v>1.5116279069767441E-3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input_387010!A$2</f>
        <v>387010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IFERROR(VLOOKUP(B6,input_387010!L:R,7,FALSE),VLOOKUP(tables_387010!C6,input_387010!A:H,8,FALSE))</f>
        <v>328000</v>
      </c>
      <c r="P6" s="46">
        <f t="shared" ca="1" si="2"/>
        <v>9.5348837209302331E-3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input_387010!A$2</f>
        <v>387010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IFERROR(VLOOKUP(B7,input_387010!L:R,7,FALSE),VLOOKUP(tables_387010!C7,input_387010!A:H,8,FALSE))</f>
        <v>52000</v>
      </c>
      <c r="P7" s="46">
        <f t="shared" ca="1" si="2"/>
        <v>1.5116279069767441E-3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input_387010!A$2</f>
        <v>387010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IFERROR(VLOOKUP(B8,input_387010!L:R,7,FALSE),VLOOKUP(tables_387010!C8,input_387010!A:H,8,FALSE))</f>
        <v>328000</v>
      </c>
      <c r="P8" s="46">
        <f t="shared" ca="1" si="2"/>
        <v>9.5348837209302331E-3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input_387010!A$2</f>
        <v>387010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IFERROR(VLOOKUP(B9,input_387010!L:R,7,FALSE),VLOOKUP(tables_387010!C9,input_387010!A:H,8,FALSE))</f>
        <v>52000</v>
      </c>
      <c r="P9" s="46">
        <f t="shared" ca="1" si="2"/>
        <v>1.5116279069767441E-3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input_387010!A$2</f>
        <v>387010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IFERROR(VLOOKUP(B10,input_387010!L:R,7,FALSE),VLOOKUP(tables_387010!C10,input_387010!A:H,8,FALSE))</f>
        <v>328000</v>
      </c>
      <c r="P10" s="46">
        <f t="shared" ca="1" si="2"/>
        <v>9.5348837209302331E-3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input_387010!A$2</f>
        <v>387010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IFERROR(VLOOKUP(B11,input_387010!L:R,7,FALSE),VLOOKUP(tables_387010!C11,input_387010!A:H,8,FALSE))</f>
        <v>52000</v>
      </c>
      <c r="P11" s="46">
        <f t="shared" ca="1" si="2"/>
        <v>1.5116279069767441E-3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input_387010!A$2</f>
        <v>387010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IFERROR(VLOOKUP(B12,input_387010!L:R,7,FALSE),VLOOKUP(tables_387010!C12,input_387010!A:H,8,FALSE))</f>
        <v>328000</v>
      </c>
      <c r="P12" s="46">
        <f t="shared" ca="1" si="2"/>
        <v>9.5348837209302331E-3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input_387010!A$2</f>
        <v>387010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IFERROR(VLOOKUP(B13,input_387010!L:R,7,FALSE),VLOOKUP(tables_387010!C13,input_387010!A:H,8,FALSE))</f>
        <v>52000</v>
      </c>
      <c r="P13" s="46">
        <f t="shared" ca="1" si="2"/>
        <v>1.5116279069767441E-3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input_387010!A$2</f>
        <v>387010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IFERROR(VLOOKUP(B14,input_387010!L:R,7,FALSE),VLOOKUP(tables_387010!C14,input_387010!A:H,8,FALSE))</f>
        <v>328000</v>
      </c>
      <c r="P14" s="46">
        <f t="shared" ca="1" si="2"/>
        <v>9.5348837209302331E-3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input_387010!A$2</f>
        <v>387010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IFERROR(VLOOKUP(B15,input_387010!L:R,7,FALSE),VLOOKUP(tables_387010!C15,input_387010!A:H,8,FALSE))</f>
        <v>52000</v>
      </c>
      <c r="P15" s="46">
        <f t="shared" ca="1" si="2"/>
        <v>1.5116279069767441E-3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input_387010!A$2</f>
        <v>387010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IFERROR(VLOOKUP(B16,input_387010!L:R,7,FALSE),VLOOKUP(tables_387010!C16,input_387010!A:H,8,FALSE))</f>
        <v>328000</v>
      </c>
      <c r="P16" s="46">
        <f t="shared" ca="1" si="2"/>
        <v>9.5348837209302331E-3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input_387010!A$2</f>
        <v>387010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IFERROR(VLOOKUP(B17,input_387010!L:R,7,FALSE),VLOOKUP(tables_387010!C17,input_387010!A:H,8,FALSE))</f>
        <v>52000</v>
      </c>
      <c r="P17" s="46">
        <f t="shared" ca="1" si="2"/>
        <v>1.5116279069767441E-3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input_387010!A$2</f>
        <v>387010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IFERROR(VLOOKUP(B18,input_387010!L:R,7,FALSE),VLOOKUP(tables_387010!C18,input_387010!A:H,8,FALSE))</f>
        <v>328000</v>
      </c>
      <c r="P18" s="46">
        <f t="shared" ca="1" si="2"/>
        <v>9.5348837209302331E-3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input_387010!A$2</f>
        <v>387010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IFERROR(VLOOKUP(B19,input_387010!L:R,7,FALSE),VLOOKUP(tables_387010!C19,input_387010!A:H,8,FALSE))</f>
        <v>52000</v>
      </c>
      <c r="P19" s="46">
        <f t="shared" ca="1" si="2"/>
        <v>1.5116279069767441E-3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input_387010!A$2</f>
        <v>387010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IFERROR(VLOOKUP(B20,input_387010!L:R,7,FALSE),VLOOKUP(tables_387010!C20,input_387010!A:H,8,FALSE))</f>
        <v>328000</v>
      </c>
      <c r="P20" s="46">
        <f t="shared" ca="1" si="2"/>
        <v>9.5348837209302331E-3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input_387010!A$2</f>
        <v>387010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IFERROR(VLOOKUP(B21,input_387010!L:R,7,FALSE),VLOOKUP(tables_387010!C21,input_387010!A:H,8,FALSE))</f>
        <v>52000</v>
      </c>
      <c r="P21" s="46">
        <f t="shared" ca="1" si="2"/>
        <v>1.5116279069767441E-3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input_387010!A$2</f>
        <v>387010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IFERROR(VLOOKUP(B22,input_387010!L:R,7,FALSE),VLOOKUP(tables_387010!C22,input_387010!A:H,8,FALSE))</f>
        <v>328000</v>
      </c>
      <c r="P22" s="46">
        <f t="shared" ca="1" si="2"/>
        <v>9.5348837209302331E-3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input_387010!A$2</f>
        <v>387010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IFERROR(VLOOKUP(B23,input_387010!L:R,7,FALSE),VLOOKUP(tables_387010!C23,input_387010!A:H,8,FALSE))</f>
        <v>52000</v>
      </c>
      <c r="P23" s="46">
        <f t="shared" ca="1" si="2"/>
        <v>1.5116279069767441E-3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input_387010!A$2</f>
        <v>387010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IFERROR(VLOOKUP(B24,input_387010!L:R,7,FALSE),VLOOKUP(tables_387010!C24,input_387010!A:H,8,FALSE))</f>
        <v>328000</v>
      </c>
      <c r="P24" s="46">
        <f t="shared" ca="1" si="2"/>
        <v>9.5348837209302331E-3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input_387010!A$2</f>
        <v>387010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IFERROR(VLOOKUP(B25,input_387010!L:R,7,FALSE),VLOOKUP(tables_387010!C25,input_387010!A:H,8,FALSE))</f>
        <v>52000</v>
      </c>
      <c r="P25" s="46">
        <f t="shared" ca="1" si="2"/>
        <v>1.5116279069767441E-3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input_387010!A$2</f>
        <v>387010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IFERROR(VLOOKUP(B26,input_387010!L:R,7,FALSE),VLOOKUP(tables_387010!C26,input_387010!A:H,8,FALSE))</f>
        <v>328000</v>
      </c>
      <c r="P26" s="46">
        <f t="shared" ca="1" si="2"/>
        <v>9.5348837209302331E-3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input_387010!A$2</f>
        <v>387010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IFERROR(VLOOKUP(B27,input_387010!L:R,7,FALSE),VLOOKUP(tables_387010!C27,input_387010!A:H,8,FALSE))</f>
        <v>52000</v>
      </c>
      <c r="P27" s="46">
        <f t="shared" ca="1" si="2"/>
        <v>1.5116279069767441E-3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input_387010!A$2</f>
        <v>387010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IFERROR(VLOOKUP(B28,input_387010!L:R,7,FALSE),VLOOKUP(tables_387010!C28,input_387010!A:H,8,FALSE))</f>
        <v>328000</v>
      </c>
      <c r="P28" s="46">
        <f t="shared" ca="1" si="2"/>
        <v>9.5348837209302331E-3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input_387010!A$2</f>
        <v>387010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IFERROR(VLOOKUP(B29,input_387010!L:R,7,FALSE),VLOOKUP(tables_387010!C29,input_387010!A:H,8,FALSE))</f>
        <v>52000</v>
      </c>
      <c r="P29" s="46">
        <f t="shared" ca="1" si="2"/>
        <v>1.5116279069767441E-3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input_387010!A$2</f>
        <v>387010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IFERROR(VLOOKUP(B30,input_387010!L:R,7,FALSE),VLOOKUP(tables_387010!C30,input_387010!A:H,8,FALSE))</f>
        <v>328000</v>
      </c>
      <c r="P30" s="46">
        <f t="shared" ca="1" si="2"/>
        <v>9.5348837209302331E-3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input_387010!A$2</f>
        <v>387010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IFERROR(VLOOKUP(B31,input_387010!L:R,7,FALSE),VLOOKUP(tables_387010!C31,input_387010!A:H,8,FALSE))</f>
        <v>52000</v>
      </c>
      <c r="P31" s="46">
        <f t="shared" ca="1" si="2"/>
        <v>1.5116279069767441E-3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input_387010!A$2</f>
        <v>387010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IFERROR(VLOOKUP(B32,input_387010!L:R,7,FALSE),VLOOKUP(tables_387010!C32,input_387010!A:H,8,FALSE))</f>
        <v>328000</v>
      </c>
      <c r="P32" s="46">
        <f t="shared" ca="1" si="2"/>
        <v>9.5348837209302331E-3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input_387010!A$2</f>
        <v>387010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IFERROR(VLOOKUP(B33,input_387010!L:R,7,FALSE),VLOOKUP(tables_387010!C33,input_387010!A:H,8,FALSE))</f>
        <v>52000</v>
      </c>
      <c r="P33" s="46">
        <f t="shared" ca="1" si="2"/>
        <v>1.5116279069767441E-3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input_387010!A$2</f>
        <v>387010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IFERROR(VLOOKUP(B34,input_387010!L:R,7,FALSE),VLOOKUP(tables_387010!C34,input_387010!A:H,8,FALSE))</f>
        <v>328000</v>
      </c>
      <c r="P34" s="46">
        <f t="shared" ca="1" si="2"/>
        <v>9.5348837209302331E-3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input_387010!A$2</f>
        <v>387010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IFERROR(VLOOKUP(B35,input_387010!L:R,7,FALSE),VLOOKUP(tables_387010!C35,input_387010!A:H,8,FALSE))</f>
        <v>52000</v>
      </c>
      <c r="P35" s="46">
        <f t="shared" ca="1" si="2"/>
        <v>1.5116279069767441E-3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input_387010!A$2</f>
        <v>387010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IFERROR(VLOOKUP(B36,input_387010!L:R,7,FALSE),VLOOKUP(tables_387010!C36,input_387010!A:H,8,FALSE))</f>
        <v>328000</v>
      </c>
      <c r="P36" s="46">
        <f t="shared" ca="1" si="2"/>
        <v>9.5348837209302331E-3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input_387010!A$2</f>
        <v>387010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IFERROR(VLOOKUP(B37,input_387010!L:R,7,FALSE),VLOOKUP(tables_387010!C37,input_387010!A:H,8,FALSE))</f>
        <v>52000</v>
      </c>
      <c r="P37" s="46">
        <f t="shared" ca="1" si="2"/>
        <v>1.5116279069767441E-3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input_387010!A$2</f>
        <v>387010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IFERROR(VLOOKUP(B38,input_387010!L:R,7,FALSE),VLOOKUP(tables_387010!C38,input_387010!A:H,8,FALSE))</f>
        <v>328000</v>
      </c>
      <c r="P38" s="46">
        <f t="shared" ca="1" si="2"/>
        <v>9.5348837209302331E-3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input_387010!A$2</f>
        <v>387010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IFERROR(VLOOKUP(B39,input_387010!L:R,7,FALSE),VLOOKUP(tables_387010!C39,input_387010!A:H,8,FALSE))</f>
        <v>52000</v>
      </c>
      <c r="P39" s="46">
        <f t="shared" ca="1" si="2"/>
        <v>1.5116279069767441E-3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input_387010!A$2</f>
        <v>387010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IFERROR(VLOOKUP(B40,input_387010!L:R,7,FALSE),VLOOKUP(tables_387010!C40,input_387010!A:H,8,FALSE))</f>
        <v>328000</v>
      </c>
      <c r="P40" s="46">
        <f t="shared" ca="1" si="2"/>
        <v>9.5348837209302331E-3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input_387010!A$2</f>
        <v>387010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IFERROR(VLOOKUP(B41,input_387010!L:R,7,FALSE),VLOOKUP(tables_387010!C41,input_387010!A:H,8,FALSE))</f>
        <v>52000</v>
      </c>
      <c r="P41" s="46">
        <f t="shared" ca="1" si="2"/>
        <v>1.5116279069767441E-3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input_387010!A$2</f>
        <v>387010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IFERROR(VLOOKUP(B42,input_387010!L:R,7,FALSE),VLOOKUP(tables_387010!C42,input_387010!A:H,8,FALSE))</f>
        <v>190000</v>
      </c>
      <c r="P42" s="46">
        <f t="shared" ca="1" si="2"/>
        <v>5.5232558139534883E-3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input_387010!A$2</f>
        <v>387010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IFERROR(VLOOKUP(B43,input_387010!L:R,7,FALSE),VLOOKUP(tables_387010!C43,input_387010!A:H,8,FALSE))</f>
        <v>171000</v>
      </c>
      <c r="P43" s="46">
        <f t="shared" ca="1" si="2"/>
        <v>4.9709302325581396E-3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input_387010!A$2</f>
        <v>387010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IFERROR(VLOOKUP(B44,input_387010!L:R,7,FALSE),VLOOKUP(tables_387010!C44,input_387010!A:H,8,FALSE))</f>
        <v>19000</v>
      </c>
      <c r="P44" s="46">
        <f t="shared" ca="1" si="2"/>
        <v>5.5232558139534885E-4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input_387010!A$2</f>
        <v>387010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IFERROR(VLOOKUP(B45,input_387010!L:R,7,FALSE),VLOOKUP(tables_387010!C45,input_387010!A:H,8,FALSE))</f>
        <v>190000</v>
      </c>
      <c r="P45" s="46">
        <f t="shared" ca="1" si="2"/>
        <v>5.5232558139534883E-3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input_387010!A$2</f>
        <v>387010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IFERROR(VLOOKUP(B46,input_387010!L:R,7,FALSE),VLOOKUP(tables_387010!C46,input_387010!A:H,8,FALSE))</f>
        <v>171000</v>
      </c>
      <c r="P46" s="46">
        <f t="shared" ca="1" si="2"/>
        <v>4.9709302325581396E-3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input_387010!A$2</f>
        <v>387010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IFERROR(VLOOKUP(B47,input_387010!L:R,7,FALSE),VLOOKUP(tables_387010!C47,input_387010!A:H,8,FALSE))</f>
        <v>19000</v>
      </c>
      <c r="P47" s="46">
        <f t="shared" ca="1" si="2"/>
        <v>5.5232558139534885E-4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input_387010!A$2</f>
        <v>387010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IFERROR(VLOOKUP(B48,input_387010!L:R,7,FALSE),VLOOKUP(tables_387010!C48,input_387010!A:H,8,FALSE))</f>
        <v>190000</v>
      </c>
      <c r="P48" s="46">
        <f t="shared" ca="1" si="2"/>
        <v>5.5232558139534883E-3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input_387010!A$2</f>
        <v>387010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IFERROR(VLOOKUP(B49,input_387010!L:R,7,FALSE),VLOOKUP(tables_387010!C49,input_387010!A:H,8,FALSE))</f>
        <v>171000</v>
      </c>
      <c r="P49" s="46">
        <f t="shared" ca="1" si="2"/>
        <v>4.9709302325581396E-3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input_387010!A$2</f>
        <v>387010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IFERROR(VLOOKUP(B50,input_387010!L:R,7,FALSE),VLOOKUP(tables_387010!C50,input_387010!A:H,8,FALSE))</f>
        <v>19000</v>
      </c>
      <c r="P50" s="46">
        <f t="shared" ca="1" si="2"/>
        <v>5.5232558139534885E-4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input_387010!A$2</f>
        <v>387010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IFERROR(VLOOKUP(B51,input_387010!L:R,7,FALSE),VLOOKUP(tables_387010!C51,input_387010!A:H,8,FALSE))</f>
        <v>190000</v>
      </c>
      <c r="P51" s="46">
        <f t="shared" ca="1" si="2"/>
        <v>5.5232558139534883E-3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input_387010!A$2</f>
        <v>387010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IFERROR(VLOOKUP(B52,input_387010!L:R,7,FALSE),VLOOKUP(tables_387010!C52,input_387010!A:H,8,FALSE))</f>
        <v>171000</v>
      </c>
      <c r="P52" s="46">
        <f t="shared" ca="1" si="2"/>
        <v>4.9709302325581396E-3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input_387010!A$2</f>
        <v>387010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IFERROR(VLOOKUP(B53,input_387010!L:R,7,FALSE),VLOOKUP(tables_387010!C53,input_387010!A:H,8,FALSE))</f>
        <v>19000</v>
      </c>
      <c r="P53" s="46">
        <f t="shared" ca="1" si="2"/>
        <v>5.5232558139534885E-4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input_387010!A$2</f>
        <v>387010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IFERROR(VLOOKUP(B54,input_387010!L:R,7,FALSE),VLOOKUP(tables_387010!C54,input_387010!A:H,8,FALSE))</f>
        <v>190000</v>
      </c>
      <c r="P54" s="46">
        <f t="shared" ca="1" si="2"/>
        <v>5.5232558139534883E-3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input_387010!A$2</f>
        <v>387010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IFERROR(VLOOKUP(B55,input_387010!L:R,7,FALSE),VLOOKUP(tables_387010!C55,input_387010!A:H,8,FALSE))</f>
        <v>171000</v>
      </c>
      <c r="P55" s="46">
        <f t="shared" ca="1" si="2"/>
        <v>4.9709302325581396E-3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input_387010!A$2</f>
        <v>387010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IFERROR(VLOOKUP(B56,input_387010!L:R,7,FALSE),VLOOKUP(tables_387010!C56,input_387010!A:H,8,FALSE))</f>
        <v>19000</v>
      </c>
      <c r="P56" s="46">
        <f t="shared" ca="1" si="2"/>
        <v>5.5232558139534885E-4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input_387010!A$2</f>
        <v>387010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IFERROR(VLOOKUP(B57,input_387010!L:R,7,FALSE),VLOOKUP(tables_387010!C57,input_387010!A:H,8,FALSE))</f>
        <v>190000</v>
      </c>
      <c r="P57" s="46">
        <f t="shared" ca="1" si="2"/>
        <v>5.5232558139534883E-3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input_387010!A$2</f>
        <v>387010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IFERROR(VLOOKUP(B58,input_387010!L:R,7,FALSE),VLOOKUP(tables_387010!C58,input_387010!A:H,8,FALSE))</f>
        <v>171000</v>
      </c>
      <c r="P58" s="46">
        <f t="shared" ca="1" si="2"/>
        <v>4.9709302325581396E-3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input_387010!A$2</f>
        <v>387010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IFERROR(VLOOKUP(B59,input_387010!L:R,7,FALSE),VLOOKUP(tables_387010!C59,input_387010!A:H,8,FALSE))</f>
        <v>19000</v>
      </c>
      <c r="P59" s="46">
        <f t="shared" ca="1" si="2"/>
        <v>5.5232558139534885E-4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input_387010!A$2</f>
        <v>387010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IFERROR(VLOOKUP(B60,input_387010!L:R,7,FALSE),VLOOKUP(tables_387010!C60,input_387010!A:H,8,FALSE))</f>
        <v>190000</v>
      </c>
      <c r="P60" s="46">
        <f t="shared" ca="1" si="2"/>
        <v>5.5232558139534883E-3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input_387010!A$2</f>
        <v>387010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IFERROR(VLOOKUP(B61,input_387010!L:R,7,FALSE),VLOOKUP(tables_387010!C61,input_387010!A:H,8,FALSE))</f>
        <v>171000</v>
      </c>
      <c r="P61" s="46">
        <f t="shared" ca="1" si="2"/>
        <v>4.9709302325581396E-3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input_387010!A$2</f>
        <v>387010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IFERROR(VLOOKUP(B62,input_387010!L:R,7,FALSE),VLOOKUP(tables_387010!C62,input_387010!A:H,8,FALSE))</f>
        <v>19000</v>
      </c>
      <c r="P62" s="46">
        <f t="shared" ca="1" si="2"/>
        <v>5.5232558139534885E-4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input_387010!A$2</f>
        <v>387010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IFERROR(VLOOKUP(B63,input_387010!L:R,7,FALSE),VLOOKUP(tables_387010!C63,input_387010!A:H,8,FALSE))</f>
        <v>190000</v>
      </c>
      <c r="P63" s="46">
        <f t="shared" ca="1" si="2"/>
        <v>5.5232558139534883E-3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input_387010!A$2</f>
        <v>387010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IFERROR(VLOOKUP(B64,input_387010!L:R,7,FALSE),VLOOKUP(tables_387010!C64,input_387010!A:H,8,FALSE))</f>
        <v>171000</v>
      </c>
      <c r="P64" s="46">
        <f t="shared" ca="1" si="2"/>
        <v>4.9709302325581396E-3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input_387010!A$2</f>
        <v>387010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IFERROR(VLOOKUP(B65,input_387010!L:R,7,FALSE),VLOOKUP(tables_387010!C65,input_387010!A:H,8,FALSE))</f>
        <v>19000</v>
      </c>
      <c r="P65" s="46">
        <f t="shared" ca="1" si="2"/>
        <v>5.5232558139534885E-4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input_387010!A$2</f>
        <v>387010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IFERROR(VLOOKUP(B66,input_387010!L:R,7,FALSE),VLOOKUP(tables_387010!C66,input_387010!A:H,8,FALSE))</f>
        <v>190000</v>
      </c>
      <c r="P66" s="46">
        <f t="shared" ref="P66:P129" ca="1" si="5">O66/SUM(O:O)</f>
        <v>5.5232558139534883E-3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input_387010!A$2</f>
        <v>387010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IFERROR(VLOOKUP(B67,input_387010!L:R,7,FALSE),VLOOKUP(tables_387010!C67,input_387010!A:H,8,FALSE))</f>
        <v>171000</v>
      </c>
      <c r="P67" s="46">
        <f t="shared" ca="1" si="5"/>
        <v>4.9709302325581396E-3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input_387010!A$2</f>
        <v>387010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IFERROR(VLOOKUP(B68,input_387010!L:R,7,FALSE),VLOOKUP(tables_387010!C68,input_387010!A:H,8,FALSE))</f>
        <v>19000</v>
      </c>
      <c r="P68" s="46">
        <f t="shared" ca="1" si="5"/>
        <v>5.5232558139534885E-4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input_387010!A$2</f>
        <v>387010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IFERROR(VLOOKUP(B69,input_387010!L:R,7,FALSE),VLOOKUP(tables_387010!C69,input_387010!A:H,8,FALSE))</f>
        <v>190000</v>
      </c>
      <c r="P69" s="46">
        <f t="shared" ca="1" si="5"/>
        <v>5.5232558139534883E-3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input_387010!A$2</f>
        <v>387010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IFERROR(VLOOKUP(B70,input_387010!L:R,7,FALSE),VLOOKUP(tables_387010!C70,input_387010!A:H,8,FALSE))</f>
        <v>171000</v>
      </c>
      <c r="P70" s="46">
        <f t="shared" ca="1" si="5"/>
        <v>4.9709302325581396E-3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input_387010!A$2</f>
        <v>387010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IFERROR(VLOOKUP(B71,input_387010!L:R,7,FALSE),VLOOKUP(tables_387010!C71,input_387010!A:H,8,FALSE))</f>
        <v>19000</v>
      </c>
      <c r="P71" s="46">
        <f t="shared" ca="1" si="5"/>
        <v>5.5232558139534885E-4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input_387010!A$2</f>
        <v>387010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IFERROR(VLOOKUP(B72,input_387010!L:R,7,FALSE),VLOOKUP(tables_387010!C72,input_387010!A:H,8,FALSE))</f>
        <v>190000</v>
      </c>
      <c r="P72" s="46">
        <f t="shared" ca="1" si="5"/>
        <v>5.5232558139534883E-3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input_387010!A$2</f>
        <v>387010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IFERROR(VLOOKUP(B73,input_387010!L:R,7,FALSE),VLOOKUP(tables_387010!C73,input_387010!A:H,8,FALSE))</f>
        <v>171000</v>
      </c>
      <c r="P73" s="46">
        <f t="shared" ca="1" si="5"/>
        <v>4.9709302325581396E-3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input_387010!A$2</f>
        <v>387010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IFERROR(VLOOKUP(B74,input_387010!L:R,7,FALSE),VLOOKUP(tables_387010!C74,input_387010!A:H,8,FALSE))</f>
        <v>19000</v>
      </c>
      <c r="P74" s="46">
        <f t="shared" ca="1" si="5"/>
        <v>5.5232558139534885E-4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input_387010!A$2</f>
        <v>387010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IFERROR(VLOOKUP(B75,input_387010!L:R,7,FALSE),VLOOKUP(tables_387010!C75,input_387010!A:H,8,FALSE))</f>
        <v>190000</v>
      </c>
      <c r="P75" s="46">
        <f t="shared" ca="1" si="5"/>
        <v>5.5232558139534883E-3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input_387010!A$2</f>
        <v>387010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IFERROR(VLOOKUP(B76,input_387010!L:R,7,FALSE),VLOOKUP(tables_387010!C76,input_387010!A:H,8,FALSE))</f>
        <v>171000</v>
      </c>
      <c r="P76" s="46">
        <f t="shared" ca="1" si="5"/>
        <v>4.9709302325581396E-3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input_387010!A$2</f>
        <v>387010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IFERROR(VLOOKUP(B77,input_387010!L:R,7,FALSE),VLOOKUP(tables_387010!C77,input_387010!A:H,8,FALSE))</f>
        <v>19000</v>
      </c>
      <c r="P77" s="46">
        <f t="shared" ca="1" si="5"/>
        <v>5.5232558139534885E-4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input_387010!A$2</f>
        <v>387010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IFERROR(VLOOKUP(B78,input_387010!L:R,7,FALSE),VLOOKUP(tables_387010!C78,input_387010!A:H,8,FALSE))</f>
        <v>190000</v>
      </c>
      <c r="P78" s="46">
        <f t="shared" ca="1" si="5"/>
        <v>5.5232558139534883E-3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input_387010!A$2</f>
        <v>387010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IFERROR(VLOOKUP(B79,input_387010!L:R,7,FALSE),VLOOKUP(tables_387010!C79,input_387010!A:H,8,FALSE))</f>
        <v>171000</v>
      </c>
      <c r="P79" s="46">
        <f t="shared" ca="1" si="5"/>
        <v>4.9709302325581396E-3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input_387010!A$2</f>
        <v>387010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IFERROR(VLOOKUP(B80,input_387010!L:R,7,FALSE),VLOOKUP(tables_387010!C80,input_387010!A:H,8,FALSE))</f>
        <v>19000</v>
      </c>
      <c r="P80" s="46">
        <f t="shared" ca="1" si="5"/>
        <v>5.5232558139534885E-4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input_387010!A$2</f>
        <v>387010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IFERROR(VLOOKUP(B81,input_387010!L:R,7,FALSE),VLOOKUP(tables_387010!C81,input_387010!A:H,8,FALSE))</f>
        <v>190000</v>
      </c>
      <c r="P81" s="46">
        <f t="shared" ca="1" si="5"/>
        <v>5.5232558139534883E-3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input_387010!A$2</f>
        <v>387010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IFERROR(VLOOKUP(B82,input_387010!L:R,7,FALSE),VLOOKUP(tables_387010!C82,input_387010!A:H,8,FALSE))</f>
        <v>171000</v>
      </c>
      <c r="P82" s="46">
        <f t="shared" ca="1" si="5"/>
        <v>4.9709302325581396E-3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input_387010!A$2</f>
        <v>387010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IFERROR(VLOOKUP(B83,input_387010!L:R,7,FALSE),VLOOKUP(tables_387010!C83,input_387010!A:H,8,FALSE))</f>
        <v>19000</v>
      </c>
      <c r="P83" s="46">
        <f t="shared" ca="1" si="5"/>
        <v>5.5232558139534885E-4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input_387010!A$2</f>
        <v>387010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IFERROR(VLOOKUP(B84,input_387010!L:R,7,FALSE),VLOOKUP(tables_387010!C84,input_387010!A:H,8,FALSE))</f>
        <v>190000</v>
      </c>
      <c r="P84" s="46">
        <f t="shared" ca="1" si="5"/>
        <v>5.5232558139534883E-3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input_387010!A$2</f>
        <v>387010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IFERROR(VLOOKUP(B85,input_387010!L:R,7,FALSE),VLOOKUP(tables_387010!C85,input_387010!A:H,8,FALSE))</f>
        <v>171000</v>
      </c>
      <c r="P85" s="46">
        <f t="shared" ca="1" si="5"/>
        <v>4.9709302325581396E-3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input_387010!A$2</f>
        <v>387010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IFERROR(VLOOKUP(B86,input_387010!L:R,7,FALSE),VLOOKUP(tables_387010!C86,input_387010!A:H,8,FALSE))</f>
        <v>19000</v>
      </c>
      <c r="P86" s="46">
        <f t="shared" ca="1" si="5"/>
        <v>5.5232558139534885E-4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input_387010!A$2</f>
        <v>387010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IFERROR(VLOOKUP(B87,input_387010!L:R,7,FALSE),VLOOKUP(tables_387010!C87,input_387010!A:H,8,FALSE))</f>
        <v>190000</v>
      </c>
      <c r="P87" s="46">
        <f t="shared" ca="1" si="5"/>
        <v>5.5232558139534883E-3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input_387010!A$2</f>
        <v>387010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IFERROR(VLOOKUP(B88,input_387010!L:R,7,FALSE),VLOOKUP(tables_387010!C88,input_387010!A:H,8,FALSE))</f>
        <v>171000</v>
      </c>
      <c r="P88" s="46">
        <f t="shared" ca="1" si="5"/>
        <v>4.9709302325581396E-3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input_387010!A$2</f>
        <v>387010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IFERROR(VLOOKUP(B89,input_387010!L:R,7,FALSE),VLOOKUP(tables_387010!C89,input_387010!A:H,8,FALSE))</f>
        <v>19000</v>
      </c>
      <c r="P89" s="46">
        <f t="shared" ca="1" si="5"/>
        <v>5.5232558139534885E-4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input_387010!A$2</f>
        <v>387010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IFERROR(VLOOKUP(B90,input_387010!L:R,7,FALSE),VLOOKUP(tables_387010!C90,input_387010!A:H,8,FALSE))</f>
        <v>190000</v>
      </c>
      <c r="P90" s="46">
        <f t="shared" ca="1" si="5"/>
        <v>5.5232558139534883E-3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input_387010!A$2</f>
        <v>387010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IFERROR(VLOOKUP(B91,input_387010!L:R,7,FALSE),VLOOKUP(tables_387010!C91,input_387010!A:H,8,FALSE))</f>
        <v>171000</v>
      </c>
      <c r="P91" s="46">
        <f t="shared" ca="1" si="5"/>
        <v>4.9709302325581396E-3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input_387010!A$2</f>
        <v>387010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IFERROR(VLOOKUP(B92,input_387010!L:R,7,FALSE),VLOOKUP(tables_387010!C92,input_387010!A:H,8,FALSE))</f>
        <v>19000</v>
      </c>
      <c r="P92" s="46">
        <f t="shared" ca="1" si="5"/>
        <v>5.5232558139534885E-4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input_387010!A$2</f>
        <v>387010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IFERROR(VLOOKUP(B93,input_387010!L:R,7,FALSE),VLOOKUP(tables_387010!C93,input_387010!A:H,8,FALSE))</f>
        <v>190000</v>
      </c>
      <c r="P93" s="46">
        <f t="shared" ca="1" si="5"/>
        <v>5.5232558139534883E-3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input_387010!A$2</f>
        <v>387010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IFERROR(VLOOKUP(B94,input_387010!L:R,7,FALSE),VLOOKUP(tables_387010!C94,input_387010!A:H,8,FALSE))</f>
        <v>171000</v>
      </c>
      <c r="P94" s="46">
        <f t="shared" ca="1" si="5"/>
        <v>4.9709302325581396E-3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input_387010!A$2</f>
        <v>387010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IFERROR(VLOOKUP(B95,input_387010!L:R,7,FALSE),VLOOKUP(tables_387010!C95,input_387010!A:H,8,FALSE))</f>
        <v>19000</v>
      </c>
      <c r="P95" s="46">
        <f t="shared" ca="1" si="5"/>
        <v>5.5232558139534885E-4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input_387010!A$2</f>
        <v>387010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IFERROR(VLOOKUP(B96,input_387010!L:R,7,FALSE),VLOOKUP(tables_387010!C96,input_387010!A:H,8,FALSE))</f>
        <v>190000</v>
      </c>
      <c r="P96" s="46">
        <f t="shared" ca="1" si="5"/>
        <v>5.5232558139534883E-3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input_387010!A$2</f>
        <v>387010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IFERROR(VLOOKUP(B97,input_387010!L:R,7,FALSE),VLOOKUP(tables_387010!C97,input_387010!A:H,8,FALSE))</f>
        <v>171000</v>
      </c>
      <c r="P97" s="46">
        <f t="shared" ca="1" si="5"/>
        <v>4.9709302325581396E-3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input_387010!A$2</f>
        <v>387010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IFERROR(VLOOKUP(B98,input_387010!L:R,7,FALSE),VLOOKUP(tables_387010!C98,input_387010!A:H,8,FALSE))</f>
        <v>19000</v>
      </c>
      <c r="P98" s="46">
        <f t="shared" ca="1" si="5"/>
        <v>5.5232558139534885E-4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input_387010!A$2</f>
        <v>387010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IFERROR(VLOOKUP(B99,input_387010!L:R,7,FALSE),VLOOKUP(tables_387010!C99,input_387010!A:H,8,FALSE))</f>
        <v>190000</v>
      </c>
      <c r="P99" s="46">
        <f t="shared" ca="1" si="5"/>
        <v>5.5232558139534883E-3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input_387010!A$2</f>
        <v>387010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IFERROR(VLOOKUP(B100,input_387010!L:R,7,FALSE),VLOOKUP(tables_387010!C100,input_387010!A:H,8,FALSE))</f>
        <v>171000</v>
      </c>
      <c r="P100" s="46">
        <f t="shared" ca="1" si="5"/>
        <v>4.9709302325581396E-3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input_387010!A$2</f>
        <v>387010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IFERROR(VLOOKUP(B101,input_387010!L:R,7,FALSE),VLOOKUP(tables_387010!C101,input_387010!A:H,8,FALSE))</f>
        <v>19000</v>
      </c>
      <c r="P101" s="46">
        <f t="shared" ca="1" si="5"/>
        <v>5.5232558139534885E-4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input_387010!A$2</f>
        <v>387010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IFERROR(VLOOKUP(B102,input_387010!L:R,7,FALSE),VLOOKUP(tables_387010!C102,input_387010!A:H,8,FALSE))</f>
        <v>190000</v>
      </c>
      <c r="P102" s="46">
        <f t="shared" ca="1" si="5"/>
        <v>5.5232558139534883E-3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input_387010!A$2</f>
        <v>387010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IFERROR(VLOOKUP(B103,input_387010!L:R,7,FALSE),VLOOKUP(tables_387010!C103,input_387010!A:H,8,FALSE))</f>
        <v>171000</v>
      </c>
      <c r="P103" s="46">
        <f t="shared" ca="1" si="5"/>
        <v>4.9709302325581396E-3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input_387010!A$2</f>
        <v>387010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IFERROR(VLOOKUP(B104,input_387010!L:R,7,FALSE),VLOOKUP(tables_387010!C104,input_387010!A:H,8,FALSE))</f>
        <v>19000</v>
      </c>
      <c r="P104" s="46">
        <f t="shared" ca="1" si="5"/>
        <v>5.5232558139534885E-4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input_387010!A$2</f>
        <v>387010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IFERROR(VLOOKUP(B105,input_387010!L:R,7,FALSE),VLOOKUP(tables_387010!C105,input_387010!A:H,8,FALSE))</f>
        <v>190000</v>
      </c>
      <c r="P105" s="46">
        <f t="shared" ca="1" si="5"/>
        <v>5.5232558139534883E-3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input_387010!A$2</f>
        <v>387010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IFERROR(VLOOKUP(B106,input_387010!L:R,7,FALSE),VLOOKUP(tables_387010!C106,input_387010!A:H,8,FALSE))</f>
        <v>171000</v>
      </c>
      <c r="P106" s="46">
        <f t="shared" ca="1" si="5"/>
        <v>4.9709302325581396E-3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input_387010!A$2</f>
        <v>387010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IFERROR(VLOOKUP(B107,input_387010!L:R,7,FALSE),VLOOKUP(tables_387010!C107,input_387010!A:H,8,FALSE))</f>
        <v>19000</v>
      </c>
      <c r="P107" s="46">
        <f t="shared" ca="1" si="5"/>
        <v>5.5232558139534885E-4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input_387010!A$2</f>
        <v>387010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IFERROR(VLOOKUP(B108,input_387010!L:R,7,FALSE),VLOOKUP(tables_387010!C108,input_387010!A:H,8,FALSE))</f>
        <v>190000</v>
      </c>
      <c r="P108" s="46">
        <f t="shared" ca="1" si="5"/>
        <v>5.5232558139534883E-3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input_387010!A$2</f>
        <v>387010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IFERROR(VLOOKUP(B109,input_387010!L:R,7,FALSE),VLOOKUP(tables_387010!C109,input_387010!A:H,8,FALSE))</f>
        <v>171000</v>
      </c>
      <c r="P109" s="46">
        <f t="shared" ca="1" si="5"/>
        <v>4.9709302325581396E-3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input_387010!A$2</f>
        <v>387010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IFERROR(VLOOKUP(B110,input_387010!L:R,7,FALSE),VLOOKUP(tables_387010!C110,input_387010!A:H,8,FALSE))</f>
        <v>19000</v>
      </c>
      <c r="P110" s="46">
        <f t="shared" ca="1" si="5"/>
        <v>5.5232558139534885E-4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input_387010!A$2</f>
        <v>387010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IFERROR(VLOOKUP(B111,input_387010!L:R,7,FALSE),VLOOKUP(tables_387010!C111,input_387010!A:H,8,FALSE))</f>
        <v>190000</v>
      </c>
      <c r="P111" s="46">
        <f t="shared" ca="1" si="5"/>
        <v>5.5232558139534883E-3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input_387010!A$2</f>
        <v>387010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IFERROR(VLOOKUP(B112,input_387010!L:R,7,FALSE),VLOOKUP(tables_387010!C112,input_387010!A:H,8,FALSE))</f>
        <v>171000</v>
      </c>
      <c r="P112" s="46">
        <f t="shared" ca="1" si="5"/>
        <v>4.9709302325581396E-3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input_387010!A$2</f>
        <v>387010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IFERROR(VLOOKUP(B113,input_387010!L:R,7,FALSE),VLOOKUP(tables_387010!C113,input_387010!A:H,8,FALSE))</f>
        <v>19000</v>
      </c>
      <c r="P113" s="46">
        <f t="shared" ca="1" si="5"/>
        <v>5.5232558139534885E-4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input_387010!A$2</f>
        <v>387010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IFERROR(VLOOKUP(B114,input_387010!L:R,7,FALSE),VLOOKUP(tables_387010!C114,input_387010!A:H,8,FALSE))</f>
        <v>190000</v>
      </c>
      <c r="P114" s="46">
        <f t="shared" ca="1" si="5"/>
        <v>5.5232558139534883E-3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input_387010!A$2</f>
        <v>387010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IFERROR(VLOOKUP(B115,input_387010!L:R,7,FALSE),VLOOKUP(tables_387010!C115,input_387010!A:H,8,FALSE))</f>
        <v>171000</v>
      </c>
      <c r="P115" s="46">
        <f t="shared" ca="1" si="5"/>
        <v>4.9709302325581396E-3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input_387010!A$2</f>
        <v>387010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IFERROR(VLOOKUP(B116,input_387010!L:R,7,FALSE),VLOOKUP(tables_387010!C116,input_387010!A:H,8,FALSE))</f>
        <v>19000</v>
      </c>
      <c r="P116" s="46">
        <f t="shared" ca="1" si="5"/>
        <v>5.5232558139534885E-4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input_387010!A$2</f>
        <v>387010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IFERROR(VLOOKUP(B117,input_387010!L:R,7,FALSE),VLOOKUP(tables_387010!C117,input_387010!A:H,8,FALSE))</f>
        <v>190000</v>
      </c>
      <c r="P117" s="46">
        <f t="shared" ca="1" si="5"/>
        <v>5.5232558139534883E-3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input_387010!A$2</f>
        <v>387010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IFERROR(VLOOKUP(B118,input_387010!L:R,7,FALSE),VLOOKUP(tables_387010!C118,input_387010!A:H,8,FALSE))</f>
        <v>171000</v>
      </c>
      <c r="P118" s="46">
        <f t="shared" ca="1" si="5"/>
        <v>4.9709302325581396E-3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input_387010!A$2</f>
        <v>387010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IFERROR(VLOOKUP(B119,input_387010!L:R,7,FALSE),VLOOKUP(tables_387010!C119,input_387010!A:H,8,FALSE))</f>
        <v>19000</v>
      </c>
      <c r="P119" s="46">
        <f t="shared" ca="1" si="5"/>
        <v>5.5232558139534885E-4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input_387010!A$2</f>
        <v>387010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IFERROR(VLOOKUP(B120,input_387010!L:R,7,FALSE),VLOOKUP(tables_387010!C120,input_387010!A:H,8,FALSE))</f>
        <v>190000</v>
      </c>
      <c r="P120" s="46">
        <f t="shared" ca="1" si="5"/>
        <v>5.5232558139534883E-3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input_387010!A$2</f>
        <v>387010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IFERROR(VLOOKUP(B121,input_387010!L:R,7,FALSE),VLOOKUP(tables_387010!C121,input_387010!A:H,8,FALSE))</f>
        <v>171000</v>
      </c>
      <c r="P121" s="46">
        <f t="shared" ca="1" si="5"/>
        <v>4.9709302325581396E-3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input_387010!A$2</f>
        <v>387010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IFERROR(VLOOKUP(B122,input_387010!L:R,7,FALSE),VLOOKUP(tables_387010!C122,input_387010!A:H,8,FALSE))</f>
        <v>19000</v>
      </c>
      <c r="P122" s="46">
        <f t="shared" ca="1" si="5"/>
        <v>5.5232558139534885E-4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input_387010!A$2</f>
        <v>387010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IFERROR(VLOOKUP(B123,input_387010!L:R,7,FALSE),VLOOKUP(tables_387010!C123,input_387010!A:H,8,FALSE))</f>
        <v>190000</v>
      </c>
      <c r="P123" s="46">
        <f t="shared" ca="1" si="5"/>
        <v>5.5232558139534883E-3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input_387010!A$2</f>
        <v>387010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IFERROR(VLOOKUP(B124,input_387010!L:R,7,FALSE),VLOOKUP(tables_387010!C124,input_387010!A:H,8,FALSE))</f>
        <v>171000</v>
      </c>
      <c r="P124" s="46">
        <f t="shared" ca="1" si="5"/>
        <v>4.9709302325581396E-3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input_387010!A$2</f>
        <v>387010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IFERROR(VLOOKUP(B125,input_387010!L:R,7,FALSE),VLOOKUP(tables_387010!C125,input_387010!A:H,8,FALSE))</f>
        <v>19000</v>
      </c>
      <c r="P125" s="46">
        <f t="shared" ca="1" si="5"/>
        <v>5.5232558139534885E-4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input_387010!A$2</f>
        <v>387010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IFERROR(VLOOKUP(B126,input_387010!L:R,7,FALSE),VLOOKUP(tables_387010!C126,input_387010!A:H,8,FALSE))</f>
        <v>190000</v>
      </c>
      <c r="P126" s="46">
        <f t="shared" ca="1" si="5"/>
        <v>5.5232558139534883E-3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input_387010!A$2</f>
        <v>387010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IFERROR(VLOOKUP(B127,input_387010!L:R,7,FALSE),VLOOKUP(tables_387010!C127,input_387010!A:H,8,FALSE))</f>
        <v>171000</v>
      </c>
      <c r="P127" s="46">
        <f t="shared" ca="1" si="5"/>
        <v>4.9709302325581396E-3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input_387010!A$2</f>
        <v>387010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IFERROR(VLOOKUP(B128,input_387010!L:R,7,FALSE),VLOOKUP(tables_387010!C128,input_387010!A:H,8,FALSE))</f>
        <v>19000</v>
      </c>
      <c r="P128" s="46">
        <f t="shared" ca="1" si="5"/>
        <v>5.5232558139534885E-4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input_387010!A$2</f>
        <v>387010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IFERROR(VLOOKUP(B129,input_387010!L:R,7,FALSE),VLOOKUP(tables_387010!C129,input_387010!A:H,8,FALSE))</f>
        <v>190000</v>
      </c>
      <c r="P129" s="46">
        <f t="shared" ca="1" si="5"/>
        <v>5.5232558139534883E-3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input_387010!A$2</f>
        <v>387010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IFERROR(VLOOKUP(B130,input_387010!L:R,7,FALSE),VLOOKUP(tables_387010!C130,input_387010!A:H,8,FALSE))</f>
        <v>171000</v>
      </c>
      <c r="P130" s="46">
        <f t="shared" ref="P130:P193" ca="1" si="8">O130/SUM(O:O)</f>
        <v>4.9709302325581396E-3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input_387010!A$2</f>
        <v>387010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IFERROR(VLOOKUP(B131,input_387010!L:R,7,FALSE),VLOOKUP(tables_387010!C131,input_387010!A:H,8,FALSE))</f>
        <v>19000</v>
      </c>
      <c r="P131" s="46">
        <f t="shared" ca="1" si="8"/>
        <v>5.5232558139534885E-4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input_387010!A$2</f>
        <v>387010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IFERROR(VLOOKUP(B132,input_387010!L:R,7,FALSE),VLOOKUP(tables_387010!C132,input_387010!A:H,8,FALSE))</f>
        <v>190000</v>
      </c>
      <c r="P132" s="46">
        <f t="shared" ca="1" si="8"/>
        <v>5.5232558139534883E-3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input_387010!A$2</f>
        <v>387010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IFERROR(VLOOKUP(B133,input_387010!L:R,7,FALSE),VLOOKUP(tables_387010!C133,input_387010!A:H,8,FALSE))</f>
        <v>171000</v>
      </c>
      <c r="P133" s="46">
        <f t="shared" ca="1" si="8"/>
        <v>4.9709302325581396E-3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input_387010!A$2</f>
        <v>387010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IFERROR(VLOOKUP(B134,input_387010!L:R,7,FALSE),VLOOKUP(tables_387010!C134,input_387010!A:H,8,FALSE))</f>
        <v>19000</v>
      </c>
      <c r="P134" s="46">
        <f t="shared" ca="1" si="8"/>
        <v>5.5232558139534885E-4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input_387010!A$2</f>
        <v>387010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IFERROR(VLOOKUP(B135,input_387010!L:R,7,FALSE),VLOOKUP(tables_387010!C135,input_387010!A:H,8,FALSE))</f>
        <v>190000</v>
      </c>
      <c r="P135" s="46">
        <f t="shared" ca="1" si="8"/>
        <v>5.5232558139534883E-3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input_387010!A$2</f>
        <v>387010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IFERROR(VLOOKUP(B136,input_387010!L:R,7,FALSE),VLOOKUP(tables_387010!C136,input_387010!A:H,8,FALSE))</f>
        <v>171000</v>
      </c>
      <c r="P136" s="46">
        <f t="shared" ca="1" si="8"/>
        <v>4.9709302325581396E-3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input_387010!A$2</f>
        <v>387010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IFERROR(VLOOKUP(B137,input_387010!L:R,7,FALSE),VLOOKUP(tables_387010!C137,input_387010!A:H,8,FALSE))</f>
        <v>19000</v>
      </c>
      <c r="P137" s="46">
        <f t="shared" ca="1" si="8"/>
        <v>5.5232558139534885E-4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input_387010!A$2</f>
        <v>387010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IFERROR(VLOOKUP(B138,input_387010!L:R,7,FALSE),VLOOKUP(tables_387010!C138,input_387010!A:H,8,FALSE))</f>
        <v>8170</v>
      </c>
      <c r="P138" s="46">
        <f t="shared" ca="1" si="8"/>
        <v>2.375E-4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input_387010!A$2</f>
        <v>387010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IFERROR(VLOOKUP(B139,input_387010!L:R,7,FALSE),VLOOKUP(tables_387010!C139,input_387010!A:H,8,FALSE))</f>
        <v>430</v>
      </c>
      <c r="P139" s="46">
        <f t="shared" ca="1" si="8"/>
        <v>1.2500000000000001E-5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input_387010!A$2</f>
        <v>387010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IFERROR(VLOOKUP(B140,input_387010!L:R,7,FALSE),VLOOKUP(tables_387010!C140,input_387010!A:H,8,FALSE))</f>
        <v>8170</v>
      </c>
      <c r="P140" s="46">
        <f t="shared" ca="1" si="8"/>
        <v>2.375E-4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input_387010!A$2</f>
        <v>387010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IFERROR(VLOOKUP(B141,input_387010!L:R,7,FALSE),VLOOKUP(tables_387010!C141,input_387010!A:H,8,FALSE))</f>
        <v>430</v>
      </c>
      <c r="P141" s="46">
        <f t="shared" ca="1" si="8"/>
        <v>1.2500000000000001E-5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input_387010!A$2</f>
        <v>387010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IFERROR(VLOOKUP(B142,input_387010!L:R,7,FALSE),VLOOKUP(tables_387010!C142,input_387010!A:H,8,FALSE))</f>
        <v>8170</v>
      </c>
      <c r="P142" s="46">
        <f t="shared" ca="1" si="8"/>
        <v>2.375E-4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input_387010!A$2</f>
        <v>387010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IFERROR(VLOOKUP(B143,input_387010!L:R,7,FALSE),VLOOKUP(tables_387010!C143,input_387010!A:H,8,FALSE))</f>
        <v>430</v>
      </c>
      <c r="P143" s="46">
        <f t="shared" ca="1" si="8"/>
        <v>1.2500000000000001E-5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input_387010!A$2</f>
        <v>387010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IFERROR(VLOOKUP(B144,input_387010!L:R,7,FALSE),VLOOKUP(tables_387010!C144,input_387010!A:H,8,FALSE))</f>
        <v>8170</v>
      </c>
      <c r="P144" s="46">
        <f t="shared" ca="1" si="8"/>
        <v>2.375E-4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input_387010!A$2</f>
        <v>387010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IFERROR(VLOOKUP(B145,input_387010!L:R,7,FALSE),VLOOKUP(tables_387010!C145,input_387010!A:H,8,FALSE))</f>
        <v>430</v>
      </c>
      <c r="P145" s="46">
        <f t="shared" ca="1" si="8"/>
        <v>1.2500000000000001E-5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input_387010!A$2</f>
        <v>387010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IFERROR(VLOOKUP(B146,input_387010!L:R,7,FALSE),VLOOKUP(tables_387010!C146,input_387010!A:H,8,FALSE))</f>
        <v>190000</v>
      </c>
      <c r="P146" s="46">
        <f t="shared" ca="1" si="8"/>
        <v>5.5232558139534883E-3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input_387010!A$2</f>
        <v>387010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IFERROR(VLOOKUP(B147,input_387010!L:R,7,FALSE),VLOOKUP(tables_387010!C147,input_387010!A:H,8,FALSE))</f>
        <v>171000</v>
      </c>
      <c r="P147" s="46">
        <f t="shared" ca="1" si="8"/>
        <v>4.9709302325581396E-3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input_387010!A$2</f>
        <v>387010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IFERROR(VLOOKUP(B148,input_387010!L:R,7,FALSE),VLOOKUP(tables_387010!C148,input_387010!A:H,8,FALSE))</f>
        <v>19000</v>
      </c>
      <c r="P148" s="46">
        <f t="shared" ca="1" si="8"/>
        <v>5.5232558139534885E-4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input_387010!A$2</f>
        <v>387010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IFERROR(VLOOKUP(B149,input_387010!L:R,7,FALSE),VLOOKUP(tables_387010!C149,input_387010!A:H,8,FALSE))</f>
        <v>8170</v>
      </c>
      <c r="P149" s="46">
        <f t="shared" ca="1" si="8"/>
        <v>2.375E-4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input_387010!A$2</f>
        <v>387010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IFERROR(VLOOKUP(B150,input_387010!L:R,7,FALSE),VLOOKUP(tables_387010!C150,input_387010!A:H,8,FALSE))</f>
        <v>430</v>
      </c>
      <c r="P150" s="46">
        <f t="shared" ca="1" si="8"/>
        <v>1.2500000000000001E-5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input_387010!A$2</f>
        <v>387010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IFERROR(VLOOKUP(B151,input_387010!L:R,7,FALSE),VLOOKUP(tables_387010!C151,input_387010!A:H,8,FALSE))</f>
        <v>8170</v>
      </c>
      <c r="P151" s="46">
        <f t="shared" ca="1" si="8"/>
        <v>2.375E-4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input_387010!A$2</f>
        <v>387010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IFERROR(VLOOKUP(B152,input_387010!L:R,7,FALSE),VLOOKUP(tables_387010!C152,input_387010!A:H,8,FALSE))</f>
        <v>430</v>
      </c>
      <c r="P152" s="46">
        <f t="shared" ca="1" si="8"/>
        <v>1.2500000000000001E-5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input_387010!A$2</f>
        <v>387010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IFERROR(VLOOKUP(B153,input_387010!L:R,7,FALSE),VLOOKUP(tables_387010!C153,input_387010!A:H,8,FALSE))</f>
        <v>190000</v>
      </c>
      <c r="P153" s="46">
        <f t="shared" ca="1" si="8"/>
        <v>5.5232558139534883E-3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input_387010!A$2</f>
        <v>387010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IFERROR(VLOOKUP(B154,input_387010!L:R,7,FALSE),VLOOKUP(tables_387010!C154,input_387010!A:H,8,FALSE))</f>
        <v>171000</v>
      </c>
      <c r="P154" s="46">
        <f t="shared" ca="1" si="8"/>
        <v>4.9709302325581396E-3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input_387010!A$2</f>
        <v>387010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IFERROR(VLOOKUP(B155,input_387010!L:R,7,FALSE),VLOOKUP(tables_387010!C155,input_387010!A:H,8,FALSE))</f>
        <v>19000</v>
      </c>
      <c r="P155" s="46">
        <f t="shared" ca="1" si="8"/>
        <v>5.5232558139534885E-4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input_387010!A$2</f>
        <v>387010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IFERROR(VLOOKUP(B156,input_387010!L:R,7,FALSE),VLOOKUP(tables_387010!C156,input_387010!A:H,8,FALSE))</f>
        <v>8170</v>
      </c>
      <c r="P156" s="46">
        <f t="shared" ca="1" si="8"/>
        <v>2.375E-4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input_387010!A$2</f>
        <v>387010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IFERROR(VLOOKUP(B157,input_387010!L:R,7,FALSE),VLOOKUP(tables_387010!C157,input_387010!A:H,8,FALSE))</f>
        <v>430</v>
      </c>
      <c r="P157" s="46">
        <f t="shared" ca="1" si="8"/>
        <v>1.2500000000000001E-5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input_387010!A$2</f>
        <v>387010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IFERROR(VLOOKUP(B158,input_387010!L:R,7,FALSE),VLOOKUP(tables_387010!C158,input_387010!A:H,8,FALSE))</f>
        <v>190000</v>
      </c>
      <c r="P158" s="46">
        <f t="shared" ca="1" si="8"/>
        <v>5.5232558139534883E-3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input_387010!A$2</f>
        <v>387010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IFERROR(VLOOKUP(B159,input_387010!L:R,7,FALSE),VLOOKUP(tables_387010!C159,input_387010!A:H,8,FALSE))</f>
        <v>171000</v>
      </c>
      <c r="P159" s="46">
        <f t="shared" ca="1" si="8"/>
        <v>4.9709302325581396E-3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input_387010!A$2</f>
        <v>387010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IFERROR(VLOOKUP(B160,input_387010!L:R,7,FALSE),VLOOKUP(tables_387010!C160,input_387010!A:H,8,FALSE))</f>
        <v>19000</v>
      </c>
      <c r="P160" s="46">
        <f t="shared" ca="1" si="8"/>
        <v>5.5232558139534885E-4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input_387010!A$2</f>
        <v>387010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IFERROR(VLOOKUP(B161,input_387010!L:R,7,FALSE),VLOOKUP(tables_387010!C161,input_387010!A:H,8,FALSE))</f>
        <v>190000</v>
      </c>
      <c r="P161" s="46">
        <f t="shared" ca="1" si="8"/>
        <v>5.5232558139534883E-3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input_387010!A$2</f>
        <v>387010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IFERROR(VLOOKUP(B162,input_387010!L:R,7,FALSE),VLOOKUP(tables_387010!C162,input_387010!A:H,8,FALSE))</f>
        <v>171000</v>
      </c>
      <c r="P162" s="46">
        <f t="shared" ca="1" si="8"/>
        <v>4.9709302325581396E-3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input_387010!A$2</f>
        <v>387010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IFERROR(VLOOKUP(B163,input_387010!L:R,7,FALSE),VLOOKUP(tables_387010!C163,input_387010!A:H,8,FALSE))</f>
        <v>19000</v>
      </c>
      <c r="P163" s="46">
        <f t="shared" ca="1" si="8"/>
        <v>5.5232558139534885E-4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input_387010!A$2</f>
        <v>387010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IFERROR(VLOOKUP(B164,input_387010!L:R,7,FALSE),VLOOKUP(tables_387010!C164,input_387010!A:H,8,FALSE))</f>
        <v>8170</v>
      </c>
      <c r="P164" s="46">
        <f t="shared" ca="1" si="8"/>
        <v>2.375E-4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input_387010!A$2</f>
        <v>387010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IFERROR(VLOOKUP(B165,input_387010!L:R,7,FALSE),VLOOKUP(tables_387010!C165,input_387010!A:H,8,FALSE))</f>
        <v>430</v>
      </c>
      <c r="P165" s="46">
        <f t="shared" ca="1" si="8"/>
        <v>1.2500000000000001E-5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input_387010!A$2</f>
        <v>387010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IFERROR(VLOOKUP(B166,input_387010!L:R,7,FALSE),VLOOKUP(tables_387010!C166,input_387010!A:H,8,FALSE))</f>
        <v>190000</v>
      </c>
      <c r="P166" s="46">
        <f t="shared" ca="1" si="8"/>
        <v>5.5232558139534883E-3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input_387010!A$2</f>
        <v>387010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IFERROR(VLOOKUP(B167,input_387010!L:R,7,FALSE),VLOOKUP(tables_387010!C167,input_387010!A:H,8,FALSE))</f>
        <v>171000</v>
      </c>
      <c r="P167" s="46">
        <f t="shared" ca="1" si="8"/>
        <v>4.9709302325581396E-3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input_387010!A$2</f>
        <v>387010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IFERROR(VLOOKUP(B168,input_387010!L:R,7,FALSE),VLOOKUP(tables_387010!C168,input_387010!A:H,8,FALSE))</f>
        <v>19000</v>
      </c>
      <c r="P168" s="46">
        <f t="shared" ca="1" si="8"/>
        <v>5.5232558139534885E-4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input_387010!A$2</f>
        <v>387010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IFERROR(VLOOKUP(B169,input_387010!L:R,7,FALSE),VLOOKUP(tables_387010!C169,input_387010!A:H,8,FALSE))</f>
        <v>8170</v>
      </c>
      <c r="P169" s="46">
        <f t="shared" ca="1" si="8"/>
        <v>2.375E-4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input_387010!A$2</f>
        <v>387010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IFERROR(VLOOKUP(B170,input_387010!L:R,7,FALSE),VLOOKUP(tables_387010!C170,input_387010!A:H,8,FALSE))</f>
        <v>430</v>
      </c>
      <c r="P170" s="46">
        <f t="shared" ca="1" si="8"/>
        <v>1.2500000000000001E-5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input_387010!A$2</f>
        <v>387010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IFERROR(VLOOKUP(B171,input_387010!L:R,7,FALSE),VLOOKUP(tables_387010!C171,input_387010!A:H,8,FALSE))</f>
        <v>190000</v>
      </c>
      <c r="P171" s="46">
        <f t="shared" ca="1" si="8"/>
        <v>5.5232558139534883E-3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input_387010!A$2</f>
        <v>387010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IFERROR(VLOOKUP(B172,input_387010!L:R,7,FALSE),VLOOKUP(tables_387010!C172,input_387010!A:H,8,FALSE))</f>
        <v>171000</v>
      </c>
      <c r="P172" s="46">
        <f t="shared" ca="1" si="8"/>
        <v>4.9709302325581396E-3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input_387010!A$2</f>
        <v>387010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IFERROR(VLOOKUP(B173,input_387010!L:R,7,FALSE),VLOOKUP(tables_387010!C173,input_387010!A:H,8,FALSE))</f>
        <v>19000</v>
      </c>
      <c r="P173" s="46">
        <f t="shared" ca="1" si="8"/>
        <v>5.5232558139534885E-4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input_387010!A$2</f>
        <v>387010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IFERROR(VLOOKUP(B174,input_387010!L:R,7,FALSE),VLOOKUP(tables_387010!C174,input_387010!A:H,8,FALSE))</f>
        <v>8170</v>
      </c>
      <c r="P174" s="46">
        <f t="shared" ca="1" si="8"/>
        <v>2.375E-4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input_387010!A$2</f>
        <v>387010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IFERROR(VLOOKUP(B175,input_387010!L:R,7,FALSE),VLOOKUP(tables_387010!C175,input_387010!A:H,8,FALSE))</f>
        <v>430</v>
      </c>
      <c r="P175" s="46">
        <f t="shared" ca="1" si="8"/>
        <v>1.2500000000000001E-5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input_387010!A$2</f>
        <v>387010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IFERROR(VLOOKUP(B176,input_387010!L:R,7,FALSE),VLOOKUP(tables_387010!C176,input_387010!A:H,8,FALSE))</f>
        <v>8170</v>
      </c>
      <c r="P176" s="46">
        <f t="shared" ca="1" si="8"/>
        <v>2.375E-4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input_387010!A$2</f>
        <v>387010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IFERROR(VLOOKUP(B177,input_387010!L:R,7,FALSE),VLOOKUP(tables_387010!C177,input_387010!A:H,8,FALSE))</f>
        <v>430</v>
      </c>
      <c r="P177" s="46">
        <f t="shared" ca="1" si="8"/>
        <v>1.2500000000000001E-5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input_387010!A$2</f>
        <v>387010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IFERROR(VLOOKUP(B178,input_387010!L:R,7,FALSE),VLOOKUP(tables_387010!C178,input_387010!A:H,8,FALSE))</f>
        <v>190000</v>
      </c>
      <c r="P178" s="46">
        <f t="shared" ca="1" si="8"/>
        <v>5.5232558139534883E-3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input_387010!A$2</f>
        <v>387010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IFERROR(VLOOKUP(B179,input_387010!L:R,7,FALSE),VLOOKUP(tables_387010!C179,input_387010!A:H,8,FALSE))</f>
        <v>171000</v>
      </c>
      <c r="P179" s="46">
        <f t="shared" ca="1" si="8"/>
        <v>4.9709302325581396E-3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input_387010!A$2</f>
        <v>387010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IFERROR(VLOOKUP(B180,input_387010!L:R,7,FALSE),VLOOKUP(tables_387010!C180,input_387010!A:H,8,FALSE))</f>
        <v>19000</v>
      </c>
      <c r="P180" s="46">
        <f t="shared" ca="1" si="8"/>
        <v>5.5232558139534885E-4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input_387010!A$2</f>
        <v>387010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IFERROR(VLOOKUP(B181,input_387010!L:R,7,FALSE),VLOOKUP(tables_387010!C181,input_387010!A:H,8,FALSE))</f>
        <v>190000</v>
      </c>
      <c r="P181" s="46">
        <f t="shared" ca="1" si="8"/>
        <v>5.5232558139534883E-3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input_387010!A$2</f>
        <v>387010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IFERROR(VLOOKUP(B182,input_387010!L:R,7,FALSE),VLOOKUP(tables_387010!C182,input_387010!A:H,8,FALSE))</f>
        <v>171000</v>
      </c>
      <c r="P182" s="46">
        <f t="shared" ca="1" si="8"/>
        <v>4.9709302325581396E-3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input_387010!A$2</f>
        <v>387010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IFERROR(VLOOKUP(B183,input_387010!L:R,7,FALSE),VLOOKUP(tables_387010!C183,input_387010!A:H,8,FALSE))</f>
        <v>19000</v>
      </c>
      <c r="P183" s="46">
        <f t="shared" ca="1" si="8"/>
        <v>5.5232558139534885E-4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input_387010!A$2</f>
        <v>387010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IFERROR(VLOOKUP(B184,input_387010!L:R,7,FALSE),VLOOKUP(tables_387010!C184,input_387010!A:H,8,FALSE))</f>
        <v>8170</v>
      </c>
      <c r="P184" s="46">
        <f t="shared" ca="1" si="8"/>
        <v>2.375E-4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input_387010!A$2</f>
        <v>387010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IFERROR(VLOOKUP(B185,input_387010!L:R,7,FALSE),VLOOKUP(tables_387010!C185,input_387010!A:H,8,FALSE))</f>
        <v>430</v>
      </c>
      <c r="P185" s="46">
        <f t="shared" ca="1" si="8"/>
        <v>1.2500000000000001E-5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input_387010!A$2</f>
        <v>387010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IFERROR(VLOOKUP(B186,input_387010!L:R,7,FALSE),VLOOKUP(tables_387010!C186,input_387010!A:H,8,FALSE))</f>
        <v>190000</v>
      </c>
      <c r="P186" s="46">
        <f t="shared" ca="1" si="8"/>
        <v>5.5232558139534883E-3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input_387010!A$2</f>
        <v>387010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IFERROR(VLOOKUP(B187,input_387010!L:R,7,FALSE),VLOOKUP(tables_387010!C187,input_387010!A:H,8,FALSE))</f>
        <v>171000</v>
      </c>
      <c r="P187" s="46">
        <f t="shared" ca="1" si="8"/>
        <v>4.9709302325581396E-3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input_387010!A$2</f>
        <v>387010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IFERROR(VLOOKUP(B188,input_387010!L:R,7,FALSE),VLOOKUP(tables_387010!C188,input_387010!A:H,8,FALSE))</f>
        <v>19000</v>
      </c>
      <c r="P188" s="46">
        <f t="shared" ca="1" si="8"/>
        <v>5.5232558139534885E-4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input_387010!A$2</f>
        <v>387010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IFERROR(VLOOKUP(B189,input_387010!L:R,7,FALSE),VLOOKUP(tables_387010!C189,input_387010!A:H,8,FALSE))</f>
        <v>8170</v>
      </c>
      <c r="P189" s="46">
        <f t="shared" ca="1" si="8"/>
        <v>2.375E-4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input_387010!A$2</f>
        <v>387010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IFERROR(VLOOKUP(B190,input_387010!L:R,7,FALSE),VLOOKUP(tables_387010!C190,input_387010!A:H,8,FALSE))</f>
        <v>430</v>
      </c>
      <c r="P190" s="46">
        <f t="shared" ca="1" si="8"/>
        <v>1.2500000000000001E-5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input_387010!A$2</f>
        <v>387010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IFERROR(VLOOKUP(B191,input_387010!L:R,7,FALSE),VLOOKUP(tables_387010!C191,input_387010!A:H,8,FALSE))</f>
        <v>8170</v>
      </c>
      <c r="P191" s="46">
        <f t="shared" ca="1" si="8"/>
        <v>2.375E-4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input_387010!A$2</f>
        <v>387010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IFERROR(VLOOKUP(B192,input_387010!L:R,7,FALSE),VLOOKUP(tables_387010!C192,input_387010!A:H,8,FALSE))</f>
        <v>430</v>
      </c>
      <c r="P192" s="46">
        <f t="shared" ca="1" si="8"/>
        <v>1.2500000000000001E-5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input_387010!A$2</f>
        <v>387010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IFERROR(VLOOKUP(B193,input_387010!L:R,7,FALSE),VLOOKUP(tables_387010!C193,input_387010!A:H,8,FALSE))</f>
        <v>190000</v>
      </c>
      <c r="P193" s="46">
        <f t="shared" ca="1" si="8"/>
        <v>5.5232558139534883E-3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input_387010!A$2</f>
        <v>387010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IFERROR(VLOOKUP(B194,input_387010!L:R,7,FALSE),VLOOKUP(tables_387010!C194,input_387010!A:H,8,FALSE))</f>
        <v>171000</v>
      </c>
      <c r="P194" s="46">
        <f t="shared" ref="P194:P257" ca="1" si="11">O194/SUM(O:O)</f>
        <v>4.9709302325581396E-3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input_387010!A$2</f>
        <v>387010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IFERROR(VLOOKUP(B195,input_387010!L:R,7,FALSE),VLOOKUP(tables_387010!C195,input_387010!A:H,8,FALSE))</f>
        <v>19000</v>
      </c>
      <c r="P195" s="46">
        <f t="shared" ca="1" si="11"/>
        <v>5.5232558139534885E-4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input_387010!A$2</f>
        <v>387010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IFERROR(VLOOKUP(B196,input_387010!L:R,7,FALSE),VLOOKUP(tables_387010!C196,input_387010!A:H,8,FALSE))</f>
        <v>8170</v>
      </c>
      <c r="P196" s="46">
        <f t="shared" ca="1" si="11"/>
        <v>2.375E-4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input_387010!A$2</f>
        <v>387010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IFERROR(VLOOKUP(B197,input_387010!L:R,7,FALSE),VLOOKUP(tables_387010!C197,input_387010!A:H,8,FALSE))</f>
        <v>430</v>
      </c>
      <c r="P197" s="46">
        <f t="shared" ca="1" si="11"/>
        <v>1.2500000000000001E-5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input_387010!A$2</f>
        <v>387010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IFERROR(VLOOKUP(B198,input_387010!L:R,7,FALSE),VLOOKUP(tables_387010!C198,input_387010!A:H,8,FALSE))</f>
        <v>190000</v>
      </c>
      <c r="P198" s="46">
        <f t="shared" ca="1" si="11"/>
        <v>5.5232558139534883E-3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input_387010!A$2</f>
        <v>387010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IFERROR(VLOOKUP(B199,input_387010!L:R,7,FALSE),VLOOKUP(tables_387010!C199,input_387010!A:H,8,FALSE))</f>
        <v>171000</v>
      </c>
      <c r="P199" s="46">
        <f t="shared" ca="1" si="11"/>
        <v>4.9709302325581396E-3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input_387010!A$2</f>
        <v>387010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IFERROR(VLOOKUP(B200,input_387010!L:R,7,FALSE),VLOOKUP(tables_387010!C200,input_387010!A:H,8,FALSE))</f>
        <v>19000</v>
      </c>
      <c r="P200" s="46">
        <f t="shared" ca="1" si="11"/>
        <v>5.5232558139534885E-4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input_387010!A$2</f>
        <v>387010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IFERROR(VLOOKUP(B201,input_387010!L:R,7,FALSE),VLOOKUP(tables_387010!C201,input_387010!A:H,8,FALSE))</f>
        <v>8170</v>
      </c>
      <c r="P201" s="46">
        <f t="shared" ca="1" si="11"/>
        <v>2.375E-4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input_387010!A$2</f>
        <v>387010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IFERROR(VLOOKUP(B202,input_387010!L:R,7,FALSE),VLOOKUP(tables_387010!C202,input_387010!A:H,8,FALSE))</f>
        <v>430</v>
      </c>
      <c r="P202" s="46">
        <f t="shared" ca="1" si="11"/>
        <v>1.2500000000000001E-5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input_387010!A$2</f>
        <v>387010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IFERROR(VLOOKUP(B203,input_387010!L:R,7,FALSE),VLOOKUP(tables_387010!C203,input_387010!A:H,8,FALSE))</f>
        <v>190000</v>
      </c>
      <c r="P203" s="46">
        <f t="shared" ca="1" si="11"/>
        <v>5.5232558139534883E-3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input_387010!A$2</f>
        <v>387010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IFERROR(VLOOKUP(B204,input_387010!L:R,7,FALSE),VLOOKUP(tables_387010!C204,input_387010!A:H,8,FALSE))</f>
        <v>171000</v>
      </c>
      <c r="P204" s="46">
        <f t="shared" ca="1" si="11"/>
        <v>4.9709302325581396E-3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input_387010!A$2</f>
        <v>387010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IFERROR(VLOOKUP(B205,input_387010!L:R,7,FALSE),VLOOKUP(tables_387010!C205,input_387010!A:H,8,FALSE))</f>
        <v>19000</v>
      </c>
      <c r="P205" s="46">
        <f t="shared" ca="1" si="11"/>
        <v>5.5232558139534885E-4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input_387010!A$2</f>
        <v>387010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IFERROR(VLOOKUP(B206,input_387010!L:R,7,FALSE),VLOOKUP(tables_387010!C206,input_387010!A:H,8,FALSE))</f>
        <v>8170</v>
      </c>
      <c r="P206" s="46">
        <f t="shared" ca="1" si="11"/>
        <v>2.375E-4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input_387010!A$2</f>
        <v>387010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IFERROR(VLOOKUP(B207,input_387010!L:R,7,FALSE),VLOOKUP(tables_387010!C207,input_387010!A:H,8,FALSE))</f>
        <v>430</v>
      </c>
      <c r="P207" s="46">
        <f t="shared" ca="1" si="11"/>
        <v>1.2500000000000001E-5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input_387010!A$2</f>
        <v>387010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IFERROR(VLOOKUP(B208,input_387010!L:R,7,FALSE),VLOOKUP(tables_387010!C208,input_387010!A:H,8,FALSE))</f>
        <v>8170</v>
      </c>
      <c r="P208" s="46">
        <f t="shared" ca="1" si="11"/>
        <v>2.375E-4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input_387010!A$2</f>
        <v>387010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IFERROR(VLOOKUP(B209,input_387010!L:R,7,FALSE),VLOOKUP(tables_387010!C209,input_387010!A:H,8,FALSE))</f>
        <v>430</v>
      </c>
      <c r="P209" s="46">
        <f t="shared" ca="1" si="11"/>
        <v>1.2500000000000001E-5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input_387010!A$2</f>
        <v>387010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IFERROR(VLOOKUP(B210,input_387010!L:R,7,FALSE),VLOOKUP(tables_387010!C210,input_387010!A:H,8,FALSE))</f>
        <v>190000</v>
      </c>
      <c r="P210" s="46">
        <f t="shared" ca="1" si="11"/>
        <v>5.5232558139534883E-3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input_387010!A$2</f>
        <v>387010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IFERROR(VLOOKUP(B211,input_387010!L:R,7,FALSE),VLOOKUP(tables_387010!C211,input_387010!A:H,8,FALSE))</f>
        <v>171000</v>
      </c>
      <c r="P211" s="46">
        <f t="shared" ca="1" si="11"/>
        <v>4.9709302325581396E-3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input_387010!A$2</f>
        <v>387010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IFERROR(VLOOKUP(B212,input_387010!L:R,7,FALSE),VLOOKUP(tables_387010!C212,input_387010!A:H,8,FALSE))</f>
        <v>19000</v>
      </c>
      <c r="P212" s="46">
        <f t="shared" ca="1" si="11"/>
        <v>5.5232558139534885E-4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input_387010!A$2</f>
        <v>387010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IFERROR(VLOOKUP(B213,input_387010!L:R,7,FALSE),VLOOKUP(tables_387010!C213,input_387010!A:H,8,FALSE))</f>
        <v>8170</v>
      </c>
      <c r="P213" s="46">
        <f t="shared" ca="1" si="11"/>
        <v>2.375E-4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input_387010!A$2</f>
        <v>387010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IFERROR(VLOOKUP(B214,input_387010!L:R,7,FALSE),VLOOKUP(tables_387010!C214,input_387010!A:H,8,FALSE))</f>
        <v>430</v>
      </c>
      <c r="P214" s="46">
        <f t="shared" ca="1" si="11"/>
        <v>1.2500000000000001E-5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input_387010!A$2</f>
        <v>387010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IFERROR(VLOOKUP(B215,input_387010!L:R,7,FALSE),VLOOKUP(tables_387010!C215,input_387010!A:H,8,FALSE))</f>
        <v>8170</v>
      </c>
      <c r="P215" s="46">
        <f t="shared" ca="1" si="11"/>
        <v>2.375E-4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input_387010!A$2</f>
        <v>387010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IFERROR(VLOOKUP(B216,input_387010!L:R,7,FALSE),VLOOKUP(tables_387010!C216,input_387010!A:H,8,FALSE))</f>
        <v>430</v>
      </c>
      <c r="P216" s="46">
        <f t="shared" ca="1" si="11"/>
        <v>1.2500000000000001E-5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input_387010!A$2</f>
        <v>387010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IFERROR(VLOOKUP(B217,input_387010!L:R,7,FALSE),VLOOKUP(tables_387010!C217,input_387010!A:H,8,FALSE))</f>
        <v>190000</v>
      </c>
      <c r="P217" s="46">
        <f t="shared" ca="1" si="11"/>
        <v>5.5232558139534883E-3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input_387010!A$2</f>
        <v>387010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IFERROR(VLOOKUP(B218,input_387010!L:R,7,FALSE),VLOOKUP(tables_387010!C218,input_387010!A:H,8,FALSE))</f>
        <v>171000</v>
      </c>
      <c r="P218" s="46">
        <f t="shared" ca="1" si="11"/>
        <v>4.9709302325581396E-3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input_387010!A$2</f>
        <v>387010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IFERROR(VLOOKUP(B219,input_387010!L:R,7,FALSE),VLOOKUP(tables_387010!C219,input_387010!A:H,8,FALSE))</f>
        <v>19000</v>
      </c>
      <c r="P219" s="46">
        <f t="shared" ca="1" si="11"/>
        <v>5.5232558139534885E-4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input_387010!A$2</f>
        <v>387010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IFERROR(VLOOKUP(B220,input_387010!L:R,7,FALSE),VLOOKUP(tables_387010!C220,input_387010!A:H,8,FALSE))</f>
        <v>190000</v>
      </c>
      <c r="P220" s="46">
        <f t="shared" ca="1" si="11"/>
        <v>5.5232558139534883E-3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input_387010!A$2</f>
        <v>387010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IFERROR(VLOOKUP(B221,input_387010!L:R,7,FALSE),VLOOKUP(tables_387010!C221,input_387010!A:H,8,FALSE))</f>
        <v>171000</v>
      </c>
      <c r="P221" s="46">
        <f t="shared" ca="1" si="11"/>
        <v>4.9709302325581396E-3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input_387010!A$2</f>
        <v>387010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IFERROR(VLOOKUP(B222,input_387010!L:R,7,FALSE),VLOOKUP(tables_387010!C222,input_387010!A:H,8,FALSE))</f>
        <v>19000</v>
      </c>
      <c r="P222" s="46">
        <f t="shared" ca="1" si="11"/>
        <v>5.5232558139534885E-4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input_387010!A$2</f>
        <v>387010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IFERROR(VLOOKUP(B223,input_387010!L:R,7,FALSE),VLOOKUP(tables_387010!C223,input_387010!A:H,8,FALSE))</f>
        <v>8170</v>
      </c>
      <c r="P223" s="46">
        <f t="shared" ca="1" si="11"/>
        <v>2.375E-4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input_387010!A$2</f>
        <v>387010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IFERROR(VLOOKUP(B224,input_387010!L:R,7,FALSE),VLOOKUP(tables_387010!C224,input_387010!A:H,8,FALSE))</f>
        <v>430</v>
      </c>
      <c r="P224" s="46">
        <f t="shared" ca="1" si="11"/>
        <v>1.2500000000000001E-5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input_387010!A$2</f>
        <v>387010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IFERROR(VLOOKUP(B225,input_387010!L:R,7,FALSE),VLOOKUP(tables_387010!C225,input_387010!A:H,8,FALSE))</f>
        <v>190000</v>
      </c>
      <c r="P225" s="46">
        <f t="shared" ca="1" si="11"/>
        <v>5.5232558139534883E-3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input_387010!A$2</f>
        <v>387010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IFERROR(VLOOKUP(B226,input_387010!L:R,7,FALSE),VLOOKUP(tables_387010!C226,input_387010!A:H,8,FALSE))</f>
        <v>171000</v>
      </c>
      <c r="P226" s="46">
        <f t="shared" ca="1" si="11"/>
        <v>4.9709302325581396E-3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input_387010!A$2</f>
        <v>387010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IFERROR(VLOOKUP(B227,input_387010!L:R,7,FALSE),VLOOKUP(tables_387010!C227,input_387010!A:H,8,FALSE))</f>
        <v>19000</v>
      </c>
      <c r="P227" s="46">
        <f t="shared" ca="1" si="11"/>
        <v>5.5232558139534885E-4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input_387010!A$2</f>
        <v>387010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IFERROR(VLOOKUP(B228,input_387010!L:R,7,FALSE),VLOOKUP(tables_387010!C228,input_387010!A:H,8,FALSE))</f>
        <v>190000</v>
      </c>
      <c r="P228" s="46">
        <f t="shared" ca="1" si="11"/>
        <v>5.5232558139534883E-3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input_387010!A$2</f>
        <v>387010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IFERROR(VLOOKUP(B229,input_387010!L:R,7,FALSE),VLOOKUP(tables_387010!C229,input_387010!A:H,8,FALSE))</f>
        <v>171000</v>
      </c>
      <c r="P229" s="46">
        <f t="shared" ca="1" si="11"/>
        <v>4.9709302325581396E-3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input_387010!A$2</f>
        <v>387010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IFERROR(VLOOKUP(B230,input_387010!L:R,7,FALSE),VLOOKUP(tables_387010!C230,input_387010!A:H,8,FALSE))</f>
        <v>19000</v>
      </c>
      <c r="P230" s="46">
        <f t="shared" ca="1" si="11"/>
        <v>5.5232558139534885E-4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input_387010!A$2</f>
        <v>387010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IFERROR(VLOOKUP(B231,input_387010!L:R,7,FALSE),VLOOKUP(tables_387010!C231,input_387010!A:H,8,FALSE))</f>
        <v>8170</v>
      </c>
      <c r="P231" s="46">
        <f t="shared" ca="1" si="11"/>
        <v>2.375E-4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input_387010!A$2</f>
        <v>387010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IFERROR(VLOOKUP(B232,input_387010!L:R,7,FALSE),VLOOKUP(tables_387010!C232,input_387010!A:H,8,FALSE))</f>
        <v>430</v>
      </c>
      <c r="P232" s="46">
        <f t="shared" ca="1" si="11"/>
        <v>1.2500000000000001E-5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input_387010!A$2</f>
        <v>387010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IFERROR(VLOOKUP(B233,input_387010!L:R,7,FALSE),VLOOKUP(tables_387010!C233,input_387010!A:H,8,FALSE))</f>
        <v>190000</v>
      </c>
      <c r="P233" s="46">
        <f t="shared" ca="1" si="11"/>
        <v>5.5232558139534883E-3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input_387010!A$2</f>
        <v>387010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IFERROR(VLOOKUP(B234,input_387010!L:R,7,FALSE),VLOOKUP(tables_387010!C234,input_387010!A:H,8,FALSE))</f>
        <v>171000</v>
      </c>
      <c r="P234" s="46">
        <f t="shared" ca="1" si="11"/>
        <v>4.9709302325581396E-3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input_387010!A$2</f>
        <v>387010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IFERROR(VLOOKUP(B235,input_387010!L:R,7,FALSE),VLOOKUP(tables_387010!C235,input_387010!A:H,8,FALSE))</f>
        <v>19000</v>
      </c>
      <c r="P235" s="46">
        <f t="shared" ca="1" si="11"/>
        <v>5.5232558139534885E-4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input_387010!A$2</f>
        <v>387010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IFERROR(VLOOKUP(B236,input_387010!L:R,7,FALSE),VLOOKUP(tables_387010!C236,input_387010!A:H,8,FALSE))</f>
        <v>8170</v>
      </c>
      <c r="P236" s="46">
        <f t="shared" ca="1" si="11"/>
        <v>2.375E-4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input_387010!A$2</f>
        <v>387010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IFERROR(VLOOKUP(B237,input_387010!L:R,7,FALSE),VLOOKUP(tables_387010!C237,input_387010!A:H,8,FALSE))</f>
        <v>430</v>
      </c>
      <c r="P237" s="46">
        <f t="shared" ca="1" si="11"/>
        <v>1.2500000000000001E-5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input_387010!A$2</f>
        <v>387010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IFERROR(VLOOKUP(B238,input_387010!L:R,7,FALSE),VLOOKUP(tables_387010!C238,input_387010!A:H,8,FALSE))</f>
        <v>8170</v>
      </c>
      <c r="P238" s="46">
        <f t="shared" ca="1" si="11"/>
        <v>2.375E-4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input_387010!A$2</f>
        <v>387010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IFERROR(VLOOKUP(B239,input_387010!L:R,7,FALSE),VLOOKUP(tables_387010!C239,input_387010!A:H,8,FALSE))</f>
        <v>430</v>
      </c>
      <c r="P239" s="46">
        <f t="shared" ca="1" si="11"/>
        <v>1.2500000000000001E-5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input_387010!A$2</f>
        <v>387010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IFERROR(VLOOKUP(B240,input_387010!L:R,7,FALSE),VLOOKUP(tables_387010!C240,input_387010!A:H,8,FALSE))</f>
        <v>190000</v>
      </c>
      <c r="P240" s="46">
        <f t="shared" ca="1" si="11"/>
        <v>5.5232558139534883E-3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input_387010!A$2</f>
        <v>387010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IFERROR(VLOOKUP(B241,input_387010!L:R,7,FALSE),VLOOKUP(tables_387010!C241,input_387010!A:H,8,FALSE))</f>
        <v>171000</v>
      </c>
      <c r="P241" s="46">
        <f t="shared" ca="1" si="11"/>
        <v>4.9709302325581396E-3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input_387010!A$2</f>
        <v>387010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IFERROR(VLOOKUP(B242,input_387010!L:R,7,FALSE),VLOOKUP(tables_387010!C242,input_387010!A:H,8,FALSE))</f>
        <v>19000</v>
      </c>
      <c r="P242" s="46">
        <f t="shared" ca="1" si="11"/>
        <v>5.5232558139534885E-4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input_387010!A$2</f>
        <v>387010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IFERROR(VLOOKUP(B243,input_387010!L:R,7,FALSE),VLOOKUP(tables_387010!C243,input_387010!A:H,8,FALSE))</f>
        <v>190000</v>
      </c>
      <c r="P243" s="46">
        <f t="shared" ca="1" si="11"/>
        <v>5.5232558139534883E-3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input_387010!A$2</f>
        <v>387010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IFERROR(VLOOKUP(B244,input_387010!L:R,7,FALSE),VLOOKUP(tables_387010!C244,input_387010!A:H,8,FALSE))</f>
        <v>171000</v>
      </c>
      <c r="P244" s="46">
        <f t="shared" ca="1" si="11"/>
        <v>4.9709302325581396E-3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input_387010!A$2</f>
        <v>387010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IFERROR(VLOOKUP(B245,input_387010!L:R,7,FALSE),VLOOKUP(tables_387010!C245,input_387010!A:H,8,FALSE))</f>
        <v>19000</v>
      </c>
      <c r="P245" s="46">
        <f t="shared" ca="1" si="11"/>
        <v>5.5232558139534885E-4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input_387010!A$2</f>
        <v>387010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IFERROR(VLOOKUP(B246,input_387010!L:R,7,FALSE),VLOOKUP(tables_387010!C246,input_387010!A:H,8,FALSE))</f>
        <v>190000</v>
      </c>
      <c r="P246" s="46">
        <f t="shared" ca="1" si="11"/>
        <v>5.5232558139534883E-3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input_387010!A$2</f>
        <v>387010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IFERROR(VLOOKUP(B247,input_387010!L:R,7,FALSE),VLOOKUP(tables_387010!C247,input_387010!A:H,8,FALSE))</f>
        <v>171000</v>
      </c>
      <c r="P247" s="46">
        <f t="shared" ca="1" si="11"/>
        <v>4.9709302325581396E-3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input_387010!A$2</f>
        <v>387010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IFERROR(VLOOKUP(B248,input_387010!L:R,7,FALSE),VLOOKUP(tables_387010!C248,input_387010!A:H,8,FALSE))</f>
        <v>19000</v>
      </c>
      <c r="P248" s="46">
        <f t="shared" ca="1" si="11"/>
        <v>5.5232558139534885E-4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input_387010!A$2</f>
        <v>387010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IFERROR(VLOOKUP(B249,input_387010!L:R,7,FALSE),VLOOKUP(tables_387010!C249,input_387010!A:H,8,FALSE))</f>
        <v>190000</v>
      </c>
      <c r="P249" s="46">
        <f t="shared" ca="1" si="11"/>
        <v>5.5232558139534883E-3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input_387010!A$2</f>
        <v>387010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IFERROR(VLOOKUP(B250,input_387010!L:R,7,FALSE),VLOOKUP(tables_387010!C250,input_387010!A:H,8,FALSE))</f>
        <v>171000</v>
      </c>
      <c r="P250" s="46">
        <f t="shared" ca="1" si="11"/>
        <v>4.9709302325581396E-3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input_387010!A$2</f>
        <v>387010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IFERROR(VLOOKUP(B251,input_387010!L:R,7,FALSE),VLOOKUP(tables_387010!C251,input_387010!A:H,8,FALSE))</f>
        <v>19000</v>
      </c>
      <c r="P251" s="46">
        <f t="shared" ca="1" si="11"/>
        <v>5.5232558139534885E-4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input_387010!A$2</f>
        <v>387010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IFERROR(VLOOKUP(B252,input_387010!L:R,7,FALSE),VLOOKUP(tables_387010!C252,input_387010!A:H,8,FALSE))</f>
        <v>8170</v>
      </c>
      <c r="P252" s="46">
        <f t="shared" ca="1" si="11"/>
        <v>2.375E-4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input_387010!A$2</f>
        <v>387010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IFERROR(VLOOKUP(B253,input_387010!L:R,7,FALSE),VLOOKUP(tables_387010!C253,input_387010!A:H,8,FALSE))</f>
        <v>430</v>
      </c>
      <c r="P253" s="46">
        <f t="shared" ca="1" si="11"/>
        <v>1.2500000000000001E-5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input_387010!A$2</f>
        <v>387010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IFERROR(VLOOKUP(B254,input_387010!L:R,7,FALSE),VLOOKUP(tables_387010!C254,input_387010!A:H,8,FALSE))</f>
        <v>8170</v>
      </c>
      <c r="P254" s="46">
        <f t="shared" ca="1" si="11"/>
        <v>2.375E-4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input_387010!A$2</f>
        <v>387010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IFERROR(VLOOKUP(B255,input_387010!L:R,7,FALSE),VLOOKUP(tables_387010!C255,input_387010!A:H,8,FALSE))</f>
        <v>430</v>
      </c>
      <c r="P255" s="46">
        <f t="shared" ca="1" si="11"/>
        <v>1.2500000000000001E-5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input_387010!A$2</f>
        <v>387010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IFERROR(VLOOKUP(B256,input_387010!L:R,7,FALSE),VLOOKUP(tables_387010!C256,input_387010!A:H,8,FALSE))</f>
        <v>327558</v>
      </c>
      <c r="P256" s="46">
        <f t="shared" ca="1" si="11"/>
        <v>9.5220348837209302E-3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input_387010!A$2</f>
        <v>387010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IFERROR(VLOOKUP(B257,input_387010!L:R,7,FALSE),VLOOKUP(tables_387010!C257,input_387010!A:H,8,FALSE))</f>
        <v>52442</v>
      </c>
      <c r="P257" s="46">
        <f t="shared" ca="1" si="11"/>
        <v>1.5244767441860464E-3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input_387010!A$2</f>
        <v>387010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IFERROR(VLOOKUP(B258,input_387010!L:R,7,FALSE),VLOOKUP(tables_387010!C258,input_387010!A:H,8,FALSE))</f>
        <v>327558</v>
      </c>
      <c r="P258" s="46">
        <f t="shared" ref="P258:P294" ca="1" si="14">O258/SUM(O:O)</f>
        <v>9.5220348837209302E-3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input_387010!A$2</f>
        <v>387010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IFERROR(VLOOKUP(B259,input_387010!L:R,7,FALSE),VLOOKUP(tables_387010!C259,input_387010!A:H,8,FALSE))</f>
        <v>52442</v>
      </c>
      <c r="P259" s="46">
        <f t="shared" ca="1" si="14"/>
        <v>1.5244767441860464E-3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input_387010!A$2</f>
        <v>387010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IFERROR(VLOOKUP(B260,input_387010!L:R,7,FALSE),VLOOKUP(tables_387010!C260,input_387010!A:H,8,FALSE))</f>
        <v>8600</v>
      </c>
      <c r="P260" s="46">
        <f t="shared" ca="1" si="14"/>
        <v>2.5000000000000001E-4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input_387010!A$2</f>
        <v>387010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IFERROR(VLOOKUP(B261,input_387010!L:R,7,FALSE),VLOOKUP(tables_387010!C261,input_387010!A:H,8,FALSE))</f>
        <v>8600</v>
      </c>
      <c r="P261" s="46">
        <f t="shared" ca="1" si="14"/>
        <v>2.5000000000000001E-4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input_387010!A$2</f>
        <v>387010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>IFERROR(VLOOKUP(B262,input_387010!L:R,7,FALSE),VLOOKUP(tables_387010!C262,input_387010!A:H,8,FALSE))</f>
        <v>172000</v>
      </c>
      <c r="P262" s="46">
        <f t="shared" ca="1" si="14"/>
        <v>5.0000000000000001E-3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input_387010!A$2</f>
        <v>387010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>IFERROR(VLOOKUP(B263,input_387010!L:R,7,FALSE),VLOOKUP(tables_387010!C263,input_387010!A:H,8,FALSE))</f>
        <v>516000</v>
      </c>
      <c r="P263" s="46">
        <f t="shared" ca="1" si="14"/>
        <v>1.4999999999999999E-2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input_387010!A$2</f>
        <v>387010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>IFERROR(VLOOKUP(B264,input_387010!L:R,7,FALSE),VLOOKUP(tables_387010!C264,input_387010!A:H,8,FALSE))</f>
        <v>172000</v>
      </c>
      <c r="P264" s="46">
        <f t="shared" ca="1" si="14"/>
        <v>5.0000000000000001E-3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input_387010!A$2</f>
        <v>387010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>IFERROR(VLOOKUP(B265,input_387010!L:R,7,FALSE),VLOOKUP(tables_387010!C265,input_387010!A:H,8,FALSE))</f>
        <v>516000</v>
      </c>
      <c r="P265" s="46">
        <f t="shared" ca="1" si="14"/>
        <v>1.4999999999999999E-2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input_387010!A$2</f>
        <v>387010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IFERROR(VLOOKUP(B266,input_387010!L:R,7,FALSE),VLOOKUP(tables_387010!C266,input_387010!A:H,8,FALSE))</f>
        <v>190000</v>
      </c>
      <c r="P266" s="46">
        <f t="shared" ca="1" si="14"/>
        <v>5.5232558139534883E-3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input_387010!A$2</f>
        <v>387010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IFERROR(VLOOKUP(B267,input_387010!L:R,7,FALSE),VLOOKUP(tables_387010!C267,input_387010!A:H,8,FALSE))</f>
        <v>171000</v>
      </c>
      <c r="P267" s="46">
        <f t="shared" ca="1" si="14"/>
        <v>4.9709302325581396E-3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input_387010!A$2</f>
        <v>387010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IFERROR(VLOOKUP(B268,input_387010!L:R,7,FALSE),VLOOKUP(tables_387010!C268,input_387010!A:H,8,FALSE))</f>
        <v>19000</v>
      </c>
      <c r="P268" s="46">
        <f t="shared" ca="1" si="14"/>
        <v>5.5232558139534885E-4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input_387010!A$2</f>
        <v>387010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IFERROR(VLOOKUP(B269,input_387010!L:R,7,FALSE),VLOOKUP(tables_387010!C269,input_387010!A:H,8,FALSE))</f>
        <v>190000</v>
      </c>
      <c r="P269" s="46">
        <f t="shared" ca="1" si="14"/>
        <v>5.5232558139534883E-3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input_387010!A$2</f>
        <v>387010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IFERROR(VLOOKUP(B270,input_387010!L:R,7,FALSE),VLOOKUP(tables_387010!C270,input_387010!A:H,8,FALSE))</f>
        <v>171000</v>
      </c>
      <c r="P270" s="46">
        <f t="shared" ca="1" si="14"/>
        <v>4.9709302325581396E-3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input_387010!A$2</f>
        <v>387010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IFERROR(VLOOKUP(B271,input_387010!L:R,7,FALSE),VLOOKUP(tables_387010!C271,input_387010!A:H,8,FALSE))</f>
        <v>19000</v>
      </c>
      <c r="P271" s="46">
        <f t="shared" ca="1" si="14"/>
        <v>5.5232558139534885E-4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input_387010!A$2</f>
        <v>387010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IFERROR(VLOOKUP(B272,input_387010!L:R,7,FALSE),VLOOKUP(tables_387010!C272,input_387010!A:H,8,FALSE))</f>
        <v>8600</v>
      </c>
      <c r="P272" s="46">
        <f t="shared" ca="1" si="14"/>
        <v>2.5000000000000001E-4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input_387010!A$2</f>
        <v>387010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IFERROR(VLOOKUP(B273,input_387010!L:R,7,FALSE),VLOOKUP(tables_387010!C273,input_387010!A:H,8,FALSE))</f>
        <v>8600</v>
      </c>
      <c r="P273" s="46">
        <f t="shared" ca="1" si="14"/>
        <v>2.5000000000000001E-4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input_387010!A$2</f>
        <v>387010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IFERROR(VLOOKUP(B274,input_387010!L:R,7,FALSE),VLOOKUP(tables_387010!C274,input_387010!A:H,8,FALSE))</f>
        <v>327558</v>
      </c>
      <c r="P274" s="46">
        <f t="shared" ca="1" si="14"/>
        <v>9.5220348837209302E-3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input_387010!A$2</f>
        <v>387010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IFERROR(VLOOKUP(B275,input_387010!L:R,7,FALSE),VLOOKUP(tables_387010!C275,input_387010!A:H,8,FALSE))</f>
        <v>52442</v>
      </c>
      <c r="P275" s="46">
        <f t="shared" ca="1" si="14"/>
        <v>1.5244767441860464E-3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input_387010!A$2</f>
        <v>387010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IFERROR(VLOOKUP(B276,input_387010!L:R,7,FALSE),VLOOKUP(tables_387010!C276,input_387010!A:H,8,FALSE))</f>
        <v>327558</v>
      </c>
      <c r="P276" s="46">
        <f t="shared" ca="1" si="14"/>
        <v>9.5220348837209302E-3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input_387010!A$2</f>
        <v>387010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IFERROR(VLOOKUP(B277,input_387010!L:R,7,FALSE),VLOOKUP(tables_387010!C277,input_387010!A:H,8,FALSE))</f>
        <v>52442</v>
      </c>
      <c r="P277" s="46">
        <f t="shared" ca="1" si="14"/>
        <v>1.5244767441860464E-3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input_387010!A$2</f>
        <v>387010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IFERROR(VLOOKUP(B278,input_387010!L:R,7,FALSE),VLOOKUP(tables_387010!C278,input_387010!A:H,8,FALSE))</f>
        <v>327558</v>
      </c>
      <c r="P278" s="46">
        <f t="shared" ca="1" si="14"/>
        <v>9.5220348837209302E-3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input_387010!A$2</f>
        <v>387010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IFERROR(VLOOKUP(B279,input_387010!L:R,7,FALSE),VLOOKUP(tables_387010!C279,input_387010!A:H,8,FALSE))</f>
        <v>52442</v>
      </c>
      <c r="P279" s="46">
        <f t="shared" ca="1" si="14"/>
        <v>1.5244767441860464E-3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input_387010!A$2</f>
        <v>387010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IFERROR(VLOOKUP(B280,input_387010!L:R,7,FALSE),VLOOKUP(tables_387010!C280,input_387010!A:H,8,FALSE))</f>
        <v>327558</v>
      </c>
      <c r="P280" s="46">
        <f t="shared" ca="1" si="14"/>
        <v>9.5220348837209302E-3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input_387010!A$2</f>
        <v>387010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IFERROR(VLOOKUP(B281,input_387010!L:R,7,FALSE),VLOOKUP(tables_387010!C281,input_387010!A:H,8,FALSE))</f>
        <v>52442</v>
      </c>
      <c r="P281" s="46">
        <f t="shared" ca="1" si="14"/>
        <v>1.5244767441860464E-3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input_387010!A$2</f>
        <v>387010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IFERROR(VLOOKUP(B282,input_387010!L:R,7,FALSE),VLOOKUP(tables_387010!C282,input_387010!A:H,8,FALSE))</f>
        <v>8600</v>
      </c>
      <c r="P282" s="46">
        <f t="shared" ca="1" si="14"/>
        <v>2.5000000000000001E-4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input_387010!A$2</f>
        <v>387010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IFERROR(VLOOKUP(B283,input_387010!L:R,7,FALSE),VLOOKUP(tables_387010!C283,input_387010!A:H,8,FALSE))</f>
        <v>8600</v>
      </c>
      <c r="P283" s="46">
        <f t="shared" ca="1" si="14"/>
        <v>2.5000000000000001E-4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input_387010!A$2</f>
        <v>387010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IFERROR(VLOOKUP(B284,input_387010!L:R,7,FALSE),VLOOKUP(tables_387010!C284,input_387010!A:H,8,FALSE))</f>
        <v>8600</v>
      </c>
      <c r="P284" s="46">
        <f t="shared" ca="1" si="14"/>
        <v>2.5000000000000001E-4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input_387010!A$2</f>
        <v>387010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IFERROR(VLOOKUP(B285,input_387010!L:R,7,FALSE),VLOOKUP(tables_387010!C285,input_387010!A:H,8,FALSE))</f>
        <v>8600</v>
      </c>
      <c r="P285" s="46">
        <f t="shared" ca="1" si="14"/>
        <v>2.5000000000000001E-4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input_387010!A$2</f>
        <v>387010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IFERROR(VLOOKUP(B286,input_387010!L:R,7,FALSE),VLOOKUP(tables_387010!C286,input_387010!A:H,8,FALSE))</f>
        <v>327558</v>
      </c>
      <c r="P286" s="46">
        <f t="shared" ca="1" si="14"/>
        <v>9.5220348837209302E-3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input_387010!A$2</f>
        <v>387010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IFERROR(VLOOKUP(B287,input_387010!L:R,7,FALSE),VLOOKUP(tables_387010!C287,input_387010!A:H,8,FALSE))</f>
        <v>52442</v>
      </c>
      <c r="P287" s="46">
        <f t="shared" ca="1" si="14"/>
        <v>1.5244767441860464E-3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input_387010!A$2</f>
        <v>387010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IFERROR(VLOOKUP(B288,input_387010!L:R,7,FALSE),VLOOKUP(tables_387010!C288,input_387010!A:H,8,FALSE))</f>
        <v>327558</v>
      </c>
      <c r="P288" s="46">
        <f t="shared" ca="1" si="14"/>
        <v>9.5220348837209302E-3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input_387010!A$2</f>
        <v>387010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IFERROR(VLOOKUP(B289,input_387010!L:R,7,FALSE),VLOOKUP(tables_387010!C289,input_387010!A:H,8,FALSE))</f>
        <v>52442</v>
      </c>
      <c r="P289" s="46">
        <f t="shared" ca="1" si="14"/>
        <v>1.5244767441860464E-3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input_387010!A$2</f>
        <v>387010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IFERROR(VLOOKUP(B290,input_387010!L:R,7,FALSE),VLOOKUP(tables_387010!C290,input_387010!A:H,8,FALSE))</f>
        <v>8600</v>
      </c>
      <c r="P290" s="46">
        <f t="shared" ca="1" si="14"/>
        <v>2.5000000000000001E-4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input_387010!A$2</f>
        <v>387010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IFERROR(VLOOKUP(B291,input_387010!L:R,7,FALSE),VLOOKUP(tables_387010!C291,input_387010!A:H,8,FALSE))</f>
        <v>327558</v>
      </c>
      <c r="P291" s="46">
        <f t="shared" ca="1" si="14"/>
        <v>9.5220348837209302E-3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input_387010!A$2</f>
        <v>387010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IFERROR(VLOOKUP(B292,input_387010!L:R,7,FALSE),VLOOKUP(tables_387010!C292,input_387010!A:H,8,FALSE))</f>
        <v>52442</v>
      </c>
      <c r="P292" s="46">
        <f t="shared" ca="1" si="14"/>
        <v>1.5244767441860464E-3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input_387010!A$2</f>
        <v>387010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IFERROR(VLOOKUP(B293,input_387010!L:R,7,FALSE),VLOOKUP(tables_387010!C293,input_387010!A:H,8,FALSE))</f>
        <v>8600</v>
      </c>
      <c r="P293" s="46">
        <f t="shared" ca="1" si="14"/>
        <v>2.5000000000000001E-4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input_387010!A$2</f>
        <v>387010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IFERROR(VLOOKUP(B294,input_387010!L:R,7,FALSE),VLOOKUP(tables_387010!C294,input_387010!A:H,8,FALSE))</f>
        <v>8600</v>
      </c>
      <c r="P294" s="46">
        <f t="shared" ca="1" si="14"/>
        <v>2.5000000000000001E-4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input_387010!A$2</f>
        <v>387010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ref="D295:D299" si="20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IFERROR(VLOOKUP(B295,input_387010!L:R,7,FALSE),VLOOKUP(tables_387010!C295,input_387010!A:H,8,FALSE))</f>
        <v>8600</v>
      </c>
      <c r="P295" s="46">
        <f t="shared" ref="P295:P299" ca="1" si="21">O295/SUM(O:O)</f>
        <v>2.5000000000000001E-4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input_387010!A$2</f>
        <v>387010</v>
      </c>
      <c r="B296" s="5">
        <v>1014</v>
      </c>
      <c r="C296" s="7" t="str">
        <f t="shared" si="19"/>
        <v>PremiumSS5R5only</v>
      </c>
      <c r="D296" s="7" t="str">
        <f t="shared" si="20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IFERROR(VLOOKUP(B296,input_387010!L:R,7,FALSE),VLOOKUP(tables_387010!C296,input_387010!A:H,8,FALSE))</f>
        <v>8600</v>
      </c>
      <c r="P296" s="46">
        <f t="shared" ca="1" si="21"/>
        <v>2.5000000000000001E-4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input_387010!A$2</f>
        <v>387010</v>
      </c>
      <c r="B297" s="5">
        <v>1016</v>
      </c>
      <c r="C297" s="7" t="str">
        <f t="shared" si="19"/>
        <v>Premium4R3less</v>
      </c>
      <c r="D297" s="7" t="str">
        <f t="shared" si="20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IFERROR(VLOOKUP(B297,input_387010!L:R,7,FALSE),VLOOKUP(tables_387010!C297,input_387010!A:H,8,FALSE))</f>
        <v>327558</v>
      </c>
      <c r="P297" s="46">
        <f t="shared" ca="1" si="21"/>
        <v>9.5220348837209302E-3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input_387010!A$2</f>
        <v>387010</v>
      </c>
      <c r="B298" s="5">
        <v>1017</v>
      </c>
      <c r="C298" s="7" t="str">
        <f t="shared" si="19"/>
        <v>Premium5R3less</v>
      </c>
      <c r="D298" s="7" t="str">
        <f t="shared" si="20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IFERROR(VLOOKUP(B298,input_387010!L:R,7,FALSE),VLOOKUP(tables_387010!C298,input_387010!A:H,8,FALSE))</f>
        <v>52442</v>
      </c>
      <c r="P298" s="46">
        <f t="shared" ca="1" si="21"/>
        <v>1.5244767441860464E-3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input_387010!A$2</f>
        <v>387010</v>
      </c>
      <c r="B299" s="5">
        <v>1018</v>
      </c>
      <c r="C299" s="7" t="str">
        <f t="shared" si="19"/>
        <v>PremiumSS5R5only</v>
      </c>
      <c r="D299" s="7" t="str">
        <f t="shared" si="20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IFERROR(VLOOKUP(B299,input_387010!L:R,7,FALSE),VLOOKUP(tables_387010!C299,input_387010!A:H,8,FALSE))</f>
        <v>8600</v>
      </c>
      <c r="P299" s="46">
        <f t="shared" ca="1" si="21"/>
        <v>2.5000000000000001E-4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A37" sqref="A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387100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770</v>
      </c>
      <c r="M3" s="37" t="str">
        <f>VLOOKUP(L3,[1]characters!$A:$C,3,FALSE)</f>
        <v>ハヅル</v>
      </c>
      <c r="N3" s="63">
        <v>5.0000000000000001E-3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VLOOKUP(L3,tables_387100!B:C,2,FALSE)</f>
        <v>PremiumSS4</v>
      </c>
      <c r="R3" s="62">
        <f t="shared" ref="R3:R20" si="1">N3*A$36</f>
        <v>172000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771</v>
      </c>
      <c r="M4" s="37" t="str">
        <f>VLOOKUP(L4,[1]characters!$A:$C,3,FALSE)</f>
        <v>天織羽鶴 ハヅル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VLOOKUP(L4,tables_387100!B:C,2,FALSE)</f>
        <v>PremiumSS5</v>
      </c>
      <c r="R4" s="62">
        <f t="shared" si="1"/>
        <v>516000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2.5000000000000006E-4</v>
      </c>
      <c r="F5">
        <f>(COUNTIF(tables_387100!C:C,input_387100!A28)+COUNTIF(tables_387100!C:C,input_387100!A29))</f>
        <v>42</v>
      </c>
      <c r="H5" s="85">
        <v>0.04</v>
      </c>
      <c r="I5" s="31">
        <v>2</v>
      </c>
      <c r="L5" s="96">
        <v>772</v>
      </c>
      <c r="M5" s="37" t="str">
        <f>VLOOKUP(L5,[1]characters!$A:$C,3,FALSE)</f>
        <v>イナバ</v>
      </c>
      <c r="N5" s="63">
        <v>5.0000000000000001E-3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VLOOKUP(L5,tables_387100!B:C,2,FALSE)</f>
        <v>PremiumSS4</v>
      </c>
      <c r="R5" s="62">
        <f t="shared" si="1"/>
        <v>172000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1.1046511627906977E-2</v>
      </c>
      <c r="F6">
        <f>(COUNTIF(tables_387100!C:C,input_387100!A25)+COUNTIF(tables_387100!C:C,input_387100!A18)+COUNTIF(tables_387100!C:C,input_387100!A20)+COUNTIF(tables_387100!C:C,input_387100!A22))</f>
        <v>86</v>
      </c>
      <c r="H6" s="90">
        <v>0</v>
      </c>
      <c r="I6" s="31">
        <v>0</v>
      </c>
      <c r="L6" s="60">
        <v>773</v>
      </c>
      <c r="M6" s="37" t="str">
        <f>VLOOKUP(L6,[1]characters!$A:$C,3,FALSE)</f>
        <v>浮跳天兎 イナバ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VLOOKUP(L6,tables_387100!B:C,2,FALSE)</f>
        <v>PremiumSS5</v>
      </c>
      <c r="R6" s="62">
        <f t="shared" si="1"/>
        <v>516000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VLOOKUP(L7,tables_387100!B:C,2,FALSE)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VLOOKUP(L8,tables_387100!B:C,2,FALSE)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VLOOKUP(L9,tables_387100!B:C,2,FALSE)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VLOOKUP(L10,tables_387100!B:C,2,FALSE)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243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VLOOKUP(L11,tables_387100!B:C,2,FALSE)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VLOOKUP(L12,tables_387100!B:C,2,FALSE)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0.01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VLOOKUP(L13,tables_387100!B:C,2,FALSE)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VLOOKUP(L14,tables_387100!B:C,2,FALSE)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VLOOKUP(L15,tables_387100!B:C,2,FALSE)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VLOOKUP(L16,tables_387100!B:C,2,FALSE)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COUNTIF(tables_387100!C:C,input_387100!A17)-COUNTIF(Q:Q,A17)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VLOOKUP(L17,tables_387100!B:C,2,FALSE)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0.22093023255813954</v>
      </c>
      <c r="C18" s="86">
        <f t="shared" si="2"/>
        <v>0</v>
      </c>
      <c r="D18" s="74">
        <f t="shared" si="3"/>
        <v>0.22093023255813954</v>
      </c>
      <c r="E18">
        <f>COUNTIF(tables_387100!C:C,input_387100!A18)-COUNTIF(Q:Q,A18)</f>
        <v>20</v>
      </c>
      <c r="F18" s="43">
        <f>IFERROR(B18/E18,0)</f>
        <v>1.1046511627906977E-2</v>
      </c>
      <c r="G18">
        <f t="shared" si="4"/>
        <v>7600000</v>
      </c>
      <c r="H18">
        <f t="shared" si="5"/>
        <v>380000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VLOOKUP(L18,tables_387100!B:C,2,FALSE)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COUNTIF(tables_387100!C:C,input_387100!A19)-COUNTIF(Q:Q,A19)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VLOOKUP(L19,tables_387100!B:C,2,FALSE)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0.54569767441860462</v>
      </c>
      <c r="C20" s="86">
        <f t="shared" si="2"/>
        <v>0</v>
      </c>
      <c r="D20" s="74">
        <f t="shared" si="3"/>
        <v>0.54569767441860462</v>
      </c>
      <c r="E20">
        <f>COUNTIF(tables_387100!C:C,input_387100!A20)-COUNTIF(Q:Q,A20)</f>
        <v>52</v>
      </c>
      <c r="F20" s="43">
        <f t="shared" si="8"/>
        <v>1.0494186046511627E-2</v>
      </c>
      <c r="G20">
        <f t="shared" si="4"/>
        <v>18772000</v>
      </c>
      <c r="H20">
        <f t="shared" si="5"/>
        <v>361000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VLOOKUP(L20,tables_387100!B:C,2,FALSE)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2.8720930232558142E-2</v>
      </c>
      <c r="C21" s="86">
        <f t="shared" si="2"/>
        <v>0</v>
      </c>
      <c r="D21" s="74">
        <f t="shared" si="3"/>
        <v>2.8720930232558142E-2</v>
      </c>
      <c r="E21">
        <f>COUNTIF(tables_387100!C:C,input_387100!A21)-COUNTIF(Q:Q,A21)</f>
        <v>52</v>
      </c>
      <c r="F21" s="43">
        <f t="shared" si="8"/>
        <v>5.5232558139534885E-4</v>
      </c>
      <c r="G21">
        <f t="shared" si="4"/>
        <v>988000.00000000012</v>
      </c>
      <c r="H21">
        <f t="shared" si="5"/>
        <v>19000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9.5220348837209312E-2</v>
      </c>
      <c r="C22" s="86">
        <f t="shared" si="2"/>
        <v>0</v>
      </c>
      <c r="D22" s="74">
        <f t="shared" si="3"/>
        <v>9.5220348837209312E-2</v>
      </c>
      <c r="E22">
        <f>COUNTIF(tables_387100!C:C,input_387100!A22)-COUNTIF(Q:Q,A22)</f>
        <v>10</v>
      </c>
      <c r="F22" s="43">
        <f t="shared" si="8"/>
        <v>9.5220348837209319E-3</v>
      </c>
      <c r="G22">
        <f t="shared" si="4"/>
        <v>3275580.0000000005</v>
      </c>
      <c r="H22">
        <f t="shared" si="5"/>
        <v>327558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1.5244767441860461E-2</v>
      </c>
      <c r="C23" s="86">
        <f t="shared" si="2"/>
        <v>0</v>
      </c>
      <c r="D23" s="74">
        <f t="shared" si="3"/>
        <v>1.5244767441860461E-2</v>
      </c>
      <c r="E23">
        <f>COUNTIF(tables_387100!C:C,input_387100!A23)-COUNTIF(Q:Q,A23)</f>
        <v>10</v>
      </c>
      <c r="F23" s="43">
        <f t="shared" si="8"/>
        <v>1.524476744186046E-3</v>
      </c>
      <c r="G23">
        <f t="shared" si="4"/>
        <v>524419.99999999988</v>
      </c>
      <c r="H23">
        <f t="shared" si="5"/>
        <v>52442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COUNTIF(tables_387100!C:C,input_387100!A24)-COUNTIF(Q:Q,A24)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4.1976744186046508E-2</v>
      </c>
      <c r="C25" s="86">
        <f t="shared" si="2"/>
        <v>0</v>
      </c>
      <c r="D25" s="74">
        <f t="shared" si="3"/>
        <v>4.1976744186046508E-2</v>
      </c>
      <c r="E25">
        <f>COUNTIF(tables_387100!C:C,input_387100!A25)-COUNTIF(Q:Q,A25)</f>
        <v>4</v>
      </c>
      <c r="F25" s="43">
        <f t="shared" si="8"/>
        <v>1.0494186046511627E-2</v>
      </c>
      <c r="G25">
        <f t="shared" si="4"/>
        <v>1443999.9999999998</v>
      </c>
      <c r="H25">
        <f t="shared" si="5"/>
        <v>361000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2.2093023255813954E-3</v>
      </c>
      <c r="C26" s="86">
        <f t="shared" si="2"/>
        <v>0</v>
      </c>
      <c r="D26" s="74">
        <f t="shared" si="3"/>
        <v>2.2093023255813954E-3</v>
      </c>
      <c r="E26">
        <f>COUNTIF(tables_387100!C:C,input_387100!A26)-COUNTIF(Q:Q,A26)</f>
        <v>4</v>
      </c>
      <c r="F26" s="43">
        <f t="shared" si="8"/>
        <v>5.5232558139534885E-4</v>
      </c>
      <c r="G26">
        <f t="shared" si="4"/>
        <v>76000</v>
      </c>
      <c r="H26">
        <f t="shared" si="5"/>
        <v>19000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6.1750000000000008E-3</v>
      </c>
      <c r="C27" s="86">
        <f t="shared" si="2"/>
        <v>0.01</v>
      </c>
      <c r="D27" s="74">
        <f t="shared" si="3"/>
        <v>-3.8249999999999994E-3</v>
      </c>
      <c r="E27">
        <f>COUNTIF(tables_387100!C:C,input_387100!A27)-COUNTIF(Q:Q,A27)</f>
        <v>26</v>
      </c>
      <c r="F27" s="43">
        <f>IFERROR(B27/E27,0)</f>
        <v>2.3750000000000003E-4</v>
      </c>
      <c r="G27">
        <f t="shared" si="4"/>
        <v>212420.00000000003</v>
      </c>
      <c r="H27">
        <f t="shared" si="5"/>
        <v>8170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3.2500000000000009E-4</v>
      </c>
      <c r="C28" s="86">
        <f t="shared" si="2"/>
        <v>0.03</v>
      </c>
      <c r="D28" s="74">
        <f t="shared" si="3"/>
        <v>-2.9675E-2</v>
      </c>
      <c r="E28">
        <f>COUNTIF(tables_387100!C:C,input_387100!A28)-COUNTIF(Q:Q,A28)</f>
        <v>26</v>
      </c>
      <c r="F28" s="43">
        <f t="shared" si="8"/>
        <v>1.2500000000000004E-5</v>
      </c>
      <c r="G28">
        <f t="shared" si="4"/>
        <v>11180.000000000004</v>
      </c>
      <c r="H28">
        <f t="shared" si="5"/>
        <v>430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3.5000000000000009E-3</v>
      </c>
      <c r="C29" s="86">
        <f t="shared" si="2"/>
        <v>0</v>
      </c>
      <c r="D29" s="74">
        <f t="shared" si="3"/>
        <v>3.5000000000000009E-3</v>
      </c>
      <c r="E29">
        <f>COUNTIF(tables_387100!C:C,input_387100!A29)-COUNTIF(Q:Q,A29)</f>
        <v>14</v>
      </c>
      <c r="F29" s="43">
        <f t="shared" si="8"/>
        <v>2.5000000000000006E-4</v>
      </c>
      <c r="G29">
        <f t="shared" si="4"/>
        <v>120400.00000000003</v>
      </c>
      <c r="H29">
        <f t="shared" si="5"/>
        <v>8600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COUNTIF(tables_387100!C:C,input_387100!A30)-COUNTIF(Q:Q,A30)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COUNTIF(tables_387100!C:C,input_387100!A31)-COUNTIF(Q:Q,A31)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0.95999999999999985</v>
      </c>
      <c r="C32" s="41">
        <f>SUM(C19:C31)</f>
        <v>0.04</v>
      </c>
      <c r="D32" s="42">
        <f t="shared" si="3"/>
        <v>0.91999999999999982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LCM(F5-I5,F6-I6)*1000*2*2*5</f>
        <v>34400000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SUMIF(tables_387100!C:C,input_387100!A40,tables_387100!O:O)</f>
        <v>0</v>
      </c>
      <c r="C40" s="54">
        <f t="shared" ref="C40:C46" ca="1" si="9">B40/B$47</f>
        <v>0</v>
      </c>
      <c r="E40">
        <v>3</v>
      </c>
      <c r="F40">
        <f ca="1">SUMIF(tables_387100!J:J,input_387100!E40,tables_387100!O:O)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SUMIF(tables_387100!C:C,input_387100!A41,tables_387100!O:O)</f>
        <v>18772000</v>
      </c>
      <c r="C41" s="54">
        <f t="shared" ca="1" si="9"/>
        <v>0.8788554092773273</v>
      </c>
      <c r="E41">
        <v>4</v>
      </c>
      <c r="F41">
        <f ca="1">SUMIF(tables_387100!J:J,input_387100!E41,tables_387100!O:O)</f>
        <v>31648000</v>
      </c>
      <c r="G41">
        <f ca="1">F41/A36</f>
        <v>0.92</v>
      </c>
    </row>
    <row r="42" spans="1:7" x14ac:dyDescent="0.15">
      <c r="A42" s="33" t="s">
        <v>106</v>
      </c>
      <c r="B42">
        <f ca="1">SUMIF(tables_387100!C:C,input_387100!A42,tables_387100!O:O)</f>
        <v>556420</v>
      </c>
      <c r="C42" s="54">
        <f t="shared" ca="1" si="9"/>
        <v>2.6050113298001835E-2</v>
      </c>
      <c r="E42">
        <v>5</v>
      </c>
      <c r="F42">
        <f ca="1">SUMIF(tables_387100!J:J,input_387100!E42,tables_387100!O:O)</f>
        <v>2752000</v>
      </c>
      <c r="G42">
        <f ca="1">F42/A36</f>
        <v>0.08</v>
      </c>
    </row>
    <row r="43" spans="1:7" x14ac:dyDescent="0.15">
      <c r="A43" s="33" t="s">
        <v>109</v>
      </c>
      <c r="B43">
        <f>SUMIF(tables_387100!C:C,input_387100!A43,tables_387100!O:O)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SUMIF(tables_387100!C:C,input_387100!A44,tables_387100!O:O)</f>
        <v>988000</v>
      </c>
      <c r="C44" s="54">
        <f t="shared" ca="1" si="9"/>
        <v>4.6255547856701433E-2</v>
      </c>
      <c r="E44" t="s">
        <v>54</v>
      </c>
      <c r="F44" s="55"/>
    </row>
    <row r="45" spans="1:7" x14ac:dyDescent="0.15">
      <c r="A45" s="33" t="s">
        <v>107</v>
      </c>
      <c r="B45">
        <f ca="1">SUMIF(tables_387100!C:C,input_387100!A45,tables_387100!O:O)</f>
        <v>1043180</v>
      </c>
      <c r="C45" s="54">
        <f t="shared" ca="1" si="9"/>
        <v>4.8838929567969439E-2</v>
      </c>
      <c r="E45" t="s">
        <v>204</v>
      </c>
      <c r="F45" s="55">
        <f ca="1">SUMIF(tables_387100!I:I,input_387100!E45,tables_387100!P:P)</f>
        <v>0.22093023255813957</v>
      </c>
    </row>
    <row r="46" spans="1:7" x14ac:dyDescent="0.15">
      <c r="A46" s="33" t="s">
        <v>108</v>
      </c>
      <c r="B46">
        <f>SUMIF(tables_387100!C:C,input_387100!A46,tables_387100!O:O)</f>
        <v>0</v>
      </c>
      <c r="C46" s="54">
        <f t="shared" ca="1" si="9"/>
        <v>0</v>
      </c>
      <c r="E46" t="s">
        <v>205</v>
      </c>
      <c r="F46" s="55">
        <f ca="1">SUMIF(tables_387100!I:I,input_387100!E46,tables_387100!P:P)</f>
        <v>0.22093023255813943</v>
      </c>
    </row>
    <row r="47" spans="1:7" x14ac:dyDescent="0.15">
      <c r="A47" s="39" t="s">
        <v>59</v>
      </c>
      <c r="B47">
        <f ca="1">SUM(B40:B46)</f>
        <v>21359600</v>
      </c>
      <c r="C47" s="55">
        <f ca="1">SUM(C40:C46)</f>
        <v>1</v>
      </c>
      <c r="E47" t="s">
        <v>206</v>
      </c>
      <c r="F47" s="55">
        <f ca="1">SUMIF(tables_387100!I:I,input_387100!E47,tables_387100!P:P)</f>
        <v>0.50813953488372099</v>
      </c>
    </row>
    <row r="48" spans="1:7" x14ac:dyDescent="0.15">
      <c r="E48" t="s">
        <v>207</v>
      </c>
      <c r="F48" s="55">
        <f ca="1">SUMIF(tables_387100!I:I,input_387100!E48,tables_387100!P:P)</f>
        <v>0.05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299" sqref="B29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input_387100!A$2</f>
        <v>387100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IFERROR(VLOOKUP(B2,input_387100!L:R,7,FALSE),VLOOKUP(tables_387100!C2,input_387100!A:H,8,FALSE))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input_387100!A$2</f>
        <v>387100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IFERROR(VLOOKUP(B3,input_387100!L:R,7,FALSE),VLOOKUP(tables_387100!C3,input_387100!A:H,8,FALSE))</f>
        <v>380000</v>
      </c>
      <c r="P3" s="46">
        <f t="shared" ca="1" si="2"/>
        <v>1.1046511627906977E-2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input_387100!A$2</f>
        <v>387100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IFERROR(VLOOKUP(B4,input_387100!L:R,7,FALSE),VLOOKUP(tables_387100!C4,input_387100!A:H,8,FALSE))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input_387100!A$2</f>
        <v>387100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IFERROR(VLOOKUP(B5,input_387100!L:R,7,FALSE),VLOOKUP(tables_387100!C5,input_387100!A:H,8,FALSE))</f>
        <v>380000</v>
      </c>
      <c r="P5" s="46">
        <f t="shared" ca="1" si="2"/>
        <v>1.1046511627906977E-2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input_387100!A$2</f>
        <v>387100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IFERROR(VLOOKUP(B6,input_387100!L:R,7,FALSE),VLOOKUP(tables_387100!C6,input_387100!A:H,8,FALSE))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input_387100!A$2</f>
        <v>387100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IFERROR(VLOOKUP(B7,input_387100!L:R,7,FALSE),VLOOKUP(tables_387100!C7,input_387100!A:H,8,FALSE))</f>
        <v>380000</v>
      </c>
      <c r="P7" s="46">
        <f t="shared" ca="1" si="2"/>
        <v>1.1046511627906977E-2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input_387100!A$2</f>
        <v>387100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IFERROR(VLOOKUP(B8,input_387100!L:R,7,FALSE),VLOOKUP(tables_387100!C8,input_387100!A:H,8,FALSE))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input_387100!A$2</f>
        <v>387100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IFERROR(VLOOKUP(B9,input_387100!L:R,7,FALSE),VLOOKUP(tables_387100!C9,input_387100!A:H,8,FALSE))</f>
        <v>380000</v>
      </c>
      <c r="P9" s="46">
        <f t="shared" ca="1" si="2"/>
        <v>1.1046511627906977E-2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input_387100!A$2</f>
        <v>387100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IFERROR(VLOOKUP(B10,input_387100!L:R,7,FALSE),VLOOKUP(tables_387100!C10,input_387100!A:H,8,FALSE))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input_387100!A$2</f>
        <v>387100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IFERROR(VLOOKUP(B11,input_387100!L:R,7,FALSE),VLOOKUP(tables_387100!C11,input_387100!A:H,8,FALSE))</f>
        <v>380000</v>
      </c>
      <c r="P11" s="46">
        <f t="shared" ca="1" si="2"/>
        <v>1.1046511627906977E-2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input_387100!A$2</f>
        <v>387100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IFERROR(VLOOKUP(B12,input_387100!L:R,7,FALSE),VLOOKUP(tables_387100!C12,input_387100!A:H,8,FALSE))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input_387100!A$2</f>
        <v>387100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IFERROR(VLOOKUP(B13,input_387100!L:R,7,FALSE),VLOOKUP(tables_387100!C13,input_387100!A:H,8,FALSE))</f>
        <v>380000</v>
      </c>
      <c r="P13" s="46">
        <f t="shared" ca="1" si="2"/>
        <v>1.1046511627906977E-2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input_387100!A$2</f>
        <v>387100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IFERROR(VLOOKUP(B14,input_387100!L:R,7,FALSE),VLOOKUP(tables_387100!C14,input_387100!A:H,8,FALSE))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input_387100!A$2</f>
        <v>387100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IFERROR(VLOOKUP(B15,input_387100!L:R,7,FALSE),VLOOKUP(tables_387100!C15,input_387100!A:H,8,FALSE))</f>
        <v>380000</v>
      </c>
      <c r="P15" s="46">
        <f t="shared" ca="1" si="2"/>
        <v>1.1046511627906977E-2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input_387100!A$2</f>
        <v>387100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IFERROR(VLOOKUP(B16,input_387100!L:R,7,FALSE),VLOOKUP(tables_387100!C16,input_387100!A:H,8,FALSE))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input_387100!A$2</f>
        <v>387100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IFERROR(VLOOKUP(B17,input_387100!L:R,7,FALSE),VLOOKUP(tables_387100!C17,input_387100!A:H,8,FALSE))</f>
        <v>380000</v>
      </c>
      <c r="P17" s="46">
        <f t="shared" ca="1" si="2"/>
        <v>1.1046511627906977E-2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input_387100!A$2</f>
        <v>387100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IFERROR(VLOOKUP(B18,input_387100!L:R,7,FALSE),VLOOKUP(tables_387100!C18,input_387100!A:H,8,FALSE))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input_387100!A$2</f>
        <v>387100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IFERROR(VLOOKUP(B19,input_387100!L:R,7,FALSE),VLOOKUP(tables_387100!C19,input_387100!A:H,8,FALSE))</f>
        <v>380000</v>
      </c>
      <c r="P19" s="46">
        <f t="shared" ca="1" si="2"/>
        <v>1.1046511627906977E-2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input_387100!A$2</f>
        <v>387100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IFERROR(VLOOKUP(B20,input_387100!L:R,7,FALSE),VLOOKUP(tables_387100!C20,input_387100!A:H,8,FALSE))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input_387100!A$2</f>
        <v>387100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IFERROR(VLOOKUP(B21,input_387100!L:R,7,FALSE),VLOOKUP(tables_387100!C21,input_387100!A:H,8,FALSE))</f>
        <v>380000</v>
      </c>
      <c r="P21" s="46">
        <f t="shared" ca="1" si="2"/>
        <v>1.1046511627906977E-2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input_387100!A$2</f>
        <v>387100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IFERROR(VLOOKUP(B22,input_387100!L:R,7,FALSE),VLOOKUP(tables_387100!C22,input_387100!A:H,8,FALSE))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input_387100!A$2</f>
        <v>387100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IFERROR(VLOOKUP(B23,input_387100!L:R,7,FALSE),VLOOKUP(tables_387100!C23,input_387100!A:H,8,FALSE))</f>
        <v>380000</v>
      </c>
      <c r="P23" s="46">
        <f t="shared" ca="1" si="2"/>
        <v>1.1046511627906977E-2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input_387100!A$2</f>
        <v>387100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IFERROR(VLOOKUP(B24,input_387100!L:R,7,FALSE),VLOOKUP(tables_387100!C24,input_387100!A:H,8,FALSE))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input_387100!A$2</f>
        <v>387100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IFERROR(VLOOKUP(B25,input_387100!L:R,7,FALSE),VLOOKUP(tables_387100!C25,input_387100!A:H,8,FALSE))</f>
        <v>380000</v>
      </c>
      <c r="P25" s="46">
        <f t="shared" ca="1" si="2"/>
        <v>1.1046511627906977E-2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input_387100!A$2</f>
        <v>387100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IFERROR(VLOOKUP(B26,input_387100!L:R,7,FALSE),VLOOKUP(tables_387100!C26,input_387100!A:H,8,FALSE))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input_387100!A$2</f>
        <v>387100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IFERROR(VLOOKUP(B27,input_387100!L:R,7,FALSE),VLOOKUP(tables_387100!C27,input_387100!A:H,8,FALSE))</f>
        <v>380000</v>
      </c>
      <c r="P27" s="46">
        <f t="shared" ca="1" si="2"/>
        <v>1.1046511627906977E-2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input_387100!A$2</f>
        <v>387100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IFERROR(VLOOKUP(B28,input_387100!L:R,7,FALSE),VLOOKUP(tables_387100!C28,input_387100!A:H,8,FALSE))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input_387100!A$2</f>
        <v>387100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IFERROR(VLOOKUP(B29,input_387100!L:R,7,FALSE),VLOOKUP(tables_387100!C29,input_387100!A:H,8,FALSE))</f>
        <v>380000</v>
      </c>
      <c r="P29" s="46">
        <f t="shared" ca="1" si="2"/>
        <v>1.1046511627906977E-2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input_387100!A$2</f>
        <v>387100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IFERROR(VLOOKUP(B30,input_387100!L:R,7,FALSE),VLOOKUP(tables_387100!C30,input_387100!A:H,8,FALSE))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input_387100!A$2</f>
        <v>387100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IFERROR(VLOOKUP(B31,input_387100!L:R,7,FALSE),VLOOKUP(tables_387100!C31,input_387100!A:H,8,FALSE))</f>
        <v>380000</v>
      </c>
      <c r="P31" s="46">
        <f t="shared" ca="1" si="2"/>
        <v>1.1046511627906977E-2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input_387100!A$2</f>
        <v>387100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IFERROR(VLOOKUP(B32,input_387100!L:R,7,FALSE),VLOOKUP(tables_387100!C32,input_387100!A:H,8,FALSE))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input_387100!A$2</f>
        <v>387100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IFERROR(VLOOKUP(B33,input_387100!L:R,7,FALSE),VLOOKUP(tables_387100!C33,input_387100!A:H,8,FALSE))</f>
        <v>380000</v>
      </c>
      <c r="P33" s="46">
        <f t="shared" ca="1" si="2"/>
        <v>1.1046511627906977E-2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input_387100!A$2</f>
        <v>387100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IFERROR(VLOOKUP(B34,input_387100!L:R,7,FALSE),VLOOKUP(tables_387100!C34,input_387100!A:H,8,FALSE))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input_387100!A$2</f>
        <v>387100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IFERROR(VLOOKUP(B35,input_387100!L:R,7,FALSE),VLOOKUP(tables_387100!C35,input_387100!A:H,8,FALSE))</f>
        <v>380000</v>
      </c>
      <c r="P35" s="46">
        <f t="shared" ca="1" si="2"/>
        <v>1.1046511627906977E-2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input_387100!A$2</f>
        <v>387100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IFERROR(VLOOKUP(B36,input_387100!L:R,7,FALSE),VLOOKUP(tables_387100!C36,input_387100!A:H,8,FALSE))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input_387100!A$2</f>
        <v>387100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IFERROR(VLOOKUP(B37,input_387100!L:R,7,FALSE),VLOOKUP(tables_387100!C37,input_387100!A:H,8,FALSE))</f>
        <v>380000</v>
      </c>
      <c r="P37" s="46">
        <f t="shared" ca="1" si="2"/>
        <v>1.1046511627906977E-2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input_387100!A$2</f>
        <v>387100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IFERROR(VLOOKUP(B38,input_387100!L:R,7,FALSE),VLOOKUP(tables_387100!C38,input_387100!A:H,8,FALSE))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input_387100!A$2</f>
        <v>387100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IFERROR(VLOOKUP(B39,input_387100!L:R,7,FALSE),VLOOKUP(tables_387100!C39,input_387100!A:H,8,FALSE))</f>
        <v>380000</v>
      </c>
      <c r="P39" s="46">
        <f t="shared" ca="1" si="2"/>
        <v>1.1046511627906977E-2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input_387100!A$2</f>
        <v>387100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IFERROR(VLOOKUP(B40,input_387100!L:R,7,FALSE),VLOOKUP(tables_387100!C40,input_387100!A:H,8,FALSE))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input_387100!A$2</f>
        <v>387100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IFERROR(VLOOKUP(B41,input_387100!L:R,7,FALSE),VLOOKUP(tables_387100!C41,input_387100!A:H,8,FALSE))</f>
        <v>380000</v>
      </c>
      <c r="P41" s="46">
        <f t="shared" ca="1" si="2"/>
        <v>1.1046511627906977E-2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input_387100!A$2</f>
        <v>387100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IFERROR(VLOOKUP(B42,input_387100!L:R,7,FALSE),VLOOKUP(tables_387100!C42,input_387100!A:H,8,FALSE))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input_387100!A$2</f>
        <v>387100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IFERROR(VLOOKUP(B43,input_387100!L:R,7,FALSE),VLOOKUP(tables_387100!C43,input_387100!A:H,8,FALSE))</f>
        <v>361000</v>
      </c>
      <c r="P43" s="46">
        <f t="shared" ca="1" si="2"/>
        <v>1.0494186046511629E-2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input_387100!A$2</f>
        <v>387100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IFERROR(VLOOKUP(B44,input_387100!L:R,7,FALSE),VLOOKUP(tables_387100!C44,input_387100!A:H,8,FALSE))</f>
        <v>19000</v>
      </c>
      <c r="P44" s="46">
        <f t="shared" ca="1" si="2"/>
        <v>5.5232558139534885E-4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input_387100!A$2</f>
        <v>387100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IFERROR(VLOOKUP(B45,input_387100!L:R,7,FALSE),VLOOKUP(tables_387100!C45,input_387100!A:H,8,FALSE))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input_387100!A$2</f>
        <v>387100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IFERROR(VLOOKUP(B46,input_387100!L:R,7,FALSE),VLOOKUP(tables_387100!C46,input_387100!A:H,8,FALSE))</f>
        <v>361000</v>
      </c>
      <c r="P46" s="46">
        <f t="shared" ca="1" si="2"/>
        <v>1.0494186046511629E-2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input_387100!A$2</f>
        <v>387100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IFERROR(VLOOKUP(B47,input_387100!L:R,7,FALSE),VLOOKUP(tables_387100!C47,input_387100!A:H,8,FALSE))</f>
        <v>19000</v>
      </c>
      <c r="P47" s="46">
        <f t="shared" ca="1" si="2"/>
        <v>5.5232558139534885E-4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input_387100!A$2</f>
        <v>387100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IFERROR(VLOOKUP(B48,input_387100!L:R,7,FALSE),VLOOKUP(tables_387100!C48,input_387100!A:H,8,FALSE))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input_387100!A$2</f>
        <v>387100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IFERROR(VLOOKUP(B49,input_387100!L:R,7,FALSE),VLOOKUP(tables_387100!C49,input_387100!A:H,8,FALSE))</f>
        <v>361000</v>
      </c>
      <c r="P49" s="46">
        <f t="shared" ca="1" si="2"/>
        <v>1.0494186046511629E-2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input_387100!A$2</f>
        <v>387100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IFERROR(VLOOKUP(B50,input_387100!L:R,7,FALSE),VLOOKUP(tables_387100!C50,input_387100!A:H,8,FALSE))</f>
        <v>19000</v>
      </c>
      <c r="P50" s="46">
        <f t="shared" ca="1" si="2"/>
        <v>5.5232558139534885E-4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input_387100!A$2</f>
        <v>387100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IFERROR(VLOOKUP(B51,input_387100!L:R,7,FALSE),VLOOKUP(tables_387100!C51,input_387100!A:H,8,FALSE))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input_387100!A$2</f>
        <v>387100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IFERROR(VLOOKUP(B52,input_387100!L:R,7,FALSE),VLOOKUP(tables_387100!C52,input_387100!A:H,8,FALSE))</f>
        <v>361000</v>
      </c>
      <c r="P52" s="46">
        <f t="shared" ca="1" si="2"/>
        <v>1.0494186046511629E-2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input_387100!A$2</f>
        <v>387100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IFERROR(VLOOKUP(B53,input_387100!L:R,7,FALSE),VLOOKUP(tables_387100!C53,input_387100!A:H,8,FALSE))</f>
        <v>19000</v>
      </c>
      <c r="P53" s="46">
        <f t="shared" ca="1" si="2"/>
        <v>5.5232558139534885E-4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input_387100!A$2</f>
        <v>387100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IFERROR(VLOOKUP(B54,input_387100!L:R,7,FALSE),VLOOKUP(tables_387100!C54,input_387100!A:H,8,FALSE))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input_387100!A$2</f>
        <v>387100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IFERROR(VLOOKUP(B55,input_387100!L:R,7,FALSE),VLOOKUP(tables_387100!C55,input_387100!A:H,8,FALSE))</f>
        <v>361000</v>
      </c>
      <c r="P55" s="46">
        <f t="shared" ca="1" si="2"/>
        <v>1.0494186046511629E-2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input_387100!A$2</f>
        <v>387100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IFERROR(VLOOKUP(B56,input_387100!L:R,7,FALSE),VLOOKUP(tables_387100!C56,input_387100!A:H,8,FALSE))</f>
        <v>19000</v>
      </c>
      <c r="P56" s="46">
        <f t="shared" ca="1" si="2"/>
        <v>5.5232558139534885E-4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input_387100!A$2</f>
        <v>387100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IFERROR(VLOOKUP(B57,input_387100!L:R,7,FALSE),VLOOKUP(tables_387100!C57,input_387100!A:H,8,FALSE))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input_387100!A$2</f>
        <v>387100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IFERROR(VLOOKUP(B58,input_387100!L:R,7,FALSE),VLOOKUP(tables_387100!C58,input_387100!A:H,8,FALSE))</f>
        <v>361000</v>
      </c>
      <c r="P58" s="46">
        <f t="shared" ca="1" si="2"/>
        <v>1.0494186046511629E-2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input_387100!A$2</f>
        <v>387100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IFERROR(VLOOKUP(B59,input_387100!L:R,7,FALSE),VLOOKUP(tables_387100!C59,input_387100!A:H,8,FALSE))</f>
        <v>19000</v>
      </c>
      <c r="P59" s="46">
        <f t="shared" ca="1" si="2"/>
        <v>5.5232558139534885E-4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input_387100!A$2</f>
        <v>387100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IFERROR(VLOOKUP(B60,input_387100!L:R,7,FALSE),VLOOKUP(tables_387100!C60,input_387100!A:H,8,FALSE))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input_387100!A$2</f>
        <v>387100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IFERROR(VLOOKUP(B61,input_387100!L:R,7,FALSE),VLOOKUP(tables_387100!C61,input_387100!A:H,8,FALSE))</f>
        <v>361000</v>
      </c>
      <c r="P61" s="46">
        <f t="shared" ca="1" si="2"/>
        <v>1.0494186046511629E-2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input_387100!A$2</f>
        <v>387100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IFERROR(VLOOKUP(B62,input_387100!L:R,7,FALSE),VLOOKUP(tables_387100!C62,input_387100!A:H,8,FALSE))</f>
        <v>19000</v>
      </c>
      <c r="P62" s="46">
        <f t="shared" ca="1" si="2"/>
        <v>5.5232558139534885E-4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input_387100!A$2</f>
        <v>387100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IFERROR(VLOOKUP(B63,input_387100!L:R,7,FALSE),VLOOKUP(tables_387100!C63,input_387100!A:H,8,FALSE))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input_387100!A$2</f>
        <v>387100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IFERROR(VLOOKUP(B64,input_387100!L:R,7,FALSE),VLOOKUP(tables_387100!C64,input_387100!A:H,8,FALSE))</f>
        <v>361000</v>
      </c>
      <c r="P64" s="46">
        <f t="shared" ca="1" si="2"/>
        <v>1.0494186046511629E-2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input_387100!A$2</f>
        <v>387100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IFERROR(VLOOKUP(B65,input_387100!L:R,7,FALSE),VLOOKUP(tables_387100!C65,input_387100!A:H,8,FALSE))</f>
        <v>19000</v>
      </c>
      <c r="P65" s="46">
        <f t="shared" ca="1" si="2"/>
        <v>5.5232558139534885E-4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input_387100!A$2</f>
        <v>387100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IFERROR(VLOOKUP(B66,input_387100!L:R,7,FALSE),VLOOKUP(tables_387100!C66,input_387100!A:H,8,FALSE))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input_387100!A$2</f>
        <v>387100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IFERROR(VLOOKUP(B67,input_387100!L:R,7,FALSE),VLOOKUP(tables_387100!C67,input_387100!A:H,8,FALSE))</f>
        <v>361000</v>
      </c>
      <c r="P67" s="46">
        <f t="shared" ca="1" si="5"/>
        <v>1.0494186046511629E-2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input_387100!A$2</f>
        <v>387100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IFERROR(VLOOKUP(B68,input_387100!L:R,7,FALSE),VLOOKUP(tables_387100!C68,input_387100!A:H,8,FALSE))</f>
        <v>19000</v>
      </c>
      <c r="P68" s="46">
        <f t="shared" ca="1" si="5"/>
        <v>5.5232558139534885E-4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input_387100!A$2</f>
        <v>387100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IFERROR(VLOOKUP(B69,input_387100!L:R,7,FALSE),VLOOKUP(tables_387100!C69,input_387100!A:H,8,FALSE))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input_387100!A$2</f>
        <v>387100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IFERROR(VLOOKUP(B70,input_387100!L:R,7,FALSE),VLOOKUP(tables_387100!C70,input_387100!A:H,8,FALSE))</f>
        <v>361000</v>
      </c>
      <c r="P70" s="46">
        <f t="shared" ca="1" si="5"/>
        <v>1.0494186046511629E-2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input_387100!A$2</f>
        <v>387100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IFERROR(VLOOKUP(B71,input_387100!L:R,7,FALSE),VLOOKUP(tables_387100!C71,input_387100!A:H,8,FALSE))</f>
        <v>19000</v>
      </c>
      <c r="P71" s="46">
        <f t="shared" ca="1" si="5"/>
        <v>5.5232558139534885E-4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input_387100!A$2</f>
        <v>387100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IFERROR(VLOOKUP(B72,input_387100!L:R,7,FALSE),VLOOKUP(tables_387100!C72,input_387100!A:H,8,FALSE))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input_387100!A$2</f>
        <v>387100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IFERROR(VLOOKUP(B73,input_387100!L:R,7,FALSE),VLOOKUP(tables_387100!C73,input_387100!A:H,8,FALSE))</f>
        <v>361000</v>
      </c>
      <c r="P73" s="46">
        <f t="shared" ca="1" si="5"/>
        <v>1.0494186046511629E-2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input_387100!A$2</f>
        <v>387100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IFERROR(VLOOKUP(B74,input_387100!L:R,7,FALSE),VLOOKUP(tables_387100!C74,input_387100!A:H,8,FALSE))</f>
        <v>19000</v>
      </c>
      <c r="P74" s="46">
        <f t="shared" ca="1" si="5"/>
        <v>5.5232558139534885E-4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input_387100!A$2</f>
        <v>387100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IFERROR(VLOOKUP(B75,input_387100!L:R,7,FALSE),VLOOKUP(tables_387100!C75,input_387100!A:H,8,FALSE))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input_387100!A$2</f>
        <v>387100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IFERROR(VLOOKUP(B76,input_387100!L:R,7,FALSE),VLOOKUP(tables_387100!C76,input_387100!A:H,8,FALSE))</f>
        <v>361000</v>
      </c>
      <c r="P76" s="46">
        <f t="shared" ca="1" si="5"/>
        <v>1.0494186046511629E-2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input_387100!A$2</f>
        <v>387100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IFERROR(VLOOKUP(B77,input_387100!L:R,7,FALSE),VLOOKUP(tables_387100!C77,input_387100!A:H,8,FALSE))</f>
        <v>19000</v>
      </c>
      <c r="P77" s="46">
        <f t="shared" ca="1" si="5"/>
        <v>5.5232558139534885E-4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input_387100!A$2</f>
        <v>387100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IFERROR(VLOOKUP(B78,input_387100!L:R,7,FALSE),VLOOKUP(tables_387100!C78,input_387100!A:H,8,FALSE))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input_387100!A$2</f>
        <v>387100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IFERROR(VLOOKUP(B79,input_387100!L:R,7,FALSE),VLOOKUP(tables_387100!C79,input_387100!A:H,8,FALSE))</f>
        <v>361000</v>
      </c>
      <c r="P79" s="46">
        <f t="shared" ca="1" si="5"/>
        <v>1.0494186046511629E-2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input_387100!A$2</f>
        <v>387100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IFERROR(VLOOKUP(B80,input_387100!L:R,7,FALSE),VLOOKUP(tables_387100!C80,input_387100!A:H,8,FALSE))</f>
        <v>19000</v>
      </c>
      <c r="P80" s="46">
        <f t="shared" ca="1" si="5"/>
        <v>5.5232558139534885E-4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input_387100!A$2</f>
        <v>387100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IFERROR(VLOOKUP(B81,input_387100!L:R,7,FALSE),VLOOKUP(tables_387100!C81,input_387100!A:H,8,FALSE))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input_387100!A$2</f>
        <v>387100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IFERROR(VLOOKUP(B82,input_387100!L:R,7,FALSE),VLOOKUP(tables_387100!C82,input_387100!A:H,8,FALSE))</f>
        <v>361000</v>
      </c>
      <c r="P82" s="46">
        <f t="shared" ca="1" si="5"/>
        <v>1.0494186046511629E-2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input_387100!A$2</f>
        <v>387100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IFERROR(VLOOKUP(B83,input_387100!L:R,7,FALSE),VLOOKUP(tables_387100!C83,input_387100!A:H,8,FALSE))</f>
        <v>19000</v>
      </c>
      <c r="P83" s="46">
        <f t="shared" ca="1" si="5"/>
        <v>5.5232558139534885E-4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input_387100!A$2</f>
        <v>387100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IFERROR(VLOOKUP(B84,input_387100!L:R,7,FALSE),VLOOKUP(tables_387100!C84,input_387100!A:H,8,FALSE))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input_387100!A$2</f>
        <v>387100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IFERROR(VLOOKUP(B85,input_387100!L:R,7,FALSE),VLOOKUP(tables_387100!C85,input_387100!A:H,8,FALSE))</f>
        <v>361000</v>
      </c>
      <c r="P85" s="46">
        <f t="shared" ca="1" si="5"/>
        <v>1.0494186046511629E-2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input_387100!A$2</f>
        <v>387100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IFERROR(VLOOKUP(B86,input_387100!L:R,7,FALSE),VLOOKUP(tables_387100!C86,input_387100!A:H,8,FALSE))</f>
        <v>19000</v>
      </c>
      <c r="P86" s="46">
        <f t="shared" ca="1" si="5"/>
        <v>5.5232558139534885E-4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input_387100!A$2</f>
        <v>387100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IFERROR(VLOOKUP(B87,input_387100!L:R,7,FALSE),VLOOKUP(tables_387100!C87,input_387100!A:H,8,FALSE))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input_387100!A$2</f>
        <v>387100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IFERROR(VLOOKUP(B88,input_387100!L:R,7,FALSE),VLOOKUP(tables_387100!C88,input_387100!A:H,8,FALSE))</f>
        <v>361000</v>
      </c>
      <c r="P88" s="46">
        <f t="shared" ca="1" si="5"/>
        <v>1.0494186046511629E-2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input_387100!A$2</f>
        <v>387100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IFERROR(VLOOKUP(B89,input_387100!L:R,7,FALSE),VLOOKUP(tables_387100!C89,input_387100!A:H,8,FALSE))</f>
        <v>19000</v>
      </c>
      <c r="P89" s="46">
        <f t="shared" ca="1" si="5"/>
        <v>5.5232558139534885E-4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input_387100!A$2</f>
        <v>387100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IFERROR(VLOOKUP(B90,input_387100!L:R,7,FALSE),VLOOKUP(tables_387100!C90,input_387100!A:H,8,FALSE))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input_387100!A$2</f>
        <v>387100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IFERROR(VLOOKUP(B91,input_387100!L:R,7,FALSE),VLOOKUP(tables_387100!C91,input_387100!A:H,8,FALSE))</f>
        <v>361000</v>
      </c>
      <c r="P91" s="46">
        <f t="shared" ca="1" si="5"/>
        <v>1.0494186046511629E-2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input_387100!A$2</f>
        <v>387100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IFERROR(VLOOKUP(B92,input_387100!L:R,7,FALSE),VLOOKUP(tables_387100!C92,input_387100!A:H,8,FALSE))</f>
        <v>19000</v>
      </c>
      <c r="P92" s="46">
        <f t="shared" ca="1" si="5"/>
        <v>5.5232558139534885E-4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input_387100!A$2</f>
        <v>387100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IFERROR(VLOOKUP(B93,input_387100!L:R,7,FALSE),VLOOKUP(tables_387100!C93,input_387100!A:H,8,FALSE))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input_387100!A$2</f>
        <v>387100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IFERROR(VLOOKUP(B94,input_387100!L:R,7,FALSE),VLOOKUP(tables_387100!C94,input_387100!A:H,8,FALSE))</f>
        <v>361000</v>
      </c>
      <c r="P94" s="46">
        <f t="shared" ca="1" si="5"/>
        <v>1.0494186046511629E-2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input_387100!A$2</f>
        <v>387100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IFERROR(VLOOKUP(B95,input_387100!L:R,7,FALSE),VLOOKUP(tables_387100!C95,input_387100!A:H,8,FALSE))</f>
        <v>19000</v>
      </c>
      <c r="P95" s="46">
        <f t="shared" ca="1" si="5"/>
        <v>5.5232558139534885E-4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input_387100!A$2</f>
        <v>387100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IFERROR(VLOOKUP(B96,input_387100!L:R,7,FALSE),VLOOKUP(tables_387100!C96,input_387100!A:H,8,FALSE))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input_387100!A$2</f>
        <v>387100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IFERROR(VLOOKUP(B97,input_387100!L:R,7,FALSE),VLOOKUP(tables_387100!C97,input_387100!A:H,8,FALSE))</f>
        <v>361000</v>
      </c>
      <c r="P97" s="46">
        <f t="shared" ca="1" si="5"/>
        <v>1.0494186046511629E-2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input_387100!A$2</f>
        <v>387100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IFERROR(VLOOKUP(B98,input_387100!L:R,7,FALSE),VLOOKUP(tables_387100!C98,input_387100!A:H,8,FALSE))</f>
        <v>19000</v>
      </c>
      <c r="P98" s="46">
        <f t="shared" ca="1" si="5"/>
        <v>5.5232558139534885E-4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input_387100!A$2</f>
        <v>387100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IFERROR(VLOOKUP(B99,input_387100!L:R,7,FALSE),VLOOKUP(tables_387100!C99,input_387100!A:H,8,FALSE))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input_387100!A$2</f>
        <v>387100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IFERROR(VLOOKUP(B100,input_387100!L:R,7,FALSE),VLOOKUP(tables_387100!C100,input_387100!A:H,8,FALSE))</f>
        <v>361000</v>
      </c>
      <c r="P100" s="46">
        <f t="shared" ca="1" si="5"/>
        <v>1.0494186046511629E-2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input_387100!A$2</f>
        <v>387100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IFERROR(VLOOKUP(B101,input_387100!L:R,7,FALSE),VLOOKUP(tables_387100!C101,input_387100!A:H,8,FALSE))</f>
        <v>19000</v>
      </c>
      <c r="P101" s="46">
        <f t="shared" ca="1" si="5"/>
        <v>5.5232558139534885E-4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input_387100!A$2</f>
        <v>387100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IFERROR(VLOOKUP(B102,input_387100!L:R,7,FALSE),VLOOKUP(tables_387100!C102,input_387100!A:H,8,FALSE))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input_387100!A$2</f>
        <v>387100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IFERROR(VLOOKUP(B103,input_387100!L:R,7,FALSE),VLOOKUP(tables_387100!C103,input_387100!A:H,8,FALSE))</f>
        <v>361000</v>
      </c>
      <c r="P103" s="46">
        <f t="shared" ca="1" si="5"/>
        <v>1.0494186046511629E-2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input_387100!A$2</f>
        <v>387100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IFERROR(VLOOKUP(B104,input_387100!L:R,7,FALSE),VLOOKUP(tables_387100!C104,input_387100!A:H,8,FALSE))</f>
        <v>19000</v>
      </c>
      <c r="P104" s="46">
        <f t="shared" ca="1" si="5"/>
        <v>5.5232558139534885E-4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input_387100!A$2</f>
        <v>387100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IFERROR(VLOOKUP(B105,input_387100!L:R,7,FALSE),VLOOKUP(tables_387100!C105,input_387100!A:H,8,FALSE))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input_387100!A$2</f>
        <v>387100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IFERROR(VLOOKUP(B106,input_387100!L:R,7,FALSE),VLOOKUP(tables_387100!C106,input_387100!A:H,8,FALSE))</f>
        <v>361000</v>
      </c>
      <c r="P106" s="46">
        <f t="shared" ca="1" si="5"/>
        <v>1.0494186046511629E-2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input_387100!A$2</f>
        <v>387100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IFERROR(VLOOKUP(B107,input_387100!L:R,7,FALSE),VLOOKUP(tables_387100!C107,input_387100!A:H,8,FALSE))</f>
        <v>19000</v>
      </c>
      <c r="P107" s="46">
        <f t="shared" ca="1" si="5"/>
        <v>5.5232558139534885E-4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input_387100!A$2</f>
        <v>387100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IFERROR(VLOOKUP(B108,input_387100!L:R,7,FALSE),VLOOKUP(tables_387100!C108,input_387100!A:H,8,FALSE))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input_387100!A$2</f>
        <v>387100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IFERROR(VLOOKUP(B109,input_387100!L:R,7,FALSE),VLOOKUP(tables_387100!C109,input_387100!A:H,8,FALSE))</f>
        <v>361000</v>
      </c>
      <c r="P109" s="46">
        <f t="shared" ca="1" si="5"/>
        <v>1.0494186046511629E-2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input_387100!A$2</f>
        <v>387100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IFERROR(VLOOKUP(B110,input_387100!L:R,7,FALSE),VLOOKUP(tables_387100!C110,input_387100!A:H,8,FALSE))</f>
        <v>19000</v>
      </c>
      <c r="P110" s="46">
        <f t="shared" ca="1" si="5"/>
        <v>5.5232558139534885E-4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input_387100!A$2</f>
        <v>387100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IFERROR(VLOOKUP(B111,input_387100!L:R,7,FALSE),VLOOKUP(tables_387100!C111,input_387100!A:H,8,FALSE))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input_387100!A$2</f>
        <v>387100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IFERROR(VLOOKUP(B112,input_387100!L:R,7,FALSE),VLOOKUP(tables_387100!C112,input_387100!A:H,8,FALSE))</f>
        <v>361000</v>
      </c>
      <c r="P112" s="46">
        <f t="shared" ca="1" si="5"/>
        <v>1.0494186046511629E-2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input_387100!A$2</f>
        <v>387100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IFERROR(VLOOKUP(B113,input_387100!L:R,7,FALSE),VLOOKUP(tables_387100!C113,input_387100!A:H,8,FALSE))</f>
        <v>19000</v>
      </c>
      <c r="P113" s="46">
        <f t="shared" ca="1" si="5"/>
        <v>5.5232558139534885E-4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input_387100!A$2</f>
        <v>387100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IFERROR(VLOOKUP(B114,input_387100!L:R,7,FALSE),VLOOKUP(tables_387100!C114,input_387100!A:H,8,FALSE))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input_387100!A$2</f>
        <v>387100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IFERROR(VLOOKUP(B115,input_387100!L:R,7,FALSE),VLOOKUP(tables_387100!C115,input_387100!A:H,8,FALSE))</f>
        <v>361000</v>
      </c>
      <c r="P115" s="46">
        <f t="shared" ca="1" si="5"/>
        <v>1.0494186046511629E-2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input_387100!A$2</f>
        <v>387100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IFERROR(VLOOKUP(B116,input_387100!L:R,7,FALSE),VLOOKUP(tables_387100!C116,input_387100!A:H,8,FALSE))</f>
        <v>19000</v>
      </c>
      <c r="P116" s="46">
        <f t="shared" ca="1" si="5"/>
        <v>5.5232558139534885E-4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input_387100!A$2</f>
        <v>387100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IFERROR(VLOOKUP(B117,input_387100!L:R,7,FALSE),VLOOKUP(tables_387100!C117,input_387100!A:H,8,FALSE))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input_387100!A$2</f>
        <v>387100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IFERROR(VLOOKUP(B118,input_387100!L:R,7,FALSE),VLOOKUP(tables_387100!C118,input_387100!A:H,8,FALSE))</f>
        <v>361000</v>
      </c>
      <c r="P118" s="46">
        <f t="shared" ca="1" si="5"/>
        <v>1.0494186046511629E-2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input_387100!A$2</f>
        <v>387100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IFERROR(VLOOKUP(B119,input_387100!L:R,7,FALSE),VLOOKUP(tables_387100!C119,input_387100!A:H,8,FALSE))</f>
        <v>19000</v>
      </c>
      <c r="P119" s="46">
        <f t="shared" ca="1" si="5"/>
        <v>5.5232558139534885E-4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input_387100!A$2</f>
        <v>387100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IFERROR(VLOOKUP(B120,input_387100!L:R,7,FALSE),VLOOKUP(tables_387100!C120,input_387100!A:H,8,FALSE))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input_387100!A$2</f>
        <v>387100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IFERROR(VLOOKUP(B121,input_387100!L:R,7,FALSE),VLOOKUP(tables_387100!C121,input_387100!A:H,8,FALSE))</f>
        <v>361000</v>
      </c>
      <c r="P121" s="46">
        <f t="shared" ca="1" si="5"/>
        <v>1.0494186046511629E-2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input_387100!A$2</f>
        <v>387100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IFERROR(VLOOKUP(B122,input_387100!L:R,7,FALSE),VLOOKUP(tables_387100!C122,input_387100!A:H,8,FALSE))</f>
        <v>19000</v>
      </c>
      <c r="P122" s="46">
        <f t="shared" ca="1" si="5"/>
        <v>5.5232558139534885E-4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input_387100!A$2</f>
        <v>387100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IFERROR(VLOOKUP(B123,input_387100!L:R,7,FALSE),VLOOKUP(tables_387100!C123,input_387100!A:H,8,FALSE))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input_387100!A$2</f>
        <v>387100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IFERROR(VLOOKUP(B124,input_387100!L:R,7,FALSE),VLOOKUP(tables_387100!C124,input_387100!A:H,8,FALSE))</f>
        <v>361000</v>
      </c>
      <c r="P124" s="46">
        <f t="shared" ca="1" si="5"/>
        <v>1.0494186046511629E-2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input_387100!A$2</f>
        <v>387100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IFERROR(VLOOKUP(B125,input_387100!L:R,7,FALSE),VLOOKUP(tables_387100!C125,input_387100!A:H,8,FALSE))</f>
        <v>19000</v>
      </c>
      <c r="P125" s="46">
        <f t="shared" ca="1" si="5"/>
        <v>5.5232558139534885E-4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input_387100!A$2</f>
        <v>387100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IFERROR(VLOOKUP(B126,input_387100!L:R,7,FALSE),VLOOKUP(tables_387100!C126,input_387100!A:H,8,FALSE))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input_387100!A$2</f>
        <v>387100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IFERROR(VLOOKUP(B127,input_387100!L:R,7,FALSE),VLOOKUP(tables_387100!C127,input_387100!A:H,8,FALSE))</f>
        <v>361000</v>
      </c>
      <c r="P127" s="46">
        <f t="shared" ca="1" si="5"/>
        <v>1.0494186046511629E-2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input_387100!A$2</f>
        <v>387100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IFERROR(VLOOKUP(B128,input_387100!L:R,7,FALSE),VLOOKUP(tables_387100!C128,input_387100!A:H,8,FALSE))</f>
        <v>19000</v>
      </c>
      <c r="P128" s="46">
        <f t="shared" ca="1" si="5"/>
        <v>5.5232558139534885E-4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input_387100!A$2</f>
        <v>387100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IFERROR(VLOOKUP(B129,input_387100!L:R,7,FALSE),VLOOKUP(tables_387100!C129,input_387100!A:H,8,FALSE))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input_387100!A$2</f>
        <v>387100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IFERROR(VLOOKUP(B130,input_387100!L:R,7,FALSE),VLOOKUP(tables_387100!C130,input_387100!A:H,8,FALSE))</f>
        <v>361000</v>
      </c>
      <c r="P130" s="46">
        <f t="shared" ref="P130:P193" ca="1" si="8">O130/SUM(O:O)</f>
        <v>1.0494186046511629E-2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input_387100!A$2</f>
        <v>387100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IFERROR(VLOOKUP(B131,input_387100!L:R,7,FALSE),VLOOKUP(tables_387100!C131,input_387100!A:H,8,FALSE))</f>
        <v>19000</v>
      </c>
      <c r="P131" s="46">
        <f t="shared" ca="1" si="8"/>
        <v>5.5232558139534885E-4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input_387100!A$2</f>
        <v>387100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IFERROR(VLOOKUP(B132,input_387100!L:R,7,FALSE),VLOOKUP(tables_387100!C132,input_387100!A:H,8,FALSE))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input_387100!A$2</f>
        <v>387100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IFERROR(VLOOKUP(B133,input_387100!L:R,7,FALSE),VLOOKUP(tables_387100!C133,input_387100!A:H,8,FALSE))</f>
        <v>361000</v>
      </c>
      <c r="P133" s="46">
        <f t="shared" ca="1" si="8"/>
        <v>1.0494186046511629E-2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input_387100!A$2</f>
        <v>387100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IFERROR(VLOOKUP(B134,input_387100!L:R,7,FALSE),VLOOKUP(tables_387100!C134,input_387100!A:H,8,FALSE))</f>
        <v>19000</v>
      </c>
      <c r="P134" s="46">
        <f t="shared" ca="1" si="8"/>
        <v>5.5232558139534885E-4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input_387100!A$2</f>
        <v>387100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IFERROR(VLOOKUP(B135,input_387100!L:R,7,FALSE),VLOOKUP(tables_387100!C135,input_387100!A:H,8,FALSE))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input_387100!A$2</f>
        <v>387100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IFERROR(VLOOKUP(B136,input_387100!L:R,7,FALSE),VLOOKUP(tables_387100!C136,input_387100!A:H,8,FALSE))</f>
        <v>361000</v>
      </c>
      <c r="P136" s="46">
        <f t="shared" ca="1" si="8"/>
        <v>1.0494186046511629E-2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input_387100!A$2</f>
        <v>387100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IFERROR(VLOOKUP(B137,input_387100!L:R,7,FALSE),VLOOKUP(tables_387100!C137,input_387100!A:H,8,FALSE))</f>
        <v>19000</v>
      </c>
      <c r="P137" s="46">
        <f t="shared" ca="1" si="8"/>
        <v>5.5232558139534885E-4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input_387100!A$2</f>
        <v>387100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IFERROR(VLOOKUP(B138,input_387100!L:R,7,FALSE),VLOOKUP(tables_387100!C138,input_387100!A:H,8,FALSE))</f>
        <v>8170</v>
      </c>
      <c r="P138" s="46">
        <f t="shared" ca="1" si="8"/>
        <v>2.375E-4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input_387100!A$2</f>
        <v>387100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IFERROR(VLOOKUP(B139,input_387100!L:R,7,FALSE),VLOOKUP(tables_387100!C139,input_387100!A:H,8,FALSE))</f>
        <v>430</v>
      </c>
      <c r="P139" s="46">
        <f t="shared" ca="1" si="8"/>
        <v>1.2500000000000001E-5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input_387100!A$2</f>
        <v>387100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IFERROR(VLOOKUP(B140,input_387100!L:R,7,FALSE),VLOOKUP(tables_387100!C140,input_387100!A:H,8,FALSE))</f>
        <v>8170</v>
      </c>
      <c r="P140" s="46">
        <f t="shared" ca="1" si="8"/>
        <v>2.375E-4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input_387100!A$2</f>
        <v>387100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IFERROR(VLOOKUP(B141,input_387100!L:R,7,FALSE),VLOOKUP(tables_387100!C141,input_387100!A:H,8,FALSE))</f>
        <v>430</v>
      </c>
      <c r="P141" s="46">
        <f t="shared" ca="1" si="8"/>
        <v>1.2500000000000001E-5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input_387100!A$2</f>
        <v>387100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IFERROR(VLOOKUP(B142,input_387100!L:R,7,FALSE),VLOOKUP(tables_387100!C142,input_387100!A:H,8,FALSE))</f>
        <v>8170</v>
      </c>
      <c r="P142" s="46">
        <f t="shared" ca="1" si="8"/>
        <v>2.375E-4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input_387100!A$2</f>
        <v>387100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IFERROR(VLOOKUP(B143,input_387100!L:R,7,FALSE),VLOOKUP(tables_387100!C143,input_387100!A:H,8,FALSE))</f>
        <v>430</v>
      </c>
      <c r="P143" s="46">
        <f t="shared" ca="1" si="8"/>
        <v>1.2500000000000001E-5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input_387100!A$2</f>
        <v>387100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IFERROR(VLOOKUP(B144,input_387100!L:R,7,FALSE),VLOOKUP(tables_387100!C144,input_387100!A:H,8,FALSE))</f>
        <v>8170</v>
      </c>
      <c r="P144" s="46">
        <f t="shared" ca="1" si="8"/>
        <v>2.375E-4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input_387100!A$2</f>
        <v>387100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IFERROR(VLOOKUP(B145,input_387100!L:R,7,FALSE),VLOOKUP(tables_387100!C145,input_387100!A:H,8,FALSE))</f>
        <v>430</v>
      </c>
      <c r="P145" s="46">
        <f t="shared" ca="1" si="8"/>
        <v>1.2500000000000001E-5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input_387100!A$2</f>
        <v>387100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IFERROR(VLOOKUP(B146,input_387100!L:R,7,FALSE),VLOOKUP(tables_387100!C146,input_387100!A:H,8,FALSE))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input_387100!A$2</f>
        <v>387100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IFERROR(VLOOKUP(B147,input_387100!L:R,7,FALSE),VLOOKUP(tables_387100!C147,input_387100!A:H,8,FALSE))</f>
        <v>361000</v>
      </c>
      <c r="P147" s="46">
        <f t="shared" ca="1" si="8"/>
        <v>1.0494186046511629E-2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input_387100!A$2</f>
        <v>387100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IFERROR(VLOOKUP(B148,input_387100!L:R,7,FALSE),VLOOKUP(tables_387100!C148,input_387100!A:H,8,FALSE))</f>
        <v>19000</v>
      </c>
      <c r="P148" s="46">
        <f t="shared" ca="1" si="8"/>
        <v>5.5232558139534885E-4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input_387100!A$2</f>
        <v>387100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IFERROR(VLOOKUP(B149,input_387100!L:R,7,FALSE),VLOOKUP(tables_387100!C149,input_387100!A:H,8,FALSE))</f>
        <v>8170</v>
      </c>
      <c r="P149" s="46">
        <f t="shared" ca="1" si="8"/>
        <v>2.375E-4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input_387100!A$2</f>
        <v>387100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IFERROR(VLOOKUP(B150,input_387100!L:R,7,FALSE),VLOOKUP(tables_387100!C150,input_387100!A:H,8,FALSE))</f>
        <v>430</v>
      </c>
      <c r="P150" s="46">
        <f t="shared" ca="1" si="8"/>
        <v>1.2500000000000001E-5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input_387100!A$2</f>
        <v>387100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IFERROR(VLOOKUP(B151,input_387100!L:R,7,FALSE),VLOOKUP(tables_387100!C151,input_387100!A:H,8,FALSE))</f>
        <v>8170</v>
      </c>
      <c r="P151" s="46">
        <f t="shared" ca="1" si="8"/>
        <v>2.375E-4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input_387100!A$2</f>
        <v>387100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IFERROR(VLOOKUP(B152,input_387100!L:R,7,FALSE),VLOOKUP(tables_387100!C152,input_387100!A:H,8,FALSE))</f>
        <v>430</v>
      </c>
      <c r="P152" s="46">
        <f t="shared" ca="1" si="8"/>
        <v>1.2500000000000001E-5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input_387100!A$2</f>
        <v>387100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IFERROR(VLOOKUP(B153,input_387100!L:R,7,FALSE),VLOOKUP(tables_387100!C153,input_387100!A:H,8,FALSE))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input_387100!A$2</f>
        <v>387100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IFERROR(VLOOKUP(B154,input_387100!L:R,7,FALSE),VLOOKUP(tables_387100!C154,input_387100!A:H,8,FALSE))</f>
        <v>361000</v>
      </c>
      <c r="P154" s="46">
        <f t="shared" ca="1" si="8"/>
        <v>1.0494186046511629E-2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input_387100!A$2</f>
        <v>387100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IFERROR(VLOOKUP(B155,input_387100!L:R,7,FALSE),VLOOKUP(tables_387100!C155,input_387100!A:H,8,FALSE))</f>
        <v>19000</v>
      </c>
      <c r="P155" s="46">
        <f t="shared" ca="1" si="8"/>
        <v>5.5232558139534885E-4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input_387100!A$2</f>
        <v>387100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IFERROR(VLOOKUP(B156,input_387100!L:R,7,FALSE),VLOOKUP(tables_387100!C156,input_387100!A:H,8,FALSE))</f>
        <v>8170</v>
      </c>
      <c r="P156" s="46">
        <f t="shared" ca="1" si="8"/>
        <v>2.375E-4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input_387100!A$2</f>
        <v>387100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IFERROR(VLOOKUP(B157,input_387100!L:R,7,FALSE),VLOOKUP(tables_387100!C157,input_387100!A:H,8,FALSE))</f>
        <v>430</v>
      </c>
      <c r="P157" s="46">
        <f t="shared" ca="1" si="8"/>
        <v>1.2500000000000001E-5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input_387100!A$2</f>
        <v>387100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IFERROR(VLOOKUP(B158,input_387100!L:R,7,FALSE),VLOOKUP(tables_387100!C158,input_387100!A:H,8,FALSE))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input_387100!A$2</f>
        <v>387100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IFERROR(VLOOKUP(B159,input_387100!L:R,7,FALSE),VLOOKUP(tables_387100!C159,input_387100!A:H,8,FALSE))</f>
        <v>361000</v>
      </c>
      <c r="P159" s="46">
        <f t="shared" ca="1" si="8"/>
        <v>1.0494186046511629E-2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input_387100!A$2</f>
        <v>387100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IFERROR(VLOOKUP(B160,input_387100!L:R,7,FALSE),VLOOKUP(tables_387100!C160,input_387100!A:H,8,FALSE))</f>
        <v>19000</v>
      </c>
      <c r="P160" s="46">
        <f t="shared" ca="1" si="8"/>
        <v>5.5232558139534885E-4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input_387100!A$2</f>
        <v>387100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IFERROR(VLOOKUP(B161,input_387100!L:R,7,FALSE),VLOOKUP(tables_387100!C161,input_387100!A:H,8,FALSE))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input_387100!A$2</f>
        <v>387100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IFERROR(VLOOKUP(B162,input_387100!L:R,7,FALSE),VLOOKUP(tables_387100!C162,input_387100!A:H,8,FALSE))</f>
        <v>361000</v>
      </c>
      <c r="P162" s="46">
        <f t="shared" ca="1" si="8"/>
        <v>1.0494186046511629E-2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input_387100!A$2</f>
        <v>387100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IFERROR(VLOOKUP(B163,input_387100!L:R,7,FALSE),VLOOKUP(tables_387100!C163,input_387100!A:H,8,FALSE))</f>
        <v>19000</v>
      </c>
      <c r="P163" s="46">
        <f t="shared" ca="1" si="8"/>
        <v>5.5232558139534885E-4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input_387100!A$2</f>
        <v>387100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IFERROR(VLOOKUP(B164,input_387100!L:R,7,FALSE),VLOOKUP(tables_387100!C164,input_387100!A:H,8,FALSE))</f>
        <v>8170</v>
      </c>
      <c r="P164" s="46">
        <f t="shared" ca="1" si="8"/>
        <v>2.375E-4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input_387100!A$2</f>
        <v>387100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IFERROR(VLOOKUP(B165,input_387100!L:R,7,FALSE),VLOOKUP(tables_387100!C165,input_387100!A:H,8,FALSE))</f>
        <v>430</v>
      </c>
      <c r="P165" s="46">
        <f t="shared" ca="1" si="8"/>
        <v>1.2500000000000001E-5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input_387100!A$2</f>
        <v>387100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IFERROR(VLOOKUP(B166,input_387100!L:R,7,FALSE),VLOOKUP(tables_387100!C166,input_387100!A:H,8,FALSE))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input_387100!A$2</f>
        <v>387100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IFERROR(VLOOKUP(B167,input_387100!L:R,7,FALSE),VLOOKUP(tables_387100!C167,input_387100!A:H,8,FALSE))</f>
        <v>361000</v>
      </c>
      <c r="P167" s="46">
        <f t="shared" ca="1" si="8"/>
        <v>1.0494186046511629E-2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input_387100!A$2</f>
        <v>387100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IFERROR(VLOOKUP(B168,input_387100!L:R,7,FALSE),VLOOKUP(tables_387100!C168,input_387100!A:H,8,FALSE))</f>
        <v>19000</v>
      </c>
      <c r="P168" s="46">
        <f t="shared" ca="1" si="8"/>
        <v>5.5232558139534885E-4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input_387100!A$2</f>
        <v>387100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IFERROR(VLOOKUP(B169,input_387100!L:R,7,FALSE),VLOOKUP(tables_387100!C169,input_387100!A:H,8,FALSE))</f>
        <v>8170</v>
      </c>
      <c r="P169" s="46">
        <f t="shared" ca="1" si="8"/>
        <v>2.375E-4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input_387100!A$2</f>
        <v>387100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IFERROR(VLOOKUP(B170,input_387100!L:R,7,FALSE),VLOOKUP(tables_387100!C170,input_387100!A:H,8,FALSE))</f>
        <v>430</v>
      </c>
      <c r="P170" s="46">
        <f t="shared" ca="1" si="8"/>
        <v>1.2500000000000001E-5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input_387100!A$2</f>
        <v>387100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IFERROR(VLOOKUP(B171,input_387100!L:R,7,FALSE),VLOOKUP(tables_387100!C171,input_387100!A:H,8,FALSE))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input_387100!A$2</f>
        <v>387100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IFERROR(VLOOKUP(B172,input_387100!L:R,7,FALSE),VLOOKUP(tables_387100!C172,input_387100!A:H,8,FALSE))</f>
        <v>361000</v>
      </c>
      <c r="P172" s="46">
        <f t="shared" ca="1" si="8"/>
        <v>1.0494186046511629E-2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input_387100!A$2</f>
        <v>387100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IFERROR(VLOOKUP(B173,input_387100!L:R,7,FALSE),VLOOKUP(tables_387100!C173,input_387100!A:H,8,FALSE))</f>
        <v>19000</v>
      </c>
      <c r="P173" s="46">
        <f t="shared" ca="1" si="8"/>
        <v>5.5232558139534885E-4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input_387100!A$2</f>
        <v>387100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IFERROR(VLOOKUP(B174,input_387100!L:R,7,FALSE),VLOOKUP(tables_387100!C174,input_387100!A:H,8,FALSE))</f>
        <v>8170</v>
      </c>
      <c r="P174" s="46">
        <f t="shared" ca="1" si="8"/>
        <v>2.375E-4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input_387100!A$2</f>
        <v>387100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IFERROR(VLOOKUP(B175,input_387100!L:R,7,FALSE),VLOOKUP(tables_387100!C175,input_387100!A:H,8,FALSE))</f>
        <v>430</v>
      </c>
      <c r="P175" s="46">
        <f t="shared" ca="1" si="8"/>
        <v>1.2500000000000001E-5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input_387100!A$2</f>
        <v>387100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IFERROR(VLOOKUP(B176,input_387100!L:R,7,FALSE),VLOOKUP(tables_387100!C176,input_387100!A:H,8,FALSE))</f>
        <v>8170</v>
      </c>
      <c r="P176" s="46">
        <f t="shared" ca="1" si="8"/>
        <v>2.375E-4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input_387100!A$2</f>
        <v>387100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IFERROR(VLOOKUP(B177,input_387100!L:R,7,FALSE),VLOOKUP(tables_387100!C177,input_387100!A:H,8,FALSE))</f>
        <v>430</v>
      </c>
      <c r="P177" s="46">
        <f t="shared" ca="1" si="8"/>
        <v>1.2500000000000001E-5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input_387100!A$2</f>
        <v>387100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IFERROR(VLOOKUP(B178,input_387100!L:R,7,FALSE),VLOOKUP(tables_387100!C178,input_387100!A:H,8,FALSE))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input_387100!A$2</f>
        <v>387100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IFERROR(VLOOKUP(B179,input_387100!L:R,7,FALSE),VLOOKUP(tables_387100!C179,input_387100!A:H,8,FALSE))</f>
        <v>361000</v>
      </c>
      <c r="P179" s="46">
        <f t="shared" ca="1" si="8"/>
        <v>1.0494186046511629E-2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input_387100!A$2</f>
        <v>387100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IFERROR(VLOOKUP(B180,input_387100!L:R,7,FALSE),VLOOKUP(tables_387100!C180,input_387100!A:H,8,FALSE))</f>
        <v>19000</v>
      </c>
      <c r="P180" s="46">
        <f t="shared" ca="1" si="8"/>
        <v>5.5232558139534885E-4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input_387100!A$2</f>
        <v>387100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IFERROR(VLOOKUP(B181,input_387100!L:R,7,FALSE),VLOOKUP(tables_387100!C181,input_387100!A:H,8,FALSE))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input_387100!A$2</f>
        <v>387100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IFERROR(VLOOKUP(B182,input_387100!L:R,7,FALSE),VLOOKUP(tables_387100!C182,input_387100!A:H,8,FALSE))</f>
        <v>361000</v>
      </c>
      <c r="P182" s="46">
        <f t="shared" ca="1" si="8"/>
        <v>1.0494186046511629E-2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input_387100!A$2</f>
        <v>387100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IFERROR(VLOOKUP(B183,input_387100!L:R,7,FALSE),VLOOKUP(tables_387100!C183,input_387100!A:H,8,FALSE))</f>
        <v>19000</v>
      </c>
      <c r="P183" s="46">
        <f t="shared" ca="1" si="8"/>
        <v>5.5232558139534885E-4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input_387100!A$2</f>
        <v>387100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IFERROR(VLOOKUP(B184,input_387100!L:R,7,FALSE),VLOOKUP(tables_387100!C184,input_387100!A:H,8,FALSE))</f>
        <v>8170</v>
      </c>
      <c r="P184" s="46">
        <f t="shared" ca="1" si="8"/>
        <v>2.375E-4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input_387100!A$2</f>
        <v>387100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IFERROR(VLOOKUP(B185,input_387100!L:R,7,FALSE),VLOOKUP(tables_387100!C185,input_387100!A:H,8,FALSE))</f>
        <v>430</v>
      </c>
      <c r="P185" s="46">
        <f t="shared" ca="1" si="8"/>
        <v>1.2500000000000001E-5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input_387100!A$2</f>
        <v>387100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IFERROR(VLOOKUP(B186,input_387100!L:R,7,FALSE),VLOOKUP(tables_387100!C186,input_387100!A:H,8,FALSE))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input_387100!A$2</f>
        <v>387100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IFERROR(VLOOKUP(B187,input_387100!L:R,7,FALSE),VLOOKUP(tables_387100!C187,input_387100!A:H,8,FALSE))</f>
        <v>361000</v>
      </c>
      <c r="P187" s="46">
        <f t="shared" ca="1" si="8"/>
        <v>1.0494186046511629E-2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input_387100!A$2</f>
        <v>387100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IFERROR(VLOOKUP(B188,input_387100!L:R,7,FALSE),VLOOKUP(tables_387100!C188,input_387100!A:H,8,FALSE))</f>
        <v>19000</v>
      </c>
      <c r="P188" s="46">
        <f t="shared" ca="1" si="8"/>
        <v>5.5232558139534885E-4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input_387100!A$2</f>
        <v>387100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IFERROR(VLOOKUP(B189,input_387100!L:R,7,FALSE),VLOOKUP(tables_387100!C189,input_387100!A:H,8,FALSE))</f>
        <v>8170</v>
      </c>
      <c r="P189" s="46">
        <f t="shared" ca="1" si="8"/>
        <v>2.375E-4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input_387100!A$2</f>
        <v>387100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IFERROR(VLOOKUP(B190,input_387100!L:R,7,FALSE),VLOOKUP(tables_387100!C190,input_387100!A:H,8,FALSE))</f>
        <v>430</v>
      </c>
      <c r="P190" s="46">
        <f t="shared" ca="1" si="8"/>
        <v>1.2500000000000001E-5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input_387100!A$2</f>
        <v>387100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IFERROR(VLOOKUP(B191,input_387100!L:R,7,FALSE),VLOOKUP(tables_387100!C191,input_387100!A:H,8,FALSE))</f>
        <v>8170</v>
      </c>
      <c r="P191" s="46">
        <f t="shared" ca="1" si="8"/>
        <v>2.375E-4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input_387100!A$2</f>
        <v>387100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IFERROR(VLOOKUP(B192,input_387100!L:R,7,FALSE),VLOOKUP(tables_387100!C192,input_387100!A:H,8,FALSE))</f>
        <v>430</v>
      </c>
      <c r="P192" s="46">
        <f t="shared" ca="1" si="8"/>
        <v>1.2500000000000001E-5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input_387100!A$2</f>
        <v>387100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IFERROR(VLOOKUP(B193,input_387100!L:R,7,FALSE),VLOOKUP(tables_387100!C193,input_387100!A:H,8,FALSE))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input_387100!A$2</f>
        <v>387100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IFERROR(VLOOKUP(B194,input_387100!L:R,7,FALSE),VLOOKUP(tables_387100!C194,input_387100!A:H,8,FALSE))</f>
        <v>361000</v>
      </c>
      <c r="P194" s="46">
        <f t="shared" ref="P194:P257" ca="1" si="11">O194/SUM(O:O)</f>
        <v>1.0494186046511629E-2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input_387100!A$2</f>
        <v>387100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IFERROR(VLOOKUP(B195,input_387100!L:R,7,FALSE),VLOOKUP(tables_387100!C195,input_387100!A:H,8,FALSE))</f>
        <v>19000</v>
      </c>
      <c r="P195" s="46">
        <f t="shared" ca="1" si="11"/>
        <v>5.5232558139534885E-4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input_387100!A$2</f>
        <v>387100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IFERROR(VLOOKUP(B196,input_387100!L:R,7,FALSE),VLOOKUP(tables_387100!C196,input_387100!A:H,8,FALSE))</f>
        <v>8170</v>
      </c>
      <c r="P196" s="46">
        <f t="shared" ca="1" si="11"/>
        <v>2.375E-4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input_387100!A$2</f>
        <v>387100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IFERROR(VLOOKUP(B197,input_387100!L:R,7,FALSE),VLOOKUP(tables_387100!C197,input_387100!A:H,8,FALSE))</f>
        <v>430</v>
      </c>
      <c r="P197" s="46">
        <f t="shared" ca="1" si="11"/>
        <v>1.2500000000000001E-5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input_387100!A$2</f>
        <v>387100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IFERROR(VLOOKUP(B198,input_387100!L:R,7,FALSE),VLOOKUP(tables_387100!C198,input_387100!A:H,8,FALSE))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input_387100!A$2</f>
        <v>387100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IFERROR(VLOOKUP(B199,input_387100!L:R,7,FALSE),VLOOKUP(tables_387100!C199,input_387100!A:H,8,FALSE))</f>
        <v>361000</v>
      </c>
      <c r="P199" s="46">
        <f t="shared" ca="1" si="11"/>
        <v>1.0494186046511629E-2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input_387100!A$2</f>
        <v>387100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IFERROR(VLOOKUP(B200,input_387100!L:R,7,FALSE),VLOOKUP(tables_387100!C200,input_387100!A:H,8,FALSE))</f>
        <v>19000</v>
      </c>
      <c r="P200" s="46">
        <f t="shared" ca="1" si="11"/>
        <v>5.5232558139534885E-4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input_387100!A$2</f>
        <v>387100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IFERROR(VLOOKUP(B201,input_387100!L:R,7,FALSE),VLOOKUP(tables_387100!C201,input_387100!A:H,8,FALSE))</f>
        <v>8170</v>
      </c>
      <c r="P201" s="46">
        <f t="shared" ca="1" si="11"/>
        <v>2.375E-4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input_387100!A$2</f>
        <v>387100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IFERROR(VLOOKUP(B202,input_387100!L:R,7,FALSE),VLOOKUP(tables_387100!C202,input_387100!A:H,8,FALSE))</f>
        <v>430</v>
      </c>
      <c r="P202" s="46">
        <f t="shared" ca="1" si="11"/>
        <v>1.2500000000000001E-5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input_387100!A$2</f>
        <v>387100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IFERROR(VLOOKUP(B203,input_387100!L:R,7,FALSE),VLOOKUP(tables_387100!C203,input_387100!A:H,8,FALSE))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input_387100!A$2</f>
        <v>387100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IFERROR(VLOOKUP(B204,input_387100!L:R,7,FALSE),VLOOKUP(tables_387100!C204,input_387100!A:H,8,FALSE))</f>
        <v>361000</v>
      </c>
      <c r="P204" s="46">
        <f t="shared" ca="1" si="11"/>
        <v>1.0494186046511629E-2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input_387100!A$2</f>
        <v>387100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IFERROR(VLOOKUP(B205,input_387100!L:R,7,FALSE),VLOOKUP(tables_387100!C205,input_387100!A:H,8,FALSE))</f>
        <v>19000</v>
      </c>
      <c r="P205" s="46">
        <f t="shared" ca="1" si="11"/>
        <v>5.5232558139534885E-4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input_387100!A$2</f>
        <v>387100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IFERROR(VLOOKUP(B206,input_387100!L:R,7,FALSE),VLOOKUP(tables_387100!C206,input_387100!A:H,8,FALSE))</f>
        <v>8170</v>
      </c>
      <c r="P206" s="46">
        <f t="shared" ca="1" si="11"/>
        <v>2.375E-4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input_387100!A$2</f>
        <v>387100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IFERROR(VLOOKUP(B207,input_387100!L:R,7,FALSE),VLOOKUP(tables_387100!C207,input_387100!A:H,8,FALSE))</f>
        <v>430</v>
      </c>
      <c r="P207" s="46">
        <f t="shared" ca="1" si="11"/>
        <v>1.2500000000000001E-5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input_387100!A$2</f>
        <v>387100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IFERROR(VLOOKUP(B208,input_387100!L:R,7,FALSE),VLOOKUP(tables_387100!C208,input_387100!A:H,8,FALSE))</f>
        <v>8170</v>
      </c>
      <c r="P208" s="46">
        <f t="shared" ca="1" si="11"/>
        <v>2.375E-4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input_387100!A$2</f>
        <v>387100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IFERROR(VLOOKUP(B209,input_387100!L:R,7,FALSE),VLOOKUP(tables_387100!C209,input_387100!A:H,8,FALSE))</f>
        <v>430</v>
      </c>
      <c r="P209" s="46">
        <f t="shared" ca="1" si="11"/>
        <v>1.2500000000000001E-5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input_387100!A$2</f>
        <v>387100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IFERROR(VLOOKUP(B210,input_387100!L:R,7,FALSE),VLOOKUP(tables_387100!C210,input_387100!A:H,8,FALSE))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input_387100!A$2</f>
        <v>387100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IFERROR(VLOOKUP(B211,input_387100!L:R,7,FALSE),VLOOKUP(tables_387100!C211,input_387100!A:H,8,FALSE))</f>
        <v>361000</v>
      </c>
      <c r="P211" s="46">
        <f t="shared" ca="1" si="11"/>
        <v>1.0494186046511629E-2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input_387100!A$2</f>
        <v>387100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IFERROR(VLOOKUP(B212,input_387100!L:R,7,FALSE),VLOOKUP(tables_387100!C212,input_387100!A:H,8,FALSE))</f>
        <v>19000</v>
      </c>
      <c r="P212" s="46">
        <f t="shared" ca="1" si="11"/>
        <v>5.5232558139534885E-4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input_387100!A$2</f>
        <v>387100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IFERROR(VLOOKUP(B213,input_387100!L:R,7,FALSE),VLOOKUP(tables_387100!C213,input_387100!A:H,8,FALSE))</f>
        <v>8170</v>
      </c>
      <c r="P213" s="46">
        <f t="shared" ca="1" si="11"/>
        <v>2.375E-4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input_387100!A$2</f>
        <v>387100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IFERROR(VLOOKUP(B214,input_387100!L:R,7,FALSE),VLOOKUP(tables_387100!C214,input_387100!A:H,8,FALSE))</f>
        <v>430</v>
      </c>
      <c r="P214" s="46">
        <f t="shared" ca="1" si="11"/>
        <v>1.2500000000000001E-5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input_387100!A$2</f>
        <v>387100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IFERROR(VLOOKUP(B215,input_387100!L:R,7,FALSE),VLOOKUP(tables_387100!C215,input_387100!A:H,8,FALSE))</f>
        <v>8170</v>
      </c>
      <c r="P215" s="46">
        <f t="shared" ca="1" si="11"/>
        <v>2.375E-4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input_387100!A$2</f>
        <v>387100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IFERROR(VLOOKUP(B216,input_387100!L:R,7,FALSE),VLOOKUP(tables_387100!C216,input_387100!A:H,8,FALSE))</f>
        <v>430</v>
      </c>
      <c r="P216" s="46">
        <f t="shared" ca="1" si="11"/>
        <v>1.2500000000000001E-5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input_387100!A$2</f>
        <v>387100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IFERROR(VLOOKUP(B217,input_387100!L:R,7,FALSE),VLOOKUP(tables_387100!C217,input_387100!A:H,8,FALSE))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input_387100!A$2</f>
        <v>387100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IFERROR(VLOOKUP(B218,input_387100!L:R,7,FALSE),VLOOKUP(tables_387100!C218,input_387100!A:H,8,FALSE))</f>
        <v>361000</v>
      </c>
      <c r="P218" s="46">
        <f t="shared" ca="1" si="11"/>
        <v>1.0494186046511629E-2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input_387100!A$2</f>
        <v>387100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IFERROR(VLOOKUP(B219,input_387100!L:R,7,FALSE),VLOOKUP(tables_387100!C219,input_387100!A:H,8,FALSE))</f>
        <v>19000</v>
      </c>
      <c r="P219" s="46">
        <f t="shared" ca="1" si="11"/>
        <v>5.5232558139534885E-4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input_387100!A$2</f>
        <v>387100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IFERROR(VLOOKUP(B220,input_387100!L:R,7,FALSE),VLOOKUP(tables_387100!C220,input_387100!A:H,8,FALSE))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input_387100!A$2</f>
        <v>387100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IFERROR(VLOOKUP(B221,input_387100!L:R,7,FALSE),VLOOKUP(tables_387100!C221,input_387100!A:H,8,FALSE))</f>
        <v>361000</v>
      </c>
      <c r="P221" s="46">
        <f t="shared" ca="1" si="11"/>
        <v>1.0494186046511629E-2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input_387100!A$2</f>
        <v>387100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IFERROR(VLOOKUP(B222,input_387100!L:R,7,FALSE),VLOOKUP(tables_387100!C222,input_387100!A:H,8,FALSE))</f>
        <v>19000</v>
      </c>
      <c r="P222" s="46">
        <f t="shared" ca="1" si="11"/>
        <v>5.5232558139534885E-4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input_387100!A$2</f>
        <v>387100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IFERROR(VLOOKUP(B223,input_387100!L:R,7,FALSE),VLOOKUP(tables_387100!C223,input_387100!A:H,8,FALSE))</f>
        <v>8170</v>
      </c>
      <c r="P223" s="46">
        <f t="shared" ca="1" si="11"/>
        <v>2.375E-4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input_387100!A$2</f>
        <v>387100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IFERROR(VLOOKUP(B224,input_387100!L:R,7,FALSE),VLOOKUP(tables_387100!C224,input_387100!A:H,8,FALSE))</f>
        <v>430</v>
      </c>
      <c r="P224" s="46">
        <f t="shared" ca="1" si="11"/>
        <v>1.2500000000000001E-5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input_387100!A$2</f>
        <v>387100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IFERROR(VLOOKUP(B225,input_387100!L:R,7,FALSE),VLOOKUP(tables_387100!C225,input_387100!A:H,8,FALSE))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input_387100!A$2</f>
        <v>387100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IFERROR(VLOOKUP(B226,input_387100!L:R,7,FALSE),VLOOKUP(tables_387100!C226,input_387100!A:H,8,FALSE))</f>
        <v>361000</v>
      </c>
      <c r="P226" s="46">
        <f t="shared" ca="1" si="11"/>
        <v>1.0494186046511629E-2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input_387100!A$2</f>
        <v>387100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IFERROR(VLOOKUP(B227,input_387100!L:R,7,FALSE),VLOOKUP(tables_387100!C227,input_387100!A:H,8,FALSE))</f>
        <v>19000</v>
      </c>
      <c r="P227" s="46">
        <f t="shared" ca="1" si="11"/>
        <v>5.5232558139534885E-4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input_387100!A$2</f>
        <v>387100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IFERROR(VLOOKUP(B228,input_387100!L:R,7,FALSE),VLOOKUP(tables_387100!C228,input_387100!A:H,8,FALSE))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input_387100!A$2</f>
        <v>387100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IFERROR(VLOOKUP(B229,input_387100!L:R,7,FALSE),VLOOKUP(tables_387100!C229,input_387100!A:H,8,FALSE))</f>
        <v>361000</v>
      </c>
      <c r="P229" s="46">
        <f t="shared" ca="1" si="11"/>
        <v>1.0494186046511629E-2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input_387100!A$2</f>
        <v>387100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IFERROR(VLOOKUP(B230,input_387100!L:R,7,FALSE),VLOOKUP(tables_387100!C230,input_387100!A:H,8,FALSE))</f>
        <v>19000</v>
      </c>
      <c r="P230" s="46">
        <f t="shared" ca="1" si="11"/>
        <v>5.5232558139534885E-4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input_387100!A$2</f>
        <v>387100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IFERROR(VLOOKUP(B231,input_387100!L:R,7,FALSE),VLOOKUP(tables_387100!C231,input_387100!A:H,8,FALSE))</f>
        <v>8170</v>
      </c>
      <c r="P231" s="46">
        <f t="shared" ca="1" si="11"/>
        <v>2.375E-4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input_387100!A$2</f>
        <v>387100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IFERROR(VLOOKUP(B232,input_387100!L:R,7,FALSE),VLOOKUP(tables_387100!C232,input_387100!A:H,8,FALSE))</f>
        <v>430</v>
      </c>
      <c r="P232" s="46">
        <f t="shared" ca="1" si="11"/>
        <v>1.2500000000000001E-5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input_387100!A$2</f>
        <v>387100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IFERROR(VLOOKUP(B233,input_387100!L:R,7,FALSE),VLOOKUP(tables_387100!C233,input_387100!A:H,8,FALSE))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input_387100!A$2</f>
        <v>387100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IFERROR(VLOOKUP(B234,input_387100!L:R,7,FALSE),VLOOKUP(tables_387100!C234,input_387100!A:H,8,FALSE))</f>
        <v>361000</v>
      </c>
      <c r="P234" s="46">
        <f t="shared" ca="1" si="11"/>
        <v>1.0494186046511629E-2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input_387100!A$2</f>
        <v>387100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IFERROR(VLOOKUP(B235,input_387100!L:R,7,FALSE),VLOOKUP(tables_387100!C235,input_387100!A:H,8,FALSE))</f>
        <v>19000</v>
      </c>
      <c r="P235" s="46">
        <f t="shared" ca="1" si="11"/>
        <v>5.5232558139534885E-4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input_387100!A$2</f>
        <v>387100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IFERROR(VLOOKUP(B236,input_387100!L:R,7,FALSE),VLOOKUP(tables_387100!C236,input_387100!A:H,8,FALSE))</f>
        <v>8170</v>
      </c>
      <c r="P236" s="46">
        <f t="shared" ca="1" si="11"/>
        <v>2.375E-4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input_387100!A$2</f>
        <v>387100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IFERROR(VLOOKUP(B237,input_387100!L:R,7,FALSE),VLOOKUP(tables_387100!C237,input_387100!A:H,8,FALSE))</f>
        <v>430</v>
      </c>
      <c r="P237" s="46">
        <f t="shared" ca="1" si="11"/>
        <v>1.2500000000000001E-5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input_387100!A$2</f>
        <v>387100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IFERROR(VLOOKUP(B238,input_387100!L:R,7,FALSE),VLOOKUP(tables_387100!C238,input_387100!A:H,8,FALSE))</f>
        <v>8170</v>
      </c>
      <c r="P238" s="46">
        <f t="shared" ca="1" si="11"/>
        <v>2.375E-4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input_387100!A$2</f>
        <v>387100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IFERROR(VLOOKUP(B239,input_387100!L:R,7,FALSE),VLOOKUP(tables_387100!C239,input_387100!A:H,8,FALSE))</f>
        <v>430</v>
      </c>
      <c r="P239" s="46">
        <f t="shared" ca="1" si="11"/>
        <v>1.2500000000000001E-5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input_387100!A$2</f>
        <v>387100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IFERROR(VLOOKUP(B240,input_387100!L:R,7,FALSE),VLOOKUP(tables_387100!C240,input_387100!A:H,8,FALSE))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input_387100!A$2</f>
        <v>387100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IFERROR(VLOOKUP(B241,input_387100!L:R,7,FALSE),VLOOKUP(tables_387100!C241,input_387100!A:H,8,FALSE))</f>
        <v>361000</v>
      </c>
      <c r="P241" s="46">
        <f t="shared" ca="1" si="11"/>
        <v>1.0494186046511629E-2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input_387100!A$2</f>
        <v>387100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IFERROR(VLOOKUP(B242,input_387100!L:R,7,FALSE),VLOOKUP(tables_387100!C242,input_387100!A:H,8,FALSE))</f>
        <v>19000</v>
      </c>
      <c r="P242" s="46">
        <f t="shared" ca="1" si="11"/>
        <v>5.5232558139534885E-4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input_387100!A$2</f>
        <v>387100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IFERROR(VLOOKUP(B243,input_387100!L:R,7,FALSE),VLOOKUP(tables_387100!C243,input_387100!A:H,8,FALSE))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input_387100!A$2</f>
        <v>387100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IFERROR(VLOOKUP(B244,input_387100!L:R,7,FALSE),VLOOKUP(tables_387100!C244,input_387100!A:H,8,FALSE))</f>
        <v>361000</v>
      </c>
      <c r="P244" s="46">
        <f t="shared" ca="1" si="11"/>
        <v>1.0494186046511629E-2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input_387100!A$2</f>
        <v>387100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IFERROR(VLOOKUP(B245,input_387100!L:R,7,FALSE),VLOOKUP(tables_387100!C245,input_387100!A:H,8,FALSE))</f>
        <v>19000</v>
      </c>
      <c r="P245" s="46">
        <f t="shared" ca="1" si="11"/>
        <v>5.5232558139534885E-4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input_387100!A$2</f>
        <v>387100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IFERROR(VLOOKUP(B246,input_387100!L:R,7,FALSE),VLOOKUP(tables_387100!C246,input_387100!A:H,8,FALSE))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input_387100!A$2</f>
        <v>387100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IFERROR(VLOOKUP(B247,input_387100!L:R,7,FALSE),VLOOKUP(tables_387100!C247,input_387100!A:H,8,FALSE))</f>
        <v>361000</v>
      </c>
      <c r="P247" s="46">
        <f t="shared" ca="1" si="11"/>
        <v>1.0494186046511629E-2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input_387100!A$2</f>
        <v>387100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IFERROR(VLOOKUP(B248,input_387100!L:R,7,FALSE),VLOOKUP(tables_387100!C248,input_387100!A:H,8,FALSE))</f>
        <v>19000</v>
      </c>
      <c r="P248" s="46">
        <f t="shared" ca="1" si="11"/>
        <v>5.5232558139534885E-4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input_387100!A$2</f>
        <v>387100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IFERROR(VLOOKUP(B249,input_387100!L:R,7,FALSE),VLOOKUP(tables_387100!C249,input_387100!A:H,8,FALSE))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input_387100!A$2</f>
        <v>387100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IFERROR(VLOOKUP(B250,input_387100!L:R,7,FALSE),VLOOKUP(tables_387100!C250,input_387100!A:H,8,FALSE))</f>
        <v>361000</v>
      </c>
      <c r="P250" s="46">
        <f t="shared" ca="1" si="11"/>
        <v>1.0494186046511629E-2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input_387100!A$2</f>
        <v>387100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IFERROR(VLOOKUP(B251,input_387100!L:R,7,FALSE),VLOOKUP(tables_387100!C251,input_387100!A:H,8,FALSE))</f>
        <v>19000</v>
      </c>
      <c r="P251" s="46">
        <f t="shared" ca="1" si="11"/>
        <v>5.5232558139534885E-4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input_387100!A$2</f>
        <v>387100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IFERROR(VLOOKUP(B252,input_387100!L:R,7,FALSE),VLOOKUP(tables_387100!C252,input_387100!A:H,8,FALSE))</f>
        <v>8170</v>
      </c>
      <c r="P252" s="46">
        <f t="shared" ca="1" si="11"/>
        <v>2.375E-4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input_387100!A$2</f>
        <v>387100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IFERROR(VLOOKUP(B253,input_387100!L:R,7,FALSE),VLOOKUP(tables_387100!C253,input_387100!A:H,8,FALSE))</f>
        <v>430</v>
      </c>
      <c r="P253" s="46">
        <f t="shared" ca="1" si="11"/>
        <v>1.2500000000000001E-5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input_387100!A$2</f>
        <v>387100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IFERROR(VLOOKUP(B254,input_387100!L:R,7,FALSE),VLOOKUP(tables_387100!C254,input_387100!A:H,8,FALSE))</f>
        <v>8170</v>
      </c>
      <c r="P254" s="46">
        <f t="shared" ca="1" si="11"/>
        <v>2.375E-4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input_387100!A$2</f>
        <v>387100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IFERROR(VLOOKUP(B255,input_387100!L:R,7,FALSE),VLOOKUP(tables_387100!C255,input_387100!A:H,8,FALSE))</f>
        <v>430</v>
      </c>
      <c r="P255" s="46">
        <f t="shared" ca="1" si="11"/>
        <v>1.2500000000000001E-5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input_387100!A$2</f>
        <v>387100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IFERROR(VLOOKUP(B256,input_387100!L:R,7,FALSE),VLOOKUP(tables_387100!C256,input_387100!A:H,8,FALSE))</f>
        <v>327558</v>
      </c>
      <c r="P256" s="46">
        <f t="shared" ca="1" si="11"/>
        <v>9.5220348837209302E-3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input_387100!A$2</f>
        <v>387100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IFERROR(VLOOKUP(B257,input_387100!L:R,7,FALSE),VLOOKUP(tables_387100!C257,input_387100!A:H,8,FALSE))</f>
        <v>52442</v>
      </c>
      <c r="P257" s="46">
        <f t="shared" ca="1" si="11"/>
        <v>1.5244767441860464E-3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input_387100!A$2</f>
        <v>387100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IFERROR(VLOOKUP(B258,input_387100!L:R,7,FALSE),VLOOKUP(tables_387100!C258,input_387100!A:H,8,FALSE))</f>
        <v>327558</v>
      </c>
      <c r="P258" s="46">
        <f t="shared" ref="P258:P294" ca="1" si="14">O258/SUM(O:O)</f>
        <v>9.5220348837209302E-3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input_387100!A$2</f>
        <v>387100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IFERROR(VLOOKUP(B259,input_387100!L:R,7,FALSE),VLOOKUP(tables_387100!C259,input_387100!A:H,8,FALSE))</f>
        <v>52442</v>
      </c>
      <c r="P259" s="46">
        <f t="shared" ca="1" si="14"/>
        <v>1.5244767441860464E-3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input_387100!A$2</f>
        <v>387100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IFERROR(VLOOKUP(B260,input_387100!L:R,7,FALSE),VLOOKUP(tables_387100!C260,input_387100!A:H,8,FALSE))</f>
        <v>8600</v>
      </c>
      <c r="P260" s="46">
        <f t="shared" ca="1" si="14"/>
        <v>2.5000000000000001E-4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input_387100!A$2</f>
        <v>387100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IFERROR(VLOOKUP(B261,input_387100!L:R,7,FALSE),VLOOKUP(tables_387100!C261,input_387100!A:H,8,FALSE))</f>
        <v>8600</v>
      </c>
      <c r="P261" s="46">
        <f t="shared" ca="1" si="14"/>
        <v>2.5000000000000001E-4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input_387100!A$2</f>
        <v>387100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>IFERROR(VLOOKUP(B262,input_387100!L:R,7,FALSE),VLOOKUP(tables_387100!C262,input_387100!A:H,8,FALSE))</f>
        <v>172000</v>
      </c>
      <c r="P262" s="46">
        <f t="shared" ca="1" si="14"/>
        <v>5.0000000000000001E-3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input_387100!A$2</f>
        <v>387100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>IFERROR(VLOOKUP(B263,input_387100!L:R,7,FALSE),VLOOKUP(tables_387100!C263,input_387100!A:H,8,FALSE))</f>
        <v>516000</v>
      </c>
      <c r="P263" s="46">
        <f t="shared" ca="1" si="14"/>
        <v>1.4999999999999999E-2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input_387100!A$2</f>
        <v>387100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>IFERROR(VLOOKUP(B264,input_387100!L:R,7,FALSE),VLOOKUP(tables_387100!C264,input_387100!A:H,8,FALSE))</f>
        <v>172000</v>
      </c>
      <c r="P264" s="46">
        <f t="shared" ca="1" si="14"/>
        <v>5.0000000000000001E-3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input_387100!A$2</f>
        <v>387100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>IFERROR(VLOOKUP(B265,input_387100!L:R,7,FALSE),VLOOKUP(tables_387100!C265,input_387100!A:H,8,FALSE))</f>
        <v>516000</v>
      </c>
      <c r="P265" s="46">
        <f t="shared" ca="1" si="14"/>
        <v>1.4999999999999999E-2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input_387100!A$2</f>
        <v>387100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IFERROR(VLOOKUP(B266,input_387100!L:R,7,FALSE),VLOOKUP(tables_387100!C266,input_387100!A:H,8,FALSE))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input_387100!A$2</f>
        <v>387100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IFERROR(VLOOKUP(B267,input_387100!L:R,7,FALSE),VLOOKUP(tables_387100!C267,input_387100!A:H,8,FALSE))</f>
        <v>361000</v>
      </c>
      <c r="P267" s="46">
        <f t="shared" ca="1" si="14"/>
        <v>1.0494186046511629E-2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input_387100!A$2</f>
        <v>387100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IFERROR(VLOOKUP(B268,input_387100!L:R,7,FALSE),VLOOKUP(tables_387100!C268,input_387100!A:H,8,FALSE))</f>
        <v>19000</v>
      </c>
      <c r="P268" s="46">
        <f t="shared" ca="1" si="14"/>
        <v>5.5232558139534885E-4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input_387100!A$2</f>
        <v>387100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IFERROR(VLOOKUP(B269,input_387100!L:R,7,FALSE),VLOOKUP(tables_387100!C269,input_387100!A:H,8,FALSE))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input_387100!A$2</f>
        <v>387100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IFERROR(VLOOKUP(B270,input_387100!L:R,7,FALSE),VLOOKUP(tables_387100!C270,input_387100!A:H,8,FALSE))</f>
        <v>361000</v>
      </c>
      <c r="P270" s="46">
        <f t="shared" ca="1" si="14"/>
        <v>1.0494186046511629E-2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input_387100!A$2</f>
        <v>387100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IFERROR(VLOOKUP(B271,input_387100!L:R,7,FALSE),VLOOKUP(tables_387100!C271,input_387100!A:H,8,FALSE))</f>
        <v>19000</v>
      </c>
      <c r="P271" s="46">
        <f t="shared" ca="1" si="14"/>
        <v>5.5232558139534885E-4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input_387100!A$2</f>
        <v>387100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IFERROR(VLOOKUP(B272,input_387100!L:R,7,FALSE),VLOOKUP(tables_387100!C272,input_387100!A:H,8,FALSE))</f>
        <v>8600</v>
      </c>
      <c r="P272" s="46">
        <f t="shared" ca="1" si="14"/>
        <v>2.5000000000000001E-4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input_387100!A$2</f>
        <v>387100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IFERROR(VLOOKUP(B273,input_387100!L:R,7,FALSE),VLOOKUP(tables_387100!C273,input_387100!A:H,8,FALSE))</f>
        <v>8600</v>
      </c>
      <c r="P273" s="46">
        <f t="shared" ca="1" si="14"/>
        <v>2.5000000000000001E-4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input_387100!A$2</f>
        <v>387100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IFERROR(VLOOKUP(B274,input_387100!L:R,7,FALSE),VLOOKUP(tables_387100!C274,input_387100!A:H,8,FALSE))</f>
        <v>327558</v>
      </c>
      <c r="P274" s="46">
        <f t="shared" ca="1" si="14"/>
        <v>9.5220348837209302E-3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input_387100!A$2</f>
        <v>387100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IFERROR(VLOOKUP(B275,input_387100!L:R,7,FALSE),VLOOKUP(tables_387100!C275,input_387100!A:H,8,FALSE))</f>
        <v>52442</v>
      </c>
      <c r="P275" s="46">
        <f t="shared" ca="1" si="14"/>
        <v>1.5244767441860464E-3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input_387100!A$2</f>
        <v>387100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IFERROR(VLOOKUP(B276,input_387100!L:R,7,FALSE),VLOOKUP(tables_387100!C276,input_387100!A:H,8,FALSE))</f>
        <v>327558</v>
      </c>
      <c r="P276" s="46">
        <f t="shared" ca="1" si="14"/>
        <v>9.5220348837209302E-3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input_387100!A$2</f>
        <v>387100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IFERROR(VLOOKUP(B277,input_387100!L:R,7,FALSE),VLOOKUP(tables_387100!C277,input_387100!A:H,8,FALSE))</f>
        <v>52442</v>
      </c>
      <c r="P277" s="46">
        <f t="shared" ca="1" si="14"/>
        <v>1.5244767441860464E-3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input_387100!A$2</f>
        <v>387100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IFERROR(VLOOKUP(B278,input_387100!L:R,7,FALSE),VLOOKUP(tables_387100!C278,input_387100!A:H,8,FALSE))</f>
        <v>327558</v>
      </c>
      <c r="P278" s="46">
        <f t="shared" ca="1" si="14"/>
        <v>9.5220348837209302E-3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input_387100!A$2</f>
        <v>387100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IFERROR(VLOOKUP(B279,input_387100!L:R,7,FALSE),VLOOKUP(tables_387100!C279,input_387100!A:H,8,FALSE))</f>
        <v>52442</v>
      </c>
      <c r="P279" s="46">
        <f t="shared" ca="1" si="14"/>
        <v>1.5244767441860464E-3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input_387100!A$2</f>
        <v>387100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IFERROR(VLOOKUP(B280,input_387100!L:R,7,FALSE),VLOOKUP(tables_387100!C280,input_387100!A:H,8,FALSE))</f>
        <v>327558</v>
      </c>
      <c r="P280" s="46">
        <f t="shared" ca="1" si="14"/>
        <v>9.5220348837209302E-3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input_387100!A$2</f>
        <v>387100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IFERROR(VLOOKUP(B281,input_387100!L:R,7,FALSE),VLOOKUP(tables_387100!C281,input_387100!A:H,8,FALSE))</f>
        <v>52442</v>
      </c>
      <c r="P281" s="46">
        <f t="shared" ca="1" si="14"/>
        <v>1.5244767441860464E-3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input_387100!A$2</f>
        <v>387100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IFERROR(VLOOKUP(B282,input_387100!L:R,7,FALSE),VLOOKUP(tables_387100!C282,input_387100!A:H,8,FALSE))</f>
        <v>8600</v>
      </c>
      <c r="P282" s="46">
        <f t="shared" ca="1" si="14"/>
        <v>2.5000000000000001E-4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input_387100!A$2</f>
        <v>387100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IFERROR(VLOOKUP(B283,input_387100!L:R,7,FALSE),VLOOKUP(tables_387100!C283,input_387100!A:H,8,FALSE))</f>
        <v>8600</v>
      </c>
      <c r="P283" s="46">
        <f t="shared" ca="1" si="14"/>
        <v>2.5000000000000001E-4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input_387100!A$2</f>
        <v>387100</v>
      </c>
      <c r="B284" s="92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IFERROR(VLOOKUP(B284,input_387100!L:R,7,FALSE),VLOOKUP(tables_387100!C284,input_387100!A:H,8,FALSE))</f>
        <v>8600</v>
      </c>
      <c r="P284" s="46">
        <f t="shared" ca="1" si="14"/>
        <v>2.5000000000000001E-4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input_387100!A$2</f>
        <v>387100</v>
      </c>
      <c r="B285" s="92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IFERROR(VLOOKUP(B285,input_387100!L:R,7,FALSE),VLOOKUP(tables_387100!C285,input_387100!A:H,8,FALSE))</f>
        <v>8600</v>
      </c>
      <c r="P285" s="46">
        <f t="shared" ca="1" si="14"/>
        <v>2.5000000000000001E-4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input_387100!A$2</f>
        <v>387100</v>
      </c>
      <c r="B286" s="92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IFERROR(VLOOKUP(B286,input_387100!L:R,7,FALSE),VLOOKUP(tables_387100!C286,input_387100!A:H,8,FALSE))</f>
        <v>327558</v>
      </c>
      <c r="P286" s="46">
        <f t="shared" ca="1" si="14"/>
        <v>9.5220348837209302E-3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input_387100!A$2</f>
        <v>387100</v>
      </c>
      <c r="B287" s="92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IFERROR(VLOOKUP(B287,input_387100!L:R,7,FALSE),VLOOKUP(tables_387100!C287,input_387100!A:H,8,FALSE))</f>
        <v>52442</v>
      </c>
      <c r="P287" s="46">
        <f t="shared" ca="1" si="14"/>
        <v>1.5244767441860464E-3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input_387100!A$2</f>
        <v>387100</v>
      </c>
      <c r="B288" s="92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IFERROR(VLOOKUP(B288,input_387100!L:R,7,FALSE),VLOOKUP(tables_387100!C288,input_387100!A:H,8,FALSE))</f>
        <v>327558</v>
      </c>
      <c r="P288" s="46">
        <f t="shared" ca="1" si="14"/>
        <v>9.5220348837209302E-3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input_387100!A$2</f>
        <v>387100</v>
      </c>
      <c r="B289" s="92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IFERROR(VLOOKUP(B289,input_387100!L:R,7,FALSE),VLOOKUP(tables_387100!C289,input_387100!A:H,8,FALSE))</f>
        <v>52442</v>
      </c>
      <c r="P289" s="46">
        <f t="shared" ca="1" si="14"/>
        <v>1.5244767441860464E-3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input_387100!A$2</f>
        <v>387100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IFERROR(VLOOKUP(B290,input_387100!L:R,7,FALSE),VLOOKUP(tables_387100!C290,input_387100!A:H,8,FALSE))</f>
        <v>8600</v>
      </c>
      <c r="P290" s="46">
        <f t="shared" ca="1" si="14"/>
        <v>2.5000000000000001E-4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input_387100!A$2</f>
        <v>387100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IFERROR(VLOOKUP(B291,input_387100!L:R,7,FALSE),VLOOKUP(tables_387100!C291,input_387100!A:H,8,FALSE))</f>
        <v>327558</v>
      </c>
      <c r="P291" s="46">
        <f t="shared" ca="1" si="14"/>
        <v>9.5220348837209302E-3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input_387100!A$2</f>
        <v>387100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IFERROR(VLOOKUP(B292,input_387100!L:R,7,FALSE),VLOOKUP(tables_387100!C292,input_387100!A:H,8,FALSE))</f>
        <v>52442</v>
      </c>
      <c r="P292" s="46">
        <f t="shared" ca="1" si="14"/>
        <v>1.5244767441860464E-3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input_387100!A$2</f>
        <v>387100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IFERROR(VLOOKUP(B293,input_387100!L:R,7,FALSE),VLOOKUP(tables_387100!C293,input_387100!A:H,8,FALSE))</f>
        <v>8600</v>
      </c>
      <c r="P293" s="46">
        <f t="shared" ca="1" si="14"/>
        <v>2.5000000000000001E-4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input_387100!A$2</f>
        <v>387100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IFERROR(VLOOKUP(B294,input_387100!L:R,7,FALSE),VLOOKUP(tables_387100!C294,input_387100!A:H,8,FALSE))</f>
        <v>8600</v>
      </c>
      <c r="P294" s="46">
        <f t="shared" ca="1" si="14"/>
        <v>2.5000000000000001E-4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input_387100!A$2</f>
        <v>387100</v>
      </c>
      <c r="B295" s="5">
        <v>1012</v>
      </c>
      <c r="C295" s="7" t="str">
        <f t="shared" ref="C295:C299" si="23">D295&amp;J295&amp;E295&amp;F295&amp;G295</f>
        <v>PremiumSS5R5only</v>
      </c>
      <c r="D295" s="7" t="str">
        <f t="shared" ref="D295:D299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IFERROR(VLOOKUP(B295,input_387100!L:R,7,FALSE),VLOOKUP(tables_387100!C295,input_387100!A:H,8,FALSE))</f>
        <v>8600</v>
      </c>
      <c r="P295" s="46">
        <f t="shared" ref="P295:P299" ca="1" si="25">O295/SUM(O:O)</f>
        <v>2.5000000000000001E-4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input_387100!A$2</f>
        <v>387100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IFERROR(VLOOKUP(B296,input_387100!L:R,7,FALSE),VLOOKUP(tables_387100!C296,input_387100!A:H,8,FALSE))</f>
        <v>8600</v>
      </c>
      <c r="P296" s="46">
        <f t="shared" ca="1" si="25"/>
        <v>2.5000000000000001E-4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input_387100!A$2</f>
        <v>387100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IFERROR(VLOOKUP(B297,input_387100!L:R,7,FALSE),VLOOKUP(tables_387100!C297,input_387100!A:H,8,FALSE))</f>
        <v>327558</v>
      </c>
      <c r="P297" s="46">
        <f t="shared" ca="1" si="25"/>
        <v>9.5220348837209302E-3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input_387100!A$2</f>
        <v>387100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IFERROR(VLOOKUP(B298,input_387100!L:R,7,FALSE),VLOOKUP(tables_387100!C298,input_387100!A:H,8,FALSE))</f>
        <v>52442</v>
      </c>
      <c r="P298" s="46">
        <f t="shared" ca="1" si="25"/>
        <v>1.5244767441860464E-3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input_387100!A$2</f>
        <v>387100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IFERROR(VLOOKUP(B299,input_387100!L:R,7,FALSE),VLOOKUP(tables_387100!C299,input_387100!A:H,8,FALSE))</f>
        <v>8600</v>
      </c>
      <c r="P299" s="46">
        <f t="shared" ca="1" si="25"/>
        <v>2.5000000000000001E-4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/>
      <c r="B2" s="79"/>
      <c r="C2" s="80"/>
      <c r="D2" s="80"/>
      <c r="E2" s="80"/>
      <c r="F2" s="80"/>
      <c r="G2" s="1"/>
      <c r="H2" s="1"/>
      <c r="I2" s="1"/>
      <c r="J2" s="1"/>
      <c r="K2" s="1"/>
      <c r="L2" s="1"/>
      <c r="M2" s="1"/>
      <c r="N2" s="80"/>
      <c r="O2" s="80"/>
      <c r="P2" s="80"/>
      <c r="Q2" s="81"/>
    </row>
    <row r="3" spans="1:17" ht="21" customHeight="1" x14ac:dyDescent="0.15">
      <c r="A3" s="79"/>
      <c r="B3" s="79"/>
      <c r="G3" s="87"/>
      <c r="H3" s="87"/>
      <c r="I3" s="87"/>
      <c r="J3" s="87"/>
      <c r="K3" s="87"/>
      <c r="L3" s="87"/>
      <c r="M3" s="87"/>
      <c r="N3" s="80"/>
      <c r="O3" s="80"/>
      <c r="P3" s="80"/>
      <c r="Q3" s="81"/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input_387010</vt:lpstr>
      <vt:lpstr>tables_387010</vt:lpstr>
      <vt:lpstr>input_387100</vt:lpstr>
      <vt:lpstr>tables_387100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2016-08-11T05:17:48Z</dcterms:modified>
</cp:coreProperties>
</file>