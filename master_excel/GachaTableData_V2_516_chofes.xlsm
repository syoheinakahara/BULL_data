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firstSheet="1" activeTab="4"/>
  </bookViews>
  <sheets>
    <sheet name="確率の考え方" sheetId="110" r:id="rId1"/>
    <sheet name="Sheet1" sheetId="107" r:id="rId2"/>
    <sheet name="output" sheetId="103" r:id="rId3"/>
    <sheet name="input_settle_516100" sheetId="157" r:id="rId4"/>
    <sheet name="tables_settle_516100" sheetId="158" r:id="rId5"/>
    <sheet name="input_516100" sheetId="153" r:id="rId6"/>
    <sheet name="tables_516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6" hidden="1">tables_516100!$A$1:$V$294</definedName>
    <definedName name="_xlnm._FilterDatabase" localSheetId="4" hidden="1">tables_settle_516100!$A$1:$V$294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157" l="1"/>
  <c r="N3" i="157"/>
  <c r="A2" i="157"/>
  <c r="A351" i="158"/>
  <c r="I351" i="158"/>
  <c r="D351" i="158"/>
  <c r="J351" i="158"/>
  <c r="E351" i="158"/>
  <c r="F351" i="158"/>
  <c r="C351" i="158"/>
  <c r="H351" i="158"/>
  <c r="K351" i="158"/>
  <c r="L351" i="158"/>
  <c r="M351" i="158"/>
  <c r="N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B30" i="157"/>
  <c r="G30" i="157"/>
  <c r="E30" i="157"/>
  <c r="H30" i="157"/>
  <c r="R3" i="157"/>
  <c r="O351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G31" i="157"/>
  <c r="E31" i="157"/>
  <c r="H31" i="157"/>
  <c r="R4" i="157"/>
  <c r="O352" i="158"/>
  <c r="R5" i="157"/>
  <c r="O353" i="158"/>
  <c r="P351" i="158"/>
  <c r="A352" i="158"/>
  <c r="H352" i="158"/>
  <c r="K352" i="158"/>
  <c r="L352" i="158"/>
  <c r="M352" i="158"/>
  <c r="N352" i="158"/>
  <c r="P352" i="158"/>
  <c r="A353" i="158"/>
  <c r="H353" i="158"/>
  <c r="K353" i="158"/>
  <c r="L353" i="158"/>
  <c r="M353" i="158"/>
  <c r="N353" i="158"/>
  <c r="P353" i="158"/>
  <c r="B6" i="153"/>
  <c r="B1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2" i="153"/>
  <c r="E23" i="153"/>
  <c r="B23" i="153"/>
  <c r="B22" i="153"/>
  <c r="E25" i="153"/>
  <c r="B25" i="153"/>
  <c r="F5" i="153"/>
  <c r="E5" i="153"/>
  <c r="E27" i="153"/>
  <c r="B27" i="153"/>
  <c r="B30" i="153"/>
  <c r="N3" i="153"/>
  <c r="C30" i="153"/>
  <c r="B18" i="153"/>
  <c r="E26" i="153"/>
  <c r="B26" i="153"/>
  <c r="E28" i="153"/>
  <c r="B28" i="153"/>
  <c r="E29" i="153"/>
  <c r="B29" i="153"/>
  <c r="N4" i="153"/>
  <c r="C31" i="153"/>
  <c r="B21" i="153"/>
  <c r="E19" i="153"/>
  <c r="B19" i="153"/>
  <c r="E24" i="153"/>
  <c r="B24" i="153"/>
  <c r="B17" i="153"/>
  <c r="A2" i="153"/>
  <c r="A351" i="154"/>
  <c r="H351" i="154"/>
  <c r="K351" i="154"/>
  <c r="L351" i="154"/>
  <c r="M351" i="154"/>
  <c r="N351" i="154"/>
  <c r="A36" i="153"/>
  <c r="G23" i="153"/>
  <c r="H23" i="153"/>
  <c r="G19" i="153"/>
  <c r="H19" i="153"/>
  <c r="G30" i="153"/>
  <c r="E30" i="153"/>
  <c r="H30" i="153"/>
  <c r="R3" i="153"/>
  <c r="O351" i="154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G31" i="153"/>
  <c r="E31" i="153"/>
  <c r="H31" i="153"/>
  <c r="R4" i="153"/>
  <c r="O352" i="154"/>
  <c r="R5" i="153"/>
  <c r="O353" i="154"/>
  <c r="P351" i="154"/>
  <c r="A352" i="154"/>
  <c r="H352" i="154"/>
  <c r="K352" i="154"/>
  <c r="L352" i="154"/>
  <c r="M352" i="154"/>
  <c r="N352" i="154"/>
  <c r="P352" i="154"/>
  <c r="A353" i="154"/>
  <c r="H353" i="154"/>
  <c r="K353" i="154"/>
  <c r="L353" i="154"/>
  <c r="M353" i="154"/>
  <c r="N353" i="154"/>
  <c r="P353" i="154"/>
  <c r="C2" i="103"/>
  <c r="A350" i="154"/>
  <c r="A346" i="154"/>
  <c r="A347" i="154"/>
  <c r="A348" i="154"/>
  <c r="A349" i="154"/>
  <c r="H346" i="154"/>
  <c r="K346" i="154"/>
  <c r="L346" i="154"/>
  <c r="M346" i="154"/>
  <c r="N346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8"/>
  <c r="H350" i="158"/>
  <c r="K350" i="158"/>
  <c r="L350" i="158"/>
  <c r="M350" i="158"/>
  <c r="N350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<sst xmlns="http://schemas.openxmlformats.org/spreadsheetml/2006/main" count="513" uniqueCount="256">
  <si>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</si>
  <si>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</si>
  <si>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</si>
  <si>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</si>
  <si>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</si>
  <si>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</si>
  <si>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</si>
  <si>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</si>
  <si>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</si>
  <si>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</si>
  <si>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</si>
  <si>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</si>
  <si>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</si>
  <si>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</si>
  <si>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</si>
  <si>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</si>
  <si>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</si>
  <si>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</si>
  <si>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</si>
  <si>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</si>
  <si>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</si>
  <si>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</si>
  <si>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</si>
  <si>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</si>
  <si>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</si>
  <si>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</si>
  <si>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</si>
  <si>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</si>
  <si>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</si>
  <si>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</si>
  <si>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</si>
  <si>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</si>
  <si>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</si>
  <si>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</si>
  <si>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</si>
  <si>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</si>
  <si>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</si>
  <si>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</si>
  <si>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</si>
  <si>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</si>
  <si>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</si>
  <si>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</si>
  <si>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</si>
  <si>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</si>
  <si>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</si>
  <si>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</si>
  <si>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</si>
  <si>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</si>
  <si>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</si>
  <si>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</si>
  <si>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</si>
  <si>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</si>
  <si>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</si>
  <si>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</si>
  <si>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</si>
  <si>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</si>
  <si>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</si>
  <si>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</si>
  <si>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</si>
  <si>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</si>
  <si>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</si>
  <si>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</si>
  <si>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</si>
  <si>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</si>
  <si>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</si>
  <si>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</si>
  <si>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</si>
  <si>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</si>
  <si>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</si>
  <si>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</si>
  <si>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</si>
  <si>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</si>
  <si>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</si>
  <si>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</si>
  <si>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</si>
  <si>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</si>
  <si>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</si>
  <si>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</si>
  <si>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</si>
  <si>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</si>
  <si>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</si>
  <si>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</si>
  <si>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</si>
  <si>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</si>
  <si>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</si>
  <si>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</si>
  <si>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</si>
  <si>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</si>
  <si>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</si>
  <si>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</si>
  <si>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</si>
  <si>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</si>
  <si>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</si>
  <si>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</si>
  <si>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</si>
  <si>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</si>
  <si>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</si>
  <si>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</si>
  <si>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</si>
  <si>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</si>
  <si>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</si>
  <si>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</si>
  <si>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</si>
  <si>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</si>
  <si>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</si>
  <si>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</si>
  <si>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</si>
  <si>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</si>
  <si>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</si>
  <si>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</si>
  <si>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</si>
  <si>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</si>
  <si>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</si>
  <si>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</si>
  <si>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</si>
  <si>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</si>
  <si>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</si>
  <si>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</si>
  <si>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</si>
  <si>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</si>
  <si>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</si>
  <si>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</si>
  <si>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</si>
  <si>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</si>
  <si>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</si>
  <si>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</si>
  <si>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</si>
  <si>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</si>
  <si>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</si>
  <si>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</si>
  <si>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</si>
  <si>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</si>
  <si>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</si>
  <si>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</si>
  <si>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</si>
  <si>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</si>
  <si>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</si>
  <si>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</si>
  <si>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</si>
  <si>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</si>
  <si>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</si>
  <si>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</si>
  <si>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</si>
  <si>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</si>
  <si>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</si>
  <si>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</si>
  <si>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</si>
  <si>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</si>
  <si>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</si>
  <si>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</si>
  <si>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</si>
  <si>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</si>
  <si>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</si>
  <si>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</si>
  <si>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</si>
  <si>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</si>
  <si>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</si>
  <si>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</si>
  <si>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</si>
  <si>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</si>
  <si>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</si>
  <si>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</si>
  <si>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</si>
  <si>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</si>
  <si>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</si>
  <si>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</si>
  <si>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</si>
  <si>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</si>
  <si>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</si>
  <si>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</si>
  <si>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</si>
  <si>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</si>
  <si>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</si>
  <si>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</si>
  <si>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</si>
  <si>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</si>
  <si>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</si>
  <si>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</si>
  <si>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</si>
  <si>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</si>
  <si>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</si>
  <si>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</si>
  <si>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</si>
  <si>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</si>
  <si>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</si>
  <si>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</si>
  <si>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</si>
  <si>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</si>
  <si>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</si>
  <si>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</si>
  <si>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</si>
  <si>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</si>
  <si>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</si>
  <si>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</si>
  <si>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</si>
  <si>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</si>
  <si>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</si>
  <si>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</si>
  <si>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</si>
  <si>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</si>
  <si>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</si>
  <si>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</si>
  <si>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</si>
  <si>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</si>
  <si>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</si>
  <si>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</si>
  <si>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</si>
  <si>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</si>
  <si>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</si>
  <si>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</si>
  <si>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</si>
  <si>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</si>
  <si>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</si>
  <si>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</si>
  <si>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</si>
  <si>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</si>
  <si>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</si>
  <si>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</si>
  <si>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</si>
  <si>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</si>
  <si>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</si>
  <si>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</si>
  <si>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</si>
  <si>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</si>
  <si>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</si>
  <si>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</si>
  <si>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</si>
  <si>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</si>
  <si>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</si>
  <si>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</si>
  <si>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</si>
  <si>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</si>
  <si>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</si>
  <si>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</si>
  <si>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</si>
  <si>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</si>
  <si>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</si>
  <si>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</si>
  <si>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</si>
  <si>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</si>
  <si>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</si>
  <si>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</si>
  <si>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</si>
  <si>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</si>
  <si>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</si>
  <si>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</si>
  <si>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</si>
  <si>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</si>
  <si>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</si>
  <si>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</si>
  <si>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</si>
  <si>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tables_514010</t>
    <phoneticPr fontId="21"/>
  </si>
  <si>
    <t>old</t>
    <phoneticPr fontId="21"/>
  </si>
  <si>
    <t>超フェス確率</t>
    <rPh sb="0" eb="1">
      <t>チョウf</t>
    </rPh>
    <phoneticPr fontId="21"/>
  </si>
  <si>
    <t>tables_516100</t>
    <phoneticPr fontId="21"/>
  </si>
  <si>
    <t>tables_settle_516100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</si>
</sst>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human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22" sqref="D22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>RIGHT(F2,6)</f>
        <v>516100</v>
      </c>
      <c r="D2" s="19" t="s">
        <v>45</v>
      </c>
      <c r="E2" s="17" t="str">
        <f t="shared" ref="E2" si="0">B2&amp;C2&amp;D2</f>
        <v>gacha_select_tables_516100.tmp</v>
      </c>
      <c r="F2" s="99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8" t="s">
        <v>241</v>
      </c>
      <c r="B3" s="61" t="s">
        <v>110</v>
      </c>
      <c r="C3" s="50" t="str">
        <f t="shared" ref="C3:C7" si="1">RIGHT(F3,6)</f>
        <v>514010</v>
      </c>
      <c r="D3" s="19" t="s">
        <v>45</v>
      </c>
      <c r="E3" s="17" t="str">
        <f t="shared" ref="E3:E10" si="2">B3&amp;C3&amp;D3</f>
        <v>gacha_select_tables_514010.tmp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4" t="s">
        <v>247</v>
      </c>
      <c r="C4" s="95" t="str">
        <f t="shared" si="1"/>
        <v>516100</v>
      </c>
      <c r="D4" s="19" t="s">
        <v>248</v>
      </c>
      <c r="E4" s="17" t="str">
        <f t="shared" si="2"/>
        <v>gacha_settle_tables_516100.tmp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378</v>
      </c>
      <c r="M3" s="37" t="str">
        <f>VLOOKUP(L3,[1]characters!$A:$C,3,FALSE)</f>
        <v>オイラー</v>
      </c>
      <c r="N3" s="63">
        <f>0.005*B6</f>
        <v>0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VLOOKUP(L3,tables_settle_516100!B:C,2,FALSE)</f>
        <v>PremiumSSS4R3less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379</v>
      </c>
      <c r="M4" s="37" t="str">
        <f>VLOOKUP(L4,[1]characters!$A:$C,3,FALSE)</f>
        <v>幾何の機刃 オイラー</v>
      </c>
      <c r="N4" s="63">
        <f>0.005*B7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VLOOKUP(L4,tables_settle_516100!B:C,2,FALSE)</f>
        <v>PremiumSSS5R3less</v>
      </c>
      <c r="R4" s="62">
        <f t="shared" si="1"/>
        <v>655500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(COUNTIF(tables_settle_516100!C:C,input_settle_516100!A28)+COUNTIF(tables_settle_516100!C:C,input_settle_516100!A29))</f>
        <v>69</v>
      </c>
      <c r="H5" s="84">
        <v>0</v>
      </c>
      <c r="I5" s="31">
        <v>0</v>
      </c>
      <c r="L5" s="60">
        <v>1090</v>
      </c>
      <c r="M5" s="37" t="str">
        <f>VLOOKUP(L5,[1]characters!$A:$C,3,FALSE)</f>
        <v>ラプラス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VLOOKUP(L5,tables_settle_516100!B:C,2,FALSE)</f>
        <v>PremiumSSS5R3less</v>
      </c>
      <c r="R5" s="62">
        <f t="shared" si="1"/>
        <v>655500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9.6315789473684216E-3</v>
      </c>
      <c r="F6">
        <f>(COUNTIF(tables_settle_516100!C:C,input_settle_516100!A25)+COUNTIF(tables_settle_516100!C:C,input_settle_516100!A18)+COUNTIF(tables_settle_516100!C:C,input_settle_516100!A20)+COUNTIF(tables_settle_516100!C:C,input_settle_516100!A22))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VLOOKUP(L6,tables_settle_516100!B:C,2,FALSE)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VLOOKUP(L7,tables_settle_516100!B:C,2,FALSE)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VLOOKUP(L8,tables_settle_516100!B:C,2,FALSE)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VLOOKUP(L9,tables_settle_516100!B:C,2,FALSE)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VLOOKUP(L10,tables_settle_516100!B:C,2,FALSE)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VLOOKUP(L11,tables_settle_516100!B:C,2,FALSE)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VLOOKUP(L12,tables_settle_516100!B:C,2,FALSE)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VLOOKUP(L13,tables_settle_516100!B:C,2,FALSE)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VLOOKUP(L14,tables_settle_516100!B:C,2,FALSE)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VLOOKUP(L15,tables_settle_516100!B:C,2,FALSE)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VLOOKUP(L16,tables_settle_516100!B:C,2,FALSE)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COUNTIF(tables_settle_516100!C:C,input_settle_516100!A17)-COUNTIF(Q:Q,A17)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VLOOKUP(L17,tables_settle_516100!B:C,2,FALSE)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</v>
      </c>
      <c r="C18" s="85">
        <f t="shared" si="2"/>
        <v>0</v>
      </c>
      <c r="D18" s="74">
        <f t="shared" si="3"/>
        <v>0</v>
      </c>
      <c r="E18">
        <f>COUNTIF(tables_settle_516100!C:C,input_settle_516100!A18)-COUNTIF(Q:Q,A18)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VLOOKUP(L18,tables_settle_516100!B:C,2,FALSE)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COUNTIF(tables_settle_516100!C:C,input_settle_516100!A19)-COUNTIF(Q:Q,A19)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VLOOKUP(L19,tables_settle_516100!B:C,2,FALSE)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5">
        <f t="shared" si="2"/>
        <v>0</v>
      </c>
      <c r="D20" s="74">
        <f t="shared" si="3"/>
        <v>0</v>
      </c>
      <c r="E20">
        <f>COUNTIF(tables_settle_516100!C:C,input_settle_516100!A20)-COUNTIF(Q:Q,A20)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VLOOKUP(L20,tables_settle_516100!B:C,2,FALSE)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0.63568421052631574</v>
      </c>
      <c r="C21" s="85">
        <f t="shared" si="2"/>
        <v>0</v>
      </c>
      <c r="D21" s="74">
        <f t="shared" si="3"/>
        <v>0.63568421052631574</v>
      </c>
      <c r="E21">
        <f>COUNTIF(tables_settle_516100!C:C,input_settle_516100!A21)-COUNTIF(Q:Q,A21)</f>
        <v>52</v>
      </c>
      <c r="F21" s="43">
        <f t="shared" si="8"/>
        <v>1.2224696356275303E-2</v>
      </c>
      <c r="G21">
        <f t="shared" si="4"/>
        <v>83338200</v>
      </c>
      <c r="H21">
        <f t="shared" si="5"/>
        <v>1602657.6923100001</v>
      </c>
      <c r="I21">
        <f t="shared" si="6"/>
        <v>0.69231000007130206</v>
      </c>
      <c r="J21">
        <f t="shared" si="7"/>
        <v>1.444439629496914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COUNTIF(tables_settle_516100!C:C,input_settle_516100!A22)-COUNTIF(Q:Q,A22)</f>
        <v>19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0.24078947368421055</v>
      </c>
      <c r="C23" s="85">
        <f t="shared" si="2"/>
        <v>0</v>
      </c>
      <c r="D23" s="74">
        <f t="shared" si="3"/>
        <v>0.24078947368421055</v>
      </c>
      <c r="E23">
        <f>COUNTIF(tables_settle_516100!C:C,input_settle_516100!A23)-COUNTIF(Q:Q,A23)</f>
        <v>25</v>
      </c>
      <c r="F23" s="43">
        <f t="shared" si="8"/>
        <v>9.6315789473684216E-3</v>
      </c>
      <c r="G23">
        <f t="shared" si="4"/>
        <v>31567500.000000004</v>
      </c>
      <c r="H23">
        <f t="shared" si="5"/>
        <v>1262700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COUNTIF(tables_settle_516100!C:C,input_settle_516100!A24)-COUNTIF(Q:Q,A24)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COUNTIF(tables_settle_516100!C:C,input_settle_516100!A25)-COUNTIF(Q:Q,A25)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3.8526315789473686E-2</v>
      </c>
      <c r="C26" s="85">
        <f t="shared" si="2"/>
        <v>0</v>
      </c>
      <c r="D26" s="74">
        <f t="shared" si="3"/>
        <v>3.8526315789473686E-2</v>
      </c>
      <c r="E26">
        <f>COUNTIF(tables_settle_516100!C:C,input_settle_516100!A26)-COUNTIF(Q:Q,A26)</f>
        <v>4</v>
      </c>
      <c r="F26" s="43">
        <f t="shared" si="8"/>
        <v>9.6315789473684216E-3</v>
      </c>
      <c r="G26">
        <f t="shared" si="4"/>
        <v>5050800</v>
      </c>
      <c r="H26">
        <f t="shared" si="5"/>
        <v>1262700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COUNTIF(tables_settle_516100!C:C,input_settle_516100!A27)-COUNTIF(Q:Q,A27)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3.0434782608695653E-2</v>
      </c>
      <c r="C28" s="85">
        <f t="shared" si="2"/>
        <v>0</v>
      </c>
      <c r="D28" s="74">
        <f t="shared" si="3"/>
        <v>3.0434782608695653E-2</v>
      </c>
      <c r="E28">
        <f>COUNTIF(tables_settle_516100!C:C,input_settle_516100!A28)-COUNTIF(Q:Q,A28)</f>
        <v>28</v>
      </c>
      <c r="F28" s="43">
        <f t="shared" si="8"/>
        <v>1.0869565217391304E-3</v>
      </c>
      <c r="G28">
        <f t="shared" si="4"/>
        <v>3990000</v>
      </c>
      <c r="H28">
        <f t="shared" si="5"/>
        <v>142500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COUNTIF(tables_settle_516100!C:C,input_settle_516100!A29)-COUNTIF(Q:Q,A29)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COUNTIF(tables_settle_516100!C:C,input_settle_516100!A30)-COUNTIF(Q:Q,A30)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COUNTIF(tables_settle_516100!C:C,input_settle_516100!A31)-COUNTIF(Q:Q,A31)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0.01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SUMIF(tables_settle_516100!C:C,input_settle_516100!A40,tables_settle_516100!O:O)</f>
        <v>0</v>
      </c>
      <c r="C40" s="54">
        <f t="shared" ref="C40:C46" ca="1" si="9">B40/B$47</f>
        <v>0</v>
      </c>
      <c r="E40">
        <v>3</v>
      </c>
      <c r="F40">
        <f ca="1">SUMIF(tables_settle_516100!J:J,input_settle_516100!E40,tables_settle_516100!O:O)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SUMIF(tables_settle_516100!C:C,input_settle_516100!A41,tables_settle_516100!O:O)</f>
        <v>0</v>
      </c>
      <c r="C41" s="54">
        <f t="shared" ca="1" si="9"/>
        <v>0</v>
      </c>
      <c r="E41">
        <v>4</v>
      </c>
      <c r="F41">
        <f ca="1">SUMIF(tables_settle_516100!J:J,input_settle_516100!E41,tables_settle_516100!O:O)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SUMIF(tables_settle_516100!C:C,input_settle_516100!A42,tables_settle_516100!O:O)</f>
        <v>0</v>
      </c>
      <c r="C42" s="54">
        <f t="shared" ca="1" si="9"/>
        <v>0</v>
      </c>
      <c r="E42">
        <v>5</v>
      </c>
      <c r="F42">
        <f ca="1">SUMIF(tables_settle_516100!J:J,input_settle_516100!E42,tables_settle_516100!O:O)</f>
        <v>131100000.00012006</v>
      </c>
      <c r="G42">
        <f ca="1">F42/A36</f>
        <v>1.0000000000009157</v>
      </c>
    </row>
    <row r="43" spans="1:7" x14ac:dyDescent="0.15">
      <c r="A43" s="33" t="s">
        <v>109</v>
      </c>
      <c r="B43">
        <f>SUMIF(tables_settle_516100!C:C,input_settle_516100!A43,tables_settle_516100!O:O)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SUMIF(tables_settle_516100!C:C,input_settle_516100!A44,tables_settle_516100!O:O)</f>
        <v>83338200.000120029</v>
      </c>
      <c r="C44" s="54">
        <f t="shared" ca="1" si="9"/>
        <v>0.95431029152101476</v>
      </c>
      <c r="E44" t="s">
        <v>54</v>
      </c>
      <c r="F44" s="55"/>
    </row>
    <row r="45" spans="1:7" x14ac:dyDescent="0.15">
      <c r="A45" s="33" t="s">
        <v>107</v>
      </c>
      <c r="B45">
        <f ca="1">SUMIF(tables_settle_516100!C:C,input_settle_516100!A45,tables_settle_516100!O:O)</f>
        <v>3990000</v>
      </c>
      <c r="C45" s="54">
        <f t="shared" ca="1" si="9"/>
        <v>4.5689708478985208E-2</v>
      </c>
      <c r="E45" t="s">
        <v>204</v>
      </c>
      <c r="F45" s="55">
        <f ca="1">SUMIF(tables_settle_516100!I:I,input_settle_516100!E45,tables_settle_516100!P:P)</f>
        <v>5.7789473684157606E-2</v>
      </c>
    </row>
    <row r="46" spans="1:7" x14ac:dyDescent="0.15">
      <c r="A46" s="33" t="s">
        <v>108</v>
      </c>
      <c r="B46">
        <f>SUMIF(tables_settle_516100!C:C,input_settle_516100!A46,tables_settle_516100!O:O)</f>
        <v>0</v>
      </c>
      <c r="C46" s="54">
        <f t="shared" ca="1" si="9"/>
        <v>0</v>
      </c>
      <c r="E46" t="s">
        <v>205</v>
      </c>
      <c r="F46" s="55">
        <f ca="1">SUMIF(tables_settle_516100!I:I,input_settle_516100!E46,tables_settle_516100!P:P)</f>
        <v>0.23671457489886782</v>
      </c>
    </row>
    <row r="47" spans="1:7" x14ac:dyDescent="0.15">
      <c r="A47" s="39" t="s">
        <v>59</v>
      </c>
      <c r="B47">
        <f ca="1">SUM(B40:B46)</f>
        <v>87328200.000120029</v>
      </c>
      <c r="C47" s="55">
        <f ca="1">SUM(C40:C46)</f>
        <v>1</v>
      </c>
      <c r="E47" t="s">
        <v>206</v>
      </c>
      <c r="F47" s="55">
        <f ca="1">SUMIF(tables_settle_516100!I:I,input_settle_516100!E47,tables_settle_516100!P:P)</f>
        <v>0.62049595141705127</v>
      </c>
    </row>
    <row r="48" spans="1:7" x14ac:dyDescent="0.15">
      <c r="E48" t="s">
        <v>207</v>
      </c>
      <c r="F48" s="55">
        <f ca="1">SUMIF(tables_settle_516100!I:I,input_settle_516100!E48,tables_settle_516100!P:P)</f>
        <v>6.6304347826026164E-2</v>
      </c>
      <c r="G48" s="55"/>
    </row>
    <row r="49" spans="5:6" x14ac:dyDescent="0.15">
      <c r="E49" t="s">
        <v>249</v>
      </c>
      <c r="F49" s="55">
        <f ca="1">SUMIF(tables_settle_516100!I:I,input_settle_516100!E49,tables_settle_516100!P:P)</f>
        <v>8.6956521739050812E-3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3"/>
  <sheetViews>
    <sheetView showGridLines="0" tabSelected="1" zoomScale="75" zoomScaleNormal="75" zoomScalePageLayoutView="75" workbookViewId="0">
      <pane ySplit="1" topLeftCell="A332" activePane="bottomLeft" state="frozen"/>
      <selection activeCell="H276" sqref="H276"/>
      <selection pane="bottomLeft" activeCell="C352" sqref="C3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input_settle_516100!A$2</f>
        <v>516100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IFERROR(VLOOKUP(B2,input_settle_516100!L:R,7,FALSE),VLOOKUP(tables_settle_516100!C2,input_settle_516100!A:H,8,FALSE))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input_settle_516100!A$2</f>
        <v>516100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IFERROR(VLOOKUP(B3,input_settle_516100!L:R,7,FALSE),VLOOKUP(tables_settle_516100!C3,input_settle_516100!A:H,8,FALSE))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input_settle_516100!A$2</f>
        <v>516100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IFERROR(VLOOKUP(B4,input_settle_516100!L:R,7,FALSE),VLOOKUP(tables_settle_516100!C4,input_settle_516100!A:H,8,FALSE))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input_settle_516100!A$2</f>
        <v>516100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IFERROR(VLOOKUP(B5,input_settle_516100!L:R,7,FALSE),VLOOKUP(tables_settle_516100!C5,input_settle_516100!A:H,8,FALSE))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input_settle_516100!A$2</f>
        <v>516100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IFERROR(VLOOKUP(B6,input_settle_516100!L:R,7,FALSE),VLOOKUP(tables_settle_516100!C6,input_settle_516100!A:H,8,FALSE))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input_settle_516100!A$2</f>
        <v>516100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IFERROR(VLOOKUP(B7,input_settle_516100!L:R,7,FALSE),VLOOKUP(tables_settle_516100!C7,input_settle_516100!A:H,8,FALSE))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input_settle_516100!A$2</f>
        <v>516100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IFERROR(VLOOKUP(B8,input_settle_516100!L:R,7,FALSE),VLOOKUP(tables_settle_516100!C8,input_settle_516100!A:H,8,FALSE))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input_settle_516100!A$2</f>
        <v>516100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IFERROR(VLOOKUP(B9,input_settle_516100!L:R,7,FALSE),VLOOKUP(tables_settle_516100!C9,input_settle_516100!A:H,8,FALSE))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input_settle_516100!A$2</f>
        <v>516100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IFERROR(VLOOKUP(B10,input_settle_516100!L:R,7,FALSE),VLOOKUP(tables_settle_516100!C10,input_settle_516100!A:H,8,FALSE))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input_settle_516100!A$2</f>
        <v>516100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IFERROR(VLOOKUP(B11,input_settle_516100!L:R,7,FALSE),VLOOKUP(tables_settle_516100!C11,input_settle_516100!A:H,8,FALSE))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input_settle_516100!A$2</f>
        <v>516100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IFERROR(VLOOKUP(B12,input_settle_516100!L:R,7,FALSE),VLOOKUP(tables_settle_516100!C12,input_settle_516100!A:H,8,FALSE))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input_settle_516100!A$2</f>
        <v>516100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IFERROR(VLOOKUP(B13,input_settle_516100!L:R,7,FALSE),VLOOKUP(tables_settle_516100!C13,input_settle_516100!A:H,8,FALSE))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input_settle_516100!A$2</f>
        <v>516100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IFERROR(VLOOKUP(B14,input_settle_516100!L:R,7,FALSE),VLOOKUP(tables_settle_516100!C14,input_settle_516100!A:H,8,FALSE))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input_settle_516100!A$2</f>
        <v>516100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IFERROR(VLOOKUP(B15,input_settle_516100!L:R,7,FALSE),VLOOKUP(tables_settle_516100!C15,input_settle_516100!A:H,8,FALSE))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input_settle_516100!A$2</f>
        <v>516100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IFERROR(VLOOKUP(B16,input_settle_516100!L:R,7,FALSE),VLOOKUP(tables_settle_516100!C16,input_settle_516100!A:H,8,FALSE))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input_settle_516100!A$2</f>
        <v>516100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IFERROR(VLOOKUP(B17,input_settle_516100!L:R,7,FALSE),VLOOKUP(tables_settle_516100!C17,input_settle_516100!A:H,8,FALSE))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input_settle_516100!A$2</f>
        <v>516100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IFERROR(VLOOKUP(B18,input_settle_516100!L:R,7,FALSE),VLOOKUP(tables_settle_516100!C18,input_settle_516100!A:H,8,FALSE))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input_settle_516100!A$2</f>
        <v>516100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IFERROR(VLOOKUP(B19,input_settle_516100!L:R,7,FALSE),VLOOKUP(tables_settle_516100!C19,input_settle_516100!A:H,8,FALSE))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input_settle_516100!A$2</f>
        <v>516100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IFERROR(VLOOKUP(B20,input_settle_516100!L:R,7,FALSE),VLOOKUP(tables_settle_516100!C20,input_settle_516100!A:H,8,FALSE))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input_settle_516100!A$2</f>
        <v>516100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IFERROR(VLOOKUP(B21,input_settle_516100!L:R,7,FALSE),VLOOKUP(tables_settle_516100!C21,input_settle_516100!A:H,8,FALSE))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input_settle_516100!A$2</f>
        <v>516100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IFERROR(VLOOKUP(B22,input_settle_516100!L:R,7,FALSE),VLOOKUP(tables_settle_516100!C22,input_settle_516100!A:H,8,FALSE))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input_settle_516100!A$2</f>
        <v>516100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IFERROR(VLOOKUP(B23,input_settle_516100!L:R,7,FALSE),VLOOKUP(tables_settle_516100!C23,input_settle_516100!A:H,8,FALSE))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input_settle_516100!A$2</f>
        <v>516100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IFERROR(VLOOKUP(B24,input_settle_516100!L:R,7,FALSE),VLOOKUP(tables_settle_516100!C24,input_settle_516100!A:H,8,FALSE))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input_settle_516100!A$2</f>
        <v>516100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IFERROR(VLOOKUP(B25,input_settle_516100!L:R,7,FALSE),VLOOKUP(tables_settle_516100!C25,input_settle_516100!A:H,8,FALSE))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input_settle_516100!A$2</f>
        <v>516100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IFERROR(VLOOKUP(B26,input_settle_516100!L:R,7,FALSE),VLOOKUP(tables_settle_516100!C26,input_settle_516100!A:H,8,FALSE))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input_settle_516100!A$2</f>
        <v>516100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IFERROR(VLOOKUP(B27,input_settle_516100!L:R,7,FALSE),VLOOKUP(tables_settle_516100!C27,input_settle_516100!A:H,8,FALSE))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input_settle_516100!A$2</f>
        <v>516100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IFERROR(VLOOKUP(B28,input_settle_516100!L:R,7,FALSE),VLOOKUP(tables_settle_516100!C28,input_settle_516100!A:H,8,FALSE))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input_settle_516100!A$2</f>
        <v>516100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IFERROR(VLOOKUP(B29,input_settle_516100!L:R,7,FALSE),VLOOKUP(tables_settle_516100!C29,input_settle_516100!A:H,8,FALSE))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input_settle_516100!A$2</f>
        <v>516100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IFERROR(VLOOKUP(B30,input_settle_516100!L:R,7,FALSE),VLOOKUP(tables_settle_516100!C30,input_settle_516100!A:H,8,FALSE))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input_settle_516100!A$2</f>
        <v>516100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IFERROR(VLOOKUP(B31,input_settle_516100!L:R,7,FALSE),VLOOKUP(tables_settle_516100!C31,input_settle_516100!A:H,8,FALSE))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input_settle_516100!A$2</f>
        <v>516100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IFERROR(VLOOKUP(B32,input_settle_516100!L:R,7,FALSE),VLOOKUP(tables_settle_516100!C32,input_settle_516100!A:H,8,FALSE))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input_settle_516100!A$2</f>
        <v>516100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IFERROR(VLOOKUP(B33,input_settle_516100!L:R,7,FALSE),VLOOKUP(tables_settle_516100!C33,input_settle_516100!A:H,8,FALSE))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input_settle_516100!A$2</f>
        <v>516100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IFERROR(VLOOKUP(B34,input_settle_516100!L:R,7,FALSE),VLOOKUP(tables_settle_516100!C34,input_settle_516100!A:H,8,FALSE))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input_settle_516100!A$2</f>
        <v>516100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IFERROR(VLOOKUP(B35,input_settle_516100!L:R,7,FALSE),VLOOKUP(tables_settle_516100!C35,input_settle_516100!A:H,8,FALSE))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input_settle_516100!A$2</f>
        <v>516100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IFERROR(VLOOKUP(B36,input_settle_516100!L:R,7,FALSE),VLOOKUP(tables_settle_516100!C36,input_settle_516100!A:H,8,FALSE))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input_settle_516100!A$2</f>
        <v>516100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IFERROR(VLOOKUP(B37,input_settle_516100!L:R,7,FALSE),VLOOKUP(tables_settle_516100!C37,input_settle_516100!A:H,8,FALSE))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input_settle_516100!A$2</f>
        <v>516100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IFERROR(VLOOKUP(B38,input_settle_516100!L:R,7,FALSE),VLOOKUP(tables_settle_516100!C38,input_settle_516100!A:H,8,FALSE))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input_settle_516100!A$2</f>
        <v>516100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IFERROR(VLOOKUP(B39,input_settle_516100!L:R,7,FALSE),VLOOKUP(tables_settle_516100!C39,input_settle_516100!A:H,8,FALSE))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input_settle_516100!A$2</f>
        <v>516100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IFERROR(VLOOKUP(B40,input_settle_516100!L:R,7,FALSE),VLOOKUP(tables_settle_516100!C40,input_settle_516100!A:H,8,FALSE))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input_settle_516100!A$2</f>
        <v>516100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IFERROR(VLOOKUP(B41,input_settle_516100!L:R,7,FALSE),VLOOKUP(tables_settle_516100!C41,input_settle_516100!A:H,8,FALSE))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input_settle_516100!A$2</f>
        <v>516100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IFERROR(VLOOKUP(B42,input_settle_516100!L:R,7,FALSE),VLOOKUP(tables_settle_516100!C42,input_settle_516100!A:H,8,FALSE))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input_settle_516100!A$2</f>
        <v>516100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IFERROR(VLOOKUP(B43,input_settle_516100!L:R,7,FALSE),VLOOKUP(tables_settle_516100!C43,input_settle_516100!A:H,8,FALSE))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input_settle_516100!A$2</f>
        <v>516100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IFERROR(VLOOKUP(B44,input_settle_516100!L:R,7,FALSE),VLOOKUP(tables_settle_516100!C44,input_settle_516100!A:H,8,FALSE))</f>
        <v>1262700</v>
      </c>
      <c r="P44" s="46">
        <f t="shared" ca="1" si="1"/>
        <v>9.6315789473596005E-3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input_settle_516100!A$2</f>
        <v>516100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IFERROR(VLOOKUP(B45,input_settle_516100!L:R,7,FALSE),VLOOKUP(tables_settle_516100!C45,input_settle_516100!A:H,8,FALSE))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input_settle_516100!A$2</f>
        <v>516100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IFERROR(VLOOKUP(B46,input_settle_516100!L:R,7,FALSE),VLOOKUP(tables_settle_516100!C46,input_settle_516100!A:H,8,FALSE))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input_settle_516100!A$2</f>
        <v>516100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IFERROR(VLOOKUP(B47,input_settle_516100!L:R,7,FALSE),VLOOKUP(tables_settle_516100!C47,input_settle_516100!A:H,8,FALSE))</f>
        <v>1262700</v>
      </c>
      <c r="P47" s="46">
        <f t="shared" ca="1" si="1"/>
        <v>9.6315789473596005E-3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input_settle_516100!A$2</f>
        <v>516100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IFERROR(VLOOKUP(B48,input_settle_516100!L:R,7,FALSE),VLOOKUP(tables_settle_516100!C48,input_settle_516100!A:H,8,FALSE))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input_settle_516100!A$2</f>
        <v>516100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IFERROR(VLOOKUP(B49,input_settle_516100!L:R,7,FALSE),VLOOKUP(tables_settle_516100!C49,input_settle_516100!A:H,8,FALSE))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input_settle_516100!A$2</f>
        <v>516100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IFERROR(VLOOKUP(B50,input_settle_516100!L:R,7,FALSE),VLOOKUP(tables_settle_516100!C50,input_settle_516100!A:H,8,FALSE))</f>
        <v>1262700</v>
      </c>
      <c r="P50" s="46">
        <f t="shared" ca="1" si="1"/>
        <v>9.6315789473596005E-3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input_settle_516100!A$2</f>
        <v>516100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IFERROR(VLOOKUP(B51,input_settle_516100!L:R,7,FALSE),VLOOKUP(tables_settle_516100!C51,input_settle_516100!A:H,8,FALSE))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input_settle_516100!A$2</f>
        <v>516100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IFERROR(VLOOKUP(B52,input_settle_516100!L:R,7,FALSE),VLOOKUP(tables_settle_516100!C52,input_settle_516100!A:H,8,FALSE))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input_settle_516100!A$2</f>
        <v>516100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IFERROR(VLOOKUP(B53,input_settle_516100!L:R,7,FALSE),VLOOKUP(tables_settle_516100!C53,input_settle_516100!A:H,8,FALSE))</f>
        <v>1602657.6923100001</v>
      </c>
      <c r="P53" s="46">
        <f t="shared" ca="1" si="1"/>
        <v>1.2224696356281711E-2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input_settle_516100!A$2</f>
        <v>516100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IFERROR(VLOOKUP(B54,input_settle_516100!L:R,7,FALSE),VLOOKUP(tables_settle_516100!C54,input_settle_516100!A:H,8,FALSE))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input_settle_516100!A$2</f>
        <v>516100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IFERROR(VLOOKUP(B55,input_settle_516100!L:R,7,FALSE),VLOOKUP(tables_settle_516100!C55,input_settle_516100!A:H,8,FALSE))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input_settle_516100!A$2</f>
        <v>516100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IFERROR(VLOOKUP(B56,input_settle_516100!L:R,7,FALSE),VLOOKUP(tables_settle_516100!C56,input_settle_516100!A:H,8,FALSE))</f>
        <v>1602657.6923100001</v>
      </c>
      <c r="P56" s="46">
        <f t="shared" ca="1" si="1"/>
        <v>1.2224696356281711E-2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input_settle_516100!A$2</f>
        <v>516100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IFERROR(VLOOKUP(B57,input_settle_516100!L:R,7,FALSE),VLOOKUP(tables_settle_516100!C57,input_settle_516100!A:H,8,FALSE))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input_settle_516100!A$2</f>
        <v>516100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IFERROR(VLOOKUP(B58,input_settle_516100!L:R,7,FALSE),VLOOKUP(tables_settle_516100!C58,input_settle_516100!A:H,8,FALSE))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input_settle_516100!A$2</f>
        <v>516100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IFERROR(VLOOKUP(B59,input_settle_516100!L:R,7,FALSE),VLOOKUP(tables_settle_516100!C59,input_settle_516100!A:H,8,FALSE))</f>
        <v>1602657.6923100001</v>
      </c>
      <c r="P59" s="46">
        <f t="shared" ca="1" si="1"/>
        <v>1.2224696356281711E-2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input_settle_516100!A$2</f>
        <v>516100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IFERROR(VLOOKUP(B60,input_settle_516100!L:R,7,FALSE),VLOOKUP(tables_settle_516100!C60,input_settle_516100!A:H,8,FALSE))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input_settle_516100!A$2</f>
        <v>516100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IFERROR(VLOOKUP(B61,input_settle_516100!L:R,7,FALSE),VLOOKUP(tables_settle_516100!C61,input_settle_516100!A:H,8,FALSE))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input_settle_516100!A$2</f>
        <v>516100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IFERROR(VLOOKUP(B62,input_settle_516100!L:R,7,FALSE),VLOOKUP(tables_settle_516100!C62,input_settle_516100!A:H,8,FALSE))</f>
        <v>1602657.6923100001</v>
      </c>
      <c r="P62" s="46">
        <f t="shared" ca="1" si="1"/>
        <v>1.2224696356281711E-2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input_settle_516100!A$2</f>
        <v>516100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IFERROR(VLOOKUP(B63,input_settle_516100!L:R,7,FALSE),VLOOKUP(tables_settle_516100!C63,input_settle_516100!A:H,8,FALSE))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input_settle_516100!A$2</f>
        <v>516100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IFERROR(VLOOKUP(B64,input_settle_516100!L:R,7,FALSE),VLOOKUP(tables_settle_516100!C64,input_settle_516100!A:H,8,FALSE))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input_settle_516100!A$2</f>
        <v>516100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IFERROR(VLOOKUP(B65,input_settle_516100!L:R,7,FALSE),VLOOKUP(tables_settle_516100!C65,input_settle_516100!A:H,8,FALSE))</f>
        <v>1602657.6923100001</v>
      </c>
      <c r="P65" s="46">
        <f t="shared" ca="1" si="1"/>
        <v>1.2224696356281711E-2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input_settle_516100!A$2</f>
        <v>516100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IFERROR(VLOOKUP(B66,input_settle_516100!L:R,7,FALSE),VLOOKUP(tables_settle_516100!C66,input_settle_516100!A:H,8,FALSE))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input_settle_516100!A$2</f>
        <v>516100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IFERROR(VLOOKUP(B67,input_settle_516100!L:R,7,FALSE),VLOOKUP(tables_settle_516100!C67,input_settle_516100!A:H,8,FALSE))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input_settle_516100!A$2</f>
        <v>516100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IFERROR(VLOOKUP(B68,input_settle_516100!L:R,7,FALSE),VLOOKUP(tables_settle_516100!C68,input_settle_516100!A:H,8,FALSE))</f>
        <v>1602657.6923100001</v>
      </c>
      <c r="P68" s="46">
        <f t="shared" ca="1" si="4"/>
        <v>1.2224696356281711E-2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input_settle_516100!A$2</f>
        <v>516100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IFERROR(VLOOKUP(B69,input_settle_516100!L:R,7,FALSE),VLOOKUP(tables_settle_516100!C69,input_settle_516100!A:H,8,FALSE))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input_settle_516100!A$2</f>
        <v>516100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IFERROR(VLOOKUP(B70,input_settle_516100!L:R,7,FALSE),VLOOKUP(tables_settle_516100!C70,input_settle_516100!A:H,8,FALSE))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input_settle_516100!A$2</f>
        <v>516100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IFERROR(VLOOKUP(B71,input_settle_516100!L:R,7,FALSE),VLOOKUP(tables_settle_516100!C71,input_settle_516100!A:H,8,FALSE))</f>
        <v>1602657.6923100001</v>
      </c>
      <c r="P71" s="46">
        <f t="shared" ca="1" si="4"/>
        <v>1.2224696356281711E-2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input_settle_516100!A$2</f>
        <v>516100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IFERROR(VLOOKUP(B72,input_settle_516100!L:R,7,FALSE),VLOOKUP(tables_settle_516100!C72,input_settle_516100!A:H,8,FALSE))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input_settle_516100!A$2</f>
        <v>516100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IFERROR(VLOOKUP(B73,input_settle_516100!L:R,7,FALSE),VLOOKUP(tables_settle_516100!C73,input_settle_516100!A:H,8,FALSE))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input_settle_516100!A$2</f>
        <v>516100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IFERROR(VLOOKUP(B74,input_settle_516100!L:R,7,FALSE),VLOOKUP(tables_settle_516100!C74,input_settle_516100!A:H,8,FALSE))</f>
        <v>1602657.6923100001</v>
      </c>
      <c r="P74" s="46">
        <f t="shared" ca="1" si="4"/>
        <v>1.2224696356281711E-2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input_settle_516100!A$2</f>
        <v>516100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IFERROR(VLOOKUP(B75,input_settle_516100!L:R,7,FALSE),VLOOKUP(tables_settle_516100!C75,input_settle_516100!A:H,8,FALSE))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input_settle_516100!A$2</f>
        <v>516100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IFERROR(VLOOKUP(B76,input_settle_516100!L:R,7,FALSE),VLOOKUP(tables_settle_516100!C76,input_settle_516100!A:H,8,FALSE))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input_settle_516100!A$2</f>
        <v>516100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IFERROR(VLOOKUP(B77,input_settle_516100!L:R,7,FALSE),VLOOKUP(tables_settle_516100!C77,input_settle_516100!A:H,8,FALSE))</f>
        <v>1602657.6923100001</v>
      </c>
      <c r="P77" s="46">
        <f t="shared" ca="1" si="4"/>
        <v>1.2224696356281711E-2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input_settle_516100!A$2</f>
        <v>516100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IFERROR(VLOOKUP(B78,input_settle_516100!L:R,7,FALSE),VLOOKUP(tables_settle_516100!C78,input_settle_516100!A:H,8,FALSE))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input_settle_516100!A$2</f>
        <v>516100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IFERROR(VLOOKUP(B79,input_settle_516100!L:R,7,FALSE),VLOOKUP(tables_settle_516100!C79,input_settle_516100!A:H,8,FALSE))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input_settle_516100!A$2</f>
        <v>516100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IFERROR(VLOOKUP(B80,input_settle_516100!L:R,7,FALSE),VLOOKUP(tables_settle_516100!C80,input_settle_516100!A:H,8,FALSE))</f>
        <v>1602657.6923100001</v>
      </c>
      <c r="P80" s="46">
        <f t="shared" ca="1" si="4"/>
        <v>1.2224696356281711E-2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input_settle_516100!A$2</f>
        <v>516100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IFERROR(VLOOKUP(B81,input_settle_516100!L:R,7,FALSE),VLOOKUP(tables_settle_516100!C81,input_settle_516100!A:H,8,FALSE))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input_settle_516100!A$2</f>
        <v>516100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IFERROR(VLOOKUP(B82,input_settle_516100!L:R,7,FALSE),VLOOKUP(tables_settle_516100!C82,input_settle_516100!A:H,8,FALSE))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input_settle_516100!A$2</f>
        <v>516100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IFERROR(VLOOKUP(B83,input_settle_516100!L:R,7,FALSE),VLOOKUP(tables_settle_516100!C83,input_settle_516100!A:H,8,FALSE))</f>
        <v>1602657.6923100001</v>
      </c>
      <c r="P83" s="46">
        <f t="shared" ca="1" si="4"/>
        <v>1.2224696356281711E-2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input_settle_516100!A$2</f>
        <v>516100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IFERROR(VLOOKUP(B84,input_settle_516100!L:R,7,FALSE),VLOOKUP(tables_settle_516100!C84,input_settle_516100!A:H,8,FALSE))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input_settle_516100!A$2</f>
        <v>516100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IFERROR(VLOOKUP(B85,input_settle_516100!L:R,7,FALSE),VLOOKUP(tables_settle_516100!C85,input_settle_516100!A:H,8,FALSE))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input_settle_516100!A$2</f>
        <v>516100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IFERROR(VLOOKUP(B86,input_settle_516100!L:R,7,FALSE),VLOOKUP(tables_settle_516100!C86,input_settle_516100!A:H,8,FALSE))</f>
        <v>1602657.6923100001</v>
      </c>
      <c r="P86" s="46">
        <f t="shared" ca="1" si="4"/>
        <v>1.2224696356281711E-2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input_settle_516100!A$2</f>
        <v>516100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IFERROR(VLOOKUP(B87,input_settle_516100!L:R,7,FALSE),VLOOKUP(tables_settle_516100!C87,input_settle_516100!A:H,8,FALSE))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input_settle_516100!A$2</f>
        <v>516100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IFERROR(VLOOKUP(B88,input_settle_516100!L:R,7,FALSE),VLOOKUP(tables_settle_516100!C88,input_settle_516100!A:H,8,FALSE))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input_settle_516100!A$2</f>
        <v>516100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IFERROR(VLOOKUP(B89,input_settle_516100!L:R,7,FALSE),VLOOKUP(tables_settle_516100!C89,input_settle_516100!A:H,8,FALSE))</f>
        <v>1602657.6923100001</v>
      </c>
      <c r="P89" s="46">
        <f t="shared" ca="1" si="4"/>
        <v>1.2224696356281711E-2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input_settle_516100!A$2</f>
        <v>516100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IFERROR(VLOOKUP(B90,input_settle_516100!L:R,7,FALSE),VLOOKUP(tables_settle_516100!C90,input_settle_516100!A:H,8,FALSE))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input_settle_516100!A$2</f>
        <v>516100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IFERROR(VLOOKUP(B91,input_settle_516100!L:R,7,FALSE),VLOOKUP(tables_settle_516100!C91,input_settle_516100!A:H,8,FALSE))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input_settle_516100!A$2</f>
        <v>516100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IFERROR(VLOOKUP(B92,input_settle_516100!L:R,7,FALSE),VLOOKUP(tables_settle_516100!C92,input_settle_516100!A:H,8,FALSE))</f>
        <v>1602657.6923100001</v>
      </c>
      <c r="P92" s="46">
        <f t="shared" ca="1" si="4"/>
        <v>1.2224696356281711E-2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input_settle_516100!A$2</f>
        <v>516100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IFERROR(VLOOKUP(B93,input_settle_516100!L:R,7,FALSE),VLOOKUP(tables_settle_516100!C93,input_settle_516100!A:H,8,FALSE))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input_settle_516100!A$2</f>
        <v>516100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IFERROR(VLOOKUP(B94,input_settle_516100!L:R,7,FALSE),VLOOKUP(tables_settle_516100!C94,input_settle_516100!A:H,8,FALSE))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input_settle_516100!A$2</f>
        <v>516100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IFERROR(VLOOKUP(B95,input_settle_516100!L:R,7,FALSE),VLOOKUP(tables_settle_516100!C95,input_settle_516100!A:H,8,FALSE))</f>
        <v>1602657.6923100001</v>
      </c>
      <c r="P95" s="46">
        <f t="shared" ca="1" si="4"/>
        <v>1.2224696356281711E-2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input_settle_516100!A$2</f>
        <v>516100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IFERROR(VLOOKUP(B96,input_settle_516100!L:R,7,FALSE),VLOOKUP(tables_settle_516100!C96,input_settle_516100!A:H,8,FALSE))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input_settle_516100!A$2</f>
        <v>516100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IFERROR(VLOOKUP(B97,input_settle_516100!L:R,7,FALSE),VLOOKUP(tables_settle_516100!C97,input_settle_516100!A:H,8,FALSE))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input_settle_516100!A$2</f>
        <v>516100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IFERROR(VLOOKUP(B98,input_settle_516100!L:R,7,FALSE),VLOOKUP(tables_settle_516100!C98,input_settle_516100!A:H,8,FALSE))</f>
        <v>1602657.6923100001</v>
      </c>
      <c r="P98" s="46">
        <f t="shared" ca="1" si="4"/>
        <v>1.2224696356281711E-2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input_settle_516100!A$2</f>
        <v>516100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IFERROR(VLOOKUP(B99,input_settle_516100!L:R,7,FALSE),VLOOKUP(tables_settle_516100!C99,input_settle_516100!A:H,8,FALSE))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input_settle_516100!A$2</f>
        <v>516100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IFERROR(VLOOKUP(B100,input_settle_516100!L:R,7,FALSE),VLOOKUP(tables_settle_516100!C100,input_settle_516100!A:H,8,FALSE))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input_settle_516100!A$2</f>
        <v>516100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IFERROR(VLOOKUP(B101,input_settle_516100!L:R,7,FALSE),VLOOKUP(tables_settle_516100!C101,input_settle_516100!A:H,8,FALSE))</f>
        <v>1602657.6923100001</v>
      </c>
      <c r="P101" s="46">
        <f t="shared" ca="1" si="4"/>
        <v>1.2224696356281711E-2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input_settle_516100!A$2</f>
        <v>516100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IFERROR(VLOOKUP(B102,input_settle_516100!L:R,7,FALSE),VLOOKUP(tables_settle_516100!C102,input_settle_516100!A:H,8,FALSE))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input_settle_516100!A$2</f>
        <v>516100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IFERROR(VLOOKUP(B103,input_settle_516100!L:R,7,FALSE),VLOOKUP(tables_settle_516100!C103,input_settle_516100!A:H,8,FALSE))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input_settle_516100!A$2</f>
        <v>516100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IFERROR(VLOOKUP(B104,input_settle_516100!L:R,7,FALSE),VLOOKUP(tables_settle_516100!C104,input_settle_516100!A:H,8,FALSE))</f>
        <v>1602657.6923100001</v>
      </c>
      <c r="P104" s="46">
        <f t="shared" ca="1" si="4"/>
        <v>1.2224696356281711E-2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input_settle_516100!A$2</f>
        <v>516100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IFERROR(VLOOKUP(B105,input_settle_516100!L:R,7,FALSE),VLOOKUP(tables_settle_516100!C105,input_settle_516100!A:H,8,FALSE))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input_settle_516100!A$2</f>
        <v>516100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IFERROR(VLOOKUP(B106,input_settle_516100!L:R,7,FALSE),VLOOKUP(tables_settle_516100!C106,input_settle_516100!A:H,8,FALSE))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input_settle_516100!A$2</f>
        <v>516100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IFERROR(VLOOKUP(B107,input_settle_516100!L:R,7,FALSE),VLOOKUP(tables_settle_516100!C107,input_settle_516100!A:H,8,FALSE))</f>
        <v>1602657.6923100001</v>
      </c>
      <c r="P107" s="46">
        <f t="shared" ca="1" si="4"/>
        <v>1.2224696356281711E-2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input_settle_516100!A$2</f>
        <v>516100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IFERROR(VLOOKUP(B108,input_settle_516100!L:R,7,FALSE),VLOOKUP(tables_settle_516100!C108,input_settle_516100!A:H,8,FALSE))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input_settle_516100!A$2</f>
        <v>516100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IFERROR(VLOOKUP(B109,input_settle_516100!L:R,7,FALSE),VLOOKUP(tables_settle_516100!C109,input_settle_516100!A:H,8,FALSE))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input_settle_516100!A$2</f>
        <v>516100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IFERROR(VLOOKUP(B110,input_settle_516100!L:R,7,FALSE),VLOOKUP(tables_settle_516100!C110,input_settle_516100!A:H,8,FALSE))</f>
        <v>1602657.6923100001</v>
      </c>
      <c r="P110" s="46">
        <f t="shared" ca="1" si="4"/>
        <v>1.2224696356281711E-2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input_settle_516100!A$2</f>
        <v>516100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IFERROR(VLOOKUP(B111,input_settle_516100!L:R,7,FALSE),VLOOKUP(tables_settle_516100!C111,input_settle_516100!A:H,8,FALSE))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input_settle_516100!A$2</f>
        <v>516100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IFERROR(VLOOKUP(B112,input_settle_516100!L:R,7,FALSE),VLOOKUP(tables_settle_516100!C112,input_settle_516100!A:H,8,FALSE))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input_settle_516100!A$2</f>
        <v>516100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IFERROR(VLOOKUP(B113,input_settle_516100!L:R,7,FALSE),VLOOKUP(tables_settle_516100!C113,input_settle_516100!A:H,8,FALSE))</f>
        <v>1262700</v>
      </c>
      <c r="P113" s="46">
        <f t="shared" ca="1" si="4"/>
        <v>9.6315789473596005E-3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input_settle_516100!A$2</f>
        <v>516100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IFERROR(VLOOKUP(B114,input_settle_516100!L:R,7,FALSE),VLOOKUP(tables_settle_516100!C114,input_settle_516100!A:H,8,FALSE))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input_settle_516100!A$2</f>
        <v>516100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IFERROR(VLOOKUP(B115,input_settle_516100!L:R,7,FALSE),VLOOKUP(tables_settle_516100!C115,input_settle_516100!A:H,8,FALSE))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input_settle_516100!A$2</f>
        <v>516100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IFERROR(VLOOKUP(B116,input_settle_516100!L:R,7,FALSE),VLOOKUP(tables_settle_516100!C116,input_settle_516100!A:H,8,FALSE))</f>
        <v>1602657.6923100001</v>
      </c>
      <c r="P116" s="46">
        <f t="shared" ca="1" si="4"/>
        <v>1.2224696356281711E-2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input_settle_516100!A$2</f>
        <v>516100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IFERROR(VLOOKUP(B117,input_settle_516100!L:R,7,FALSE),VLOOKUP(tables_settle_516100!C117,input_settle_516100!A:H,8,FALSE))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input_settle_516100!A$2</f>
        <v>516100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IFERROR(VLOOKUP(B118,input_settle_516100!L:R,7,FALSE),VLOOKUP(tables_settle_516100!C118,input_settle_516100!A:H,8,FALSE))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input_settle_516100!A$2</f>
        <v>516100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IFERROR(VLOOKUP(B119,input_settle_516100!L:R,7,FALSE),VLOOKUP(tables_settle_516100!C119,input_settle_516100!A:H,8,FALSE))</f>
        <v>1602657.6923100001</v>
      </c>
      <c r="P119" s="46">
        <f t="shared" ca="1" si="4"/>
        <v>1.2224696356281711E-2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input_settle_516100!A$2</f>
        <v>516100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IFERROR(VLOOKUP(B120,input_settle_516100!L:R,7,FALSE),VLOOKUP(tables_settle_516100!C120,input_settle_516100!A:H,8,FALSE))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input_settle_516100!A$2</f>
        <v>516100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IFERROR(VLOOKUP(B121,input_settle_516100!L:R,7,FALSE),VLOOKUP(tables_settle_516100!C121,input_settle_516100!A:H,8,FALSE))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input_settle_516100!A$2</f>
        <v>516100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IFERROR(VLOOKUP(B122,input_settle_516100!L:R,7,FALSE),VLOOKUP(tables_settle_516100!C122,input_settle_516100!A:H,8,FALSE))</f>
        <v>1602657.6923100001</v>
      </c>
      <c r="P122" s="46">
        <f t="shared" ca="1" si="4"/>
        <v>1.2224696356281711E-2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input_settle_516100!A$2</f>
        <v>516100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IFERROR(VLOOKUP(B123,input_settle_516100!L:R,7,FALSE),VLOOKUP(tables_settle_516100!C123,input_settle_516100!A:H,8,FALSE))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input_settle_516100!A$2</f>
        <v>516100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IFERROR(VLOOKUP(B124,input_settle_516100!L:R,7,FALSE),VLOOKUP(tables_settle_516100!C124,input_settle_516100!A:H,8,FALSE))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input_settle_516100!A$2</f>
        <v>516100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IFERROR(VLOOKUP(B125,input_settle_516100!L:R,7,FALSE),VLOOKUP(tables_settle_516100!C125,input_settle_516100!A:H,8,FALSE))</f>
        <v>1602657.6923100001</v>
      </c>
      <c r="P125" s="46">
        <f t="shared" ca="1" si="4"/>
        <v>1.2224696356281711E-2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input_settle_516100!A$2</f>
        <v>516100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IFERROR(VLOOKUP(B126,input_settle_516100!L:R,7,FALSE),VLOOKUP(tables_settle_516100!C126,input_settle_516100!A:H,8,FALSE))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input_settle_516100!A$2</f>
        <v>516100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IFERROR(VLOOKUP(B127,input_settle_516100!L:R,7,FALSE),VLOOKUP(tables_settle_516100!C127,input_settle_516100!A:H,8,FALSE))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input_settle_516100!A$2</f>
        <v>516100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IFERROR(VLOOKUP(B128,input_settle_516100!L:R,7,FALSE),VLOOKUP(tables_settle_516100!C128,input_settle_516100!A:H,8,FALSE))</f>
        <v>1602657.6923100001</v>
      </c>
      <c r="P128" s="46">
        <f t="shared" ca="1" si="4"/>
        <v>1.2224696356281711E-2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input_settle_516100!A$2</f>
        <v>516100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IFERROR(VLOOKUP(B129,input_settle_516100!L:R,7,FALSE),VLOOKUP(tables_settle_516100!C129,input_settle_516100!A:H,8,FALSE))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input_settle_516100!A$2</f>
        <v>516100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IFERROR(VLOOKUP(B130,input_settle_516100!L:R,7,FALSE),VLOOKUP(tables_settle_516100!C130,input_settle_516100!A:H,8,FALSE))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input_settle_516100!A$2</f>
        <v>516100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IFERROR(VLOOKUP(B131,input_settle_516100!L:R,7,FALSE),VLOOKUP(tables_settle_516100!C131,input_settle_516100!A:H,8,FALSE))</f>
        <v>1602657.6923100001</v>
      </c>
      <c r="P131" s="46">
        <f t="shared" ca="1" si="7"/>
        <v>1.2224696356281711E-2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input_settle_516100!A$2</f>
        <v>516100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IFERROR(VLOOKUP(B132,input_settle_516100!L:R,7,FALSE),VLOOKUP(tables_settle_516100!C132,input_settle_516100!A:H,8,FALSE))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input_settle_516100!A$2</f>
        <v>516100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IFERROR(VLOOKUP(B133,input_settle_516100!L:R,7,FALSE),VLOOKUP(tables_settle_516100!C133,input_settle_516100!A:H,8,FALSE))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input_settle_516100!A$2</f>
        <v>516100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IFERROR(VLOOKUP(B134,input_settle_516100!L:R,7,FALSE),VLOOKUP(tables_settle_516100!C134,input_settle_516100!A:H,8,FALSE))</f>
        <v>1602657.6923100001</v>
      </c>
      <c r="P134" s="46">
        <f t="shared" ca="1" si="7"/>
        <v>1.2224696356281711E-2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input_settle_516100!A$2</f>
        <v>516100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IFERROR(VLOOKUP(B135,input_settle_516100!L:R,7,FALSE),VLOOKUP(tables_settle_516100!C135,input_settle_516100!A:H,8,FALSE))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input_settle_516100!A$2</f>
        <v>516100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IFERROR(VLOOKUP(B136,input_settle_516100!L:R,7,FALSE),VLOOKUP(tables_settle_516100!C136,input_settle_516100!A:H,8,FALSE))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input_settle_516100!A$2</f>
        <v>516100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IFERROR(VLOOKUP(B137,input_settle_516100!L:R,7,FALSE),VLOOKUP(tables_settle_516100!C137,input_settle_516100!A:H,8,FALSE))</f>
        <v>1602657.6923100001</v>
      </c>
      <c r="P137" s="46">
        <f t="shared" ca="1" si="7"/>
        <v>1.2224696356281711E-2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input_settle_516100!A$2</f>
        <v>516100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IFERROR(VLOOKUP(B138,input_settle_516100!L:R,7,FALSE),VLOOKUP(tables_settle_516100!C138,input_settle_516100!A:H,8,FALSE))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input_settle_516100!A$2</f>
        <v>516100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IFERROR(VLOOKUP(B139,input_settle_516100!L:R,7,FALSE),VLOOKUP(tables_settle_516100!C139,input_settle_516100!A:H,8,FALSE))</f>
        <v>142500</v>
      </c>
      <c r="P139" s="46">
        <f t="shared" ca="1" si="7"/>
        <v>1.0869565217381349E-3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input_settle_516100!A$2</f>
        <v>516100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IFERROR(VLOOKUP(B140,input_settle_516100!L:R,7,FALSE),VLOOKUP(tables_settle_516100!C140,input_settle_516100!A:H,8,FALSE))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input_settle_516100!A$2</f>
        <v>516100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IFERROR(VLOOKUP(B141,input_settle_516100!L:R,7,FALSE),VLOOKUP(tables_settle_516100!C141,input_settle_516100!A:H,8,FALSE))</f>
        <v>142500</v>
      </c>
      <c r="P141" s="46">
        <f t="shared" ca="1" si="7"/>
        <v>1.0869565217381349E-3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input_settle_516100!A$2</f>
        <v>516100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IFERROR(VLOOKUP(B142,input_settle_516100!L:R,7,FALSE),VLOOKUP(tables_settle_516100!C142,input_settle_516100!A:H,8,FALSE))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input_settle_516100!A$2</f>
        <v>516100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IFERROR(VLOOKUP(B143,input_settle_516100!L:R,7,FALSE),VLOOKUP(tables_settle_516100!C143,input_settle_516100!A:H,8,FALSE))</f>
        <v>142500</v>
      </c>
      <c r="P143" s="46">
        <f t="shared" ca="1" si="7"/>
        <v>1.0869565217381349E-3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input_settle_516100!A$2</f>
        <v>516100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IFERROR(VLOOKUP(B144,input_settle_516100!L:R,7,FALSE),VLOOKUP(tables_settle_516100!C144,input_settle_516100!A:H,8,FALSE))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input_settle_516100!A$2</f>
        <v>516100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IFERROR(VLOOKUP(B145,input_settle_516100!L:R,7,FALSE),VLOOKUP(tables_settle_516100!C145,input_settle_516100!A:H,8,FALSE))</f>
        <v>142500</v>
      </c>
      <c r="P145" s="46">
        <f t="shared" ca="1" si="7"/>
        <v>1.0869565217381349E-3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input_settle_516100!A$2</f>
        <v>516100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IFERROR(VLOOKUP(B146,input_settle_516100!L:R,7,FALSE),VLOOKUP(tables_settle_516100!C146,input_settle_516100!A:H,8,FALSE))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input_settle_516100!A$2</f>
        <v>516100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IFERROR(VLOOKUP(B147,input_settle_516100!L:R,7,FALSE),VLOOKUP(tables_settle_516100!C147,input_settle_516100!A:H,8,FALSE))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input_settle_516100!A$2</f>
        <v>516100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IFERROR(VLOOKUP(B148,input_settle_516100!L:R,7,FALSE),VLOOKUP(tables_settle_516100!C148,input_settle_516100!A:H,8,FALSE))</f>
        <v>1602657.6923100001</v>
      </c>
      <c r="P148" s="46">
        <f t="shared" ca="1" si="7"/>
        <v>1.2224696356281711E-2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input_settle_516100!A$2</f>
        <v>516100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IFERROR(VLOOKUP(B149,input_settle_516100!L:R,7,FALSE),VLOOKUP(tables_settle_516100!C149,input_settle_516100!A:H,8,FALSE))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input_settle_516100!A$2</f>
        <v>516100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IFERROR(VLOOKUP(B150,input_settle_516100!L:R,7,FALSE),VLOOKUP(tables_settle_516100!C150,input_settle_516100!A:H,8,FALSE))</f>
        <v>142500</v>
      </c>
      <c r="P150" s="46">
        <f t="shared" ca="1" si="7"/>
        <v>1.0869565217381349E-3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input_settle_516100!A$2</f>
        <v>516100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IFERROR(VLOOKUP(B151,input_settle_516100!L:R,7,FALSE),VLOOKUP(tables_settle_516100!C151,input_settle_516100!A:H,8,FALSE))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input_settle_516100!A$2</f>
        <v>516100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IFERROR(VLOOKUP(B152,input_settle_516100!L:R,7,FALSE),VLOOKUP(tables_settle_516100!C152,input_settle_516100!A:H,8,FALSE))</f>
        <v>142500</v>
      </c>
      <c r="P152" s="46">
        <f t="shared" ca="1" si="7"/>
        <v>1.0869565217381349E-3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input_settle_516100!A$2</f>
        <v>516100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IFERROR(VLOOKUP(B153,input_settle_516100!L:R,7,FALSE),VLOOKUP(tables_settle_516100!C153,input_settle_516100!A:H,8,FALSE))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input_settle_516100!A$2</f>
        <v>516100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IFERROR(VLOOKUP(B154,input_settle_516100!L:R,7,FALSE),VLOOKUP(tables_settle_516100!C154,input_settle_516100!A:H,8,FALSE))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input_settle_516100!A$2</f>
        <v>516100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IFERROR(VLOOKUP(B155,input_settle_516100!L:R,7,FALSE),VLOOKUP(tables_settle_516100!C155,input_settle_516100!A:H,8,FALSE))</f>
        <v>1602657.6923100001</v>
      </c>
      <c r="P155" s="46">
        <f t="shared" ca="1" si="7"/>
        <v>1.2224696356281711E-2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input_settle_516100!A$2</f>
        <v>516100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IFERROR(VLOOKUP(B156,input_settle_516100!L:R,7,FALSE),VLOOKUP(tables_settle_516100!C156,input_settle_516100!A:H,8,FALSE))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input_settle_516100!A$2</f>
        <v>516100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IFERROR(VLOOKUP(B157,input_settle_516100!L:R,7,FALSE),VLOOKUP(tables_settle_516100!C157,input_settle_516100!A:H,8,FALSE))</f>
        <v>142500</v>
      </c>
      <c r="P157" s="46">
        <f t="shared" ca="1" si="7"/>
        <v>1.0869565217381349E-3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input_settle_516100!A$2</f>
        <v>516100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IFERROR(VLOOKUP(B158,input_settle_516100!L:R,7,FALSE),VLOOKUP(tables_settle_516100!C158,input_settle_516100!A:H,8,FALSE))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input_settle_516100!A$2</f>
        <v>516100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IFERROR(VLOOKUP(B159,input_settle_516100!L:R,7,FALSE),VLOOKUP(tables_settle_516100!C159,input_settle_516100!A:H,8,FALSE))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input_settle_516100!A$2</f>
        <v>516100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IFERROR(VLOOKUP(B160,input_settle_516100!L:R,7,FALSE),VLOOKUP(tables_settle_516100!C160,input_settle_516100!A:H,8,FALSE))</f>
        <v>1602657.6923100001</v>
      </c>
      <c r="P160" s="46">
        <f t="shared" ca="1" si="7"/>
        <v>1.2224696356281711E-2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input_settle_516100!A$2</f>
        <v>516100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IFERROR(VLOOKUP(B161,input_settle_516100!L:R,7,FALSE),VLOOKUP(tables_settle_516100!C161,input_settle_516100!A:H,8,FALSE))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input_settle_516100!A$2</f>
        <v>516100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IFERROR(VLOOKUP(B162,input_settle_516100!L:R,7,FALSE),VLOOKUP(tables_settle_516100!C162,input_settle_516100!A:H,8,FALSE))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input_settle_516100!A$2</f>
        <v>516100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IFERROR(VLOOKUP(B163,input_settle_516100!L:R,7,FALSE),VLOOKUP(tables_settle_516100!C163,input_settle_516100!A:H,8,FALSE))</f>
        <v>1602657.6923100001</v>
      </c>
      <c r="P163" s="46">
        <f t="shared" ca="1" si="7"/>
        <v>1.2224696356281711E-2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input_settle_516100!A$2</f>
        <v>516100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IFERROR(VLOOKUP(B164,input_settle_516100!L:R,7,FALSE),VLOOKUP(tables_settle_516100!C164,input_settle_516100!A:H,8,FALSE))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input_settle_516100!A$2</f>
        <v>516100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IFERROR(VLOOKUP(B165,input_settle_516100!L:R,7,FALSE),VLOOKUP(tables_settle_516100!C165,input_settle_516100!A:H,8,FALSE))</f>
        <v>142500</v>
      </c>
      <c r="P165" s="46">
        <f t="shared" ca="1" si="7"/>
        <v>1.0869565217381349E-3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input_settle_516100!A$2</f>
        <v>516100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IFERROR(VLOOKUP(B166,input_settle_516100!L:R,7,FALSE),VLOOKUP(tables_settle_516100!C166,input_settle_516100!A:H,8,FALSE))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input_settle_516100!A$2</f>
        <v>516100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IFERROR(VLOOKUP(B167,input_settle_516100!L:R,7,FALSE),VLOOKUP(tables_settle_516100!C167,input_settle_516100!A:H,8,FALSE))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input_settle_516100!A$2</f>
        <v>516100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IFERROR(VLOOKUP(B168,input_settle_516100!L:R,7,FALSE),VLOOKUP(tables_settle_516100!C168,input_settle_516100!A:H,8,FALSE))</f>
        <v>1602657.6923100001</v>
      </c>
      <c r="P168" s="46">
        <f t="shared" ca="1" si="7"/>
        <v>1.2224696356281711E-2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input_settle_516100!A$2</f>
        <v>516100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IFERROR(VLOOKUP(B169,input_settle_516100!L:R,7,FALSE),VLOOKUP(tables_settle_516100!C169,input_settle_516100!A:H,8,FALSE))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input_settle_516100!A$2</f>
        <v>516100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IFERROR(VLOOKUP(B170,input_settle_516100!L:R,7,FALSE),VLOOKUP(tables_settle_516100!C170,input_settle_516100!A:H,8,FALSE))</f>
        <v>142500</v>
      </c>
      <c r="P170" s="46">
        <f t="shared" ca="1" si="7"/>
        <v>1.0869565217381349E-3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input_settle_516100!A$2</f>
        <v>516100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IFERROR(VLOOKUP(B171,input_settle_516100!L:R,7,FALSE),VLOOKUP(tables_settle_516100!C171,input_settle_516100!A:H,8,FALSE))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input_settle_516100!A$2</f>
        <v>516100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IFERROR(VLOOKUP(B172,input_settle_516100!L:R,7,FALSE),VLOOKUP(tables_settle_516100!C172,input_settle_516100!A:H,8,FALSE))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input_settle_516100!A$2</f>
        <v>516100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IFERROR(VLOOKUP(B173,input_settle_516100!L:R,7,FALSE),VLOOKUP(tables_settle_516100!C173,input_settle_516100!A:H,8,FALSE))</f>
        <v>1602657.6923100001</v>
      </c>
      <c r="P173" s="46">
        <f t="shared" ca="1" si="7"/>
        <v>1.2224696356281711E-2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input_settle_516100!A$2</f>
        <v>516100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IFERROR(VLOOKUP(B174,input_settle_516100!L:R,7,FALSE),VLOOKUP(tables_settle_516100!C174,input_settle_516100!A:H,8,FALSE))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input_settle_516100!A$2</f>
        <v>516100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IFERROR(VLOOKUP(B175,input_settle_516100!L:R,7,FALSE),VLOOKUP(tables_settle_516100!C175,input_settle_516100!A:H,8,FALSE))</f>
        <v>142500</v>
      </c>
      <c r="P175" s="46">
        <f t="shared" ca="1" si="7"/>
        <v>1.0869565217381349E-3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input_settle_516100!A$2</f>
        <v>516100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IFERROR(VLOOKUP(B176,input_settle_516100!L:R,7,FALSE),VLOOKUP(tables_settle_516100!C176,input_settle_516100!A:H,8,FALSE))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input_settle_516100!A$2</f>
        <v>516100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IFERROR(VLOOKUP(B177,input_settle_516100!L:R,7,FALSE),VLOOKUP(tables_settle_516100!C177,input_settle_516100!A:H,8,FALSE))</f>
        <v>142500</v>
      </c>
      <c r="P177" s="46">
        <f t="shared" ca="1" si="7"/>
        <v>1.0869565217381349E-3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input_settle_516100!A$2</f>
        <v>516100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IFERROR(VLOOKUP(B178,input_settle_516100!L:R,7,FALSE),VLOOKUP(tables_settle_516100!C178,input_settle_516100!A:H,8,FALSE))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input_settle_516100!A$2</f>
        <v>516100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IFERROR(VLOOKUP(B179,input_settle_516100!L:R,7,FALSE),VLOOKUP(tables_settle_516100!C179,input_settle_516100!A:H,8,FALSE))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input_settle_516100!A$2</f>
        <v>516100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IFERROR(VLOOKUP(B180,input_settle_516100!L:R,7,FALSE),VLOOKUP(tables_settle_516100!C180,input_settle_516100!A:H,8,FALSE))</f>
        <v>1602657.6923100001</v>
      </c>
      <c r="P180" s="46">
        <f t="shared" ca="1" si="7"/>
        <v>1.2224696356281711E-2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input_settle_516100!A$2</f>
        <v>516100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IFERROR(VLOOKUP(B181,input_settle_516100!L:R,7,FALSE),VLOOKUP(tables_settle_516100!C181,input_settle_516100!A:H,8,FALSE))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input_settle_516100!A$2</f>
        <v>516100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IFERROR(VLOOKUP(B182,input_settle_516100!L:R,7,FALSE),VLOOKUP(tables_settle_516100!C182,input_settle_516100!A:H,8,FALSE))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input_settle_516100!A$2</f>
        <v>516100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IFERROR(VLOOKUP(B183,input_settle_516100!L:R,7,FALSE),VLOOKUP(tables_settle_516100!C183,input_settle_516100!A:H,8,FALSE))</f>
        <v>1602657.6923100001</v>
      </c>
      <c r="P183" s="46">
        <f t="shared" ca="1" si="7"/>
        <v>1.2224696356281711E-2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input_settle_516100!A$2</f>
        <v>516100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IFERROR(VLOOKUP(B184,input_settle_516100!L:R,7,FALSE),VLOOKUP(tables_settle_516100!C184,input_settle_516100!A:H,8,FALSE))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input_settle_516100!A$2</f>
        <v>516100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IFERROR(VLOOKUP(B185,input_settle_516100!L:R,7,FALSE),VLOOKUP(tables_settle_516100!C185,input_settle_516100!A:H,8,FALSE))</f>
        <v>142500</v>
      </c>
      <c r="P185" s="46">
        <f t="shared" ca="1" si="7"/>
        <v>1.0869565217381349E-3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input_settle_516100!A$2</f>
        <v>516100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IFERROR(VLOOKUP(B186,input_settle_516100!L:R,7,FALSE),VLOOKUP(tables_settle_516100!C186,input_settle_516100!A:H,8,FALSE))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input_settle_516100!A$2</f>
        <v>516100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IFERROR(VLOOKUP(B187,input_settle_516100!L:R,7,FALSE),VLOOKUP(tables_settle_516100!C187,input_settle_516100!A:H,8,FALSE))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input_settle_516100!A$2</f>
        <v>516100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IFERROR(VLOOKUP(B188,input_settle_516100!L:R,7,FALSE),VLOOKUP(tables_settle_516100!C188,input_settle_516100!A:H,8,FALSE))</f>
        <v>1602657.6923100001</v>
      </c>
      <c r="P188" s="46">
        <f t="shared" ca="1" si="7"/>
        <v>1.2224696356281711E-2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input_settle_516100!A$2</f>
        <v>516100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IFERROR(VLOOKUP(B189,input_settle_516100!L:R,7,FALSE),VLOOKUP(tables_settle_516100!C189,input_settle_516100!A:H,8,FALSE))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input_settle_516100!A$2</f>
        <v>516100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IFERROR(VLOOKUP(B190,input_settle_516100!L:R,7,FALSE),VLOOKUP(tables_settle_516100!C190,input_settle_516100!A:H,8,FALSE))</f>
        <v>142500</v>
      </c>
      <c r="P190" s="46">
        <f t="shared" ca="1" si="7"/>
        <v>1.0869565217381349E-3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input_settle_516100!A$2</f>
        <v>516100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IFERROR(VLOOKUP(B191,input_settle_516100!L:R,7,FALSE),VLOOKUP(tables_settle_516100!C191,input_settle_516100!A:H,8,FALSE))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input_settle_516100!A$2</f>
        <v>516100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IFERROR(VLOOKUP(B192,input_settle_516100!L:R,7,FALSE),VLOOKUP(tables_settle_516100!C192,input_settle_516100!A:H,8,FALSE))</f>
        <v>142500</v>
      </c>
      <c r="P192" s="46">
        <f t="shared" ca="1" si="7"/>
        <v>1.0869565217381349E-3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input_settle_516100!A$2</f>
        <v>516100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IFERROR(VLOOKUP(B193,input_settle_516100!L:R,7,FALSE),VLOOKUP(tables_settle_516100!C193,input_settle_516100!A:H,8,FALSE))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input_settle_516100!A$2</f>
        <v>516100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IFERROR(VLOOKUP(B194,input_settle_516100!L:R,7,FALSE),VLOOKUP(tables_settle_516100!C194,input_settle_516100!A:H,8,FALSE))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input_settle_516100!A$2</f>
        <v>516100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IFERROR(VLOOKUP(B195,input_settle_516100!L:R,7,FALSE),VLOOKUP(tables_settle_516100!C195,input_settle_516100!A:H,8,FALSE))</f>
        <v>1602657.6923100001</v>
      </c>
      <c r="P195" s="46">
        <f t="shared" ca="1" si="10"/>
        <v>1.2224696356281711E-2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input_settle_516100!A$2</f>
        <v>516100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IFERROR(VLOOKUP(B196,input_settle_516100!L:R,7,FALSE),VLOOKUP(tables_settle_516100!C196,input_settle_516100!A:H,8,FALSE))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input_settle_516100!A$2</f>
        <v>516100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IFERROR(VLOOKUP(B197,input_settle_516100!L:R,7,FALSE),VLOOKUP(tables_settle_516100!C197,input_settle_516100!A:H,8,FALSE))</f>
        <v>142500</v>
      </c>
      <c r="P197" s="46">
        <f t="shared" ca="1" si="10"/>
        <v>1.0869565217381349E-3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input_settle_516100!A$2</f>
        <v>516100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IFERROR(VLOOKUP(B198,input_settle_516100!L:R,7,FALSE),VLOOKUP(tables_settle_516100!C198,input_settle_516100!A:H,8,FALSE))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input_settle_516100!A$2</f>
        <v>516100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IFERROR(VLOOKUP(B199,input_settle_516100!L:R,7,FALSE),VLOOKUP(tables_settle_516100!C199,input_settle_516100!A:H,8,FALSE))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input_settle_516100!A$2</f>
        <v>516100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IFERROR(VLOOKUP(B200,input_settle_516100!L:R,7,FALSE),VLOOKUP(tables_settle_516100!C200,input_settle_516100!A:H,8,FALSE))</f>
        <v>1602657.6923100001</v>
      </c>
      <c r="P200" s="46">
        <f t="shared" ca="1" si="10"/>
        <v>1.2224696356281711E-2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input_settle_516100!A$2</f>
        <v>516100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IFERROR(VLOOKUP(B201,input_settle_516100!L:R,7,FALSE),VLOOKUP(tables_settle_516100!C201,input_settle_516100!A:H,8,FALSE))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input_settle_516100!A$2</f>
        <v>516100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IFERROR(VLOOKUP(B202,input_settle_516100!L:R,7,FALSE),VLOOKUP(tables_settle_516100!C202,input_settle_516100!A:H,8,FALSE))</f>
        <v>142500</v>
      </c>
      <c r="P202" s="46">
        <f t="shared" ca="1" si="10"/>
        <v>1.0869565217381349E-3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input_settle_516100!A$2</f>
        <v>516100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IFERROR(VLOOKUP(B203,input_settle_516100!L:R,7,FALSE),VLOOKUP(tables_settle_516100!C203,input_settle_516100!A:H,8,FALSE))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input_settle_516100!A$2</f>
        <v>516100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IFERROR(VLOOKUP(B204,input_settle_516100!L:R,7,FALSE),VLOOKUP(tables_settle_516100!C204,input_settle_516100!A:H,8,FALSE))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input_settle_516100!A$2</f>
        <v>516100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IFERROR(VLOOKUP(B205,input_settle_516100!L:R,7,FALSE),VLOOKUP(tables_settle_516100!C205,input_settle_516100!A:H,8,FALSE))</f>
        <v>1602657.6923100001</v>
      </c>
      <c r="P205" s="46">
        <f t="shared" ca="1" si="10"/>
        <v>1.2224696356281711E-2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input_settle_516100!A$2</f>
        <v>516100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IFERROR(VLOOKUP(B206,input_settle_516100!L:R,7,FALSE),VLOOKUP(tables_settle_516100!C206,input_settle_516100!A:H,8,FALSE))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input_settle_516100!A$2</f>
        <v>516100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IFERROR(VLOOKUP(B207,input_settle_516100!L:R,7,FALSE),VLOOKUP(tables_settle_516100!C207,input_settle_516100!A:H,8,FALSE))</f>
        <v>142500</v>
      </c>
      <c r="P207" s="46">
        <f t="shared" ca="1" si="10"/>
        <v>1.0869565217381349E-3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input_settle_516100!A$2</f>
        <v>516100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IFERROR(VLOOKUP(B208,input_settle_516100!L:R,7,FALSE),VLOOKUP(tables_settle_516100!C208,input_settle_516100!A:H,8,FALSE))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input_settle_516100!A$2</f>
        <v>516100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IFERROR(VLOOKUP(B209,input_settle_516100!L:R,7,FALSE),VLOOKUP(tables_settle_516100!C209,input_settle_516100!A:H,8,FALSE))</f>
        <v>142500</v>
      </c>
      <c r="P209" s="46">
        <f t="shared" ca="1" si="10"/>
        <v>1.0869565217381349E-3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input_settle_516100!A$2</f>
        <v>516100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IFERROR(VLOOKUP(B210,input_settle_516100!L:R,7,FALSE),VLOOKUP(tables_settle_516100!C210,input_settle_516100!A:H,8,FALSE))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input_settle_516100!A$2</f>
        <v>516100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IFERROR(VLOOKUP(B211,input_settle_516100!L:R,7,FALSE),VLOOKUP(tables_settle_516100!C211,input_settle_516100!A:H,8,FALSE))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input_settle_516100!A$2</f>
        <v>516100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IFERROR(VLOOKUP(B212,input_settle_516100!L:R,7,FALSE),VLOOKUP(tables_settle_516100!C212,input_settle_516100!A:H,8,FALSE))</f>
        <v>1602657.6923100001</v>
      </c>
      <c r="P212" s="46">
        <f t="shared" ca="1" si="10"/>
        <v>1.2224696356281711E-2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input_settle_516100!A$2</f>
        <v>516100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IFERROR(VLOOKUP(B213,input_settle_516100!L:R,7,FALSE),VLOOKUP(tables_settle_516100!C213,input_settle_516100!A:H,8,FALSE))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input_settle_516100!A$2</f>
        <v>516100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IFERROR(VLOOKUP(B214,input_settle_516100!L:R,7,FALSE),VLOOKUP(tables_settle_516100!C214,input_settle_516100!A:H,8,FALSE))</f>
        <v>142500</v>
      </c>
      <c r="P214" s="46">
        <f t="shared" ca="1" si="10"/>
        <v>1.0869565217381349E-3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input_settle_516100!A$2</f>
        <v>516100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IFERROR(VLOOKUP(B215,input_settle_516100!L:R,7,FALSE),VLOOKUP(tables_settle_516100!C215,input_settle_516100!A:H,8,FALSE))</f>
        <v>1262700</v>
      </c>
      <c r="P215" s="46">
        <f t="shared" ca="1" si="10"/>
        <v>9.6315789473596005E-3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input_settle_516100!A$2</f>
        <v>516100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IFERROR(VLOOKUP(B216,input_settle_516100!L:R,7,FALSE),VLOOKUP(tables_settle_516100!C216,input_settle_516100!A:H,8,FALSE))</f>
        <v>1262700</v>
      </c>
      <c r="P216" s="46">
        <f t="shared" ca="1" si="10"/>
        <v>9.6315789473596005E-3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input_settle_516100!A$2</f>
        <v>516100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IFERROR(VLOOKUP(B217,input_settle_516100!L:R,7,FALSE),VLOOKUP(tables_settle_516100!C217,input_settle_516100!A:H,8,FALSE))</f>
        <v>1262700</v>
      </c>
      <c r="P217" s="46">
        <f t="shared" ca="1" si="10"/>
        <v>9.6315789473596005E-3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input_settle_516100!A$2</f>
        <v>516100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IFERROR(VLOOKUP(B218,input_settle_516100!L:R,7,FALSE),VLOOKUP(tables_settle_516100!C218,input_settle_516100!A:H,8,FALSE))</f>
        <v>1262700</v>
      </c>
      <c r="P218" s="46">
        <f t="shared" ca="1" si="10"/>
        <v>9.6315789473596005E-3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input_settle_516100!A$2</f>
        <v>516100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IFERROR(VLOOKUP(B219,input_settle_516100!L:R,7,FALSE),VLOOKUP(tables_settle_516100!C219,input_settle_516100!A:H,8,FALSE))</f>
        <v>1262700</v>
      </c>
      <c r="P219" s="46">
        <f t="shared" ca="1" si="10"/>
        <v>9.6315789473596005E-3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input_settle_516100!A$2</f>
        <v>516100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IFERROR(VLOOKUP(B220,input_settle_516100!L:R,7,FALSE),VLOOKUP(tables_settle_516100!C220,input_settle_516100!A:H,8,FALSE))</f>
        <v>1262700</v>
      </c>
      <c r="P220" s="46">
        <f t="shared" ca="1" si="10"/>
        <v>9.6315789473596005E-3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input_settle_516100!A$2</f>
        <v>516100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IFERROR(VLOOKUP(B221,input_settle_516100!L:R,7,FALSE),VLOOKUP(tables_settle_516100!C221,input_settle_516100!A:H,8,FALSE))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input_settle_516100!A$2</f>
        <v>516100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IFERROR(VLOOKUP(B222,input_settle_516100!L:R,7,FALSE),VLOOKUP(tables_settle_516100!C222,input_settle_516100!A:H,8,FALSE))</f>
        <v>142500</v>
      </c>
      <c r="P222" s="46">
        <f t="shared" ca="1" si="10"/>
        <v>1.0869565217381349E-3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input_settle_516100!A$2</f>
        <v>516100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IFERROR(VLOOKUP(B223,input_settle_516100!L:R,7,FALSE),VLOOKUP(tables_settle_516100!C223,input_settle_516100!A:H,8,FALSE))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input_settle_516100!A$2</f>
        <v>516100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IFERROR(VLOOKUP(B224,input_settle_516100!L:R,7,FALSE),VLOOKUP(tables_settle_516100!C224,input_settle_516100!A:H,8,FALSE))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input_settle_516100!A$2</f>
        <v>516100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IFERROR(VLOOKUP(B225,input_settle_516100!L:R,7,FALSE),VLOOKUP(tables_settle_516100!C225,input_settle_516100!A:H,8,FALSE))</f>
        <v>1602657.6923100001</v>
      </c>
      <c r="P225" s="46">
        <f t="shared" ca="1" si="10"/>
        <v>1.2224696356281711E-2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input_settle_516100!A$2</f>
        <v>516100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IFERROR(VLOOKUP(B226,input_settle_516100!L:R,7,FALSE),VLOOKUP(tables_settle_516100!C226,input_settle_516100!A:H,8,FALSE))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input_settle_516100!A$2</f>
        <v>516100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IFERROR(VLOOKUP(B227,input_settle_516100!L:R,7,FALSE),VLOOKUP(tables_settle_516100!C227,input_settle_516100!A:H,8,FALSE))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input_settle_516100!A$2</f>
        <v>516100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IFERROR(VLOOKUP(B228,input_settle_516100!L:R,7,FALSE),VLOOKUP(tables_settle_516100!C228,input_settle_516100!A:H,8,FALSE))</f>
        <v>1602657.6923100001</v>
      </c>
      <c r="P228" s="46">
        <f t="shared" ca="1" si="10"/>
        <v>1.2224696356281711E-2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input_settle_516100!A$2</f>
        <v>516100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IFERROR(VLOOKUP(B229,input_settle_516100!L:R,7,FALSE),VLOOKUP(tables_settle_516100!C229,input_settle_516100!A:H,8,FALSE))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input_settle_516100!A$2</f>
        <v>516100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IFERROR(VLOOKUP(B230,input_settle_516100!L:R,7,FALSE),VLOOKUP(tables_settle_516100!C230,input_settle_516100!A:H,8,FALSE))</f>
        <v>142500</v>
      </c>
      <c r="P230" s="46">
        <f t="shared" ca="1" si="10"/>
        <v>1.0869565217381349E-3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input_settle_516100!A$2</f>
        <v>516100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IFERROR(VLOOKUP(B231,input_settle_516100!L:R,7,FALSE),VLOOKUP(tables_settle_516100!C231,input_settle_516100!A:H,8,FALSE))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input_settle_516100!A$2</f>
        <v>516100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IFERROR(VLOOKUP(B232,input_settle_516100!L:R,7,FALSE),VLOOKUP(tables_settle_516100!C232,input_settle_516100!A:H,8,FALSE))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input_settle_516100!A$2</f>
        <v>516100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IFERROR(VLOOKUP(B233,input_settle_516100!L:R,7,FALSE),VLOOKUP(tables_settle_516100!C233,input_settle_516100!A:H,8,FALSE))</f>
        <v>1602657.6923100001</v>
      </c>
      <c r="P233" s="46">
        <f t="shared" ca="1" si="10"/>
        <v>1.2224696356281711E-2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input_settle_516100!A$2</f>
        <v>516100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IFERROR(VLOOKUP(B234,input_settle_516100!L:R,7,FALSE),VLOOKUP(tables_settle_516100!C234,input_settle_516100!A:H,8,FALSE))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input_settle_516100!A$2</f>
        <v>516100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IFERROR(VLOOKUP(B235,input_settle_516100!L:R,7,FALSE),VLOOKUP(tables_settle_516100!C235,input_settle_516100!A:H,8,FALSE))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input_settle_516100!A$2</f>
        <v>516100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IFERROR(VLOOKUP(B236,input_settle_516100!L:R,7,FALSE),VLOOKUP(tables_settle_516100!C236,input_settle_516100!A:H,8,FALSE))</f>
        <v>1602657.6923100001</v>
      </c>
      <c r="P236" s="46">
        <f t="shared" ca="1" si="10"/>
        <v>1.2224696356281711E-2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input_settle_516100!A$2</f>
        <v>516100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IFERROR(VLOOKUP(B237,input_settle_516100!L:R,7,FALSE),VLOOKUP(tables_settle_516100!C237,input_settle_516100!A:H,8,FALSE))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input_settle_516100!A$2</f>
        <v>516100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IFERROR(VLOOKUP(B238,input_settle_516100!L:R,7,FALSE),VLOOKUP(tables_settle_516100!C238,input_settle_516100!A:H,8,FALSE))</f>
        <v>142500</v>
      </c>
      <c r="P238" s="46">
        <f t="shared" ca="1" si="10"/>
        <v>1.0869565217381349E-3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input_settle_516100!A$2</f>
        <v>516100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IFERROR(VLOOKUP(B239,input_settle_516100!L:R,7,FALSE),VLOOKUP(tables_settle_516100!C239,input_settle_516100!A:H,8,FALSE))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input_settle_516100!A$2</f>
        <v>516100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IFERROR(VLOOKUP(B240,input_settle_516100!L:R,7,FALSE),VLOOKUP(tables_settle_516100!C240,input_settle_516100!A:H,8,FALSE))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input_settle_516100!A$2</f>
        <v>516100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IFERROR(VLOOKUP(B241,input_settle_516100!L:R,7,FALSE),VLOOKUP(tables_settle_516100!C241,input_settle_516100!A:H,8,FALSE))</f>
        <v>1602657.6923100001</v>
      </c>
      <c r="P241" s="46">
        <f t="shared" ca="1" si="10"/>
        <v>1.2224696356281711E-2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input_settle_516100!A$2</f>
        <v>516100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IFERROR(VLOOKUP(B242,input_settle_516100!L:R,7,FALSE),VLOOKUP(tables_settle_516100!C242,input_settle_516100!A:H,8,FALSE))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input_settle_516100!A$2</f>
        <v>516100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IFERROR(VLOOKUP(B243,input_settle_516100!L:R,7,FALSE),VLOOKUP(tables_settle_516100!C243,input_settle_516100!A:H,8,FALSE))</f>
        <v>142500</v>
      </c>
      <c r="P243" s="46">
        <f t="shared" ca="1" si="10"/>
        <v>1.0869565217381349E-3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input_settle_516100!A$2</f>
        <v>516100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IFERROR(VLOOKUP(B244,input_settle_516100!L:R,7,FALSE),VLOOKUP(tables_settle_516100!C244,input_settle_516100!A:H,8,FALSE))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input_settle_516100!A$2</f>
        <v>516100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IFERROR(VLOOKUP(B245,input_settle_516100!L:R,7,FALSE),VLOOKUP(tables_settle_516100!C245,input_settle_516100!A:H,8,FALSE))</f>
        <v>142500</v>
      </c>
      <c r="P245" s="46">
        <f t="shared" ca="1" si="10"/>
        <v>1.0869565217381349E-3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input_settle_516100!A$2</f>
        <v>516100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IFERROR(VLOOKUP(B246,input_settle_516100!L:R,7,FALSE),VLOOKUP(tables_settle_516100!C246,input_settle_516100!A:H,8,FALSE))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input_settle_516100!A$2</f>
        <v>516100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IFERROR(VLOOKUP(B247,input_settle_516100!L:R,7,FALSE),VLOOKUP(tables_settle_516100!C247,input_settle_516100!A:H,8,FALSE))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input_settle_516100!A$2</f>
        <v>516100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IFERROR(VLOOKUP(B248,input_settle_516100!L:R,7,FALSE),VLOOKUP(tables_settle_516100!C248,input_settle_516100!A:H,8,FALSE))</f>
        <v>1602657.6923100001</v>
      </c>
      <c r="P248" s="46">
        <f t="shared" ca="1" si="10"/>
        <v>1.2224696356281711E-2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input_settle_516100!A$2</f>
        <v>516100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IFERROR(VLOOKUP(B249,input_settle_516100!L:R,7,FALSE),VLOOKUP(tables_settle_516100!C249,input_settle_516100!A:H,8,FALSE))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input_settle_516100!A$2</f>
        <v>516100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IFERROR(VLOOKUP(B250,input_settle_516100!L:R,7,FALSE),VLOOKUP(tables_settle_516100!C250,input_settle_516100!A:H,8,FALSE))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input_settle_516100!A$2</f>
        <v>516100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IFERROR(VLOOKUP(B251,input_settle_516100!L:R,7,FALSE),VLOOKUP(tables_settle_516100!C251,input_settle_516100!A:H,8,FALSE))</f>
        <v>1602657.6923100001</v>
      </c>
      <c r="P251" s="46">
        <f t="shared" ca="1" si="10"/>
        <v>1.2224696356281711E-2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input_settle_516100!A$2</f>
        <v>516100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IFERROR(VLOOKUP(B252,input_settle_516100!L:R,7,FALSE),VLOOKUP(tables_settle_516100!C252,input_settle_516100!A:H,8,FALSE))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input_settle_516100!A$2</f>
        <v>516100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IFERROR(VLOOKUP(B253,input_settle_516100!L:R,7,FALSE),VLOOKUP(tables_settle_516100!C253,input_settle_516100!A:H,8,FALSE))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input_settle_516100!A$2</f>
        <v>516100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IFERROR(VLOOKUP(B254,input_settle_516100!L:R,7,FALSE),VLOOKUP(tables_settle_516100!C254,input_settle_516100!A:H,8,FALSE))</f>
        <v>1602657.6923100001</v>
      </c>
      <c r="P254" s="46">
        <f t="shared" ca="1" si="10"/>
        <v>1.2224696356281711E-2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input_settle_516100!A$2</f>
        <v>516100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IFERROR(VLOOKUP(B255,input_settle_516100!L:R,7,FALSE),VLOOKUP(tables_settle_516100!C255,input_settle_516100!A:H,8,FALSE))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input_settle_516100!A$2</f>
        <v>516100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IFERROR(VLOOKUP(B256,input_settle_516100!L:R,7,FALSE),VLOOKUP(tables_settle_516100!C256,input_settle_516100!A:H,8,FALSE))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input_settle_516100!A$2</f>
        <v>516100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IFERROR(VLOOKUP(B257,input_settle_516100!L:R,7,FALSE),VLOOKUP(tables_settle_516100!C257,input_settle_516100!A:H,8,FALSE))</f>
        <v>1602657.6923100001</v>
      </c>
      <c r="P257" s="46">
        <f t="shared" ca="1" si="10"/>
        <v>1.2224696356281711E-2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input_settle_516100!A$2</f>
        <v>516100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IFERROR(VLOOKUP(B258,input_settle_516100!L:R,7,FALSE),VLOOKUP(tables_settle_516100!C258,input_settle_516100!A:H,8,FALSE))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input_settle_516100!A$2</f>
        <v>516100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IFERROR(VLOOKUP(B259,input_settle_516100!L:R,7,FALSE),VLOOKUP(tables_settle_516100!C259,input_settle_516100!A:H,8,FALSE))</f>
        <v>142500</v>
      </c>
      <c r="P259" s="46">
        <f t="shared" ca="1" si="13"/>
        <v>1.0869565217381349E-3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input_settle_516100!A$2</f>
        <v>516100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IFERROR(VLOOKUP(B260,input_settle_516100!L:R,7,FALSE),VLOOKUP(tables_settle_516100!C260,input_settle_516100!A:H,8,FALSE))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input_settle_516100!A$2</f>
        <v>516100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IFERROR(VLOOKUP(B261,input_settle_516100!L:R,7,FALSE),VLOOKUP(tables_settle_516100!C261,input_settle_516100!A:H,8,FALSE))</f>
        <v>142500</v>
      </c>
      <c r="P261" s="46">
        <f t="shared" ca="1" si="13"/>
        <v>1.0869565217381349E-3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input_settle_516100!A$2</f>
        <v>516100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IFERROR(VLOOKUP(B262,input_settle_516100!L:R,7,FALSE),VLOOKUP(tables_settle_516100!C262,input_settle_516100!A:H,8,FALSE))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input_settle_516100!A$2</f>
        <v>516100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IFERROR(VLOOKUP(B263,input_settle_516100!L:R,7,FALSE),VLOOKUP(tables_settle_516100!C263,input_settle_516100!A:H,8,FALSE))</f>
        <v>1262700</v>
      </c>
      <c r="P263" s="46">
        <f t="shared" ca="1" si="13"/>
        <v>9.6315789473596005E-3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input_settle_516100!A$2</f>
        <v>516100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IFERROR(VLOOKUP(B264,input_settle_516100!L:R,7,FALSE),VLOOKUP(tables_settle_516100!C264,input_settle_516100!A:H,8,FALSE))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input_settle_516100!A$2</f>
        <v>516100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IFERROR(VLOOKUP(B265,input_settle_516100!L:R,7,FALSE),VLOOKUP(tables_settle_516100!C265,input_settle_516100!A:H,8,FALSE))</f>
        <v>1262700</v>
      </c>
      <c r="P265" s="46">
        <f t="shared" ca="1" si="13"/>
        <v>9.6315789473596005E-3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input_settle_516100!A$2</f>
        <v>516100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IFERROR(VLOOKUP(B266,input_settle_516100!L:R,7,FALSE),VLOOKUP(tables_settle_516100!C266,input_settle_516100!A:H,8,FALSE))</f>
        <v>142500</v>
      </c>
      <c r="P266" s="46">
        <f t="shared" ca="1" si="13"/>
        <v>1.0869565217381349E-3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input_settle_516100!A$2</f>
        <v>516100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IFERROR(VLOOKUP(B267,input_settle_516100!L:R,7,FALSE),VLOOKUP(tables_settle_516100!C267,input_settle_516100!A:H,8,FALSE))</f>
        <v>142500</v>
      </c>
      <c r="P267" s="46">
        <f t="shared" ca="1" si="13"/>
        <v>1.0869565217381349E-3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input_settle_516100!A$2</f>
        <v>516100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IFERROR(VLOOKUP(B268,input_settle_516100!L:R,7,FALSE),VLOOKUP(tables_settle_516100!C268,input_settle_516100!A:H,8,FALSE))</f>
        <v>142500</v>
      </c>
      <c r="P268" s="46">
        <f t="shared" ca="1" si="13"/>
        <v>1.0869565217381349E-3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input_settle_516100!A$2</f>
        <v>516100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IFERROR(VLOOKUP(B269,input_settle_516100!L:R,7,FALSE),VLOOKUP(tables_settle_516100!C269,input_settle_516100!A:H,8,FALSE))</f>
        <v>142500</v>
      </c>
      <c r="P269" s="46">
        <f t="shared" ca="1" si="13"/>
        <v>1.0869565217381349E-3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input_settle_516100!A$2</f>
        <v>516100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IFERROR(VLOOKUP(B270,input_settle_516100!L:R,7,FALSE),VLOOKUP(tables_settle_516100!C270,input_settle_516100!A:H,8,FALSE))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input_settle_516100!A$2</f>
        <v>516100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IFERROR(VLOOKUP(B271,input_settle_516100!L:R,7,FALSE),VLOOKUP(tables_settle_516100!C271,input_settle_516100!A:H,8,FALSE))</f>
        <v>1262700</v>
      </c>
      <c r="P271" s="46">
        <f t="shared" ca="1" si="13"/>
        <v>9.6315789473596005E-3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input_settle_516100!A$2</f>
        <v>516100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IFERROR(VLOOKUP(B272,input_settle_516100!L:R,7,FALSE),VLOOKUP(tables_settle_516100!C272,input_settle_516100!A:H,8,FALSE))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input_settle_516100!A$2</f>
        <v>516100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IFERROR(VLOOKUP(B273,input_settle_516100!L:R,7,FALSE),VLOOKUP(tables_settle_516100!C273,input_settle_516100!A:H,8,FALSE))</f>
        <v>1262700</v>
      </c>
      <c r="P273" s="46">
        <f t="shared" ca="1" si="13"/>
        <v>9.6315789473596005E-3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input_settle_516100!A$2</f>
        <v>516100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IFERROR(VLOOKUP(B274,input_settle_516100!L:R,7,FALSE),VLOOKUP(tables_settle_516100!C274,input_settle_516100!A:H,8,FALSE))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input_settle_516100!A$2</f>
        <v>516100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IFERROR(VLOOKUP(B275,input_settle_516100!L:R,7,FALSE),VLOOKUP(tables_settle_516100!C275,input_settle_516100!A:H,8,FALSE))</f>
        <v>142500</v>
      </c>
      <c r="P275" s="46">
        <f t="shared" ca="1" si="13"/>
        <v>1.0869565217381349E-3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input_settle_516100!A$2</f>
        <v>516100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IFERROR(VLOOKUP(B276,input_settle_516100!L:R,7,FALSE),VLOOKUP(tables_settle_516100!C276,input_settle_516100!A:H,8,FALSE))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input_settle_516100!A$2</f>
        <v>516100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IFERROR(VLOOKUP(B277,input_settle_516100!L:R,7,FALSE),VLOOKUP(tables_settle_516100!C277,input_settle_516100!A:H,8,FALSE))</f>
        <v>142500</v>
      </c>
      <c r="P277" s="46">
        <f t="shared" ca="1" si="13"/>
        <v>1.0869565217381349E-3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input_settle_516100!A$2</f>
        <v>516100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IFERROR(VLOOKUP(B278,input_settle_516100!L:R,7,FALSE),VLOOKUP(tables_settle_516100!C278,input_settle_516100!A:H,8,FALSE))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input_settle_516100!A$2</f>
        <v>516100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IFERROR(VLOOKUP(B279,input_settle_516100!L:R,7,FALSE),VLOOKUP(tables_settle_516100!C279,input_settle_516100!A:H,8,FALSE))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input_settle_516100!A$2</f>
        <v>516100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IFERROR(VLOOKUP(B280,input_settle_516100!L:R,7,FALSE),VLOOKUP(tables_settle_516100!C280,input_settle_516100!A:H,8,FALSE))</f>
        <v>1602657.6923100001</v>
      </c>
      <c r="P280" s="46">
        <f t="shared" ca="1" si="13"/>
        <v>1.2224696356281711E-2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input_settle_516100!A$2</f>
        <v>516100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IFERROR(VLOOKUP(B281,input_settle_516100!L:R,7,FALSE),VLOOKUP(tables_settle_516100!C281,input_settle_516100!A:H,8,FALSE))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input_settle_516100!A$2</f>
        <v>516100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IFERROR(VLOOKUP(B282,input_settle_516100!L:R,7,FALSE),VLOOKUP(tables_settle_516100!C282,input_settle_516100!A:H,8,FALSE))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input_settle_516100!A$2</f>
        <v>516100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IFERROR(VLOOKUP(B283,input_settle_516100!L:R,7,FALSE),VLOOKUP(tables_settle_516100!C283,input_settle_516100!A:H,8,FALSE))</f>
        <v>1602657.6923100001</v>
      </c>
      <c r="P283" s="46">
        <f t="shared" ca="1" si="13"/>
        <v>1.2224696356281711E-2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input_settle_516100!A$2</f>
        <v>516100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IFERROR(VLOOKUP(B284,input_settle_516100!L:R,7,FALSE),VLOOKUP(tables_settle_516100!C284,input_settle_516100!A:H,8,FALSE))</f>
        <v>142500</v>
      </c>
      <c r="P284" s="46">
        <f t="shared" ca="1" si="13"/>
        <v>1.0869565217381349E-3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input_settle_516100!A$2</f>
        <v>516100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IFERROR(VLOOKUP(B285,input_settle_516100!L:R,7,FALSE),VLOOKUP(tables_settle_516100!C285,input_settle_516100!A:H,8,FALSE))</f>
        <v>142500</v>
      </c>
      <c r="P285" s="46">
        <f t="shared" ca="1" si="13"/>
        <v>1.0869565217381349E-3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input_settle_516100!A$2</f>
        <v>516100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IFERROR(VLOOKUP(B286,input_settle_516100!L:R,7,FALSE),VLOOKUP(tables_settle_516100!C286,input_settle_516100!A:H,8,FALSE))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input_settle_516100!A$2</f>
        <v>516100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IFERROR(VLOOKUP(B287,input_settle_516100!L:R,7,FALSE),VLOOKUP(tables_settle_516100!C287,input_settle_516100!A:H,8,FALSE))</f>
        <v>1262700</v>
      </c>
      <c r="P287" s="46">
        <f t="shared" ca="1" si="13"/>
        <v>9.6315789473596005E-3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input_settle_516100!A$2</f>
        <v>516100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IFERROR(VLOOKUP(B288,input_settle_516100!L:R,7,FALSE),VLOOKUP(tables_settle_516100!C288,input_settle_516100!A:H,8,FALSE))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input_settle_516100!A$2</f>
        <v>516100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IFERROR(VLOOKUP(B289,input_settle_516100!L:R,7,FALSE),VLOOKUP(tables_settle_516100!C289,input_settle_516100!A:H,8,FALSE))</f>
        <v>1262700</v>
      </c>
      <c r="P289" s="46">
        <f t="shared" ca="1" si="13"/>
        <v>9.6315789473596005E-3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input_settle_516100!A$2</f>
        <v>516100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IFERROR(VLOOKUP(B290,input_settle_516100!L:R,7,FALSE),VLOOKUP(tables_settle_516100!C290,input_settle_516100!A:H,8,FALSE))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input_settle_516100!A$2</f>
        <v>516100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IFERROR(VLOOKUP(B291,input_settle_516100!L:R,7,FALSE),VLOOKUP(tables_settle_516100!C291,input_settle_516100!A:H,8,FALSE))</f>
        <v>1262700</v>
      </c>
      <c r="P291" s="46">
        <f t="shared" ca="1" si="13"/>
        <v>9.6315789473596005E-3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input_settle_516100!A$2</f>
        <v>516100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IFERROR(VLOOKUP(B292,input_settle_516100!L:R,7,FALSE),VLOOKUP(tables_settle_516100!C292,input_settle_516100!A:H,8,FALSE))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input_settle_516100!A$2</f>
        <v>516100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IFERROR(VLOOKUP(B293,input_settle_516100!L:R,7,FALSE),VLOOKUP(tables_settle_516100!C293,input_settle_516100!A:H,8,FALSE))</f>
        <v>1262700</v>
      </c>
      <c r="P293" s="46">
        <f t="shared" ca="1" si="13"/>
        <v>9.6315789473596005E-3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input_settle_516100!A$2</f>
        <v>516100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IFERROR(VLOOKUP(B294,input_settle_516100!L:R,7,FALSE),VLOOKUP(tables_settle_516100!C294,input_settle_516100!A:H,8,FALSE))</f>
        <v>142500</v>
      </c>
      <c r="P294" s="46">
        <f t="shared" ca="1" si="13"/>
        <v>1.0869565217381349E-3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input_settle_516100!A$2</f>
        <v>516100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IFERROR(VLOOKUP(B295,input_settle_516100!L:R,7,FALSE),VLOOKUP(tables_settle_516100!C295,input_settle_516100!A:H,8,FALSE))</f>
        <v>142500</v>
      </c>
      <c r="P295" s="46">
        <f t="shared" ca="1" si="13"/>
        <v>1.0869565217381349E-3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input_settle_516100!A$2</f>
        <v>516100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IFERROR(VLOOKUP(B296,input_settle_516100!L:R,7,FALSE),VLOOKUP(tables_settle_516100!C296,input_settle_516100!A:H,8,FALSE))</f>
        <v>142500</v>
      </c>
      <c r="P296" s="46">
        <f t="shared" ca="1" si="13"/>
        <v>1.0869565217381349E-3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input_settle_516100!A$2</f>
        <v>516100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IFERROR(VLOOKUP(B297,input_settle_516100!L:R,7,FALSE),VLOOKUP(tables_settle_516100!C297,input_settle_516100!A:H,8,FALSE))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input_settle_516100!A$2</f>
        <v>516100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IFERROR(VLOOKUP(B298,input_settle_516100!L:R,7,FALSE),VLOOKUP(tables_settle_516100!C298,input_settle_516100!A:H,8,FALSE))</f>
        <v>1262700</v>
      </c>
      <c r="P298" s="46">
        <f t="shared" ca="1" si="13"/>
        <v>9.6315789473596005E-3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input_settle_516100!A$2</f>
        <v>516100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IFERROR(VLOOKUP(B299,input_settle_516100!L:R,7,FALSE),VLOOKUP(tables_settle_516100!C299,input_settle_516100!A:H,8,FALSE))</f>
        <v>142500</v>
      </c>
      <c r="P299" s="46">
        <f t="shared" ca="1" si="13"/>
        <v>1.0869565217381349E-3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input_settle_516100!A$2</f>
        <v>516100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IFERROR(VLOOKUP(B300,input_settle_516100!L:R,7,FALSE),VLOOKUP(tables_settle_516100!C300,input_settle_516100!A:H,8,FALSE))</f>
        <v>142500</v>
      </c>
      <c r="P300" s="46">
        <f t="shared" ca="1" si="13"/>
        <v>1.0869565217381349E-3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input_settle_516100!A$2</f>
        <v>516100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IFERROR(VLOOKUP(B301,input_settle_516100!L:R,7,FALSE),VLOOKUP(tables_settle_516100!C301,input_settle_516100!A:H,8,FALSE))</f>
        <v>142500</v>
      </c>
      <c r="P301" s="46">
        <f t="shared" ca="1" si="13"/>
        <v>1.0869565217381349E-3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input_settle_516100!A$2</f>
        <v>516100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IFERROR(VLOOKUP(B302,input_settle_516100!L:R,7,FALSE),VLOOKUP(tables_settle_516100!C302,input_settle_516100!A:H,8,FALSE))</f>
        <v>142500</v>
      </c>
      <c r="P302" s="46">
        <f t="shared" ca="1" si="13"/>
        <v>1.0869565217381349E-3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input_settle_516100!A$2</f>
        <v>516100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IFERROR(VLOOKUP(B303,input_settle_516100!L:R,7,FALSE),VLOOKUP(tables_settle_516100!C303,input_settle_516100!A:H,8,FALSE))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input_settle_516100!A$2</f>
        <v>516100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IFERROR(VLOOKUP(B304,input_settle_516100!L:R,7,FALSE),VLOOKUP(tables_settle_516100!C304,input_settle_516100!A:H,8,FALSE))</f>
        <v>1262700</v>
      </c>
      <c r="P304" s="46">
        <f t="shared" ca="1" si="13"/>
        <v>9.6315789473596005E-3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input_settle_516100!A$2</f>
        <v>516100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IFERROR(VLOOKUP(B305,input_settle_516100!L:R,7,FALSE),VLOOKUP(tables_settle_516100!C305,input_settle_516100!A:H,8,FALSE))</f>
        <v>142500</v>
      </c>
      <c r="P305" s="46">
        <f t="shared" ca="1" si="13"/>
        <v>1.0869565217381349E-3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input_settle_516100!A$2</f>
        <v>516100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IFERROR(VLOOKUP(B306,input_settle_516100!L:R,7,FALSE),VLOOKUP(tables_settle_516100!C306,input_settle_516100!A:H,8,FALSE))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input_settle_516100!A$2</f>
        <v>516100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IFERROR(VLOOKUP(B307,input_settle_516100!L:R,7,FALSE),VLOOKUP(tables_settle_516100!C307,input_settle_516100!A:H,8,FALSE))</f>
        <v>1262700</v>
      </c>
      <c r="P307" s="46">
        <f t="shared" ca="1" si="13"/>
        <v>9.6315789473596005E-3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input_settle_516100!A$2</f>
        <v>516100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IFERROR(VLOOKUP(B308,input_settle_516100!L:R,7,FALSE),VLOOKUP(tables_settle_516100!C308,input_settle_516100!A:H,8,FALSE))</f>
        <v>142500</v>
      </c>
      <c r="P308" s="46">
        <f t="shared" ca="1" si="13"/>
        <v>1.0869565217381349E-3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input_settle_516100!A$2</f>
        <v>516100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IFERROR(VLOOKUP(B309,input_settle_516100!L:R,7,FALSE),VLOOKUP(tables_settle_516100!C309,input_settle_516100!A:H,8,FALSE))</f>
        <v>142500</v>
      </c>
      <c r="P309" s="46">
        <f t="shared" ca="1" si="13"/>
        <v>1.0869565217381349E-3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input_settle_516100!A$2</f>
        <v>516100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IFERROR(VLOOKUP(B310,input_settle_516100!L:R,7,FALSE),VLOOKUP(tables_settle_516100!C310,input_settle_516100!A:H,8,FALSE))</f>
        <v>142500</v>
      </c>
      <c r="P310" s="46">
        <f t="shared" ca="1" si="13"/>
        <v>1.0869565217381349E-3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input_settle_516100!A$2</f>
        <v>516100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IFERROR(VLOOKUP(B311,input_settle_516100!L:R,7,FALSE),VLOOKUP(tables_settle_516100!C311,input_settle_516100!A:H,8,FALSE))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input_settle_516100!A$2</f>
        <v>516100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IFERROR(VLOOKUP(B312,input_settle_516100!L:R,7,FALSE),VLOOKUP(tables_settle_516100!C312,input_settle_516100!A:H,8,FALSE))</f>
        <v>1262700</v>
      </c>
      <c r="P312" s="46">
        <f t="shared" ca="1" si="13"/>
        <v>9.6315789473596005E-3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input_settle_516100!A$2</f>
        <v>516100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IFERROR(VLOOKUP(B313,input_settle_516100!L:R,7,FALSE),VLOOKUP(tables_settle_516100!C313,input_settle_516100!A:H,8,FALSE))</f>
        <v>142500</v>
      </c>
      <c r="P313" s="46">
        <f t="shared" ca="1" si="13"/>
        <v>1.0869565217381349E-3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input_settle_516100!A$2</f>
        <v>516100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IFERROR(VLOOKUP(B314,input_settle_516100!L:R,7,FALSE),VLOOKUP(tables_settle_516100!C314,input_settle_516100!A:H,8,FALSE))</f>
        <v>142500</v>
      </c>
      <c r="P314" s="46">
        <f t="shared" ca="1" si="13"/>
        <v>1.0869565217381349E-3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input_settle_516100!A$2</f>
        <v>516100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IFERROR(VLOOKUP(B315,input_settle_516100!L:R,7,FALSE),VLOOKUP(tables_settle_516100!C315,input_settle_516100!A:H,8,FALSE))</f>
        <v>142500</v>
      </c>
      <c r="P315" s="46">
        <f t="shared" ca="1" si="13"/>
        <v>1.0869565217381349E-3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input_settle_516100!A$2</f>
        <v>516100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IFERROR(VLOOKUP(B316,input_settle_516100!L:R,7,FALSE),VLOOKUP(tables_settle_516100!C316,input_settle_516100!A:H,8,FALSE))</f>
        <v>142500</v>
      </c>
      <c r="P316" s="46">
        <f t="shared" ca="1" si="13"/>
        <v>1.0869565217381349E-3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input_settle_516100!A$2</f>
        <v>516100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IFERROR(VLOOKUP(B317,input_settle_516100!L:R,7,FALSE),VLOOKUP(tables_settle_516100!C317,input_settle_516100!A:H,8,FALSE))</f>
        <v>142500</v>
      </c>
      <c r="P317" s="46">
        <f t="shared" ca="1" si="13"/>
        <v>1.0869565217381349E-3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input_settle_516100!A$2</f>
        <v>516100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IFERROR(VLOOKUP(B318,input_settle_516100!L:R,7,FALSE),VLOOKUP(tables_settle_516100!C318,input_settle_516100!A:H,8,FALSE))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input_settle_516100!A$2</f>
        <v>516100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IFERROR(VLOOKUP(B319,input_settle_516100!L:R,7,FALSE),VLOOKUP(tables_settle_516100!C319,input_settle_516100!A:H,8,FALSE))</f>
        <v>1262700</v>
      </c>
      <c r="P319" s="46">
        <f t="shared" ca="1" si="13"/>
        <v>9.6315789473596005E-3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input_settle_516100!A$2</f>
        <v>516100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IFERROR(VLOOKUP(B320,input_settle_516100!L:R,7,FALSE),VLOOKUP(tables_settle_516100!C320,input_settle_516100!A:H,8,FALSE))</f>
        <v>142500</v>
      </c>
      <c r="P320" s="46">
        <f t="shared" ca="1" si="13"/>
        <v>1.0869565217381349E-3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input_settle_516100!A$2</f>
        <v>516100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IFERROR(VLOOKUP(B321,input_settle_516100!L:R,7,FALSE),VLOOKUP(tables_settle_516100!C321,input_settle_516100!A:H,8,FALSE))</f>
        <v>142500</v>
      </c>
      <c r="P321" s="46">
        <f t="shared" ca="1" si="13"/>
        <v>1.0869565217381349E-3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input_settle_516100!A$2</f>
        <v>516100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IFERROR(VLOOKUP(B322,input_settle_516100!L:R,7,FALSE),VLOOKUP(tables_settle_516100!C322,input_settle_516100!A:H,8,FALSE))</f>
        <v>142500</v>
      </c>
      <c r="P322" s="46">
        <f t="shared" ref="P322:P330" ca="1" si="23">O322/SUM(O:O)</f>
        <v>1.0869565217381349E-3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input_settle_516100!A$2</f>
        <v>516100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IFERROR(VLOOKUP(B323,input_settle_516100!L:R,7,FALSE),VLOOKUP(tables_settle_516100!C323,input_settle_516100!A:H,8,FALSE))</f>
        <v>142500</v>
      </c>
      <c r="P323" s="46">
        <f t="shared" ca="1" si="23"/>
        <v>1.0869565217381349E-3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input_settle_516100!A$2</f>
        <v>516100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IFERROR(VLOOKUP(B324,input_settle_516100!L:R,7,FALSE),VLOOKUP(tables_settle_516100!C324,input_settle_516100!A:H,8,FALSE))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input_settle_516100!A$2</f>
        <v>516100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IFERROR(VLOOKUP(B325,input_settle_516100!L:R,7,FALSE),VLOOKUP(tables_settle_516100!C325,input_settle_516100!A:H,8,FALSE))</f>
        <v>1262700</v>
      </c>
      <c r="P325" s="46">
        <f t="shared" ca="1" si="23"/>
        <v>9.6315789473596005E-3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input_settle_516100!A$2</f>
        <v>516100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IFERROR(VLOOKUP(B326,input_settle_516100!L:R,7,FALSE),VLOOKUP(tables_settle_516100!C326,input_settle_516100!A:H,8,FALSE))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input_settle_516100!A$2</f>
        <v>516100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IFERROR(VLOOKUP(B327,input_settle_516100!L:R,7,FALSE),VLOOKUP(tables_settle_516100!C327,input_settle_516100!A:H,8,FALSE))</f>
        <v>1262700</v>
      </c>
      <c r="P327" s="46">
        <f t="shared" ca="1" si="23"/>
        <v>9.6315789473596005E-3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input_settle_516100!A$2</f>
        <v>516100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IFERROR(VLOOKUP(B328,input_settle_516100!L:R,7,FALSE),VLOOKUP(tables_settle_516100!C328,input_settle_516100!A:H,8,FALSE))</f>
        <v>142500</v>
      </c>
      <c r="P328" s="46">
        <f t="shared" ca="1" si="23"/>
        <v>1.0869565217381349E-3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input_settle_516100!A$2</f>
        <v>516100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IFERROR(VLOOKUP(B329,input_settle_516100!L:R,7,FALSE),VLOOKUP(tables_settle_516100!C329,input_settle_516100!A:H,8,FALSE))</f>
        <v>142500</v>
      </c>
      <c r="P329" s="46">
        <f t="shared" ca="1" si="23"/>
        <v>1.0869565217381349E-3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input_settle_516100!A$2</f>
        <v>516100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IFERROR(VLOOKUP(B330,input_settle_516100!L:R,7,FALSE),VLOOKUP(tables_settle_516100!C330,input_settle_516100!A:H,8,FALSE))</f>
        <v>142500</v>
      </c>
      <c r="P330" s="46">
        <f t="shared" ca="1" si="23"/>
        <v>1.0869565217381349E-3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input_settle_516100!A$2</f>
        <v>516100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IFERROR(VLOOKUP(B331,input_settle_516100!L:R,7,FALSE),VLOOKUP(tables_settle_516100!C331,input_settle_516100!A:H,8,FALSE))</f>
        <v>142500</v>
      </c>
      <c r="P331" s="46">
        <f t="shared" ref="P331:P335" ca="1" si="28">O331/SUM(O:O)</f>
        <v>1.0869565217381349E-3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input_settle_516100!A$2</f>
        <v>516100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IFERROR(VLOOKUP(B332,input_settle_516100!L:R,7,FALSE),VLOOKUP(tables_settle_516100!C332,input_settle_516100!A:H,8,FALSE))</f>
        <v>142500</v>
      </c>
      <c r="P332" s="46">
        <f t="shared" ca="1" si="28"/>
        <v>1.0869565217381349E-3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input_settle_516100!A$2</f>
        <v>516100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IFERROR(VLOOKUP(B333,input_settle_516100!L:R,7,FALSE),VLOOKUP(tables_settle_516100!C333,input_settle_516100!A:H,8,FALSE))</f>
        <v>142500</v>
      </c>
      <c r="P333" s="46">
        <f t="shared" ca="1" si="28"/>
        <v>1.0869565217381349E-3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input_settle_516100!A$2</f>
        <v>516100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IFERROR(VLOOKUP(B334,input_settle_516100!L:R,7,FALSE),VLOOKUP(tables_settle_516100!C334,input_settle_516100!A:H,8,FALSE))</f>
        <v>0</v>
      </c>
      <c r="P334" s="46">
        <f t="shared" ca="1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input_settle_516100!A$2</f>
        <v>516100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IFERROR(VLOOKUP(B335,input_settle_516100!L:R,7,FALSE),VLOOKUP(tables_settle_516100!C335,input_settle_516100!A:H,8,FALSE))</f>
        <v>1262700</v>
      </c>
      <c r="P335" s="46">
        <f t="shared" ca="1" si="28"/>
        <v>9.6315789473596005E-3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input_settle_516100!A$2</f>
        <v>516100</v>
      </c>
      <c r="B336" s="2">
        <v>1224</v>
      </c>
      <c r="C336" s="7" t="str">
        <f t="shared" ref="C336:C340" si="29">D336&amp;J336&amp;E336&amp;F336&amp;G336</f>
        <v>Premium4R3less</v>
      </c>
      <c r="D336" s="96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IFERROR(VLOOKUP(B336,input_settle_516100!L:R,7,FALSE),VLOOKUP(tables_settle_516100!C336,input_settle_516100!A:H,8,FALSE))</f>
        <v>0</v>
      </c>
      <c r="P336" s="46">
        <f t="shared" ref="P336:P340" ca="1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input_settle_516100!A$2</f>
        <v>516100</v>
      </c>
      <c r="B337" s="2">
        <v>1225</v>
      </c>
      <c r="C337" s="7" t="str">
        <f t="shared" si="29"/>
        <v>Premium5R3less</v>
      </c>
      <c r="D337" s="96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IFERROR(VLOOKUP(B337,input_settle_516100!L:R,7,FALSE),VLOOKUP(tables_settle_516100!C337,input_settle_516100!A:H,8,FALSE))</f>
        <v>1262700</v>
      </c>
      <c r="P337" s="46">
        <f t="shared" ca="1" si="31"/>
        <v>9.6315789473596005E-3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input_settle_516100!A$2</f>
        <v>516100</v>
      </c>
      <c r="B338" s="2">
        <v>1226</v>
      </c>
      <c r="C338" s="7" t="str">
        <f t="shared" si="29"/>
        <v>PremiumSS5R5only</v>
      </c>
      <c r="D338" s="96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IFERROR(VLOOKUP(B338,input_settle_516100!L:R,7,FALSE),VLOOKUP(tables_settle_516100!C338,input_settle_516100!A:H,8,FALSE))</f>
        <v>142500</v>
      </c>
      <c r="P338" s="46">
        <f t="shared" ca="1" si="31"/>
        <v>1.0869565217381349E-3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input_settle_516100!A$2</f>
        <v>516100</v>
      </c>
      <c r="B339" s="2">
        <v>1228</v>
      </c>
      <c r="C339" s="7" t="str">
        <f t="shared" si="29"/>
        <v>PremiumSS5R5only</v>
      </c>
      <c r="D339" s="96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IFERROR(VLOOKUP(B339,input_settle_516100!L:R,7,FALSE),VLOOKUP(tables_settle_516100!C339,input_settle_516100!A:H,8,FALSE))</f>
        <v>142500</v>
      </c>
      <c r="P339" s="46">
        <f t="shared" ca="1" si="31"/>
        <v>1.0869565217381349E-3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input_settle_516100!A$2</f>
        <v>516100</v>
      </c>
      <c r="B340" s="2">
        <v>1230</v>
      </c>
      <c r="C340" s="7" t="str">
        <f t="shared" si="29"/>
        <v>PremiumSS5R5only</v>
      </c>
      <c r="D340" s="96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IFERROR(VLOOKUP(B340,input_settle_516100!L:R,7,FALSE),VLOOKUP(tables_settle_516100!C340,input_settle_516100!A:H,8,FALSE))</f>
        <v>142500</v>
      </c>
      <c r="P340" s="46">
        <f t="shared" ca="1" si="31"/>
        <v>1.0869565217381349E-3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input_settle_516100!A$2</f>
        <v>516100</v>
      </c>
      <c r="B341" s="1">
        <v>1250</v>
      </c>
      <c r="C341" s="7" t="str">
        <f t="shared" ref="C341" si="32">D341&amp;J341&amp;E341&amp;F341&amp;G341</f>
        <v>PremiumSS5R5only</v>
      </c>
      <c r="D341" s="96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IFERROR(VLOOKUP(B341,input_settle_516100!L:R,7,FALSE),VLOOKUP(tables_settle_516100!C341,input_settle_516100!A:H,8,FALSE))</f>
        <v>142500</v>
      </c>
      <c r="P341" s="46">
        <f t="shared" ref="P341" ca="1" si="34">O341/SUM(O:O)</f>
        <v>1.0869565217381349E-3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input_settle_516100!A$2</f>
        <v>516100</v>
      </c>
      <c r="B342" s="1">
        <v>1248</v>
      </c>
      <c r="C342" s="7" t="str">
        <f t="shared" ref="C342:C345" si="35">D342&amp;J342&amp;E342&amp;F342&amp;G342</f>
        <v>Premium4R3less</v>
      </c>
      <c r="D342" s="96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IFERROR(VLOOKUP(B342,input_settle_516100!L:R,7,FALSE),VLOOKUP(tables_settle_516100!C342,input_settle_516100!A:H,8,FALSE))</f>
        <v>0</v>
      </c>
      <c r="P342" s="46">
        <f t="shared" ref="P342:P345" ca="1" si="37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input_settle_516100!A$2</f>
        <v>516100</v>
      </c>
      <c r="B343" s="1">
        <v>1249</v>
      </c>
      <c r="C343" s="7" t="str">
        <f t="shared" si="35"/>
        <v>Premium5R3less</v>
      </c>
      <c r="D343" s="96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IFERROR(VLOOKUP(B343,input_settle_516100!L:R,7,FALSE),VLOOKUP(tables_settle_516100!C343,input_settle_516100!A:H,8,FALSE))</f>
        <v>1262700</v>
      </c>
      <c r="P343" s="46">
        <f t="shared" ca="1" si="37"/>
        <v>9.6315789473596005E-3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input_settle_516100!A$2</f>
        <v>516100</v>
      </c>
      <c r="B344" s="1">
        <v>1246</v>
      </c>
      <c r="C344" s="7" t="str">
        <f t="shared" si="35"/>
        <v>PremiumSS5R5only</v>
      </c>
      <c r="D344" s="96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IFERROR(VLOOKUP(B344,input_settle_516100!L:R,7,FALSE),VLOOKUP(tables_settle_516100!C344,input_settle_516100!A:H,8,FALSE))</f>
        <v>142500</v>
      </c>
      <c r="P344" s="46">
        <f t="shared" ca="1" si="37"/>
        <v>1.0869565217381349E-3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input_settle_516100!A$2</f>
        <v>516100</v>
      </c>
      <c r="B345" s="1">
        <v>1244</v>
      </c>
      <c r="C345" s="7" t="str">
        <f t="shared" si="35"/>
        <v>PremiumSS5R5only</v>
      </c>
      <c r="D345" s="96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IFERROR(VLOOKUP(B345,input_settle_516100!L:R,7,FALSE),VLOOKUP(tables_settle_516100!C345,input_settle_516100!A:H,8,FALSE))</f>
        <v>142500</v>
      </c>
      <c r="P345" s="46">
        <f t="shared" ca="1" si="37"/>
        <v>1.0869565217381349E-3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input_settle_516100!A$2</f>
        <v>516100</v>
      </c>
      <c r="B346" s="1">
        <v>1260</v>
      </c>
      <c r="C346" s="7" t="str">
        <f t="shared" ref="C346:C349" si="38">D346&amp;J346&amp;E346&amp;F346&amp;G346</f>
        <v>PremiumSS5R5only</v>
      </c>
      <c r="D346" s="96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IFERROR(VLOOKUP(B346,input_settle_516100!L:R,7,FALSE),VLOOKUP(tables_settle_516100!C346,input_settle_516100!A:H,8,FALSE))</f>
        <v>142500</v>
      </c>
      <c r="P346" s="46">
        <f t="shared" ref="P346:P349" ca="1" si="40">O346/SUM(O:O)</f>
        <v>1.0869565217381349E-3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input_settle_516100!A$2</f>
        <v>516100</v>
      </c>
      <c r="B347" s="1">
        <v>1262</v>
      </c>
      <c r="C347" s="7" t="str">
        <f t="shared" si="38"/>
        <v>PremiumSS5R5only</v>
      </c>
      <c r="D347" s="96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IFERROR(VLOOKUP(B347,input_settle_516100!L:R,7,FALSE),VLOOKUP(tables_settle_516100!C347,input_settle_516100!A:H,8,FALSE))</f>
        <v>142500</v>
      </c>
      <c r="P347" s="46">
        <f t="shared" ca="1" si="40"/>
        <v>1.0869565217381349E-3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input_settle_516100!A$2</f>
        <v>516100</v>
      </c>
      <c r="B348" s="1">
        <v>1264</v>
      </c>
      <c r="C348" s="7" t="str">
        <f t="shared" si="38"/>
        <v>PremiumSS5R5only</v>
      </c>
      <c r="D348" s="96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IFERROR(VLOOKUP(B348,input_settle_516100!L:R,7,FALSE),VLOOKUP(tables_settle_516100!C348,input_settle_516100!A:H,8,FALSE))</f>
        <v>142500</v>
      </c>
      <c r="P348" s="46">
        <f t="shared" ca="1" si="40"/>
        <v>1.0869565217381349E-3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input_settle_516100!A$2</f>
        <v>516100</v>
      </c>
      <c r="B349" s="1">
        <v>1266</v>
      </c>
      <c r="C349" s="7" t="str">
        <f t="shared" si="38"/>
        <v>Premium4R3less</v>
      </c>
      <c r="D349" s="96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IFERROR(VLOOKUP(B349,input_settle_516100!L:R,7,FALSE),VLOOKUP(tables_settle_516100!C349,input_settle_516100!A:H,8,FALSE))</f>
        <v>0</v>
      </c>
      <c r="P349" s="46">
        <f t="shared" ca="1" si="4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input_settle_516100!A$2</f>
        <v>516100</v>
      </c>
      <c r="B350" s="1">
        <v>1267</v>
      </c>
      <c r="C350" s="7" t="str">
        <f t="shared" ref="C350" si="41">D350&amp;J350&amp;E350&amp;F350&amp;G350</f>
        <v>Premium5R3less</v>
      </c>
      <c r="D350" s="96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IFERROR(VLOOKUP(B350,input_settle_516100!L:R,7,FALSE),VLOOKUP(tables_settle_516100!C350,input_settle_516100!A:H,8,FALSE))</f>
        <v>1262700</v>
      </c>
      <c r="P350" s="46">
        <f t="shared" ref="P350" ca="1" si="43">O350/SUM(O:O)</f>
        <v>9.6315789473596005E-3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input_settle_516100!A$2</f>
        <v>516100</v>
      </c>
      <c r="B351" s="1">
        <v>378</v>
      </c>
      <c r="C351" s="7" t="str">
        <f t="shared" ref="C351:C353" si="44">D351&amp;J351&amp;E351&amp;F351&amp;G351</f>
        <v>PremiumSSS4R3less</v>
      </c>
      <c r="D351" s="96" t="str">
        <f t="shared" ref="D351:D353" si="45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オイラー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IFERROR(VLOOKUP(B351,input_settle_516100!L:R,7,FALSE),VLOOKUP(tables_settle_516100!C351,input_settle_516100!A:H,8,FALSE))</f>
        <v>0</v>
      </c>
      <c r="P351" s="46">
        <f t="shared" ref="P351:P353" ca="1" si="46">O351/SUM(O:O)</f>
        <v>0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input_settle_516100!A$2</f>
        <v>516100</v>
      </c>
      <c r="B352" s="1">
        <v>379</v>
      </c>
      <c r="C352" s="7" t="str">
        <f t="shared" si="44"/>
        <v>PremiumSSS5R3less</v>
      </c>
      <c r="D352" s="96" t="str">
        <f t="shared" si="45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幾何の機刃 オイラー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balance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IFERROR(VLOOKUP(B352,input_settle_516100!L:R,7,FALSE),VLOOKUP(tables_settle_516100!C352,input_settle_516100!A:H,8,FALSE))</f>
        <v>655500</v>
      </c>
      <c r="P352" s="46">
        <f t="shared" ca="1" si="46"/>
        <v>4.9999999999954213E-3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input_settle_516100!A$2</f>
        <v>516100</v>
      </c>
      <c r="B353" s="1">
        <v>1090</v>
      </c>
      <c r="C353" s="7" t="str">
        <f t="shared" si="44"/>
        <v>PremiumSSS5R3less</v>
      </c>
      <c r="D353" s="96" t="str">
        <f t="shared" si="45"/>
        <v>PremiumSSS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ラプラス</v>
      </c>
      <c r="I353" s="7" t="str">
        <f>VLOOKUP(B353,[1]characters!$A:$J,10,FALSE)</f>
        <v>PremiumSSS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academia</v>
      </c>
      <c r="N353" s="7" t="str">
        <f>VLOOKUP(B353,[1]characters!$A:$G,7,FALSE)</f>
        <v>不明</v>
      </c>
      <c r="O353" s="45">
        <f>IFERROR(VLOOKUP(B353,input_settle_516100!L:R,7,FALSE),VLOOKUP(tables_settle_516100!C353,input_settle_516100!A:H,8,FALSE))</f>
        <v>655500</v>
      </c>
      <c r="P353" s="46">
        <f t="shared" ca="1" si="46"/>
        <v>4.9999999999954213E-3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3" sqref="N3:N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378</v>
      </c>
      <c r="M3" s="37" t="str">
        <f>VLOOKUP(L3,[1]characters!$A:$C,3,FALSE)</f>
        <v>オイラー</v>
      </c>
      <c r="N3" s="63">
        <f>0.005*B6</f>
        <v>4.5000000000000005E-3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VLOOKUP(L3,tables_516100!B:C,2,FALSE)</f>
        <v>PremiumSSS4R3less</v>
      </c>
      <c r="R3" s="62">
        <f t="shared" ref="R3:R20" si="1">N3*A$36</f>
        <v>589950.00000000012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379</v>
      </c>
      <c r="M4" s="37" t="str">
        <f>VLOOKUP(L4,[1]characters!$A:$C,3,FALSE)</f>
        <v>幾何の機刃 オイラー</v>
      </c>
      <c r="N4" s="63">
        <f>0.005*B7</f>
        <v>5.0000000000000001E-4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VLOOKUP(L4,tables_516100!B:C,2,FALSE)</f>
        <v>PremiumSSS5R3less</v>
      </c>
      <c r="R4" s="62">
        <f t="shared" si="1"/>
        <v>65550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1.0869565217391304E-3</v>
      </c>
      <c r="F5">
        <f>(COUNTIF(tables_516100!C:C,input_516100!A28)+COUNTIF(tables_516100!C:C,input_516100!A29))</f>
        <v>69</v>
      </c>
      <c r="H5" s="84">
        <v>0</v>
      </c>
      <c r="I5" s="31">
        <v>0</v>
      </c>
      <c r="L5" s="60">
        <v>1090</v>
      </c>
      <c r="M5" s="37" t="str">
        <f>VLOOKUP(L5,[1]characters!$A:$C,3,FALSE)</f>
        <v>ラプラス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VLOOKUP(L5,tables_516100!B:C,2,FALSE)</f>
        <v>PremiumSSS5R3less</v>
      </c>
      <c r="R5" s="62">
        <f t="shared" si="1"/>
        <v>655500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9.6315789473684216E-3</v>
      </c>
      <c r="F6">
        <f>(COUNTIF(tables_516100!C:C,input_516100!A25)+COUNTIF(tables_516100!C:C,input_516100!A18)+COUNTIF(tables_516100!C:C,input_516100!A20)+COUNTIF(tables_516100!C:C,input_516100!A22))</f>
        <v>95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253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COUNTIF(tables_516100!C:C,input_516100!A17)-COUNTIF(Q:Q,A17)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B6-SUM(B20,B22,B25,B27,B30,C30)</f>
        <v>0.22375606407322657</v>
      </c>
      <c r="C18" s="85">
        <f t="shared" si="2"/>
        <v>0</v>
      </c>
      <c r="D18" s="74">
        <f t="shared" si="3"/>
        <v>0.22375606407322657</v>
      </c>
      <c r="E18">
        <f>COUNTIF(tables_516100!C:C,input_516100!A18)-COUNTIF(Q:Q,A18)</f>
        <v>20</v>
      </c>
      <c r="F18" s="43">
        <f>IFERROR(B18/E18,0)</f>
        <v>1.1187803203661329E-2</v>
      </c>
      <c r="G18">
        <f t="shared" si="4"/>
        <v>29334420.000000004</v>
      </c>
      <c r="H18">
        <f t="shared" si="5"/>
        <v>1466721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COUNTIF(tables_516100!C:C,input_516100!A19)-COUNTIF(Q:Q,A19)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0.45075789473684219</v>
      </c>
      <c r="C20" s="85">
        <f t="shared" si="2"/>
        <v>0</v>
      </c>
      <c r="D20" s="74">
        <f t="shared" si="3"/>
        <v>0.45075789473684219</v>
      </c>
      <c r="E20">
        <f>COUNTIF(tables_516100!C:C,input_516100!A20)-COUNTIF(Q:Q,A20)</f>
        <v>52</v>
      </c>
      <c r="F20" s="43">
        <f t="shared" si="8"/>
        <v>8.6684210526315805E-3</v>
      </c>
      <c r="G20">
        <f t="shared" si="4"/>
        <v>59094360.000000015</v>
      </c>
      <c r="H20">
        <f t="shared" si="5"/>
        <v>1136430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1.8959725400457664E-2</v>
      </c>
      <c r="C21" s="85">
        <f t="shared" si="2"/>
        <v>0</v>
      </c>
      <c r="D21" s="74">
        <f t="shared" si="3"/>
        <v>1.8959725400457664E-2</v>
      </c>
      <c r="E21">
        <f>COUNTIF(tables_516100!C:C,input_516100!A21)-COUNTIF(Q:Q,A21)</f>
        <v>52</v>
      </c>
      <c r="F21" s="43">
        <f t="shared" si="8"/>
        <v>3.6461010385495509E-4</v>
      </c>
      <c r="G21">
        <f t="shared" si="4"/>
        <v>2485619.9999999995</v>
      </c>
      <c r="H21">
        <f t="shared" si="5"/>
        <v>47800.384619999997</v>
      </c>
      <c r="I21">
        <f t="shared" si="6"/>
        <v>0.38461999999708496</v>
      </c>
      <c r="J21">
        <f t="shared" si="7"/>
        <v>2.5999688003941008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0.15892105263157894</v>
      </c>
      <c r="C22" s="85">
        <f t="shared" si="2"/>
        <v>0</v>
      </c>
      <c r="D22" s="74">
        <f t="shared" si="3"/>
        <v>0.15892105263157894</v>
      </c>
      <c r="E22">
        <f>COUNTIF(tables_516100!C:C,input_516100!A22)-COUNTIF(Q:Q,A22)</f>
        <v>19</v>
      </c>
      <c r="F22" s="43">
        <f t="shared" si="8"/>
        <v>8.3642659279778379E-3</v>
      </c>
      <c r="G22">
        <f t="shared" si="4"/>
        <v>20834550</v>
      </c>
      <c r="H22">
        <f t="shared" si="5"/>
        <v>1096555.2631600001</v>
      </c>
      <c r="I22">
        <f t="shared" si="6"/>
        <v>0.26316000008955598</v>
      </c>
      <c r="J22">
        <f t="shared" si="7"/>
        <v>3.7999695989500304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2.4078947368421057E-2</v>
      </c>
      <c r="C23" s="85">
        <f t="shared" si="2"/>
        <v>0</v>
      </c>
      <c r="D23" s="74">
        <f t="shared" si="3"/>
        <v>2.4078947368421057E-2</v>
      </c>
      <c r="E23">
        <f>COUNTIF(tables_516100!C:C,input_516100!A23)-COUNTIF(Q:Q,A23)</f>
        <v>25</v>
      </c>
      <c r="F23" s="43">
        <f t="shared" si="8"/>
        <v>9.6315789473684231E-4</v>
      </c>
      <c r="G23">
        <f t="shared" si="4"/>
        <v>3156750.0000000005</v>
      </c>
      <c r="H23">
        <f t="shared" si="5"/>
        <v>126270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COUNTIF(tables_516100!C:C,input_516100!A24)-COUNTIF(Q:Q,A24)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3.4673684210526322E-2</v>
      </c>
      <c r="C25" s="85">
        <f t="shared" si="2"/>
        <v>0</v>
      </c>
      <c r="D25" s="74">
        <f t="shared" si="3"/>
        <v>3.4673684210526322E-2</v>
      </c>
      <c r="E25">
        <f>COUNTIF(tables_516100!C:C,input_516100!A25)-COUNTIF(Q:Q,A25)</f>
        <v>4</v>
      </c>
      <c r="F25" s="43">
        <f t="shared" si="8"/>
        <v>8.6684210526315805E-3</v>
      </c>
      <c r="G25">
        <f t="shared" si="4"/>
        <v>4545720.0000000009</v>
      </c>
      <c r="H25">
        <f t="shared" si="5"/>
        <v>1136430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3.8526315789473688E-3</v>
      </c>
      <c r="C26" s="85">
        <f t="shared" si="2"/>
        <v>0</v>
      </c>
      <c r="D26" s="74">
        <f t="shared" si="3"/>
        <v>3.8526315789473688E-3</v>
      </c>
      <c r="E26">
        <f>COUNTIF(tables_516100!C:C,input_516100!A26)-COUNTIF(Q:Q,A26)</f>
        <v>4</v>
      </c>
      <c r="F26" s="43">
        <f t="shared" si="8"/>
        <v>9.631578947368422E-4</v>
      </c>
      <c r="G26">
        <f t="shared" si="4"/>
        <v>505080.00000000006</v>
      </c>
      <c r="H26">
        <f t="shared" si="5"/>
        <v>126270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2.7391304347826089E-2</v>
      </c>
      <c r="C27" s="85">
        <f t="shared" si="2"/>
        <v>0</v>
      </c>
      <c r="D27" s="74">
        <f t="shared" si="3"/>
        <v>2.7391304347826089E-2</v>
      </c>
      <c r="E27">
        <f>COUNTIF(tables_516100!C:C,input_516100!A27)-COUNTIF(Q:Q,A27)</f>
        <v>28</v>
      </c>
      <c r="F27" s="43">
        <f>IFERROR(B27/E27,0)</f>
        <v>9.7826086956521747E-4</v>
      </c>
      <c r="G27">
        <f t="shared" si="4"/>
        <v>3591000.0000000005</v>
      </c>
      <c r="H27">
        <f t="shared" si="5"/>
        <v>128250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3.0434782608695656E-3</v>
      </c>
      <c r="C28" s="85">
        <f t="shared" si="2"/>
        <v>0</v>
      </c>
      <c r="D28" s="74">
        <f t="shared" si="3"/>
        <v>3.0434782608695656E-3</v>
      </c>
      <c r="E28">
        <f>COUNTIF(tables_516100!C:C,input_516100!A28)-COUNTIF(Q:Q,A28)</f>
        <v>28</v>
      </c>
      <c r="F28" s="43">
        <f t="shared" si="8"/>
        <v>1.0869565217391306E-4</v>
      </c>
      <c r="G28">
        <f t="shared" si="4"/>
        <v>399000.00000000006</v>
      </c>
      <c r="H28">
        <f t="shared" si="5"/>
        <v>14250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4.4565217391304347E-2</v>
      </c>
      <c r="C29" s="85">
        <f t="shared" si="2"/>
        <v>0</v>
      </c>
      <c r="D29" s="74">
        <f t="shared" si="3"/>
        <v>4.4565217391304347E-2</v>
      </c>
      <c r="E29">
        <f>COUNTIF(tables_516100!C:C,input_516100!A29)-COUNTIF(Q:Q,A29)</f>
        <v>41</v>
      </c>
      <c r="F29" s="43">
        <f t="shared" si="8"/>
        <v>1.0869565217391304E-3</v>
      </c>
      <c r="G29">
        <f t="shared" si="4"/>
        <v>5842500</v>
      </c>
      <c r="H29">
        <f t="shared" si="5"/>
        <v>142500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4.5000000000000005E-3</v>
      </c>
      <c r="D30" s="74">
        <f t="shared" si="3"/>
        <v>-4.5000000000000005E-3</v>
      </c>
      <c r="E30">
        <f>COUNTIF(tables_516100!C:C,input_516100!A30)-COUNTIF(Q:Q,A30)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5.4999999999999997E-3</v>
      </c>
      <c r="D31" s="74">
        <f t="shared" si="3"/>
        <v>-5.4999999999999997E-3</v>
      </c>
      <c r="E31">
        <f>COUNTIF(tables_516100!C:C,input_516100!A31)-COUNTIF(Q:Q,A31)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0.99000000000000021</v>
      </c>
      <c r="C32" s="41">
        <f>SUM(C19:C31)</f>
        <v>0.01</v>
      </c>
      <c r="D32" s="42">
        <f t="shared" si="3"/>
        <v>0.9800000000000002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SUMIF(tables_516100!C:C,input_516100!A40,tables_516100!O:O)</f>
        <v>0</v>
      </c>
      <c r="C40" s="54">
        <f t="shared" ref="C40:C46" ca="1" si="9">B40/B$47</f>
        <v>0</v>
      </c>
      <c r="E40">
        <v>3</v>
      </c>
      <c r="F40">
        <f ca="1">SUMIF(tables_516100!J:J,input_516100!E40,tables_516100!O:O)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SUMIF(tables_516100!C:C,input_516100!A41,tables_516100!O:O)</f>
        <v>59094360</v>
      </c>
      <c r="C41" s="54">
        <f t="shared" ca="1" si="9"/>
        <v>0.9012410862376915</v>
      </c>
      <c r="E41">
        <v>4</v>
      </c>
      <c r="F41">
        <f ca="1">SUMIF(tables_516100!J:J,input_516100!E41,tables_516100!O:O)</f>
        <v>117990000.0000401</v>
      </c>
      <c r="G41">
        <f ca="1">F41/A36</f>
        <v>0.90000000000030589</v>
      </c>
    </row>
    <row r="42" spans="1:7" x14ac:dyDescent="0.15">
      <c r="A42" s="33" t="s">
        <v>106</v>
      </c>
      <c r="B42">
        <f ca="1">SUMIF(tables_516100!C:C,input_516100!A42,tables_516100!O:O)</f>
        <v>3591000</v>
      </c>
      <c r="C42" s="54">
        <f t="shared" ca="1" si="9"/>
        <v>5.4765915743559115E-2</v>
      </c>
      <c r="E42">
        <v>5</v>
      </c>
      <c r="F42">
        <f ca="1">SUMIF(tables_516100!J:J,input_516100!E42,tables_516100!O:O)</f>
        <v>13110000.000240002</v>
      </c>
      <c r="G42">
        <f ca="1">F42/A36</f>
        <v>0.10000000000183068</v>
      </c>
    </row>
    <row r="43" spans="1:7" x14ac:dyDescent="0.15">
      <c r="A43" s="33" t="s">
        <v>109</v>
      </c>
      <c r="B43">
        <f>SUMIF(tables_516100!C:C,input_516100!A43,tables_516100!O:O)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SUMIF(tables_516100!C:C,input_516100!A44,tables_516100!O:O)</f>
        <v>2485620.0002399995</v>
      </c>
      <c r="C44" s="54">
        <f t="shared" ca="1" si="9"/>
        <v>3.7907896269465106E-2</v>
      </c>
      <c r="E44" t="s">
        <v>54</v>
      </c>
      <c r="F44" s="55"/>
    </row>
    <row r="45" spans="1:7" x14ac:dyDescent="0.15">
      <c r="A45" s="33" t="s">
        <v>107</v>
      </c>
      <c r="B45">
        <f ca="1">SUMIF(tables_516100!C:C,input_516100!A45,tables_516100!O:O)</f>
        <v>399000</v>
      </c>
      <c r="C45" s="54">
        <f t="shared" ca="1" si="9"/>
        <v>6.0851017492843463E-3</v>
      </c>
      <c r="E45" t="s">
        <v>204</v>
      </c>
      <c r="F45" s="55">
        <f ca="1">SUMIF(tables_516100!I:I,input_516100!E45,tables_516100!P:P)</f>
        <v>0.22953501144115726</v>
      </c>
    </row>
    <row r="46" spans="1:7" x14ac:dyDescent="0.15">
      <c r="A46" s="33" t="s">
        <v>108</v>
      </c>
      <c r="B46">
        <f>SUMIF(tables_516100!C:C,input_516100!A46,tables_516100!O:O)</f>
        <v>0</v>
      </c>
      <c r="C46" s="54">
        <f t="shared" ca="1" si="9"/>
        <v>0</v>
      </c>
      <c r="E46" t="s">
        <v>205</v>
      </c>
      <c r="F46" s="55">
        <f ca="1">SUMIF(tables_516100!I:I,input_516100!E46,tables_516100!P:P)</f>
        <v>0.18245626650258512</v>
      </c>
    </row>
    <row r="47" spans="1:7" x14ac:dyDescent="0.15">
      <c r="A47" s="39" t="s">
        <v>59</v>
      </c>
      <c r="B47">
        <f ca="1">SUM(B40:B46)</f>
        <v>65569980.000239998</v>
      </c>
      <c r="C47" s="55">
        <f ca="1">SUM(C40:C46)</f>
        <v>1.0000000000000002</v>
      </c>
      <c r="E47" t="s">
        <v>206</v>
      </c>
      <c r="F47" s="55">
        <f ca="1">SUMIF(tables_516100!I:I,input_516100!E47,tables_516100!P:P)</f>
        <v>0.50300872205643843</v>
      </c>
    </row>
    <row r="48" spans="1:7" x14ac:dyDescent="0.15">
      <c r="E48" t="s">
        <v>207</v>
      </c>
      <c r="F48" s="55">
        <f ca="1">SUMIF(tables_516100!I:I,input_516100!E48,tables_516100!P:P)</f>
        <v>6.630434782594527E-2</v>
      </c>
    </row>
    <row r="49" spans="5:6" x14ac:dyDescent="0.15">
      <c r="E49" t="s">
        <v>250</v>
      </c>
      <c r="F49" s="55">
        <f ca="1">SUMIF(tables_516100!I:I,input_516100!E49,tables_516100!P:P)</f>
        <v>8.6956521738944664E-3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3"/>
  <sheetViews>
    <sheetView showGridLines="0" zoomScale="75" zoomScaleNormal="75" zoomScalePageLayoutView="75" workbookViewId="0">
      <pane ySplit="1" topLeftCell="A331" activePane="bottomLeft" state="frozen"/>
      <selection activeCell="D34" sqref="D34"/>
      <selection pane="bottomLeft" activeCell="H353" sqref="H35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input_516100!A$2</f>
        <v>516100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IFERROR(VLOOKUP(B2,input_516100!L:R,7,FALSE),VLOOKUP(tables_516100!C2,input_516100!A:H,8,FALSE))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input_516100!A$2</f>
        <v>516100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IFERROR(VLOOKUP(B3,input_516100!L:R,7,FALSE),VLOOKUP(tables_516100!C3,input_516100!A:H,8,FALSE))</f>
        <v>1466721</v>
      </c>
      <c r="P3" s="46">
        <f t="shared" ca="1" si="1"/>
        <v>1.1187803203637426E-2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input_516100!A$2</f>
        <v>516100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IFERROR(VLOOKUP(B4,input_516100!L:R,7,FALSE),VLOOKUP(tables_516100!C4,input_516100!A:H,8,FALSE))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input_516100!A$2</f>
        <v>516100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IFERROR(VLOOKUP(B5,input_516100!L:R,7,FALSE),VLOOKUP(tables_516100!C5,input_516100!A:H,8,FALSE))</f>
        <v>1466721</v>
      </c>
      <c r="P5" s="46">
        <f t="shared" ca="1" si="1"/>
        <v>1.1187803203637426E-2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input_516100!A$2</f>
        <v>516100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IFERROR(VLOOKUP(B6,input_516100!L:R,7,FALSE),VLOOKUP(tables_516100!C6,input_516100!A:H,8,FALSE))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input_516100!A$2</f>
        <v>516100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IFERROR(VLOOKUP(B7,input_516100!L:R,7,FALSE),VLOOKUP(tables_516100!C7,input_516100!A:H,8,FALSE))</f>
        <v>1466721</v>
      </c>
      <c r="P7" s="46">
        <f t="shared" ca="1" si="1"/>
        <v>1.1187803203637426E-2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input_516100!A$2</f>
        <v>516100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IFERROR(VLOOKUP(B8,input_516100!L:R,7,FALSE),VLOOKUP(tables_516100!C8,input_516100!A:H,8,FALSE))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input_516100!A$2</f>
        <v>516100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IFERROR(VLOOKUP(B9,input_516100!L:R,7,FALSE),VLOOKUP(tables_516100!C9,input_516100!A:H,8,FALSE))</f>
        <v>1466721</v>
      </c>
      <c r="P9" s="46">
        <f t="shared" ca="1" si="1"/>
        <v>1.1187803203637426E-2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input_516100!A$2</f>
        <v>516100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IFERROR(VLOOKUP(B10,input_516100!L:R,7,FALSE),VLOOKUP(tables_516100!C10,input_516100!A:H,8,FALSE))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input_516100!A$2</f>
        <v>516100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IFERROR(VLOOKUP(B11,input_516100!L:R,7,FALSE),VLOOKUP(tables_516100!C11,input_516100!A:H,8,FALSE))</f>
        <v>1466721</v>
      </c>
      <c r="P11" s="46">
        <f t="shared" ca="1" si="1"/>
        <v>1.1187803203637426E-2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input_516100!A$2</f>
        <v>516100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IFERROR(VLOOKUP(B12,input_516100!L:R,7,FALSE),VLOOKUP(tables_516100!C12,input_516100!A:H,8,FALSE))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input_516100!A$2</f>
        <v>516100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IFERROR(VLOOKUP(B13,input_516100!L:R,7,FALSE),VLOOKUP(tables_516100!C13,input_516100!A:H,8,FALSE))</f>
        <v>1466721</v>
      </c>
      <c r="P13" s="46">
        <f t="shared" ca="1" si="1"/>
        <v>1.1187803203637426E-2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input_516100!A$2</f>
        <v>516100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IFERROR(VLOOKUP(B14,input_516100!L:R,7,FALSE),VLOOKUP(tables_516100!C14,input_516100!A:H,8,FALSE))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input_516100!A$2</f>
        <v>516100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IFERROR(VLOOKUP(B15,input_516100!L:R,7,FALSE),VLOOKUP(tables_516100!C15,input_516100!A:H,8,FALSE))</f>
        <v>1466721</v>
      </c>
      <c r="P15" s="46">
        <f t="shared" ca="1" si="1"/>
        <v>1.1187803203637426E-2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input_516100!A$2</f>
        <v>516100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IFERROR(VLOOKUP(B16,input_516100!L:R,7,FALSE),VLOOKUP(tables_516100!C16,input_516100!A:H,8,FALSE))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input_516100!A$2</f>
        <v>516100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IFERROR(VLOOKUP(B17,input_516100!L:R,7,FALSE),VLOOKUP(tables_516100!C17,input_516100!A:H,8,FALSE))</f>
        <v>1466721</v>
      </c>
      <c r="P17" s="46">
        <f t="shared" ca="1" si="1"/>
        <v>1.1187803203637426E-2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input_516100!A$2</f>
        <v>516100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IFERROR(VLOOKUP(B18,input_516100!L:R,7,FALSE),VLOOKUP(tables_516100!C18,input_516100!A:H,8,FALSE))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input_516100!A$2</f>
        <v>516100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IFERROR(VLOOKUP(B19,input_516100!L:R,7,FALSE),VLOOKUP(tables_516100!C19,input_516100!A:H,8,FALSE))</f>
        <v>1466721</v>
      </c>
      <c r="P19" s="46">
        <f t="shared" ca="1" si="1"/>
        <v>1.1187803203637426E-2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input_516100!A$2</f>
        <v>516100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IFERROR(VLOOKUP(B20,input_516100!L:R,7,FALSE),VLOOKUP(tables_516100!C20,input_516100!A:H,8,FALSE))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input_516100!A$2</f>
        <v>516100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IFERROR(VLOOKUP(B21,input_516100!L:R,7,FALSE),VLOOKUP(tables_516100!C21,input_516100!A:H,8,FALSE))</f>
        <v>1466721</v>
      </c>
      <c r="P21" s="46">
        <f t="shared" ca="1" si="1"/>
        <v>1.1187803203637426E-2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input_516100!A$2</f>
        <v>516100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IFERROR(VLOOKUP(B22,input_516100!L:R,7,FALSE),VLOOKUP(tables_516100!C22,input_516100!A:H,8,FALSE))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input_516100!A$2</f>
        <v>516100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IFERROR(VLOOKUP(B23,input_516100!L:R,7,FALSE),VLOOKUP(tables_516100!C23,input_516100!A:H,8,FALSE))</f>
        <v>1466721</v>
      </c>
      <c r="P23" s="46">
        <f t="shared" ca="1" si="1"/>
        <v>1.1187803203637426E-2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input_516100!A$2</f>
        <v>516100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IFERROR(VLOOKUP(B24,input_516100!L:R,7,FALSE),VLOOKUP(tables_516100!C24,input_516100!A:H,8,FALSE))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input_516100!A$2</f>
        <v>516100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IFERROR(VLOOKUP(B25,input_516100!L:R,7,FALSE),VLOOKUP(tables_516100!C25,input_516100!A:H,8,FALSE))</f>
        <v>1466721</v>
      </c>
      <c r="P25" s="46">
        <f t="shared" ca="1" si="1"/>
        <v>1.1187803203637426E-2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input_516100!A$2</f>
        <v>516100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IFERROR(VLOOKUP(B26,input_516100!L:R,7,FALSE),VLOOKUP(tables_516100!C26,input_516100!A:H,8,FALSE))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input_516100!A$2</f>
        <v>516100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IFERROR(VLOOKUP(B27,input_516100!L:R,7,FALSE),VLOOKUP(tables_516100!C27,input_516100!A:H,8,FALSE))</f>
        <v>1466721</v>
      </c>
      <c r="P27" s="46">
        <f t="shared" ca="1" si="1"/>
        <v>1.1187803203637426E-2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input_516100!A$2</f>
        <v>516100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IFERROR(VLOOKUP(B28,input_516100!L:R,7,FALSE),VLOOKUP(tables_516100!C28,input_516100!A:H,8,FALSE))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input_516100!A$2</f>
        <v>516100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IFERROR(VLOOKUP(B29,input_516100!L:R,7,FALSE),VLOOKUP(tables_516100!C29,input_516100!A:H,8,FALSE))</f>
        <v>1466721</v>
      </c>
      <c r="P29" s="46">
        <f t="shared" ca="1" si="1"/>
        <v>1.1187803203637426E-2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input_516100!A$2</f>
        <v>516100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IFERROR(VLOOKUP(B30,input_516100!L:R,7,FALSE),VLOOKUP(tables_516100!C30,input_516100!A:H,8,FALSE))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input_516100!A$2</f>
        <v>516100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IFERROR(VLOOKUP(B31,input_516100!L:R,7,FALSE),VLOOKUP(tables_516100!C31,input_516100!A:H,8,FALSE))</f>
        <v>1466721</v>
      </c>
      <c r="P31" s="46">
        <f t="shared" ca="1" si="1"/>
        <v>1.1187803203637426E-2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input_516100!A$2</f>
        <v>516100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IFERROR(VLOOKUP(B32,input_516100!L:R,7,FALSE),VLOOKUP(tables_516100!C32,input_516100!A:H,8,FALSE))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input_516100!A$2</f>
        <v>516100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IFERROR(VLOOKUP(B33,input_516100!L:R,7,FALSE),VLOOKUP(tables_516100!C33,input_516100!A:H,8,FALSE))</f>
        <v>1466721</v>
      </c>
      <c r="P33" s="46">
        <f t="shared" ca="1" si="1"/>
        <v>1.1187803203637426E-2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input_516100!A$2</f>
        <v>516100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IFERROR(VLOOKUP(B34,input_516100!L:R,7,FALSE),VLOOKUP(tables_516100!C34,input_516100!A:H,8,FALSE))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input_516100!A$2</f>
        <v>516100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IFERROR(VLOOKUP(B35,input_516100!L:R,7,FALSE),VLOOKUP(tables_516100!C35,input_516100!A:H,8,FALSE))</f>
        <v>1466721</v>
      </c>
      <c r="P35" s="46">
        <f t="shared" ca="1" si="1"/>
        <v>1.1187803203637426E-2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input_516100!A$2</f>
        <v>516100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IFERROR(VLOOKUP(B36,input_516100!L:R,7,FALSE),VLOOKUP(tables_516100!C36,input_516100!A:H,8,FALSE))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input_516100!A$2</f>
        <v>516100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IFERROR(VLOOKUP(B37,input_516100!L:R,7,FALSE),VLOOKUP(tables_516100!C37,input_516100!A:H,8,FALSE))</f>
        <v>1466721</v>
      </c>
      <c r="P37" s="46">
        <f t="shared" ca="1" si="1"/>
        <v>1.1187803203637426E-2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input_516100!A$2</f>
        <v>516100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IFERROR(VLOOKUP(B38,input_516100!L:R,7,FALSE),VLOOKUP(tables_516100!C38,input_516100!A:H,8,FALSE))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input_516100!A$2</f>
        <v>516100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IFERROR(VLOOKUP(B39,input_516100!L:R,7,FALSE),VLOOKUP(tables_516100!C39,input_516100!A:H,8,FALSE))</f>
        <v>1466721</v>
      </c>
      <c r="P39" s="46">
        <f t="shared" ca="1" si="1"/>
        <v>1.1187803203637426E-2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input_516100!A$2</f>
        <v>516100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IFERROR(VLOOKUP(B40,input_516100!L:R,7,FALSE),VLOOKUP(tables_516100!C40,input_516100!A:H,8,FALSE))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input_516100!A$2</f>
        <v>516100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IFERROR(VLOOKUP(B41,input_516100!L:R,7,FALSE),VLOOKUP(tables_516100!C41,input_516100!A:H,8,FALSE))</f>
        <v>1466721</v>
      </c>
      <c r="P41" s="46">
        <f t="shared" ca="1" si="1"/>
        <v>1.1187803203637426E-2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input_516100!A$2</f>
        <v>516100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IFERROR(VLOOKUP(B42,input_516100!L:R,7,FALSE),VLOOKUP(tables_516100!C42,input_516100!A:H,8,FALSE))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input_516100!A$2</f>
        <v>516100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IFERROR(VLOOKUP(B43,input_516100!L:R,7,FALSE),VLOOKUP(tables_516100!C43,input_516100!A:H,8,FALSE))</f>
        <v>1136430</v>
      </c>
      <c r="P43" s="46">
        <f t="shared" ca="1" si="1"/>
        <v>8.6684210526130605E-3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input_516100!A$2</f>
        <v>516100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IFERROR(VLOOKUP(B44,input_516100!L:R,7,FALSE),VLOOKUP(tables_516100!C44,input_516100!A:H,8,FALSE))</f>
        <v>126270</v>
      </c>
      <c r="P44" s="46">
        <f t="shared" ca="1" si="1"/>
        <v>9.6315789473478438E-4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input_516100!A$2</f>
        <v>516100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IFERROR(VLOOKUP(B45,input_516100!L:R,7,FALSE),VLOOKUP(tables_516100!C45,input_516100!A:H,8,FALSE))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input_516100!A$2</f>
        <v>516100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IFERROR(VLOOKUP(B46,input_516100!L:R,7,FALSE),VLOOKUP(tables_516100!C46,input_516100!A:H,8,FALSE))</f>
        <v>1136430</v>
      </c>
      <c r="P46" s="46">
        <f t="shared" ca="1" si="1"/>
        <v>8.6684210526130605E-3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input_516100!A$2</f>
        <v>516100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IFERROR(VLOOKUP(B47,input_516100!L:R,7,FALSE),VLOOKUP(tables_516100!C47,input_516100!A:H,8,FALSE))</f>
        <v>126270</v>
      </c>
      <c r="P47" s="46">
        <f t="shared" ca="1" si="1"/>
        <v>9.6315789473478438E-4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input_516100!A$2</f>
        <v>516100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IFERROR(VLOOKUP(B48,input_516100!L:R,7,FALSE),VLOOKUP(tables_516100!C48,input_516100!A:H,8,FALSE))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input_516100!A$2</f>
        <v>516100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IFERROR(VLOOKUP(B49,input_516100!L:R,7,FALSE),VLOOKUP(tables_516100!C49,input_516100!A:H,8,FALSE))</f>
        <v>1136430</v>
      </c>
      <c r="P49" s="46">
        <f t="shared" ca="1" si="1"/>
        <v>8.6684210526130605E-3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input_516100!A$2</f>
        <v>516100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IFERROR(VLOOKUP(B50,input_516100!L:R,7,FALSE),VLOOKUP(tables_516100!C50,input_516100!A:H,8,FALSE))</f>
        <v>126270</v>
      </c>
      <c r="P50" s="46">
        <f t="shared" ca="1" si="1"/>
        <v>9.6315789473478438E-4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input_516100!A$2</f>
        <v>516100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IFERROR(VLOOKUP(B51,input_516100!L:R,7,FALSE),VLOOKUP(tables_516100!C51,input_516100!A:H,8,FALSE))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input_516100!A$2</f>
        <v>516100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IFERROR(VLOOKUP(B52,input_516100!L:R,7,FALSE),VLOOKUP(tables_516100!C52,input_516100!A:H,8,FALSE))</f>
        <v>1136430</v>
      </c>
      <c r="P52" s="46">
        <f t="shared" ca="1" si="1"/>
        <v>8.6684210526130605E-3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input_516100!A$2</f>
        <v>516100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IFERROR(VLOOKUP(B53,input_516100!L:R,7,FALSE),VLOOKUP(tables_516100!C53,input_516100!A:H,8,FALSE))</f>
        <v>47800.384619999997</v>
      </c>
      <c r="P53" s="46">
        <f t="shared" ca="1" si="1"/>
        <v>3.6461010388938122E-4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input_516100!A$2</f>
        <v>516100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IFERROR(VLOOKUP(B54,input_516100!L:R,7,FALSE),VLOOKUP(tables_516100!C54,input_516100!A:H,8,FALSE))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input_516100!A$2</f>
        <v>516100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IFERROR(VLOOKUP(B55,input_516100!L:R,7,FALSE),VLOOKUP(tables_516100!C55,input_516100!A:H,8,FALSE))</f>
        <v>1136430</v>
      </c>
      <c r="P55" s="46">
        <f t="shared" ca="1" si="1"/>
        <v>8.6684210526130605E-3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input_516100!A$2</f>
        <v>516100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IFERROR(VLOOKUP(B56,input_516100!L:R,7,FALSE),VLOOKUP(tables_516100!C56,input_516100!A:H,8,FALSE))</f>
        <v>47800.384619999997</v>
      </c>
      <c r="P56" s="46">
        <f t="shared" ca="1" si="1"/>
        <v>3.6461010388938122E-4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input_516100!A$2</f>
        <v>516100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IFERROR(VLOOKUP(B57,input_516100!L:R,7,FALSE),VLOOKUP(tables_516100!C57,input_516100!A:H,8,FALSE))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input_516100!A$2</f>
        <v>516100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IFERROR(VLOOKUP(B58,input_516100!L:R,7,FALSE),VLOOKUP(tables_516100!C58,input_516100!A:H,8,FALSE))</f>
        <v>1136430</v>
      </c>
      <c r="P58" s="46">
        <f t="shared" ca="1" si="1"/>
        <v>8.6684210526130605E-3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input_516100!A$2</f>
        <v>516100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IFERROR(VLOOKUP(B59,input_516100!L:R,7,FALSE),VLOOKUP(tables_516100!C59,input_516100!A:H,8,FALSE))</f>
        <v>47800.384619999997</v>
      </c>
      <c r="P59" s="46">
        <f t="shared" ca="1" si="1"/>
        <v>3.6461010388938122E-4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input_516100!A$2</f>
        <v>516100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IFERROR(VLOOKUP(B60,input_516100!L:R,7,FALSE),VLOOKUP(tables_516100!C60,input_516100!A:H,8,FALSE))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input_516100!A$2</f>
        <v>516100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IFERROR(VLOOKUP(B61,input_516100!L:R,7,FALSE),VLOOKUP(tables_516100!C61,input_516100!A:H,8,FALSE))</f>
        <v>1136430</v>
      </c>
      <c r="P61" s="46">
        <f t="shared" ca="1" si="1"/>
        <v>8.6684210526130605E-3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input_516100!A$2</f>
        <v>516100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IFERROR(VLOOKUP(B62,input_516100!L:R,7,FALSE),VLOOKUP(tables_516100!C62,input_516100!A:H,8,FALSE))</f>
        <v>47800.384619999997</v>
      </c>
      <c r="P62" s="46">
        <f t="shared" ca="1" si="1"/>
        <v>3.6461010388938122E-4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input_516100!A$2</f>
        <v>516100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IFERROR(VLOOKUP(B63,input_516100!L:R,7,FALSE),VLOOKUP(tables_516100!C63,input_516100!A:H,8,FALSE))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input_516100!A$2</f>
        <v>516100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IFERROR(VLOOKUP(B64,input_516100!L:R,7,FALSE),VLOOKUP(tables_516100!C64,input_516100!A:H,8,FALSE))</f>
        <v>1136430</v>
      </c>
      <c r="P64" s="46">
        <f t="shared" ca="1" si="1"/>
        <v>8.6684210526130605E-3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input_516100!A$2</f>
        <v>516100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IFERROR(VLOOKUP(B65,input_516100!L:R,7,FALSE),VLOOKUP(tables_516100!C65,input_516100!A:H,8,FALSE))</f>
        <v>47800.384619999997</v>
      </c>
      <c r="P65" s="46">
        <f t="shared" ca="1" si="1"/>
        <v>3.6461010388938122E-4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input_516100!A$2</f>
        <v>516100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IFERROR(VLOOKUP(B66,input_516100!L:R,7,FALSE),VLOOKUP(tables_516100!C66,input_516100!A:H,8,FALSE))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input_516100!A$2</f>
        <v>516100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IFERROR(VLOOKUP(B67,input_516100!L:R,7,FALSE),VLOOKUP(tables_516100!C67,input_516100!A:H,8,FALSE))</f>
        <v>1136430</v>
      </c>
      <c r="P67" s="46">
        <f t="shared" ca="1" si="4"/>
        <v>8.6684210526130605E-3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input_516100!A$2</f>
        <v>516100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IFERROR(VLOOKUP(B68,input_516100!L:R,7,FALSE),VLOOKUP(tables_516100!C68,input_516100!A:H,8,FALSE))</f>
        <v>47800.384619999997</v>
      </c>
      <c r="P68" s="46">
        <f t="shared" ca="1" si="4"/>
        <v>3.6461010388938122E-4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input_516100!A$2</f>
        <v>516100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IFERROR(VLOOKUP(B69,input_516100!L:R,7,FALSE),VLOOKUP(tables_516100!C69,input_516100!A:H,8,FALSE))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input_516100!A$2</f>
        <v>516100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IFERROR(VLOOKUP(B70,input_516100!L:R,7,FALSE),VLOOKUP(tables_516100!C70,input_516100!A:H,8,FALSE))</f>
        <v>1136430</v>
      </c>
      <c r="P70" s="46">
        <f t="shared" ca="1" si="4"/>
        <v>8.6684210526130605E-3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input_516100!A$2</f>
        <v>516100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IFERROR(VLOOKUP(B71,input_516100!L:R,7,FALSE),VLOOKUP(tables_516100!C71,input_516100!A:H,8,FALSE))</f>
        <v>47800.384619999997</v>
      </c>
      <c r="P71" s="46">
        <f t="shared" ca="1" si="4"/>
        <v>3.6461010388938122E-4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input_516100!A$2</f>
        <v>516100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IFERROR(VLOOKUP(B72,input_516100!L:R,7,FALSE),VLOOKUP(tables_516100!C72,input_516100!A:H,8,FALSE))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input_516100!A$2</f>
        <v>516100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IFERROR(VLOOKUP(B73,input_516100!L:R,7,FALSE),VLOOKUP(tables_516100!C73,input_516100!A:H,8,FALSE))</f>
        <v>1136430</v>
      </c>
      <c r="P73" s="46">
        <f t="shared" ca="1" si="4"/>
        <v>8.6684210526130605E-3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input_516100!A$2</f>
        <v>516100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IFERROR(VLOOKUP(B74,input_516100!L:R,7,FALSE),VLOOKUP(tables_516100!C74,input_516100!A:H,8,FALSE))</f>
        <v>47800.384619999997</v>
      </c>
      <c r="P74" s="46">
        <f t="shared" ca="1" si="4"/>
        <v>3.6461010388938122E-4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input_516100!A$2</f>
        <v>516100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IFERROR(VLOOKUP(B75,input_516100!L:R,7,FALSE),VLOOKUP(tables_516100!C75,input_516100!A:H,8,FALSE))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input_516100!A$2</f>
        <v>516100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IFERROR(VLOOKUP(B76,input_516100!L:R,7,FALSE),VLOOKUP(tables_516100!C76,input_516100!A:H,8,FALSE))</f>
        <v>1136430</v>
      </c>
      <c r="P76" s="46">
        <f t="shared" ca="1" si="4"/>
        <v>8.6684210526130605E-3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input_516100!A$2</f>
        <v>516100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IFERROR(VLOOKUP(B77,input_516100!L:R,7,FALSE),VLOOKUP(tables_516100!C77,input_516100!A:H,8,FALSE))</f>
        <v>47800.384619999997</v>
      </c>
      <c r="P77" s="46">
        <f t="shared" ca="1" si="4"/>
        <v>3.6461010388938122E-4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input_516100!A$2</f>
        <v>516100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IFERROR(VLOOKUP(B78,input_516100!L:R,7,FALSE),VLOOKUP(tables_516100!C78,input_516100!A:H,8,FALSE))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input_516100!A$2</f>
        <v>516100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IFERROR(VLOOKUP(B79,input_516100!L:R,7,FALSE),VLOOKUP(tables_516100!C79,input_516100!A:H,8,FALSE))</f>
        <v>1136430</v>
      </c>
      <c r="P79" s="46">
        <f t="shared" ca="1" si="4"/>
        <v>8.6684210526130605E-3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input_516100!A$2</f>
        <v>516100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IFERROR(VLOOKUP(B80,input_516100!L:R,7,FALSE),VLOOKUP(tables_516100!C80,input_516100!A:H,8,FALSE))</f>
        <v>47800.384619999997</v>
      </c>
      <c r="P80" s="46">
        <f t="shared" ca="1" si="4"/>
        <v>3.6461010388938122E-4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input_516100!A$2</f>
        <v>516100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IFERROR(VLOOKUP(B81,input_516100!L:R,7,FALSE),VLOOKUP(tables_516100!C81,input_516100!A:H,8,FALSE))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input_516100!A$2</f>
        <v>516100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IFERROR(VLOOKUP(B82,input_516100!L:R,7,FALSE),VLOOKUP(tables_516100!C82,input_516100!A:H,8,FALSE))</f>
        <v>1136430</v>
      </c>
      <c r="P82" s="46">
        <f t="shared" ca="1" si="4"/>
        <v>8.6684210526130605E-3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input_516100!A$2</f>
        <v>516100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IFERROR(VLOOKUP(B83,input_516100!L:R,7,FALSE),VLOOKUP(tables_516100!C83,input_516100!A:H,8,FALSE))</f>
        <v>47800.384619999997</v>
      </c>
      <c r="P83" s="46">
        <f t="shared" ca="1" si="4"/>
        <v>3.6461010388938122E-4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input_516100!A$2</f>
        <v>516100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IFERROR(VLOOKUP(B84,input_516100!L:R,7,FALSE),VLOOKUP(tables_516100!C84,input_516100!A:H,8,FALSE))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input_516100!A$2</f>
        <v>516100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IFERROR(VLOOKUP(B85,input_516100!L:R,7,FALSE),VLOOKUP(tables_516100!C85,input_516100!A:H,8,FALSE))</f>
        <v>1136430</v>
      </c>
      <c r="P85" s="46">
        <f t="shared" ca="1" si="4"/>
        <v>8.6684210526130605E-3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input_516100!A$2</f>
        <v>516100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IFERROR(VLOOKUP(B86,input_516100!L:R,7,FALSE),VLOOKUP(tables_516100!C86,input_516100!A:H,8,FALSE))</f>
        <v>47800.384619999997</v>
      </c>
      <c r="P86" s="46">
        <f t="shared" ca="1" si="4"/>
        <v>3.6461010388938122E-4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input_516100!A$2</f>
        <v>516100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IFERROR(VLOOKUP(B87,input_516100!L:R,7,FALSE),VLOOKUP(tables_516100!C87,input_516100!A:H,8,FALSE))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input_516100!A$2</f>
        <v>516100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IFERROR(VLOOKUP(B88,input_516100!L:R,7,FALSE),VLOOKUP(tables_516100!C88,input_516100!A:H,8,FALSE))</f>
        <v>1136430</v>
      </c>
      <c r="P88" s="46">
        <f t="shared" ca="1" si="4"/>
        <v>8.6684210526130605E-3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input_516100!A$2</f>
        <v>516100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IFERROR(VLOOKUP(B89,input_516100!L:R,7,FALSE),VLOOKUP(tables_516100!C89,input_516100!A:H,8,FALSE))</f>
        <v>47800.384619999997</v>
      </c>
      <c r="P89" s="46">
        <f t="shared" ca="1" si="4"/>
        <v>3.6461010388938122E-4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input_516100!A$2</f>
        <v>516100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IFERROR(VLOOKUP(B90,input_516100!L:R,7,FALSE),VLOOKUP(tables_516100!C90,input_516100!A:H,8,FALSE))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input_516100!A$2</f>
        <v>516100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IFERROR(VLOOKUP(B91,input_516100!L:R,7,FALSE),VLOOKUP(tables_516100!C91,input_516100!A:H,8,FALSE))</f>
        <v>1136430</v>
      </c>
      <c r="P91" s="46">
        <f t="shared" ca="1" si="4"/>
        <v>8.6684210526130605E-3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input_516100!A$2</f>
        <v>516100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IFERROR(VLOOKUP(B92,input_516100!L:R,7,FALSE),VLOOKUP(tables_516100!C92,input_516100!A:H,8,FALSE))</f>
        <v>47800.384619999997</v>
      </c>
      <c r="P92" s="46">
        <f t="shared" ca="1" si="4"/>
        <v>3.6461010388938122E-4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input_516100!A$2</f>
        <v>516100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IFERROR(VLOOKUP(B93,input_516100!L:R,7,FALSE),VLOOKUP(tables_516100!C93,input_516100!A:H,8,FALSE))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input_516100!A$2</f>
        <v>516100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IFERROR(VLOOKUP(B94,input_516100!L:R,7,FALSE),VLOOKUP(tables_516100!C94,input_516100!A:H,8,FALSE))</f>
        <v>1136430</v>
      </c>
      <c r="P94" s="46">
        <f t="shared" ca="1" si="4"/>
        <v>8.6684210526130605E-3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input_516100!A$2</f>
        <v>516100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IFERROR(VLOOKUP(B95,input_516100!L:R,7,FALSE),VLOOKUP(tables_516100!C95,input_516100!A:H,8,FALSE))</f>
        <v>47800.384619999997</v>
      </c>
      <c r="P95" s="46">
        <f t="shared" ca="1" si="4"/>
        <v>3.6461010388938122E-4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input_516100!A$2</f>
        <v>516100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IFERROR(VLOOKUP(B96,input_516100!L:R,7,FALSE),VLOOKUP(tables_516100!C96,input_516100!A:H,8,FALSE))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input_516100!A$2</f>
        <v>516100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IFERROR(VLOOKUP(B97,input_516100!L:R,7,FALSE),VLOOKUP(tables_516100!C97,input_516100!A:H,8,FALSE))</f>
        <v>1136430</v>
      </c>
      <c r="P97" s="46">
        <f t="shared" ca="1" si="4"/>
        <v>8.6684210526130605E-3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input_516100!A$2</f>
        <v>516100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IFERROR(VLOOKUP(B98,input_516100!L:R,7,FALSE),VLOOKUP(tables_516100!C98,input_516100!A:H,8,FALSE))</f>
        <v>47800.384619999997</v>
      </c>
      <c r="P98" s="46">
        <f t="shared" ca="1" si="4"/>
        <v>3.6461010388938122E-4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input_516100!A$2</f>
        <v>516100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IFERROR(VLOOKUP(B99,input_516100!L:R,7,FALSE),VLOOKUP(tables_516100!C99,input_516100!A:H,8,FALSE))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input_516100!A$2</f>
        <v>516100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IFERROR(VLOOKUP(B100,input_516100!L:R,7,FALSE),VLOOKUP(tables_516100!C100,input_516100!A:H,8,FALSE))</f>
        <v>1136430</v>
      </c>
      <c r="P100" s="46">
        <f t="shared" ca="1" si="4"/>
        <v>8.6684210526130605E-3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input_516100!A$2</f>
        <v>516100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IFERROR(VLOOKUP(B101,input_516100!L:R,7,FALSE),VLOOKUP(tables_516100!C101,input_516100!A:H,8,FALSE))</f>
        <v>47800.384619999997</v>
      </c>
      <c r="P101" s="46">
        <f t="shared" ca="1" si="4"/>
        <v>3.6461010388938122E-4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input_516100!A$2</f>
        <v>516100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IFERROR(VLOOKUP(B102,input_516100!L:R,7,FALSE),VLOOKUP(tables_516100!C102,input_516100!A:H,8,FALSE))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input_516100!A$2</f>
        <v>516100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IFERROR(VLOOKUP(B103,input_516100!L:R,7,FALSE),VLOOKUP(tables_516100!C103,input_516100!A:H,8,FALSE))</f>
        <v>1136430</v>
      </c>
      <c r="P103" s="46">
        <f t="shared" ca="1" si="4"/>
        <v>8.6684210526130605E-3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input_516100!A$2</f>
        <v>516100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IFERROR(VLOOKUP(B104,input_516100!L:R,7,FALSE),VLOOKUP(tables_516100!C104,input_516100!A:H,8,FALSE))</f>
        <v>47800.384619999997</v>
      </c>
      <c r="P104" s="46">
        <f t="shared" ca="1" si="4"/>
        <v>3.6461010388938122E-4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input_516100!A$2</f>
        <v>516100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IFERROR(VLOOKUP(B105,input_516100!L:R,7,FALSE),VLOOKUP(tables_516100!C105,input_516100!A:H,8,FALSE))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input_516100!A$2</f>
        <v>516100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IFERROR(VLOOKUP(B106,input_516100!L:R,7,FALSE),VLOOKUP(tables_516100!C106,input_516100!A:H,8,FALSE))</f>
        <v>1136430</v>
      </c>
      <c r="P106" s="46">
        <f t="shared" ca="1" si="4"/>
        <v>8.6684210526130605E-3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input_516100!A$2</f>
        <v>516100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IFERROR(VLOOKUP(B107,input_516100!L:R,7,FALSE),VLOOKUP(tables_516100!C107,input_516100!A:H,8,FALSE))</f>
        <v>47800.384619999997</v>
      </c>
      <c r="P107" s="46">
        <f t="shared" ca="1" si="4"/>
        <v>3.6461010388938122E-4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input_516100!A$2</f>
        <v>516100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IFERROR(VLOOKUP(B108,input_516100!L:R,7,FALSE),VLOOKUP(tables_516100!C108,input_516100!A:H,8,FALSE))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input_516100!A$2</f>
        <v>516100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IFERROR(VLOOKUP(B109,input_516100!L:R,7,FALSE),VLOOKUP(tables_516100!C109,input_516100!A:H,8,FALSE))</f>
        <v>1136430</v>
      </c>
      <c r="P109" s="46">
        <f t="shared" ca="1" si="4"/>
        <v>8.6684210526130605E-3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input_516100!A$2</f>
        <v>516100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IFERROR(VLOOKUP(B110,input_516100!L:R,7,FALSE),VLOOKUP(tables_516100!C110,input_516100!A:H,8,FALSE))</f>
        <v>47800.384619999997</v>
      </c>
      <c r="P110" s="46">
        <f t="shared" ca="1" si="4"/>
        <v>3.6461010388938122E-4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input_516100!A$2</f>
        <v>516100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IFERROR(VLOOKUP(B111,input_516100!L:R,7,FALSE),VLOOKUP(tables_516100!C111,input_516100!A:H,8,FALSE))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input_516100!A$2</f>
        <v>516100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IFERROR(VLOOKUP(B112,input_516100!L:R,7,FALSE),VLOOKUP(tables_516100!C112,input_516100!A:H,8,FALSE))</f>
        <v>1136430</v>
      </c>
      <c r="P112" s="46">
        <f t="shared" ca="1" si="4"/>
        <v>8.6684210526130605E-3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input_516100!A$2</f>
        <v>516100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IFERROR(VLOOKUP(B113,input_516100!L:R,7,FALSE),VLOOKUP(tables_516100!C113,input_516100!A:H,8,FALSE))</f>
        <v>126270</v>
      </c>
      <c r="P113" s="46">
        <f t="shared" ca="1" si="4"/>
        <v>9.6315789473478438E-4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input_516100!A$2</f>
        <v>516100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IFERROR(VLOOKUP(B114,input_516100!L:R,7,FALSE),VLOOKUP(tables_516100!C114,input_516100!A:H,8,FALSE))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input_516100!A$2</f>
        <v>516100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IFERROR(VLOOKUP(B115,input_516100!L:R,7,FALSE),VLOOKUP(tables_516100!C115,input_516100!A:H,8,FALSE))</f>
        <v>1136430</v>
      </c>
      <c r="P115" s="46">
        <f t="shared" ca="1" si="4"/>
        <v>8.6684210526130605E-3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input_516100!A$2</f>
        <v>516100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IFERROR(VLOOKUP(B116,input_516100!L:R,7,FALSE),VLOOKUP(tables_516100!C116,input_516100!A:H,8,FALSE))</f>
        <v>47800.384619999997</v>
      </c>
      <c r="P116" s="46">
        <f t="shared" ca="1" si="4"/>
        <v>3.6461010388938122E-4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input_516100!A$2</f>
        <v>516100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IFERROR(VLOOKUP(B117,input_516100!L:R,7,FALSE),VLOOKUP(tables_516100!C117,input_516100!A:H,8,FALSE))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input_516100!A$2</f>
        <v>516100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IFERROR(VLOOKUP(B118,input_516100!L:R,7,FALSE),VLOOKUP(tables_516100!C118,input_516100!A:H,8,FALSE))</f>
        <v>1136430</v>
      </c>
      <c r="P118" s="46">
        <f t="shared" ca="1" si="4"/>
        <v>8.6684210526130605E-3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input_516100!A$2</f>
        <v>516100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IFERROR(VLOOKUP(B119,input_516100!L:R,7,FALSE),VLOOKUP(tables_516100!C119,input_516100!A:H,8,FALSE))</f>
        <v>47800.384619999997</v>
      </c>
      <c r="P119" s="46">
        <f t="shared" ca="1" si="4"/>
        <v>3.6461010388938122E-4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input_516100!A$2</f>
        <v>516100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IFERROR(VLOOKUP(B120,input_516100!L:R,7,FALSE),VLOOKUP(tables_516100!C120,input_516100!A:H,8,FALSE))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input_516100!A$2</f>
        <v>516100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IFERROR(VLOOKUP(B121,input_516100!L:R,7,FALSE),VLOOKUP(tables_516100!C121,input_516100!A:H,8,FALSE))</f>
        <v>1136430</v>
      </c>
      <c r="P121" s="46">
        <f t="shared" ca="1" si="4"/>
        <v>8.6684210526130605E-3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input_516100!A$2</f>
        <v>516100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IFERROR(VLOOKUP(B122,input_516100!L:R,7,FALSE),VLOOKUP(tables_516100!C122,input_516100!A:H,8,FALSE))</f>
        <v>47800.384619999997</v>
      </c>
      <c r="P122" s="46">
        <f t="shared" ca="1" si="4"/>
        <v>3.6461010388938122E-4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input_516100!A$2</f>
        <v>516100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IFERROR(VLOOKUP(B123,input_516100!L:R,7,FALSE),VLOOKUP(tables_516100!C123,input_516100!A:H,8,FALSE))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input_516100!A$2</f>
        <v>516100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IFERROR(VLOOKUP(B124,input_516100!L:R,7,FALSE),VLOOKUP(tables_516100!C124,input_516100!A:H,8,FALSE))</f>
        <v>1136430</v>
      </c>
      <c r="P124" s="46">
        <f t="shared" ca="1" si="4"/>
        <v>8.6684210526130605E-3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input_516100!A$2</f>
        <v>516100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IFERROR(VLOOKUP(B125,input_516100!L:R,7,FALSE),VLOOKUP(tables_516100!C125,input_516100!A:H,8,FALSE))</f>
        <v>47800.384619999997</v>
      </c>
      <c r="P125" s="46">
        <f t="shared" ca="1" si="4"/>
        <v>3.6461010388938122E-4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input_516100!A$2</f>
        <v>516100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IFERROR(VLOOKUP(B126,input_516100!L:R,7,FALSE),VLOOKUP(tables_516100!C126,input_516100!A:H,8,FALSE))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input_516100!A$2</f>
        <v>516100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IFERROR(VLOOKUP(B127,input_516100!L:R,7,FALSE),VLOOKUP(tables_516100!C127,input_516100!A:H,8,FALSE))</f>
        <v>1136430</v>
      </c>
      <c r="P127" s="46">
        <f t="shared" ca="1" si="4"/>
        <v>8.6684210526130605E-3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input_516100!A$2</f>
        <v>516100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IFERROR(VLOOKUP(B128,input_516100!L:R,7,FALSE),VLOOKUP(tables_516100!C128,input_516100!A:H,8,FALSE))</f>
        <v>47800.384619999997</v>
      </c>
      <c r="P128" s="46">
        <f t="shared" ca="1" si="4"/>
        <v>3.6461010388938122E-4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input_516100!A$2</f>
        <v>516100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IFERROR(VLOOKUP(B129,input_516100!L:R,7,FALSE),VLOOKUP(tables_516100!C129,input_516100!A:H,8,FALSE))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input_516100!A$2</f>
        <v>516100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IFERROR(VLOOKUP(B130,input_516100!L:R,7,FALSE),VLOOKUP(tables_516100!C130,input_516100!A:H,8,FALSE))</f>
        <v>1136430</v>
      </c>
      <c r="P130" s="46">
        <f t="shared" ref="P130:P193" ca="1" si="7">O130/SUM(O:O)</f>
        <v>8.6684210526130605E-3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input_516100!A$2</f>
        <v>516100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IFERROR(VLOOKUP(B131,input_516100!L:R,7,FALSE),VLOOKUP(tables_516100!C131,input_516100!A:H,8,FALSE))</f>
        <v>47800.384619999997</v>
      </c>
      <c r="P131" s="46">
        <f t="shared" ca="1" si="7"/>
        <v>3.6461010388938122E-4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input_516100!A$2</f>
        <v>516100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IFERROR(VLOOKUP(B132,input_516100!L:R,7,FALSE),VLOOKUP(tables_516100!C132,input_516100!A:H,8,FALSE))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input_516100!A$2</f>
        <v>516100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IFERROR(VLOOKUP(B133,input_516100!L:R,7,FALSE),VLOOKUP(tables_516100!C133,input_516100!A:H,8,FALSE))</f>
        <v>1136430</v>
      </c>
      <c r="P133" s="46">
        <f t="shared" ca="1" si="7"/>
        <v>8.6684210526130605E-3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input_516100!A$2</f>
        <v>516100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IFERROR(VLOOKUP(B134,input_516100!L:R,7,FALSE),VLOOKUP(tables_516100!C134,input_516100!A:H,8,FALSE))</f>
        <v>47800.384619999997</v>
      </c>
      <c r="P134" s="46">
        <f t="shared" ca="1" si="7"/>
        <v>3.6461010388938122E-4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input_516100!A$2</f>
        <v>516100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IFERROR(VLOOKUP(B135,input_516100!L:R,7,FALSE),VLOOKUP(tables_516100!C135,input_516100!A:H,8,FALSE))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input_516100!A$2</f>
        <v>516100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IFERROR(VLOOKUP(B136,input_516100!L:R,7,FALSE),VLOOKUP(tables_516100!C136,input_516100!A:H,8,FALSE))</f>
        <v>1136430</v>
      </c>
      <c r="P136" s="46">
        <f t="shared" ca="1" si="7"/>
        <v>8.6684210526130605E-3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input_516100!A$2</f>
        <v>516100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IFERROR(VLOOKUP(B137,input_516100!L:R,7,FALSE),VLOOKUP(tables_516100!C137,input_516100!A:H,8,FALSE))</f>
        <v>47800.384619999997</v>
      </c>
      <c r="P137" s="46">
        <f t="shared" ca="1" si="7"/>
        <v>3.6461010388938122E-4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input_516100!A$2</f>
        <v>516100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IFERROR(VLOOKUP(B138,input_516100!L:R,7,FALSE),VLOOKUP(tables_516100!C138,input_516100!A:H,8,FALSE))</f>
        <v>128250</v>
      </c>
      <c r="P138" s="46">
        <f t="shared" ca="1" si="7"/>
        <v>9.7826086956312734E-4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input_516100!A$2</f>
        <v>516100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IFERROR(VLOOKUP(B139,input_516100!L:R,7,FALSE),VLOOKUP(tables_516100!C139,input_516100!A:H,8,FALSE))</f>
        <v>14250</v>
      </c>
      <c r="P139" s="46">
        <f t="shared" ca="1" si="7"/>
        <v>1.0869565217368082E-4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input_516100!A$2</f>
        <v>516100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IFERROR(VLOOKUP(B140,input_516100!L:R,7,FALSE),VLOOKUP(tables_516100!C140,input_516100!A:H,8,FALSE))</f>
        <v>128250</v>
      </c>
      <c r="P140" s="46">
        <f t="shared" ca="1" si="7"/>
        <v>9.7826086956312734E-4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input_516100!A$2</f>
        <v>516100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IFERROR(VLOOKUP(B141,input_516100!L:R,7,FALSE),VLOOKUP(tables_516100!C141,input_516100!A:H,8,FALSE))</f>
        <v>14250</v>
      </c>
      <c r="P141" s="46">
        <f t="shared" ca="1" si="7"/>
        <v>1.0869565217368082E-4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input_516100!A$2</f>
        <v>516100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IFERROR(VLOOKUP(B142,input_516100!L:R,7,FALSE),VLOOKUP(tables_516100!C142,input_516100!A:H,8,FALSE))</f>
        <v>128250</v>
      </c>
      <c r="P142" s="46">
        <f t="shared" ca="1" si="7"/>
        <v>9.7826086956312734E-4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input_516100!A$2</f>
        <v>516100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IFERROR(VLOOKUP(B143,input_516100!L:R,7,FALSE),VLOOKUP(tables_516100!C143,input_516100!A:H,8,FALSE))</f>
        <v>14250</v>
      </c>
      <c r="P143" s="46">
        <f t="shared" ca="1" si="7"/>
        <v>1.0869565217368082E-4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input_516100!A$2</f>
        <v>516100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IFERROR(VLOOKUP(B144,input_516100!L:R,7,FALSE),VLOOKUP(tables_516100!C144,input_516100!A:H,8,FALSE))</f>
        <v>128250</v>
      </c>
      <c r="P144" s="46">
        <f t="shared" ca="1" si="7"/>
        <v>9.7826086956312734E-4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input_516100!A$2</f>
        <v>516100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IFERROR(VLOOKUP(B145,input_516100!L:R,7,FALSE),VLOOKUP(tables_516100!C145,input_516100!A:H,8,FALSE))</f>
        <v>14250</v>
      </c>
      <c r="P145" s="46">
        <f t="shared" ca="1" si="7"/>
        <v>1.0869565217368082E-4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input_516100!A$2</f>
        <v>516100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IFERROR(VLOOKUP(B146,input_516100!L:R,7,FALSE),VLOOKUP(tables_516100!C146,input_516100!A:H,8,FALSE))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input_516100!A$2</f>
        <v>516100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IFERROR(VLOOKUP(B147,input_516100!L:R,7,FALSE),VLOOKUP(tables_516100!C147,input_516100!A:H,8,FALSE))</f>
        <v>1136430</v>
      </c>
      <c r="P147" s="46">
        <f t="shared" ca="1" si="7"/>
        <v>8.6684210526130605E-3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input_516100!A$2</f>
        <v>516100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IFERROR(VLOOKUP(B148,input_516100!L:R,7,FALSE),VLOOKUP(tables_516100!C148,input_516100!A:H,8,FALSE))</f>
        <v>47800.384619999997</v>
      </c>
      <c r="P148" s="46">
        <f t="shared" ca="1" si="7"/>
        <v>3.6461010388938122E-4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input_516100!A$2</f>
        <v>516100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IFERROR(VLOOKUP(B149,input_516100!L:R,7,FALSE),VLOOKUP(tables_516100!C149,input_516100!A:H,8,FALSE))</f>
        <v>128250</v>
      </c>
      <c r="P149" s="46">
        <f t="shared" ca="1" si="7"/>
        <v>9.7826086956312734E-4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input_516100!A$2</f>
        <v>516100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IFERROR(VLOOKUP(B150,input_516100!L:R,7,FALSE),VLOOKUP(tables_516100!C150,input_516100!A:H,8,FALSE))</f>
        <v>14250</v>
      </c>
      <c r="P150" s="46">
        <f t="shared" ca="1" si="7"/>
        <v>1.0869565217368082E-4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input_516100!A$2</f>
        <v>516100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IFERROR(VLOOKUP(B151,input_516100!L:R,7,FALSE),VLOOKUP(tables_516100!C151,input_516100!A:H,8,FALSE))</f>
        <v>128250</v>
      </c>
      <c r="P151" s="46">
        <f t="shared" ca="1" si="7"/>
        <v>9.7826086956312734E-4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input_516100!A$2</f>
        <v>516100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IFERROR(VLOOKUP(B152,input_516100!L:R,7,FALSE),VLOOKUP(tables_516100!C152,input_516100!A:H,8,FALSE))</f>
        <v>14250</v>
      </c>
      <c r="P152" s="46">
        <f t="shared" ca="1" si="7"/>
        <v>1.0869565217368082E-4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input_516100!A$2</f>
        <v>516100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IFERROR(VLOOKUP(B153,input_516100!L:R,7,FALSE),VLOOKUP(tables_516100!C153,input_516100!A:H,8,FALSE))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input_516100!A$2</f>
        <v>516100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IFERROR(VLOOKUP(B154,input_516100!L:R,7,FALSE),VLOOKUP(tables_516100!C154,input_516100!A:H,8,FALSE))</f>
        <v>1136430</v>
      </c>
      <c r="P154" s="46">
        <f t="shared" ca="1" si="7"/>
        <v>8.6684210526130605E-3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input_516100!A$2</f>
        <v>516100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IFERROR(VLOOKUP(B155,input_516100!L:R,7,FALSE),VLOOKUP(tables_516100!C155,input_516100!A:H,8,FALSE))</f>
        <v>47800.384619999997</v>
      </c>
      <c r="P155" s="46">
        <f t="shared" ca="1" si="7"/>
        <v>3.6461010388938122E-4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input_516100!A$2</f>
        <v>516100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IFERROR(VLOOKUP(B156,input_516100!L:R,7,FALSE),VLOOKUP(tables_516100!C156,input_516100!A:H,8,FALSE))</f>
        <v>128250</v>
      </c>
      <c r="P156" s="46">
        <f t="shared" ca="1" si="7"/>
        <v>9.7826086956312734E-4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input_516100!A$2</f>
        <v>516100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IFERROR(VLOOKUP(B157,input_516100!L:R,7,FALSE),VLOOKUP(tables_516100!C157,input_516100!A:H,8,FALSE))</f>
        <v>14250</v>
      </c>
      <c r="P157" s="46">
        <f t="shared" ca="1" si="7"/>
        <v>1.0869565217368082E-4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input_516100!A$2</f>
        <v>516100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IFERROR(VLOOKUP(B158,input_516100!L:R,7,FALSE),VLOOKUP(tables_516100!C158,input_516100!A:H,8,FALSE))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input_516100!A$2</f>
        <v>516100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IFERROR(VLOOKUP(B159,input_516100!L:R,7,FALSE),VLOOKUP(tables_516100!C159,input_516100!A:H,8,FALSE))</f>
        <v>1136430</v>
      </c>
      <c r="P159" s="46">
        <f t="shared" ca="1" si="7"/>
        <v>8.6684210526130605E-3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input_516100!A$2</f>
        <v>516100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IFERROR(VLOOKUP(B160,input_516100!L:R,7,FALSE),VLOOKUP(tables_516100!C160,input_516100!A:H,8,FALSE))</f>
        <v>47800.384619999997</v>
      </c>
      <c r="P160" s="46">
        <f t="shared" ca="1" si="7"/>
        <v>3.6461010388938122E-4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input_516100!A$2</f>
        <v>516100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IFERROR(VLOOKUP(B161,input_516100!L:R,7,FALSE),VLOOKUP(tables_516100!C161,input_516100!A:H,8,FALSE))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input_516100!A$2</f>
        <v>516100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IFERROR(VLOOKUP(B162,input_516100!L:R,7,FALSE),VLOOKUP(tables_516100!C162,input_516100!A:H,8,FALSE))</f>
        <v>1136430</v>
      </c>
      <c r="P162" s="46">
        <f t="shared" ca="1" si="7"/>
        <v>8.6684210526130605E-3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input_516100!A$2</f>
        <v>516100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IFERROR(VLOOKUP(B163,input_516100!L:R,7,FALSE),VLOOKUP(tables_516100!C163,input_516100!A:H,8,FALSE))</f>
        <v>47800.384619999997</v>
      </c>
      <c r="P163" s="46">
        <f t="shared" ca="1" si="7"/>
        <v>3.6461010388938122E-4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input_516100!A$2</f>
        <v>516100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IFERROR(VLOOKUP(B164,input_516100!L:R,7,FALSE),VLOOKUP(tables_516100!C164,input_516100!A:H,8,FALSE))</f>
        <v>128250</v>
      </c>
      <c r="P164" s="46">
        <f t="shared" ca="1" si="7"/>
        <v>9.7826086956312734E-4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input_516100!A$2</f>
        <v>516100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IFERROR(VLOOKUP(B165,input_516100!L:R,7,FALSE),VLOOKUP(tables_516100!C165,input_516100!A:H,8,FALSE))</f>
        <v>14250</v>
      </c>
      <c r="P165" s="46">
        <f t="shared" ca="1" si="7"/>
        <v>1.0869565217368082E-4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input_516100!A$2</f>
        <v>516100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IFERROR(VLOOKUP(B166,input_516100!L:R,7,FALSE),VLOOKUP(tables_516100!C166,input_516100!A:H,8,FALSE))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input_516100!A$2</f>
        <v>516100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IFERROR(VLOOKUP(B167,input_516100!L:R,7,FALSE),VLOOKUP(tables_516100!C167,input_516100!A:H,8,FALSE))</f>
        <v>1136430</v>
      </c>
      <c r="P167" s="46">
        <f t="shared" ca="1" si="7"/>
        <v>8.6684210526130605E-3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input_516100!A$2</f>
        <v>516100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IFERROR(VLOOKUP(B168,input_516100!L:R,7,FALSE),VLOOKUP(tables_516100!C168,input_516100!A:H,8,FALSE))</f>
        <v>47800.384619999997</v>
      </c>
      <c r="P168" s="46">
        <f t="shared" ca="1" si="7"/>
        <v>3.6461010388938122E-4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input_516100!A$2</f>
        <v>516100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IFERROR(VLOOKUP(B169,input_516100!L:R,7,FALSE),VLOOKUP(tables_516100!C169,input_516100!A:H,8,FALSE))</f>
        <v>128250</v>
      </c>
      <c r="P169" s="46">
        <f t="shared" ca="1" si="7"/>
        <v>9.7826086956312734E-4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input_516100!A$2</f>
        <v>516100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IFERROR(VLOOKUP(B170,input_516100!L:R,7,FALSE),VLOOKUP(tables_516100!C170,input_516100!A:H,8,FALSE))</f>
        <v>14250</v>
      </c>
      <c r="P170" s="46">
        <f t="shared" ca="1" si="7"/>
        <v>1.0869565217368082E-4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input_516100!A$2</f>
        <v>516100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IFERROR(VLOOKUP(B171,input_516100!L:R,7,FALSE),VLOOKUP(tables_516100!C171,input_516100!A:H,8,FALSE))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input_516100!A$2</f>
        <v>516100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IFERROR(VLOOKUP(B172,input_516100!L:R,7,FALSE),VLOOKUP(tables_516100!C172,input_516100!A:H,8,FALSE))</f>
        <v>1136430</v>
      </c>
      <c r="P172" s="46">
        <f t="shared" ca="1" si="7"/>
        <v>8.6684210526130605E-3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input_516100!A$2</f>
        <v>516100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IFERROR(VLOOKUP(B173,input_516100!L:R,7,FALSE),VLOOKUP(tables_516100!C173,input_516100!A:H,8,FALSE))</f>
        <v>47800.384619999997</v>
      </c>
      <c r="P173" s="46">
        <f t="shared" ca="1" si="7"/>
        <v>3.6461010388938122E-4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input_516100!A$2</f>
        <v>516100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IFERROR(VLOOKUP(B174,input_516100!L:R,7,FALSE),VLOOKUP(tables_516100!C174,input_516100!A:H,8,FALSE))</f>
        <v>128250</v>
      </c>
      <c r="P174" s="46">
        <f t="shared" ca="1" si="7"/>
        <v>9.7826086956312734E-4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input_516100!A$2</f>
        <v>516100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IFERROR(VLOOKUP(B175,input_516100!L:R,7,FALSE),VLOOKUP(tables_516100!C175,input_516100!A:H,8,FALSE))</f>
        <v>14250</v>
      </c>
      <c r="P175" s="46">
        <f t="shared" ca="1" si="7"/>
        <v>1.0869565217368082E-4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input_516100!A$2</f>
        <v>516100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IFERROR(VLOOKUP(B176,input_516100!L:R,7,FALSE),VLOOKUP(tables_516100!C176,input_516100!A:H,8,FALSE))</f>
        <v>128250</v>
      </c>
      <c r="P176" s="46">
        <f t="shared" ca="1" si="7"/>
        <v>9.7826086956312734E-4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input_516100!A$2</f>
        <v>516100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IFERROR(VLOOKUP(B177,input_516100!L:R,7,FALSE),VLOOKUP(tables_516100!C177,input_516100!A:H,8,FALSE))</f>
        <v>14250</v>
      </c>
      <c r="P177" s="46">
        <f t="shared" ca="1" si="7"/>
        <v>1.0869565217368082E-4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input_516100!A$2</f>
        <v>516100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IFERROR(VLOOKUP(B178,input_516100!L:R,7,FALSE),VLOOKUP(tables_516100!C178,input_516100!A:H,8,FALSE))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input_516100!A$2</f>
        <v>516100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IFERROR(VLOOKUP(B179,input_516100!L:R,7,FALSE),VLOOKUP(tables_516100!C179,input_516100!A:H,8,FALSE))</f>
        <v>1136430</v>
      </c>
      <c r="P179" s="46">
        <f t="shared" ca="1" si="7"/>
        <v>8.6684210526130605E-3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input_516100!A$2</f>
        <v>516100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IFERROR(VLOOKUP(B180,input_516100!L:R,7,FALSE),VLOOKUP(tables_516100!C180,input_516100!A:H,8,FALSE))</f>
        <v>47800.384619999997</v>
      </c>
      <c r="P180" s="46">
        <f t="shared" ca="1" si="7"/>
        <v>3.6461010388938122E-4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input_516100!A$2</f>
        <v>516100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IFERROR(VLOOKUP(B181,input_516100!L:R,7,FALSE),VLOOKUP(tables_516100!C181,input_516100!A:H,8,FALSE))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input_516100!A$2</f>
        <v>516100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IFERROR(VLOOKUP(B182,input_516100!L:R,7,FALSE),VLOOKUP(tables_516100!C182,input_516100!A:H,8,FALSE))</f>
        <v>1136430</v>
      </c>
      <c r="P182" s="46">
        <f t="shared" ca="1" si="7"/>
        <v>8.6684210526130605E-3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input_516100!A$2</f>
        <v>516100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IFERROR(VLOOKUP(B183,input_516100!L:R,7,FALSE),VLOOKUP(tables_516100!C183,input_516100!A:H,8,FALSE))</f>
        <v>47800.384619999997</v>
      </c>
      <c r="P183" s="46">
        <f t="shared" ca="1" si="7"/>
        <v>3.6461010388938122E-4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input_516100!A$2</f>
        <v>516100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IFERROR(VLOOKUP(B184,input_516100!L:R,7,FALSE),VLOOKUP(tables_516100!C184,input_516100!A:H,8,FALSE))</f>
        <v>128250</v>
      </c>
      <c r="P184" s="46">
        <f t="shared" ca="1" si="7"/>
        <v>9.7826086956312734E-4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input_516100!A$2</f>
        <v>516100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IFERROR(VLOOKUP(B185,input_516100!L:R,7,FALSE),VLOOKUP(tables_516100!C185,input_516100!A:H,8,FALSE))</f>
        <v>14250</v>
      </c>
      <c r="P185" s="46">
        <f t="shared" ca="1" si="7"/>
        <v>1.0869565217368082E-4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input_516100!A$2</f>
        <v>516100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IFERROR(VLOOKUP(B186,input_516100!L:R,7,FALSE),VLOOKUP(tables_516100!C186,input_516100!A:H,8,FALSE))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input_516100!A$2</f>
        <v>516100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IFERROR(VLOOKUP(B187,input_516100!L:R,7,FALSE),VLOOKUP(tables_516100!C187,input_516100!A:H,8,FALSE))</f>
        <v>1136430</v>
      </c>
      <c r="P187" s="46">
        <f t="shared" ca="1" si="7"/>
        <v>8.6684210526130605E-3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input_516100!A$2</f>
        <v>516100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IFERROR(VLOOKUP(B188,input_516100!L:R,7,FALSE),VLOOKUP(tables_516100!C188,input_516100!A:H,8,FALSE))</f>
        <v>47800.384619999997</v>
      </c>
      <c r="P188" s="46">
        <f t="shared" ca="1" si="7"/>
        <v>3.6461010388938122E-4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input_516100!A$2</f>
        <v>516100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IFERROR(VLOOKUP(B189,input_516100!L:R,7,FALSE),VLOOKUP(tables_516100!C189,input_516100!A:H,8,FALSE))</f>
        <v>128250</v>
      </c>
      <c r="P189" s="46">
        <f t="shared" ca="1" si="7"/>
        <v>9.7826086956312734E-4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input_516100!A$2</f>
        <v>516100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IFERROR(VLOOKUP(B190,input_516100!L:R,7,FALSE),VLOOKUP(tables_516100!C190,input_516100!A:H,8,FALSE))</f>
        <v>14250</v>
      </c>
      <c r="P190" s="46">
        <f t="shared" ca="1" si="7"/>
        <v>1.0869565217368082E-4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input_516100!A$2</f>
        <v>516100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IFERROR(VLOOKUP(B191,input_516100!L:R,7,FALSE),VLOOKUP(tables_516100!C191,input_516100!A:H,8,FALSE))</f>
        <v>128250</v>
      </c>
      <c r="P191" s="46">
        <f t="shared" ca="1" si="7"/>
        <v>9.7826086956312734E-4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input_516100!A$2</f>
        <v>516100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IFERROR(VLOOKUP(B192,input_516100!L:R,7,FALSE),VLOOKUP(tables_516100!C192,input_516100!A:H,8,FALSE))</f>
        <v>14250</v>
      </c>
      <c r="P192" s="46">
        <f t="shared" ca="1" si="7"/>
        <v>1.0869565217368082E-4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input_516100!A$2</f>
        <v>516100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IFERROR(VLOOKUP(B193,input_516100!L:R,7,FALSE),VLOOKUP(tables_516100!C193,input_516100!A:H,8,FALSE))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input_516100!A$2</f>
        <v>516100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IFERROR(VLOOKUP(B194,input_516100!L:R,7,FALSE),VLOOKUP(tables_516100!C194,input_516100!A:H,8,FALSE))</f>
        <v>1136430</v>
      </c>
      <c r="P194" s="46">
        <f t="shared" ref="P194:P257" ca="1" si="10">O194/SUM(O:O)</f>
        <v>8.6684210526130605E-3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input_516100!A$2</f>
        <v>516100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IFERROR(VLOOKUP(B195,input_516100!L:R,7,FALSE),VLOOKUP(tables_516100!C195,input_516100!A:H,8,FALSE))</f>
        <v>47800.384619999997</v>
      </c>
      <c r="P195" s="46">
        <f t="shared" ca="1" si="10"/>
        <v>3.6461010388938122E-4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input_516100!A$2</f>
        <v>516100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IFERROR(VLOOKUP(B196,input_516100!L:R,7,FALSE),VLOOKUP(tables_516100!C196,input_516100!A:H,8,FALSE))</f>
        <v>128250</v>
      </c>
      <c r="P196" s="46">
        <f t="shared" ca="1" si="10"/>
        <v>9.7826086956312734E-4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input_516100!A$2</f>
        <v>516100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IFERROR(VLOOKUP(B197,input_516100!L:R,7,FALSE),VLOOKUP(tables_516100!C197,input_516100!A:H,8,FALSE))</f>
        <v>14250</v>
      </c>
      <c r="P197" s="46">
        <f t="shared" ca="1" si="10"/>
        <v>1.0869565217368082E-4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input_516100!A$2</f>
        <v>516100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IFERROR(VLOOKUP(B198,input_516100!L:R,7,FALSE),VLOOKUP(tables_516100!C198,input_516100!A:H,8,FALSE))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input_516100!A$2</f>
        <v>516100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IFERROR(VLOOKUP(B199,input_516100!L:R,7,FALSE),VLOOKUP(tables_516100!C199,input_516100!A:H,8,FALSE))</f>
        <v>1136430</v>
      </c>
      <c r="P199" s="46">
        <f t="shared" ca="1" si="10"/>
        <v>8.6684210526130605E-3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input_516100!A$2</f>
        <v>516100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IFERROR(VLOOKUP(B200,input_516100!L:R,7,FALSE),VLOOKUP(tables_516100!C200,input_516100!A:H,8,FALSE))</f>
        <v>47800.384619999997</v>
      </c>
      <c r="P200" s="46">
        <f t="shared" ca="1" si="10"/>
        <v>3.6461010388938122E-4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input_516100!A$2</f>
        <v>516100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IFERROR(VLOOKUP(B201,input_516100!L:R,7,FALSE),VLOOKUP(tables_516100!C201,input_516100!A:H,8,FALSE))</f>
        <v>128250</v>
      </c>
      <c r="P201" s="46">
        <f t="shared" ca="1" si="10"/>
        <v>9.7826086956312734E-4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input_516100!A$2</f>
        <v>516100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IFERROR(VLOOKUP(B202,input_516100!L:R,7,FALSE),VLOOKUP(tables_516100!C202,input_516100!A:H,8,FALSE))</f>
        <v>14250</v>
      </c>
      <c r="P202" s="46">
        <f t="shared" ca="1" si="10"/>
        <v>1.0869565217368082E-4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input_516100!A$2</f>
        <v>516100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IFERROR(VLOOKUP(B203,input_516100!L:R,7,FALSE),VLOOKUP(tables_516100!C203,input_516100!A:H,8,FALSE))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input_516100!A$2</f>
        <v>516100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IFERROR(VLOOKUP(B204,input_516100!L:R,7,FALSE),VLOOKUP(tables_516100!C204,input_516100!A:H,8,FALSE))</f>
        <v>1136430</v>
      </c>
      <c r="P204" s="46">
        <f t="shared" ca="1" si="10"/>
        <v>8.6684210526130605E-3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input_516100!A$2</f>
        <v>516100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IFERROR(VLOOKUP(B205,input_516100!L:R,7,FALSE),VLOOKUP(tables_516100!C205,input_516100!A:H,8,FALSE))</f>
        <v>47800.384619999997</v>
      </c>
      <c r="P205" s="46">
        <f t="shared" ca="1" si="10"/>
        <v>3.6461010388938122E-4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input_516100!A$2</f>
        <v>516100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IFERROR(VLOOKUP(B206,input_516100!L:R,7,FALSE),VLOOKUP(tables_516100!C206,input_516100!A:H,8,FALSE))</f>
        <v>128250</v>
      </c>
      <c r="P206" s="46">
        <f t="shared" ca="1" si="10"/>
        <v>9.7826086956312734E-4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input_516100!A$2</f>
        <v>516100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IFERROR(VLOOKUP(B207,input_516100!L:R,7,FALSE),VLOOKUP(tables_516100!C207,input_516100!A:H,8,FALSE))</f>
        <v>14250</v>
      </c>
      <c r="P207" s="46">
        <f t="shared" ca="1" si="10"/>
        <v>1.0869565217368082E-4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input_516100!A$2</f>
        <v>516100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IFERROR(VLOOKUP(B208,input_516100!L:R,7,FALSE),VLOOKUP(tables_516100!C208,input_516100!A:H,8,FALSE))</f>
        <v>128250</v>
      </c>
      <c r="P208" s="46">
        <f t="shared" ca="1" si="10"/>
        <v>9.7826086956312734E-4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input_516100!A$2</f>
        <v>516100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IFERROR(VLOOKUP(B209,input_516100!L:R,7,FALSE),VLOOKUP(tables_516100!C209,input_516100!A:H,8,FALSE))</f>
        <v>14250</v>
      </c>
      <c r="P209" s="46">
        <f t="shared" ca="1" si="10"/>
        <v>1.0869565217368082E-4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input_516100!A$2</f>
        <v>516100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IFERROR(VLOOKUP(B210,input_516100!L:R,7,FALSE),VLOOKUP(tables_516100!C210,input_516100!A:H,8,FALSE))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input_516100!A$2</f>
        <v>516100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IFERROR(VLOOKUP(B211,input_516100!L:R,7,FALSE),VLOOKUP(tables_516100!C211,input_516100!A:H,8,FALSE))</f>
        <v>1136430</v>
      </c>
      <c r="P211" s="46">
        <f t="shared" ca="1" si="10"/>
        <v>8.6684210526130605E-3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input_516100!A$2</f>
        <v>516100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IFERROR(VLOOKUP(B212,input_516100!L:R,7,FALSE),VLOOKUP(tables_516100!C212,input_516100!A:H,8,FALSE))</f>
        <v>47800.384619999997</v>
      </c>
      <c r="P212" s="46">
        <f t="shared" ca="1" si="10"/>
        <v>3.6461010388938122E-4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input_516100!A$2</f>
        <v>516100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IFERROR(VLOOKUP(B213,input_516100!L:R,7,FALSE),VLOOKUP(tables_516100!C213,input_516100!A:H,8,FALSE))</f>
        <v>128250</v>
      </c>
      <c r="P213" s="46">
        <f t="shared" ca="1" si="10"/>
        <v>9.7826086956312734E-4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input_516100!A$2</f>
        <v>516100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IFERROR(VLOOKUP(B214,input_516100!L:R,7,FALSE),VLOOKUP(tables_516100!C214,input_516100!A:H,8,FALSE))</f>
        <v>14250</v>
      </c>
      <c r="P214" s="46">
        <f t="shared" ca="1" si="10"/>
        <v>1.0869565217368082E-4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input_516100!A$2</f>
        <v>516100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IFERROR(VLOOKUP(B215,input_516100!L:R,7,FALSE),VLOOKUP(tables_516100!C215,input_516100!A:H,8,FALSE))</f>
        <v>126270</v>
      </c>
      <c r="P215" s="46">
        <f t="shared" ca="1" si="10"/>
        <v>9.6315789473478438E-4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input_516100!A$2</f>
        <v>516100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IFERROR(VLOOKUP(B216,input_516100!L:R,7,FALSE),VLOOKUP(tables_516100!C216,input_516100!A:H,8,FALSE))</f>
        <v>126270</v>
      </c>
      <c r="P216" s="46">
        <f t="shared" ca="1" si="10"/>
        <v>9.6315789473478438E-4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input_516100!A$2</f>
        <v>516100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IFERROR(VLOOKUP(B217,input_516100!L:R,7,FALSE),VLOOKUP(tables_516100!C217,input_516100!A:H,8,FALSE))</f>
        <v>126270</v>
      </c>
      <c r="P217" s="46">
        <f t="shared" ca="1" si="10"/>
        <v>9.6315789473478438E-4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input_516100!A$2</f>
        <v>516100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IFERROR(VLOOKUP(B218,input_516100!L:R,7,FALSE),VLOOKUP(tables_516100!C218,input_516100!A:H,8,FALSE))</f>
        <v>126270</v>
      </c>
      <c r="P218" s="46">
        <f t="shared" ca="1" si="10"/>
        <v>9.6315789473478438E-4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input_516100!A$2</f>
        <v>516100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IFERROR(VLOOKUP(B219,input_516100!L:R,7,FALSE),VLOOKUP(tables_516100!C219,input_516100!A:H,8,FALSE))</f>
        <v>126270</v>
      </c>
      <c r="P219" s="46">
        <f t="shared" ca="1" si="10"/>
        <v>9.6315789473478438E-4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input_516100!A$2</f>
        <v>516100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IFERROR(VLOOKUP(B220,input_516100!L:R,7,FALSE),VLOOKUP(tables_516100!C220,input_516100!A:H,8,FALSE))</f>
        <v>126270</v>
      </c>
      <c r="P220" s="46">
        <f t="shared" ca="1" si="10"/>
        <v>9.6315789473478438E-4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input_516100!A$2</f>
        <v>516100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IFERROR(VLOOKUP(B221,input_516100!L:R,7,FALSE),VLOOKUP(tables_516100!C221,input_516100!A:H,8,FALSE))</f>
        <v>128250</v>
      </c>
      <c r="P221" s="46">
        <f t="shared" ca="1" si="10"/>
        <v>9.7826086956312734E-4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input_516100!A$2</f>
        <v>516100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IFERROR(VLOOKUP(B222,input_516100!L:R,7,FALSE),VLOOKUP(tables_516100!C222,input_516100!A:H,8,FALSE))</f>
        <v>14250</v>
      </c>
      <c r="P222" s="46">
        <f t="shared" ca="1" si="10"/>
        <v>1.0869565217368082E-4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input_516100!A$2</f>
        <v>516100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IFERROR(VLOOKUP(B223,input_516100!L:R,7,FALSE),VLOOKUP(tables_516100!C223,input_516100!A:H,8,FALSE))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input_516100!A$2</f>
        <v>516100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IFERROR(VLOOKUP(B224,input_516100!L:R,7,FALSE),VLOOKUP(tables_516100!C224,input_516100!A:H,8,FALSE))</f>
        <v>1136430</v>
      </c>
      <c r="P224" s="46">
        <f t="shared" ca="1" si="10"/>
        <v>8.6684210526130605E-3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input_516100!A$2</f>
        <v>516100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IFERROR(VLOOKUP(B225,input_516100!L:R,7,FALSE),VLOOKUP(tables_516100!C225,input_516100!A:H,8,FALSE))</f>
        <v>47800.384619999997</v>
      </c>
      <c r="P225" s="46">
        <f t="shared" ca="1" si="10"/>
        <v>3.6461010388938122E-4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input_516100!A$2</f>
        <v>516100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IFERROR(VLOOKUP(B226,input_516100!L:R,7,FALSE),VLOOKUP(tables_516100!C226,input_516100!A:H,8,FALSE))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input_516100!A$2</f>
        <v>516100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IFERROR(VLOOKUP(B227,input_516100!L:R,7,FALSE),VLOOKUP(tables_516100!C227,input_516100!A:H,8,FALSE))</f>
        <v>1136430</v>
      </c>
      <c r="P227" s="46">
        <f t="shared" ca="1" si="10"/>
        <v>8.6684210526130605E-3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input_516100!A$2</f>
        <v>516100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IFERROR(VLOOKUP(B228,input_516100!L:R,7,FALSE),VLOOKUP(tables_516100!C228,input_516100!A:H,8,FALSE))</f>
        <v>47800.384619999997</v>
      </c>
      <c r="P228" s="46">
        <f t="shared" ca="1" si="10"/>
        <v>3.6461010388938122E-4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input_516100!A$2</f>
        <v>516100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IFERROR(VLOOKUP(B229,input_516100!L:R,7,FALSE),VLOOKUP(tables_516100!C229,input_516100!A:H,8,FALSE))</f>
        <v>128250</v>
      </c>
      <c r="P229" s="46">
        <f t="shared" ca="1" si="10"/>
        <v>9.7826086956312734E-4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input_516100!A$2</f>
        <v>516100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IFERROR(VLOOKUP(B230,input_516100!L:R,7,FALSE),VLOOKUP(tables_516100!C230,input_516100!A:H,8,FALSE))</f>
        <v>14250</v>
      </c>
      <c r="P230" s="46">
        <f t="shared" ca="1" si="10"/>
        <v>1.0869565217368082E-4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input_516100!A$2</f>
        <v>516100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IFERROR(VLOOKUP(B231,input_516100!L:R,7,FALSE),VLOOKUP(tables_516100!C231,input_516100!A:H,8,FALSE))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input_516100!A$2</f>
        <v>516100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IFERROR(VLOOKUP(B232,input_516100!L:R,7,FALSE),VLOOKUP(tables_516100!C232,input_516100!A:H,8,FALSE))</f>
        <v>1136430</v>
      </c>
      <c r="P232" s="46">
        <f t="shared" ca="1" si="10"/>
        <v>8.6684210526130605E-3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input_516100!A$2</f>
        <v>516100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IFERROR(VLOOKUP(B233,input_516100!L:R,7,FALSE),VLOOKUP(tables_516100!C233,input_516100!A:H,8,FALSE))</f>
        <v>47800.384619999997</v>
      </c>
      <c r="P233" s="46">
        <f t="shared" ca="1" si="10"/>
        <v>3.6461010388938122E-4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input_516100!A$2</f>
        <v>516100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IFERROR(VLOOKUP(B234,input_516100!L:R,7,FALSE),VLOOKUP(tables_516100!C234,input_516100!A:H,8,FALSE))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input_516100!A$2</f>
        <v>516100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IFERROR(VLOOKUP(B235,input_516100!L:R,7,FALSE),VLOOKUP(tables_516100!C235,input_516100!A:H,8,FALSE))</f>
        <v>1136430</v>
      </c>
      <c r="P235" s="46">
        <f t="shared" ca="1" si="10"/>
        <v>8.6684210526130605E-3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input_516100!A$2</f>
        <v>516100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IFERROR(VLOOKUP(B236,input_516100!L:R,7,FALSE),VLOOKUP(tables_516100!C236,input_516100!A:H,8,FALSE))</f>
        <v>47800.384619999997</v>
      </c>
      <c r="P236" s="46">
        <f t="shared" ca="1" si="10"/>
        <v>3.6461010388938122E-4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input_516100!A$2</f>
        <v>516100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IFERROR(VLOOKUP(B237,input_516100!L:R,7,FALSE),VLOOKUP(tables_516100!C237,input_516100!A:H,8,FALSE))</f>
        <v>128250</v>
      </c>
      <c r="P237" s="46">
        <f t="shared" ca="1" si="10"/>
        <v>9.7826086956312734E-4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input_516100!A$2</f>
        <v>516100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IFERROR(VLOOKUP(B238,input_516100!L:R,7,FALSE),VLOOKUP(tables_516100!C238,input_516100!A:H,8,FALSE))</f>
        <v>14250</v>
      </c>
      <c r="P238" s="46">
        <f t="shared" ca="1" si="10"/>
        <v>1.0869565217368082E-4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input_516100!A$2</f>
        <v>516100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IFERROR(VLOOKUP(B239,input_516100!L:R,7,FALSE),VLOOKUP(tables_516100!C239,input_516100!A:H,8,FALSE))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input_516100!A$2</f>
        <v>516100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IFERROR(VLOOKUP(B240,input_516100!L:R,7,FALSE),VLOOKUP(tables_516100!C240,input_516100!A:H,8,FALSE))</f>
        <v>1136430</v>
      </c>
      <c r="P240" s="46">
        <f t="shared" ca="1" si="10"/>
        <v>8.6684210526130605E-3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input_516100!A$2</f>
        <v>516100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IFERROR(VLOOKUP(B241,input_516100!L:R,7,FALSE),VLOOKUP(tables_516100!C241,input_516100!A:H,8,FALSE))</f>
        <v>47800.384619999997</v>
      </c>
      <c r="P241" s="46">
        <f t="shared" ca="1" si="10"/>
        <v>3.6461010388938122E-4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input_516100!A$2</f>
        <v>516100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IFERROR(VLOOKUP(B242,input_516100!L:R,7,FALSE),VLOOKUP(tables_516100!C242,input_516100!A:H,8,FALSE))</f>
        <v>128250</v>
      </c>
      <c r="P242" s="46">
        <f t="shared" ca="1" si="10"/>
        <v>9.7826086956312734E-4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input_516100!A$2</f>
        <v>516100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IFERROR(VLOOKUP(B243,input_516100!L:R,7,FALSE),VLOOKUP(tables_516100!C243,input_516100!A:H,8,FALSE))</f>
        <v>14250</v>
      </c>
      <c r="P243" s="46">
        <f t="shared" ca="1" si="10"/>
        <v>1.0869565217368082E-4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input_516100!A$2</f>
        <v>516100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IFERROR(VLOOKUP(B244,input_516100!L:R,7,FALSE),VLOOKUP(tables_516100!C244,input_516100!A:H,8,FALSE))</f>
        <v>128250</v>
      </c>
      <c r="P244" s="46">
        <f t="shared" ca="1" si="10"/>
        <v>9.7826086956312734E-4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input_516100!A$2</f>
        <v>516100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IFERROR(VLOOKUP(B245,input_516100!L:R,7,FALSE),VLOOKUP(tables_516100!C245,input_516100!A:H,8,FALSE))</f>
        <v>14250</v>
      </c>
      <c r="P245" s="46">
        <f t="shared" ca="1" si="10"/>
        <v>1.0869565217368082E-4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input_516100!A$2</f>
        <v>516100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IFERROR(VLOOKUP(B246,input_516100!L:R,7,FALSE),VLOOKUP(tables_516100!C246,input_516100!A:H,8,FALSE))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input_516100!A$2</f>
        <v>516100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IFERROR(VLOOKUP(B247,input_516100!L:R,7,FALSE),VLOOKUP(tables_516100!C247,input_516100!A:H,8,FALSE))</f>
        <v>1136430</v>
      </c>
      <c r="P247" s="46">
        <f t="shared" ca="1" si="10"/>
        <v>8.6684210526130605E-3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input_516100!A$2</f>
        <v>516100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IFERROR(VLOOKUP(B248,input_516100!L:R,7,FALSE),VLOOKUP(tables_516100!C248,input_516100!A:H,8,FALSE))</f>
        <v>47800.384619999997</v>
      </c>
      <c r="P248" s="46">
        <f t="shared" ca="1" si="10"/>
        <v>3.6461010388938122E-4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input_516100!A$2</f>
        <v>516100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IFERROR(VLOOKUP(B249,input_516100!L:R,7,FALSE),VLOOKUP(tables_516100!C249,input_516100!A:H,8,FALSE))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input_516100!A$2</f>
        <v>516100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IFERROR(VLOOKUP(B250,input_516100!L:R,7,FALSE),VLOOKUP(tables_516100!C250,input_516100!A:H,8,FALSE))</f>
        <v>1136430</v>
      </c>
      <c r="P250" s="46">
        <f t="shared" ca="1" si="10"/>
        <v>8.6684210526130605E-3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input_516100!A$2</f>
        <v>516100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IFERROR(VLOOKUP(B251,input_516100!L:R,7,FALSE),VLOOKUP(tables_516100!C251,input_516100!A:H,8,FALSE))</f>
        <v>47800.384619999997</v>
      </c>
      <c r="P251" s="46">
        <f t="shared" ca="1" si="10"/>
        <v>3.6461010388938122E-4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input_516100!A$2</f>
        <v>516100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IFERROR(VLOOKUP(B252,input_516100!L:R,7,FALSE),VLOOKUP(tables_516100!C252,input_516100!A:H,8,FALSE))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input_516100!A$2</f>
        <v>516100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IFERROR(VLOOKUP(B253,input_516100!L:R,7,FALSE),VLOOKUP(tables_516100!C253,input_516100!A:H,8,FALSE))</f>
        <v>1136430</v>
      </c>
      <c r="P253" s="46">
        <f t="shared" ca="1" si="10"/>
        <v>8.6684210526130605E-3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input_516100!A$2</f>
        <v>516100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IFERROR(VLOOKUP(B254,input_516100!L:R,7,FALSE),VLOOKUP(tables_516100!C254,input_516100!A:H,8,FALSE))</f>
        <v>47800.384619999997</v>
      </c>
      <c r="P254" s="46">
        <f t="shared" ca="1" si="10"/>
        <v>3.6461010388938122E-4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input_516100!A$2</f>
        <v>516100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IFERROR(VLOOKUP(B255,input_516100!L:R,7,FALSE),VLOOKUP(tables_516100!C255,input_516100!A:H,8,FALSE))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input_516100!A$2</f>
        <v>516100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IFERROR(VLOOKUP(B256,input_516100!L:R,7,FALSE),VLOOKUP(tables_516100!C256,input_516100!A:H,8,FALSE))</f>
        <v>1136430</v>
      </c>
      <c r="P256" s="46">
        <f t="shared" ca="1" si="10"/>
        <v>8.6684210526130605E-3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input_516100!A$2</f>
        <v>516100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IFERROR(VLOOKUP(B257,input_516100!L:R,7,FALSE),VLOOKUP(tables_516100!C257,input_516100!A:H,8,FALSE))</f>
        <v>47800.384619999997</v>
      </c>
      <c r="P257" s="46">
        <f t="shared" ca="1" si="10"/>
        <v>3.6461010388938122E-4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input_516100!A$2</f>
        <v>516100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IFERROR(VLOOKUP(B258,input_516100!L:R,7,FALSE),VLOOKUP(tables_516100!C258,input_516100!A:H,8,FALSE))</f>
        <v>128250</v>
      </c>
      <c r="P258" s="46">
        <f t="shared" ref="P258:P294" ca="1" si="13">O258/SUM(O:O)</f>
        <v>9.7826086956312734E-4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input_516100!A$2</f>
        <v>516100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IFERROR(VLOOKUP(B259,input_516100!L:R,7,FALSE),VLOOKUP(tables_516100!C259,input_516100!A:H,8,FALSE))</f>
        <v>14250</v>
      </c>
      <c r="P259" s="46">
        <f t="shared" ca="1" si="13"/>
        <v>1.0869565217368082E-4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input_516100!A$2</f>
        <v>516100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IFERROR(VLOOKUP(B260,input_516100!L:R,7,FALSE),VLOOKUP(tables_516100!C260,input_516100!A:H,8,FALSE))</f>
        <v>128250</v>
      </c>
      <c r="P260" s="46">
        <f t="shared" ca="1" si="13"/>
        <v>9.7826086956312734E-4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input_516100!A$2</f>
        <v>516100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IFERROR(VLOOKUP(B261,input_516100!L:R,7,FALSE),VLOOKUP(tables_516100!C261,input_516100!A:H,8,FALSE))</f>
        <v>14250</v>
      </c>
      <c r="P261" s="46">
        <f t="shared" ca="1" si="13"/>
        <v>1.0869565217368082E-4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input_516100!A$2</f>
        <v>516100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IFERROR(VLOOKUP(B262,input_516100!L:R,7,FALSE),VLOOKUP(tables_516100!C262,input_516100!A:H,8,FALSE))</f>
        <v>1096555.2631600001</v>
      </c>
      <c r="P262" s="46">
        <f t="shared" ca="1" si="13"/>
        <v>8.3642659279760286E-3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input_516100!A$2</f>
        <v>516100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IFERROR(VLOOKUP(B263,input_516100!L:R,7,FALSE),VLOOKUP(tables_516100!C263,input_516100!A:H,8,FALSE))</f>
        <v>126270</v>
      </c>
      <c r="P263" s="46">
        <f t="shared" ca="1" si="13"/>
        <v>9.6315789473478438E-4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input_516100!A$2</f>
        <v>516100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IFERROR(VLOOKUP(B264,input_516100!L:R,7,FALSE),VLOOKUP(tables_516100!C264,input_516100!A:H,8,FALSE))</f>
        <v>1096555.2631600001</v>
      </c>
      <c r="P264" s="46">
        <f t="shared" ca="1" si="13"/>
        <v>8.3642659279760286E-3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input_516100!A$2</f>
        <v>516100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IFERROR(VLOOKUP(B265,input_516100!L:R,7,FALSE),VLOOKUP(tables_516100!C265,input_516100!A:H,8,FALSE))</f>
        <v>126270</v>
      </c>
      <c r="P265" s="46">
        <f t="shared" ca="1" si="13"/>
        <v>9.6315789473478438E-4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input_516100!A$2</f>
        <v>516100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IFERROR(VLOOKUP(B266,input_516100!L:R,7,FALSE),VLOOKUP(tables_516100!C266,input_516100!A:H,8,FALSE))</f>
        <v>142500</v>
      </c>
      <c r="P266" s="46">
        <f t="shared" ca="1" si="13"/>
        <v>1.0869565217368083E-3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input_516100!A$2</f>
        <v>516100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IFERROR(VLOOKUP(B267,input_516100!L:R,7,FALSE),VLOOKUP(tables_516100!C267,input_516100!A:H,8,FALSE))</f>
        <v>142500</v>
      </c>
      <c r="P267" s="46">
        <f t="shared" ca="1" si="13"/>
        <v>1.0869565217368083E-3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input_516100!A$2</f>
        <v>516100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IFERROR(VLOOKUP(B268,input_516100!L:R,7,FALSE),VLOOKUP(tables_516100!C268,input_516100!A:H,8,FALSE))</f>
        <v>142500</v>
      </c>
      <c r="P268" s="46">
        <f t="shared" ca="1" si="13"/>
        <v>1.0869565217368083E-3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input_516100!A$2</f>
        <v>516100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IFERROR(VLOOKUP(B269,input_516100!L:R,7,FALSE),VLOOKUP(tables_516100!C269,input_516100!A:H,8,FALSE))</f>
        <v>142500</v>
      </c>
      <c r="P269" s="46">
        <f t="shared" ca="1" si="13"/>
        <v>1.0869565217368083E-3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input_516100!A$2</f>
        <v>516100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IFERROR(VLOOKUP(B270,input_516100!L:R,7,FALSE),VLOOKUP(tables_516100!C270,input_516100!A:H,8,FALSE))</f>
        <v>1096555.2631600001</v>
      </c>
      <c r="P270" s="46">
        <f t="shared" ca="1" si="13"/>
        <v>8.3642659279760286E-3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input_516100!A$2</f>
        <v>516100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IFERROR(VLOOKUP(B271,input_516100!L:R,7,FALSE),VLOOKUP(tables_516100!C271,input_516100!A:H,8,FALSE))</f>
        <v>126270</v>
      </c>
      <c r="P271" s="46">
        <f t="shared" ca="1" si="13"/>
        <v>9.6315789473478438E-4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input_516100!A$2</f>
        <v>516100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IFERROR(VLOOKUP(B272,input_516100!L:R,7,FALSE),VLOOKUP(tables_516100!C272,input_516100!A:H,8,FALSE))</f>
        <v>1096555.2631600001</v>
      </c>
      <c r="P272" s="46">
        <f t="shared" ca="1" si="13"/>
        <v>8.3642659279760286E-3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input_516100!A$2</f>
        <v>516100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IFERROR(VLOOKUP(B273,input_516100!L:R,7,FALSE),VLOOKUP(tables_516100!C273,input_516100!A:H,8,FALSE))</f>
        <v>126270</v>
      </c>
      <c r="P273" s="46">
        <f t="shared" ca="1" si="13"/>
        <v>9.6315789473478438E-4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input_516100!A$2</f>
        <v>516100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IFERROR(VLOOKUP(B274,input_516100!L:R,7,FALSE),VLOOKUP(tables_516100!C274,input_516100!A:H,8,FALSE))</f>
        <v>128250</v>
      </c>
      <c r="P274" s="46">
        <f t="shared" ca="1" si="13"/>
        <v>9.7826086956312734E-4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input_516100!A$2</f>
        <v>516100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IFERROR(VLOOKUP(B275,input_516100!L:R,7,FALSE),VLOOKUP(tables_516100!C275,input_516100!A:H,8,FALSE))</f>
        <v>14250</v>
      </c>
      <c r="P275" s="46">
        <f t="shared" ca="1" si="13"/>
        <v>1.0869565217368082E-4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input_516100!A$2</f>
        <v>516100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IFERROR(VLOOKUP(B276,input_516100!L:R,7,FALSE),VLOOKUP(tables_516100!C276,input_516100!A:H,8,FALSE))</f>
        <v>128250</v>
      </c>
      <c r="P276" s="46">
        <f t="shared" ca="1" si="13"/>
        <v>9.7826086956312734E-4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input_516100!A$2</f>
        <v>516100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IFERROR(VLOOKUP(B277,input_516100!L:R,7,FALSE),VLOOKUP(tables_516100!C277,input_516100!A:H,8,FALSE))</f>
        <v>14250</v>
      </c>
      <c r="P277" s="46">
        <f t="shared" ca="1" si="13"/>
        <v>1.0869565217368082E-4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input_516100!A$2</f>
        <v>516100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IFERROR(VLOOKUP(B278,input_516100!L:R,7,FALSE),VLOOKUP(tables_516100!C278,input_516100!A:H,8,FALSE))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input_516100!A$2</f>
        <v>516100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IFERROR(VLOOKUP(B279,input_516100!L:R,7,FALSE),VLOOKUP(tables_516100!C279,input_516100!A:H,8,FALSE))</f>
        <v>1136430</v>
      </c>
      <c r="P279" s="46">
        <f t="shared" ca="1" si="13"/>
        <v>8.6684210526130605E-3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input_516100!A$2</f>
        <v>516100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IFERROR(VLOOKUP(B280,input_516100!L:R,7,FALSE),VLOOKUP(tables_516100!C280,input_516100!A:H,8,FALSE))</f>
        <v>47800.384619999997</v>
      </c>
      <c r="P280" s="46">
        <f t="shared" ca="1" si="13"/>
        <v>3.6461010388938122E-4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input_516100!A$2</f>
        <v>516100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IFERROR(VLOOKUP(B281,input_516100!L:R,7,FALSE),VLOOKUP(tables_516100!C281,input_516100!A:H,8,FALSE))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input_516100!A$2</f>
        <v>516100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IFERROR(VLOOKUP(B282,input_516100!L:R,7,FALSE),VLOOKUP(tables_516100!C282,input_516100!A:H,8,FALSE))</f>
        <v>1136430</v>
      </c>
      <c r="P282" s="46">
        <f t="shared" ca="1" si="13"/>
        <v>8.6684210526130605E-3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input_516100!A$2</f>
        <v>516100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IFERROR(VLOOKUP(B283,input_516100!L:R,7,FALSE),VLOOKUP(tables_516100!C283,input_516100!A:H,8,FALSE))</f>
        <v>47800.384619999997</v>
      </c>
      <c r="P283" s="46">
        <f t="shared" ca="1" si="13"/>
        <v>3.6461010388938122E-4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input_516100!A$2</f>
        <v>516100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IFERROR(VLOOKUP(B284,input_516100!L:R,7,FALSE),VLOOKUP(tables_516100!C284,input_516100!A:H,8,FALSE))</f>
        <v>142500</v>
      </c>
      <c r="P284" s="46">
        <f t="shared" ca="1" si="13"/>
        <v>1.0869565217368083E-3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input_516100!A$2</f>
        <v>516100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IFERROR(VLOOKUP(B285,input_516100!L:R,7,FALSE),VLOOKUP(tables_516100!C285,input_516100!A:H,8,FALSE))</f>
        <v>142500</v>
      </c>
      <c r="P285" s="46">
        <f t="shared" ca="1" si="13"/>
        <v>1.0869565217368083E-3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input_516100!A$2</f>
        <v>516100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IFERROR(VLOOKUP(B286,input_516100!L:R,7,FALSE),VLOOKUP(tables_516100!C286,input_516100!A:H,8,FALSE))</f>
        <v>1096555.2631600001</v>
      </c>
      <c r="P286" s="46">
        <f t="shared" ca="1" si="13"/>
        <v>8.3642659279760286E-3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input_516100!A$2</f>
        <v>516100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IFERROR(VLOOKUP(B287,input_516100!L:R,7,FALSE),VLOOKUP(tables_516100!C287,input_516100!A:H,8,FALSE))</f>
        <v>126270</v>
      </c>
      <c r="P287" s="46">
        <f t="shared" ca="1" si="13"/>
        <v>9.6315789473478438E-4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input_516100!A$2</f>
        <v>516100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IFERROR(VLOOKUP(B288,input_516100!L:R,7,FALSE),VLOOKUP(tables_516100!C288,input_516100!A:H,8,FALSE))</f>
        <v>1096555.2631600001</v>
      </c>
      <c r="P288" s="46">
        <f t="shared" ca="1" si="13"/>
        <v>8.3642659279760286E-3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input_516100!A$2</f>
        <v>516100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IFERROR(VLOOKUP(B289,input_516100!L:R,7,FALSE),VLOOKUP(tables_516100!C289,input_516100!A:H,8,FALSE))</f>
        <v>126270</v>
      </c>
      <c r="P289" s="46">
        <f t="shared" ca="1" si="13"/>
        <v>9.6315789473478438E-4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input_516100!A$2</f>
        <v>516100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IFERROR(VLOOKUP(B290,input_516100!L:R,7,FALSE),VLOOKUP(tables_516100!C290,input_516100!A:H,8,FALSE))</f>
        <v>1096555.2631600001</v>
      </c>
      <c r="P290" s="46">
        <f t="shared" ca="1" si="13"/>
        <v>8.3642659279760286E-3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input_516100!A$2</f>
        <v>516100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IFERROR(VLOOKUP(B291,input_516100!L:R,7,FALSE),VLOOKUP(tables_516100!C291,input_516100!A:H,8,FALSE))</f>
        <v>126270</v>
      </c>
      <c r="P291" s="46">
        <f t="shared" ca="1" si="13"/>
        <v>9.6315789473478438E-4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input_516100!A$2</f>
        <v>516100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IFERROR(VLOOKUP(B292,input_516100!L:R,7,FALSE),VLOOKUP(tables_516100!C292,input_516100!A:H,8,FALSE))</f>
        <v>1096555.2631600001</v>
      </c>
      <c r="P292" s="46">
        <f t="shared" ca="1" si="13"/>
        <v>8.3642659279760286E-3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input_516100!A$2</f>
        <v>516100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IFERROR(VLOOKUP(B293,input_516100!L:R,7,FALSE),VLOOKUP(tables_516100!C293,input_516100!A:H,8,FALSE))</f>
        <v>126270</v>
      </c>
      <c r="P293" s="46">
        <f t="shared" ca="1" si="13"/>
        <v>9.6315789473478438E-4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input_516100!A$2</f>
        <v>516100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IFERROR(VLOOKUP(B294,input_516100!L:R,7,FALSE),VLOOKUP(tables_516100!C294,input_516100!A:H,8,FALSE))</f>
        <v>142500</v>
      </c>
      <c r="P294" s="46">
        <f t="shared" ca="1" si="13"/>
        <v>1.0869565217368083E-3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input_516100!A$2</f>
        <v>516100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IFERROR(VLOOKUP(B295,input_516100!L:R,7,FALSE),VLOOKUP(tables_516100!C295,input_516100!A:H,8,FALSE))</f>
        <v>142500</v>
      </c>
      <c r="P295" s="46">
        <f t="shared" ref="P295:P299" ca="1" si="20">O295/SUM(O:O)</f>
        <v>1.0869565217368083E-3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input_516100!A$2</f>
        <v>516100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IFERROR(VLOOKUP(B296,input_516100!L:R,7,FALSE),VLOOKUP(tables_516100!C296,input_516100!A:H,8,FALSE))</f>
        <v>142500</v>
      </c>
      <c r="P296" s="46">
        <f t="shared" ca="1" si="20"/>
        <v>1.0869565217368083E-3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input_516100!A$2</f>
        <v>516100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IFERROR(VLOOKUP(B297,input_516100!L:R,7,FALSE),VLOOKUP(tables_516100!C297,input_516100!A:H,8,FALSE))</f>
        <v>1096555.2631600001</v>
      </c>
      <c r="P297" s="46">
        <f t="shared" ca="1" si="20"/>
        <v>8.3642659279760286E-3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input_516100!A$2</f>
        <v>516100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IFERROR(VLOOKUP(B298,input_516100!L:R,7,FALSE),VLOOKUP(tables_516100!C298,input_516100!A:H,8,FALSE))</f>
        <v>126270</v>
      </c>
      <c r="P298" s="46">
        <f t="shared" ca="1" si="20"/>
        <v>9.6315789473478438E-4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input_516100!A$2</f>
        <v>516100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IFERROR(VLOOKUP(B299,input_516100!L:R,7,FALSE),VLOOKUP(tables_516100!C299,input_516100!A:H,8,FALSE))</f>
        <v>142500</v>
      </c>
      <c r="P299" s="46">
        <f t="shared" ca="1" si="20"/>
        <v>1.0869565217368083E-3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input_516100!A$2</f>
        <v>516100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IFERROR(VLOOKUP(B300,input_516100!L:R,7,FALSE),VLOOKUP(tables_516100!C300,input_516100!A:H,8,FALSE))</f>
        <v>142500</v>
      </c>
      <c r="P300" s="46">
        <f t="shared" ref="P300:P304" ca="1" si="22">O300/SUM(O:O)</f>
        <v>1.0869565217368083E-3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input_516100!A$2</f>
        <v>516100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IFERROR(VLOOKUP(B301,input_516100!L:R,7,FALSE),VLOOKUP(tables_516100!C301,input_516100!A:H,8,FALSE))</f>
        <v>142500</v>
      </c>
      <c r="P301" s="46">
        <f t="shared" ca="1" si="22"/>
        <v>1.0869565217368083E-3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input_516100!A$2</f>
        <v>516100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IFERROR(VLOOKUP(B302,input_516100!L:R,7,FALSE),VLOOKUP(tables_516100!C302,input_516100!A:H,8,FALSE))</f>
        <v>142500</v>
      </c>
      <c r="P302" s="46">
        <f t="shared" ca="1" si="22"/>
        <v>1.0869565217368083E-3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input_516100!A$2</f>
        <v>516100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IFERROR(VLOOKUP(B303,input_516100!L:R,7,FALSE),VLOOKUP(tables_516100!C303,input_516100!A:H,8,FALSE))</f>
        <v>1096555.2631600001</v>
      </c>
      <c r="P303" s="46">
        <f t="shared" ca="1" si="22"/>
        <v>8.3642659279760286E-3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input_516100!A$2</f>
        <v>516100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IFERROR(VLOOKUP(B304,input_516100!L:R,7,FALSE),VLOOKUP(tables_516100!C304,input_516100!A:H,8,FALSE))</f>
        <v>126270</v>
      </c>
      <c r="P304" s="46">
        <f t="shared" ca="1" si="22"/>
        <v>9.6315789473478438E-4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input_516100!A$2</f>
        <v>516100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IFERROR(VLOOKUP(B305,input_516100!L:R,7,FALSE),VLOOKUP(tables_516100!C305,input_516100!A:H,8,FALSE))</f>
        <v>142500</v>
      </c>
      <c r="P305" s="46">
        <f t="shared" ref="P305:P308" ca="1" si="24">O305/SUM(O:O)</f>
        <v>1.0869565217368083E-3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input_516100!A$2</f>
        <v>516100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IFERROR(VLOOKUP(B306,input_516100!L:R,7,FALSE),VLOOKUP(tables_516100!C306,input_516100!A:H,8,FALSE))</f>
        <v>1096555.2631600001</v>
      </c>
      <c r="P306" s="46">
        <f t="shared" ca="1" si="24"/>
        <v>8.3642659279760286E-3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input_516100!A$2</f>
        <v>516100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IFERROR(VLOOKUP(B307,input_516100!L:R,7,FALSE),VLOOKUP(tables_516100!C307,input_516100!A:H,8,FALSE))</f>
        <v>126270</v>
      </c>
      <c r="P307" s="46">
        <f t="shared" ca="1" si="24"/>
        <v>9.6315789473478438E-4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input_516100!A$2</f>
        <v>516100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IFERROR(VLOOKUP(B308,input_516100!L:R,7,FALSE),VLOOKUP(tables_516100!C308,input_516100!A:H,8,FALSE))</f>
        <v>142500</v>
      </c>
      <c r="P308" s="46">
        <f t="shared" ca="1" si="24"/>
        <v>1.0869565217368083E-3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input_516100!A$2</f>
        <v>516100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IFERROR(VLOOKUP(B309,input_516100!L:R,7,FALSE),VLOOKUP(tables_516100!C309,input_516100!A:H,8,FALSE))</f>
        <v>142500</v>
      </c>
      <c r="P309" s="46">
        <f t="shared" ref="P309" ca="1" si="26">O309/SUM(O:O)</f>
        <v>1.0869565217368083E-3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input_516100!A$2</f>
        <v>516100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IFERROR(VLOOKUP(B310,input_516100!L:R,7,FALSE),VLOOKUP(tables_516100!C310,input_516100!A:H,8,FALSE))</f>
        <v>142500</v>
      </c>
      <c r="P310" s="46">
        <f t="shared" ref="P310:P314" ca="1" si="28">O310/SUM(O:O)</f>
        <v>1.0869565217368083E-3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input_516100!A$2</f>
        <v>516100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IFERROR(VLOOKUP(B311,input_516100!L:R,7,FALSE),VLOOKUP(tables_516100!C311,input_516100!A:H,8,FALSE))</f>
        <v>1096555.2631600001</v>
      </c>
      <c r="P311" s="46">
        <f t="shared" ca="1" si="28"/>
        <v>8.3642659279760286E-3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input_516100!A$2</f>
        <v>516100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IFERROR(VLOOKUP(B312,input_516100!L:R,7,FALSE),VLOOKUP(tables_516100!C312,input_516100!A:H,8,FALSE))</f>
        <v>126270</v>
      </c>
      <c r="P312" s="46">
        <f t="shared" ca="1" si="28"/>
        <v>9.6315789473478438E-4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input_516100!A$2</f>
        <v>516100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IFERROR(VLOOKUP(B313,input_516100!L:R,7,FALSE),VLOOKUP(tables_516100!C313,input_516100!A:H,8,FALSE))</f>
        <v>142500</v>
      </c>
      <c r="P313" s="46">
        <f t="shared" ca="1" si="28"/>
        <v>1.0869565217368083E-3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input_516100!A$2</f>
        <v>516100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IFERROR(VLOOKUP(B314,input_516100!L:R,7,FALSE),VLOOKUP(tables_516100!C314,input_516100!A:H,8,FALSE))</f>
        <v>142500</v>
      </c>
      <c r="P314" s="46">
        <f t="shared" ca="1" si="28"/>
        <v>1.0869565217368083E-3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input_516100!A$2</f>
        <v>516100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IFERROR(VLOOKUP(B315,input_516100!L:R,7,FALSE),VLOOKUP(tables_516100!C315,input_516100!A:H,8,FALSE))</f>
        <v>142500</v>
      </c>
      <c r="P315" s="46">
        <f t="shared" ref="P315:P319" ca="1" si="30">O315/SUM(O:O)</f>
        <v>1.0869565217368083E-3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input_516100!A$2</f>
        <v>516100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IFERROR(VLOOKUP(B316,input_516100!L:R,7,FALSE),VLOOKUP(tables_516100!C316,input_516100!A:H,8,FALSE))</f>
        <v>142500</v>
      </c>
      <c r="P316" s="46">
        <f t="shared" ca="1" si="30"/>
        <v>1.0869565217368083E-3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input_516100!A$2</f>
        <v>516100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IFERROR(VLOOKUP(B317,input_516100!L:R,7,FALSE),VLOOKUP(tables_516100!C317,input_516100!A:H,8,FALSE))</f>
        <v>142500</v>
      </c>
      <c r="P317" s="46">
        <f t="shared" ca="1" si="30"/>
        <v>1.0869565217368083E-3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input_516100!A$2</f>
        <v>516100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IFERROR(VLOOKUP(B318,input_516100!L:R,7,FALSE),VLOOKUP(tables_516100!C318,input_516100!A:H,8,FALSE))</f>
        <v>1096555.2631600001</v>
      </c>
      <c r="P318" s="46">
        <f t="shared" ca="1" si="30"/>
        <v>8.3642659279760286E-3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input_516100!A$2</f>
        <v>516100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IFERROR(VLOOKUP(B319,input_516100!L:R,7,FALSE),VLOOKUP(tables_516100!C319,input_516100!A:H,8,FALSE))</f>
        <v>126270</v>
      </c>
      <c r="P319" s="46">
        <f t="shared" ca="1" si="30"/>
        <v>9.6315789473478438E-4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input_516100!A$2</f>
        <v>516100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IFERROR(VLOOKUP(B320,input_516100!L:R,7,FALSE),VLOOKUP(tables_516100!C320,input_516100!A:H,8,FALSE))</f>
        <v>142500</v>
      </c>
      <c r="P320" s="46">
        <f t="shared" ref="P320:P324" ca="1" si="32">O320/SUM(O:O)</f>
        <v>1.0869565217368083E-3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input_516100!A$2</f>
        <v>516100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IFERROR(VLOOKUP(B321,input_516100!L:R,7,FALSE),VLOOKUP(tables_516100!C321,input_516100!A:H,8,FALSE))</f>
        <v>142500</v>
      </c>
      <c r="P321" s="46">
        <f t="shared" ca="1" si="32"/>
        <v>1.0869565217368083E-3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input_516100!A$2</f>
        <v>516100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IFERROR(VLOOKUP(B322,input_516100!L:R,7,FALSE),VLOOKUP(tables_516100!C322,input_516100!A:H,8,FALSE))</f>
        <v>142500</v>
      </c>
      <c r="P322" s="46">
        <f t="shared" ca="1" si="32"/>
        <v>1.0869565217368083E-3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input_516100!A$2</f>
        <v>516100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IFERROR(VLOOKUP(B323,input_516100!L:R,7,FALSE),VLOOKUP(tables_516100!C323,input_516100!A:H,8,FALSE))</f>
        <v>142500</v>
      </c>
      <c r="P323" s="46">
        <f t="shared" ca="1" si="32"/>
        <v>1.0869565217368083E-3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input_516100!A$2</f>
        <v>516100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IFERROR(VLOOKUP(B324,input_516100!L:R,7,FALSE),VLOOKUP(tables_516100!C324,input_516100!A:H,8,FALSE))</f>
        <v>1096555.2631600001</v>
      </c>
      <c r="P324" s="46">
        <f t="shared" ca="1" si="32"/>
        <v>8.3642659279760286E-3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input_516100!A$2</f>
        <v>516100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IFERROR(VLOOKUP(B325,input_516100!L:R,7,FALSE),VLOOKUP(tables_516100!C325,input_516100!A:H,8,FALSE))</f>
        <v>126270</v>
      </c>
      <c r="P325" s="46">
        <f t="shared" ref="P325:P330" ca="1" si="35">O325/SUM(O:O)</f>
        <v>9.6315789473478438E-4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input_516100!A$2</f>
        <v>516100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IFERROR(VLOOKUP(B326,input_516100!L:R,7,FALSE),VLOOKUP(tables_516100!C326,input_516100!A:H,8,FALSE))</f>
        <v>1096555.2631600001</v>
      </c>
      <c r="P326" s="46">
        <f t="shared" ca="1" si="35"/>
        <v>8.3642659279760286E-3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input_516100!A$2</f>
        <v>516100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IFERROR(VLOOKUP(B327,input_516100!L:R,7,FALSE),VLOOKUP(tables_516100!C327,input_516100!A:H,8,FALSE))</f>
        <v>126270</v>
      </c>
      <c r="P327" s="46">
        <f t="shared" ca="1" si="35"/>
        <v>9.6315789473478438E-4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input_516100!A$2</f>
        <v>516100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IFERROR(VLOOKUP(B328,input_516100!L:R,7,FALSE),VLOOKUP(tables_516100!C328,input_516100!A:H,8,FALSE))</f>
        <v>142500</v>
      </c>
      <c r="P328" s="46">
        <f t="shared" ca="1" si="35"/>
        <v>1.0869565217368083E-3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input_516100!A$2</f>
        <v>516100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IFERROR(VLOOKUP(B329,input_516100!L:R,7,FALSE),VLOOKUP(tables_516100!C329,input_516100!A:H,8,FALSE))</f>
        <v>142500</v>
      </c>
      <c r="P329" s="46">
        <f t="shared" ca="1" si="35"/>
        <v>1.0869565217368083E-3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input_516100!A$2</f>
        <v>516100</v>
      </c>
      <c r="B330" s="2">
        <v>1157</v>
      </c>
      <c r="C330" s="7" t="str">
        <f t="shared" si="34"/>
        <v>PremiumSS5R5only</v>
      </c>
      <c r="D330" s="96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IFERROR(VLOOKUP(B330,input_516100!L:R,7,FALSE),VLOOKUP(tables_516100!C330,input_516100!A:H,8,FALSE))</f>
        <v>142500</v>
      </c>
      <c r="P330" s="46">
        <f t="shared" ca="1" si="35"/>
        <v>1.0869565217368083E-3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input_516100!A$2</f>
        <v>516100</v>
      </c>
      <c r="B331" s="60">
        <v>1214</v>
      </c>
      <c r="C331" s="7" t="str">
        <f t="shared" ref="C331:C335" si="36">D331&amp;J331&amp;E331&amp;F331&amp;G331</f>
        <v>PremiumSS5R5only</v>
      </c>
      <c r="D331" s="96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IFERROR(VLOOKUP(B331,input_516100!L:R,7,FALSE),VLOOKUP(tables_516100!C331,input_516100!A:H,8,FALSE))</f>
        <v>142500</v>
      </c>
      <c r="P331" s="46">
        <f t="shared" ref="P331:P335" ca="1" si="38">O331/SUM(O:O)</f>
        <v>1.0869565217368083E-3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input_516100!A$2</f>
        <v>516100</v>
      </c>
      <c r="B332" s="60">
        <v>1212</v>
      </c>
      <c r="C332" s="7" t="str">
        <f t="shared" si="36"/>
        <v>PremiumSS5R5only</v>
      </c>
      <c r="D332" s="96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IFERROR(VLOOKUP(B332,input_516100!L:R,7,FALSE),VLOOKUP(tables_516100!C332,input_516100!A:H,8,FALSE))</f>
        <v>142500</v>
      </c>
      <c r="P332" s="46">
        <f t="shared" ca="1" si="38"/>
        <v>1.0869565217368083E-3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input_516100!A$2</f>
        <v>516100</v>
      </c>
      <c r="B333" s="60">
        <v>1208</v>
      </c>
      <c r="C333" s="7" t="str">
        <f t="shared" si="36"/>
        <v>PremiumSS5R5only</v>
      </c>
      <c r="D333" s="96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IFERROR(VLOOKUP(B333,input_516100!L:R,7,FALSE),VLOOKUP(tables_516100!C333,input_516100!A:H,8,FALSE))</f>
        <v>142500</v>
      </c>
      <c r="P333" s="46">
        <f t="shared" ca="1" si="38"/>
        <v>1.0869565217368083E-3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input_516100!A$2</f>
        <v>516100</v>
      </c>
      <c r="B334" s="92">
        <v>1210</v>
      </c>
      <c r="C334" s="7" t="str">
        <f t="shared" si="36"/>
        <v>Premium4R3less</v>
      </c>
      <c r="D334" s="96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IFERROR(VLOOKUP(B334,input_516100!L:R,7,FALSE),VLOOKUP(tables_516100!C334,input_516100!A:H,8,FALSE))</f>
        <v>1096555.2631600001</v>
      </c>
      <c r="P334" s="46">
        <f t="shared" ca="1" si="38"/>
        <v>8.3642659279760286E-3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input_516100!A$2</f>
        <v>516100</v>
      </c>
      <c r="B335" s="60">
        <v>1211</v>
      </c>
      <c r="C335" s="7" t="str">
        <f t="shared" si="36"/>
        <v>Premium5R3less</v>
      </c>
      <c r="D335" s="96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IFERROR(VLOOKUP(B335,input_516100!L:R,7,FALSE),VLOOKUP(tables_516100!C335,input_516100!A:H,8,FALSE))</f>
        <v>126270</v>
      </c>
      <c r="P335" s="46">
        <f t="shared" ca="1" si="38"/>
        <v>9.6315789473478438E-4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input_516100!A$2</f>
        <v>516100</v>
      </c>
      <c r="B336" s="2">
        <v>1224</v>
      </c>
      <c r="C336" s="7" t="str">
        <f t="shared" ref="C336:C340" si="39">D336&amp;J336&amp;E336&amp;F336&amp;G336</f>
        <v>Premium4R3less</v>
      </c>
      <c r="D336" s="96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IFERROR(VLOOKUP(B336,input_516100!L:R,7,FALSE),VLOOKUP(tables_516100!C336,input_516100!A:H,8,FALSE))</f>
        <v>1096555.2631600001</v>
      </c>
      <c r="P336" s="46">
        <f t="shared" ref="P336:P340" ca="1" si="41">O336/SUM(O:O)</f>
        <v>8.3642659279760286E-3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input_516100!A$2</f>
        <v>516100</v>
      </c>
      <c r="B337" s="2">
        <v>1225</v>
      </c>
      <c r="C337" s="7" t="str">
        <f t="shared" si="39"/>
        <v>Premium5R3less</v>
      </c>
      <c r="D337" s="96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IFERROR(VLOOKUP(B337,input_516100!L:R,7,FALSE),VLOOKUP(tables_516100!C337,input_516100!A:H,8,FALSE))</f>
        <v>126270</v>
      </c>
      <c r="P337" s="46">
        <f t="shared" ca="1" si="41"/>
        <v>9.6315789473478438E-4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input_516100!A$2</f>
        <v>516100</v>
      </c>
      <c r="B338" s="2">
        <v>1226</v>
      </c>
      <c r="C338" s="7" t="str">
        <f t="shared" si="39"/>
        <v>PremiumSS5R5only</v>
      </c>
      <c r="D338" s="96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IFERROR(VLOOKUP(B338,input_516100!L:R,7,FALSE),VLOOKUP(tables_516100!C338,input_516100!A:H,8,FALSE))</f>
        <v>142500</v>
      </c>
      <c r="P338" s="46">
        <f t="shared" ca="1" si="41"/>
        <v>1.0869565217368083E-3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input_516100!A$2</f>
        <v>516100</v>
      </c>
      <c r="B339" s="2">
        <v>1228</v>
      </c>
      <c r="C339" s="7" t="str">
        <f t="shared" si="39"/>
        <v>PremiumSS5R5only</v>
      </c>
      <c r="D339" s="96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IFERROR(VLOOKUP(B339,input_516100!L:R,7,FALSE),VLOOKUP(tables_516100!C339,input_516100!A:H,8,FALSE))</f>
        <v>142500</v>
      </c>
      <c r="P339" s="46">
        <f t="shared" ca="1" si="41"/>
        <v>1.0869565217368083E-3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input_516100!A$2</f>
        <v>516100</v>
      </c>
      <c r="B340" s="2">
        <v>1230</v>
      </c>
      <c r="C340" s="7" t="str">
        <f t="shared" si="39"/>
        <v>PremiumSS5R5only</v>
      </c>
      <c r="D340" s="96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IFERROR(VLOOKUP(B340,input_516100!L:R,7,FALSE),VLOOKUP(tables_516100!C340,input_516100!A:H,8,FALSE))</f>
        <v>142500</v>
      </c>
      <c r="P340" s="46">
        <f t="shared" ca="1" si="41"/>
        <v>1.0869565217368083E-3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input_516100!A$2</f>
        <v>516100</v>
      </c>
      <c r="B341" s="1">
        <v>1250</v>
      </c>
      <c r="C341" s="7" t="str">
        <f t="shared" ref="C341:C345" si="42">D341&amp;J341&amp;E341&amp;F341&amp;G341</f>
        <v>PremiumSS5R5only</v>
      </c>
      <c r="D341" s="96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IFERROR(VLOOKUP(B341,input_516100!L:R,7,FALSE),VLOOKUP(tables_516100!C341,input_516100!A:H,8,FALSE))</f>
        <v>142500</v>
      </c>
      <c r="P341" s="46">
        <f t="shared" ref="P341:P345" ca="1" si="44">O341/SUM(O:O)</f>
        <v>1.0869565217368083E-3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input_516100!A$2</f>
        <v>516100</v>
      </c>
      <c r="B342" s="1">
        <v>1248</v>
      </c>
      <c r="C342" s="7" t="str">
        <f t="shared" si="42"/>
        <v>Premium4R3less</v>
      </c>
      <c r="D342" s="96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IFERROR(VLOOKUP(B342,input_516100!L:R,7,FALSE),VLOOKUP(tables_516100!C342,input_516100!A:H,8,FALSE))</f>
        <v>1096555.2631600001</v>
      </c>
      <c r="P342" s="46">
        <f t="shared" ca="1" si="44"/>
        <v>8.3642659279760286E-3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input_516100!A$2</f>
        <v>516100</v>
      </c>
      <c r="B343" s="1">
        <v>1249</v>
      </c>
      <c r="C343" s="7" t="str">
        <f t="shared" si="42"/>
        <v>Premium5R3less</v>
      </c>
      <c r="D343" s="96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IFERROR(VLOOKUP(B343,input_516100!L:R,7,FALSE),VLOOKUP(tables_516100!C343,input_516100!A:H,8,FALSE))</f>
        <v>126270</v>
      </c>
      <c r="P343" s="46">
        <f t="shared" ca="1" si="44"/>
        <v>9.6315789473478438E-4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input_516100!A$2</f>
        <v>516100</v>
      </c>
      <c r="B344" s="1">
        <v>1246</v>
      </c>
      <c r="C344" s="7" t="str">
        <f t="shared" si="42"/>
        <v>PremiumSS5R5only</v>
      </c>
      <c r="D344" s="96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IFERROR(VLOOKUP(B344,input_516100!L:R,7,FALSE),VLOOKUP(tables_516100!C344,input_516100!A:H,8,FALSE))</f>
        <v>142500</v>
      </c>
      <c r="P344" s="46">
        <f t="shared" ca="1" si="44"/>
        <v>1.0869565217368083E-3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input_516100!A$2</f>
        <v>516100</v>
      </c>
      <c r="B345" s="1">
        <v>1244</v>
      </c>
      <c r="C345" s="7" t="str">
        <f t="shared" si="42"/>
        <v>PremiumSS5R5only</v>
      </c>
      <c r="D345" s="96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IFERROR(VLOOKUP(B345,input_516100!L:R,7,FALSE),VLOOKUP(tables_516100!C345,input_516100!A:H,8,FALSE))</f>
        <v>142500</v>
      </c>
      <c r="P345" s="46">
        <f t="shared" ca="1" si="44"/>
        <v>1.0869565217368083E-3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input_516100!A$2</f>
        <v>516100</v>
      </c>
      <c r="B346" s="1">
        <v>1260</v>
      </c>
      <c r="C346" s="7" t="str">
        <f t="shared" ref="C346:C350" si="45">D346&amp;J346&amp;E346&amp;F346&amp;G346</f>
        <v>PremiumSS5R5only</v>
      </c>
      <c r="D346" s="96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IFERROR(VLOOKUP(B346,input_516100!L:R,7,FALSE),VLOOKUP(tables_516100!C346,input_516100!A:H,8,FALSE))</f>
        <v>142500</v>
      </c>
      <c r="P346" s="46">
        <f t="shared" ref="P346:P350" ca="1" si="47">O346/SUM(O:O)</f>
        <v>1.0869565217368083E-3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input_516100!A$2</f>
        <v>516100</v>
      </c>
      <c r="B347" s="1">
        <v>1262</v>
      </c>
      <c r="C347" s="7" t="str">
        <f t="shared" si="45"/>
        <v>PremiumSS5R5only</v>
      </c>
      <c r="D347" s="96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IFERROR(VLOOKUP(B347,input_516100!L:R,7,FALSE),VLOOKUP(tables_516100!C347,input_516100!A:H,8,FALSE))</f>
        <v>142500</v>
      </c>
      <c r="P347" s="46">
        <f t="shared" ca="1" si="47"/>
        <v>1.0869565217368083E-3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input_516100!A$2</f>
        <v>516100</v>
      </c>
      <c r="B348" s="1">
        <v>1264</v>
      </c>
      <c r="C348" s="7" t="str">
        <f t="shared" si="45"/>
        <v>PremiumSS5R5only</v>
      </c>
      <c r="D348" s="96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IFERROR(VLOOKUP(B348,input_516100!L:R,7,FALSE),VLOOKUP(tables_516100!C348,input_516100!A:H,8,FALSE))</f>
        <v>142500</v>
      </c>
      <c r="P348" s="46">
        <f t="shared" ca="1" si="47"/>
        <v>1.0869565217368083E-3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input_516100!A$2</f>
        <v>516100</v>
      </c>
      <c r="B349" s="1">
        <v>1266</v>
      </c>
      <c r="C349" s="7" t="str">
        <f t="shared" si="45"/>
        <v>Premium4R3less</v>
      </c>
      <c r="D349" s="96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IFERROR(VLOOKUP(B349,input_516100!L:R,7,FALSE),VLOOKUP(tables_516100!C349,input_516100!A:H,8,FALSE))</f>
        <v>1096555.2631600001</v>
      </c>
      <c r="P349" s="46">
        <f t="shared" ca="1" si="47"/>
        <v>8.3642659279760286E-3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input_516100!A$2</f>
        <v>516100</v>
      </c>
      <c r="B350" s="1">
        <v>1267</v>
      </c>
      <c r="C350" s="7" t="str">
        <f t="shared" si="45"/>
        <v>Premium5R3less</v>
      </c>
      <c r="D350" s="96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IFERROR(VLOOKUP(B350,input_516100!L:R,7,FALSE),VLOOKUP(tables_516100!C350,input_516100!A:H,8,FALSE))</f>
        <v>126270</v>
      </c>
      <c r="P350" s="46">
        <f t="shared" ca="1" si="47"/>
        <v>9.6315789473478438E-4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input_516100!A$2</f>
        <v>516100</v>
      </c>
      <c r="B351" s="1">
        <v>378</v>
      </c>
      <c r="C351" s="7" t="str">
        <f t="shared" ref="C351:C353" si="48">D351&amp;J351&amp;E351&amp;F351&amp;G351</f>
        <v>PremiumSSS4R3less</v>
      </c>
      <c r="D351" s="96" t="str">
        <f t="shared" ref="D351:D353" si="49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オイラー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human</v>
      </c>
      <c r="N351" s="7" t="str">
        <f>VLOOKUP(B351,[1]characters!$A:$G,7,FALSE)</f>
        <v>女性</v>
      </c>
      <c r="O351" s="45">
        <f>IFERROR(VLOOKUP(B351,input_516100!L:R,7,FALSE),VLOOKUP(tables_516100!C351,input_516100!A:H,8,FALSE))</f>
        <v>589950.00000000012</v>
      </c>
      <c r="P351" s="46">
        <f t="shared" ref="P351:P353" ca="1" si="50">O351/SUM(O:O)</f>
        <v>4.4999999999903867E-3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input_516100!A$2</f>
        <v>516100</v>
      </c>
      <c r="B352" s="1">
        <v>379</v>
      </c>
      <c r="C352" s="7" t="str">
        <f t="shared" si="48"/>
        <v>PremiumSSS5R3less</v>
      </c>
      <c r="D352" s="96" t="str">
        <f t="shared" si="49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幾何の機刃 オイラー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balance</v>
      </c>
      <c r="M352" s="7" t="str">
        <f>VLOOKUP(B352,[1]characters!$A:$M,13,FALSE)</f>
        <v>human</v>
      </c>
      <c r="N352" s="7" t="str">
        <f>VLOOKUP(B352,[1]characters!$A:$G,7,FALSE)</f>
        <v>女性</v>
      </c>
      <c r="O352" s="45">
        <f>IFERROR(VLOOKUP(B352,input_516100!L:R,7,FALSE),VLOOKUP(tables_516100!C352,input_516100!A:H,8,FALSE))</f>
        <v>65550</v>
      </c>
      <c r="P352" s="46">
        <f t="shared" ca="1" si="50"/>
        <v>4.9999999999893175E-4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input_516100!A$2</f>
        <v>516100</v>
      </c>
      <c r="B353" s="1">
        <v>1090</v>
      </c>
      <c r="C353" s="7" t="str">
        <f t="shared" si="48"/>
        <v>PremiumSSS5R3less</v>
      </c>
      <c r="D353" s="96" t="str">
        <f t="shared" si="49"/>
        <v>PremiumSSS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ラプラス</v>
      </c>
      <c r="I353" s="7" t="str">
        <f>VLOOKUP(B353,[1]characters!$A:$J,10,FALSE)</f>
        <v>PremiumSSS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academia</v>
      </c>
      <c r="N353" s="7" t="str">
        <f>VLOOKUP(B353,[1]characters!$A:$G,7,FALSE)</f>
        <v>不明</v>
      </c>
      <c r="O353" s="45">
        <f>IFERROR(VLOOKUP(B353,input_516100!L:R,7,FALSE),VLOOKUP(tables_516100!C353,input_516100!A:H,8,FALSE))</f>
        <v>655500</v>
      </c>
      <c r="P353" s="46">
        <f t="shared" ca="1" si="50"/>
        <v>4.9999999999893177E-3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input_settle_516100</vt:lpstr>
      <vt:lpstr>tables_settle_516100</vt:lpstr>
      <vt:lpstr>input_516100</vt:lpstr>
      <vt:lpstr>tables_516100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2017-01-25T13:44:15Z</dcterms:modified>
</cp:coreProperties>
</file>