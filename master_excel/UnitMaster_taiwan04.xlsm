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5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iitani.k/BULL_data/master_excel/"/>
    </mc:Choice>
  </mc:AlternateContent>
  <bookViews>
    <workbookView xWindow="0" yWindow="460" windowWidth="28800" windowHeight="15940" tabRatio="963" activeTab="2"/>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fork_awake_units!$A$1:$U$3</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3" i="57" l="1"/>
  <c r="E3" i="57"/>
  <c r="B3" i="57"/>
  <c r="F2" i="57"/>
  <c r="E2" i="57"/>
  <c r="B2" i="57"/>
  <c r="J2" i="3"/>
  <c r="H2" i="3"/>
  <c r="C2" i="3"/>
  <c r="F2" i="3"/>
  <c r="E2" i="3"/>
  <c r="D2" i="3"/>
  <c r="A2" i="3"/>
  <c r="G2" i="58"/>
  <c r="U2" i="58"/>
  <c r="S2" i="58"/>
  <c r="T2" i="58"/>
  <c r="R2" i="58"/>
  <c r="P2" i="58"/>
  <c r="O2" i="58"/>
  <c r="N2" i="58"/>
  <c r="M2" i="58"/>
  <c r="L2" i="58"/>
  <c r="J2" i="58"/>
  <c r="K2" i="58"/>
  <c r="I2" i="58"/>
  <c r="H2" i="58"/>
  <c r="F2" i="58"/>
  <c r="E2" i="58"/>
  <c r="D2" i="58"/>
  <c r="C2" i="58"/>
  <c r="B2" i="58"/>
  <c r="E10" i="54"/>
  <c r="D10" i="54"/>
  <c r="B10" i="54"/>
  <c r="E9" i="54"/>
  <c r="D9" i="54"/>
  <c r="B9" i="54"/>
  <c r="E8" i="54"/>
  <c r="D8" i="54"/>
  <c r="B8" i="54"/>
  <c r="E7" i="54"/>
  <c r="D7" i="54"/>
  <c r="B7" i="54"/>
  <c r="E6" i="54"/>
  <c r="D6" i="54"/>
  <c r="B6" i="54"/>
  <c r="E5" i="54"/>
  <c r="D5" i="54"/>
  <c r="B5" i="54"/>
  <c r="E4" i="54"/>
  <c r="D4" i="54"/>
  <c r="B4" i="54"/>
  <c r="E3" i="54"/>
  <c r="D3" i="54"/>
  <c r="B3" i="54"/>
  <c r="E2" i="54"/>
  <c r="D2" i="54"/>
  <c r="B2" i="54"/>
  <c r="H3" i="53"/>
  <c r="G3" i="53"/>
  <c r="E3" i="53"/>
  <c r="H2" i="53"/>
  <c r="G2" i="53"/>
  <c r="E2" i="53"/>
  <c r="K3" i="52"/>
  <c r="J3" i="52"/>
  <c r="H3" i="52"/>
  <c r="E3" i="52"/>
  <c r="K2" i="52"/>
  <c r="J2" i="52"/>
  <c r="H2" i="52"/>
  <c r="E2" i="52"/>
  <c r="H3" i="23"/>
  <c r="BR3" i="23"/>
  <c r="G3" i="23"/>
  <c r="BC3" i="23"/>
  <c r="BD3" i="23"/>
  <c r="Q3" i="23"/>
  <c r="V3" i="23"/>
  <c r="W3" i="23"/>
  <c r="AD3" i="23"/>
  <c r="I3" i="23"/>
  <c r="M3" i="23"/>
  <c r="BN3" i="23"/>
  <c r="U3" i="23"/>
  <c r="AC3" i="23"/>
  <c r="L3" i="23"/>
  <c r="BM3" i="23"/>
  <c r="T3" i="23"/>
  <c r="AB3" i="23"/>
  <c r="K3" i="23"/>
  <c r="BL3" i="23"/>
  <c r="S3" i="23"/>
  <c r="AA3" i="23"/>
  <c r="J3" i="23"/>
  <c r="BK3" i="23"/>
  <c r="H2" i="23"/>
  <c r="G2" i="23"/>
  <c r="BC2" i="23"/>
  <c r="BE3" i="23"/>
  <c r="BJ3" i="23"/>
  <c r="BI3" i="23"/>
  <c r="BH3" i="23"/>
  <c r="BG3" i="23"/>
  <c r="I2" i="23"/>
  <c r="J2" i="23"/>
  <c r="BF3" i="23"/>
  <c r="AX3" i="23"/>
  <c r="AW3" i="23"/>
  <c r="AV3" i="23"/>
  <c r="AU3" i="23"/>
  <c r="AS3" i="23"/>
  <c r="AR3" i="23"/>
  <c r="AQ3" i="23"/>
  <c r="AN3" i="23"/>
  <c r="AM3" i="23"/>
  <c r="AL3" i="23"/>
  <c r="AK3" i="23"/>
  <c r="AI3" i="23"/>
  <c r="AH3" i="23"/>
  <c r="AF3" i="23"/>
  <c r="Y3" i="23"/>
  <c r="Z3" i="23"/>
  <c r="X3" i="23"/>
  <c r="R3" i="23"/>
  <c r="P3" i="23"/>
  <c r="O3" i="23"/>
  <c r="G9" i="13"/>
  <c r="N3" i="23"/>
  <c r="F3" i="23"/>
  <c r="E3" i="23"/>
  <c r="D3" i="23"/>
  <c r="C3" i="23"/>
  <c r="B3" i="23"/>
  <c r="BR2" i="23"/>
  <c r="BD2" i="23"/>
  <c r="Q2" i="23"/>
  <c r="V2" i="23"/>
  <c r="W2" i="23"/>
  <c r="AD2" i="23"/>
  <c r="M2" i="23"/>
  <c r="BN2" i="23"/>
  <c r="U2" i="23"/>
  <c r="AC2" i="23"/>
  <c r="L2" i="23"/>
  <c r="BM2" i="23"/>
  <c r="T2" i="23"/>
  <c r="AB2" i="23"/>
  <c r="K2" i="23"/>
  <c r="BL2" i="23"/>
  <c r="S2" i="23"/>
  <c r="AA2" i="23"/>
  <c r="BK2" i="23"/>
  <c r="BE2" i="23"/>
  <c r="BJ2" i="23"/>
  <c r="BI2" i="23"/>
  <c r="BH2" i="23"/>
  <c r="BG2" i="23"/>
  <c r="BF2" i="23"/>
  <c r="AX2" i="23"/>
  <c r="AW2" i="23"/>
  <c r="AV2" i="23"/>
  <c r="AU2" i="23"/>
  <c r="AS2" i="23"/>
  <c r="AR2" i="23"/>
  <c r="AQ2" i="23"/>
  <c r="AN2" i="23"/>
  <c r="AM2" i="23"/>
  <c r="AL2" i="23"/>
  <c r="AK2" i="23"/>
  <c r="AI2" i="23"/>
  <c r="AH2" i="23"/>
  <c r="AF2" i="23"/>
  <c r="Y2" i="23"/>
  <c r="Z2" i="23"/>
  <c r="X2" i="23"/>
  <c r="R2" i="23"/>
  <c r="P2" i="23"/>
  <c r="O2" i="23"/>
  <c r="N2" i="23"/>
  <c r="F2" i="23"/>
  <c r="E2" i="23"/>
  <c r="D2" i="23"/>
  <c r="C2" i="23"/>
  <c r="B2" i="23"/>
  <c r="F11" i="57"/>
  <c r="E11" i="57"/>
  <c r="B11" i="57"/>
  <c r="F10" i="57"/>
  <c r="E10" i="57"/>
  <c r="B10" i="57"/>
  <c r="J17" i="3"/>
  <c r="H17" i="3"/>
  <c r="C17" i="3"/>
  <c r="F17" i="3"/>
  <c r="E17" i="3"/>
  <c r="D17" i="3"/>
  <c r="A17" i="3"/>
  <c r="G6" i="58"/>
  <c r="U6" i="58"/>
  <c r="S6" i="58"/>
  <c r="T6" i="58"/>
  <c r="R6" i="58"/>
  <c r="P6" i="58"/>
  <c r="O6" i="58"/>
  <c r="N6" i="58"/>
  <c r="M6" i="58"/>
  <c r="L6" i="58"/>
  <c r="J6" i="58"/>
  <c r="K6" i="58"/>
  <c r="I6" i="58"/>
  <c r="H6" i="58"/>
  <c r="F6" i="58"/>
  <c r="E6" i="58"/>
  <c r="D6" i="58"/>
  <c r="C6" i="58"/>
  <c r="B6" i="58"/>
  <c r="E46" i="54"/>
  <c r="D46" i="54"/>
  <c r="B46" i="54"/>
  <c r="E45" i="54"/>
  <c r="D45" i="54"/>
  <c r="B45" i="54"/>
  <c r="E44" i="54"/>
  <c r="D44" i="54"/>
  <c r="B44" i="54"/>
  <c r="E43" i="54"/>
  <c r="D43" i="54"/>
  <c r="B43" i="54"/>
  <c r="E42" i="54"/>
  <c r="D42" i="54"/>
  <c r="B42" i="54"/>
  <c r="E41" i="54"/>
  <c r="D41" i="54"/>
  <c r="B41" i="54"/>
  <c r="E40" i="54"/>
  <c r="D40" i="54"/>
  <c r="B40" i="54"/>
  <c r="E39" i="54"/>
  <c r="D39" i="54"/>
  <c r="B39" i="54"/>
  <c r="E38" i="54"/>
  <c r="D38" i="54"/>
  <c r="B38" i="54"/>
  <c r="H11" i="53"/>
  <c r="G11" i="53"/>
  <c r="E11" i="53"/>
  <c r="H10" i="53"/>
  <c r="G10" i="53"/>
  <c r="E10" i="53"/>
  <c r="K11" i="52"/>
  <c r="J11" i="52"/>
  <c r="H11" i="52"/>
  <c r="E11" i="52"/>
  <c r="K10" i="52"/>
  <c r="J10" i="52"/>
  <c r="H10" i="52"/>
  <c r="E10" i="52"/>
  <c r="H11" i="23"/>
  <c r="BR11" i="23"/>
  <c r="G11" i="23"/>
  <c r="BC11" i="23"/>
  <c r="BD11" i="23"/>
  <c r="Q11" i="23"/>
  <c r="V11" i="23"/>
  <c r="W11" i="23"/>
  <c r="AD11" i="23"/>
  <c r="I11" i="23"/>
  <c r="M11" i="23"/>
  <c r="BN11" i="23"/>
  <c r="U11" i="23"/>
  <c r="AC11" i="23"/>
  <c r="L11" i="23"/>
  <c r="BM11" i="23"/>
  <c r="T11" i="23"/>
  <c r="AB11" i="23"/>
  <c r="K11" i="23"/>
  <c r="BL11" i="23"/>
  <c r="S11" i="23"/>
  <c r="AA11" i="23"/>
  <c r="J11" i="23"/>
  <c r="BK11" i="23"/>
  <c r="H10" i="23"/>
  <c r="G10" i="23"/>
  <c r="BC10" i="23"/>
  <c r="BE11" i="23"/>
  <c r="BJ11" i="23"/>
  <c r="BI11" i="23"/>
  <c r="BH11" i="23"/>
  <c r="BG11" i="23"/>
  <c r="I9" i="23"/>
  <c r="J9" i="23"/>
  <c r="I10" i="23"/>
  <c r="J10" i="23"/>
  <c r="BF11" i="23"/>
  <c r="AX11" i="23"/>
  <c r="AW11" i="23"/>
  <c r="AV11" i="23"/>
  <c r="AU11" i="23"/>
  <c r="AS11" i="23"/>
  <c r="AR11" i="23"/>
  <c r="AQ11" i="23"/>
  <c r="AN11" i="23"/>
  <c r="AM11" i="23"/>
  <c r="AL11" i="23"/>
  <c r="AK11" i="23"/>
  <c r="AI11" i="23"/>
  <c r="AH11" i="23"/>
  <c r="AF11" i="23"/>
  <c r="Y11" i="23"/>
  <c r="Z11" i="23"/>
  <c r="X11" i="23"/>
  <c r="R11" i="23"/>
  <c r="P11" i="23"/>
  <c r="O11" i="23"/>
  <c r="G4" i="13"/>
  <c r="N11" i="23"/>
  <c r="F11" i="23"/>
  <c r="E11" i="23"/>
  <c r="D11" i="23"/>
  <c r="C11" i="23"/>
  <c r="B11" i="23"/>
  <c r="BR10" i="23"/>
  <c r="BD10" i="23"/>
  <c r="Q10" i="23"/>
  <c r="V10" i="23"/>
  <c r="W10" i="23"/>
  <c r="AD10" i="23"/>
  <c r="M10" i="23"/>
  <c r="BN10" i="23"/>
  <c r="U10" i="23"/>
  <c r="AC10" i="23"/>
  <c r="L10" i="23"/>
  <c r="BM10" i="23"/>
  <c r="T10" i="23"/>
  <c r="AB10" i="23"/>
  <c r="K10" i="23"/>
  <c r="BL10" i="23"/>
  <c r="S10" i="23"/>
  <c r="AA10" i="23"/>
  <c r="BK10" i="23"/>
  <c r="H8" i="23"/>
  <c r="G8" i="23"/>
  <c r="BC8" i="23"/>
  <c r="BE10" i="23"/>
  <c r="BJ10" i="23"/>
  <c r="BI10" i="23"/>
  <c r="BH10" i="23"/>
  <c r="BG10" i="23"/>
  <c r="I8" i="23"/>
  <c r="J8"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F7" i="57"/>
  <c r="E7" i="57"/>
  <c r="B7" i="57"/>
  <c r="F6" i="57"/>
  <c r="E6" i="57"/>
  <c r="B6" i="57"/>
  <c r="J12" i="3"/>
  <c r="H12" i="3"/>
  <c r="C12" i="3"/>
  <c r="F12" i="3"/>
  <c r="E12" i="3"/>
  <c r="D12" i="3"/>
  <c r="A12" i="3"/>
  <c r="F9" i="57"/>
  <c r="E9" i="57"/>
  <c r="B9" i="57"/>
  <c r="F8" i="57"/>
  <c r="E8" i="57"/>
  <c r="B8" i="57"/>
  <c r="F5" i="57"/>
  <c r="E5" i="57"/>
  <c r="B5" i="57"/>
  <c r="J6" i="3"/>
  <c r="H6" i="3"/>
  <c r="C6" i="3"/>
  <c r="F6" i="3"/>
  <c r="E6" i="3"/>
  <c r="D6" i="3"/>
  <c r="A6" i="3"/>
  <c r="J16" i="3"/>
  <c r="H16" i="3"/>
  <c r="C16" i="3"/>
  <c r="F16" i="3"/>
  <c r="E16" i="3"/>
  <c r="D16" i="3"/>
  <c r="A16" i="3"/>
  <c r="J15" i="3"/>
  <c r="H15" i="3"/>
  <c r="C15" i="3"/>
  <c r="F15" i="3"/>
  <c r="E15" i="3"/>
  <c r="D15" i="3"/>
  <c r="A15" i="3"/>
  <c r="J14" i="3"/>
  <c r="H14" i="3"/>
  <c r="C14" i="3"/>
  <c r="F14" i="3"/>
  <c r="E14" i="3"/>
  <c r="D14" i="3"/>
  <c r="A14" i="3"/>
  <c r="J13" i="3"/>
  <c r="H13" i="3"/>
  <c r="C13" i="3"/>
  <c r="F13" i="3"/>
  <c r="E13" i="3"/>
  <c r="D13" i="3"/>
  <c r="A13" i="3"/>
  <c r="J11" i="3"/>
  <c r="H11" i="3"/>
  <c r="C11" i="3"/>
  <c r="F11" i="3"/>
  <c r="E11" i="3"/>
  <c r="D11" i="3"/>
  <c r="A11" i="3"/>
  <c r="J10" i="3"/>
  <c r="H10" i="3"/>
  <c r="C10" i="3"/>
  <c r="F10" i="3"/>
  <c r="E10" i="3"/>
  <c r="D10" i="3"/>
  <c r="A10" i="3"/>
  <c r="J9" i="3"/>
  <c r="H9" i="3"/>
  <c r="C9" i="3"/>
  <c r="F9" i="3"/>
  <c r="E9" i="3"/>
  <c r="D9" i="3"/>
  <c r="A9" i="3"/>
  <c r="J8" i="3"/>
  <c r="H8" i="3"/>
  <c r="C8" i="3"/>
  <c r="F8" i="3"/>
  <c r="E8" i="3"/>
  <c r="D8" i="3"/>
  <c r="A8" i="3"/>
  <c r="G5" i="58"/>
  <c r="U5" i="58"/>
  <c r="S5" i="58"/>
  <c r="T5" i="58"/>
  <c r="R5" i="58"/>
  <c r="P5" i="58"/>
  <c r="O5" i="58"/>
  <c r="N5" i="58"/>
  <c r="M5" i="58"/>
  <c r="L5" i="58"/>
  <c r="J5" i="58"/>
  <c r="K5" i="58"/>
  <c r="I5" i="58"/>
  <c r="H5" i="58"/>
  <c r="F5" i="58"/>
  <c r="E5" i="58"/>
  <c r="D5" i="58"/>
  <c r="C5" i="58"/>
  <c r="B5" i="58"/>
  <c r="G4" i="58"/>
  <c r="U4" i="58"/>
  <c r="S4" i="58"/>
  <c r="T4" i="58"/>
  <c r="R4" i="58"/>
  <c r="P4" i="58"/>
  <c r="O4" i="58"/>
  <c r="N4" i="58"/>
  <c r="M4" i="58"/>
  <c r="L4" i="58"/>
  <c r="J4" i="58"/>
  <c r="K4" i="58"/>
  <c r="I4" i="58"/>
  <c r="H4" i="58"/>
  <c r="F4" i="58"/>
  <c r="E4" i="58"/>
  <c r="D4" i="58"/>
  <c r="C4" i="58"/>
  <c r="B4" i="58"/>
  <c r="E37" i="54"/>
  <c r="D37" i="54"/>
  <c r="B37" i="54"/>
  <c r="E36" i="54"/>
  <c r="D36" i="54"/>
  <c r="B36" i="54"/>
  <c r="E35" i="54"/>
  <c r="D35" i="54"/>
  <c r="B35" i="54"/>
  <c r="E34" i="54"/>
  <c r="D34" i="54"/>
  <c r="B34" i="54"/>
  <c r="E33" i="54"/>
  <c r="D33" i="54"/>
  <c r="B33" i="54"/>
  <c r="E32" i="54"/>
  <c r="D32" i="54"/>
  <c r="B32" i="54"/>
  <c r="E31" i="54"/>
  <c r="D31" i="54"/>
  <c r="B31" i="54"/>
  <c r="E30" i="54"/>
  <c r="D30" i="54"/>
  <c r="B30" i="54"/>
  <c r="E29" i="54"/>
  <c r="D29" i="54"/>
  <c r="B29" i="54"/>
  <c r="E28" i="54"/>
  <c r="D28" i="54"/>
  <c r="B28" i="54"/>
  <c r="E27" i="54"/>
  <c r="D27" i="54"/>
  <c r="B27" i="54"/>
  <c r="E26" i="54"/>
  <c r="D26" i="54"/>
  <c r="B26" i="54"/>
  <c r="E25" i="54"/>
  <c r="D25" i="54"/>
  <c r="B25" i="54"/>
  <c r="E24" i="54"/>
  <c r="D24" i="54"/>
  <c r="B24" i="54"/>
  <c r="E23" i="54"/>
  <c r="D23" i="54"/>
  <c r="B23" i="54"/>
  <c r="E22" i="54"/>
  <c r="D22" i="54"/>
  <c r="B22" i="54"/>
  <c r="E21" i="54"/>
  <c r="D21" i="54"/>
  <c r="B21" i="54"/>
  <c r="E20" i="54"/>
  <c r="D20" i="54"/>
  <c r="B20" i="54"/>
  <c r="H9" i="53"/>
  <c r="G9" i="53"/>
  <c r="E9" i="53"/>
  <c r="H8" i="53"/>
  <c r="G8" i="53"/>
  <c r="E8" i="53"/>
  <c r="H7" i="53"/>
  <c r="G7" i="53"/>
  <c r="E7" i="53"/>
  <c r="H6" i="53"/>
  <c r="G6" i="53"/>
  <c r="E6" i="53"/>
  <c r="K9" i="52"/>
  <c r="J9" i="52"/>
  <c r="H9" i="52"/>
  <c r="E9" i="52"/>
  <c r="K8" i="52"/>
  <c r="J8" i="52"/>
  <c r="H8" i="52"/>
  <c r="E8" i="52"/>
  <c r="K7" i="52"/>
  <c r="J7" i="52"/>
  <c r="H7" i="52"/>
  <c r="E7" i="52"/>
  <c r="K6" i="52"/>
  <c r="J6" i="52"/>
  <c r="H6" i="52"/>
  <c r="E6" i="52"/>
  <c r="H7" i="23"/>
  <c r="BR7" i="23"/>
  <c r="G7" i="23"/>
  <c r="BC7" i="23"/>
  <c r="BD7" i="23"/>
  <c r="Q7" i="23"/>
  <c r="V7" i="23"/>
  <c r="W7" i="23"/>
  <c r="AD7" i="23"/>
  <c r="I7" i="23"/>
  <c r="M7" i="23"/>
  <c r="BN7" i="23"/>
  <c r="U7" i="23"/>
  <c r="AC7" i="23"/>
  <c r="L7" i="23"/>
  <c r="BM7" i="23"/>
  <c r="T7" i="23"/>
  <c r="AB7" i="23"/>
  <c r="K7" i="23"/>
  <c r="BL7" i="23"/>
  <c r="S7" i="23"/>
  <c r="AA7" i="23"/>
  <c r="J7" i="23"/>
  <c r="BK7" i="23"/>
  <c r="BE7" i="23"/>
  <c r="BJ7" i="23"/>
  <c r="BI7" i="23"/>
  <c r="BH7" i="23"/>
  <c r="BG7" i="23"/>
  <c r="BF7" i="23"/>
  <c r="AX7" i="23"/>
  <c r="AW7" i="23"/>
  <c r="AV7" i="23"/>
  <c r="AU7" i="23"/>
  <c r="AS7" i="23"/>
  <c r="AR7" i="23"/>
  <c r="AQ7" i="23"/>
  <c r="AN7" i="23"/>
  <c r="AM7" i="23"/>
  <c r="AL7" i="23"/>
  <c r="AK7" i="23"/>
  <c r="AI7" i="23"/>
  <c r="AH7" i="23"/>
  <c r="AF7" i="23"/>
  <c r="Y7" i="23"/>
  <c r="Z7" i="23"/>
  <c r="X7" i="23"/>
  <c r="R7" i="23"/>
  <c r="P7" i="23"/>
  <c r="O7" i="23"/>
  <c r="G3" i="13"/>
  <c r="N7" i="23"/>
  <c r="F7" i="23"/>
  <c r="E7" i="23"/>
  <c r="D7" i="23"/>
  <c r="C7" i="23"/>
  <c r="B7" i="23"/>
  <c r="H6" i="23"/>
  <c r="BR6" i="23"/>
  <c r="G6" i="23"/>
  <c r="BC6" i="23"/>
  <c r="BD6" i="23"/>
  <c r="Q6" i="23"/>
  <c r="V6" i="23"/>
  <c r="W6" i="23"/>
  <c r="AD6" i="23"/>
  <c r="I6" i="23"/>
  <c r="M6" i="23"/>
  <c r="BN6" i="23"/>
  <c r="U6" i="23"/>
  <c r="AC6" i="23"/>
  <c r="L6" i="23"/>
  <c r="BM6" i="23"/>
  <c r="T6" i="23"/>
  <c r="AB6" i="23"/>
  <c r="K6" i="23"/>
  <c r="BL6" i="23"/>
  <c r="S6" i="23"/>
  <c r="AA6" i="23"/>
  <c r="J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H9" i="23"/>
  <c r="BR9" i="23"/>
  <c r="G9" i="23"/>
  <c r="BC9" i="23"/>
  <c r="BD9" i="23"/>
  <c r="Q9" i="23"/>
  <c r="V9" i="23"/>
  <c r="W9" i="23"/>
  <c r="AD9" i="23"/>
  <c r="M9" i="23"/>
  <c r="BN9" i="23"/>
  <c r="U9" i="23"/>
  <c r="AC9" i="23"/>
  <c r="L9" i="23"/>
  <c r="BM9" i="23"/>
  <c r="T9" i="23"/>
  <c r="AB9" i="23"/>
  <c r="K9" i="23"/>
  <c r="BL9" i="23"/>
  <c r="S9" i="23"/>
  <c r="AA9" i="23"/>
  <c r="BK9" i="23"/>
  <c r="BE9" i="23"/>
  <c r="BJ9" i="23"/>
  <c r="BI9" i="23"/>
  <c r="BH9" i="23"/>
  <c r="BG9" i="23"/>
  <c r="BF9" i="23"/>
  <c r="AX9" i="23"/>
  <c r="AW9" i="23"/>
  <c r="AV9" i="23"/>
  <c r="AU9" i="23"/>
  <c r="AS9" i="23"/>
  <c r="AR9" i="23"/>
  <c r="AQ9" i="23"/>
  <c r="AN9" i="23"/>
  <c r="AM9" i="23"/>
  <c r="AL9" i="23"/>
  <c r="AK9" i="23"/>
  <c r="AI9" i="23"/>
  <c r="AH9" i="23"/>
  <c r="AF9" i="23"/>
  <c r="Y9" i="23"/>
  <c r="Z9" i="23"/>
  <c r="X9" i="23"/>
  <c r="R9" i="23"/>
  <c r="P9" i="23"/>
  <c r="O9" i="23"/>
  <c r="N9" i="23"/>
  <c r="F9" i="23"/>
  <c r="E9" i="23"/>
  <c r="D9" i="23"/>
  <c r="C9" i="23"/>
  <c r="B9" i="23"/>
  <c r="BR8"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H5" i="23"/>
  <c r="BR5" i="23"/>
  <c r="H4" i="23"/>
  <c r="BR4" i="23"/>
  <c r="E11" i="54"/>
  <c r="E19" i="54"/>
  <c r="E18" i="54"/>
  <c r="E17" i="54"/>
  <c r="E16" i="54"/>
  <c r="E15" i="54"/>
  <c r="E14" i="54"/>
  <c r="E13" i="54"/>
  <c r="E12" i="54"/>
  <c r="D19" i="54"/>
  <c r="B19" i="54"/>
  <c r="B13" i="54"/>
  <c r="D18" i="54"/>
  <c r="B18" i="54"/>
  <c r="D17" i="54"/>
  <c r="B17" i="54"/>
  <c r="D16" i="54"/>
  <c r="B16" i="54"/>
  <c r="D15" i="54"/>
  <c r="B15" i="54"/>
  <c r="D14" i="54"/>
  <c r="D13" i="54"/>
  <c r="D12" i="54"/>
  <c r="B12" i="54"/>
  <c r="G3" i="58"/>
  <c r="U3" i="58"/>
  <c r="G4" i="23"/>
  <c r="BC4" i="23"/>
  <c r="BD4" i="23"/>
  <c r="Q4" i="23"/>
  <c r="S4" i="23"/>
  <c r="W4" i="23"/>
  <c r="AA4" i="23"/>
  <c r="I4" i="23"/>
  <c r="J4" i="23"/>
  <c r="BK4" i="23"/>
  <c r="G5" i="23"/>
  <c r="BC5" i="23"/>
  <c r="BD5" i="23"/>
  <c r="Q5" i="23"/>
  <c r="S5" i="23"/>
  <c r="W5" i="23"/>
  <c r="AA5" i="23"/>
  <c r="I5" i="23"/>
  <c r="J5" i="23"/>
  <c r="BK5" i="23"/>
  <c r="J5" i="3"/>
  <c r="J4" i="3"/>
  <c r="J7" i="3"/>
  <c r="J3" i="3"/>
  <c r="H7" i="3"/>
  <c r="C7" i="3"/>
  <c r="F7" i="3"/>
  <c r="E7" i="3"/>
  <c r="D7" i="3"/>
  <c r="A7" i="3"/>
  <c r="H5" i="3"/>
  <c r="C5" i="3"/>
  <c r="F5" i="3"/>
  <c r="E5" i="3"/>
  <c r="D5" i="3"/>
  <c r="A5" i="3"/>
  <c r="H4" i="3"/>
  <c r="C4" i="3"/>
  <c r="F4" i="3"/>
  <c r="E4" i="3"/>
  <c r="D4" i="3"/>
  <c r="A4" i="3"/>
  <c r="F4" i="57"/>
  <c r="E4" i="57"/>
  <c r="B4" i="57"/>
  <c r="C3" i="3"/>
  <c r="D3" i="3"/>
  <c r="T5" i="23"/>
  <c r="AB5" i="23"/>
  <c r="K5" i="23"/>
  <c r="BL5" i="23"/>
  <c r="T4" i="23"/>
  <c r="AB4" i="23"/>
  <c r="K4" i="23"/>
  <c r="BL4" i="23"/>
  <c r="V5" i="23"/>
  <c r="AD5" i="23"/>
  <c r="M5" i="23"/>
  <c r="BN5" i="23"/>
  <c r="V4" i="23"/>
  <c r="AD4" i="23"/>
  <c r="M4" i="23"/>
  <c r="BN4" i="23"/>
  <c r="AL5" i="23"/>
  <c r="H3" i="3"/>
  <c r="S3" i="58"/>
  <c r="T3" i="58"/>
  <c r="R3" i="58"/>
  <c r="B3" i="58"/>
  <c r="D11" i="54"/>
  <c r="B11" i="54"/>
  <c r="G4" i="53"/>
  <c r="AH5" i="23"/>
  <c r="AH4" i="23"/>
  <c r="G10" i="13"/>
  <c r="G11" i="13"/>
  <c r="B4" i="23"/>
  <c r="B5" i="23"/>
  <c r="R5" i="23"/>
  <c r="R4" i="23"/>
  <c r="J4" i="52"/>
  <c r="AQ4" i="23"/>
  <c r="H4" i="53"/>
  <c r="H5" i="53"/>
  <c r="G5" i="53"/>
  <c r="E5" i="53"/>
  <c r="AU5" i="23"/>
  <c r="K5" i="52"/>
  <c r="J5" i="52"/>
  <c r="H5" i="52"/>
  <c r="E5" i="52"/>
  <c r="AQ5" i="23"/>
  <c r="U5" i="23"/>
  <c r="AC5" i="23"/>
  <c r="L5" i="23"/>
  <c r="BM5" i="23"/>
  <c r="BE5" i="23"/>
  <c r="BJ5" i="23"/>
  <c r="BI5" i="23"/>
  <c r="BH5" i="23"/>
  <c r="BG5" i="23"/>
  <c r="BF5" i="23"/>
  <c r="AX5" i="23"/>
  <c r="AW5" i="23"/>
  <c r="AV5" i="23"/>
  <c r="AS5" i="23"/>
  <c r="AR5" i="23"/>
  <c r="AN5" i="23"/>
  <c r="AM5" i="23"/>
  <c r="AK5" i="23"/>
  <c r="AI5" i="23"/>
  <c r="AF5" i="23"/>
  <c r="Y5" i="23"/>
  <c r="Z5" i="23"/>
  <c r="X5" i="23"/>
  <c r="P5" i="23"/>
  <c r="O5" i="23"/>
  <c r="N5" i="23"/>
  <c r="F5" i="23"/>
  <c r="E5" i="23"/>
  <c r="D5" i="23"/>
  <c r="C5" i="23"/>
  <c r="P3" i="58"/>
  <c r="K4" i="52"/>
  <c r="E3" i="49"/>
  <c r="E5" i="49"/>
  <c r="F3" i="3"/>
  <c r="E3" i="3"/>
  <c r="O3" i="58"/>
  <c r="N3" i="58"/>
  <c r="M3" i="58"/>
  <c r="L3" i="58"/>
  <c r="J3" i="58"/>
  <c r="K3" i="58"/>
  <c r="I3" i="58"/>
  <c r="H3" i="58"/>
  <c r="F3" i="58"/>
  <c r="E3" i="58"/>
  <c r="D3" i="58"/>
  <c r="C3" i="58"/>
  <c r="E15" i="49"/>
  <c r="E14" i="49"/>
  <c r="E13" i="49"/>
  <c r="P4" i="23"/>
  <c r="G8" i="13"/>
  <c r="G2" i="13"/>
  <c r="C4" i="23"/>
  <c r="D4" i="23"/>
  <c r="E4" i="23"/>
  <c r="F4" i="23"/>
  <c r="L4" i="23"/>
  <c r="N4" i="23"/>
  <c r="O4" i="23"/>
  <c r="U4" i="23"/>
  <c r="X4" i="23"/>
  <c r="Y4" i="23"/>
  <c r="Z4" i="23"/>
  <c r="AC4" i="23"/>
  <c r="AF4" i="23"/>
  <c r="AI4" i="23"/>
  <c r="AK4" i="23"/>
  <c r="AL4" i="23"/>
  <c r="AM4" i="23"/>
  <c r="AN4" i="23"/>
  <c r="AR4" i="23"/>
  <c r="AS4" i="23"/>
  <c r="AU4" i="23"/>
  <c r="AV4" i="23"/>
  <c r="AW4" i="23"/>
  <c r="AX4" i="23"/>
  <c r="BE4" i="23"/>
  <c r="BF4" i="23"/>
  <c r="BG4" i="23"/>
  <c r="BH4" i="23"/>
  <c r="BM4" i="23"/>
  <c r="BI4" i="23"/>
  <c r="BJ4" i="23"/>
  <c r="B15" i="55"/>
  <c r="C15" i="55"/>
  <c r="D15" i="55"/>
  <c r="B16" i="55"/>
  <c r="C16" i="55"/>
  <c r="D16" i="55"/>
  <c r="D14" i="55"/>
  <c r="C14" i="55"/>
  <c r="B14" i="55"/>
  <c r="A21" i="55"/>
  <c r="A26" i="55"/>
  <c r="A3"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14" i="54"/>
  <c r="E4" i="53"/>
  <c r="H4" i="52"/>
  <c r="E4" i="52"/>
  <c r="E10" i="49"/>
  <c r="E9" i="49"/>
  <c r="E8" i="49"/>
  <c r="E7" i="49"/>
  <c r="E11" i="49"/>
  <c r="E12" i="49"/>
  <c r="E4" i="49"/>
  <c r="E6" i="49"/>
  <c r="E2" i="49"/>
</calcChain>
</file>

<file path=xl/sharedStrings.xml><?xml version="1.0" encoding="utf-8"?>
<sst xmlns="http://schemas.openxmlformats.org/spreadsheetml/2006/main" count="1135" uniqueCount="410">
  <si>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</si>
  <si>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</si>
  <si>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</si>
  <si>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</si>
  <si>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</si>
  <si>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</si>
  <si>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</si>
  <si>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</si>
  <si>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</si>
  <si>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</si>
  <si>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</si>
  <si>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</si>
  <si>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</si>
  <si>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</si>
  <si>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</si>
  <si>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</si>
  <si>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</si>
  <si>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</si>
  <si>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</si>
  <si>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</si>
  <si>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</si>
  <si>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</si>
  <si>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</si>
  <si>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</si>
  <si>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</si>
  <si>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</si>
  <si>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</si>
  <si>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</si>
  <si>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</si>
  <si>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</si>
  <si>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</si>
  <si>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</si>
  <si>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</si>
  <si>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</si>
  <si>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</si>
  <si>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</si>
  <si>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</si>
  <si>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</si>
  <si>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</si>
  <si>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</si>
  <si>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</si>
  <si>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</si>
  <si>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</si>
  <si>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</si>
  <si>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</si>
  <si>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</si>
  <si>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</si>
  <si>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</si>
  <si>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</si>
  <si>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</si>
  <si>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</si>
  <si>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</si>
  <si>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</si>
  <si>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</si>
  <si>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</si>
  <si>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</si>
  <si>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</si>
  <si>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</si>
  <si>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</si>
  <si>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</si>
  <si>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</si>
  <si>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</si>
  <si>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</si>
  <si>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</si>
  <si>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</si>
  <si>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</si>
  <si>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</si>
  <si>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</si>
  <si>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</si>
  <si>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</si>
  <si>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</si>
  <si>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</si>
  <si>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</si>
  <si>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</si>
  <si>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</si>
  <si>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</si>
  <si>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</si>
  <si>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</si>
  <si>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</si>
  <si>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</si>
  <si>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</si>
  <si>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</si>
  <si>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</si>
  <si>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</si>
  <si>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</si>
  <si>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</si>
  <si>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</si>
  <si>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</si>
  <si>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</si>
  <si>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</si>
  <si>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</si>
  <si>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</si>
  <si>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</si>
  <si>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</si>
  <si>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</si>
  <si>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</si>
  <si>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</si>
  <si>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</si>
  <si>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</si>
  <si>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</si>
  <si>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</si>
  <si>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</si>
  <si>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</si>
  <si>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</si>
  <si>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</si>
  <si>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</si>
  <si>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</si>
  <si>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</si>
  <si>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</si>
  <si>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</si>
  <si>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</si>
  <si>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</si>
  <si>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</si>
  <si>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</si>
  <si>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</si>
  <si>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</si>
  <si>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</si>
  <si>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</si>
  <si>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</si>
  <si>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</si>
  <si>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</si>
  <si>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</si>
  <si>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</si>
  <si>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</si>
  <si>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</si>
  <si>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</si>
  <si>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</si>
  <si>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</si>
  <si>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</si>
  <si>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</si>
  <si>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</si>
  <si>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</si>
  <si>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</si>
  <si>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</si>
  <si>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</si>
  <si>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</si>
  <si>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</si>
  <si>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</si>
  <si>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</si>
  <si>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</si>
  <si>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</si>
  <si>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</si>
  <si>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</si>
  <si>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</si>
  <si>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</si>
  <si>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</si>
  <si>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</si>
  <si>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</si>
  <si>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</si>
  <si>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</si>
  <si>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</si>
  <si>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</si>
  <si>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</si>
  <si>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</si>
  <si>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</si>
  <si>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</si>
  <si>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</si>
  <si>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</si>
  <si>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</si>
  <si>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</si>
  <si>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</si>
  <si>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</si>
  <si>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</si>
  <si>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</si>
  <si>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</si>
  <si>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</si>
  <si>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</si>
  <si>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</si>
  <si>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</si>
  <si>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</si>
  <si>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</si>
  <si>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</si>
  <si>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</si>
  <si>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</si>
  <si>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</si>
  <si>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</si>
  <si>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</si>
  <si>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</si>
  <si>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</si>
  <si>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</si>
  <si>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</si>
  <si>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</si>
  <si>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</si>
  <si>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</si>
  <si>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</si>
  <si>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</si>
  <si>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</si>
  <si>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</si>
  <si>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</si>
  <si>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</si>
  <si>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</si>
  <si>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</si>
  <si>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</si>
  <si>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</si>
  <si>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</si>
  <si>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</si>
  <si>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</si>
  <si>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</si>
  <si>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</si>
  <si>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</si>
  <si>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</si>
  <si>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</si>
  <si>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</si>
  <si>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</si>
  <si>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</si>
  <si>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</si>
  <si>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</si>
  <si>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</si>
  <si>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</si>
  <si>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</si>
  <si>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</si>
  <si>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</si>
  <si>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</si>
  <si>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</si>
  <si>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</si>
  <si>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</si>
  <si>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</si>
  <si>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</si>
  <si>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</si>
  <si>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</si>
  <si>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</si>
  <si>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</si>
  <si>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</si>
  <si>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</si>
  <si>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</si>
  <si>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</si>
  <si>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</si>
  <si>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</si>
  <si>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</si>
  <si>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</si>
  <si>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</si>
  <si>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</si>
  <si>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</si>
  <si>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</si>
  <si>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</si>
  <si>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</si>
  <si>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</si>
  <si>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</si>
  <si>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</si>
  <si>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</si>
  <si>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</si>
  <si>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</si>
  <si>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</si>
  <si>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</si>
  <si>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</si>
  <si>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</si>
  <si>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</si>
  <si>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</si>
  <si>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</si>
  <si>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</si>
  <si>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</si>
  <si>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</si>
  <si>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</si>
  <si>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</si>
  <si>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</si>
  <si>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</si>
  <si>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</si>
  <si>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</si>
  <si>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</si>
  <si>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</si>
  <si>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</si>
  <si>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</si>
  <si>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</si>
  <si>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</si>
  <si>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</si>
  <si>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</si>
  <si>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</si>
  <si>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</si>
  <si>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</si>
  <si>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</si>
  <si>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</si>
  <si>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</si>
  <si>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</si>
  <si>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</si>
  <si>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</si>
  <si>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</si>
  <si>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</si>
  <si>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</si>
  <si>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</si>
  <si>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</si>
  <si>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</si>
  <si>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</si>
  <si>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</si>
  <si>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</si>
  <si>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</si>
  <si>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</si>
  <si>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</si>
  <si>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</si>
  <si>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</si>
  <si>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</si>
  <si>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</si>
  <si>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</si>
  <si>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</si>
  <si>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</si>
  <si>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</si>
  <si>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</si>
  <si>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</si>
  <si>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</si>
  <si>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</si>
  <si>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</si>
  <si>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</si>
  <si>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</si>
  <si>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</si>
  <si>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</si>
  <si>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</si>
  <si>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</si>
  <si>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</si>
  <si>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</si>
  <si>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</si>
  <si>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</si>
  <si>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</si>
  <si>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</si>
  <si>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</si>
  <si>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</si>
  <si>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</si>
  <si>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</si>
  <si>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Cスキル2</t>
  </si>
  <si>
    <t>Cスキル3</t>
  </si>
  <si>
    <t>Cスキル1</t>
    <phoneticPr fontId="22"/>
  </si>
  <si>
    <t>abilities_tmp_</t>
    <phoneticPr fontId="22"/>
  </si>
  <si>
    <t>Cスキル4</t>
    <phoneticPr fontId="22"/>
  </si>
  <si>
    <t>ユニットスキル1</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</si>
  <si>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</si>
  <si>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</si>
  <si>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</si>
  <si>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</si>
  <si>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</si>
  <si>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</si>
  <si>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</si>
  <si>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</si>
  <si>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</si>
  <si>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</si>
  <si>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</si>
  <si>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</si>
  <si>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</si>
  <si>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</si>
  <si>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</si>
  <si>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</si>
  <si>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</si>
  <si>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</si>
  <si>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</si>
  <si>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</si>
  <si>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</si>
  <si>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</si>
  <si>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category</t>
    <phoneticPr fontId="22"/>
  </si>
  <si>
    <t>taiwan04</t>
    <phoneticPr fontId="22"/>
  </si>
  <si>
    <t>福德正神スキル</t>
    <phoneticPr fontId="22"/>
  </si>
  <si>
    <t>福德正神★６スキル</t>
    <phoneticPr fontId="22"/>
  </si>
  <si>
    <t>贏政スキル</t>
    <phoneticPr fontId="22"/>
  </si>
  <si>
    <t>贏政★６スキル</t>
    <phoneticPr fontId="22"/>
  </si>
  <si>
    <t>法海スキル</t>
    <phoneticPr fontId="22"/>
  </si>
  <si>
    <t>法海★６スキル</t>
    <phoneticPr fontId="22"/>
  </si>
  <si>
    <t>黄・ハートパネルを青パネルに変換+2ターンの間確率で青ボムパネルをドロップ</t>
    <phoneticPr fontId="22"/>
  </si>
  <si>
    <t>[effect:force_change_block, new_block:block_blue, target:block_yellow, count:0, val:0, animation:change_block],[effect:force_change_block, new_block:block_blue, target:block_heart, count:0, val:0, animation:change_block],[effect:drop_block, block_type:crack_bomb, block_color:block_blue, color:block_all, val:12, rate:0.16, turn:2, animation:bomb_influence04]</t>
    <phoneticPr fontId="22"/>
  </si>
  <si>
    <t>右隣のユニットのスキルターン1短縮+1体にダメージ(青･お邪魔パネルを吸収し効果大UP)+2ターン全ユニットの攻撃力をUP</t>
    <phoneticPr fontId="22"/>
  </si>
  <si>
    <t>[effect:sp_boost, target:unit_right, val:1, animation:sp_boost_one02],[effect:break_attack, target:enemy_one, val:0.32, lowest_val:10000, count:-1, color:yellow, block01:block_blue, block02:jammer, animation:damage_one_yellow04],[effect:enhance_unit, target:unit_all, turn:2, status:attack, val:0.14, calc:mul, animation:enhance_unit_all_attack02]</t>
    <phoneticPr fontId="22"/>
  </si>
  <si>
    <t>ja</t>
  </si>
  <si>
    <t>福德正神Cスキル</t>
    <phoneticPr fontId="22"/>
  </si>
  <si>
    <t>福德正神★６Cスキル</t>
    <phoneticPr fontId="22"/>
  </si>
  <si>
    <t>贏政Cスキル</t>
    <phoneticPr fontId="22"/>
  </si>
  <si>
    <t>贏政★６Cスキル</t>
    <phoneticPr fontId="22"/>
  </si>
  <si>
    <t>法海Cスキル</t>
    <phoneticPr fontId="22"/>
  </si>
  <si>
    <t>法海★６Cスキル</t>
    <phoneticPr fontId="22"/>
  </si>
  <si>
    <t>[effect:damage, target:enemy_one, color:blue, val:1.2, animation:damage_one_blue03],
[effect:heal_ratio, val:0.18, animation:heal02_unit01]</t>
    <phoneticPr fontId="22"/>
  </si>
  <si>
    <t>[effect:damage, target:enemy_one, color:blue, val:1.5, animation:damage_one_blue04],
[effect:heal_ratio, val:0.18, animation:heal02_unit01]</t>
    <phoneticPr fontId="22"/>
  </si>
  <si>
    <t>1体に大ダメージ
種族ドラゴンに効果特大</t>
    <phoneticPr fontId="22"/>
  </si>
  <si>
    <t>[effect:damage_anti_tribe, target:enemy_one, tribe:dragon, val1:3.375, val2:1.2, animation:damage_one_yellow04]</t>
    <phoneticPr fontId="22"/>
  </si>
  <si>
    <t>1体に特大ダメージ
種族ドラゴンに効果超大</t>
    <phoneticPr fontId="22"/>
  </si>
  <si>
    <t>[effect:damage_anti_tribe, target:enemy_one, tribe:dragon, val1:3.75, val2:1.5, animation:damage_one_yellow04]</t>
    <phoneticPr fontId="22"/>
  </si>
  <si>
    <t>1体に大ダメージ+
種族サムライに効果超大</t>
    <phoneticPr fontId="22"/>
  </si>
  <si>
    <t>1体に特大ダメージ+
HP回復</t>
    <phoneticPr fontId="22"/>
  </si>
  <si>
    <t>1体に大ダメージ+
HP回復</t>
    <phoneticPr fontId="22"/>
  </si>
  <si>
    <t>1体に特大ダメージ+
種族サムライに効果超大</t>
    <phoneticPr fontId="22"/>
  </si>
  <si>
    <t>[effect:damage_anti_tribe, target:enemy_one, tribe:samurai, val1:3.75, val2:1.2, animation:damage_one_blue04]</t>
    <phoneticPr fontId="22"/>
  </si>
  <si>
    <t>[effect:damage_anti_tribe, target:enemy_one, tribe:samurai, val1:3.75, val2:1.5, animation:damage_one_blue04]</t>
    <phoneticPr fontId="22"/>
  </si>
  <si>
    <t>20</t>
    <phoneticPr fontId="22"/>
  </si>
  <si>
    <t>99</t>
    <phoneticPr fontId="22"/>
  </si>
  <si>
    <t>1</t>
    <phoneticPr fontId="22"/>
  </si>
  <si>
    <t>30</t>
    <phoneticPr fontId="22"/>
  </si>
  <si>
    <t>15</t>
    <phoneticPr fontId="22"/>
  </si>
  <si>
    <t>old</t>
    <phoneticPr fontId="22"/>
  </si>
  <si>
    <t>下側をCパネルに最大16個変換+2ターン青属性の攻撃力をUP(ハート・緑・黄パネルを吸収し効果UP)し、超大カウンター</t>
  </si>
  <si>
    <t>下側をCパネルに最大16個変換+2ターン青属性の攻撃力をUP(ハート・緑・黄パネルを吸収し効果UP)し、超大カウンター</t>
    <phoneticPr fontId="22"/>
  </si>
  <si>
    <t>[effect:change_range_block, block_change:1, base_type:0, square_count:7, position01:35, value_h01:2, value_w01:7, value_w03:7, new_block:crash, target:block_all, ignore01:crash, ignore02:color_break, ignore03:magnet, count:16, val:6, animation:change_block],[effect:break_enchance_unit, target:unit_blue, val:0.005, lowest_val:0.2, count :-1, status:attack, turn:3, block01:block_heart, block02:block_green, block03:block_yellow, calc:mul, animation:enhance_unit_all_attack01],[effect:counter_new, target:unit_all, invoke_condition:enemy_all, counter_target:attacker, turn:2, val:4, animation:counter_buff04]</t>
    <phoneticPr fontId="22"/>
  </si>
  <si>
    <t>右隣のユニットのスキルターン1短縮+1体にダメージ(青･お邪魔パネルを吸収し効果大UP)+2ターン全ユニットの攻撃力をUP</t>
    <phoneticPr fontId="22"/>
  </si>
  <si>
    <t>黄・ハートパネルを青パネルに変換+2ターンの間確率で青ボムパネルをドロップ</t>
    <phoneticPr fontId="22"/>
  </si>
  <si>
    <t>曹國舅スキル</t>
    <phoneticPr fontId="22"/>
  </si>
  <si>
    <t>曹國舅★６スキル</t>
    <phoneticPr fontId="22"/>
  </si>
  <si>
    <t>曹國舅Cスキル</t>
    <phoneticPr fontId="22"/>
  </si>
  <si>
    <t>曹國舅★６Cスキル</t>
    <phoneticPr fontId="22"/>
  </si>
  <si>
    <t>自身のHPの最大値に比例して1体に大ダメージ+1ターン緑属性の回復力UP</t>
    <phoneticPr fontId="22"/>
  </si>
  <si>
    <t>自身のHPの最大値に比例して1体に特大ダメージ+1ターン緑属性の回復力UP</t>
    <phoneticPr fontId="22"/>
  </si>
  <si>
    <t>[effect:damage_heal, target:enemy_one, color:green, val:2, animation:damage_one_green03],[effect:enhance_unit, target:unit_green, turn:1, status:heal, val:0.03, calc:mul, animation:enhance_unit_all_heal02_unit01]</t>
    <phoneticPr fontId="22"/>
  </si>
  <si>
    <t>[effect:damage_heal, target:enemy_one, color:green, val:2.25, animation:damage_one_green04],[effect:enhance_unit, target:unit_green, turn:1, status:heal, val:0.03, calc:mul, animation:enhance_unit_all_heal02_unit01]</t>
    <phoneticPr fontId="22"/>
  </si>
  <si>
    <t>李鐵拐スキル</t>
    <phoneticPr fontId="22"/>
  </si>
  <si>
    <t>李鐵拐★６スキル</t>
    <phoneticPr fontId="22"/>
  </si>
  <si>
    <t>李鐵拐Cスキル</t>
    <phoneticPr fontId="22"/>
  </si>
  <si>
    <t>李鐵拐★６Cスキル</t>
    <phoneticPr fontId="22"/>
  </si>
  <si>
    <t>ランダムで最大1つ赤CBPに、緑パネルをCパネルに変換+1ターンテクニカル・攻撃タイプのタップ回数を1増やす</t>
    <phoneticPr fontId="22"/>
  </si>
  <si>
    <t>[effect:force_change_block, new_block:color_break, target:block_all, ignore01:block_positive, color:red, count:1, val:0, animation:change_block],[effect:force_change_block, new_block:crash, target:block_green, count:0, val:6, animation:change_block],[effect:enhance_unit, target:unit_technical/unit_attack/or, turn:1, status:action, val:1, calc:add, animation:enhance_unit_one_action01]</t>
    <phoneticPr fontId="22"/>
  </si>
  <si>
    <t>ランダムで最大1つ赤CBPに、緑・お邪魔パネルをCパネルに変換+1ターンテクニカル・攻撃タイプのタップ回数を1増やし、爆風強化</t>
    <phoneticPr fontId="22"/>
  </si>
  <si>
    <t>[effect:force_change_block, new_block:color_break, target:block_all, ignore01:block_positive, color:red, count:1, val:0, animation:change_block],[effect:force_change_block, new_block:crash, target:block_green, count:0, val:6, animation:change_block],[effect:force_change_block, new_block:crash, target:jammer, count:0, val:6, animation:change_block],[effect:enhance_unit, target:unit_technical/unit_attack/or, turn:1, status:action, val:1, calc:add, animation:enhance_unit_one_action01],[effect:change_bomb_range, target:unit_attack/unit_technical/or, val:1.2, rate:1, turn:1, animation:bomb_big]</t>
    <phoneticPr fontId="22"/>
  </si>
  <si>
    <t>[effect:damage_anti_tribe, target:enemy_one, tribe:human, val1:3.375, val2:1.2, animation:damage_one_red04]</t>
    <phoneticPr fontId="22"/>
  </si>
  <si>
    <t>1体に大ダメージ+
種族ヒューマンに特大ダメージ</t>
    <rPh sb="10" eb="12">
      <t>シュゾk</t>
    </rPh>
    <phoneticPr fontId="22"/>
  </si>
  <si>
    <t>1体に特大ダメージ+
種族ヒューマンに超大ダメージ</t>
    <rPh sb="11" eb="13">
      <t>シュゾk</t>
    </rPh>
    <phoneticPr fontId="22"/>
  </si>
  <si>
    <t>[effect:damage_anti_tribe, target:enemy_one, tribe:human, val1:3.75, val2:1.5, animation:damage_one_red04]</t>
    <phoneticPr fontId="22"/>
  </si>
  <si>
    <t>青・お邪魔パネルを緑パネルに変換+2ターン青パネルの出現率大DOWN</t>
    <phoneticPr fontId="22"/>
  </si>
  <si>
    <t>青・お邪魔パネルを緑パネルに変換+2ターン自身・テクニカルタイプにダメージパネルブレイクを付与し、青パネルの出現率大DOWN</t>
    <phoneticPr fontId="22"/>
  </si>
  <si>
    <t>[effect:force_change_block, new_block:block_green, target:block_blue, count:0, val:0, animation:change_block],[effect:force_change_block, new_block:block_green, target:jammer, count:0, val:0, animation:change_block],[effect:change_panel_ratio, turn:2, block_type:blue, val:0.05, animation:block_incidence04]</t>
    <phoneticPr fontId="22"/>
  </si>
  <si>
    <t>[effect:force_change_block, new_block:block_green, target:block_blue, count:0, val:0, animation:change_block],[effect:force_change_block, new_block:block_green, target:jammer, count:0, val:0, animation:change_block],[effect:panel_break, target:myself/unit_technical, block_type01:damage, turn:2],[effect:change_panel_ratio, turn:2, block_type:blue, val:0.05, animation:block_incidence04]</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</si>
</sst>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3">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0" fillId="25" borderId="4" xfId="0" applyFill="1" applyBorder="1" applyAlignment="1">
      <alignment horizontal="center"/>
    </xf>
    <xf numFmtId="0" fontId="13" fillId="14" borderId="0" xfId="0" applyFont="1" applyFill="1" applyAlignment="1">
      <alignment vertical="center" wrapText="1"/>
    </xf>
    <xf numFmtId="0" fontId="13" fillId="29" borderId="4" xfId="0" applyFont="1" applyFill="1" applyBorder="1" applyAlignment="1">
      <alignment horizontal="left" vertical="center" wrapText="1"/>
    </xf>
    <xf numFmtId="0" fontId="14" fillId="29" borderId="4" xfId="0" applyFont="1" applyFill="1" applyBorder="1" applyAlignment="1">
      <alignment horizontal="left" vertical="center" wrapText="1"/>
    </xf>
    <xf numFmtId="0" fontId="13" fillId="29" borderId="4" xfId="0" applyFont="1" applyFill="1" applyBorder="1" applyAlignment="1">
      <alignment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5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3</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3</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3</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3</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3</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3</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3</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3</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3</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3</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3</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3</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3</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3</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3</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3</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3</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3</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3</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3</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3</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3</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3</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attack</v>
          </cell>
          <cell r="L1739" t="str">
            <v>攻撃タイプ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attack</v>
          </cell>
          <cell r="L1740" t="str">
            <v>攻撃タイプ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green</v>
          </cell>
          <cell r="I1852">
            <v>6</v>
          </cell>
          <cell r="J1852" t="str">
            <v>PremiumSS</v>
          </cell>
          <cell r="K1852" t="str">
            <v>technical</v>
          </cell>
          <cell r="L1852" t="str">
            <v>テクニカルタイプ</v>
          </cell>
          <cell r="M1852" t="str">
            <v>human</v>
          </cell>
          <cell r="N1852" t="str">
            <v>ヒューマン</v>
          </cell>
          <cell r="O1852" t="str">
            <v>none</v>
          </cell>
          <cell r="P1852" t="str">
            <v>種族なし</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green</v>
          </cell>
          <cell r="I1853">
            <v>6</v>
          </cell>
          <cell r="J1853" t="str">
            <v>PremiumSS</v>
          </cell>
          <cell r="K1853" t="str">
            <v>technical</v>
          </cell>
          <cell r="L1853" t="str">
            <v>テクニカルタイプ</v>
          </cell>
          <cell r="M1853" t="str">
            <v>human</v>
          </cell>
          <cell r="N1853" t="str">
            <v>ヒューマン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attack</v>
          </cell>
          <cell r="L1854" t="str">
            <v>攻撃タイプ</v>
          </cell>
          <cell r="M1854" t="str">
            <v>unknown</v>
          </cell>
          <cell r="N1854" t="str">
            <v>Unknown</v>
          </cell>
          <cell r="O1854" t="str">
            <v>fantasy</v>
          </cell>
          <cell r="P1854" t="str">
            <v>ファンタジー</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yellow</v>
          </cell>
          <cell r="I1855">
            <v>6</v>
          </cell>
          <cell r="J1855" t="str">
            <v>PremiumSSw</v>
          </cell>
          <cell r="K1855" t="str">
            <v>attack</v>
          </cell>
          <cell r="L1855" t="str">
            <v>攻撃タイプ</v>
          </cell>
          <cell r="M1855" t="str">
            <v>unknown</v>
          </cell>
          <cell r="N1855" t="str">
            <v>Unknown</v>
          </cell>
          <cell r="O1855" t="str">
            <v>machine</v>
          </cell>
          <cell r="P1855" t="str">
            <v>マシン</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red</v>
          </cell>
          <cell r="I1856">
            <v>6</v>
          </cell>
          <cell r="J1856" t="str">
            <v>PremiumSS</v>
          </cell>
          <cell r="K1856" t="str">
            <v>technical</v>
          </cell>
          <cell r="L1856" t="str">
            <v>テクニカルタイプ</v>
          </cell>
          <cell r="M1856" t="str">
            <v>unknown</v>
          </cell>
          <cell r="N1856" t="str">
            <v>Unknown</v>
          </cell>
          <cell r="O1856" t="str">
            <v>demon</v>
          </cell>
          <cell r="P1856" t="str">
            <v>デーモン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red</v>
          </cell>
          <cell r="I1857">
            <v>6</v>
          </cell>
          <cell r="J1857" t="str">
            <v>DropWizS</v>
          </cell>
          <cell r="K1857" t="str">
            <v>balance</v>
          </cell>
          <cell r="L1857" t="str">
            <v>バランスタイプ</v>
          </cell>
          <cell r="M1857" t="str">
            <v>human</v>
          </cell>
          <cell r="N1857" t="str">
            <v>ヒューマン</v>
          </cell>
          <cell r="O1857" t="str">
            <v>hero</v>
          </cell>
          <cell r="P1857" t="str">
            <v>ヒーロー</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red</v>
          </cell>
          <cell r="I1858">
            <v>6</v>
          </cell>
          <cell r="J1858" t="str">
            <v>DropWizS</v>
          </cell>
          <cell r="K1858" t="str">
            <v>balance</v>
          </cell>
          <cell r="L1858" t="str">
            <v>バランスタイプ</v>
          </cell>
          <cell r="M1858" t="str">
            <v>weapon</v>
          </cell>
          <cell r="N1858" t="str">
            <v>ウェポン</v>
          </cell>
          <cell r="O1858" t="str">
            <v>fantasy</v>
          </cell>
          <cell r="P1858" t="str">
            <v>ファンタジー</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blue</v>
          </cell>
          <cell r="I1863">
            <v>5</v>
          </cell>
          <cell r="J1863" t="str">
            <v>PremiumSS</v>
          </cell>
          <cell r="K1863" t="str">
            <v>technical</v>
          </cell>
          <cell r="L1863" t="str">
            <v>テクニカルタイプ</v>
          </cell>
          <cell r="M1863" t="str">
            <v>human</v>
          </cell>
          <cell r="N1863" t="str">
            <v>ヒューマン</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technical</v>
          </cell>
          <cell r="L1864" t="str">
            <v>テクニカルタイプ</v>
          </cell>
          <cell r="M1864" t="str">
            <v>human</v>
          </cell>
          <cell r="N1864" t="str">
            <v>ヒューマン</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yellow</v>
          </cell>
          <cell r="I1865">
            <v>5</v>
          </cell>
          <cell r="J1865" t="str">
            <v>PremiumSS</v>
          </cell>
          <cell r="K1865" t="str">
            <v>attack</v>
          </cell>
          <cell r="L1865" t="str">
            <v>攻撃タイプ</v>
          </cell>
          <cell r="M1865" t="str">
            <v>human</v>
          </cell>
          <cell r="N1865" t="str">
            <v>ヒューマン</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attack</v>
          </cell>
          <cell r="L1866" t="str">
            <v>攻撃タイプ</v>
          </cell>
          <cell r="M1866" t="str">
            <v>human</v>
          </cell>
          <cell r="N1866" t="str">
            <v>ヒューマン</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red</v>
          </cell>
          <cell r="I1868">
            <v>5</v>
          </cell>
          <cell r="J1868" t="str">
            <v>PremiumSS</v>
          </cell>
          <cell r="K1868" t="str">
            <v>attack</v>
          </cell>
          <cell r="L1868" t="str">
            <v>攻撃タイプ</v>
          </cell>
          <cell r="M1868" t="str">
            <v>dragon</v>
          </cell>
          <cell r="N1868" t="str">
            <v>ドラゴン</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red</v>
          </cell>
          <cell r="I1869">
            <v>6</v>
          </cell>
          <cell r="J1869" t="str">
            <v>PremiumSS</v>
          </cell>
          <cell r="K1869" t="str">
            <v>attack</v>
          </cell>
          <cell r="L1869" t="str">
            <v>攻撃タイプ</v>
          </cell>
          <cell r="M1869" t="str">
            <v>dragon</v>
          </cell>
          <cell r="N1869" t="str">
            <v>ドラゴン</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green</v>
          </cell>
          <cell r="I1870">
            <v>5</v>
          </cell>
          <cell r="J1870" t="str">
            <v>PremiumSS</v>
          </cell>
          <cell r="K1870" t="str">
            <v>attack</v>
          </cell>
          <cell r="L1870" t="str">
            <v>攻撃タイプ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green</v>
          </cell>
          <cell r="I1871">
            <v>6</v>
          </cell>
          <cell r="J1871" t="str">
            <v>PremiumSS</v>
          </cell>
          <cell r="K1871" t="str">
            <v>attack</v>
          </cell>
          <cell r="L1871" t="str">
            <v>攻撃タイプ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2種族攻撃力UP</v>
          </cell>
          <cell r="D166" t="str">
            <v>自身が先頭の時、1ターンの間に合計30個以上パネルを破壊した場合に種族ヒューマン・ヒーローの攻撃力UP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最初の1ターン目と、その後6ターン毎に種族ヒューマン・ファンタジーユニットのタップ回数1増加</v>
          </cell>
        </row>
        <row r="210">
          <cell r="A210">
            <v>1605</v>
          </cell>
          <cell r="B210" t="str">
            <v>ja</v>
          </cell>
          <cell r="C210" t="str">
            <v>タイプ編成 攻撃力UP</v>
          </cell>
          <cell r="D210" t="str">
            <v>体力かテクニカルタイプを編成している場合、全ユニットの攻撃力500UP</v>
          </cell>
        </row>
        <row r="211">
          <cell r="A211">
            <v>1606</v>
          </cell>
          <cell r="B211" t="str">
            <v>ja</v>
          </cell>
          <cell r="C211" t="str">
            <v>3種族 6ターン毎、攻撃力UP</v>
          </cell>
          <cell r="D211" t="str">
            <v>最初の1ターン目と、その後6ターン毎に種族ドラゴン・ファンタジー・アニマルユニットの攻撃力を1000UP</v>
          </cell>
        </row>
        <row r="212">
          <cell r="A212">
            <v>1607</v>
          </cell>
          <cell r="B212" t="str">
            <v>ja</v>
          </cell>
          <cell r="C212" t="str">
            <v>3種族 6ターン毎、タップ回数UP</v>
          </cell>
          <cell r="D212" t="str">
            <v>最初の1ターン目と、その後6ターン毎に種族ドラゴン・ファンタジー・アニマルユニットのタップ回数1増加</v>
          </cell>
        </row>
        <row r="213">
          <cell r="A213">
            <v>1700</v>
          </cell>
          <cell r="B213" t="str">
            <v>ja</v>
          </cell>
          <cell r="C213" t="str">
            <v>パネルブレイク30 ターンHP小回復</v>
          </cell>
          <cell r="D213" t="str">
            <v>自身が先頭の時、1ターンの間に合計30個以上パネルを破壊した場合に1ターン HP小回復</v>
          </cell>
        </row>
        <row r="214">
          <cell r="A214">
            <v>1701</v>
          </cell>
          <cell r="B214" t="str">
            <v>ja</v>
          </cell>
          <cell r="C214" t="str">
            <v>5ターン毎、HP回復</v>
          </cell>
          <cell r="D214" t="str">
            <v>最初の1ターン目と、その後5ターン毎のターン終了時、HPを2500回復する</v>
          </cell>
        </row>
        <row r="215">
          <cell r="A215">
            <v>1702</v>
          </cell>
          <cell r="B215" t="str">
            <v>ja</v>
          </cell>
          <cell r="C215" t="str">
            <v>ターン経過攻撃力UP</v>
          </cell>
          <cell r="D215" t="str">
            <v>最初の1ターン目と、その後6ターン毎に1ターン種族ドラゴン・ファンタジー・アニマルの攻撃力を1000UP</v>
          </cell>
        </row>
        <row r="216">
          <cell r="A216">
            <v>1703</v>
          </cell>
          <cell r="B216" t="str">
            <v>ja</v>
          </cell>
          <cell r="C216" t="str">
            <v>8ターン毎、右隣スキルターン1短縮</v>
          </cell>
          <cell r="D216" t="str">
            <v>最初の1ターン目と、その後8ターン毎に右隣のユニットのスキルターンを1短縮</v>
          </cell>
        </row>
        <row r="217">
          <cell r="A217">
            <v>1704</v>
          </cell>
          <cell r="B217" t="str">
            <v>ja</v>
          </cell>
          <cell r="C217" t="str">
            <v>ターン経過回復力UP</v>
          </cell>
          <cell r="D217" t="str">
            <v>最初の1ターン目と、その後6ターン毎に1ターン自身と右隣のユニットの回復力を1500UP</v>
          </cell>
        </row>
        <row r="218">
          <cell r="A218">
            <v>1705</v>
          </cell>
          <cell r="B218" t="str">
            <v>ja</v>
          </cell>
          <cell r="C218" t="str">
            <v>4ターン毎、ダメージ軽減</v>
          </cell>
          <cell r="D218" t="str">
            <v>最初のターンとその後4ターン毎に全ユニットが敵からのダメージを15%軽減</v>
          </cell>
        </row>
        <row r="219">
          <cell r="A219">
            <v>1800</v>
          </cell>
          <cell r="B219" t="str">
            <v>ja</v>
          </cell>
          <cell r="C219" t="str">
            <v>フィーバー強化</v>
          </cell>
          <cell r="D219" t="str">
            <v>フィーバー時自身の攻撃力、回復力を特大UP</v>
          </cell>
        </row>
        <row r="220">
          <cell r="A220">
            <v>1900</v>
          </cell>
          <cell r="B220" t="str">
            <v>ja</v>
          </cell>
          <cell r="C220" t="str">
            <v>ハート出現率UP</v>
          </cell>
          <cell r="D220" t="str">
            <v>自身が先頭の時、ハートパネルの出現率UP</v>
          </cell>
        </row>
        <row r="221">
          <cell r="A221">
            <v>2000</v>
          </cell>
          <cell r="B221" t="str">
            <v>ja</v>
          </cell>
          <cell r="C221" t="str">
            <v>赤パネル出現率UP</v>
          </cell>
          <cell r="D221" t="str">
            <v>自身が先頭の時、赤パネルの出現率UP</v>
          </cell>
        </row>
        <row r="222">
          <cell r="A222">
            <v>2100</v>
          </cell>
          <cell r="B222" t="str">
            <v>ja</v>
          </cell>
          <cell r="C222" t="str">
            <v>緑パネル出現率UP</v>
          </cell>
          <cell r="D222" t="str">
            <v>自身が先頭の時、緑パネルの出現率UP</v>
          </cell>
        </row>
        <row r="223">
          <cell r="A223">
            <v>2101</v>
          </cell>
          <cell r="B223" t="str">
            <v>ja</v>
          </cell>
          <cell r="C223" t="str">
            <v>緑パネル出現率UP</v>
          </cell>
          <cell r="D223" t="str">
            <v>自身が先頭の時、緑パネルの出現率UP</v>
          </cell>
        </row>
        <row r="224">
          <cell r="A224">
            <v>2200</v>
          </cell>
          <cell r="B224" t="str">
            <v>ja</v>
          </cell>
          <cell r="C224" t="str">
            <v>青パネル出現率UP</v>
          </cell>
          <cell r="D224" t="str">
            <v>自身が先頭の時、青パネルの出現率UP</v>
          </cell>
        </row>
        <row r="225">
          <cell r="A225">
            <v>2201</v>
          </cell>
          <cell r="B225" t="str">
            <v>ja</v>
          </cell>
          <cell r="C225" t="str">
            <v>青パネル出現率UP</v>
          </cell>
          <cell r="D225" t="str">
            <v>自身が先頭の時、青パネルの出現率UP</v>
          </cell>
        </row>
        <row r="226">
          <cell r="A226">
            <v>2300</v>
          </cell>
          <cell r="B226" t="str">
            <v>ja</v>
          </cell>
          <cell r="C226" t="str">
            <v>黄パネル出現率UP</v>
          </cell>
          <cell r="D226" t="str">
            <v>自身が先頭の時、黄パネルの出現率UP</v>
          </cell>
        </row>
        <row r="227">
          <cell r="A227">
            <v>2400</v>
          </cell>
          <cell r="B227" t="str">
            <v>ja</v>
          </cell>
          <cell r="C227" t="str">
            <v>ハートボムパネルドロップ</v>
          </cell>
          <cell r="D227" t="str">
            <v>自身が先頭の時、ハートパネルを確率でハートボムパネルに変換しドロップ</v>
          </cell>
        </row>
        <row r="228">
          <cell r="A228">
            <v>2401</v>
          </cell>
          <cell r="B228" t="str">
            <v>ja</v>
          </cell>
          <cell r="C228" t="str">
            <v>赤ボムパネルドロップ</v>
          </cell>
          <cell r="D228" t="str">
            <v>自身が先頭の時、赤パネルを低確率で赤ボムパネルに変換しドロップ</v>
          </cell>
        </row>
        <row r="229">
          <cell r="A229">
            <v>2402</v>
          </cell>
          <cell r="B229" t="str">
            <v>ja</v>
          </cell>
          <cell r="C229" t="str">
            <v>緑ボムパネルドロップ</v>
          </cell>
          <cell r="D229" t="str">
            <v>自身が先頭の時、緑パネルを低確率で緑ボムパネルに変換しドロップ</v>
          </cell>
        </row>
        <row r="230">
          <cell r="A230">
            <v>2403</v>
          </cell>
          <cell r="B230" t="str">
            <v>ja</v>
          </cell>
          <cell r="C230" t="str">
            <v>青ボムパネルドロップ</v>
          </cell>
          <cell r="D230" t="str">
            <v>自身が先頭の時、青パネルを確率で青ボムパネルに変換しドロップ</v>
          </cell>
        </row>
        <row r="231">
          <cell r="A231">
            <v>2500</v>
          </cell>
          <cell r="B231" t="str">
            <v>ja</v>
          </cell>
          <cell r="C231" t="str">
            <v>青パネルドロップ</v>
          </cell>
          <cell r="D231" t="str">
            <v>自身が先頭の時、緑パネルを確率で青パネルに変換しドロップ</v>
          </cell>
        </row>
        <row r="232">
          <cell r="A232">
            <v>2501</v>
          </cell>
          <cell r="B232" t="str">
            <v>ja</v>
          </cell>
          <cell r="C232" t="str">
            <v>黄パネルドロップ</v>
          </cell>
          <cell r="D232" t="str">
            <v>自身が先頭の時、青パネルを確率で黄パネルに変換しドロップ</v>
          </cell>
        </row>
        <row r="233">
          <cell r="A233">
            <v>2502</v>
          </cell>
          <cell r="B233" t="str">
            <v>ja</v>
          </cell>
          <cell r="C233" t="str">
            <v>赤パネルドロップ</v>
          </cell>
          <cell r="D233" t="str">
            <v>自身が先頭の時、黄パネルを確率で赤パネルに変換しドロップ</v>
          </cell>
        </row>
        <row r="234">
          <cell r="A234">
            <v>2503</v>
          </cell>
          <cell r="B234" t="str">
            <v>ja</v>
          </cell>
          <cell r="C234" t="str">
            <v>黄パネルドロップ</v>
          </cell>
          <cell r="D234" t="str">
            <v>自身が先頭の時、赤パネルを確率で黄パネルに変換しドロップ</v>
          </cell>
        </row>
        <row r="235">
          <cell r="A235">
            <v>2504</v>
          </cell>
          <cell r="B235" t="str">
            <v>ja</v>
          </cell>
          <cell r="C235" t="str">
            <v>SCパネルドロップ</v>
          </cell>
          <cell r="D235" t="str">
            <v>自身が先頭の時、緑パネルを確率でSCパネルに変換しドロップ</v>
          </cell>
        </row>
        <row r="236">
          <cell r="A236">
            <v>2505</v>
          </cell>
          <cell r="B236" t="str">
            <v>ja</v>
          </cell>
          <cell r="C236" t="str">
            <v>緑ボムパネル(大)ドロップ</v>
          </cell>
          <cell r="D236" t="str">
            <v>自身が先頭の時、低確率で緑ボムパネル(大)をドロップ</v>
          </cell>
        </row>
        <row r="237">
          <cell r="A237">
            <v>2506</v>
          </cell>
          <cell r="B237" t="str">
            <v>ja</v>
          </cell>
          <cell r="C237" t="str">
            <v>ハートボムパネル(大)ドロップ</v>
          </cell>
          <cell r="D237" t="str">
            <v>自身が先頭の時、低確率でハートボムパネル(大)をドロップ</v>
          </cell>
        </row>
        <row r="238">
          <cell r="A238">
            <v>2507</v>
          </cell>
          <cell r="B238" t="str">
            <v>ja</v>
          </cell>
          <cell r="C238" t="str">
            <v>Cパネルドロップ</v>
          </cell>
          <cell r="D238" t="str">
            <v>自身が先頭の時、低確率でCパネルをドロップ</v>
          </cell>
        </row>
        <row r="239">
          <cell r="A239">
            <v>2508</v>
          </cell>
          <cell r="B239" t="str">
            <v>ja</v>
          </cell>
          <cell r="C239" t="str">
            <v>黄パネルドロップ</v>
          </cell>
          <cell r="D239" t="str">
            <v>自身が先頭の時、緑パネルを確率で黄パネルに変換しドロップ</v>
          </cell>
        </row>
        <row r="240">
          <cell r="A240">
            <v>2509</v>
          </cell>
          <cell r="B240" t="str">
            <v>ja</v>
          </cell>
          <cell r="C240" t="str">
            <v>赤ボムパネル(大)ドロップ</v>
          </cell>
          <cell r="D240" t="str">
            <v>自身が先頭の時、低確率で赤ボムパネル(大)をドロップ</v>
          </cell>
        </row>
        <row r="241">
          <cell r="A241">
            <v>2510</v>
          </cell>
          <cell r="B241" t="str">
            <v>ja</v>
          </cell>
          <cell r="C241" t="str">
            <v>青ボムパネル(大)ドロップ</v>
          </cell>
          <cell r="D241" t="str">
            <v>自身が先頭の時、低確率で青ボムパネル(大)をドロップ</v>
          </cell>
        </row>
        <row r="242">
          <cell r="A242">
            <v>2511</v>
          </cell>
          <cell r="B242" t="str">
            <v>ja</v>
          </cell>
          <cell r="C242" t="str">
            <v>緑ボムパネルドロップ</v>
          </cell>
          <cell r="D242" t="str">
            <v>自身が先頭の時、ハートパネルを確率で緑ボムパネルに変換しドロップ</v>
          </cell>
        </row>
        <row r="243">
          <cell r="A243">
            <v>2512</v>
          </cell>
          <cell r="B243" t="str">
            <v>ja</v>
          </cell>
          <cell r="C243" t="str">
            <v>ハートボムパネル(大)ドロップ</v>
          </cell>
          <cell r="D243" t="str">
            <v>自身が先頭の時、低確率でハートボムパネル(大)をドロップ</v>
          </cell>
        </row>
        <row r="244">
          <cell r="A244">
            <v>2513</v>
          </cell>
          <cell r="B244" t="str">
            <v>ja</v>
          </cell>
          <cell r="C244" t="str">
            <v>緑ボムパネル(大)ドロップ</v>
          </cell>
          <cell r="D244" t="str">
            <v>自身が先頭の時、低確率で緑ボムパネル(大)をドロップ</v>
          </cell>
        </row>
        <row r="245">
          <cell r="A245">
            <v>2514</v>
          </cell>
          <cell r="B245" t="str">
            <v>ja</v>
          </cell>
          <cell r="C245" t="str">
            <v>赤ボムパネルドロップ</v>
          </cell>
          <cell r="D245" t="str">
            <v>自身が先頭の時、青パネルを低確率で赤ボムパネルに変換しドロップ</v>
          </cell>
        </row>
        <row r="246">
          <cell r="A246">
            <v>2515</v>
          </cell>
          <cell r="B246" t="str">
            <v>ja</v>
          </cell>
          <cell r="C246" t="str">
            <v>テクニカルタイプ Cパネルドロップ</v>
          </cell>
          <cell r="D246" t="str">
            <v>テクニカルが先頭の時、低確率でCパネルをドロップ</v>
          </cell>
        </row>
        <row r="247">
          <cell r="A247">
            <v>2600</v>
          </cell>
          <cell r="B247" t="str">
            <v>ja</v>
          </cell>
          <cell r="C247" t="str">
            <v>回復力400UP</v>
          </cell>
          <cell r="D247" t="str">
            <v>自身の回復力を400UP</v>
          </cell>
        </row>
        <row r="248">
          <cell r="A248">
            <v>2601</v>
          </cell>
          <cell r="B248" t="str">
            <v>ja</v>
          </cell>
          <cell r="C248" t="str">
            <v>回復力300UP</v>
          </cell>
          <cell r="D248" t="str">
            <v>自身の回復力を300UP</v>
          </cell>
        </row>
        <row r="249">
          <cell r="A249">
            <v>2700</v>
          </cell>
          <cell r="B249" t="str">
            <v>ja</v>
          </cell>
          <cell r="C249" t="str">
            <v>攻撃力UP</v>
          </cell>
          <cell r="D249" t="str">
            <v>自身の攻撃力を300UP</v>
          </cell>
        </row>
        <row r="250">
          <cell r="A250">
            <v>2701</v>
          </cell>
          <cell r="B250" t="str">
            <v>ja</v>
          </cell>
          <cell r="C250" t="str">
            <v>攻撃力UP</v>
          </cell>
          <cell r="D250" t="str">
            <v>自身の攻撃力を500UP</v>
          </cell>
        </row>
        <row r="251">
          <cell r="A251">
            <v>2800</v>
          </cell>
          <cell r="B251" t="str">
            <v>ja</v>
          </cell>
          <cell r="C251" t="str">
            <v>防御力UP</v>
          </cell>
          <cell r="D251" t="str">
            <v>自身の防御力を250UP</v>
          </cell>
        </row>
        <row r="252">
          <cell r="A252">
            <v>2801</v>
          </cell>
          <cell r="B252" t="str">
            <v>ja</v>
          </cell>
          <cell r="C252" t="str">
            <v>防御力UP</v>
          </cell>
          <cell r="D252" t="str">
            <v>自身の防御力を350UP</v>
          </cell>
        </row>
        <row r="253">
          <cell r="A253">
            <v>2802</v>
          </cell>
          <cell r="B253" t="str">
            <v>ja</v>
          </cell>
          <cell r="C253" t="str">
            <v>防御力UP</v>
          </cell>
          <cell r="D253" t="str">
            <v>自身の防御力を300UP</v>
          </cell>
        </row>
        <row r="254">
          <cell r="A254">
            <v>2803</v>
          </cell>
          <cell r="B254" t="str">
            <v>ja</v>
          </cell>
          <cell r="C254" t="str">
            <v>防御力UP</v>
          </cell>
          <cell r="D254" t="str">
            <v>自身の防御力を400UP</v>
          </cell>
        </row>
        <row r="255">
          <cell r="A255">
            <v>2804</v>
          </cell>
          <cell r="B255" t="str">
            <v>ja</v>
          </cell>
          <cell r="C255" t="str">
            <v>防御力UP</v>
          </cell>
          <cell r="D255" t="str">
            <v>自身の防御力を280UP</v>
          </cell>
        </row>
        <row r="256">
          <cell r="A256">
            <v>2805</v>
          </cell>
          <cell r="B256" t="str">
            <v>ja</v>
          </cell>
          <cell r="C256" t="str">
            <v>3ターン毎、防御力UP</v>
          </cell>
          <cell r="D256" t="str">
            <v>最初の1ターン目と、その後3ターン毎に1ターン緑属性ユニットの防御力を500UP</v>
          </cell>
        </row>
        <row r="257">
          <cell r="A257">
            <v>2900</v>
          </cell>
          <cell r="B257" t="str">
            <v>ja</v>
          </cell>
          <cell r="C257" t="str">
            <v>フィーバー50 攻撃力小UP</v>
          </cell>
          <cell r="D257" t="str">
            <v>フィーバーゲージが50％以上の時、自身の攻撃力小UP</v>
          </cell>
        </row>
        <row r="258">
          <cell r="A258">
            <v>2901</v>
          </cell>
          <cell r="B258" t="str">
            <v>ja</v>
          </cell>
          <cell r="C258" t="str">
            <v>フィーバー40 攻撃力UP</v>
          </cell>
          <cell r="D258" t="str">
            <v>フィーバーゲージが40％以上の時、自身の攻撃力UP</v>
          </cell>
        </row>
        <row r="259">
          <cell r="A259">
            <v>2902</v>
          </cell>
          <cell r="B259" t="str">
            <v>ja</v>
          </cell>
          <cell r="C259" t="str">
            <v>フィーバー80 攻撃力大UP</v>
          </cell>
          <cell r="D259" t="str">
            <v>フィーバーゲージが80％以上の時、自身の攻撃力大UP</v>
          </cell>
        </row>
        <row r="260">
          <cell r="A260">
            <v>2903</v>
          </cell>
          <cell r="B260" t="str">
            <v>ja</v>
          </cell>
          <cell r="C260" t="str">
            <v>フィーバー100 攻撃参加</v>
          </cell>
          <cell r="D260" t="str">
            <v>フィーバーゲージが100％の時、自身が先頭以外でも通常攻撃に参加する</v>
          </cell>
        </row>
        <row r="261">
          <cell r="A261">
            <v>2904</v>
          </cell>
          <cell r="B261" t="str">
            <v>ja</v>
          </cell>
          <cell r="C261" t="str">
            <v>フィーバー70 HP回復</v>
          </cell>
          <cell r="D261" t="str">
            <v>フィーバーゲージが70%以上の時、毎ターン終了時、HPを1500回復する</v>
          </cell>
        </row>
        <row r="262">
          <cell r="A262">
            <v>2905</v>
          </cell>
          <cell r="B262" t="str">
            <v>ja</v>
          </cell>
          <cell r="C262" t="str">
            <v>フィーバー100 Cパネル生成短縮</v>
          </cell>
          <cell r="D262" t="str">
            <v>フィーバーゲージが100％の時、全ユニットのCパネル生成に必要なチェイン数を1短縮する</v>
          </cell>
        </row>
        <row r="263">
          <cell r="A263">
            <v>2906</v>
          </cell>
          <cell r="B263" t="str">
            <v>ja</v>
          </cell>
          <cell r="C263" t="str">
            <v>フィーバー100 HP1000回復</v>
          </cell>
          <cell r="D263" t="str">
            <v>フィーバーゲージが100%以上の時、毎ターン終了時、HPを1000回復する</v>
          </cell>
        </row>
        <row r="264">
          <cell r="A264">
            <v>2907</v>
          </cell>
          <cell r="B264" t="str">
            <v>ja</v>
          </cell>
          <cell r="C264" t="str">
            <v>フィーバー100 タップ回数UP</v>
          </cell>
          <cell r="D264" t="str">
            <v>フィーバーゲージが100％以上の時、自身のタップ回数を1増加</v>
          </cell>
        </row>
        <row r="265">
          <cell r="A265">
            <v>3000</v>
          </cell>
          <cell r="B265" t="str">
            <v>ja</v>
          </cell>
          <cell r="C265" t="str">
            <v>7ターン毎、攻撃参加</v>
          </cell>
          <cell r="D265" t="str">
            <v>最初の1ターン目と、その後7ターン毎に自身が先頭以外でも通常攻撃に参加する</v>
          </cell>
        </row>
        <row r="266">
          <cell r="A266">
            <v>3001</v>
          </cell>
          <cell r="B266" t="str">
            <v>ja</v>
          </cell>
          <cell r="C266" t="str">
            <v>6ターン毎、攻撃参加</v>
          </cell>
          <cell r="D266" t="str">
            <v>最初の1ターン目と、その後6ターン毎に自身が先頭以外でも通常攻撃に参加する</v>
          </cell>
        </row>
        <row r="267">
          <cell r="A267">
            <v>3002</v>
          </cell>
          <cell r="B267" t="str">
            <v>ja</v>
          </cell>
          <cell r="C267" t="str">
            <v>9ターン毎、攻撃参加</v>
          </cell>
          <cell r="D267" t="str">
            <v>最初の1ターン目と、その後9ターン毎に自身が先頭以外でも通常攻撃に参加する</v>
          </cell>
        </row>
        <row r="268">
          <cell r="A268">
            <v>3100</v>
          </cell>
          <cell r="B268" t="str">
            <v>ja</v>
          </cell>
          <cell r="C268" t="str">
            <v>最終フロア Cパネル生成短縮(特大)</v>
          </cell>
          <cell r="D268" t="str">
            <v>最終フロア内で自身が先頭の時、Cパネル生成に必要なチェイン数を4短縮する</v>
          </cell>
        </row>
        <row r="269">
          <cell r="A269">
            <v>3101</v>
          </cell>
          <cell r="B269" t="str">
            <v>ja</v>
          </cell>
          <cell r="C269" t="str">
            <v>最終フロア バリア3000</v>
          </cell>
          <cell r="D269" t="str">
            <v>最終フロア到達時に自身への直接ダメージを3000まで防ぐバリアを一度だけ展開(バリアは破壊されると復活しない)</v>
          </cell>
        </row>
        <row r="270">
          <cell r="A270">
            <v>3102</v>
          </cell>
          <cell r="B270" t="str">
            <v>ja</v>
          </cell>
          <cell r="C270" t="str">
            <v>最終フロア時 Cスキル威力UP</v>
          </cell>
          <cell r="D270" t="str">
            <v>最終フロアの1ターン目終了時に自身のCスキルの威力をUP</v>
          </cell>
        </row>
        <row r="271">
          <cell r="A271">
            <v>3103</v>
          </cell>
          <cell r="B271" t="str">
            <v>ja</v>
          </cell>
          <cell r="C271" t="str">
            <v>最終フロア 攻撃力UP</v>
          </cell>
          <cell r="D271" t="str">
            <v>最終フロア内で自身の攻撃力を700UP</v>
          </cell>
        </row>
        <row r="272">
          <cell r="A272">
            <v>3104</v>
          </cell>
          <cell r="B272" t="str">
            <v>ja</v>
          </cell>
          <cell r="C272" t="str">
            <v>最終フロア時 バリア5000</v>
          </cell>
          <cell r="D272" t="str">
            <v>最終フロア到達時に自身への直接ダメージを5000まで防ぐバリアを一度だけ展開(バリアは破壊されると復活しない)</v>
          </cell>
        </row>
        <row r="273">
          <cell r="A273">
            <v>3105</v>
          </cell>
          <cell r="B273" t="str">
            <v>ja</v>
          </cell>
          <cell r="C273" t="str">
            <v>最終フロア時 バリア7000</v>
          </cell>
          <cell r="D273" t="str">
            <v>最終フロア到達時に自身への直接ダメージを7000まで防ぐバリアを一度だけ展開(バリアは破壊されると復活しない)</v>
          </cell>
        </row>
        <row r="274">
          <cell r="A274">
            <v>3106</v>
          </cell>
          <cell r="B274" t="str">
            <v>ja</v>
          </cell>
          <cell r="C274" t="str">
            <v>最終フロア HP回復</v>
          </cell>
          <cell r="D274" t="str">
            <v>最終フロアの毎ターン終了時、パーティの合計HPの5%を回復</v>
          </cell>
        </row>
        <row r="275">
          <cell r="A275">
            <v>3107</v>
          </cell>
          <cell r="B275" t="str">
            <v>ja</v>
          </cell>
          <cell r="C275" t="str">
            <v>各フロア タップ回数UP</v>
          </cell>
          <cell r="D275" t="str">
            <v>各フロアの開始時、1ターン全ユニットのタップ回数1増加</v>
          </cell>
        </row>
        <row r="276">
          <cell r="A276">
            <v>3108</v>
          </cell>
          <cell r="B276" t="str">
            <v>ja</v>
          </cell>
          <cell r="C276" t="str">
            <v>最終フロア時 バリア10000</v>
          </cell>
          <cell r="D276" t="str">
            <v>最終フロア到達時に自身への直接ダメージを10000まで防ぐバリアを一度だけ展開(バリアは破壊されると復活しない)</v>
          </cell>
        </row>
        <row r="277">
          <cell r="A277">
            <v>3109</v>
          </cell>
          <cell r="B277" t="str">
            <v>ja</v>
          </cell>
          <cell r="C277" t="str">
            <v>最終フロア 赤ボムパネルドロップ</v>
          </cell>
          <cell r="D277" t="str">
            <v>最終フロア内で青パネルを低確率で赤ボムパネルに変換しドロップ</v>
          </cell>
        </row>
        <row r="278">
          <cell r="A278">
            <v>3200</v>
          </cell>
          <cell r="B278" t="str">
            <v>ja</v>
          </cell>
          <cell r="C278" t="str">
            <v>HP33%以下 攻撃力UP</v>
          </cell>
          <cell r="D278" t="str">
            <v>自身が先頭の時、残りHPが33%以下で攻撃力特大UP</v>
          </cell>
        </row>
        <row r="279">
          <cell r="A279">
            <v>3201</v>
          </cell>
          <cell r="B279" t="str">
            <v>ja</v>
          </cell>
          <cell r="C279" t="str">
            <v>HP35%以下 回復力UP</v>
          </cell>
          <cell r="D279" t="str">
            <v>自身が先頭の時、残りHPが35%以下で回復力40%UP</v>
          </cell>
        </row>
        <row r="280">
          <cell r="A280">
            <v>3202</v>
          </cell>
          <cell r="B280" t="str">
            <v>ja</v>
          </cell>
          <cell r="C280" t="str">
            <v>HP90%以上 全属性耐性15</v>
          </cell>
          <cell r="D280" t="str">
            <v>自身が先頭の時、残りHPが90%以上で全ユニットに対する全属性の敵からの攻撃を15％軽減</v>
          </cell>
        </row>
        <row r="281">
          <cell r="A281">
            <v>3203</v>
          </cell>
          <cell r="B281" t="str">
            <v>ja</v>
          </cell>
          <cell r="C281" t="str">
            <v>HP50%以下 防御力UP</v>
          </cell>
          <cell r="D281" t="str">
            <v>自身が先頭の時、残りHPが50%以下で防御力398UP</v>
          </cell>
        </row>
        <row r="282">
          <cell r="A282">
            <v>3204</v>
          </cell>
          <cell r="B282" t="str">
            <v>ja</v>
          </cell>
          <cell r="C282" t="str">
            <v>HP30%以下 攻撃力大UP</v>
          </cell>
          <cell r="D282" t="str">
            <v>自身が先頭の時、残りHPが30%以下で攻撃力大UP</v>
          </cell>
        </row>
        <row r="283">
          <cell r="A283">
            <v>3205</v>
          </cell>
          <cell r="B283" t="str">
            <v>ja</v>
          </cell>
          <cell r="C283" t="str">
            <v>HP90%以上 ダメージ軽減</v>
          </cell>
          <cell r="D283" t="str">
            <v>残りHPが90%以上の時、全ユニットが敵からの攻撃を15％軽減</v>
          </cell>
        </row>
        <row r="284">
          <cell r="A284">
            <v>3206</v>
          </cell>
          <cell r="B284" t="str">
            <v>ja</v>
          </cell>
          <cell r="C284" t="str">
            <v>HP30%以下 回復力UP</v>
          </cell>
          <cell r="D284" t="str">
            <v>残りHPが30%以下の時、全ユニットの回復力20%UP</v>
          </cell>
        </row>
        <row r="285">
          <cell r="A285">
            <v>3207</v>
          </cell>
          <cell r="B285" t="str">
            <v>ja</v>
          </cell>
          <cell r="C285" t="str">
            <v>HP50%以下 回復力UP</v>
          </cell>
          <cell r="D285" t="str">
            <v>残りHPが50%以下の時、全ユニットの回復力365UP</v>
          </cell>
        </row>
        <row r="286">
          <cell r="A286">
            <v>3208</v>
          </cell>
          <cell r="B286" t="str">
            <v>ja</v>
          </cell>
          <cell r="C286" t="str">
            <v>HP35%以下 防御力UP</v>
          </cell>
          <cell r="D286" t="str">
            <v>残りHPが35%以下の時、自身の防御力800UP</v>
          </cell>
        </row>
        <row r="287">
          <cell r="A287">
            <v>3209</v>
          </cell>
          <cell r="B287" t="str">
            <v>ja</v>
          </cell>
          <cell r="C287" t="str">
            <v>HP80%以下 攻撃力大UP</v>
          </cell>
          <cell r="D287" t="str">
            <v>残りHPが80%以下の時、自身の攻撃力大UP</v>
          </cell>
        </row>
        <row r="288">
          <cell r="A288">
            <v>3210</v>
          </cell>
          <cell r="B288" t="str">
            <v>ja</v>
          </cell>
          <cell r="C288" t="str">
            <v>HP75%以下 Cパネル生成短縮</v>
          </cell>
          <cell r="D288" t="str">
            <v>残りHPが75%以下の時、自身の攻撃力大UP</v>
          </cell>
        </row>
        <row r="289">
          <cell r="A289">
            <v>4000</v>
          </cell>
          <cell r="B289" t="str">
            <v>ja</v>
          </cell>
          <cell r="C289" t="str">
            <v>被ダメージ時 HP回復</v>
          </cell>
          <cell r="D289" t="str">
            <v>自身が攻撃を受けた場合、次のターンの開始時にHP500回復する</v>
          </cell>
        </row>
        <row r="290">
          <cell r="A290">
            <v>5000</v>
          </cell>
          <cell r="B290" t="str">
            <v>ja</v>
          </cell>
          <cell r="C290" t="str">
            <v>パーティー内ゴッド 攻撃力UP</v>
          </cell>
          <cell r="D290" t="str">
            <v>パーティー内に種族ゴッドがいる時、全ユニットの攻撃力を500UP</v>
          </cell>
        </row>
        <row r="291">
          <cell r="A291">
            <v>5001</v>
          </cell>
          <cell r="B291" t="str">
            <v>ja</v>
          </cell>
          <cell r="C291" t="str">
            <v>パーティー内バランス 回復力UP</v>
          </cell>
          <cell r="D291" t="str">
            <v>パーティー内にバランスタイプがいる時、全ユニットの回復力を500UP</v>
          </cell>
        </row>
        <row r="292">
          <cell r="A292">
            <v>5002</v>
          </cell>
          <cell r="B292" t="str">
            <v>ja</v>
          </cell>
          <cell r="C292" t="str">
            <v>パーティー内青属性 攻撃力UP</v>
          </cell>
          <cell r="D292" t="str">
            <v>パーティー内に青属性ユニットがいる時、全ユニットの攻撃力を700UP</v>
          </cell>
        </row>
        <row r="293">
          <cell r="A293">
            <v>5003</v>
          </cell>
          <cell r="B293" t="str">
            <v>ja</v>
          </cell>
          <cell r="C293" t="str">
            <v>パーティー内赤属性 自身攻撃力UP</v>
          </cell>
          <cell r="D293" t="str">
            <v>パーティー内に赤属性ユニットがいる時、自身の攻撃力を1500UP</v>
          </cell>
        </row>
        <row r="294">
          <cell r="A294">
            <v>8000</v>
          </cell>
          <cell r="B294" t="str">
            <v>ja</v>
          </cell>
          <cell r="C294" t="str">
            <v>ユニットが一番右にいるとき 攻撃力UP</v>
          </cell>
          <cell r="D294" t="str">
            <v>自身が一番右にいる場合、全ユニットの攻撃力UP</v>
          </cell>
        </row>
        <row r="295">
          <cell r="A295">
            <v>8001</v>
          </cell>
          <cell r="B295" t="str">
            <v>ja</v>
          </cell>
          <cell r="C295" t="str">
            <v>敵に青属性がいる場合 小カウンター</v>
          </cell>
          <cell r="D295" t="str">
            <v>敵に青属性がいる場合、小カウンター</v>
          </cell>
        </row>
        <row r="296">
          <cell r="A296">
            <v>8002</v>
          </cell>
          <cell r="B296" t="str">
            <v>ja</v>
          </cell>
          <cell r="C296" t="str">
            <v>テスト</v>
          </cell>
          <cell r="D296" t="str">
            <v>フロアスタート時、1ターン全ユニットの攻撃力UP</v>
          </cell>
        </row>
        <row r="297">
          <cell r="A297">
            <v>8003</v>
          </cell>
          <cell r="B297" t="str">
            <v>ja</v>
          </cell>
          <cell r="C297" t="str">
            <v>HP70%以上 ウィルス無効</v>
          </cell>
          <cell r="D297" t="str">
            <v>残りHPが70%以上で自身にかかるウィルスを無効化する</v>
          </cell>
        </row>
        <row r="298">
          <cell r="A298">
            <v>8004</v>
          </cell>
          <cell r="B298" t="str">
            <v>ja</v>
          </cell>
          <cell r="C298" t="str">
            <v>フロアスタート時 スキルブースト</v>
          </cell>
          <cell r="D298" t="str">
            <v>フロアスタート時、1ターンスキルブースト</v>
          </cell>
        </row>
        <row r="299">
          <cell r="A299">
            <v>8005</v>
          </cell>
          <cell r="B299" t="str">
            <v>ja</v>
          </cell>
          <cell r="C299" t="str">
            <v>ハートがハートボム大</v>
          </cell>
          <cell r="D299" t="str">
            <v>ハートがハートボム大</v>
          </cell>
        </row>
        <row r="300">
          <cell r="A300">
            <v>8006</v>
          </cell>
          <cell r="B300" t="str">
            <v>ja</v>
          </cell>
          <cell r="C300" t="str">
            <v>攻撃、回復、体力のCP短縮1</v>
          </cell>
          <cell r="D300" t="str">
            <v>攻撃、回復、体力のCP短縮1</v>
          </cell>
        </row>
        <row r="301">
          <cell r="A301">
            <v>8007</v>
          </cell>
          <cell r="B301" t="str">
            <v>ja</v>
          </cell>
          <cell r="C301" t="str">
            <v>自身の左ユニットが攻撃参加</v>
          </cell>
          <cell r="D301" t="str">
            <v>自身の左ユニットが攻撃参加</v>
          </cell>
        </row>
        <row r="302">
          <cell r="A302">
            <v>8008</v>
          </cell>
          <cell r="B302" t="str">
            <v>ja</v>
          </cell>
          <cell r="C302" t="str">
            <v>ターン経過回復力UP</v>
          </cell>
          <cell r="D302" t="str">
            <v>最初の1ターン目と、その後4ターン毎に2ターン全ユニットの回復力を1500UP</v>
          </cell>
        </row>
        <row r="303">
          <cell r="A303">
            <v>8009</v>
          </cell>
          <cell r="B303" t="str">
            <v>ja</v>
          </cell>
          <cell r="C303" t="str">
            <v>最終フロア Cパネル生成短縮(特大)</v>
          </cell>
          <cell r="D303" t="str">
            <v>最終フロア内で自身が先頭の時、Cパネル生成に必要なチェイン数を4短縮する</v>
          </cell>
        </row>
        <row r="304">
          <cell r="A304">
            <v>8010</v>
          </cell>
          <cell r="B304" t="str">
            <v>ja</v>
          </cell>
          <cell r="C304" t="str">
            <v>対Unknown&amp;青属性 ダメージUP</v>
          </cell>
          <cell r="D304" t="str">
            <v>自身の攻撃対象が種族Unknownで、青属性の場合全ての攻撃の威力をUP</v>
          </cell>
        </row>
        <row r="305">
          <cell r="A305">
            <v>8011</v>
          </cell>
          <cell r="B305" t="str">
            <v>ja</v>
          </cell>
          <cell r="C305" t="str">
            <v>対青属性 スリープ付与</v>
          </cell>
          <cell r="D305" t="str">
            <v>青属性を攻撃するとき、確率で1ターンスリープ付与</v>
          </cell>
        </row>
        <row r="306">
          <cell r="A306">
            <v>9000</v>
          </cell>
          <cell r="B306" t="str">
            <v>ja</v>
          </cell>
          <cell r="C306" t="str">
            <v>ハップルチャレンジ ダメージUP</v>
          </cell>
          <cell r="D306" t="str">
            <v>ハップルチャレンジ内で自身の全ての攻撃の威力をUP</v>
          </cell>
        </row>
        <row r="307">
          <cell r="A307">
            <v>9001</v>
          </cell>
          <cell r="B307" t="str">
            <v>ja</v>
          </cell>
          <cell r="C307" t="str">
            <v>クロネッカーチャレンジ ダメージUP</v>
          </cell>
          <cell r="D307" t="str">
            <v>クロネッカーチャレンジ内で自身の全ての攻撃の威力をUP</v>
          </cell>
        </row>
        <row r="308">
          <cell r="A308">
            <v>9002</v>
          </cell>
          <cell r="B308" t="str">
            <v>ja</v>
          </cell>
          <cell r="C308" t="str">
            <v>クロネッカーチャレンジ ダメージUP</v>
          </cell>
          <cell r="D308" t="str">
            <v>クロネッカーチャレンジ内で自身の全ての攻撃+カウンターの威力をUP</v>
          </cell>
        </row>
        <row r="309">
          <cell r="A309">
            <v>9003</v>
          </cell>
          <cell r="B309" t="str">
            <v>ja</v>
          </cell>
          <cell r="C309" t="str">
            <v>オイラーチャレンジ ダメージUP</v>
          </cell>
          <cell r="D309" t="str">
            <v>オイラーチャレンジ内で自身の全ての攻撃の威力をUP</v>
          </cell>
        </row>
        <row r="310">
          <cell r="A310">
            <v>9004</v>
          </cell>
          <cell r="B310" t="str">
            <v>ja</v>
          </cell>
          <cell r="C310" t="str">
            <v>オイラーチャレンジ ダメージ究極UP</v>
          </cell>
          <cell r="D310" t="str">
            <v>オイラーチャレンジ内で自身の全ての攻撃の威力を究極UP</v>
          </cell>
        </row>
        <row r="311">
          <cell r="A311">
            <v>9005</v>
          </cell>
          <cell r="B311" t="str">
            <v>ja</v>
          </cell>
          <cell r="C311" t="str">
            <v>ヘンペルチャレンジ ダメージUP</v>
          </cell>
          <cell r="D311" t="str">
            <v>ヘンペルチャレンジ内で自身の全ての攻撃の威力をUP</v>
          </cell>
        </row>
        <row r="312">
          <cell r="A312">
            <v>9006</v>
          </cell>
          <cell r="B312" t="str">
            <v>ja</v>
          </cell>
          <cell r="C312" t="str">
            <v>ヘンペルチャレンジ ダメージUP</v>
          </cell>
          <cell r="D312" t="str">
            <v>ヘンペルチャレンジ内で自身の全ての攻撃+カウンターの威力をUP</v>
          </cell>
        </row>
        <row r="313">
          <cell r="A313">
            <v>9007</v>
          </cell>
          <cell r="B313" t="str">
            <v>ja</v>
          </cell>
          <cell r="C313" t="str">
            <v>フロイトチャレンジ ダメージ究極UP</v>
          </cell>
          <cell r="D313" t="str">
            <v>フロイトチャレンジ内で自身の全ての攻撃の威力を究極UP</v>
          </cell>
        </row>
        <row r="314">
          <cell r="A314">
            <v>9008</v>
          </cell>
          <cell r="B314" t="str">
            <v>ja</v>
          </cell>
          <cell r="C314" t="str">
            <v>フロイトチャレンジ ダメージUP</v>
          </cell>
          <cell r="D314" t="str">
            <v>フロイトチャレンジ内で自身の全ての攻撃の威力をUP</v>
          </cell>
        </row>
        <row r="315">
          <cell r="A315">
            <v>9009</v>
          </cell>
          <cell r="B315" t="str">
            <v>ja</v>
          </cell>
          <cell r="C315" t="str">
            <v>フロイトチャレンジ ダメージUP</v>
          </cell>
          <cell r="D315" t="str">
            <v>フロイトチャレンジ内で自身の全ての攻撃+カウンターの威力をUP</v>
          </cell>
        </row>
        <row r="316">
          <cell r="A316">
            <v>9010</v>
          </cell>
          <cell r="B316" t="str">
            <v>ja</v>
          </cell>
          <cell r="C316" t="str">
            <v>ブライドクエスト ダメージUP</v>
          </cell>
          <cell r="D316" t="str">
            <v>ブライドクエスト内で自身の全ての攻撃の威力をUP</v>
          </cell>
        </row>
        <row r="317">
          <cell r="A317">
            <v>9011</v>
          </cell>
          <cell r="B317" t="str">
            <v>ja</v>
          </cell>
          <cell r="C317" t="str">
            <v>クリスマスクエストダメージ究極UP</v>
          </cell>
          <cell r="D317" t="str">
            <v>クリスマスクエスト内で自身の全ての攻撃の威力を究極UP</v>
          </cell>
        </row>
        <row r="318">
          <cell r="A318">
            <v>9012</v>
          </cell>
          <cell r="B318" t="str">
            <v>ja</v>
          </cell>
          <cell r="C318" t="str">
            <v>ブライドクエスト ダメージ大UP</v>
          </cell>
          <cell r="D318" t="str">
            <v>ブライドクエスト内で自身の全ての攻撃の威力を大UP</v>
          </cell>
        </row>
        <row r="319">
          <cell r="A319">
            <v>9013</v>
          </cell>
          <cell r="B319" t="str">
            <v>ja</v>
          </cell>
          <cell r="C319" t="str">
            <v>ラグランジュチャレンジ ダメージUP</v>
          </cell>
          <cell r="D319" t="str">
            <v>ラグランジュチャレンジ内で自身の全ての攻撃の威力をUP</v>
          </cell>
        </row>
        <row r="320">
          <cell r="A320">
            <v>9014</v>
          </cell>
          <cell r="B320" t="str">
            <v>ja</v>
          </cell>
          <cell r="C320" t="str">
            <v>ラグランジュチャレンジ ダメージUP</v>
          </cell>
          <cell r="D320" t="str">
            <v>ラグランジュチャレンジ内で自身の全ての攻撃の威力を究極UP</v>
          </cell>
        </row>
        <row r="321">
          <cell r="A321">
            <v>9015</v>
          </cell>
          <cell r="B321" t="str">
            <v>ja</v>
          </cell>
          <cell r="C321" t="str">
            <v>ラグランジュチャレンジ ダメージUP</v>
          </cell>
          <cell r="D321" t="str">
            <v>ラグランジュチャレンジ内で自身の全ての攻撃+カウンターの威力をUP</v>
          </cell>
        </row>
        <row r="322">
          <cell r="A322">
            <v>119402</v>
          </cell>
          <cell r="B322" t="str">
            <v>ja</v>
          </cell>
          <cell r="C322" t="str">
            <v>ハロウィンナイトパニック！ 威力UP</v>
          </cell>
          <cell r="D322" t="str">
            <v>ハロウィンナイトパニック！内で自身の全ての攻撃の威力を究極UP</v>
          </cell>
        </row>
        <row r="323">
          <cell r="A323">
            <v>500801</v>
          </cell>
          <cell r="B323" t="str">
            <v>ja</v>
          </cell>
          <cell r="C323" t="str">
            <v>パネルブレイク35 攻撃力小UP</v>
          </cell>
          <cell r="D323" t="str">
            <v>自身が先頭の時、1ターンの間に合計35個以上パネルを破壊した場合に攻撃力小UP</v>
          </cell>
        </row>
        <row r="324">
          <cell r="A324">
            <v>808082</v>
          </cell>
          <cell r="B324" t="str">
            <v>ja</v>
          </cell>
          <cell r="C324" t="str">
            <v>Cパネルドロップ</v>
          </cell>
          <cell r="D324" t="str">
            <v>自身が先頭の時、低確率でCパネルをドロップ</v>
          </cell>
        </row>
        <row r="325">
          <cell r="A325">
            <v>900000</v>
          </cell>
          <cell r="B325" t="str">
            <v>ja</v>
          </cell>
          <cell r="C325" t="str">
            <v>フィーバー100 プロテクトブレイク</v>
          </cell>
          <cell r="D325" t="str">
            <v>フィーバーゲージが100％以上の時、1ターンプロテクトブレイク</v>
          </cell>
        </row>
        <row r="326">
          <cell r="A326">
            <v>900001</v>
          </cell>
          <cell r="B326" t="str">
            <v>ja</v>
          </cell>
          <cell r="C326" t="str">
            <v>フィーバー100 お邪魔ブレイク</v>
          </cell>
          <cell r="D326" t="str">
            <v>フィーバーゲージが100％以上の時、1ターンお邪魔ブレイク</v>
          </cell>
        </row>
        <row r="327">
          <cell r="A327">
            <v>900402</v>
          </cell>
          <cell r="B327" t="str">
            <v>ja</v>
          </cell>
          <cell r="C327" t="str">
            <v>バリア3500</v>
          </cell>
          <cell r="D327" t="str">
            <v>戦闘開始時に、自身への直接ダメージを3500まで防ぐバリアを一度だけ展開(バリアは破壊されると復活しない)</v>
          </cell>
        </row>
        <row r="328">
          <cell r="A328">
            <v>810202</v>
          </cell>
          <cell r="B328" t="str">
            <v>ja</v>
          </cell>
          <cell r="C328" t="str">
            <v>パネルブレイク50 ダメージ軽減</v>
          </cell>
          <cell r="D328" t="str">
            <v>自身が先頭の時、1ターンの間に合計50個以上パネルを破壊した場合敵からのダメージを15%軽減（1ターンに1度だけ発動）</v>
          </cell>
        </row>
        <row r="329">
          <cell r="A329">
            <v>811802</v>
          </cell>
          <cell r="B329" t="str">
            <v>ja</v>
          </cell>
          <cell r="C329" t="str">
            <v>ターン攻撃力UP</v>
          </cell>
          <cell r="D329" t="str">
            <v>最初の1ターン目と、その後6ターン毎に1ターン種族ドラゴン・ファンタジー・アニマルの攻撃力1000UP</v>
          </cell>
        </row>
        <row r="330">
          <cell r="A330">
            <v>812002</v>
          </cell>
          <cell r="B330" t="str">
            <v>ja</v>
          </cell>
          <cell r="C330" t="str">
            <v>ターンタップ増加</v>
          </cell>
          <cell r="D330" t="str">
            <v>最初の1ターン目と、その後6ターン毎に1ターン種族ドラゴン・ファンタジー・アニマルのタップ数1増加</v>
          </cell>
        </row>
        <row r="331">
          <cell r="A331">
            <v>811803</v>
          </cell>
          <cell r="B331" t="str">
            <v>ja</v>
          </cell>
          <cell r="C331" t="str">
            <v>端午クエスト ダメージUP</v>
          </cell>
          <cell r="D331" t="str">
            <v>端午クエスト内で自身の全ての攻撃の威力をUP</v>
          </cell>
        </row>
        <row r="332">
          <cell r="A332">
            <v>900802</v>
          </cell>
          <cell r="B332" t="str">
            <v>ja</v>
          </cell>
          <cell r="C332" t="str">
            <v>ターン攻撃力UP</v>
          </cell>
          <cell r="D332"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G8" sqref="G8"/>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380</v>
      </c>
      <c r="B2" s="105" t="s">
        <v>129</v>
      </c>
      <c r="C2" s="162" t="s">
        <v>345</v>
      </c>
      <c r="D2" s="105" t="s">
        <v>128</v>
      </c>
      <c r="E2" s="104" t="str">
        <f>B2&amp;C2&amp;D2</f>
        <v>units_taiwan04.tmp</v>
      </c>
      <c r="F2" s="105" t="s">
        <v>124</v>
      </c>
      <c r="G2" s="59" t="s">
        <v>17</v>
      </c>
      <c r="H2" s="60" t="s">
        <v>96</v>
      </c>
      <c r="I2" s="60" t="s">
        <v>1</v>
      </c>
      <c r="J2" s="60" t="s">
        <v>3</v>
      </c>
      <c r="K2" s="60" t="s">
        <v>2</v>
      </c>
      <c r="L2" s="60" t="s">
        <v>98</v>
      </c>
      <c r="M2" s="60" t="s">
        <v>20</v>
      </c>
      <c r="N2" s="60" t="s">
        <v>103</v>
      </c>
      <c r="O2" s="60" t="s">
        <v>101</v>
      </c>
      <c r="P2" s="60" t="s">
        <v>39</v>
      </c>
      <c r="Q2" s="60" t="s">
        <v>57</v>
      </c>
      <c r="R2" s="60" t="s">
        <v>322</v>
      </c>
      <c r="S2" s="105"/>
      <c r="T2" s="105"/>
      <c r="U2" s="105"/>
      <c r="V2" s="105"/>
      <c r="W2" s="105"/>
    </row>
    <row r="3" spans="1:29" x14ac:dyDescent="0.15">
      <c r="A3" s="105" t="s">
        <v>380</v>
      </c>
      <c r="B3" s="105" t="s">
        <v>293</v>
      </c>
      <c r="C3" s="162" t="s">
        <v>345</v>
      </c>
      <c r="D3" s="105" t="s">
        <v>128</v>
      </c>
      <c r="E3" s="104" t="str">
        <f>B3&amp;C3&amp;D3</f>
        <v>fork_awake_units_taiwan04.tmp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380</v>
      </c>
      <c r="B4" s="105" t="s">
        <v>130</v>
      </c>
      <c r="C4" s="162" t="s">
        <v>345</v>
      </c>
      <c r="D4" s="105" t="s">
        <v>128</v>
      </c>
      <c r="E4" s="104" t="str">
        <f>B4&amp;C4&amp;D4</f>
        <v>awake_materials_taiwan04.tmp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380</v>
      </c>
      <c r="B5" s="105" t="s">
        <v>292</v>
      </c>
      <c r="C5" s="162" t="s">
        <v>345</v>
      </c>
      <c r="D5" s="105" t="s">
        <v>128</v>
      </c>
      <c r="E5" s="104" t="str">
        <f>B5&amp;C5&amp;D5</f>
        <v>fork_awake_materials_taiwan04.tmp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380</v>
      </c>
      <c r="B6" s="105" t="s">
        <v>131</v>
      </c>
      <c r="C6" s="162" t="s">
        <v>345</v>
      </c>
      <c r="D6" s="105" t="s">
        <v>132</v>
      </c>
      <c r="E6" s="104" t="str">
        <f t="shared" ref="E6" si="0">B6&amp;C6&amp;D6</f>
        <v>unit_levels_calc_taiwan04.tmp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380</v>
      </c>
      <c r="B7" s="105" t="s">
        <v>143</v>
      </c>
      <c r="C7" s="162" t="s">
        <v>345</v>
      </c>
      <c r="D7" s="105" t="s">
        <v>144</v>
      </c>
      <c r="E7" s="104" t="str">
        <f>B7&amp;C7&amp;D7</f>
        <v>unit_skills_data_taiwan04.tmp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380</v>
      </c>
      <c r="B8" s="105" t="s">
        <v>149</v>
      </c>
      <c r="C8" s="162" t="s">
        <v>345</v>
      </c>
      <c r="D8" s="105" t="s">
        <v>128</v>
      </c>
      <c r="E8" s="104" t="str">
        <f>B8&amp;C8&amp;D8</f>
        <v>unit_skills_i18n_taiwan04.tmp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380</v>
      </c>
      <c r="B9" s="105" t="s">
        <v>153</v>
      </c>
      <c r="C9" s="162" t="s">
        <v>345</v>
      </c>
      <c r="D9" s="105" t="s">
        <v>154</v>
      </c>
      <c r="E9" s="104" t="str">
        <f>B9&amp;C9&amp;D9</f>
        <v>crash_skills_data_taiwan04.tmp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380</v>
      </c>
      <c r="B10" s="105" t="s">
        <v>157</v>
      </c>
      <c r="C10" s="162" t="s">
        <v>345</v>
      </c>
      <c r="D10" s="105" t="s">
        <v>158</v>
      </c>
      <c r="E10" s="104" t="str">
        <f t="shared" ref="E10" si="1">B10&amp;C10&amp;D10</f>
        <v>crash_skills_i18n_taiwan04.tmp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380</v>
      </c>
      <c r="B11" s="108" t="s">
        <v>135</v>
      </c>
      <c r="C11" s="162" t="s">
        <v>345</v>
      </c>
      <c r="D11" s="105" t="s">
        <v>158</v>
      </c>
      <c r="E11" s="104" t="str">
        <f t="shared" ref="E11:E12" si="2">B11&amp;C11&amp;D11</f>
        <v>unit_serifs_data_taiwan04.tmp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380</v>
      </c>
      <c r="B12" s="108" t="s">
        <v>136</v>
      </c>
      <c r="C12" s="162" t="s">
        <v>345</v>
      </c>
      <c r="D12" s="105" t="s">
        <v>158</v>
      </c>
      <c r="E12" s="104" t="str">
        <f t="shared" si="2"/>
        <v>unit_serifs_i18n_taiwan04.tmp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380</v>
      </c>
      <c r="B13" s="105" t="s">
        <v>319</v>
      </c>
      <c r="C13" s="162" t="s">
        <v>345</v>
      </c>
      <c r="D13" s="105" t="s">
        <v>253</v>
      </c>
      <c r="E13" s="104" t="str">
        <f>B13&amp;C13&amp;D13</f>
        <v>abilities_tmp_taiwan04.tmp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380</v>
      </c>
      <c r="B14" s="105" t="s">
        <v>258</v>
      </c>
      <c r="C14" s="162" t="s">
        <v>345</v>
      </c>
      <c r="D14" s="105" t="s">
        <v>128</v>
      </c>
      <c r="E14" s="104" t="str">
        <f>B14&amp;C14&amp;D14</f>
        <v>abilities_i18n_taiwan04.tmp</v>
      </c>
      <c r="F14" s="105" t="s">
        <v>259</v>
      </c>
      <c r="G14" s="163" t="s">
        <v>255</v>
      </c>
      <c r="H14" s="163" t="s">
        <v>141</v>
      </c>
      <c r="I14" s="163" t="s">
        <v>260</v>
      </c>
      <c r="J14" s="163" t="s">
        <v>152</v>
      </c>
      <c r="K14" s="198" t="s">
        <v>344</v>
      </c>
      <c r="L14" s="105"/>
      <c r="M14" s="105"/>
      <c r="N14" s="105"/>
      <c r="O14" s="105"/>
      <c r="P14" s="105"/>
      <c r="Q14" s="105"/>
      <c r="R14" s="105"/>
      <c r="S14" s="105"/>
      <c r="T14" s="105"/>
      <c r="U14" s="105"/>
      <c r="V14" s="105"/>
      <c r="W14" s="105"/>
      <c r="X14" s="105"/>
      <c r="Y14" s="105"/>
      <c r="Z14" s="105"/>
      <c r="AA14" s="105"/>
      <c r="AB14" s="105"/>
      <c r="AC14" s="105"/>
    </row>
    <row r="15" spans="1:29" x14ac:dyDescent="0.15">
      <c r="A15" s="105" t="s">
        <v>380</v>
      </c>
      <c r="B15" s="105" t="s">
        <v>261</v>
      </c>
      <c r="C15" s="162" t="s">
        <v>345</v>
      </c>
      <c r="D15" s="105" t="s">
        <v>128</v>
      </c>
      <c r="E15" s="104" t="str">
        <f>B15&amp;C15&amp;D15</f>
        <v>unit_abilities_taiwan04.tmp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1"/>
  <sheetViews>
    <sheetView showGridLines="0" workbookViewId="0">
      <pane xSplit="9" ySplit="1" topLeftCell="BC2" activePane="bottomRight" state="frozen"/>
      <selection pane="topRight" activeCell="J1" sqref="J1"/>
      <selection pane="bottomLeft" activeCell="A3" sqref="A3"/>
      <selection pane="bottomRight" activeCell="BO3" sqref="BO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323</v>
      </c>
    </row>
    <row r="2" spans="1:70" ht="26" customHeight="1" x14ac:dyDescent="0.15">
      <c r="A2" s="186">
        <v>8103</v>
      </c>
      <c r="B2" s="53" t="str">
        <f ca="1">VLOOKUP($A2,OFFSET([1]characters!$A$1,0,0,COUNTA([1]characters!$A:$A),MATCH(B$1,[1]characters!$1:$1,0)-MATCH($A$1,[1]characters!$1:$1,0)+1),MATCH(B$1,[1]characters!$1:$1,0)-MATCH($A$1,[1]characters!$1:$1,0)+1,FALSE)</f>
        <v>李鐵拐</v>
      </c>
      <c r="C2" s="53" t="str">
        <f ca="1">VLOOKUP($A2,OFFSET([1]characters!$A$1,0,0,COUNTA([1]characters!$A:$A),MATCH(C$1,[1]characters!$1:$1,0)-MATCH($A$1,[1]characters!$1:$1,0)+1),MATCH(C$1,[1]characters!$1:$1,0)-MATCH($A$1,[1]characters!$1:$1,0)+1,FALSE)</f>
        <v>ポムポムプリン</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女性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PremiumSSw</v>
      </c>
      <c r="I2" s="53" t="str">
        <f ca="1">VLOOKUP($A2,OFFSET([1]characters!$A$1,0,0,COUNTA([1]characters!$A:$A),MATCH(I$1,[1]characters!$1:$1,0)-MATCH($A$1,[1]characters!$1:$1,0)+1),MATCH(I$1,[1]characters!$1:$1,0)-MATCH($A$1,[1]characters!$1:$1,0)+1,FALSE)</f>
        <v>red</v>
      </c>
      <c r="J2" s="10">
        <f ca="1">VLOOKUP(I2,[1]属性!$A:$E,2,FALSE)</f>
        <v>1</v>
      </c>
      <c r="K2" s="10">
        <f ca="1">VLOOKUP(I2,[1]属性!$A:$E,3,FALSE)</f>
        <v>1.02</v>
      </c>
      <c r="L2" s="10">
        <f ca="1">VLOOKUP(I2,[1]属性!$A:$E,4,FALSE)</f>
        <v>1</v>
      </c>
      <c r="M2" s="10">
        <f ca="1">VLOOKUP(I2,[1]属性!$A:$E,5,FALSE)</f>
        <v>0.98</v>
      </c>
      <c r="N2" s="10">
        <f ca="1">INDEX(コスト!$A$1:$I$21,MATCH(H2,コスト!$A$1:$A$21,FALSE),MATCH(G2,コスト!$A$1:$I$1,FALSE))</f>
        <v>38</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god</v>
      </c>
      <c r="X2" s="5" t="str">
        <f ca="1">VLOOKUP(W2,[1]character_tribe_i18n!$A:$H,3,FALSE)</f>
        <v>ゴッド</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0.96</v>
      </c>
      <c r="AB2" s="10">
        <f ca="1">VLOOKUP(W2,[1]character_tribe_i18n!$A:$H,5,FALSE)</f>
        <v>1.02</v>
      </c>
      <c r="AC2" s="10">
        <f ca="1">VLOOKUP(W2,[1]character_tribe_i18n!$A:$H,6,FALSE)</f>
        <v>1</v>
      </c>
      <c r="AD2" s="10">
        <f ca="1">VLOOKUP(W2,[1]character_tribe_i18n!$A:$H,7,FALSE)</f>
        <v>1.02</v>
      </c>
      <c r="AE2" s="187">
        <v>8104</v>
      </c>
      <c r="AF2" s="58" t="str">
        <f ca="1">IF(AE2="NULL","",VLOOKUP($AE2,OFFSET([1]characters!$A$1,0,0,COUNTA([1]characters!$A:$A),MATCH(AF$1,[1]characters!$1:$1,0)-MATCH($A$1,[1]characters!$1:$1,0)+1),MATCH(AF$1,[1]characters!$1:$1,0)-MATCH($A$1,[1]characters!$1:$1,0)+1,FALSE))</f>
        <v>李鐵拐★６</v>
      </c>
      <c r="AG2" s="187">
        <v>8103</v>
      </c>
      <c r="AH2" s="58" t="str">
        <f ca="1">VLOOKUP($AG2,OFFSET([1]characters!$A$1,0,0,COUNTA([1]characters!$A:$A),MATCH(AH$1,[1]characters!$1:$1,0)-MATCH($A$1,[1]characters!$1:$1,0)+1),MATCH(AH$1,[1]characters!$1:$1,0)-MATCH($A$1,[1]characters!$1:$1,0)+1,FALSE)</f>
        <v>李鐵拐</v>
      </c>
      <c r="AI2" s="10">
        <f ca="1">IF(AE2="NULL","NULL",VLOOKUP(G2,ビット!$A$2:$B$7,2))</f>
        <v>200000</v>
      </c>
      <c r="AJ2" s="6">
        <v>2</v>
      </c>
      <c r="AK2" s="7" t="str">
        <f t="shared" ref="AK2:AK3"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8103</v>
      </c>
      <c r="AQ2" s="53" t="str">
        <f ca="1">VLOOKUP($AP2,OFFSET(unit_skills!$A$1,0,0,COUNTA(unit_skills!$A:$A),MATCH(AQ$1,unit_skills!$1:$1,0)-MATCH($AP$1,unit_skills!$1:$1,0)+1),MATCH(AQ$1,unit_skills!$1:$1,0)-MATCH($AP$1,unit_skills!$1:$1,0)+1,FALSE)</f>
        <v>李鐵拐スキル</v>
      </c>
      <c r="AR2" s="53" t="str">
        <f ca="1">VLOOKUP($AP2,OFFSET(unit_skills!$A$1,0,0,COUNTA(unit_skills!$A:$A),MATCH(AR$1,unit_skills!$1:$1,0)-MATCH($AP$1,unit_skills!$1:$1,0)+1),MATCH(AR$1,unit_skills!$1:$1,0)-MATCH($AP$1,unit_skills!$1:$1,0)+1,FALSE)</f>
        <v>ランダムで最大1つ赤CBPに、緑パネルをCパネルに変換+1ターンテクニカル・攻撃タイプのタップ回数を1増やす</v>
      </c>
      <c r="AS2" s="53">
        <f ca="1">VLOOKUP($AP2,OFFSET(unit_skills!$A$1,0,0,COUNTA(unit_skills!$A:$A),MATCH(AS$1,unit_skills!$1:$1,0)-MATCH($AP$1,unit_skills!$1:$1,0)+1),MATCH(AS$1,unit_skills!$1:$1,0)-MATCH($AP$1,unit_skills!$1:$1,0)+1,FALSE)</f>
        <v>0</v>
      </c>
      <c r="AT2" s="63">
        <v>8103</v>
      </c>
      <c r="AU2" s="53" t="str">
        <f ca="1">VLOOKUP($AT2,OFFSET(crash_skills!$A$1,0,0,COUNTA(crash_skills!$A:$A),MATCH(AU$1,crash_skills!$1:$1,0)-MATCH($AT$1,crash_skills!$1:$1,0)+1),MATCH(AU$1,crash_skills!$1:$1,0)-MATCH($AT$1,crash_skills!$1:$1,0)+1,FALSE)</f>
        <v>李鐵拐Cスキル</v>
      </c>
      <c r="AV2" s="53" t="str">
        <f ca="1">VLOOKUP($AT2,OFFSET(crash_skills!$A$1,0,0,COUNTA(crash_skills!$A:$A),MATCH(AV$1,crash_skills!$1:$1,0)-MATCH($AT$1,crash_skills!$1:$1,0)+1),MATCH(AV$1,crash_skills!$1:$1,0)-MATCH($AT$1,crash_skills!$1:$1,0)+1,FALSE)</f>
        <v>1体に大ダメージ+_x000D_種族ヒューマンに特大ダメージ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1</v>
      </c>
      <c r="AY2" s="64">
        <v>1.1000000000000001</v>
      </c>
      <c r="AZ2" s="64">
        <v>1.03</v>
      </c>
      <c r="BA2" s="64">
        <v>0</v>
      </c>
      <c r="BB2" s="64">
        <v>0.89</v>
      </c>
      <c r="BC2" s="10">
        <f ca="1">INDEX('RC6SV'!$A$1:$G$21,MATCH(H2,'RC6SV'!$A$1:$A$21,FALSE),MATCH(G2,'RC6SV'!$A$1:$G$1,FALSE))</f>
        <v>10000</v>
      </c>
      <c r="BD2" s="44">
        <f t="shared" ref="BD2:BD3" ca="1" si="2">ROUND(BC2*IF(AJ2=1,0.95,IF(AJ2=2,1,IF(AJ2,1.05,0))),0)</f>
        <v>10000</v>
      </c>
      <c r="BE2" s="10">
        <f t="shared" ref="BE2:BE11" ca="1" si="3">ROUND(IFERROR(INDIRECT(ADDRESS(MATCH($A2,$AE:$AE,0),MATCH($BC$1,$1:$1,0))),0),0)</f>
        <v>0</v>
      </c>
      <c r="BF2" s="10">
        <f t="shared" ref="BF2:BF11" ca="1" si="4">ROUND(IFERROR(INDIRECT(ADDRESS(MATCH($A2,$AE:$AE,0),10)),INDIRECT(ADDRESS(MATCH($A2,$A:$A,0),10))),0)</f>
        <v>1</v>
      </c>
      <c r="BG2" s="15">
        <f ca="1">IF($BE2&lt;=0,ROUND(BK2*0.5,0), ROUND($BE2*S2*AA2*J2*AY2*0.8*[1]ステータス!$B$2,0))</f>
        <v>2640</v>
      </c>
      <c r="BH2" s="15">
        <f ca="1">IF($BE2&lt;=0,ROUND(BL2*0.5,0), ROUND($BE2*T2*AB2*K2*AZ2*0.8*[1]ステータス!$C$2,0))</f>
        <v>2138</v>
      </c>
      <c r="BI2" s="15">
        <f ca="1">IF($BE2&lt;=0,ROUND(BM2*0.5,0), ROUND($BE2*U2*AC2*L2*BA2*0.8*[1]ステータス!$D$2,0))</f>
        <v>0</v>
      </c>
      <c r="BJ2" s="15">
        <f ca="1">IF($BE2&lt;=0,ROUND(BN2*0.5,0), ROUND($BE2*V2*AD2*M2*BB2*0.8*[1]ステータス!$E$2,0))</f>
        <v>745</v>
      </c>
      <c r="BK2" s="10">
        <f ca="1">ROUND(BD2*S2*AA2*J2*AY2*[1]ステータス!$B$2,0)</f>
        <v>5280</v>
      </c>
      <c r="BL2" s="10">
        <f ca="1">ROUND(BD2*T2*AB2*K2*AZ2*[1]ステータス!$C$2,0)</f>
        <v>4276</v>
      </c>
      <c r="BM2" s="10">
        <f ca="1">ROUND(BD2*U2*AC2*L2*BA2*[1]ステータス!$D$2,0)</f>
        <v>0</v>
      </c>
      <c r="BN2" s="10">
        <f ca="1">ROUND(BD2*V2*AD2*M2*BB2*[1]ステータス!$E$2,0)</f>
        <v>1490</v>
      </c>
      <c r="BO2" s="9">
        <v>0</v>
      </c>
      <c r="BP2" s="9">
        <v>1</v>
      </c>
      <c r="BQ2" s="36" t="s">
        <v>47</v>
      </c>
      <c r="BR2" s="9">
        <f ca="1">VLOOKUP(H2,[2]ghosts_label!$A$2:$B$19,2,FALSE)</f>
        <v>6000</v>
      </c>
    </row>
    <row r="3" spans="1:70" ht="26" customHeight="1" x14ac:dyDescent="0.15">
      <c r="A3" s="186">
        <v>8104</v>
      </c>
      <c r="B3" s="53" t="str">
        <f ca="1">VLOOKUP($A3,OFFSET([1]characters!$A$1,0,0,COUNTA([1]characters!$A:$A),MATCH(B$1,[1]characters!$1:$1,0)-MATCH($A$1,[1]characters!$1:$1,0)+1),MATCH(B$1,[1]characters!$1:$1,0)-MATCH($A$1,[1]characters!$1:$1,0)+1,FALSE)</f>
        <v>李鐵拐★６</v>
      </c>
      <c r="C3" s="53" t="str">
        <f ca="1">VLOOKUP($A3,OFFSET([1]characters!$A$1,0,0,COUNTA([1]characters!$A:$A),MATCH(C$1,[1]characters!$1:$1,0)-MATCH($A$1,[1]characters!$1:$1,0)+1),MATCH(C$1,[1]characters!$1:$1,0)-MATCH($A$1,[1]characters!$1:$1,0)+1,FALSE)</f>
        <v>各属性相性良3・黄・R455</v>
      </c>
      <c r="D3" s="53" t="str">
        <f ca="1">VLOOKUP($A3,OFFSET([1]characters!$A$1,0,0,COUNTA([1]characters!$A:$A),MATCH(D$1,[1]characters!$1:$1,0)-MATCH($A$1,[1]characters!$1:$1,0)+1),MATCH(D$1,[1]characters!$1:$1,0)-MATCH($A$1,[1]characters!$1:$1,0)+1,FALSE)</f>
        <v>執行者</v>
      </c>
      <c r="E3" s="53" t="str">
        <f ca="1">VLOOKUP($A3,OFFSET([1]characters!$A$1,0,0,COUNTA([1]characters!$A:$A),MATCH(E$1,[1]characters!$1:$1,0)-MATCH($A$1,[1]characters!$1:$1,0)+1),MATCH(E$1,[1]characters!$1:$1,0)-MATCH($A$1,[1]characters!$1:$1,0)+1,FALSE)</f>
        <v>格好いい</v>
      </c>
      <c r="F3" s="53" t="str">
        <f ca="1">VLOOKUP($A3,OFFSET([1]characters!$A$1,0,0,COUNTA([1]characters!$A:$A),MATCH(F$1,[1]characters!$1:$1,0)-MATCH($A$1,[1]characters!$1:$1,0)+1),MATCH(F$1,[1]characters!$1:$1,0)-MATCH($A$1,[1]characters!$1:$1,0)+1,FALSE)</f>
        <v>男性</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PremiumSSw</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53</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god</v>
      </c>
      <c r="X3" s="5" t="str">
        <f ca="1">VLOOKUP(W3,[1]character_tribe_i18n!$A:$H,3,FALSE)</f>
        <v>ゴッド</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0.96</v>
      </c>
      <c r="AB3" s="10">
        <f ca="1">VLOOKUP(W3,[1]character_tribe_i18n!$A:$H,5,FALSE)</f>
        <v>1.02</v>
      </c>
      <c r="AC3" s="10">
        <f ca="1">VLOOKUP(W3,[1]character_tribe_i18n!$A:$H,6,FALSE)</f>
        <v>1</v>
      </c>
      <c r="AD3" s="10">
        <f ca="1">VLOOKUP(W3,[1]character_tribe_i18n!$A:$H,7,FALSE)</f>
        <v>1.02</v>
      </c>
      <c r="AE3" s="187" t="s">
        <v>183</v>
      </c>
      <c r="AF3" s="58" t="str">
        <f ca="1">IF(AE3="NULL","",VLOOKUP($AE3,OFFSET([1]characters!$A$1,0,0,COUNTA([1]characters!$A:$A),MATCH(AF$1,[1]characters!$1:$1,0)-MATCH($A$1,[1]characters!$1:$1,0)+1),MATCH(AF$1,[1]characters!$1:$1,0)-MATCH($A$1,[1]characters!$1:$1,0)+1,FALSE))</f>
        <v/>
      </c>
      <c r="AG3" s="187">
        <v>8103</v>
      </c>
      <c r="AH3" s="58" t="str">
        <f ca="1">VLOOKUP($AG3,OFFSET([1]characters!$A$1,0,0,COUNTA([1]characters!$A:$A),MATCH(AH$1,[1]characters!$1:$1,0)-MATCH($A$1,[1]characters!$1:$1,0)+1),MATCH(AH$1,[1]characters!$1:$1,0)-MATCH($A$1,[1]characters!$1:$1,0)+1,FALSE)</f>
        <v>李鐵拐</v>
      </c>
      <c r="AI3" s="10" t="str">
        <f>IF(AE3="NULL","NULL",VLOOKUP(G3,ビット!$A$2:$B$7,2))</f>
        <v>NULL</v>
      </c>
      <c r="AJ3" s="6">
        <v>2</v>
      </c>
      <c r="AK3" s="7" t="str">
        <f t="shared" si="1"/>
        <v>普通</v>
      </c>
      <c r="AL3" s="10" t="str">
        <f ca="1">INDEX(経験値!$A$1:$I$21,MATCH(H3,経験値!$A$1:$A$21,FALSE),MATCH(G3,経験値!$A$1:$I$1,FALSE))</f>
        <v>required_exp_250</v>
      </c>
      <c r="AM3" s="8">
        <f ca="1">VLOOKUP(G3,経験値!$A$28:$B$32,2)</f>
        <v>6400</v>
      </c>
      <c r="AN3" s="16">
        <f ca="1">VLOOKUP(G3,ビット!$G$2:$H$7,2)</f>
        <v>900</v>
      </c>
      <c r="AO3" s="41"/>
      <c r="AP3" s="63">
        <v>8104</v>
      </c>
      <c r="AQ3" s="53" t="str">
        <f ca="1">VLOOKUP($AP3,OFFSET(unit_skills!$A$1,0,0,COUNTA(unit_skills!$A:$A),MATCH(AQ$1,unit_skills!$1:$1,0)-MATCH($AP$1,unit_skills!$1:$1,0)+1),MATCH(AQ$1,unit_skills!$1:$1,0)-MATCH($AP$1,unit_skills!$1:$1,0)+1,FALSE)</f>
        <v>李鐵拐★６スキル</v>
      </c>
      <c r="AR3" s="53" t="str">
        <f ca="1">VLOOKUP($AP3,OFFSET(unit_skills!$A$1,0,0,COUNTA(unit_skills!$A:$A),MATCH(AR$1,unit_skills!$1:$1,0)-MATCH($AP$1,unit_skills!$1:$1,0)+1),MATCH(AR$1,unit_skills!$1:$1,0)-MATCH($AP$1,unit_skills!$1:$1,0)+1,FALSE)</f>
        <v>ランダムで最大1つ赤CBPに、緑・お邪魔パネルをCパネルに変換+1ターンテクニカル・攻撃タイプのタップ回数を1増やし、爆風強化</v>
      </c>
      <c r="AS3" s="53">
        <f ca="1">VLOOKUP($AP3,OFFSET(unit_skills!$A$1,0,0,COUNTA(unit_skills!$A:$A),MATCH(AS$1,unit_skills!$1:$1,0)-MATCH($AP$1,unit_skills!$1:$1,0)+1),MATCH(AS$1,unit_skills!$1:$1,0)-MATCH($AP$1,unit_skills!$1:$1,0)+1,FALSE)</f>
        <v>0</v>
      </c>
      <c r="AT3" s="63">
        <v>8104</v>
      </c>
      <c r="AU3" s="53" t="str">
        <f ca="1">VLOOKUP($AT3,OFFSET(crash_skills!$A$1,0,0,COUNTA(crash_skills!$A:$A),MATCH(AU$1,crash_skills!$1:$1,0)-MATCH($AT$1,crash_skills!$1:$1,0)+1),MATCH(AU$1,crash_skills!$1:$1,0)-MATCH($AT$1,crash_skills!$1:$1,0)+1,FALSE)</f>
        <v>李鐵拐★６Cスキル</v>
      </c>
      <c r="AV3" s="53" t="str">
        <f ca="1">VLOOKUP($AT3,OFFSET(crash_skills!$A$1,0,0,COUNTA(crash_skills!$A:$A),MATCH(AV$1,crash_skills!$1:$1,0)-MATCH($AT$1,crash_skills!$1:$1,0)+1),MATCH(AV$1,crash_skills!$1:$1,0)-MATCH($AT$1,crash_skills!$1:$1,0)+1,FALSE)</f>
        <v>1体に特大ダメージ+_x000D_種族ヒューマンに超大ダメージ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1</v>
      </c>
      <c r="AY3" s="64">
        <v>1.1000000000000001</v>
      </c>
      <c r="AZ3" s="64">
        <v>1.03</v>
      </c>
      <c r="BA3" s="64">
        <v>0</v>
      </c>
      <c r="BB3" s="64">
        <v>0.89</v>
      </c>
      <c r="BC3" s="10">
        <f ca="1">INDEX('RC6SV'!$A$1:$G$21,MATCH(H3,'RC6SV'!$A$1:$A$21,FALSE),MATCH(G3,'RC6SV'!$A$1:$G$1,FALSE))</f>
        <v>14000</v>
      </c>
      <c r="BD3" s="44">
        <f t="shared" ca="1" si="2"/>
        <v>14000</v>
      </c>
      <c r="BE3" s="10">
        <f t="shared" ca="1" si="3"/>
        <v>10000</v>
      </c>
      <c r="BF3" s="10">
        <f t="shared" ca="1" si="4"/>
        <v>1</v>
      </c>
      <c r="BG3" s="15">
        <f ca="1">IF($BE3&lt;=0,ROUND(BK3*0.5,0), ROUND($BE3*S3*AA3*J3*AY3*0.8*[1]ステータス!$B$2,0))</f>
        <v>4224</v>
      </c>
      <c r="BH3" s="15">
        <f ca="1">IF($BE3&lt;=0,ROUND(BL3*0.5,0), ROUND($BE3*T3*AB3*K3*AZ3*0.8*[1]ステータス!$C$2,0))</f>
        <v>3421</v>
      </c>
      <c r="BI3" s="15">
        <f ca="1">IF($BE3&lt;=0,ROUND(BM3*0.5,0), ROUND($BE3*U3*AC3*L3*BA3*0.8*[1]ステータス!$D$2,0))</f>
        <v>0</v>
      </c>
      <c r="BJ3" s="15">
        <f ca="1">IF($BE3&lt;=0,ROUND(BN3*0.5,0), ROUND($BE3*V3*AD3*M3*BB3*0.8*[1]ステータス!$E$2,0))</f>
        <v>1192</v>
      </c>
      <c r="BK3" s="10">
        <f ca="1">ROUND(BD3*S3*AA3*J3*AY3*[1]ステータス!$B$2,0)</f>
        <v>7392</v>
      </c>
      <c r="BL3" s="10">
        <f ca="1">ROUND(BD3*T3*AB3*K3*AZ3*[1]ステータス!$C$2,0)</f>
        <v>5986</v>
      </c>
      <c r="BM3" s="10">
        <f ca="1">ROUND(BD3*U3*AC3*L3*BA3*[1]ステータス!$D$2,0)</f>
        <v>0</v>
      </c>
      <c r="BN3" s="10">
        <f ca="1">ROUND(BD3*V3*AD3*M3*BB3*[1]ステータス!$E$2,0)</f>
        <v>2086</v>
      </c>
      <c r="BO3" s="9">
        <v>0</v>
      </c>
      <c r="BP3" s="9">
        <v>1</v>
      </c>
      <c r="BQ3" s="9" t="s">
        <v>47</v>
      </c>
      <c r="BR3" s="9">
        <f ca="1">VLOOKUP(H3,[2]ghosts_label!$A$2:$B$19,2,FALSE)</f>
        <v>6000</v>
      </c>
    </row>
    <row r="4" spans="1:70" ht="26" customHeight="1" x14ac:dyDescent="0.15">
      <c r="A4" s="186">
        <v>8111</v>
      </c>
      <c r="B4" s="53" t="str">
        <f ca="1">VLOOKUP($A4,OFFSET([1]characters!$A$1,0,0,COUNTA([1]characters!$A:$A),MATCH(B$1,[1]characters!$1:$1,0)-MATCH($A$1,[1]characters!$1:$1,0)+1),MATCH(B$1,[1]characters!$1:$1,0)-MATCH($A$1,[1]characters!$1:$1,0)+1,FALSE)</f>
        <v>福德正神</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blue</v>
      </c>
      <c r="J4" s="10">
        <f ca="1">VLOOKUP(I4,[1]属性!$A:$E,2,FALSE)</f>
        <v>1</v>
      </c>
      <c r="K4" s="10">
        <f ca="1">VLOOKUP(I4,[1]属性!$A:$E,3,FALSE)</f>
        <v>0.98</v>
      </c>
      <c r="L4" s="10">
        <f ca="1">VLOOKUP(I4,[1]属性!$A:$E,4,FALSE)</f>
        <v>1</v>
      </c>
      <c r="M4" s="10">
        <f ca="1">VLOOKUP(I4,[1]属性!$A:$E,5,FALSE)</f>
        <v>1.02</v>
      </c>
      <c r="N4" s="10">
        <f ca="1">INDEX(コスト!$A$1:$I$21,MATCH(H4,コスト!$A$1:$A$21,FALSE),MATCH(G4,コスト!$A$1:$I$1,FALSE))</f>
        <v>30</v>
      </c>
      <c r="O4" s="10">
        <f ca="1">INDEX(レベル!$A$1:$I$22,MATCH(H4,レベル!$A$1:$A$22,FALSE),MATCH(G4,レベル!$A$1:$I$1,FALSE))</f>
        <v>80</v>
      </c>
      <c r="P4" s="44">
        <f t="shared" ref="P4:P7" ca="1" si="5">IF(G4 &gt;= 6, 99,G4*15)</f>
        <v>75</v>
      </c>
      <c r="Q4" s="53" t="str">
        <f ca="1">VLOOKUP($A4,OFFSET([1]characters!$A$1,0,0,COUNTA([1]characters!$A:$A),MATCH(Q$1,[1]characters!$1:$1,0)-MATCH($A$1,[1]characters!$1:$1,0)+1),MATCH(Q$1,[1]characters!$1:$1,0)-MATCH($A$1,[1]characters!$1:$1,0)+1,FALSE)</f>
        <v>balance</v>
      </c>
      <c r="R4" s="5" t="str">
        <f ca="1">VLOOKUP(Q4,[1]character_type_i18n!$A:$H,3,FALSE)</f>
        <v>バランスタイプ</v>
      </c>
      <c r="S4" s="10">
        <f ca="1">VLOOKUP(Q4,[1]character_type_i18n!$A:$H,4,FALSE)</f>
        <v>1</v>
      </c>
      <c r="T4" s="10">
        <f ca="1">VLOOKUP(Q4,[1]character_type_i18n!$A:$H,5,FALSE)</f>
        <v>1</v>
      </c>
      <c r="U4" s="10">
        <f ca="1">VLOOKUP(Q4,[1]character_type_i18n!$A:$H,6,FALSE)</f>
        <v>1</v>
      </c>
      <c r="V4" s="10">
        <f ca="1">VLOOKUP(Q4,[1]character_type_i18n!$A:$H,7,FALSE)</f>
        <v>1</v>
      </c>
      <c r="W4" s="53" t="str">
        <f ca="1">VLOOKUP($A4,OFFSET([1]characters!$A$1,0,0,COUNTA([1]characters!$A:$A),MATCH(W$1,[1]characters!$1:$1,0)-MATCH($A$1,[1]characters!$1:$1,0)+1),MATCH(W$1,[1]characters!$1:$1,0)-MATCH($A$1,[1]characters!$1:$1,0)+1,FALSE)</f>
        <v>god</v>
      </c>
      <c r="X4" s="5" t="str">
        <f ca="1">VLOOKUP(W4,[1]character_tribe_i18n!$A:$H,3,FALSE)</f>
        <v>ゴッド</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0.96</v>
      </c>
      <c r="AB4" s="10">
        <f ca="1">VLOOKUP(W4,[1]character_tribe_i18n!$A:$H,5,FALSE)</f>
        <v>1.02</v>
      </c>
      <c r="AC4" s="10">
        <f ca="1">VLOOKUP(W4,[1]character_tribe_i18n!$A:$H,6,FALSE)</f>
        <v>1</v>
      </c>
      <c r="AD4" s="10">
        <f ca="1">VLOOKUP(W4,[1]character_tribe_i18n!$A:$H,7,FALSE)</f>
        <v>1.02</v>
      </c>
      <c r="AE4" s="187">
        <v>8112</v>
      </c>
      <c r="AF4" s="58" t="str">
        <f ca="1">IF(AE4="NULL","",VLOOKUP($AE4,OFFSET([1]characters!$A$1,0,0,COUNTA([1]characters!$A:$A),MATCH(AF$1,[1]characters!$1:$1,0)-MATCH($A$1,[1]characters!$1:$1,0)+1),MATCH(AF$1,[1]characters!$1:$1,0)-MATCH($A$1,[1]characters!$1:$1,0)+1,FALSE))</f>
        <v>福德正神★６</v>
      </c>
      <c r="AG4" s="187">
        <v>8111</v>
      </c>
      <c r="AH4" s="58" t="str">
        <f ca="1">VLOOKUP($AG4,OFFSET([1]characters!$A$1,0,0,COUNTA([1]characters!$A:$A),MATCH(AH$1,[1]characters!$1:$1,0)-MATCH($A$1,[1]characters!$1:$1,0)+1),MATCH(AH$1,[1]characters!$1:$1,0)-MATCH($A$1,[1]characters!$1:$1,0)+1,FALSE)</f>
        <v>福德正神</v>
      </c>
      <c r="AI4" s="10">
        <f ca="1">IF(AE4="NULL","NULL",VLOOKUP(G4,ビット!$A$2:$B$7,2))</f>
        <v>200000</v>
      </c>
      <c r="AJ4" s="6">
        <v>2</v>
      </c>
      <c r="AK4" s="7" t="str">
        <f t="shared" ref="AK4" si="6">IF(AJ4=1,"早熟",IF(AJ4=2,"普通",IF(AJ4=3,"晩成","")))</f>
        <v>普通</v>
      </c>
      <c r="AL4" s="10" t="str">
        <f ca="1">INDEX(経験値!$A$1:$I$21,MATCH(H4,経験値!$A$1:$A$21,FALSE),MATCH(G4,経験値!$A$1:$I$1,FALSE))</f>
        <v>required_exp_200</v>
      </c>
      <c r="AM4" s="8">
        <f ca="1">VLOOKUP(G4,経験値!$A$28:$B$32,2)</f>
        <v>6400</v>
      </c>
      <c r="AN4" s="16">
        <f ca="1">VLOOKUP(G4,ビット!$G$2:$H$7,2)</f>
        <v>900</v>
      </c>
      <c r="AO4" s="41"/>
      <c r="AP4" s="63">
        <v>8111</v>
      </c>
      <c r="AQ4" s="53" t="str">
        <f ca="1">VLOOKUP($AP4,OFFSET(unit_skills!$A$1,0,0,COUNTA(unit_skills!$A:$A),MATCH(AQ$1,unit_skills!$1:$1,0)-MATCH($AP$1,unit_skills!$1:$1,0)+1),MATCH(AQ$1,unit_skills!$1:$1,0)-MATCH($AP$1,unit_skills!$1:$1,0)+1,FALSE)</f>
        <v>福德正神スキル</v>
      </c>
      <c r="AR4" s="53" t="str">
        <f ca="1">VLOOKUP($AP4,OFFSET(unit_skills!$A$1,0,0,COUNTA(unit_skills!$A:$A),MATCH(AR$1,unit_skills!$1:$1,0)-MATCH($AP$1,unit_skills!$1:$1,0)+1),MATCH(AR$1,unit_skills!$1:$1,0)-MATCH($AP$1,unit_skills!$1:$1,0)+1,FALSE)</f>
        <v>黄・ハートパネルを青パネルに変換+2ターンの間確率で青ボムパネルをドロップ</v>
      </c>
      <c r="AS4" s="53">
        <f ca="1">VLOOKUP($AP4,OFFSET(unit_skills!$A$1,0,0,COUNTA(unit_skills!$A:$A),MATCH(AS$1,unit_skills!$1:$1,0)-MATCH($AP$1,unit_skills!$1:$1,0)+1),MATCH(AS$1,unit_skills!$1:$1,0)-MATCH($AP$1,unit_skills!$1:$1,0)+1,FALSE)</f>
        <v>0</v>
      </c>
      <c r="AT4" s="63">
        <v>8111</v>
      </c>
      <c r="AU4" s="53" t="str">
        <f ca="1">VLOOKUP($AT4,OFFSET(crash_skills!$A$1,0,0,COUNTA(crash_skills!$A:$A),MATCH(AU$1,crash_skills!$1:$1,0)-MATCH($AT$1,crash_skills!$1:$1,0)+1),MATCH(AU$1,crash_skills!$1:$1,0)-MATCH($AT$1,crash_skills!$1:$1,0)+1,FALSE)</f>
        <v>福德正神Cスキル</v>
      </c>
      <c r="AV4" s="53" t="str">
        <f ca="1">VLOOKUP($AT4,OFFSET(crash_skills!$A$1,0,0,COUNTA(crash_skills!$A:$A),MATCH(AV$1,crash_skills!$1:$1,0)-MATCH($AT$1,crash_skills!$1:$1,0)+1),MATCH(AV$1,crash_skills!$1:$1,0)-MATCH($AT$1,crash_skills!$1:$1,0)+1,FALSE)</f>
        <v>1体に大ダメージ+_x000D_HP回復</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1</v>
      </c>
      <c r="AY4" s="64">
        <v>1</v>
      </c>
      <c r="AZ4" s="64">
        <v>0.97</v>
      </c>
      <c r="BA4" s="64">
        <v>0</v>
      </c>
      <c r="BB4" s="64">
        <v>1.07</v>
      </c>
      <c r="BC4" s="10">
        <f ca="1">INDEX('RC6SV'!$A$1:$G$21,MATCH(H4,'RC6SV'!$A$1:$A$21,FALSE),MATCH(G4,'RC6SV'!$A$1:$G$1,FALSE))</f>
        <v>9000</v>
      </c>
      <c r="BD4" s="44">
        <f t="shared" ref="BD4" ca="1" si="7">ROUND(BC4*IF(AJ4=1,0.95,IF(AJ4=2,1,IF(AJ4,1.05,0))),0)</f>
        <v>9000</v>
      </c>
      <c r="BE4" s="10">
        <f t="shared" ca="1" si="3"/>
        <v>0</v>
      </c>
      <c r="BF4" s="10">
        <f t="shared" ca="1" si="4"/>
        <v>1</v>
      </c>
      <c r="BG4" s="15">
        <f ca="1">IF($BE4&lt;=0,ROUND(BK4*0.5,0), ROUND($BE4*S4*AA4*J4*AY4*0.8*[1]ステータス!$B$2,0))</f>
        <v>2160</v>
      </c>
      <c r="BH4" s="15">
        <f ca="1">IF($BE4&lt;=0,ROUND(BL4*0.5,0), ROUND($BE4*T4*AB4*K4*AZ4*0.8*[1]ステータス!$C$2,0))</f>
        <v>1309</v>
      </c>
      <c r="BI4" s="15">
        <f ca="1">IF($BE4&lt;=0,ROUND(BM4*0.5,0), ROUND($BE4*U4*AC4*L4*BA4*0.8*[1]ステータス!$D$2,0))</f>
        <v>0</v>
      </c>
      <c r="BJ4" s="15">
        <f ca="1">IF($BE4&lt;=0,ROUND(BN4*0.5,0), ROUND($BE4*V4*AD4*M4*BB4*0.8*[1]ステータス!$E$2,0))</f>
        <v>1253</v>
      </c>
      <c r="BK4" s="10">
        <f ca="1">ROUND(BD4*S4*AA4*J4*AY4*[1]ステータス!$B$2,0)</f>
        <v>4320</v>
      </c>
      <c r="BL4" s="10">
        <f ca="1">ROUND(BD4*T4*AB4*K4*AZ4*[1]ステータス!$C$2,0)</f>
        <v>2618</v>
      </c>
      <c r="BM4" s="10">
        <f ca="1">ROUND(BD4*U4*AC4*L4*BA4*[1]ステータス!$D$2,0)</f>
        <v>0</v>
      </c>
      <c r="BN4" s="10">
        <f ca="1">ROUND(BD4*V4*AD4*M4*BB4*[1]ステータス!$E$2,0)</f>
        <v>2505</v>
      </c>
      <c r="BO4" s="9">
        <v>0</v>
      </c>
      <c r="BP4" s="9">
        <v>1</v>
      </c>
      <c r="BQ4" s="36" t="s">
        <v>47</v>
      </c>
      <c r="BR4" s="9">
        <f ca="1">VLOOKUP(H4,[2]ghosts_label!$A$2:$B$19,2,FALSE)</f>
        <v>1</v>
      </c>
    </row>
    <row r="5" spans="1:70" ht="26" customHeight="1" x14ac:dyDescent="0.15">
      <c r="A5" s="186">
        <v>8112</v>
      </c>
      <c r="B5" s="53" t="str">
        <f ca="1">VLOOKUP($A5,OFFSET([1]characters!$A$1,0,0,COUNTA([1]characters!$A:$A),MATCH(B$1,[1]characters!$1:$1,0)-MATCH($A$1,[1]characters!$1:$1,0)+1),MATCH(B$1,[1]characters!$1:$1,0)-MATCH($A$1,[1]characters!$1:$1,0)+1,FALSE)</f>
        <v>福德正神★６</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blue</v>
      </c>
      <c r="J5" s="10">
        <f ca="1">VLOOKUP(I5,[1]属性!$A:$E,2,FALSE)</f>
        <v>1</v>
      </c>
      <c r="K5" s="10">
        <f ca="1">VLOOKUP(I5,[1]属性!$A:$E,3,FALSE)</f>
        <v>0.98</v>
      </c>
      <c r="L5" s="10">
        <f ca="1">VLOOKUP(I5,[1]属性!$A:$E,4,FALSE)</f>
        <v>1</v>
      </c>
      <c r="M5" s="10">
        <f ca="1">VLOOKUP(I5,[1]属性!$A:$E,5,FALSE)</f>
        <v>1.02</v>
      </c>
      <c r="N5" s="10">
        <f ca="1">INDEX(コスト!$A$1:$I$21,MATCH(H5,コスト!$A$1:$A$21,FALSE),MATCH(G5,コスト!$A$1:$I$1,FALSE))</f>
        <v>45</v>
      </c>
      <c r="O5" s="10">
        <f ca="1">INDEX(レベル!$A$1:$I$22,MATCH(H5,レベル!$A$1:$A$22,FALSE),MATCH(G5,レベル!$A$1:$I$1,FALSE))</f>
        <v>99</v>
      </c>
      <c r="P5" s="44">
        <f t="shared" ca="1" si="5"/>
        <v>99</v>
      </c>
      <c r="Q5" s="53" t="str">
        <f ca="1">VLOOKUP($A5,OFFSET([1]characters!$A$1,0,0,COUNTA([1]characters!$A:$A),MATCH(Q$1,[1]characters!$1:$1,0)-MATCH($A$1,[1]characters!$1:$1,0)+1),MATCH(Q$1,[1]characters!$1:$1,0)-MATCH($A$1,[1]characters!$1:$1,0)+1,FALSE)</f>
        <v>balance</v>
      </c>
      <c r="R5" s="5" t="str">
        <f ca="1">VLOOKUP(Q5,[1]character_type_i18n!$A:$H,3,FALSE)</f>
        <v>バランスタイプ</v>
      </c>
      <c r="S5" s="10">
        <f ca="1">VLOOKUP(Q5,[1]character_type_i18n!$A:$H,4,FALSE)</f>
        <v>1</v>
      </c>
      <c r="T5" s="10">
        <f ca="1">VLOOKUP(Q5,[1]character_type_i18n!$A:$H,5,FALSE)</f>
        <v>1</v>
      </c>
      <c r="U5" s="10">
        <f ca="1">VLOOKUP(Q5,[1]character_type_i18n!$A:$H,6,FALSE)</f>
        <v>1</v>
      </c>
      <c r="V5" s="10">
        <f ca="1">VLOOKUP(Q5,[1]character_type_i18n!$A:$H,7,FALSE)</f>
        <v>1</v>
      </c>
      <c r="W5" s="53" t="str">
        <f ca="1">VLOOKUP($A5,OFFSET([1]characters!$A$1,0,0,COUNTA([1]characters!$A:$A),MATCH(W$1,[1]characters!$1:$1,0)-MATCH($A$1,[1]characters!$1:$1,0)+1),MATCH(W$1,[1]characters!$1:$1,0)-MATCH($A$1,[1]characters!$1:$1,0)+1,FALSE)</f>
        <v>god</v>
      </c>
      <c r="X5" s="5" t="str">
        <f ca="1">VLOOKUP(W5,[1]character_tribe_i18n!$A:$H,3,FALSE)</f>
        <v>ゴッド</v>
      </c>
      <c r="Y5" s="53" t="str">
        <f ca="1">VLOOKUP($A5,OFFSET([1]characters!$A$1,0,0,COUNTA([1]characters!$A:$A),MATCH(Y$1,[1]characters!$1:$1,0)-MATCH($A$1,[1]characters!$1:$1,0)+1),MATCH(Y$1,[1]characters!$1:$1,0)-MATCH($A$1,[1]characters!$1:$1,0)+1,FALSE)</f>
        <v>none</v>
      </c>
      <c r="Z5" s="5" t="str">
        <f ca="1">VLOOKUP(Y5,[1]character_tribe_i18n!$A:$H,3,FALSE)</f>
        <v>種族なし</v>
      </c>
      <c r="AA5" s="10">
        <f ca="1">VLOOKUP(W5,[1]character_tribe_i18n!$A:$H,4,FALSE)</f>
        <v>0.96</v>
      </c>
      <c r="AB5" s="10">
        <f ca="1">VLOOKUP(W5,[1]character_tribe_i18n!$A:$H,5,FALSE)</f>
        <v>1.02</v>
      </c>
      <c r="AC5" s="10">
        <f ca="1">VLOOKUP(W5,[1]character_tribe_i18n!$A:$H,6,FALSE)</f>
        <v>1</v>
      </c>
      <c r="AD5" s="10">
        <f ca="1">VLOOKUP(W5,[1]character_tribe_i18n!$A:$H,7,FALSE)</f>
        <v>1.02</v>
      </c>
      <c r="AE5" s="187" t="s">
        <v>183</v>
      </c>
      <c r="AF5" s="58" t="str">
        <f ca="1">IF(AE5="NULL","",VLOOKUP($AE5,OFFSET([1]characters!$A$1,0,0,COUNTA([1]characters!$A:$A),MATCH(AF$1,[1]characters!$1:$1,0)-MATCH($A$1,[1]characters!$1:$1,0)+1),MATCH(AF$1,[1]characters!$1:$1,0)-MATCH($A$1,[1]characters!$1:$1,0)+1,FALSE))</f>
        <v/>
      </c>
      <c r="AG5" s="187">
        <v>8111</v>
      </c>
      <c r="AH5" s="58" t="str">
        <f ca="1">VLOOKUP($AG5,OFFSET([1]characters!$A$1,0,0,COUNTA([1]characters!$A:$A),MATCH(AH$1,[1]characters!$1:$1,0)-MATCH($A$1,[1]characters!$1:$1,0)+1),MATCH(AH$1,[1]characters!$1:$1,0)-MATCH($A$1,[1]characters!$1:$1,0)+1,FALSE)</f>
        <v>福德正神</v>
      </c>
      <c r="AI5" s="10" t="str">
        <f>IF(AE5="NULL","NULL",VLOOKUP(G5,ビット!$A$2:$B$7,2))</f>
        <v>NULL</v>
      </c>
      <c r="AJ5" s="6">
        <v>2</v>
      </c>
      <c r="AK5" s="7" t="str">
        <f t="shared" ref="AK5:AK8"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8112</v>
      </c>
      <c r="AQ5" s="53" t="str">
        <f ca="1">VLOOKUP($AP5,OFFSET(unit_skills!$A$1,0,0,COUNTA(unit_skills!$A:$A),MATCH(AQ$1,unit_skills!$1:$1,0)-MATCH($AP$1,unit_skills!$1:$1,0)+1),MATCH(AQ$1,unit_skills!$1:$1,0)-MATCH($AP$1,unit_skills!$1:$1,0)+1,FALSE)</f>
        <v>福德正神★６スキル</v>
      </c>
      <c r="AR5" s="53" t="str">
        <f ca="1">VLOOKUP($AP5,OFFSET(unit_skills!$A$1,0,0,COUNTA(unit_skills!$A:$A),MATCH(AR$1,unit_skills!$1:$1,0)-MATCH($AP$1,unit_skills!$1:$1,0)+1),MATCH(AR$1,unit_skills!$1:$1,0)-MATCH($AP$1,unit_skills!$1:$1,0)+1,FALSE)</f>
        <v>黄・ハートパネルを青パネルに変換+2ターンの間確率で青ボムパネルをドロップ</v>
      </c>
      <c r="AS5" s="53">
        <f ca="1">VLOOKUP($AP5,OFFSET(unit_skills!$A$1,0,0,COUNTA(unit_skills!$A:$A),MATCH(AS$1,unit_skills!$1:$1,0)-MATCH($AP$1,unit_skills!$1:$1,0)+1),MATCH(AS$1,unit_skills!$1:$1,0)-MATCH($AP$1,unit_skills!$1:$1,0)+1,FALSE)</f>
        <v>0</v>
      </c>
      <c r="AT5" s="63">
        <v>8112</v>
      </c>
      <c r="AU5" s="53" t="str">
        <f ca="1">VLOOKUP($AT5,OFFSET(crash_skills!$A$1,0,0,COUNTA(crash_skills!$A:$A),MATCH(AU$1,crash_skills!$1:$1,0)-MATCH($AT$1,crash_skills!$1:$1,0)+1),MATCH(AU$1,crash_skills!$1:$1,0)-MATCH($AT$1,crash_skills!$1:$1,0)+1,FALSE)</f>
        <v>福德正神★６Cスキル</v>
      </c>
      <c r="AV5" s="53" t="str">
        <f ca="1">VLOOKUP($AT5,OFFSET(crash_skills!$A$1,0,0,COUNTA(crash_skills!$A:$A),MATCH(AV$1,crash_skills!$1:$1,0)-MATCH($AT$1,crash_skills!$1:$1,0)+1),MATCH(AV$1,crash_skills!$1:$1,0)-MATCH($AT$1,crash_skills!$1:$1,0)+1,FALSE)</f>
        <v>1体に特大ダメージ+_x000D_HP回復</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1</v>
      </c>
      <c r="AY5" s="64">
        <v>1</v>
      </c>
      <c r="AZ5" s="64">
        <v>0.97</v>
      </c>
      <c r="BA5" s="64">
        <v>0</v>
      </c>
      <c r="BB5" s="64">
        <v>1.07</v>
      </c>
      <c r="BC5" s="10">
        <f ca="1">INDEX('RC6SV'!$A$1:$G$21,MATCH(H5,'RC6SV'!$A$1:$A$21,FALSE),MATCH(G5,'RC6SV'!$A$1:$G$1,FALSE))</f>
        <v>12000</v>
      </c>
      <c r="BD5" s="44">
        <f t="shared" ref="BD5:BD8" ca="1" si="9">ROUND(BC5*IF(AJ5=1,0.95,IF(AJ5=2,1,IF(AJ5,1.05,0))),0)</f>
        <v>12000</v>
      </c>
      <c r="BE5" s="10">
        <f t="shared" ca="1" si="3"/>
        <v>9000</v>
      </c>
      <c r="BF5" s="10">
        <f t="shared" ca="1" si="4"/>
        <v>1</v>
      </c>
      <c r="BG5" s="15">
        <f ca="1">IF($BE5&lt;=0,ROUND(BK5*0.5,0), ROUND($BE5*S5*AA5*J5*AY5*0.8*[1]ステータス!$B$2,0))</f>
        <v>3456</v>
      </c>
      <c r="BH5" s="15">
        <f ca="1">IF($BE5&lt;=0,ROUND(BL5*0.5,0), ROUND($BE5*T5*AB5*K5*AZ5*0.8*[1]ステータス!$C$2,0))</f>
        <v>2094</v>
      </c>
      <c r="BI5" s="15">
        <f ca="1">IF($BE5&lt;=0,ROUND(BM5*0.5,0), ROUND($BE5*U5*AC5*L5*BA5*0.8*[1]ステータス!$D$2,0))</f>
        <v>0</v>
      </c>
      <c r="BJ5" s="15">
        <f ca="1">IF($BE5&lt;=0,ROUND(BN5*0.5,0), ROUND($BE5*V5*AD5*M5*BB5*0.8*[1]ステータス!$E$2,0))</f>
        <v>2004</v>
      </c>
      <c r="BK5" s="10">
        <f ca="1">ROUND(BD5*S5*AA5*J5*AY5*[1]ステータス!$B$2,0)</f>
        <v>5760</v>
      </c>
      <c r="BL5" s="10">
        <f ca="1">ROUND(BD5*T5*AB5*K5*AZ5*[1]ステータス!$C$2,0)</f>
        <v>3491</v>
      </c>
      <c r="BM5" s="10">
        <f ca="1">ROUND(BD5*U5*AC5*L5*BA5*[1]ステータス!$D$2,0)</f>
        <v>0</v>
      </c>
      <c r="BN5" s="10">
        <f ca="1">ROUND(BD5*V5*AD5*M5*BB5*[1]ステータス!$E$2,0)</f>
        <v>3340</v>
      </c>
      <c r="BO5" s="9">
        <v>0</v>
      </c>
      <c r="BP5" s="9">
        <v>1</v>
      </c>
      <c r="BQ5" s="9" t="s">
        <v>47</v>
      </c>
      <c r="BR5" s="9">
        <f ca="1">VLOOKUP(H5,[2]ghosts_label!$A$2:$B$19,2,FALSE)</f>
        <v>1</v>
      </c>
    </row>
    <row r="6" spans="1:70" ht="26" customHeight="1" x14ac:dyDescent="0.15">
      <c r="A6" s="186">
        <v>8115</v>
      </c>
      <c r="B6" s="53" t="str">
        <f ca="1">VLOOKUP($A6,OFFSET([1]characters!$A$1,0,0,COUNTA([1]characters!$A:$A),MATCH(B$1,[1]characters!$1:$1,0)-MATCH($A$1,[1]characters!$1:$1,0)+1),MATCH(B$1,[1]characters!$1:$1,0)-MATCH($A$1,[1]characters!$1:$1,0)+1,FALSE)</f>
        <v>贏政</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DropWizSS</v>
      </c>
      <c r="I6" s="53" t="str">
        <f ca="1">VLOOKUP($A6,OFFSET([1]characters!$A$1,0,0,COUNTA([1]characters!$A:$A),MATCH(I$1,[1]characters!$1:$1,0)-MATCH($A$1,[1]characters!$1:$1,0)+1),MATCH(I$1,[1]characters!$1:$1,0)-MATCH($A$1,[1]characters!$1:$1,0)+1,FALSE)</f>
        <v>blue</v>
      </c>
      <c r="J6" s="10">
        <f ca="1">VLOOKUP(I6,[1]属性!$A:$E,2,FALSE)</f>
        <v>1</v>
      </c>
      <c r="K6" s="10">
        <f ca="1">VLOOKUP(I6,[1]属性!$A:$E,3,FALSE)</f>
        <v>0.98</v>
      </c>
      <c r="L6" s="10">
        <f ca="1">VLOOKUP(I6,[1]属性!$A:$E,4,FALSE)</f>
        <v>1</v>
      </c>
      <c r="M6" s="10">
        <f ca="1">VLOOKUP(I6,[1]属性!$A:$E,5,FALSE)</f>
        <v>1.02</v>
      </c>
      <c r="N6" s="10">
        <f ca="1">INDEX(コスト!$A$1:$I$21,MATCH(H6,コスト!$A$1:$A$21,FALSE),MATCH(G6,コスト!$A$1:$I$1,FALSE))</f>
        <v>35</v>
      </c>
      <c r="O6" s="10">
        <f ca="1">INDEX(レベル!$A$1:$I$22,MATCH(H6,レベル!$A$1:$A$22,FALSE),MATCH(G6,レベル!$A$1:$I$1,FALSE))</f>
        <v>80</v>
      </c>
      <c r="P6" s="44">
        <f t="shared" ca="1" si="5"/>
        <v>75</v>
      </c>
      <c r="Q6" s="53" t="str">
        <f ca="1">VLOOKUP($A6,OFFSET([1]characters!$A$1,0,0,COUNTA([1]characters!$A:$A),MATCH(Q$1,[1]characters!$1:$1,0)-MATCH($A$1,[1]characters!$1:$1,0)+1),MATCH(Q$1,[1]characters!$1:$1,0)-MATCH($A$1,[1]characters!$1:$1,0)+1,FALSE)</f>
        <v>attack</v>
      </c>
      <c r="R6" s="5" t="str">
        <f ca="1">VLOOKUP(Q6,[1]character_type_i18n!$A:$H,3,FALSE)</f>
        <v>攻撃タイプ</v>
      </c>
      <c r="S6" s="10">
        <f ca="1">VLOOKUP(Q6,[1]character_type_i18n!$A:$H,4,FALSE)</f>
        <v>1</v>
      </c>
      <c r="T6" s="10">
        <f ca="1">VLOOKUP(Q6,[1]character_type_i18n!$A:$H,5,FALSE)</f>
        <v>1.33</v>
      </c>
      <c r="U6" s="10">
        <f ca="1">VLOOKUP(Q6,[1]character_type_i18n!$A:$H,6,FALSE)</f>
        <v>1</v>
      </c>
      <c r="V6" s="10">
        <f ca="1">VLOOKUP(Q6,[1]character_type_i18n!$A:$H,7,FALSE)</f>
        <v>0.67</v>
      </c>
      <c r="W6" s="53" t="str">
        <f ca="1">VLOOKUP($A6,OFFSET([1]characters!$A$1,0,0,COUNTA([1]characters!$A:$A),MATCH(W$1,[1]characters!$1:$1,0)-MATCH($A$1,[1]characters!$1:$1,0)+1),MATCH(W$1,[1]characters!$1:$1,0)-MATCH($A$1,[1]characters!$1:$1,0)+1,FALSE)</f>
        <v>human</v>
      </c>
      <c r="X6" s="5" t="str">
        <f ca="1">VLOOKUP(W6,[1]character_tribe_i18n!$A:$H,3,FALSE)</f>
        <v>ヒューマン</v>
      </c>
      <c r="Y6" s="53" t="str">
        <f ca="1">VLOOKUP($A6,OFFSET([1]characters!$A$1,0,0,COUNTA([1]characters!$A:$A),MATCH(Y$1,[1]characters!$1:$1,0)-MATCH($A$1,[1]characters!$1:$1,0)+1),MATCH(Y$1,[1]characters!$1:$1,0)-MATCH($A$1,[1]characters!$1:$1,0)+1,FALSE)</f>
        <v>dragon</v>
      </c>
      <c r="Z6" s="5" t="str">
        <f ca="1">VLOOKUP(Y6,[1]character_tribe_i18n!$A:$H,3,FALSE)</f>
        <v>ドラゴン</v>
      </c>
      <c r="AA6" s="10">
        <f ca="1">VLOOKUP(W6,[1]character_tribe_i18n!$A:$H,4,FALSE)</f>
        <v>0.94</v>
      </c>
      <c r="AB6" s="10">
        <f ca="1">VLOOKUP(W6,[1]character_tribe_i18n!$A:$H,5,FALSE)</f>
        <v>0.99</v>
      </c>
      <c r="AC6" s="10">
        <f ca="1">VLOOKUP(W6,[1]character_tribe_i18n!$A:$H,6,FALSE)</f>
        <v>1</v>
      </c>
      <c r="AD6" s="10">
        <f ca="1">VLOOKUP(W6,[1]character_tribe_i18n!$A:$H,7,FALSE)</f>
        <v>1.07</v>
      </c>
      <c r="AE6" s="187">
        <v>8115</v>
      </c>
      <c r="AF6" s="58" t="str">
        <f ca="1">IF(AE6="NULL","",VLOOKUP($AE6,OFFSET([1]characters!$A$1,0,0,COUNTA([1]characters!$A:$A),MATCH(AF$1,[1]characters!$1:$1,0)-MATCH($A$1,[1]characters!$1:$1,0)+1),MATCH(AF$1,[1]characters!$1:$1,0)-MATCH($A$1,[1]characters!$1:$1,0)+1,FALSE))</f>
        <v>贏政</v>
      </c>
      <c r="AG6" s="187">
        <v>8115</v>
      </c>
      <c r="AH6" s="58" t="str">
        <f ca="1">VLOOKUP($AG6,OFFSET([1]characters!$A$1,0,0,COUNTA([1]characters!$A:$A),MATCH(AH$1,[1]characters!$1:$1,0)-MATCH($A$1,[1]characters!$1:$1,0)+1),MATCH(AH$1,[1]characters!$1:$1,0)-MATCH($A$1,[1]characters!$1:$1,0)+1,FALSE)</f>
        <v>贏政</v>
      </c>
      <c r="AI6" s="10">
        <f ca="1">IF(AE6="NULL","NULL",VLOOKUP(G6,ビット!$A$2:$B$7,2))</f>
        <v>200000</v>
      </c>
      <c r="AJ6" s="6">
        <v>2</v>
      </c>
      <c r="AK6" s="7" t="str">
        <f t="shared" ref="AK6:AK7" si="10">IF(AJ6=1,"早熟",IF(AJ6=2,"普通",IF(AJ6=3,"晩成","")))</f>
        <v>普通</v>
      </c>
      <c r="AL6" s="10" t="str">
        <f ca="1">INDEX(経験値!$A$1:$I$21,MATCH(H6,経験値!$A$1:$A$21,FALSE),MATCH(G6,経験値!$A$1:$I$1,FALSE))</f>
        <v>required_exp_200</v>
      </c>
      <c r="AM6" s="8">
        <f ca="1">VLOOKUP(G6,経験値!$A$28:$B$32,2)</f>
        <v>6400</v>
      </c>
      <c r="AN6" s="16">
        <f ca="1">VLOOKUP(G6,ビット!$G$2:$H$7,2)</f>
        <v>900</v>
      </c>
      <c r="AO6" s="41"/>
      <c r="AP6" s="63">
        <v>8115</v>
      </c>
      <c r="AQ6" s="53" t="str">
        <f ca="1">VLOOKUP($AP6,OFFSET(unit_skills!$A$1,0,0,COUNTA(unit_skills!$A:$A),MATCH(AQ$1,unit_skills!$1:$1,0)-MATCH($AP$1,unit_skills!$1:$1,0)+1),MATCH(AQ$1,unit_skills!$1:$1,0)-MATCH($AP$1,unit_skills!$1:$1,0)+1,FALSE)</f>
        <v>贏政スキル</v>
      </c>
      <c r="AR6" s="53" t="str">
        <f ca="1">VLOOKUP($AP6,OFFSET(unit_skills!$A$1,0,0,COUNTA(unit_skills!$A:$A),MATCH(AR$1,unit_skills!$1:$1,0)-MATCH($AP$1,unit_skills!$1:$1,0)+1),MATCH(AR$1,unit_skills!$1:$1,0)-MATCH($AP$1,unit_skills!$1:$1,0)+1,FALSE)</f>
        <v>下側をCパネルに最大16個変換+2ターン青属性の攻撃力をUP(ハート・緑・黄パネルを吸収し効果UP)し、超大カウンター</v>
      </c>
      <c r="AS6" s="53">
        <f ca="1">VLOOKUP($AP6,OFFSET(unit_skills!$A$1,0,0,COUNTA(unit_skills!$A:$A),MATCH(AS$1,unit_skills!$1:$1,0)-MATCH($AP$1,unit_skills!$1:$1,0)+1),MATCH(AS$1,unit_skills!$1:$1,0)-MATCH($AP$1,unit_skills!$1:$1,0)+1,FALSE)</f>
        <v>0</v>
      </c>
      <c r="AT6" s="63">
        <v>8115</v>
      </c>
      <c r="AU6" s="53" t="str">
        <f ca="1">VLOOKUP($AT6,OFFSET(crash_skills!$A$1,0,0,COUNTA(crash_skills!$A:$A),MATCH(AU$1,crash_skills!$1:$1,0)-MATCH($AT$1,crash_skills!$1:$1,0)+1),MATCH(AU$1,crash_skills!$1:$1,0)-MATCH($AT$1,crash_skills!$1:$1,0)+1,FALSE)</f>
        <v>贏政Cスキル</v>
      </c>
      <c r="AV6" s="53" t="str">
        <f ca="1">VLOOKUP($AT6,OFFSET(crash_skills!$A$1,0,0,COUNTA(crash_skills!$A:$A),MATCH(AV$1,crash_skills!$1:$1,0)-MATCH($AT$1,crash_skills!$1:$1,0)+1),MATCH(AV$1,crash_skills!$1:$1,0)-MATCH($AT$1,crash_skills!$1:$1,0)+1,FALSE)</f>
        <v>1体に大ダメージ+_x000D_種族サムライに効果超大</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1</v>
      </c>
      <c r="AY6" s="64">
        <v>1.1499999999999999</v>
      </c>
      <c r="AZ6" s="64">
        <v>1.02</v>
      </c>
      <c r="BA6" s="64">
        <v>0</v>
      </c>
      <c r="BB6" s="64">
        <v>0.84</v>
      </c>
      <c r="BC6" s="10">
        <f ca="1">INDEX('RC6SV'!$A$1:$G$21,MATCH(H6,'RC6SV'!$A$1:$A$21,FALSE),MATCH(G6,'RC6SV'!$A$1:$G$1,FALSE))</f>
        <v>9500</v>
      </c>
      <c r="BD6" s="44">
        <f t="shared" ref="BD6:BD7" ca="1" si="11">ROUND(BC6*IF(AJ6=1,0.95,IF(AJ6=2,1,IF(AJ6,1.05,0))),0)</f>
        <v>9500</v>
      </c>
      <c r="BE6" s="10">
        <f t="shared" ca="1" si="3"/>
        <v>9500</v>
      </c>
      <c r="BF6" s="10">
        <f t="shared" ca="1" si="4"/>
        <v>1</v>
      </c>
      <c r="BG6" s="15">
        <f ca="1">IF($BE6&lt;=0,ROUND(BK6*0.5,0), ROUND($BE6*S6*AA6*J6*AY6*0.8*[1]ステータス!$B$2,0))</f>
        <v>4108</v>
      </c>
      <c r="BH6" s="15">
        <f ca="1">IF($BE6&lt;=0,ROUND(BL6*0.5,0), ROUND($BE6*T6*AB6*K6*AZ6*0.8*[1]ステータス!$C$2,0))</f>
        <v>3001</v>
      </c>
      <c r="BI6" s="15">
        <f ca="1">IF($BE6&lt;=0,ROUND(BM6*0.5,0), ROUND($BE6*U6*AC6*L6*BA6*0.8*[1]ステータス!$D$2,0))</f>
        <v>0</v>
      </c>
      <c r="BJ6" s="15">
        <f ca="1">IF($BE6&lt;=0,ROUND(BN6*0.5,0), ROUND($BE6*V6*AD6*M6*BB6*0.8*[1]ステータス!$E$2,0))</f>
        <v>1167</v>
      </c>
      <c r="BK6" s="10">
        <f ca="1">ROUND(BD6*S6*AA6*J6*AY6*[1]ステータス!$B$2,0)</f>
        <v>5135</v>
      </c>
      <c r="BL6" s="10">
        <f ca="1">ROUND(BD6*T6*AB6*K6*AZ6*[1]ステータス!$C$2,0)</f>
        <v>3751</v>
      </c>
      <c r="BM6" s="10">
        <f ca="1">ROUND(BD6*U6*AC6*L6*BA6*[1]ステータス!$D$2,0)</f>
        <v>0</v>
      </c>
      <c r="BN6" s="10">
        <f ca="1">ROUND(BD6*V6*AD6*M6*BB6*[1]ステータス!$E$2,0)</f>
        <v>1459</v>
      </c>
      <c r="BO6" s="9">
        <v>0</v>
      </c>
      <c r="BP6" s="9">
        <v>1</v>
      </c>
      <c r="BQ6" s="36" t="s">
        <v>47</v>
      </c>
      <c r="BR6" s="9">
        <f ca="1">VLOOKUP(H6,[2]ghosts_label!$A$2:$B$19,2,FALSE)</f>
        <v>1</v>
      </c>
    </row>
    <row r="7" spans="1:70" ht="26" customHeight="1" x14ac:dyDescent="0.15">
      <c r="A7" s="186">
        <v>8116</v>
      </c>
      <c r="B7" s="53" t="str">
        <f ca="1">VLOOKUP($A7,OFFSET([1]characters!$A$1,0,0,COUNTA([1]characters!$A:$A),MATCH(B$1,[1]characters!$1:$1,0)-MATCH($A$1,[1]characters!$1:$1,0)+1),MATCH(B$1,[1]characters!$1:$1,0)-MATCH($A$1,[1]characters!$1:$1,0)+1,FALSE)</f>
        <v>贏政★６</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DropWizSS</v>
      </c>
      <c r="I7" s="53" t="str">
        <f ca="1">VLOOKUP($A7,OFFSET([1]characters!$A$1,0,0,COUNTA([1]characters!$A:$A),MATCH(I$1,[1]characters!$1:$1,0)-MATCH($A$1,[1]characters!$1:$1,0)+1),MATCH(I$1,[1]characters!$1:$1,0)-MATCH($A$1,[1]characters!$1:$1,0)+1,FALSE)</f>
        <v>blue</v>
      </c>
      <c r="J7" s="10">
        <f ca="1">VLOOKUP(I7,[1]属性!$A:$E,2,FALSE)</f>
        <v>1</v>
      </c>
      <c r="K7" s="10">
        <f ca="1">VLOOKUP(I7,[1]属性!$A:$E,3,FALSE)</f>
        <v>0.98</v>
      </c>
      <c r="L7" s="10">
        <f ca="1">VLOOKUP(I7,[1]属性!$A:$E,4,FALSE)</f>
        <v>1</v>
      </c>
      <c r="M7" s="10">
        <f ca="1">VLOOKUP(I7,[1]属性!$A:$E,5,FALSE)</f>
        <v>1.02</v>
      </c>
      <c r="N7" s="10">
        <f ca="1">INDEX(コスト!$A$1:$I$21,MATCH(H7,コスト!$A$1:$A$21,FALSE),MATCH(G7,コスト!$A$1:$I$1,FALSE))</f>
        <v>50</v>
      </c>
      <c r="O7" s="10">
        <f ca="1">INDEX(レベル!$A$1:$I$22,MATCH(H7,レベル!$A$1:$A$22,FALSE),MATCH(G7,レベル!$A$1:$I$1,FALSE))</f>
        <v>99</v>
      </c>
      <c r="P7" s="44">
        <f t="shared" ca="1" si="5"/>
        <v>99</v>
      </c>
      <c r="Q7" s="53" t="str">
        <f ca="1">VLOOKUP($A7,OFFSET([1]characters!$A$1,0,0,COUNTA([1]characters!$A:$A),MATCH(Q$1,[1]characters!$1:$1,0)-MATCH($A$1,[1]characters!$1:$1,0)+1),MATCH(Q$1,[1]characters!$1:$1,0)-MATCH($A$1,[1]characters!$1:$1,0)+1,FALSE)</f>
        <v>attack</v>
      </c>
      <c r="R7" s="5" t="str">
        <f ca="1">VLOOKUP(Q7,[1]character_type_i18n!$A:$H,3,FALSE)</f>
        <v>攻撃タイプ</v>
      </c>
      <c r="S7" s="10">
        <f ca="1">VLOOKUP(Q7,[1]character_type_i18n!$A:$H,4,FALSE)</f>
        <v>1</v>
      </c>
      <c r="T7" s="10">
        <f ca="1">VLOOKUP(Q7,[1]character_type_i18n!$A:$H,5,FALSE)</f>
        <v>1.33</v>
      </c>
      <c r="U7" s="10">
        <f ca="1">VLOOKUP(Q7,[1]character_type_i18n!$A:$H,6,FALSE)</f>
        <v>1</v>
      </c>
      <c r="V7" s="10">
        <f ca="1">VLOOKUP(Q7,[1]character_type_i18n!$A:$H,7,FALSE)</f>
        <v>0.67</v>
      </c>
      <c r="W7" s="53" t="str">
        <f ca="1">VLOOKUP($A7,OFFSET([1]characters!$A$1,0,0,COUNTA([1]characters!$A:$A),MATCH(W$1,[1]characters!$1:$1,0)-MATCH($A$1,[1]characters!$1:$1,0)+1),MATCH(W$1,[1]characters!$1:$1,0)-MATCH($A$1,[1]characters!$1:$1,0)+1,FALSE)</f>
        <v>human</v>
      </c>
      <c r="X7" s="5" t="str">
        <f ca="1">VLOOKUP(W7,[1]character_tribe_i18n!$A:$H,3,FALSE)</f>
        <v>ヒューマン</v>
      </c>
      <c r="Y7" s="53" t="str">
        <f ca="1">VLOOKUP($A7,OFFSET([1]characters!$A$1,0,0,COUNTA([1]characters!$A:$A),MATCH(Y$1,[1]characters!$1:$1,0)-MATCH($A$1,[1]characters!$1:$1,0)+1),MATCH(Y$1,[1]characters!$1:$1,0)-MATCH($A$1,[1]characters!$1:$1,0)+1,FALSE)</f>
        <v>dragon</v>
      </c>
      <c r="Z7" s="5" t="str">
        <f ca="1">VLOOKUP(Y7,[1]character_tribe_i18n!$A:$H,3,FALSE)</f>
        <v>ドラゴン</v>
      </c>
      <c r="AA7" s="10">
        <f ca="1">VLOOKUP(W7,[1]character_tribe_i18n!$A:$H,4,FALSE)</f>
        <v>0.94</v>
      </c>
      <c r="AB7" s="10">
        <f ca="1">VLOOKUP(W7,[1]character_tribe_i18n!$A:$H,5,FALSE)</f>
        <v>0.99</v>
      </c>
      <c r="AC7" s="10">
        <f ca="1">VLOOKUP(W7,[1]character_tribe_i18n!$A:$H,6,FALSE)</f>
        <v>1</v>
      </c>
      <c r="AD7" s="10">
        <f ca="1">VLOOKUP(W7,[1]character_tribe_i18n!$A:$H,7,FALSE)</f>
        <v>1.07</v>
      </c>
      <c r="AE7" s="187" t="s">
        <v>183</v>
      </c>
      <c r="AF7" s="58" t="str">
        <f ca="1">IF(AE7="NULL","",VLOOKUP($AE7,OFFSET([1]characters!$A$1,0,0,COUNTA([1]characters!$A:$A),MATCH(AF$1,[1]characters!$1:$1,0)-MATCH($A$1,[1]characters!$1:$1,0)+1),MATCH(AF$1,[1]characters!$1:$1,0)-MATCH($A$1,[1]characters!$1:$1,0)+1,FALSE))</f>
        <v/>
      </c>
      <c r="AG7" s="187">
        <v>8115</v>
      </c>
      <c r="AH7" s="58" t="str">
        <f ca="1">VLOOKUP($AG7,OFFSET([1]characters!$A$1,0,0,COUNTA([1]characters!$A:$A),MATCH(AH$1,[1]characters!$1:$1,0)-MATCH($A$1,[1]characters!$1:$1,0)+1),MATCH(AH$1,[1]characters!$1:$1,0)-MATCH($A$1,[1]characters!$1:$1,0)+1,FALSE)</f>
        <v>贏政</v>
      </c>
      <c r="AI7" s="10" t="str">
        <f>IF(AE7="NULL","NULL",VLOOKUP(G7,ビット!$A$2:$B$7,2))</f>
        <v>NULL</v>
      </c>
      <c r="AJ7" s="6">
        <v>2</v>
      </c>
      <c r="AK7" s="7" t="str">
        <f t="shared" si="10"/>
        <v>普通</v>
      </c>
      <c r="AL7" s="10" t="str">
        <f ca="1">INDEX(経験値!$A$1:$I$21,MATCH(H7,経験値!$A$1:$A$21,FALSE),MATCH(G7,経験値!$A$1:$I$1,FALSE))</f>
        <v>required_exp_250</v>
      </c>
      <c r="AM7" s="8">
        <f ca="1">VLOOKUP(G7,経験値!$A$28:$B$32,2)</f>
        <v>6400</v>
      </c>
      <c r="AN7" s="16">
        <f ca="1">VLOOKUP(G7,ビット!$G$2:$H$7,2)</f>
        <v>900</v>
      </c>
      <c r="AO7" s="41"/>
      <c r="AP7" s="63">
        <v>8116</v>
      </c>
      <c r="AQ7" s="53" t="str">
        <f ca="1">VLOOKUP($AP7,OFFSET(unit_skills!$A$1,0,0,COUNTA(unit_skills!$A:$A),MATCH(AQ$1,unit_skills!$1:$1,0)-MATCH($AP$1,unit_skills!$1:$1,0)+1),MATCH(AQ$1,unit_skills!$1:$1,0)-MATCH($AP$1,unit_skills!$1:$1,0)+1,FALSE)</f>
        <v>贏政★６スキル</v>
      </c>
      <c r="AR7" s="53" t="str">
        <f ca="1">VLOOKUP($AP7,OFFSET(unit_skills!$A$1,0,0,COUNTA(unit_skills!$A:$A),MATCH(AR$1,unit_skills!$1:$1,0)-MATCH($AP$1,unit_skills!$1:$1,0)+1),MATCH(AR$1,unit_skills!$1:$1,0)-MATCH($AP$1,unit_skills!$1:$1,0)+1,FALSE)</f>
        <v>下側をCパネルに最大16個変換+2ターン青属性の攻撃力をUP(ハート・緑・黄パネルを吸収し効果UP)し、超大カウンター</v>
      </c>
      <c r="AS7" s="53">
        <f ca="1">VLOOKUP($AP7,OFFSET(unit_skills!$A$1,0,0,COUNTA(unit_skills!$A:$A),MATCH(AS$1,unit_skills!$1:$1,0)-MATCH($AP$1,unit_skills!$1:$1,0)+1),MATCH(AS$1,unit_skills!$1:$1,0)-MATCH($AP$1,unit_skills!$1:$1,0)+1,FALSE)</f>
        <v>0</v>
      </c>
      <c r="AT7" s="63">
        <v>8116</v>
      </c>
      <c r="AU7" s="53" t="str">
        <f ca="1">VLOOKUP($AT7,OFFSET(crash_skills!$A$1,0,0,COUNTA(crash_skills!$A:$A),MATCH(AU$1,crash_skills!$1:$1,0)-MATCH($AT$1,crash_skills!$1:$1,0)+1),MATCH(AU$1,crash_skills!$1:$1,0)-MATCH($AT$1,crash_skills!$1:$1,0)+1,FALSE)</f>
        <v>贏政★６Cスキル</v>
      </c>
      <c r="AV7" s="53" t="str">
        <f ca="1">VLOOKUP($AT7,OFFSET(crash_skills!$A$1,0,0,COUNTA(crash_skills!$A:$A),MATCH(AV$1,crash_skills!$1:$1,0)-MATCH($AT$1,crash_skills!$1:$1,0)+1),MATCH(AV$1,crash_skills!$1:$1,0)-MATCH($AT$1,crash_skills!$1:$1,0)+1,FALSE)</f>
        <v>1体に特大ダメージ+_x000D_種族サムライに効果超大</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1</v>
      </c>
      <c r="AY7" s="64">
        <v>1.1499999999999999</v>
      </c>
      <c r="AZ7" s="64">
        <v>1.02</v>
      </c>
      <c r="BA7" s="64">
        <v>0</v>
      </c>
      <c r="BB7" s="64">
        <v>0.84</v>
      </c>
      <c r="BC7" s="10">
        <f ca="1">INDEX('RC6SV'!$A$1:$G$21,MATCH(H7,'RC6SV'!$A$1:$A$21,FALSE),MATCH(G7,'RC6SV'!$A$1:$G$1,FALSE))</f>
        <v>13000</v>
      </c>
      <c r="BD7" s="44">
        <f t="shared" ca="1" si="11"/>
        <v>13000</v>
      </c>
      <c r="BE7" s="10">
        <f t="shared" ca="1" si="3"/>
        <v>0</v>
      </c>
      <c r="BF7" s="10">
        <f t="shared" ca="1" si="4"/>
        <v>1</v>
      </c>
      <c r="BG7" s="15">
        <f ca="1">IF($BE7&lt;=0,ROUND(BK7*0.5,0), ROUND($BE7*S7*AA7*J7*AY7*0.8*[1]ステータス!$B$2,0))</f>
        <v>3514</v>
      </c>
      <c r="BH7" s="15">
        <f ca="1">IF($BE7&lt;=0,ROUND(BL7*0.5,0), ROUND($BE7*T7*AB7*K7*AZ7*0.8*[1]ステータス!$C$2,0))</f>
        <v>2567</v>
      </c>
      <c r="BI7" s="15">
        <f ca="1">IF($BE7&lt;=0,ROUND(BM7*0.5,0), ROUND($BE7*U7*AC7*L7*BA7*0.8*[1]ステータス!$D$2,0))</f>
        <v>0</v>
      </c>
      <c r="BJ7" s="15">
        <f ca="1">IF($BE7&lt;=0,ROUND(BN7*0.5,0), ROUND($BE7*V7*AD7*M7*BB7*0.8*[1]ステータス!$E$2,0))</f>
        <v>998</v>
      </c>
      <c r="BK7" s="10">
        <f ca="1">ROUND(BD7*S7*AA7*J7*AY7*[1]ステータス!$B$2,0)</f>
        <v>7027</v>
      </c>
      <c r="BL7" s="10">
        <f ca="1">ROUND(BD7*T7*AB7*K7*AZ7*[1]ステータス!$C$2,0)</f>
        <v>5133</v>
      </c>
      <c r="BM7" s="10">
        <f ca="1">ROUND(BD7*U7*AC7*L7*BA7*[1]ステータス!$D$2,0)</f>
        <v>0</v>
      </c>
      <c r="BN7" s="10">
        <f ca="1">ROUND(BD7*V7*AD7*M7*BB7*[1]ステータス!$E$2,0)</f>
        <v>1996</v>
      </c>
      <c r="BO7" s="9">
        <v>0</v>
      </c>
      <c r="BP7" s="9">
        <v>1</v>
      </c>
      <c r="BQ7" s="9" t="s">
        <v>47</v>
      </c>
      <c r="BR7" s="9">
        <f ca="1">VLOOKUP(H7,[2]ghosts_label!$A$2:$B$19,2,FALSE)</f>
        <v>1</v>
      </c>
    </row>
    <row r="8" spans="1:70" ht="26" customHeight="1" x14ac:dyDescent="0.15">
      <c r="A8" s="186">
        <v>8121</v>
      </c>
      <c r="B8" s="53" t="str">
        <f ca="1">VLOOKUP($A8,OFFSET([1]characters!$A$1,0,0,COUNTA([1]characters!$A:$A),MATCH(B$1,[1]characters!$1:$1,0)-MATCH($A$1,[1]characters!$1:$1,0)+1),MATCH(B$1,[1]characters!$1:$1,0)-MATCH($A$1,[1]characters!$1:$1,0)+1,FALSE)</f>
        <v>法海</v>
      </c>
      <c r="C8" s="53" t="str">
        <f ca="1">VLOOKUP($A8,OFFSET([1]characters!$A$1,0,0,COUNTA([1]characters!$A:$A),MATCH(C$1,[1]characters!$1:$1,0)-MATCH($A$1,[1]characters!$1:$1,0)+1),MATCH(C$1,[1]characters!$1:$1,0)-MATCH($A$1,[1]characters!$1:$1,0)+1,FALSE)</f>
        <v>ポムポムプリン</v>
      </c>
      <c r="D8" s="53" t="str">
        <f ca="1">VLOOKUP($A8,OFFSET([1]characters!$A$1,0,0,COUNTA([1]characters!$A:$A),MATCH(D$1,[1]characters!$1:$1,0)-MATCH($A$1,[1]characters!$1:$1,0)+1),MATCH(D$1,[1]characters!$1:$1,0)-MATCH($A$1,[1]characters!$1:$1,0)+1,FALSE)</f>
        <v>執行者</v>
      </c>
      <c r="E8" s="53" t="str">
        <f ca="1">VLOOKUP($A8,OFFSET([1]characters!$A$1,0,0,COUNTA([1]characters!$A:$A),MATCH(E$1,[1]characters!$1:$1,0)-MATCH($A$1,[1]characters!$1:$1,0)+1),MATCH(E$1,[1]characters!$1:$1,0)-MATCH($A$1,[1]characters!$1:$1,0)+1,FALSE)</f>
        <v>格好いい</v>
      </c>
      <c r="F8" s="53" t="str">
        <f ca="1">VLOOKUP($A8,OFFSET([1]characters!$A$1,0,0,COUNTA([1]characters!$A:$A),MATCH(F$1,[1]characters!$1:$1,0)-MATCH($A$1,[1]characters!$1:$1,0)+1),MATCH(F$1,[1]characters!$1:$1,0)-MATCH($A$1,[1]characters!$1:$1,0)+1,FALSE)</f>
        <v>女性</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DropWizS</v>
      </c>
      <c r="I8" s="53" t="str">
        <f ca="1">VLOOKUP($A8,OFFSET([1]characters!$A$1,0,0,COUNTA([1]characters!$A:$A),MATCH(I$1,[1]characters!$1:$1,0)-MATCH($A$1,[1]characters!$1:$1,0)+1),MATCH(I$1,[1]characters!$1:$1,0)-MATCH($A$1,[1]characters!$1:$1,0)+1,FALSE)</f>
        <v>yellow</v>
      </c>
      <c r="J8" s="10">
        <f ca="1">VLOOKUP(I8,[1]属性!$A:$E,2,FALSE)</f>
        <v>0.98</v>
      </c>
      <c r="K8" s="10">
        <f ca="1">VLOOKUP(I8,[1]属性!$A:$E,3,FALSE)</f>
        <v>1.01</v>
      </c>
      <c r="L8" s="10">
        <f ca="1">VLOOKUP(I8,[1]属性!$A:$E,4,FALSE)</f>
        <v>1</v>
      </c>
      <c r="M8" s="10">
        <f ca="1">VLOOKUP(I8,[1]属性!$A:$E,5,FALSE)</f>
        <v>1.01</v>
      </c>
      <c r="N8" s="10">
        <f ca="1">INDEX(コスト!$A$1:$I$21,MATCH(H8,コスト!$A$1:$A$21,FALSE),MATCH(G8,コスト!$A$1:$I$1,FALSE))</f>
        <v>30</v>
      </c>
      <c r="O8" s="10">
        <f ca="1">INDEX(レベル!$A$1:$I$22,MATCH(H8,レベル!$A$1:$A$22,FALSE),MATCH(G8,レベル!$A$1:$I$1,FALSE))</f>
        <v>80</v>
      </c>
      <c r="P8" s="44">
        <f t="shared" ref="P8:P9" ca="1" si="12">IF(G8 &gt;= 6, 99,G8*15)</f>
        <v>75</v>
      </c>
      <c r="Q8" s="53" t="str">
        <f ca="1">VLOOKUP($A8,OFFSET([1]characters!$A$1,0,0,COUNTA([1]characters!$A:$A),MATCH(Q$1,[1]characters!$1:$1,0)-MATCH($A$1,[1]characters!$1:$1,0)+1),MATCH(Q$1,[1]characters!$1:$1,0)-MATCH($A$1,[1]characters!$1:$1,0)+1,FALSE)</f>
        <v>attack</v>
      </c>
      <c r="R8" s="5" t="str">
        <f ca="1">VLOOKUP(Q8,[1]character_type_i18n!$A:$H,3,FALSE)</f>
        <v>攻撃タイプ</v>
      </c>
      <c r="S8" s="10">
        <f ca="1">VLOOKUP(Q8,[1]character_type_i18n!$A:$H,4,FALSE)</f>
        <v>1</v>
      </c>
      <c r="T8" s="10">
        <f ca="1">VLOOKUP(Q8,[1]character_type_i18n!$A:$H,5,FALSE)</f>
        <v>1.33</v>
      </c>
      <c r="U8" s="10">
        <f ca="1">VLOOKUP(Q8,[1]character_type_i18n!$A:$H,6,FALSE)</f>
        <v>1</v>
      </c>
      <c r="V8" s="10">
        <f ca="1">VLOOKUP(Q8,[1]character_type_i18n!$A:$H,7,FALSE)</f>
        <v>0.67</v>
      </c>
      <c r="W8" s="53" t="str">
        <f ca="1">VLOOKUP($A8,OFFSET([1]characters!$A$1,0,0,COUNTA([1]characters!$A:$A),MATCH(W$1,[1]characters!$1:$1,0)-MATCH($A$1,[1]characters!$1:$1,0)+1),MATCH(W$1,[1]characters!$1:$1,0)-MATCH($A$1,[1]characters!$1:$1,0)+1,FALSE)</f>
        <v>human</v>
      </c>
      <c r="X8" s="5" t="str">
        <f ca="1">VLOOKUP(W8,[1]character_tribe_i18n!$A:$H,3,FALSE)</f>
        <v>ヒューマン</v>
      </c>
      <c r="Y8" s="53" t="str">
        <f ca="1">VLOOKUP($A8,OFFSET([1]characters!$A$1,0,0,COUNTA([1]characters!$A:$A),MATCH(Y$1,[1]characters!$1:$1,0)-MATCH($A$1,[1]characters!$1:$1,0)+1),MATCH(Y$1,[1]characters!$1:$1,0)-MATCH($A$1,[1]characters!$1:$1,0)+1,FALSE)</f>
        <v>machine</v>
      </c>
      <c r="Z8" s="5" t="str">
        <f ca="1">VLOOKUP(Y8,[1]character_tribe_i18n!$A:$H,3,FALSE)</f>
        <v>マシン</v>
      </c>
      <c r="AA8" s="10">
        <f ca="1">VLOOKUP(W8,[1]character_tribe_i18n!$A:$H,4,FALSE)</f>
        <v>0.94</v>
      </c>
      <c r="AB8" s="10">
        <f ca="1">VLOOKUP(W8,[1]character_tribe_i18n!$A:$H,5,FALSE)</f>
        <v>0.99</v>
      </c>
      <c r="AC8" s="10">
        <f ca="1">VLOOKUP(W8,[1]character_tribe_i18n!$A:$H,6,FALSE)</f>
        <v>1</v>
      </c>
      <c r="AD8" s="10">
        <f ca="1">VLOOKUP(W8,[1]character_tribe_i18n!$A:$H,7,FALSE)</f>
        <v>1.07</v>
      </c>
      <c r="AE8" s="187">
        <v>8121</v>
      </c>
      <c r="AF8" s="58" t="str">
        <f ca="1">IF(AE8="NULL","",VLOOKUP($AE8,OFFSET([1]characters!$A$1,0,0,COUNTA([1]characters!$A:$A),MATCH(AF$1,[1]characters!$1:$1,0)-MATCH($A$1,[1]characters!$1:$1,0)+1),MATCH(AF$1,[1]characters!$1:$1,0)-MATCH($A$1,[1]characters!$1:$1,0)+1,FALSE))</f>
        <v>法海</v>
      </c>
      <c r="AG8" s="187">
        <v>8121</v>
      </c>
      <c r="AH8" s="58" t="str">
        <f ca="1">VLOOKUP($AG8,OFFSET([1]characters!$A$1,0,0,COUNTA([1]characters!$A:$A),MATCH(AH$1,[1]characters!$1:$1,0)-MATCH($A$1,[1]characters!$1:$1,0)+1),MATCH(AH$1,[1]characters!$1:$1,0)-MATCH($A$1,[1]characters!$1:$1,0)+1,FALSE)</f>
        <v>法海</v>
      </c>
      <c r="AI8" s="10">
        <f ca="1">IF(AE8="NULL","NULL",VLOOKUP(G8,ビット!$A$2:$B$7,2))</f>
        <v>200000</v>
      </c>
      <c r="AJ8" s="6">
        <v>2</v>
      </c>
      <c r="AK8" s="7" t="str">
        <f t="shared" si="8"/>
        <v>普通</v>
      </c>
      <c r="AL8" s="10" t="str">
        <f ca="1">INDEX(経験値!$A$1:$I$21,MATCH(H8,経験値!$A$1:$A$21,FALSE),MATCH(G8,経験値!$A$1:$I$1,FALSE))</f>
        <v>required_exp_200</v>
      </c>
      <c r="AM8" s="8">
        <f ca="1">VLOOKUP(G8,経験値!$A$28:$B$32,2)</f>
        <v>6400</v>
      </c>
      <c r="AN8" s="16">
        <f ca="1">VLOOKUP(G8,ビット!$G$2:$H$7,2)</f>
        <v>900</v>
      </c>
      <c r="AO8" s="41"/>
      <c r="AP8" s="63">
        <v>8121</v>
      </c>
      <c r="AQ8" s="53" t="str">
        <f ca="1">VLOOKUP($AP8,OFFSET(unit_skills!$A$1,0,0,COUNTA(unit_skills!$A:$A),MATCH(AQ$1,unit_skills!$1:$1,0)-MATCH($AP$1,unit_skills!$1:$1,0)+1),MATCH(AQ$1,unit_skills!$1:$1,0)-MATCH($AP$1,unit_skills!$1:$1,0)+1,FALSE)</f>
        <v>法海スキル</v>
      </c>
      <c r="AR8" s="53" t="str">
        <f ca="1">VLOOKUP($AP8,OFFSET(unit_skills!$A$1,0,0,COUNTA(unit_skills!$A:$A),MATCH(AR$1,unit_skills!$1:$1,0)-MATCH($AP$1,unit_skills!$1:$1,0)+1),MATCH(AR$1,unit_skills!$1:$1,0)-MATCH($AP$1,unit_skills!$1:$1,0)+1,FALSE)</f>
        <v>右隣のユニットのスキルターン1短縮+1体にダメージ(青･お邪魔パネルを吸収し効果大UP)+2ターン全ユニットの攻撃力をUP</v>
      </c>
      <c r="AS8" s="53">
        <f ca="1">VLOOKUP($AP8,OFFSET(unit_skills!$A$1,0,0,COUNTA(unit_skills!$A:$A),MATCH(AS$1,unit_skills!$1:$1,0)-MATCH($AP$1,unit_skills!$1:$1,0)+1),MATCH(AS$1,unit_skills!$1:$1,0)-MATCH($AP$1,unit_skills!$1:$1,0)+1,FALSE)</f>
        <v>0</v>
      </c>
      <c r="AT8" s="63">
        <v>8121</v>
      </c>
      <c r="AU8" s="53" t="str">
        <f ca="1">VLOOKUP($AT8,OFFSET(crash_skills!$A$1,0,0,COUNTA(crash_skills!$A:$A),MATCH(AU$1,crash_skills!$1:$1,0)-MATCH($AT$1,crash_skills!$1:$1,0)+1),MATCH(AU$1,crash_skills!$1:$1,0)-MATCH($AT$1,crash_skills!$1:$1,0)+1,FALSE)</f>
        <v>法海Cスキル</v>
      </c>
      <c r="AV8" s="53" t="str">
        <f ca="1">VLOOKUP($AT8,OFFSET(crash_skills!$A$1,0,0,COUNTA(crash_skills!$A:$A),MATCH(AV$1,crash_skills!$1:$1,0)-MATCH($AT$1,crash_skills!$1:$1,0)+1),MATCH(AV$1,crash_skills!$1:$1,0)-MATCH($AT$1,crash_skills!$1:$1,0)+1,FALSE)</f>
        <v>1体に大ダメージ_x000D_種族ドラゴンに効果特大</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1</v>
      </c>
      <c r="AY8" s="64">
        <v>1</v>
      </c>
      <c r="AZ8" s="64">
        <v>0.97</v>
      </c>
      <c r="BA8" s="64">
        <v>0</v>
      </c>
      <c r="BB8" s="64">
        <v>1.07</v>
      </c>
      <c r="BC8" s="10">
        <f ca="1">INDEX('RC6SV'!$A$1:$G$21,MATCH(H8,'RC6SV'!$A$1:$A$21,FALSE),MATCH(G8,'RC6SV'!$A$1:$G$1,FALSE))</f>
        <v>9000</v>
      </c>
      <c r="BD8" s="44">
        <f t="shared" ca="1" si="9"/>
        <v>9000</v>
      </c>
      <c r="BE8" s="10">
        <f t="shared" ca="1" si="3"/>
        <v>9000</v>
      </c>
      <c r="BF8" s="10">
        <f t="shared" ca="1" si="4"/>
        <v>1</v>
      </c>
      <c r="BG8" s="15">
        <f ca="1">IF($BE8&lt;=0,ROUND(BK8*0.5,0), ROUND($BE8*S8*AA8*J8*AY8*0.8*[1]ステータス!$B$2,0))</f>
        <v>3316</v>
      </c>
      <c r="BH8" s="15">
        <f ca="1">IF($BE8&lt;=0,ROUND(BL8*0.5,0), ROUND($BE8*T8*AB8*K8*AZ8*0.8*[1]ステータス!$C$2,0))</f>
        <v>2786</v>
      </c>
      <c r="BI8" s="15">
        <f ca="1">IF($BE8&lt;=0,ROUND(BM8*0.5,0), ROUND($BE8*U8*AC8*L8*BA8*0.8*[1]ステータス!$D$2,0))</f>
        <v>0</v>
      </c>
      <c r="BJ8" s="15">
        <f ca="1">IF($BE8&lt;=0,ROUND(BN8*0.5,0), ROUND($BE8*V8*AD8*M8*BB8*0.8*[1]ステータス!$E$2,0))</f>
        <v>1395</v>
      </c>
      <c r="BK8" s="10">
        <f ca="1">ROUND(BD8*S8*AA8*J8*AY8*[1]ステータス!$B$2,0)</f>
        <v>4145</v>
      </c>
      <c r="BL8" s="10">
        <f ca="1">ROUND(BD8*T8*AB8*K8*AZ8*[1]ステータス!$C$2,0)</f>
        <v>3483</v>
      </c>
      <c r="BM8" s="10">
        <f ca="1">ROUND(BD8*U8*AC8*L8*BA8*[1]ステータス!$D$2,0)</f>
        <v>0</v>
      </c>
      <c r="BN8" s="10">
        <f ca="1">ROUND(BD8*V8*AD8*M8*BB8*[1]ステータス!$E$2,0)</f>
        <v>1743</v>
      </c>
      <c r="BO8" s="9">
        <v>0</v>
      </c>
      <c r="BP8" s="9">
        <v>1</v>
      </c>
      <c r="BQ8" s="36" t="s">
        <v>47</v>
      </c>
      <c r="BR8" s="9">
        <f ca="1">VLOOKUP(H8,[2]ghosts_label!$A$2:$B$19,2,FALSE)</f>
        <v>1</v>
      </c>
    </row>
    <row r="9" spans="1:70" ht="26" customHeight="1" x14ac:dyDescent="0.15">
      <c r="A9" s="186">
        <v>8122</v>
      </c>
      <c r="B9" s="53" t="str">
        <f ca="1">VLOOKUP($A9,OFFSET([1]characters!$A$1,0,0,COUNTA([1]characters!$A:$A),MATCH(B$1,[1]characters!$1:$1,0)-MATCH($A$1,[1]characters!$1:$1,0)+1),MATCH(B$1,[1]characters!$1:$1,0)-MATCH($A$1,[1]characters!$1:$1,0)+1,FALSE)</f>
        <v>法海★６</v>
      </c>
      <c r="C9" s="53" t="str">
        <f ca="1">VLOOKUP($A9,OFFSET([1]characters!$A$1,0,0,COUNTA([1]characters!$A:$A),MATCH(C$1,[1]characters!$1:$1,0)-MATCH($A$1,[1]characters!$1:$1,0)+1),MATCH(C$1,[1]characters!$1:$1,0)-MATCH($A$1,[1]characters!$1:$1,0)+1,FALSE)</f>
        <v>各属性相性良3・黄・R455</v>
      </c>
      <c r="D9" s="53" t="str">
        <f ca="1">VLOOKUP($A9,OFFSET([1]characters!$A$1,0,0,COUNTA([1]characters!$A:$A),MATCH(D$1,[1]characters!$1:$1,0)-MATCH($A$1,[1]characters!$1:$1,0)+1),MATCH(D$1,[1]characters!$1:$1,0)-MATCH($A$1,[1]characters!$1:$1,0)+1,FALSE)</f>
        <v>執行者</v>
      </c>
      <c r="E9" s="53" t="str">
        <f ca="1">VLOOKUP($A9,OFFSET([1]characters!$A$1,0,0,COUNTA([1]characters!$A:$A),MATCH(E$1,[1]characters!$1:$1,0)-MATCH($A$1,[1]characters!$1:$1,0)+1),MATCH(E$1,[1]characters!$1:$1,0)-MATCH($A$1,[1]characters!$1:$1,0)+1,FALSE)</f>
        <v>格好いい</v>
      </c>
      <c r="F9" s="53" t="str">
        <f ca="1">VLOOKUP($A9,OFFSET([1]characters!$A$1,0,0,COUNTA([1]characters!$A:$A),MATCH(F$1,[1]characters!$1:$1,0)-MATCH($A$1,[1]characters!$1:$1,0)+1),MATCH(F$1,[1]characters!$1:$1,0)-MATCH($A$1,[1]characters!$1:$1,0)+1,FALSE)</f>
        <v>男性</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DropWizS</v>
      </c>
      <c r="I9" s="53" t="str">
        <f ca="1">VLOOKUP($A9,OFFSET([1]characters!$A$1,0,0,COUNTA([1]characters!$A:$A),MATCH(I$1,[1]characters!$1:$1,0)-MATCH($A$1,[1]characters!$1:$1,0)+1),MATCH(I$1,[1]characters!$1:$1,0)-MATCH($A$1,[1]characters!$1:$1,0)+1,FALSE)</f>
        <v>yellow</v>
      </c>
      <c r="J9" s="10">
        <f ca="1">VLOOKUP(I9,[1]属性!$A:$E,2,FALSE)</f>
        <v>0.98</v>
      </c>
      <c r="K9" s="10">
        <f ca="1">VLOOKUP(I9,[1]属性!$A:$E,3,FALSE)</f>
        <v>1.01</v>
      </c>
      <c r="L9" s="10">
        <f ca="1">VLOOKUP(I9,[1]属性!$A:$E,4,FALSE)</f>
        <v>1</v>
      </c>
      <c r="M9" s="10">
        <f ca="1">VLOOKUP(I9,[1]属性!$A:$E,5,FALSE)</f>
        <v>1.01</v>
      </c>
      <c r="N9" s="10">
        <f ca="1">INDEX(コスト!$A$1:$I$21,MATCH(H9,コスト!$A$1:$A$21,FALSE),MATCH(G9,コスト!$A$1:$I$1,FALSE))</f>
        <v>45</v>
      </c>
      <c r="O9" s="10">
        <f ca="1">INDEX(レベル!$A$1:$I$22,MATCH(H9,レベル!$A$1:$A$22,FALSE),MATCH(G9,レベル!$A$1:$I$1,FALSE))</f>
        <v>99</v>
      </c>
      <c r="P9" s="44">
        <f t="shared" ca="1" si="12"/>
        <v>99</v>
      </c>
      <c r="Q9" s="53" t="str">
        <f ca="1">VLOOKUP($A9,OFFSET([1]characters!$A$1,0,0,COUNTA([1]characters!$A:$A),MATCH(Q$1,[1]characters!$1:$1,0)-MATCH($A$1,[1]characters!$1:$1,0)+1),MATCH(Q$1,[1]characters!$1:$1,0)-MATCH($A$1,[1]characters!$1:$1,0)+1,FALSE)</f>
        <v>attack</v>
      </c>
      <c r="R9" s="5" t="str">
        <f ca="1">VLOOKUP(Q9,[1]character_type_i18n!$A:$H,3,FALSE)</f>
        <v>攻撃タイプ</v>
      </c>
      <c r="S9" s="10">
        <f ca="1">VLOOKUP(Q9,[1]character_type_i18n!$A:$H,4,FALSE)</f>
        <v>1</v>
      </c>
      <c r="T9" s="10">
        <f ca="1">VLOOKUP(Q9,[1]character_type_i18n!$A:$H,5,FALSE)</f>
        <v>1.33</v>
      </c>
      <c r="U9" s="10">
        <f ca="1">VLOOKUP(Q9,[1]character_type_i18n!$A:$H,6,FALSE)</f>
        <v>1</v>
      </c>
      <c r="V9" s="10">
        <f ca="1">VLOOKUP(Q9,[1]character_type_i18n!$A:$H,7,FALSE)</f>
        <v>0.67</v>
      </c>
      <c r="W9" s="53" t="str">
        <f ca="1">VLOOKUP($A9,OFFSET([1]characters!$A$1,0,0,COUNTA([1]characters!$A:$A),MATCH(W$1,[1]characters!$1:$1,0)-MATCH($A$1,[1]characters!$1:$1,0)+1),MATCH(W$1,[1]characters!$1:$1,0)-MATCH($A$1,[1]characters!$1:$1,0)+1,FALSE)</f>
        <v>human</v>
      </c>
      <c r="X9" s="5" t="str">
        <f ca="1">VLOOKUP(W9,[1]character_tribe_i18n!$A:$H,3,FALSE)</f>
        <v>ヒューマン</v>
      </c>
      <c r="Y9" s="53" t="str">
        <f ca="1">VLOOKUP($A9,OFFSET([1]characters!$A$1,0,0,COUNTA([1]characters!$A:$A),MATCH(Y$1,[1]characters!$1:$1,0)-MATCH($A$1,[1]characters!$1:$1,0)+1),MATCH(Y$1,[1]characters!$1:$1,0)-MATCH($A$1,[1]characters!$1:$1,0)+1,FALSE)</f>
        <v>machine</v>
      </c>
      <c r="Z9" s="5" t="str">
        <f ca="1">VLOOKUP(Y9,[1]character_tribe_i18n!$A:$H,3,FALSE)</f>
        <v>マシン</v>
      </c>
      <c r="AA9" s="10">
        <f ca="1">VLOOKUP(W9,[1]character_tribe_i18n!$A:$H,4,FALSE)</f>
        <v>0.94</v>
      </c>
      <c r="AB9" s="10">
        <f ca="1">VLOOKUP(W9,[1]character_tribe_i18n!$A:$H,5,FALSE)</f>
        <v>0.99</v>
      </c>
      <c r="AC9" s="10">
        <f ca="1">VLOOKUP(W9,[1]character_tribe_i18n!$A:$H,6,FALSE)</f>
        <v>1</v>
      </c>
      <c r="AD9" s="10">
        <f ca="1">VLOOKUP(W9,[1]character_tribe_i18n!$A:$H,7,FALSE)</f>
        <v>1.07</v>
      </c>
      <c r="AE9" s="187" t="s">
        <v>183</v>
      </c>
      <c r="AF9" s="58" t="str">
        <f ca="1">IF(AE9="NULL","",VLOOKUP($AE9,OFFSET([1]characters!$A$1,0,0,COUNTA([1]characters!$A:$A),MATCH(AF$1,[1]characters!$1:$1,0)-MATCH($A$1,[1]characters!$1:$1,0)+1),MATCH(AF$1,[1]characters!$1:$1,0)-MATCH($A$1,[1]characters!$1:$1,0)+1,FALSE))</f>
        <v/>
      </c>
      <c r="AG9" s="187">
        <v>8121</v>
      </c>
      <c r="AH9" s="58" t="str">
        <f ca="1">VLOOKUP($AG9,OFFSET([1]characters!$A$1,0,0,COUNTA([1]characters!$A:$A),MATCH(AH$1,[1]characters!$1:$1,0)-MATCH($A$1,[1]characters!$1:$1,0)+1),MATCH(AH$1,[1]characters!$1:$1,0)-MATCH($A$1,[1]characters!$1:$1,0)+1,FALSE)</f>
        <v>法海</v>
      </c>
      <c r="AI9" s="10" t="str">
        <f>IF(AE9="NULL","NULL",VLOOKUP(G9,ビット!$A$2:$B$7,2))</f>
        <v>NULL</v>
      </c>
      <c r="AJ9" s="6">
        <v>2</v>
      </c>
      <c r="AK9" s="7" t="str">
        <f t="shared" ref="AK9:AK10" si="13">IF(AJ9=1,"早熟",IF(AJ9=2,"普通",IF(AJ9=3,"晩成","")))</f>
        <v>普通</v>
      </c>
      <c r="AL9" s="10" t="str">
        <f ca="1">INDEX(経験値!$A$1:$I$21,MATCH(H9,経験値!$A$1:$A$21,FALSE),MATCH(G9,経験値!$A$1:$I$1,FALSE))</f>
        <v>required_exp_250</v>
      </c>
      <c r="AM9" s="8">
        <f ca="1">VLOOKUP(G9,経験値!$A$28:$B$32,2)</f>
        <v>6400</v>
      </c>
      <c r="AN9" s="16">
        <f ca="1">VLOOKUP(G9,ビット!$G$2:$H$7,2)</f>
        <v>900</v>
      </c>
      <c r="AO9" s="41"/>
      <c r="AP9" s="63">
        <v>8122</v>
      </c>
      <c r="AQ9" s="53" t="str">
        <f ca="1">VLOOKUP($AP9,OFFSET(unit_skills!$A$1,0,0,COUNTA(unit_skills!$A:$A),MATCH(AQ$1,unit_skills!$1:$1,0)-MATCH($AP$1,unit_skills!$1:$1,0)+1),MATCH(AQ$1,unit_skills!$1:$1,0)-MATCH($AP$1,unit_skills!$1:$1,0)+1,FALSE)</f>
        <v>法海★６スキル</v>
      </c>
      <c r="AR9" s="53" t="str">
        <f ca="1">VLOOKUP($AP9,OFFSET(unit_skills!$A$1,0,0,COUNTA(unit_skills!$A:$A),MATCH(AR$1,unit_skills!$1:$1,0)-MATCH($AP$1,unit_skills!$1:$1,0)+1),MATCH(AR$1,unit_skills!$1:$1,0)-MATCH($AP$1,unit_skills!$1:$1,0)+1,FALSE)</f>
        <v>右隣のユニットのスキルターン1短縮+1体にダメージ(青･お邪魔パネルを吸収し効果大UP)+2ターン全ユニットの攻撃力をUP</v>
      </c>
      <c r="AS9" s="53">
        <f ca="1">VLOOKUP($AP9,OFFSET(unit_skills!$A$1,0,0,COUNTA(unit_skills!$A:$A),MATCH(AS$1,unit_skills!$1:$1,0)-MATCH($AP$1,unit_skills!$1:$1,0)+1),MATCH(AS$1,unit_skills!$1:$1,0)-MATCH($AP$1,unit_skills!$1:$1,0)+1,FALSE)</f>
        <v>0</v>
      </c>
      <c r="AT9" s="63">
        <v>8122</v>
      </c>
      <c r="AU9" s="53" t="str">
        <f ca="1">VLOOKUP($AT9,OFFSET(crash_skills!$A$1,0,0,COUNTA(crash_skills!$A:$A),MATCH(AU$1,crash_skills!$1:$1,0)-MATCH($AT$1,crash_skills!$1:$1,0)+1),MATCH(AU$1,crash_skills!$1:$1,0)-MATCH($AT$1,crash_skills!$1:$1,0)+1,FALSE)</f>
        <v>法海★６Cスキル</v>
      </c>
      <c r="AV9" s="53" t="str">
        <f ca="1">VLOOKUP($AT9,OFFSET(crash_skills!$A$1,0,0,COUNTA(crash_skills!$A:$A),MATCH(AV$1,crash_skills!$1:$1,0)-MATCH($AT$1,crash_skills!$1:$1,0)+1),MATCH(AV$1,crash_skills!$1:$1,0)-MATCH($AT$1,crash_skills!$1:$1,0)+1,FALSE)</f>
        <v>1体に特大ダメージ_x000D_種族ドラゴンに効果超大</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1</v>
      </c>
      <c r="AY9" s="64">
        <v>1</v>
      </c>
      <c r="AZ9" s="64">
        <v>0.97</v>
      </c>
      <c r="BA9" s="64">
        <v>0</v>
      </c>
      <c r="BB9" s="64">
        <v>1.07</v>
      </c>
      <c r="BC9" s="10">
        <f ca="1">INDEX('RC6SV'!$A$1:$G$21,MATCH(H9,'RC6SV'!$A$1:$A$21,FALSE),MATCH(G9,'RC6SV'!$A$1:$G$1,FALSE))</f>
        <v>12000</v>
      </c>
      <c r="BD9" s="44">
        <f t="shared" ref="BD9:BD10" ca="1" si="14">ROUND(BC9*IF(AJ9=1,0.95,IF(AJ9=2,1,IF(AJ9,1.05,0))),0)</f>
        <v>12000</v>
      </c>
      <c r="BE9" s="10">
        <f t="shared" ca="1" si="3"/>
        <v>0</v>
      </c>
      <c r="BF9" s="10">
        <f t="shared" ca="1" si="4"/>
        <v>1</v>
      </c>
      <c r="BG9" s="15">
        <f ca="1">IF($BE9&lt;=0,ROUND(BK9*0.5,0), ROUND($BE9*S9*AA9*J9*AY9*0.8*[1]ステータス!$B$2,0))</f>
        <v>2764</v>
      </c>
      <c r="BH9" s="15">
        <f ca="1">IF($BE9&lt;=0,ROUND(BL9*0.5,0), ROUND($BE9*T9*AB9*K9*AZ9*0.8*[1]ステータス!$C$2,0))</f>
        <v>2322</v>
      </c>
      <c r="BI9" s="15">
        <f ca="1">IF($BE9&lt;=0,ROUND(BM9*0.5,0), ROUND($BE9*U9*AC9*L9*BA9*0.8*[1]ステータス!$D$2,0))</f>
        <v>0</v>
      </c>
      <c r="BJ9" s="15">
        <f ca="1">IF($BE9&lt;=0,ROUND(BN9*0.5,0), ROUND($BE9*V9*AD9*M9*BB9*0.8*[1]ステータス!$E$2,0))</f>
        <v>1162</v>
      </c>
      <c r="BK9" s="10">
        <f ca="1">ROUND(BD9*S9*AA9*J9*AY9*[1]ステータス!$B$2,0)</f>
        <v>5527</v>
      </c>
      <c r="BL9" s="10">
        <f ca="1">ROUND(BD9*T9*AB9*K9*AZ9*[1]ステータス!$C$2,0)</f>
        <v>4644</v>
      </c>
      <c r="BM9" s="10">
        <f ca="1">ROUND(BD9*U9*AC9*L9*BA9*[1]ステータス!$D$2,0)</f>
        <v>0</v>
      </c>
      <c r="BN9" s="10">
        <f ca="1">ROUND(BD9*V9*AD9*M9*BB9*[1]ステータス!$E$2,0)</f>
        <v>2324</v>
      </c>
      <c r="BO9" s="9">
        <v>0</v>
      </c>
      <c r="BP9" s="9">
        <v>1</v>
      </c>
      <c r="BQ9" s="9" t="s">
        <v>47</v>
      </c>
      <c r="BR9" s="9">
        <f ca="1">VLOOKUP(H9,[2]ghosts_label!$A$2:$B$19,2,FALSE)</f>
        <v>1</v>
      </c>
    </row>
    <row r="10" spans="1:70" ht="26" customHeight="1" x14ac:dyDescent="0.15">
      <c r="A10" s="186">
        <v>8105</v>
      </c>
      <c r="B10" s="53" t="str">
        <f ca="1">VLOOKUP($A10,OFFSET([1]characters!$A$1,0,0,COUNTA([1]characters!$A:$A),MATCH(B$1,[1]characters!$1:$1,0)-MATCH($A$1,[1]characters!$1:$1,0)+1),MATCH(B$1,[1]characters!$1:$1,0)-MATCH($A$1,[1]characters!$1:$1,0)+1,FALSE)</f>
        <v>曹國舅</v>
      </c>
      <c r="C10" s="53" t="str">
        <f ca="1">VLOOKUP($A10,OFFSET([1]characters!$A$1,0,0,COUNTA([1]characters!$A:$A),MATCH(C$1,[1]characters!$1:$1,0)-MATCH($A$1,[1]characters!$1:$1,0)+1),MATCH(C$1,[1]characters!$1:$1,0)-MATCH($A$1,[1]characters!$1:$1,0)+1,FALSE)</f>
        <v>ポムポムプリン</v>
      </c>
      <c r="D10" s="53" t="str">
        <f ca="1">VLOOKUP($A10,OFFSET([1]characters!$A$1,0,0,COUNTA([1]characters!$A:$A),MATCH(D$1,[1]characters!$1:$1,0)-MATCH($A$1,[1]characters!$1:$1,0)+1),MATCH(D$1,[1]characters!$1:$1,0)-MATCH($A$1,[1]characters!$1:$1,0)+1,FALSE)</f>
        <v>執行者</v>
      </c>
      <c r="E10" s="53" t="str">
        <f ca="1">VLOOKUP($A10,OFFSET([1]characters!$A$1,0,0,COUNTA([1]characters!$A:$A),MATCH(E$1,[1]characters!$1:$1,0)-MATCH($A$1,[1]characters!$1:$1,0)+1),MATCH(E$1,[1]characters!$1:$1,0)-MATCH($A$1,[1]characters!$1:$1,0)+1,FALSE)</f>
        <v>格好いい</v>
      </c>
      <c r="F10" s="53" t="str">
        <f ca="1">VLOOKUP($A10,OFFSET([1]characters!$A$1,0,0,COUNTA([1]characters!$A:$A),MATCH(F$1,[1]characters!$1:$1,0)-MATCH($A$1,[1]characters!$1:$1,0)+1),MATCH(F$1,[1]characters!$1:$1,0)-MATCH($A$1,[1]characters!$1:$1,0)+1,FALSE)</f>
        <v>女性</v>
      </c>
      <c r="G10" s="53">
        <f ca="1">VLOOKUP($A10,OFFSET([1]characters!$A$1,0,0,COUNTA([1]characters!$A:$A),MATCH(G$1,[1]characters!$1:$1,0)-MATCH($A$1,[1]characters!$1:$1,0)+1),MATCH(G$1,[1]characters!$1:$1,0)-MATCH($A$1,[1]characters!$1:$1,0)+1,FALSE)</f>
        <v>5</v>
      </c>
      <c r="H10" s="53" t="str">
        <f ca="1">VLOOKUP($A10,OFFSET([1]characters!$A$1,0,0,COUNTA([1]characters!$A:$A),MATCH(H$1,[1]characters!$1:$1,0)-MATCH($A$1,[1]characters!$1:$1,0)+1),MATCH(H$1,[1]characters!$1:$1,0)-MATCH($A$1,[1]characters!$1:$1,0)+1,FALSE)</f>
        <v>DropWizS</v>
      </c>
      <c r="I10" s="53" t="str">
        <f ca="1">VLOOKUP($A10,OFFSET([1]characters!$A$1,0,0,COUNTA([1]characters!$A:$A),MATCH(I$1,[1]characters!$1:$1,0)-MATCH($A$1,[1]characters!$1:$1,0)+1),MATCH(I$1,[1]characters!$1:$1,0)-MATCH($A$1,[1]characters!$1:$1,0)+1,FALSE)</f>
        <v>green</v>
      </c>
      <c r="J10" s="10">
        <f ca="1">VLOOKUP(I10,[1]属性!$A:$E,2,FALSE)</f>
        <v>1.02</v>
      </c>
      <c r="K10" s="10">
        <f ca="1">VLOOKUP(I10,[1]属性!$A:$E,3,FALSE)</f>
        <v>0.98</v>
      </c>
      <c r="L10" s="10">
        <f ca="1">VLOOKUP(I10,[1]属性!$A:$E,4,FALSE)</f>
        <v>1</v>
      </c>
      <c r="M10" s="10">
        <f ca="1">VLOOKUP(I10,[1]属性!$A:$E,5,FALSE)</f>
        <v>1</v>
      </c>
      <c r="N10" s="10">
        <f ca="1">INDEX(コスト!$A$1:$I$21,MATCH(H10,コスト!$A$1:$A$21,FALSE),MATCH(G10,コスト!$A$1:$I$1,FALSE))</f>
        <v>30</v>
      </c>
      <c r="O10" s="10">
        <f ca="1">INDEX(レベル!$A$1:$I$22,MATCH(H10,レベル!$A$1:$A$22,FALSE),MATCH(G10,レベル!$A$1:$I$1,FALSE))</f>
        <v>80</v>
      </c>
      <c r="P10" s="44">
        <f t="shared" ref="P10:P11" ca="1" si="15">IF(G10 &gt;= 6, 99,G10*15)</f>
        <v>75</v>
      </c>
      <c r="Q10" s="53" t="str">
        <f ca="1">VLOOKUP($A10,OFFSET([1]characters!$A$1,0,0,COUNTA([1]characters!$A:$A),MATCH(Q$1,[1]characters!$1:$1,0)-MATCH($A$1,[1]characters!$1:$1,0)+1),MATCH(Q$1,[1]characters!$1:$1,0)-MATCH($A$1,[1]characters!$1:$1,0)+1,FALSE)</f>
        <v>hp</v>
      </c>
      <c r="R10" s="5" t="str">
        <f ca="1">VLOOKUP(Q10,[1]character_type_i18n!$A:$H,3,FALSE)</f>
        <v>体力タイプ</v>
      </c>
      <c r="S10" s="10">
        <f ca="1">VLOOKUP(Q10,[1]character_type_i18n!$A:$H,4,FALSE)</f>
        <v>1.45</v>
      </c>
      <c r="T10" s="10">
        <f ca="1">VLOOKUP(Q10,[1]character_type_i18n!$A:$H,5,FALSE)</f>
        <v>0.85</v>
      </c>
      <c r="U10" s="10">
        <f ca="1">VLOOKUP(Q10,[1]character_type_i18n!$A:$H,6,FALSE)</f>
        <v>1</v>
      </c>
      <c r="V10" s="10">
        <f ca="1">VLOOKUP(Q10,[1]character_type_i18n!$A:$H,7,FALSE)</f>
        <v>0.7</v>
      </c>
      <c r="W10" s="53" t="str">
        <f ca="1">VLOOKUP($A10,OFFSET([1]characters!$A$1,0,0,COUNTA([1]characters!$A:$A),MATCH(W$1,[1]characters!$1:$1,0)-MATCH($A$1,[1]characters!$1:$1,0)+1),MATCH(W$1,[1]characters!$1:$1,0)-MATCH($A$1,[1]characters!$1:$1,0)+1,FALSE)</f>
        <v>god</v>
      </c>
      <c r="X10" s="5" t="str">
        <f ca="1">VLOOKUP(W10,[1]character_tribe_i18n!$A:$H,3,FALSE)</f>
        <v>ゴッド</v>
      </c>
      <c r="Y10" s="53" t="str">
        <f ca="1">VLOOKUP($A10,OFFSET([1]characters!$A$1,0,0,COUNTA([1]characters!$A:$A),MATCH(Y$1,[1]characters!$1:$1,0)-MATCH($A$1,[1]characters!$1:$1,0)+1),MATCH(Y$1,[1]characters!$1:$1,0)-MATCH($A$1,[1]characters!$1:$1,0)+1,FALSE)</f>
        <v>human</v>
      </c>
      <c r="Z10" s="5" t="str">
        <f ca="1">VLOOKUP(Y10,[1]character_tribe_i18n!$A:$H,3,FALSE)</f>
        <v>ヒューマン</v>
      </c>
      <c r="AA10" s="10">
        <f ca="1">VLOOKUP(W10,[1]character_tribe_i18n!$A:$H,4,FALSE)</f>
        <v>0.96</v>
      </c>
      <c r="AB10" s="10">
        <f ca="1">VLOOKUP(W10,[1]character_tribe_i18n!$A:$H,5,FALSE)</f>
        <v>1.02</v>
      </c>
      <c r="AC10" s="10">
        <f ca="1">VLOOKUP(W10,[1]character_tribe_i18n!$A:$H,6,FALSE)</f>
        <v>1</v>
      </c>
      <c r="AD10" s="10">
        <f ca="1">VLOOKUP(W10,[1]character_tribe_i18n!$A:$H,7,FALSE)</f>
        <v>1.02</v>
      </c>
      <c r="AE10" s="187">
        <v>8106</v>
      </c>
      <c r="AF10" s="58" t="str">
        <f ca="1">IF(AE10="NULL","",VLOOKUP($AE10,OFFSET([1]characters!$A$1,0,0,COUNTA([1]characters!$A:$A),MATCH(AF$1,[1]characters!$1:$1,0)-MATCH($A$1,[1]characters!$1:$1,0)+1),MATCH(AF$1,[1]characters!$1:$1,0)-MATCH($A$1,[1]characters!$1:$1,0)+1,FALSE))</f>
        <v>曹國舅★６</v>
      </c>
      <c r="AG10" s="187">
        <v>8105</v>
      </c>
      <c r="AH10" s="58" t="str">
        <f ca="1">VLOOKUP($AG10,OFFSET([1]characters!$A$1,0,0,COUNTA([1]characters!$A:$A),MATCH(AH$1,[1]characters!$1:$1,0)-MATCH($A$1,[1]characters!$1:$1,0)+1),MATCH(AH$1,[1]characters!$1:$1,0)-MATCH($A$1,[1]characters!$1:$1,0)+1,FALSE)</f>
        <v>曹國舅</v>
      </c>
      <c r="AI10" s="10">
        <f ca="1">IF(AE10="NULL","NULL",VLOOKUP(G10,ビット!$A$2:$B$7,2))</f>
        <v>200000</v>
      </c>
      <c r="AJ10" s="6">
        <v>2</v>
      </c>
      <c r="AK10" s="7" t="str">
        <f t="shared" si="13"/>
        <v>普通</v>
      </c>
      <c r="AL10" s="10" t="str">
        <f ca="1">INDEX(経験値!$A$1:$I$21,MATCH(H10,経験値!$A$1:$A$21,FALSE),MATCH(G10,経験値!$A$1:$I$1,FALSE))</f>
        <v>required_exp_200</v>
      </c>
      <c r="AM10" s="8">
        <f ca="1">VLOOKUP(G10,経験値!$A$28:$B$32,2)</f>
        <v>6400</v>
      </c>
      <c r="AN10" s="16">
        <f ca="1">VLOOKUP(G10,ビット!$G$2:$H$7,2)</f>
        <v>900</v>
      </c>
      <c r="AO10" s="41"/>
      <c r="AP10" s="63">
        <v>8105</v>
      </c>
      <c r="AQ10" s="53" t="str">
        <f ca="1">VLOOKUP($AP10,OFFSET(unit_skills!$A$1,0,0,COUNTA(unit_skills!$A:$A),MATCH(AQ$1,unit_skills!$1:$1,0)-MATCH($AP$1,unit_skills!$1:$1,0)+1),MATCH(AQ$1,unit_skills!$1:$1,0)-MATCH($AP$1,unit_skills!$1:$1,0)+1,FALSE)</f>
        <v>曹國舅スキル</v>
      </c>
      <c r="AR10" s="53" t="str">
        <f ca="1">VLOOKUP($AP10,OFFSET(unit_skills!$A$1,0,0,COUNTA(unit_skills!$A:$A),MATCH(AR$1,unit_skills!$1:$1,0)-MATCH($AP$1,unit_skills!$1:$1,0)+1),MATCH(AR$1,unit_skills!$1:$1,0)-MATCH($AP$1,unit_skills!$1:$1,0)+1,FALSE)</f>
        <v>青・お邪魔パネルを緑パネルに変換+2ターン青パネルの出現率大DOWN</v>
      </c>
      <c r="AS10" s="53">
        <f ca="1">VLOOKUP($AP10,OFFSET(unit_skills!$A$1,0,0,COUNTA(unit_skills!$A:$A),MATCH(AS$1,unit_skills!$1:$1,0)-MATCH($AP$1,unit_skills!$1:$1,0)+1),MATCH(AS$1,unit_skills!$1:$1,0)-MATCH($AP$1,unit_skills!$1:$1,0)+1,FALSE)</f>
        <v>0</v>
      </c>
      <c r="AT10" s="63">
        <v>8105</v>
      </c>
      <c r="AU10" s="53" t="str">
        <f ca="1">VLOOKUP($AT10,OFFSET(crash_skills!$A$1,0,0,COUNTA(crash_skills!$A:$A),MATCH(AU$1,crash_skills!$1:$1,0)-MATCH($AT$1,crash_skills!$1:$1,0)+1),MATCH(AU$1,crash_skills!$1:$1,0)-MATCH($AT$1,crash_skills!$1:$1,0)+1,FALSE)</f>
        <v>曹國舅Cスキル</v>
      </c>
      <c r="AV10" s="53" t="str">
        <f ca="1">VLOOKUP($AT10,OFFSET(crash_skills!$A$1,0,0,COUNTA(crash_skills!$A:$A),MATCH(AV$1,crash_skills!$1:$1,0)-MATCH($AT$1,crash_skills!$1:$1,0)+1),MATCH(AV$1,crash_skills!$1:$1,0)-MATCH($AT$1,crash_skills!$1:$1,0)+1,FALSE)</f>
        <v>自身のHPの最大値に比例して1体に大ダメージ+1ターン緑属性の回復力UP</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1</v>
      </c>
      <c r="AY10" s="64">
        <v>1.03</v>
      </c>
      <c r="AZ10" s="64">
        <v>0.97</v>
      </c>
      <c r="BA10" s="64">
        <v>0</v>
      </c>
      <c r="BB10" s="64">
        <v>1.1000000000000001</v>
      </c>
      <c r="BC10" s="10">
        <f ca="1">INDEX('RC6SV'!$A$1:$G$21,MATCH(H10,'RC6SV'!$A$1:$A$21,FALSE),MATCH(G10,'RC6SV'!$A$1:$G$1,FALSE))</f>
        <v>9000</v>
      </c>
      <c r="BD10" s="44">
        <f t="shared" ca="1" si="14"/>
        <v>9000</v>
      </c>
      <c r="BE10" s="10">
        <f t="shared" ca="1" si="3"/>
        <v>0</v>
      </c>
      <c r="BF10" s="10">
        <f t="shared" ca="1" si="4"/>
        <v>1</v>
      </c>
      <c r="BG10" s="15">
        <f ca="1">IF($BE10&lt;=0,ROUND(BK10*0.5,0), ROUND($BE10*S10*AA10*J10*AY10*0.8*[1]ステータス!$B$2,0))</f>
        <v>3291</v>
      </c>
      <c r="BH10" s="15">
        <f ca="1">IF($BE10&lt;=0,ROUND(BL10*0.5,0), ROUND($BE10*T10*AB10*K10*AZ10*0.8*[1]ステータス!$C$2,0))</f>
        <v>1113</v>
      </c>
      <c r="BI10" s="15">
        <f ca="1">IF($BE10&lt;=0,ROUND(BM10*0.5,0), ROUND($BE10*U10*AC10*L10*BA10*0.8*[1]ステータス!$D$2,0))</f>
        <v>0</v>
      </c>
      <c r="BJ10" s="15">
        <f ca="1">IF($BE10&lt;=0,ROUND(BN10*0.5,0), ROUND($BE10*V10*AD10*M10*BB10*0.8*[1]ステータス!$E$2,0))</f>
        <v>884</v>
      </c>
      <c r="BK10" s="10">
        <f ca="1">ROUND(BD10*S10*AA10*J10*AY10*[1]ステータス!$B$2,0)</f>
        <v>6581</v>
      </c>
      <c r="BL10" s="10">
        <f ca="1">ROUND(BD10*T10*AB10*K10*AZ10*[1]ステータス!$C$2,0)</f>
        <v>2225</v>
      </c>
      <c r="BM10" s="10">
        <f ca="1">ROUND(BD10*U10*AC10*L10*BA10*[1]ステータス!$D$2,0)</f>
        <v>0</v>
      </c>
      <c r="BN10" s="10">
        <f ca="1">ROUND(BD10*V10*AD10*M10*BB10*[1]ステータス!$E$2,0)</f>
        <v>1767</v>
      </c>
      <c r="BO10" s="9">
        <v>0</v>
      </c>
      <c r="BP10" s="9">
        <v>1</v>
      </c>
      <c r="BQ10" s="36" t="s">
        <v>47</v>
      </c>
      <c r="BR10" s="9">
        <f ca="1">VLOOKUP(H10,[2]ghosts_label!$A$2:$B$19,2,FALSE)</f>
        <v>1</v>
      </c>
    </row>
    <row r="11" spans="1:70" ht="26" customHeight="1" x14ac:dyDescent="0.15">
      <c r="A11" s="186">
        <v>8106</v>
      </c>
      <c r="B11" s="53" t="str">
        <f ca="1">VLOOKUP($A11,OFFSET([1]characters!$A$1,0,0,COUNTA([1]characters!$A:$A),MATCH(B$1,[1]characters!$1:$1,0)-MATCH($A$1,[1]characters!$1:$1,0)+1),MATCH(B$1,[1]characters!$1:$1,0)-MATCH($A$1,[1]characters!$1:$1,0)+1,FALSE)</f>
        <v>曹國舅★６</v>
      </c>
      <c r="C11" s="53" t="str">
        <f ca="1">VLOOKUP($A11,OFFSET([1]characters!$A$1,0,0,COUNTA([1]characters!$A:$A),MATCH(C$1,[1]characters!$1:$1,0)-MATCH($A$1,[1]characters!$1:$1,0)+1),MATCH(C$1,[1]characters!$1:$1,0)-MATCH($A$1,[1]characters!$1:$1,0)+1,FALSE)</f>
        <v>各属性相性良3・黄・R455</v>
      </c>
      <c r="D11" s="53" t="str">
        <f ca="1">VLOOKUP($A11,OFFSET([1]characters!$A$1,0,0,COUNTA([1]characters!$A:$A),MATCH(D$1,[1]characters!$1:$1,0)-MATCH($A$1,[1]characters!$1:$1,0)+1),MATCH(D$1,[1]characters!$1:$1,0)-MATCH($A$1,[1]characters!$1:$1,0)+1,FALSE)</f>
        <v>執行者</v>
      </c>
      <c r="E11" s="53" t="str">
        <f ca="1">VLOOKUP($A11,OFFSET([1]characters!$A$1,0,0,COUNTA([1]characters!$A:$A),MATCH(E$1,[1]characters!$1:$1,0)-MATCH($A$1,[1]characters!$1:$1,0)+1),MATCH(E$1,[1]characters!$1:$1,0)-MATCH($A$1,[1]characters!$1:$1,0)+1,FALSE)</f>
        <v>格好いい</v>
      </c>
      <c r="F11" s="53" t="str">
        <f ca="1">VLOOKUP($A11,OFFSET([1]characters!$A$1,0,0,COUNTA([1]characters!$A:$A),MATCH(F$1,[1]characters!$1:$1,0)-MATCH($A$1,[1]characters!$1:$1,0)+1),MATCH(F$1,[1]characters!$1:$1,0)-MATCH($A$1,[1]characters!$1:$1,0)+1,FALSE)</f>
        <v>男性</v>
      </c>
      <c r="G11" s="53">
        <f ca="1">VLOOKUP($A11,OFFSET([1]characters!$A$1,0,0,COUNTA([1]characters!$A:$A),MATCH(G$1,[1]characters!$1:$1,0)-MATCH($A$1,[1]characters!$1:$1,0)+1),MATCH(G$1,[1]characters!$1:$1,0)-MATCH($A$1,[1]characters!$1:$1,0)+1,FALSE)</f>
        <v>6</v>
      </c>
      <c r="H11" s="53" t="str">
        <f ca="1">VLOOKUP($A11,OFFSET([1]characters!$A$1,0,0,COUNTA([1]characters!$A:$A),MATCH(H$1,[1]characters!$1:$1,0)-MATCH($A$1,[1]characters!$1:$1,0)+1),MATCH(H$1,[1]characters!$1:$1,0)-MATCH($A$1,[1]characters!$1:$1,0)+1,FALSE)</f>
        <v>DropWizS</v>
      </c>
      <c r="I11" s="53" t="str">
        <f ca="1">VLOOKUP($A11,OFFSET([1]characters!$A$1,0,0,COUNTA([1]characters!$A:$A),MATCH(I$1,[1]characters!$1:$1,0)-MATCH($A$1,[1]characters!$1:$1,0)+1),MATCH(I$1,[1]characters!$1:$1,0)-MATCH($A$1,[1]characters!$1:$1,0)+1,FALSE)</f>
        <v>green</v>
      </c>
      <c r="J11" s="10">
        <f ca="1">VLOOKUP(I11,[1]属性!$A:$E,2,FALSE)</f>
        <v>1.02</v>
      </c>
      <c r="K11" s="10">
        <f ca="1">VLOOKUP(I11,[1]属性!$A:$E,3,FALSE)</f>
        <v>0.98</v>
      </c>
      <c r="L11" s="10">
        <f ca="1">VLOOKUP(I11,[1]属性!$A:$E,4,FALSE)</f>
        <v>1</v>
      </c>
      <c r="M11" s="10">
        <f ca="1">VLOOKUP(I11,[1]属性!$A:$E,5,FALSE)</f>
        <v>1</v>
      </c>
      <c r="N11" s="10">
        <f ca="1">INDEX(コスト!$A$1:$I$21,MATCH(H11,コスト!$A$1:$A$21,FALSE),MATCH(G11,コスト!$A$1:$I$1,FALSE))</f>
        <v>45</v>
      </c>
      <c r="O11" s="10">
        <f ca="1">INDEX(レベル!$A$1:$I$22,MATCH(H11,レベル!$A$1:$A$22,FALSE),MATCH(G11,レベル!$A$1:$I$1,FALSE))</f>
        <v>99</v>
      </c>
      <c r="P11" s="44">
        <f t="shared" ca="1" si="15"/>
        <v>99</v>
      </c>
      <c r="Q11" s="53" t="str">
        <f ca="1">VLOOKUP($A11,OFFSET([1]characters!$A$1,0,0,COUNTA([1]characters!$A:$A),MATCH(Q$1,[1]characters!$1:$1,0)-MATCH($A$1,[1]characters!$1:$1,0)+1),MATCH(Q$1,[1]characters!$1:$1,0)-MATCH($A$1,[1]characters!$1:$1,0)+1,FALSE)</f>
        <v>hp</v>
      </c>
      <c r="R11" s="5" t="str">
        <f ca="1">VLOOKUP(Q11,[1]character_type_i18n!$A:$H,3,FALSE)</f>
        <v>体力タイプ</v>
      </c>
      <c r="S11" s="10">
        <f ca="1">VLOOKUP(Q11,[1]character_type_i18n!$A:$H,4,FALSE)</f>
        <v>1.45</v>
      </c>
      <c r="T11" s="10">
        <f ca="1">VLOOKUP(Q11,[1]character_type_i18n!$A:$H,5,FALSE)</f>
        <v>0.85</v>
      </c>
      <c r="U11" s="10">
        <f ca="1">VLOOKUP(Q11,[1]character_type_i18n!$A:$H,6,FALSE)</f>
        <v>1</v>
      </c>
      <c r="V11" s="10">
        <f ca="1">VLOOKUP(Q11,[1]character_type_i18n!$A:$H,7,FALSE)</f>
        <v>0.7</v>
      </c>
      <c r="W11" s="53" t="str">
        <f ca="1">VLOOKUP($A11,OFFSET([1]characters!$A$1,0,0,COUNTA([1]characters!$A:$A),MATCH(W$1,[1]characters!$1:$1,0)-MATCH($A$1,[1]characters!$1:$1,0)+1),MATCH(W$1,[1]characters!$1:$1,0)-MATCH($A$1,[1]characters!$1:$1,0)+1,FALSE)</f>
        <v>god</v>
      </c>
      <c r="X11" s="5" t="str">
        <f ca="1">VLOOKUP(W11,[1]character_tribe_i18n!$A:$H,3,FALSE)</f>
        <v>ゴッド</v>
      </c>
      <c r="Y11" s="53" t="str">
        <f ca="1">VLOOKUP($A11,OFFSET([1]characters!$A$1,0,0,COUNTA([1]characters!$A:$A),MATCH(Y$1,[1]characters!$1:$1,0)-MATCH($A$1,[1]characters!$1:$1,0)+1),MATCH(Y$1,[1]characters!$1:$1,0)-MATCH($A$1,[1]characters!$1:$1,0)+1,FALSE)</f>
        <v>human</v>
      </c>
      <c r="Z11" s="5" t="str">
        <f ca="1">VLOOKUP(Y11,[1]character_tribe_i18n!$A:$H,3,FALSE)</f>
        <v>ヒューマン</v>
      </c>
      <c r="AA11" s="10">
        <f ca="1">VLOOKUP(W11,[1]character_tribe_i18n!$A:$H,4,FALSE)</f>
        <v>0.96</v>
      </c>
      <c r="AB11" s="10">
        <f ca="1">VLOOKUP(W11,[1]character_tribe_i18n!$A:$H,5,FALSE)</f>
        <v>1.02</v>
      </c>
      <c r="AC11" s="10">
        <f ca="1">VLOOKUP(W11,[1]character_tribe_i18n!$A:$H,6,FALSE)</f>
        <v>1</v>
      </c>
      <c r="AD11" s="10">
        <f ca="1">VLOOKUP(W11,[1]character_tribe_i18n!$A:$H,7,FALSE)</f>
        <v>1.02</v>
      </c>
      <c r="AE11" s="187" t="s">
        <v>183</v>
      </c>
      <c r="AF11" s="58" t="str">
        <f ca="1">IF(AE11="NULL","",VLOOKUP($AE11,OFFSET([1]characters!$A$1,0,0,COUNTA([1]characters!$A:$A),MATCH(AF$1,[1]characters!$1:$1,0)-MATCH($A$1,[1]characters!$1:$1,0)+1),MATCH(AF$1,[1]characters!$1:$1,0)-MATCH($A$1,[1]characters!$1:$1,0)+1,FALSE))</f>
        <v/>
      </c>
      <c r="AG11" s="187">
        <v>8105</v>
      </c>
      <c r="AH11" s="58" t="str">
        <f ca="1">VLOOKUP($AG11,OFFSET([1]characters!$A$1,0,0,COUNTA([1]characters!$A:$A),MATCH(AH$1,[1]characters!$1:$1,0)-MATCH($A$1,[1]characters!$1:$1,0)+1),MATCH(AH$1,[1]characters!$1:$1,0)-MATCH($A$1,[1]characters!$1:$1,0)+1,FALSE)</f>
        <v>曹國舅</v>
      </c>
      <c r="AI11" s="10" t="str">
        <f>IF(AE11="NULL","NULL",VLOOKUP(G11,ビット!$A$2:$B$7,2))</f>
        <v>NULL</v>
      </c>
      <c r="AJ11" s="6">
        <v>2</v>
      </c>
      <c r="AK11" s="7" t="str">
        <f t="shared" ref="AK11" si="16">IF(AJ11=1,"早熟",IF(AJ11=2,"普通",IF(AJ11=3,"晩成","")))</f>
        <v>普通</v>
      </c>
      <c r="AL11" s="10" t="str">
        <f ca="1">INDEX(経験値!$A$1:$I$21,MATCH(H11,経験値!$A$1:$A$21,FALSE),MATCH(G11,経験値!$A$1:$I$1,FALSE))</f>
        <v>required_exp_250</v>
      </c>
      <c r="AM11" s="8">
        <f ca="1">VLOOKUP(G11,経験値!$A$28:$B$32,2)</f>
        <v>6400</v>
      </c>
      <c r="AN11" s="16">
        <f ca="1">VLOOKUP(G11,ビット!$G$2:$H$7,2)</f>
        <v>900</v>
      </c>
      <c r="AO11" s="41"/>
      <c r="AP11" s="63">
        <v>8106</v>
      </c>
      <c r="AQ11" s="53" t="str">
        <f ca="1">VLOOKUP($AP11,OFFSET(unit_skills!$A$1,0,0,COUNTA(unit_skills!$A:$A),MATCH(AQ$1,unit_skills!$1:$1,0)-MATCH($AP$1,unit_skills!$1:$1,0)+1),MATCH(AQ$1,unit_skills!$1:$1,0)-MATCH($AP$1,unit_skills!$1:$1,0)+1,FALSE)</f>
        <v>曹國舅★６スキル</v>
      </c>
      <c r="AR11" s="53" t="str">
        <f ca="1">VLOOKUP($AP11,OFFSET(unit_skills!$A$1,0,0,COUNTA(unit_skills!$A:$A),MATCH(AR$1,unit_skills!$1:$1,0)-MATCH($AP$1,unit_skills!$1:$1,0)+1),MATCH(AR$1,unit_skills!$1:$1,0)-MATCH($AP$1,unit_skills!$1:$1,0)+1,FALSE)</f>
        <v>青・お邪魔パネルを緑パネルに変換+2ターン自身・テクニカルタイプにダメージパネルブレイクを付与し、青パネルの出現率大DOWN</v>
      </c>
      <c r="AS11" s="53">
        <f ca="1">VLOOKUP($AP11,OFFSET(unit_skills!$A$1,0,0,COUNTA(unit_skills!$A:$A),MATCH(AS$1,unit_skills!$1:$1,0)-MATCH($AP$1,unit_skills!$1:$1,0)+1),MATCH(AS$1,unit_skills!$1:$1,0)-MATCH($AP$1,unit_skills!$1:$1,0)+1,FALSE)</f>
        <v>0</v>
      </c>
      <c r="AT11" s="63">
        <v>8106</v>
      </c>
      <c r="AU11" s="53" t="str">
        <f ca="1">VLOOKUP($AT11,OFFSET(crash_skills!$A$1,0,0,COUNTA(crash_skills!$A:$A),MATCH(AU$1,crash_skills!$1:$1,0)-MATCH($AT$1,crash_skills!$1:$1,0)+1),MATCH(AU$1,crash_skills!$1:$1,0)-MATCH($AT$1,crash_skills!$1:$1,0)+1,FALSE)</f>
        <v>曹國舅★６Cスキル</v>
      </c>
      <c r="AV11" s="53" t="str">
        <f ca="1">VLOOKUP($AT11,OFFSET(crash_skills!$A$1,0,0,COUNTA(crash_skills!$A:$A),MATCH(AV$1,crash_skills!$1:$1,0)-MATCH($AT$1,crash_skills!$1:$1,0)+1),MATCH(AV$1,crash_skills!$1:$1,0)-MATCH($AT$1,crash_skills!$1:$1,0)+1,FALSE)</f>
        <v>自身のHPの最大値に比例して1体に特大ダメージ+1ターン緑属性の回復力UP</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1</v>
      </c>
      <c r="AY11" s="64">
        <v>1.03</v>
      </c>
      <c r="AZ11" s="64">
        <v>0.97</v>
      </c>
      <c r="BA11" s="64">
        <v>0</v>
      </c>
      <c r="BB11" s="64">
        <v>1.1000000000000001</v>
      </c>
      <c r="BC11" s="10">
        <f ca="1">INDEX('RC6SV'!$A$1:$G$21,MATCH(H11,'RC6SV'!$A$1:$A$21,FALSE),MATCH(G11,'RC6SV'!$A$1:$G$1,FALSE))</f>
        <v>12000</v>
      </c>
      <c r="BD11" s="44">
        <f t="shared" ref="BD11" ca="1" si="17">ROUND(BC11*IF(AJ11=1,0.95,IF(AJ11=2,1,IF(AJ11,1.05,0))),0)</f>
        <v>12000</v>
      </c>
      <c r="BE11" s="10">
        <f t="shared" ca="1" si="3"/>
        <v>9000</v>
      </c>
      <c r="BF11" s="10">
        <f t="shared" ca="1" si="4"/>
        <v>1</v>
      </c>
      <c r="BG11" s="15">
        <f ca="1">IF($BE11&lt;=0,ROUND(BK11*0.5,0), ROUND($BE11*S11*AA11*J11*AY11*0.8*[1]ステータス!$B$2,0))</f>
        <v>5265</v>
      </c>
      <c r="BH11" s="15">
        <f ca="1">IF($BE11&lt;=0,ROUND(BL11*0.5,0), ROUND($BE11*T11*AB11*K11*AZ11*0.8*[1]ステータス!$C$2,0))</f>
        <v>1780</v>
      </c>
      <c r="BI11" s="15">
        <f ca="1">IF($BE11&lt;=0,ROUND(BM11*0.5,0), ROUND($BE11*U11*AC11*L11*BA11*0.8*[1]ステータス!$D$2,0))</f>
        <v>0</v>
      </c>
      <c r="BJ11" s="15">
        <f ca="1">IF($BE11&lt;=0,ROUND(BN11*0.5,0), ROUND($BE11*V11*AD11*M11*BB11*0.8*[1]ステータス!$E$2,0))</f>
        <v>1414</v>
      </c>
      <c r="BK11" s="10">
        <f ca="1">ROUND(BD11*S11*AA11*J11*AY11*[1]ステータス!$B$2,0)</f>
        <v>8775</v>
      </c>
      <c r="BL11" s="10">
        <f ca="1">ROUND(BD11*T11*AB11*K11*AZ11*[1]ステータス!$C$2,0)</f>
        <v>2967</v>
      </c>
      <c r="BM11" s="10">
        <f ca="1">ROUND(BD11*U11*AC11*L11*BA11*[1]ステータス!$D$2,0)</f>
        <v>0</v>
      </c>
      <c r="BN11" s="10">
        <f ca="1">ROUND(BD11*V11*AD11*M11*BB11*[1]ステータス!$E$2,0)</f>
        <v>2356</v>
      </c>
      <c r="BO11" s="9">
        <v>0</v>
      </c>
      <c r="BP11" s="9">
        <v>1</v>
      </c>
      <c r="BQ11" s="9" t="s">
        <v>47</v>
      </c>
      <c r="BR11" s="9">
        <f ca="1">VLOOKUP(H11,[2]ghosts_label!$A$2:$B$19,2,FALSE)</f>
        <v>1</v>
      </c>
    </row>
  </sheetData>
  <autoFilter ref="A1:BQ1"/>
  <phoneticPr fontId="10"/>
  <conditionalFormatting sqref="BO1">
    <cfRule type="cellIs" dxfId="50" priority="120" stopIfTrue="1" operator="equal">
      <formula>1</formula>
    </cfRule>
  </conditionalFormatting>
  <conditionalFormatting sqref="BQ1">
    <cfRule type="cellIs" dxfId="4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1"/>
  <sheetViews>
    <sheetView showGridLines="0" tabSelected="1" zoomScale="115" workbookViewId="0">
      <pane xSplit="4" ySplit="1" topLeftCell="E2" activePane="bottomRight" state="frozen"/>
      <selection pane="topRight" activeCell="D1" sqref="D1"/>
      <selection pane="bottomLeft" activeCell="A2" sqref="A2"/>
      <selection pane="bottomRight" activeCell="H18" sqref="H18"/>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8103</v>
      </c>
      <c r="B2" s="129" t="s">
        <v>185</v>
      </c>
      <c r="C2" s="188" t="s">
        <v>394</v>
      </c>
      <c r="D2" s="201" t="s">
        <v>398</v>
      </c>
      <c r="E2" s="131">
        <f t="shared" ref="E2:E3" si="0">LEN(D2)</f>
        <v>54</v>
      </c>
      <c r="F2" s="63">
        <v>12</v>
      </c>
      <c r="G2" s="113">
        <v>5</v>
      </c>
      <c r="H2" s="132">
        <f>2001</f>
        <v>2001</v>
      </c>
      <c r="I2" s="200" t="s">
        <v>399</v>
      </c>
      <c r="J2" s="53" t="str">
        <f ca="1">VLOOKUP($A2,OFFSET([1]characters!$A$1,0,0,COUNTA([1]characters!$A:$A),MATCH("name",[1]characters!$1:$1,0)-MATCH("character_id",[1]characters!$1:$1,0)+1),MATCH("name",[1]characters!$1:$1,0)-MATCH("character_id",[1]characters!$1:$1,0)+1,FALSE)</f>
        <v>李鐵拐</v>
      </c>
      <c r="K2" s="133">
        <f>IFERROR(VLOOKUP(A2,[1]characters!$A:$R,18),0)</f>
        <v>1</v>
      </c>
      <c r="L2" s="134"/>
      <c r="M2" s="135"/>
      <c r="N2" s="135"/>
      <c r="O2" s="135"/>
      <c r="P2" s="135"/>
      <c r="Q2" s="135"/>
      <c r="R2" s="130"/>
      <c r="S2" s="136"/>
    </row>
    <row r="3" spans="1:19" ht="21" customHeight="1" x14ac:dyDescent="0.15">
      <c r="A3" s="186">
        <v>8104</v>
      </c>
      <c r="B3" s="129" t="s">
        <v>185</v>
      </c>
      <c r="C3" s="188" t="s">
        <v>395</v>
      </c>
      <c r="D3" s="201" t="s">
        <v>400</v>
      </c>
      <c r="E3" s="131">
        <f t="shared" si="0"/>
        <v>63</v>
      </c>
      <c r="F3" s="202">
        <v>12</v>
      </c>
      <c r="G3" s="113">
        <v>5</v>
      </c>
      <c r="H3" s="132">
        <f>2001</f>
        <v>2001</v>
      </c>
      <c r="I3" s="200" t="s">
        <v>401</v>
      </c>
      <c r="J3" s="53" t="str">
        <f ca="1">VLOOKUP($A3,OFFSET([1]characters!$A$1,0,0,COUNTA([1]characters!$A:$A),MATCH("name",[1]characters!$1:$1,0)-MATCH("character_id",[1]characters!$1:$1,0)+1),MATCH("name",[1]characters!$1:$1,0)-MATCH("character_id",[1]characters!$1:$1,0)+1,FALSE)</f>
        <v>李鐵拐★６</v>
      </c>
      <c r="K3" s="133">
        <f>IFERROR(VLOOKUP(A3,[1]characters!$A:$R,18),0)</f>
        <v>1</v>
      </c>
      <c r="L3" s="134"/>
      <c r="M3" s="135"/>
      <c r="N3" s="135"/>
      <c r="O3" s="135"/>
      <c r="P3" s="135"/>
      <c r="Q3" s="135"/>
      <c r="R3" s="130"/>
      <c r="S3" s="136"/>
    </row>
    <row r="4" spans="1:19" ht="21" customHeight="1" x14ac:dyDescent="0.15">
      <c r="A4" s="186">
        <v>8111</v>
      </c>
      <c r="B4" s="129" t="s">
        <v>185</v>
      </c>
      <c r="C4" s="188" t="s">
        <v>346</v>
      </c>
      <c r="D4" s="188" t="s">
        <v>352</v>
      </c>
      <c r="E4" s="131">
        <f t="shared" ref="E4" si="1">LEN(D4)</f>
        <v>37</v>
      </c>
      <c r="F4" s="63">
        <v>13</v>
      </c>
      <c r="G4" s="113">
        <v>7</v>
      </c>
      <c r="H4" s="132">
        <f>2001</f>
        <v>2001</v>
      </c>
      <c r="I4" s="189" t="s">
        <v>353</v>
      </c>
      <c r="J4" s="53" t="str">
        <f ca="1">VLOOKUP($A4,OFFSET([1]characters!$A$1,0,0,COUNTA([1]characters!$A:$A),MATCH("name",[1]characters!$1:$1,0)-MATCH("character_id",[1]characters!$1:$1,0)+1),MATCH("name",[1]characters!$1:$1,0)-MATCH("character_id",[1]characters!$1:$1,0)+1,FALSE)</f>
        <v>福德正神</v>
      </c>
      <c r="K4" s="133">
        <f>IFERROR(VLOOKUP(A4,[1]characters!$A:$R,18),0)</f>
        <v>1</v>
      </c>
      <c r="L4" s="134"/>
      <c r="M4" s="135"/>
      <c r="N4" s="135"/>
      <c r="O4" s="135"/>
      <c r="P4" s="135"/>
      <c r="Q4" s="135"/>
      <c r="R4" s="130"/>
      <c r="S4" s="136"/>
    </row>
    <row r="5" spans="1:19" ht="21" customHeight="1" x14ac:dyDescent="0.15">
      <c r="A5" s="186">
        <v>8112</v>
      </c>
      <c r="B5" s="129" t="s">
        <v>185</v>
      </c>
      <c r="C5" s="188" t="s">
        <v>347</v>
      </c>
      <c r="D5" s="188" t="s">
        <v>385</v>
      </c>
      <c r="E5" s="131">
        <f t="shared" ref="E5:E6" si="2">LEN(D5)</f>
        <v>37</v>
      </c>
      <c r="F5" s="63">
        <v>12</v>
      </c>
      <c r="G5" s="113">
        <v>7</v>
      </c>
      <c r="H5" s="132">
        <f>2001</f>
        <v>2001</v>
      </c>
      <c r="I5" s="189" t="s">
        <v>353</v>
      </c>
      <c r="J5" s="53" t="str">
        <f ca="1">VLOOKUP($A5,OFFSET([1]characters!$A$1,0,0,COUNTA([1]characters!$A:$A),MATCH("name",[1]characters!$1:$1,0)-MATCH("character_id",[1]characters!$1:$1,0)+1),MATCH("name",[1]characters!$1:$1,0)-MATCH("character_id",[1]characters!$1:$1,0)+1,FALSE)</f>
        <v>福德正神★６</v>
      </c>
      <c r="K5" s="133">
        <f>IFERROR(VLOOKUP(A5,[1]characters!$A:$R,18),0)</f>
        <v>1</v>
      </c>
      <c r="L5" s="134"/>
      <c r="M5" s="135"/>
      <c r="N5" s="135"/>
      <c r="O5" s="135"/>
      <c r="P5" s="135"/>
      <c r="Q5" s="135"/>
      <c r="R5" s="130"/>
      <c r="S5" s="136"/>
    </row>
    <row r="6" spans="1:19" ht="21" customHeight="1" x14ac:dyDescent="0.15">
      <c r="A6" s="186">
        <v>8115</v>
      </c>
      <c r="B6" s="129" t="s">
        <v>185</v>
      </c>
      <c r="C6" s="188" t="s">
        <v>348</v>
      </c>
      <c r="D6" s="201" t="s">
        <v>382</v>
      </c>
      <c r="E6" s="131">
        <f t="shared" si="2"/>
        <v>59</v>
      </c>
      <c r="F6" s="63">
        <v>23</v>
      </c>
      <c r="G6" s="113">
        <v>16</v>
      </c>
      <c r="H6" s="132">
        <f>2001</f>
        <v>2001</v>
      </c>
      <c r="I6" s="200" t="s">
        <v>383</v>
      </c>
      <c r="J6" s="53" t="str">
        <f ca="1">VLOOKUP($A6,OFFSET([1]characters!$A$1,0,0,COUNTA([1]characters!$A:$A),MATCH("name",[1]characters!$1:$1,0)-MATCH("character_id",[1]characters!$1:$1,0)+1),MATCH("name",[1]characters!$1:$1,0)-MATCH("character_id",[1]characters!$1:$1,0)+1,FALSE)</f>
        <v>贏政</v>
      </c>
      <c r="K6" s="133">
        <f>IFERROR(VLOOKUP(A6,[1]characters!$A:$R,18),0)</f>
        <v>1</v>
      </c>
      <c r="L6" s="134"/>
      <c r="M6" s="135"/>
      <c r="N6" s="135"/>
      <c r="O6" s="135"/>
      <c r="P6" s="135"/>
      <c r="Q6" s="135"/>
      <c r="R6" s="130"/>
      <c r="S6" s="136"/>
    </row>
    <row r="7" spans="1:19" ht="21" customHeight="1" x14ac:dyDescent="0.15">
      <c r="A7" s="186">
        <v>8116</v>
      </c>
      <c r="B7" s="129" t="s">
        <v>185</v>
      </c>
      <c r="C7" s="188" t="s">
        <v>349</v>
      </c>
      <c r="D7" s="201" t="s">
        <v>381</v>
      </c>
      <c r="E7" s="131">
        <f t="shared" ref="E7:E9" si="3">LEN(D7)</f>
        <v>59</v>
      </c>
      <c r="F7" s="63">
        <v>22</v>
      </c>
      <c r="G7" s="113">
        <v>16</v>
      </c>
      <c r="H7" s="132">
        <f>2001</f>
        <v>2001</v>
      </c>
      <c r="I7" s="200" t="s">
        <v>383</v>
      </c>
      <c r="J7" s="53" t="str">
        <f ca="1">VLOOKUP($A7,OFFSET([1]characters!$A$1,0,0,COUNTA([1]characters!$A:$A),MATCH("name",[1]characters!$1:$1,0)-MATCH("character_id",[1]characters!$1:$1,0)+1),MATCH("name",[1]characters!$1:$1,0)-MATCH("character_id",[1]characters!$1:$1,0)+1,FALSE)</f>
        <v>贏政★６</v>
      </c>
      <c r="K7" s="133">
        <f>IFERROR(VLOOKUP(A7,[1]characters!$A:$R,18),0)</f>
        <v>1</v>
      </c>
      <c r="L7" s="134"/>
      <c r="M7" s="135"/>
      <c r="N7" s="135"/>
      <c r="O7" s="135"/>
      <c r="P7" s="135"/>
      <c r="Q7" s="135"/>
      <c r="R7" s="130"/>
      <c r="S7" s="136"/>
    </row>
    <row r="8" spans="1:19" ht="21" customHeight="1" x14ac:dyDescent="0.15">
      <c r="A8" s="186">
        <v>8121</v>
      </c>
      <c r="B8" s="129" t="s">
        <v>185</v>
      </c>
      <c r="C8" s="188" t="s">
        <v>350</v>
      </c>
      <c r="D8" s="188" t="s">
        <v>384</v>
      </c>
      <c r="E8" s="131">
        <f t="shared" si="3"/>
        <v>61</v>
      </c>
      <c r="F8" s="63">
        <v>14</v>
      </c>
      <c r="G8" s="113">
        <v>7</v>
      </c>
      <c r="H8" s="132">
        <f>2001</f>
        <v>2001</v>
      </c>
      <c r="I8" s="189" t="s">
        <v>355</v>
      </c>
      <c r="J8" s="53" t="str">
        <f ca="1">VLOOKUP($A8,OFFSET([1]characters!$A$1,0,0,COUNTA([1]characters!$A:$A),MATCH("name",[1]characters!$1:$1,0)-MATCH("character_id",[1]characters!$1:$1,0)+1),MATCH("name",[1]characters!$1:$1,0)-MATCH("character_id",[1]characters!$1:$1,0)+1,FALSE)</f>
        <v>法海</v>
      </c>
      <c r="K8" s="133">
        <f>IFERROR(VLOOKUP(A8,[1]characters!$A:$R,18),0)</f>
        <v>1</v>
      </c>
      <c r="L8" s="134"/>
      <c r="M8" s="135"/>
      <c r="N8" s="135"/>
      <c r="O8" s="135"/>
      <c r="P8" s="135"/>
      <c r="Q8" s="135"/>
      <c r="R8" s="130"/>
      <c r="S8" s="136"/>
    </row>
    <row r="9" spans="1:19" ht="21" customHeight="1" x14ac:dyDescent="0.15">
      <c r="A9" s="186">
        <v>8122</v>
      </c>
      <c r="B9" s="129" t="s">
        <v>185</v>
      </c>
      <c r="C9" s="188" t="s">
        <v>351</v>
      </c>
      <c r="D9" s="188" t="s">
        <v>354</v>
      </c>
      <c r="E9" s="131">
        <f t="shared" si="3"/>
        <v>61</v>
      </c>
      <c r="F9" s="63">
        <v>13</v>
      </c>
      <c r="G9" s="113">
        <v>7</v>
      </c>
      <c r="H9" s="132">
        <f>2001</f>
        <v>2001</v>
      </c>
      <c r="I9" s="189" t="s">
        <v>355</v>
      </c>
      <c r="J9" s="53" t="str">
        <f ca="1">VLOOKUP($A9,OFFSET([1]characters!$A$1,0,0,COUNTA([1]characters!$A:$A),MATCH("name",[1]characters!$1:$1,0)-MATCH("character_id",[1]characters!$1:$1,0)+1),MATCH("name",[1]characters!$1:$1,0)-MATCH("character_id",[1]characters!$1:$1,0)+1,FALSE)</f>
        <v>法海★６</v>
      </c>
      <c r="K9" s="133">
        <f>IFERROR(VLOOKUP(A9,[1]characters!$A:$R,18),0)</f>
        <v>1</v>
      </c>
      <c r="L9" s="134"/>
      <c r="M9" s="135"/>
      <c r="N9" s="135"/>
      <c r="O9" s="135"/>
      <c r="P9" s="135"/>
      <c r="Q9" s="135"/>
      <c r="R9" s="130"/>
      <c r="S9" s="136"/>
    </row>
    <row r="10" spans="1:19" ht="21" customHeight="1" x14ac:dyDescent="0.15">
      <c r="A10" s="186">
        <v>8105</v>
      </c>
      <c r="B10" s="129" t="s">
        <v>185</v>
      </c>
      <c r="C10" s="188" t="s">
        <v>386</v>
      </c>
      <c r="D10" s="188" t="s">
        <v>406</v>
      </c>
      <c r="E10" s="131">
        <f t="shared" ref="E10:E11" si="4">LEN(D10)</f>
        <v>34</v>
      </c>
      <c r="F10" s="63">
        <v>14</v>
      </c>
      <c r="G10" s="113">
        <v>7</v>
      </c>
      <c r="H10" s="132">
        <f>2001</f>
        <v>2001</v>
      </c>
      <c r="I10" s="189" t="s">
        <v>408</v>
      </c>
      <c r="J10" s="53" t="str">
        <f ca="1">VLOOKUP($A10,OFFSET([1]characters!$A$1,0,0,COUNTA([1]characters!$A:$A),MATCH("name",[1]characters!$1:$1,0)-MATCH("character_id",[1]characters!$1:$1,0)+1),MATCH("name",[1]characters!$1:$1,0)-MATCH("character_id",[1]characters!$1:$1,0)+1,FALSE)</f>
        <v>曹國舅</v>
      </c>
      <c r="K10" s="133">
        <f>IFERROR(VLOOKUP(A10,[1]characters!$A:$R,18),0)</f>
        <v>1</v>
      </c>
      <c r="L10" s="134"/>
      <c r="M10" s="135"/>
      <c r="N10" s="135"/>
      <c r="O10" s="135"/>
      <c r="P10" s="135"/>
      <c r="Q10" s="135"/>
      <c r="R10" s="130"/>
      <c r="S10" s="136"/>
    </row>
    <row r="11" spans="1:19" ht="21" customHeight="1" x14ac:dyDescent="0.15">
      <c r="A11" s="186">
        <v>8106</v>
      </c>
      <c r="B11" s="129" t="s">
        <v>185</v>
      </c>
      <c r="C11" s="188" t="s">
        <v>387</v>
      </c>
      <c r="D11" s="188" t="s">
        <v>407</v>
      </c>
      <c r="E11" s="131">
        <f t="shared" si="4"/>
        <v>62</v>
      </c>
      <c r="F11" s="63">
        <v>13</v>
      </c>
      <c r="G11" s="113">
        <v>7</v>
      </c>
      <c r="H11" s="132">
        <f>2001</f>
        <v>2001</v>
      </c>
      <c r="I11" s="189" t="s">
        <v>409</v>
      </c>
      <c r="J11" s="53" t="str">
        <f ca="1">VLOOKUP($A11,OFFSET([1]characters!$A$1,0,0,COUNTA([1]characters!$A:$A),MATCH("name",[1]characters!$1:$1,0)-MATCH("character_id",[1]characters!$1:$1,0)+1),MATCH("name",[1]characters!$1:$1,0)-MATCH("character_id",[1]characters!$1:$1,0)+1,FALSE)</f>
        <v>曹國舅★６</v>
      </c>
      <c r="K11" s="133">
        <f>IFERROR(VLOOKUP(A11,[1]characters!$A:$R,18),0)</f>
        <v>1</v>
      </c>
      <c r="L11" s="134"/>
      <c r="M11" s="135"/>
      <c r="N11" s="135"/>
      <c r="O11" s="135"/>
      <c r="P11" s="135"/>
      <c r="Q11" s="135"/>
      <c r="R11" s="130"/>
      <c r="S11" s="136"/>
    </row>
  </sheetData>
  <sheetProtection selectLockedCells="1" selectUnlockedCells="1"/>
  <autoFilter ref="A1:S1">
    <sortState ref="A2:T432">
      <sortCondition ref="A1:A432"/>
    </sortState>
  </autoFilter>
  <phoneticPr fontId="22"/>
  <conditionalFormatting sqref="E1 E12:E1048576">
    <cfRule type="cellIs" dxfId="48" priority="32" operator="greaterThan">
      <formula>41</formula>
    </cfRule>
  </conditionalFormatting>
  <conditionalFormatting sqref="E4">
    <cfRule type="cellIs" dxfId="47" priority="26" operator="greaterThan">
      <formula>57</formula>
    </cfRule>
  </conditionalFormatting>
  <conditionalFormatting sqref="E5">
    <cfRule type="cellIs" dxfId="46" priority="25" operator="greaterThan">
      <formula>57</formula>
    </cfRule>
  </conditionalFormatting>
  <conditionalFormatting sqref="E6">
    <cfRule type="cellIs" dxfId="45" priority="8" operator="greaterThan">
      <formula>57</formula>
    </cfRule>
  </conditionalFormatting>
  <conditionalFormatting sqref="E7">
    <cfRule type="cellIs" dxfId="44" priority="7" operator="greaterThan">
      <formula>57</formula>
    </cfRule>
  </conditionalFormatting>
  <conditionalFormatting sqref="E8">
    <cfRule type="cellIs" dxfId="43" priority="6" operator="greaterThan">
      <formula>57</formula>
    </cfRule>
  </conditionalFormatting>
  <conditionalFormatting sqref="E9">
    <cfRule type="cellIs" dxfId="42" priority="5" operator="greaterThan">
      <formula>57</formula>
    </cfRule>
  </conditionalFormatting>
  <conditionalFormatting sqref="E10">
    <cfRule type="cellIs" dxfId="41" priority="4" operator="greaterThan">
      <formula>57</formula>
    </cfRule>
  </conditionalFormatting>
  <conditionalFormatting sqref="E11">
    <cfRule type="cellIs" dxfId="40" priority="3" operator="greaterThan">
      <formula>57</formula>
    </cfRule>
  </conditionalFormatting>
  <conditionalFormatting sqref="E2">
    <cfRule type="cellIs" dxfId="39" priority="2" operator="greaterThan">
      <formula>57</formula>
    </cfRule>
  </conditionalFormatting>
  <conditionalFormatting sqref="E3">
    <cfRule type="cellIs" dxfId="38" priority="1"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1"/>
  <sheetViews>
    <sheetView showGridLines="0" workbookViewId="0">
      <pane xSplit="4" ySplit="1" topLeftCell="E2" activePane="bottomRight" state="frozen"/>
      <selection pane="topRight" activeCell="D1" sqref="D1"/>
      <selection pane="bottomLeft" activeCell="A3" sqref="A3"/>
      <selection pane="bottomRight" activeCell="F3" sqref="F3"/>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8103</v>
      </c>
      <c r="B2" s="129" t="s">
        <v>356</v>
      </c>
      <c r="C2" s="188" t="s">
        <v>396</v>
      </c>
      <c r="D2" s="188" t="s">
        <v>403</v>
      </c>
      <c r="E2" s="131">
        <f t="shared" ref="E2:E3" si="0">LEN(D2)</f>
        <v>24</v>
      </c>
      <c r="F2" s="199" t="s">
        <v>402</v>
      </c>
      <c r="G2" s="53" t="str">
        <f ca="1">VLOOKUP($A2,OFFSET([1]characters!$A$1,0,0,COUNTA([1]characters!$A:$A),MATCH("name",[1]characters!$1:$1,0)-MATCH("character_id",[1]characters!$1:$1,0)+1),MATCH("name",[1]characters!$1:$1,0)-MATCH("character_id",[1]characters!$1:$1,0)+1,FALSE)</f>
        <v>李鐵拐</v>
      </c>
      <c r="H2" s="132">
        <f>IFERROR(VLOOKUP(A2,[1]characters!$A:$R,18),0)</f>
        <v>1</v>
      </c>
      <c r="I2" s="132"/>
      <c r="J2" s="137"/>
      <c r="K2" s="133">
        <v>1</v>
      </c>
      <c r="L2" s="134"/>
      <c r="M2" s="135"/>
      <c r="N2" s="135"/>
      <c r="O2" s="135"/>
      <c r="P2" s="135"/>
      <c r="Q2" s="135"/>
      <c r="R2" s="130"/>
      <c r="S2" s="136"/>
    </row>
    <row r="3" spans="1:19" ht="21" customHeight="1" x14ac:dyDescent="0.15">
      <c r="A3" s="186">
        <v>8104</v>
      </c>
      <c r="B3" s="129" t="s">
        <v>356</v>
      </c>
      <c r="C3" s="188" t="s">
        <v>397</v>
      </c>
      <c r="D3" s="188" t="s">
        <v>404</v>
      </c>
      <c r="E3" s="131">
        <f t="shared" si="0"/>
        <v>25</v>
      </c>
      <c r="F3" s="199" t="s">
        <v>405</v>
      </c>
      <c r="G3" s="53" t="str">
        <f ca="1">VLOOKUP($A3,OFFSET([1]characters!$A$1,0,0,COUNTA([1]characters!$A:$A),MATCH("name",[1]characters!$1:$1,0)-MATCH("character_id",[1]characters!$1:$1,0)+1),MATCH("name",[1]characters!$1:$1,0)-MATCH("character_id",[1]characters!$1:$1,0)+1,FALSE)</f>
        <v>李鐵拐★６</v>
      </c>
      <c r="H3" s="132">
        <f>IFERROR(VLOOKUP(A3,[1]characters!$A:$R,18),0)</f>
        <v>1</v>
      </c>
      <c r="I3" s="132"/>
      <c r="J3" s="137"/>
      <c r="K3" s="133">
        <v>1</v>
      </c>
      <c r="L3" s="134"/>
      <c r="M3" s="135"/>
      <c r="N3" s="135"/>
      <c r="O3" s="135"/>
      <c r="P3" s="135"/>
      <c r="Q3" s="135"/>
      <c r="R3" s="130"/>
      <c r="S3" s="136"/>
    </row>
    <row r="4" spans="1:19" ht="21" customHeight="1" x14ac:dyDescent="0.15">
      <c r="A4" s="186">
        <v>8111</v>
      </c>
      <c r="B4" s="129" t="s">
        <v>356</v>
      </c>
      <c r="C4" s="188" t="s">
        <v>357</v>
      </c>
      <c r="D4" s="188" t="s">
        <v>371</v>
      </c>
      <c r="E4" s="131">
        <f t="shared" ref="E4" si="1">LEN(D4)</f>
        <v>14</v>
      </c>
      <c r="F4" s="199" t="s">
        <v>363</v>
      </c>
      <c r="G4" s="53" t="str">
        <f ca="1">VLOOKUP($A4,OFFSET([1]characters!$A$1,0,0,COUNTA([1]characters!$A:$A),MATCH("name",[1]characters!$1:$1,0)-MATCH("character_id",[1]characters!$1:$1,0)+1),MATCH("name",[1]characters!$1:$1,0)-MATCH("character_id",[1]characters!$1:$1,0)+1,FALSE)</f>
        <v>福德正神</v>
      </c>
      <c r="H4" s="132">
        <f>IFERROR(VLOOKUP(A4,[1]characters!$A:$R,18),0)</f>
        <v>1</v>
      </c>
      <c r="I4" s="132"/>
      <c r="J4" s="137"/>
      <c r="K4" s="133">
        <v>1</v>
      </c>
      <c r="L4" s="134"/>
      <c r="M4" s="135"/>
      <c r="N4" s="135"/>
      <c r="O4" s="135"/>
      <c r="P4" s="135"/>
      <c r="Q4" s="135"/>
      <c r="R4" s="130"/>
      <c r="S4" s="136"/>
    </row>
    <row r="5" spans="1:19" ht="21" customHeight="1" x14ac:dyDescent="0.15">
      <c r="A5" s="186">
        <v>8112</v>
      </c>
      <c r="B5" s="129" t="s">
        <v>356</v>
      </c>
      <c r="C5" s="188" t="s">
        <v>358</v>
      </c>
      <c r="D5" s="188" t="s">
        <v>370</v>
      </c>
      <c r="E5" s="131">
        <f t="shared" ref="E5:E6" si="2">LEN(D5)</f>
        <v>15</v>
      </c>
      <c r="F5" s="199" t="s">
        <v>364</v>
      </c>
      <c r="G5" s="53" t="str">
        <f ca="1">VLOOKUP($A5,OFFSET([1]characters!$A$1,0,0,COUNTA([1]characters!$A:$A),MATCH("name",[1]characters!$1:$1,0)-MATCH("character_id",[1]characters!$1:$1,0)+1),MATCH("name",[1]characters!$1:$1,0)-MATCH("character_id",[1]characters!$1:$1,0)+1,FALSE)</f>
        <v>福德正神★６</v>
      </c>
      <c r="H5" s="132">
        <f>IFERROR(VLOOKUP(A5,[1]characters!$A:$R,18),0)</f>
        <v>1</v>
      </c>
      <c r="I5" s="132"/>
      <c r="J5" s="137"/>
      <c r="K5" s="133">
        <v>1</v>
      </c>
      <c r="L5" s="134"/>
      <c r="M5" s="135"/>
      <c r="N5" s="135"/>
      <c r="O5" s="135"/>
      <c r="P5" s="135"/>
      <c r="Q5" s="135"/>
      <c r="R5" s="130"/>
      <c r="S5" s="136"/>
    </row>
    <row r="6" spans="1:19" ht="21" customHeight="1" x14ac:dyDescent="0.15">
      <c r="A6" s="186">
        <v>8115</v>
      </c>
      <c r="B6" s="129" t="s">
        <v>356</v>
      </c>
      <c r="C6" s="188" t="s">
        <v>359</v>
      </c>
      <c r="D6" s="188" t="s">
        <v>369</v>
      </c>
      <c r="E6" s="131">
        <f t="shared" si="2"/>
        <v>21</v>
      </c>
      <c r="F6" s="190" t="s">
        <v>373</v>
      </c>
      <c r="G6" s="53" t="str">
        <f ca="1">VLOOKUP($A6,OFFSET([1]characters!$A$1,0,0,COUNTA([1]characters!$A:$A),MATCH("name",[1]characters!$1:$1,0)-MATCH("character_id",[1]characters!$1:$1,0)+1),MATCH("name",[1]characters!$1:$1,0)-MATCH("character_id",[1]characters!$1:$1,0)+1,FALSE)</f>
        <v>贏政</v>
      </c>
      <c r="H6" s="132">
        <f>IFERROR(VLOOKUP(A6,[1]characters!$A:$R,18),0)</f>
        <v>1</v>
      </c>
      <c r="I6" s="132"/>
      <c r="J6" s="137"/>
      <c r="K6" s="133">
        <v>1</v>
      </c>
      <c r="L6" s="134"/>
      <c r="M6" s="135"/>
      <c r="N6" s="135"/>
      <c r="O6" s="135"/>
      <c r="P6" s="135"/>
      <c r="Q6" s="135"/>
      <c r="R6" s="130"/>
      <c r="S6" s="136"/>
    </row>
    <row r="7" spans="1:19" ht="21" customHeight="1" x14ac:dyDescent="0.15">
      <c r="A7" s="186">
        <v>8116</v>
      </c>
      <c r="B7" s="129" t="s">
        <v>356</v>
      </c>
      <c r="C7" s="188" t="s">
        <v>360</v>
      </c>
      <c r="D7" s="188" t="s">
        <v>372</v>
      </c>
      <c r="E7" s="131">
        <f t="shared" ref="E7:E9" si="3">LEN(D7)</f>
        <v>22</v>
      </c>
      <c r="F7" s="190" t="s">
        <v>374</v>
      </c>
      <c r="G7" s="53" t="str">
        <f ca="1">VLOOKUP($A7,OFFSET([1]characters!$A$1,0,0,COUNTA([1]characters!$A:$A),MATCH("name",[1]characters!$1:$1,0)-MATCH("character_id",[1]characters!$1:$1,0)+1),MATCH("name",[1]characters!$1:$1,0)-MATCH("character_id",[1]characters!$1:$1,0)+1,FALSE)</f>
        <v>贏政★６</v>
      </c>
      <c r="H7" s="132">
        <f>IFERROR(VLOOKUP(A7,[1]characters!$A:$R,18),0)</f>
        <v>1</v>
      </c>
      <c r="I7" s="132"/>
      <c r="J7" s="137"/>
      <c r="K7" s="133">
        <v>1</v>
      </c>
      <c r="L7" s="134"/>
      <c r="M7" s="135"/>
      <c r="N7" s="135"/>
      <c r="O7" s="135"/>
      <c r="P7" s="135"/>
      <c r="Q7" s="135"/>
      <c r="R7" s="130"/>
      <c r="S7" s="136"/>
    </row>
    <row r="8" spans="1:19" ht="21" customHeight="1" x14ac:dyDescent="0.15">
      <c r="A8" s="186">
        <v>8121</v>
      </c>
      <c r="B8" s="129" t="s">
        <v>356</v>
      </c>
      <c r="C8" s="188" t="s">
        <v>361</v>
      </c>
      <c r="D8" s="188" t="s">
        <v>365</v>
      </c>
      <c r="E8" s="131">
        <f t="shared" si="3"/>
        <v>20</v>
      </c>
      <c r="F8" s="190" t="s">
        <v>366</v>
      </c>
      <c r="G8" s="53" t="str">
        <f ca="1">VLOOKUP($A8,OFFSET([1]characters!$A$1,0,0,COUNTA([1]characters!$A:$A),MATCH("name",[1]characters!$1:$1,0)-MATCH("character_id",[1]characters!$1:$1,0)+1),MATCH("name",[1]characters!$1:$1,0)-MATCH("character_id",[1]characters!$1:$1,0)+1,FALSE)</f>
        <v>法海</v>
      </c>
      <c r="H8" s="132">
        <f>IFERROR(VLOOKUP(A8,[1]characters!$A:$R,18),0)</f>
        <v>1</v>
      </c>
      <c r="I8" s="132"/>
      <c r="J8" s="137"/>
      <c r="K8" s="133">
        <v>1</v>
      </c>
      <c r="L8" s="134"/>
      <c r="M8" s="135"/>
      <c r="N8" s="135"/>
      <c r="O8" s="135"/>
      <c r="P8" s="135"/>
      <c r="Q8" s="135"/>
      <c r="R8" s="130"/>
      <c r="S8" s="136"/>
    </row>
    <row r="9" spans="1:19" ht="21" customHeight="1" x14ac:dyDescent="0.15">
      <c r="A9" s="186">
        <v>8122</v>
      </c>
      <c r="B9" s="129" t="s">
        <v>356</v>
      </c>
      <c r="C9" s="188" t="s">
        <v>362</v>
      </c>
      <c r="D9" s="188" t="s">
        <v>367</v>
      </c>
      <c r="E9" s="131">
        <f t="shared" si="3"/>
        <v>21</v>
      </c>
      <c r="F9" s="190" t="s">
        <v>368</v>
      </c>
      <c r="G9" s="53" t="str">
        <f ca="1">VLOOKUP($A9,OFFSET([1]characters!$A$1,0,0,COUNTA([1]characters!$A:$A),MATCH("name",[1]characters!$1:$1,0)-MATCH("character_id",[1]characters!$1:$1,0)+1),MATCH("name",[1]characters!$1:$1,0)-MATCH("character_id",[1]characters!$1:$1,0)+1,FALSE)</f>
        <v>法海★６</v>
      </c>
      <c r="H9" s="132">
        <f>IFERROR(VLOOKUP(A9,[1]characters!$A:$R,18),0)</f>
        <v>1</v>
      </c>
      <c r="I9" s="132"/>
      <c r="J9" s="137"/>
      <c r="K9" s="133">
        <v>1</v>
      </c>
      <c r="L9" s="134"/>
      <c r="M9" s="135"/>
      <c r="N9" s="135"/>
      <c r="O9" s="135"/>
      <c r="P9" s="135"/>
      <c r="Q9" s="135"/>
      <c r="R9" s="130"/>
      <c r="S9" s="136"/>
    </row>
    <row r="10" spans="1:19" ht="21" customHeight="1" x14ac:dyDescent="0.15">
      <c r="A10" s="186">
        <v>8105</v>
      </c>
      <c r="B10" s="129" t="s">
        <v>356</v>
      </c>
      <c r="C10" s="188" t="s">
        <v>388</v>
      </c>
      <c r="D10" s="188" t="s">
        <v>390</v>
      </c>
      <c r="E10" s="131">
        <f t="shared" ref="E10:E11" si="4">LEN(D10)</f>
        <v>36</v>
      </c>
      <c r="F10" s="190" t="s">
        <v>392</v>
      </c>
      <c r="G10" s="53" t="str">
        <f ca="1">VLOOKUP($A10,OFFSET([1]characters!$A$1,0,0,COUNTA([1]characters!$A:$A),MATCH("name",[1]characters!$1:$1,0)-MATCH("character_id",[1]characters!$1:$1,0)+1),MATCH("name",[1]characters!$1:$1,0)-MATCH("character_id",[1]characters!$1:$1,0)+1,FALSE)</f>
        <v>曹國舅</v>
      </c>
      <c r="H10" s="132">
        <f>IFERROR(VLOOKUP(A10,[1]characters!$A:$R,18),0)</f>
        <v>1</v>
      </c>
      <c r="I10" s="132"/>
      <c r="J10" s="137"/>
      <c r="K10" s="133">
        <v>1</v>
      </c>
      <c r="L10" s="134"/>
      <c r="M10" s="135"/>
      <c r="N10" s="135"/>
      <c r="O10" s="135"/>
      <c r="P10" s="135"/>
      <c r="Q10" s="135"/>
      <c r="R10" s="130"/>
      <c r="S10" s="136"/>
    </row>
    <row r="11" spans="1:19" ht="21" customHeight="1" x14ac:dyDescent="0.15">
      <c r="A11" s="186">
        <v>8106</v>
      </c>
      <c r="B11" s="129" t="s">
        <v>356</v>
      </c>
      <c r="C11" s="188" t="s">
        <v>389</v>
      </c>
      <c r="D11" s="188" t="s">
        <v>391</v>
      </c>
      <c r="E11" s="131">
        <f t="shared" si="4"/>
        <v>37</v>
      </c>
      <c r="F11" s="190" t="s">
        <v>393</v>
      </c>
      <c r="G11" s="53" t="str">
        <f ca="1">VLOOKUP($A11,OFFSET([1]characters!$A$1,0,0,COUNTA([1]characters!$A:$A),MATCH("name",[1]characters!$1:$1,0)-MATCH("character_id",[1]characters!$1:$1,0)+1),MATCH("name",[1]characters!$1:$1,0)-MATCH("character_id",[1]characters!$1:$1,0)+1,FALSE)</f>
        <v>曹國舅★６</v>
      </c>
      <c r="H11" s="132">
        <f>IFERROR(VLOOKUP(A11,[1]characters!$A:$R,18),0)</f>
        <v>1</v>
      </c>
      <c r="I11" s="132"/>
      <c r="J11" s="137"/>
      <c r="K11" s="133">
        <v>1</v>
      </c>
      <c r="L11" s="134"/>
      <c r="M11" s="135"/>
      <c r="N11" s="135"/>
      <c r="O11" s="135"/>
      <c r="P11" s="135"/>
      <c r="Q11" s="135"/>
      <c r="R11" s="130"/>
      <c r="S11" s="136"/>
    </row>
  </sheetData>
  <sheetProtection selectLockedCells="1" selectUnlockedCells="1"/>
  <autoFilter ref="A1:J1"/>
  <phoneticPr fontId="22"/>
  <conditionalFormatting sqref="E4">
    <cfRule type="cellIs" dxfId="37" priority="26" operator="greaterThan">
      <formula>57</formula>
    </cfRule>
  </conditionalFormatting>
  <conditionalFormatting sqref="E5">
    <cfRule type="cellIs" dxfId="36" priority="25" operator="greaterThan">
      <formula>57</formula>
    </cfRule>
  </conditionalFormatting>
  <conditionalFormatting sqref="E6">
    <cfRule type="cellIs" dxfId="35" priority="8" operator="greaterThan">
      <formula>57</formula>
    </cfRule>
  </conditionalFormatting>
  <conditionalFormatting sqref="E7">
    <cfRule type="cellIs" dxfId="34" priority="7" operator="greaterThan">
      <formula>57</formula>
    </cfRule>
  </conditionalFormatting>
  <conditionalFormatting sqref="E8">
    <cfRule type="cellIs" dxfId="33" priority="6" operator="greaterThan">
      <formula>57</formula>
    </cfRule>
  </conditionalFormatting>
  <conditionalFormatting sqref="E9">
    <cfRule type="cellIs" dxfId="32" priority="5" operator="greaterThan">
      <formula>57</formula>
    </cfRule>
  </conditionalFormatting>
  <conditionalFormatting sqref="E10">
    <cfRule type="cellIs" dxfId="31" priority="4" operator="greaterThan">
      <formula>57</formula>
    </cfRule>
  </conditionalFormatting>
  <conditionalFormatting sqref="E11">
    <cfRule type="cellIs" dxfId="30" priority="3" operator="greaterThan">
      <formula>57</formula>
    </cfRule>
  </conditionalFormatting>
  <conditionalFormatting sqref="E2">
    <cfRule type="cellIs" dxfId="29" priority="2" operator="greaterThan">
      <formula>57</formula>
    </cfRule>
  </conditionalFormatting>
  <conditionalFormatting sqref="E3">
    <cfRule type="cellIs" dxfId="28"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46"/>
  <sheetViews>
    <sheetView zoomScale="110" workbookViewId="0">
      <selection activeCell="C9" sqref="C9"/>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8103</v>
      </c>
      <c r="B2" s="138" t="str">
        <f>VLOOKUP(A2,[1]characters!$A:$C,3,FALSE)</f>
        <v>李鐵拐</v>
      </c>
      <c r="C2" s="105" t="s">
        <v>195</v>
      </c>
      <c r="D2" s="138" t="str">
        <f t="shared" ref="D2" si="0">A2&amp;C2</f>
        <v>8103skill</v>
      </c>
      <c r="E2" s="138" t="str">
        <f>A2&amp;+(COUNTIF(A2:A$109,A2)-1)</f>
        <v>81033</v>
      </c>
      <c r="F2" s="105" t="s">
        <v>185</v>
      </c>
      <c r="G2" s="162" t="s">
        <v>315</v>
      </c>
      <c r="H2" s="162" t="s">
        <v>321</v>
      </c>
    </row>
    <row r="3" spans="1:8" x14ac:dyDescent="0.15">
      <c r="A3" s="105">
        <v>8103</v>
      </c>
      <c r="B3" s="138" t="str">
        <f>VLOOKUP(A3,[1]characters!$A:$C,3,FALSE)</f>
        <v>李鐵拐</v>
      </c>
      <c r="C3" s="105" t="s">
        <v>198</v>
      </c>
      <c r="D3" s="138" t="str">
        <f>A3&amp;C3</f>
        <v>8103cskill</v>
      </c>
      <c r="E3" s="138" t="str">
        <f>A3&amp;+(COUNTIF(A3:A$109,A3)-1)</f>
        <v>81032</v>
      </c>
      <c r="F3" s="105" t="s">
        <v>185</v>
      </c>
      <c r="G3" s="162" t="s">
        <v>196</v>
      </c>
      <c r="H3" s="162" t="s">
        <v>318</v>
      </c>
    </row>
    <row r="4" spans="1:8" x14ac:dyDescent="0.15">
      <c r="A4" s="105">
        <v>8103</v>
      </c>
      <c r="B4" s="138" t="str">
        <f>VLOOKUP(A4,[1]characters!$A:$C,3,FALSE)</f>
        <v>李鐵拐</v>
      </c>
      <c r="C4" s="105" t="s">
        <v>198</v>
      </c>
      <c r="D4" s="138" t="str">
        <f>A4&amp;C4</f>
        <v>8103cskill</v>
      </c>
      <c r="E4" s="138" t="str">
        <f>A4&amp;+(COUNTIF(A4:A$109,A4)-1)</f>
        <v>81031</v>
      </c>
      <c r="F4" s="105" t="s">
        <v>185</v>
      </c>
      <c r="G4" s="162" t="s">
        <v>315</v>
      </c>
      <c r="H4" s="162" t="s">
        <v>316</v>
      </c>
    </row>
    <row r="5" spans="1:8" x14ac:dyDescent="0.15">
      <c r="A5" s="105">
        <v>8103</v>
      </c>
      <c r="B5" s="138" t="str">
        <f>VLOOKUP(A5,[1]characters!$A:$C,3,FALSE)</f>
        <v>李鐵拐</v>
      </c>
      <c r="C5" s="105" t="s">
        <v>198</v>
      </c>
      <c r="D5" s="138" t="str">
        <f>A5&amp;C5</f>
        <v>8103cskill</v>
      </c>
      <c r="E5" s="138" t="str">
        <f>A5&amp;+(COUNTIF(A5:A$109,A5)-1)</f>
        <v>81030</v>
      </c>
      <c r="F5" s="105" t="s">
        <v>185</v>
      </c>
      <c r="G5" s="162" t="s">
        <v>315</v>
      </c>
      <c r="H5" s="162" t="s">
        <v>317</v>
      </c>
    </row>
    <row r="6" spans="1:8" x14ac:dyDescent="0.15">
      <c r="A6" s="105">
        <v>8104</v>
      </c>
      <c r="B6" s="138" t="str">
        <f>VLOOKUP(A6,[1]characters!$A:$C,3,FALSE)</f>
        <v>李鐵拐★６</v>
      </c>
      <c r="C6" s="105" t="s">
        <v>195</v>
      </c>
      <c r="D6" s="138" t="str">
        <f t="shared" ref="D6" si="1">A6&amp;C6</f>
        <v>8104skill</v>
      </c>
      <c r="E6" s="138" t="str">
        <f>A6&amp;+(COUNTIF(A6:A$109,A6)-1)</f>
        <v>81044</v>
      </c>
      <c r="F6" s="105" t="s">
        <v>185</v>
      </c>
      <c r="G6" s="162" t="s">
        <v>315</v>
      </c>
      <c r="H6" s="162" t="s">
        <v>321</v>
      </c>
    </row>
    <row r="7" spans="1:8" x14ac:dyDescent="0.15">
      <c r="A7" s="105">
        <v>8104</v>
      </c>
      <c r="B7" s="138" t="str">
        <f>VLOOKUP(A7,[1]characters!$A:$C,3,FALSE)</f>
        <v>李鐵拐★６</v>
      </c>
      <c r="C7" s="105" t="s">
        <v>198</v>
      </c>
      <c r="D7" s="138" t="str">
        <f>A7&amp;C7</f>
        <v>8104cskill</v>
      </c>
      <c r="E7" s="138" t="str">
        <f>A7&amp;+(COUNTIF(A7:A$109,A7)-1)</f>
        <v>81043</v>
      </c>
      <c r="F7" s="105" t="s">
        <v>185</v>
      </c>
      <c r="G7" s="162" t="s">
        <v>196</v>
      </c>
      <c r="H7" s="162" t="s">
        <v>318</v>
      </c>
    </row>
    <row r="8" spans="1:8" x14ac:dyDescent="0.15">
      <c r="A8" s="105">
        <v>8104</v>
      </c>
      <c r="B8" s="138" t="str">
        <f>VLOOKUP(A8,[1]characters!$A:$C,3,FALSE)</f>
        <v>李鐵拐★６</v>
      </c>
      <c r="C8" s="105" t="s">
        <v>198</v>
      </c>
      <c r="D8" s="138" t="str">
        <f>A8&amp;C8</f>
        <v>8104cskill</v>
      </c>
      <c r="E8" s="138" t="str">
        <f>A8&amp;+(COUNTIF(A8:A$109,A8)-1)</f>
        <v>81042</v>
      </c>
      <c r="F8" s="105" t="s">
        <v>185</v>
      </c>
      <c r="G8" s="162" t="s">
        <v>315</v>
      </c>
      <c r="H8" s="162" t="s">
        <v>316</v>
      </c>
    </row>
    <row r="9" spans="1:8" x14ac:dyDescent="0.15">
      <c r="A9" s="105">
        <v>8104</v>
      </c>
      <c r="B9" s="138" t="str">
        <f>VLOOKUP(A9,[1]characters!$A:$C,3,FALSE)</f>
        <v>李鐵拐★６</v>
      </c>
      <c r="C9" s="105" t="s">
        <v>198</v>
      </c>
      <c r="D9" s="138" t="str">
        <f>A9&amp;C9</f>
        <v>8104cskill</v>
      </c>
      <c r="E9" s="138" t="str">
        <f>A9&amp;+(COUNTIF(A9:A$109,A9)-1)</f>
        <v>81041</v>
      </c>
      <c r="F9" s="105" t="s">
        <v>185</v>
      </c>
      <c r="G9" s="162" t="s">
        <v>315</v>
      </c>
      <c r="H9" s="162" t="s">
        <v>317</v>
      </c>
    </row>
    <row r="10" spans="1:8" x14ac:dyDescent="0.15">
      <c r="A10" s="105">
        <v>8104</v>
      </c>
      <c r="B10" s="138" t="str">
        <f>VLOOKUP(A10,[1]characters!$A:$C,3,FALSE)</f>
        <v>李鐵拐★６</v>
      </c>
      <c r="C10" s="105" t="s">
        <v>198</v>
      </c>
      <c r="D10" s="138" t="str">
        <f>A10&amp;C10</f>
        <v>8104cskill</v>
      </c>
      <c r="E10" s="138" t="str">
        <f>A10&amp;+(COUNTIF(A10:A$109,A10)-1)</f>
        <v>81040</v>
      </c>
      <c r="F10" s="105" t="s">
        <v>185</v>
      </c>
      <c r="G10" s="162" t="s">
        <v>196</v>
      </c>
      <c r="H10" s="162" t="s">
        <v>320</v>
      </c>
    </row>
    <row r="11" spans="1:8" x14ac:dyDescent="0.15">
      <c r="A11" s="105">
        <v>8111</v>
      </c>
      <c r="B11" s="138" t="str">
        <f>VLOOKUP(A11,[1]characters!$A:$C,3,FALSE)</f>
        <v>福德正神</v>
      </c>
      <c r="C11" s="105" t="s">
        <v>195</v>
      </c>
      <c r="D11" s="138" t="str">
        <f t="shared" ref="D11" si="2">A11&amp;C11</f>
        <v>8111skill</v>
      </c>
      <c r="E11" s="138" t="str">
        <f>A11&amp;+(COUNTIF(A11:A$109,A11)-1)</f>
        <v>81113</v>
      </c>
      <c r="F11" s="105" t="s">
        <v>197</v>
      </c>
      <c r="G11" s="162" t="s">
        <v>315</v>
      </c>
      <c r="H11" s="162" t="s">
        <v>321</v>
      </c>
    </row>
    <row r="12" spans="1:8" x14ac:dyDescent="0.15">
      <c r="A12" s="105">
        <v>8111</v>
      </c>
      <c r="B12" s="138" t="str">
        <f>VLOOKUP(A12,[1]characters!$A:$C,3,FALSE)</f>
        <v>福德正神</v>
      </c>
      <c r="C12" s="105" t="s">
        <v>198</v>
      </c>
      <c r="D12" s="138" t="str">
        <f>A12&amp;C12</f>
        <v>8111cskill</v>
      </c>
      <c r="E12" s="138" t="str">
        <f>A12&amp;+(COUNTIF(A12:A$109,A12)-1)</f>
        <v>81112</v>
      </c>
      <c r="F12" s="105" t="s">
        <v>186</v>
      </c>
      <c r="G12" s="162" t="s">
        <v>196</v>
      </c>
      <c r="H12" s="162" t="s">
        <v>318</v>
      </c>
    </row>
    <row r="13" spans="1:8" x14ac:dyDescent="0.15">
      <c r="A13" s="105">
        <v>8111</v>
      </c>
      <c r="B13" s="138" t="str">
        <f>VLOOKUP(A13,[1]characters!$A:$C,3,FALSE)</f>
        <v>福德正神</v>
      </c>
      <c r="C13" s="105" t="s">
        <v>198</v>
      </c>
      <c r="D13" s="138" t="str">
        <f>A13&amp;C13</f>
        <v>8111cskill</v>
      </c>
      <c r="E13" s="138" t="str">
        <f>A13&amp;+(COUNTIF(A13:A$109,A13)-1)</f>
        <v>81111</v>
      </c>
      <c r="F13" s="105" t="s">
        <v>186</v>
      </c>
      <c r="G13" s="162" t="s">
        <v>315</v>
      </c>
      <c r="H13" s="162" t="s">
        <v>316</v>
      </c>
    </row>
    <row r="14" spans="1:8" x14ac:dyDescent="0.15">
      <c r="A14" s="105">
        <v>8111</v>
      </c>
      <c r="B14" s="138" t="str">
        <f>VLOOKUP(A14,[1]characters!$A:$C,3,FALSE)</f>
        <v>福德正神</v>
      </c>
      <c r="C14" s="105" t="s">
        <v>198</v>
      </c>
      <c r="D14" s="138" t="str">
        <f>A14&amp;C14</f>
        <v>8111cskill</v>
      </c>
      <c r="E14" s="138" t="str">
        <f>A14&amp;+(COUNTIF(A14:A$109,A14)-1)</f>
        <v>81110</v>
      </c>
      <c r="F14" s="105" t="s">
        <v>197</v>
      </c>
      <c r="G14" s="162" t="s">
        <v>315</v>
      </c>
      <c r="H14" s="162" t="s">
        <v>317</v>
      </c>
    </row>
    <row r="15" spans="1:8" x14ac:dyDescent="0.15">
      <c r="A15" s="105">
        <v>8112</v>
      </c>
      <c r="B15" s="138" t="str">
        <f>VLOOKUP(A15,[1]characters!$A:$C,3,FALSE)</f>
        <v>福德正神★６</v>
      </c>
      <c r="C15" s="105" t="s">
        <v>195</v>
      </c>
      <c r="D15" s="138" t="str">
        <f t="shared" ref="D15" si="3">A15&amp;C15</f>
        <v>8112skill</v>
      </c>
      <c r="E15" s="138" t="str">
        <f>A15&amp;+(COUNTIF(A15:A$109,A15)-1)</f>
        <v>81124</v>
      </c>
      <c r="F15" s="105" t="s">
        <v>186</v>
      </c>
      <c r="G15" s="162" t="s">
        <v>315</v>
      </c>
      <c r="H15" s="162" t="s">
        <v>321</v>
      </c>
    </row>
    <row r="16" spans="1:8" x14ac:dyDescent="0.15">
      <c r="A16" s="105">
        <v>8112</v>
      </c>
      <c r="B16" s="138" t="str">
        <f>VLOOKUP(A16,[1]characters!$A:$C,3,FALSE)</f>
        <v>福德正神★６</v>
      </c>
      <c r="C16" s="105" t="s">
        <v>198</v>
      </c>
      <c r="D16" s="138" t="str">
        <f>A16&amp;C16</f>
        <v>8112cskill</v>
      </c>
      <c r="E16" s="138" t="str">
        <f>A16&amp;+(COUNTIF(A16:A$109,A16)-1)</f>
        <v>81123</v>
      </c>
      <c r="F16" s="105" t="s">
        <v>186</v>
      </c>
      <c r="G16" s="162" t="s">
        <v>196</v>
      </c>
      <c r="H16" s="162" t="s">
        <v>318</v>
      </c>
    </row>
    <row r="17" spans="1:8" x14ac:dyDescent="0.15">
      <c r="A17" s="105">
        <v>8112</v>
      </c>
      <c r="B17" s="138" t="str">
        <f>VLOOKUP(A17,[1]characters!$A:$C,3,FALSE)</f>
        <v>福德正神★６</v>
      </c>
      <c r="C17" s="105" t="s">
        <v>198</v>
      </c>
      <c r="D17" s="138" t="str">
        <f>A17&amp;C17</f>
        <v>8112cskill</v>
      </c>
      <c r="E17" s="138" t="str">
        <f>A17&amp;+(COUNTIF(A17:A$109,A17)-1)</f>
        <v>81122</v>
      </c>
      <c r="F17" s="105" t="s">
        <v>186</v>
      </c>
      <c r="G17" s="162" t="s">
        <v>315</v>
      </c>
      <c r="H17" s="162" t="s">
        <v>316</v>
      </c>
    </row>
    <row r="18" spans="1:8" x14ac:dyDescent="0.15">
      <c r="A18" s="105">
        <v>8112</v>
      </c>
      <c r="B18" s="138" t="str">
        <f>VLOOKUP(A18,[1]characters!$A:$C,3,FALSE)</f>
        <v>福德正神★６</v>
      </c>
      <c r="C18" s="105" t="s">
        <v>198</v>
      </c>
      <c r="D18" s="138" t="str">
        <f>A18&amp;C18</f>
        <v>8112cskill</v>
      </c>
      <c r="E18" s="138" t="str">
        <f>A18&amp;+(COUNTIF(A18:A$109,A18)-1)</f>
        <v>81121</v>
      </c>
      <c r="F18" s="105" t="s">
        <v>186</v>
      </c>
      <c r="G18" s="162" t="s">
        <v>315</v>
      </c>
      <c r="H18" s="162" t="s">
        <v>317</v>
      </c>
    </row>
    <row r="19" spans="1:8" x14ac:dyDescent="0.15">
      <c r="A19" s="105">
        <v>8112</v>
      </c>
      <c r="B19" s="138" t="str">
        <f>VLOOKUP(A19,[1]characters!$A:$C,3,FALSE)</f>
        <v>福德正神★６</v>
      </c>
      <c r="C19" s="105" t="s">
        <v>198</v>
      </c>
      <c r="D19" s="138" t="str">
        <f>A19&amp;C19</f>
        <v>8112cskill</v>
      </c>
      <c r="E19" s="138" t="str">
        <f>A19&amp;+(COUNTIF(A19:A$109,A19)-1)</f>
        <v>81120</v>
      </c>
      <c r="F19" s="105" t="s">
        <v>186</v>
      </c>
      <c r="G19" s="162" t="s">
        <v>196</v>
      </c>
      <c r="H19" s="162" t="s">
        <v>320</v>
      </c>
    </row>
    <row r="20" spans="1:8" x14ac:dyDescent="0.15">
      <c r="A20" s="105">
        <v>8115</v>
      </c>
      <c r="B20" s="138" t="str">
        <f>VLOOKUP(A20,[1]characters!$A:$C,3,FALSE)</f>
        <v>贏政</v>
      </c>
      <c r="C20" s="105" t="s">
        <v>195</v>
      </c>
      <c r="D20" s="138" t="str">
        <f t="shared" ref="D20" si="4">A20&amp;C20</f>
        <v>8115skill</v>
      </c>
      <c r="E20" s="138" t="str">
        <f>A20&amp;+(COUNTIF(A20:A$109,A20)-1)</f>
        <v>81153</v>
      </c>
      <c r="F20" s="105" t="s">
        <v>185</v>
      </c>
      <c r="G20" s="162" t="s">
        <v>315</v>
      </c>
      <c r="H20" s="162" t="s">
        <v>321</v>
      </c>
    </row>
    <row r="21" spans="1:8" x14ac:dyDescent="0.15">
      <c r="A21" s="105">
        <v>8115</v>
      </c>
      <c r="B21" s="138" t="str">
        <f>VLOOKUP(A21,[1]characters!$A:$C,3,FALSE)</f>
        <v>贏政</v>
      </c>
      <c r="C21" s="105" t="s">
        <v>198</v>
      </c>
      <c r="D21" s="138" t="str">
        <f>A21&amp;C21</f>
        <v>8115cskill</v>
      </c>
      <c r="E21" s="138" t="str">
        <f>A21&amp;+(COUNTIF(A21:A$109,A21)-1)</f>
        <v>81152</v>
      </c>
      <c r="F21" s="105" t="s">
        <v>185</v>
      </c>
      <c r="G21" s="162" t="s">
        <v>196</v>
      </c>
      <c r="H21" s="162" t="s">
        <v>318</v>
      </c>
    </row>
    <row r="22" spans="1:8" x14ac:dyDescent="0.15">
      <c r="A22" s="105">
        <v>8115</v>
      </c>
      <c r="B22" s="138" t="str">
        <f>VLOOKUP(A22,[1]characters!$A:$C,3,FALSE)</f>
        <v>贏政</v>
      </c>
      <c r="C22" s="105" t="s">
        <v>198</v>
      </c>
      <c r="D22" s="138" t="str">
        <f>A22&amp;C22</f>
        <v>8115cskill</v>
      </c>
      <c r="E22" s="138" t="str">
        <f>A22&amp;+(COUNTIF(A22:A$109,A22)-1)</f>
        <v>81151</v>
      </c>
      <c r="F22" s="105" t="s">
        <v>185</v>
      </c>
      <c r="G22" s="162" t="s">
        <v>315</v>
      </c>
      <c r="H22" s="162" t="s">
        <v>316</v>
      </c>
    </row>
    <row r="23" spans="1:8" x14ac:dyDescent="0.15">
      <c r="A23" s="105">
        <v>8115</v>
      </c>
      <c r="B23" s="138" t="str">
        <f>VLOOKUP(A23,[1]characters!$A:$C,3,FALSE)</f>
        <v>贏政</v>
      </c>
      <c r="C23" s="105" t="s">
        <v>198</v>
      </c>
      <c r="D23" s="138" t="str">
        <f>A23&amp;C23</f>
        <v>8115cskill</v>
      </c>
      <c r="E23" s="138" t="str">
        <f>A23&amp;+(COUNTIF(A23:A$109,A23)-1)</f>
        <v>81150</v>
      </c>
      <c r="F23" s="105" t="s">
        <v>185</v>
      </c>
      <c r="G23" s="162" t="s">
        <v>315</v>
      </c>
      <c r="H23" s="162" t="s">
        <v>317</v>
      </c>
    </row>
    <row r="24" spans="1:8" x14ac:dyDescent="0.15">
      <c r="A24" s="105">
        <v>8116</v>
      </c>
      <c r="B24" s="138" t="str">
        <f>VLOOKUP(A24,[1]characters!$A:$C,3,FALSE)</f>
        <v>贏政★６</v>
      </c>
      <c r="C24" s="105" t="s">
        <v>195</v>
      </c>
      <c r="D24" s="138" t="str">
        <f t="shared" ref="D24" si="5">A24&amp;C24</f>
        <v>8116skill</v>
      </c>
      <c r="E24" s="138" t="str">
        <f>A24&amp;+(COUNTIF(A24:A$109,A24)-1)</f>
        <v>81164</v>
      </c>
      <c r="F24" s="105" t="s">
        <v>185</v>
      </c>
      <c r="G24" s="162" t="s">
        <v>315</v>
      </c>
      <c r="H24" s="162" t="s">
        <v>321</v>
      </c>
    </row>
    <row r="25" spans="1:8" x14ac:dyDescent="0.15">
      <c r="A25" s="105">
        <v>8116</v>
      </c>
      <c r="B25" s="138" t="str">
        <f>VLOOKUP(A25,[1]characters!$A:$C,3,FALSE)</f>
        <v>贏政★６</v>
      </c>
      <c r="C25" s="105" t="s">
        <v>198</v>
      </c>
      <c r="D25" s="138" t="str">
        <f>A25&amp;C25</f>
        <v>8116cskill</v>
      </c>
      <c r="E25" s="138" t="str">
        <f>A25&amp;+(COUNTIF(A25:A$109,A25)-1)</f>
        <v>81163</v>
      </c>
      <c r="F25" s="105" t="s">
        <v>185</v>
      </c>
      <c r="G25" s="162" t="s">
        <v>196</v>
      </c>
      <c r="H25" s="162" t="s">
        <v>318</v>
      </c>
    </row>
    <row r="26" spans="1:8" x14ac:dyDescent="0.15">
      <c r="A26" s="105">
        <v>8116</v>
      </c>
      <c r="B26" s="138" t="str">
        <f>VLOOKUP(A26,[1]characters!$A:$C,3,FALSE)</f>
        <v>贏政★６</v>
      </c>
      <c r="C26" s="105" t="s">
        <v>198</v>
      </c>
      <c r="D26" s="138" t="str">
        <f>A26&amp;C26</f>
        <v>8116cskill</v>
      </c>
      <c r="E26" s="138" t="str">
        <f>A26&amp;+(COUNTIF(A26:A$109,A26)-1)</f>
        <v>81162</v>
      </c>
      <c r="F26" s="105" t="s">
        <v>185</v>
      </c>
      <c r="G26" s="162" t="s">
        <v>315</v>
      </c>
      <c r="H26" s="162" t="s">
        <v>316</v>
      </c>
    </row>
    <row r="27" spans="1:8" x14ac:dyDescent="0.15">
      <c r="A27" s="105">
        <v>8116</v>
      </c>
      <c r="B27" s="138" t="str">
        <f>VLOOKUP(A27,[1]characters!$A:$C,3,FALSE)</f>
        <v>贏政★６</v>
      </c>
      <c r="C27" s="105" t="s">
        <v>198</v>
      </c>
      <c r="D27" s="138" t="str">
        <f>A27&amp;C27</f>
        <v>8116cskill</v>
      </c>
      <c r="E27" s="138" t="str">
        <f>A27&amp;+(COUNTIF(A27:A$109,A27)-1)</f>
        <v>81161</v>
      </c>
      <c r="F27" s="105" t="s">
        <v>185</v>
      </c>
      <c r="G27" s="162" t="s">
        <v>315</v>
      </c>
      <c r="H27" s="162" t="s">
        <v>317</v>
      </c>
    </row>
    <row r="28" spans="1:8" x14ac:dyDescent="0.15">
      <c r="A28" s="105">
        <v>8116</v>
      </c>
      <c r="B28" s="138" t="str">
        <f>VLOOKUP(A28,[1]characters!$A:$C,3,FALSE)</f>
        <v>贏政★６</v>
      </c>
      <c r="C28" s="105" t="s">
        <v>198</v>
      </c>
      <c r="D28" s="138" t="str">
        <f>A28&amp;C28</f>
        <v>8116cskill</v>
      </c>
      <c r="E28" s="138" t="str">
        <f>A28&amp;+(COUNTIF(A28:A$109,A28)-1)</f>
        <v>81160</v>
      </c>
      <c r="F28" s="105" t="s">
        <v>185</v>
      </c>
      <c r="G28" s="162" t="s">
        <v>196</v>
      </c>
      <c r="H28" s="162" t="s">
        <v>320</v>
      </c>
    </row>
    <row r="29" spans="1:8" x14ac:dyDescent="0.15">
      <c r="A29" s="105">
        <v>8121</v>
      </c>
      <c r="B29" s="138" t="str">
        <f>VLOOKUP(A29,[1]characters!$A:$C,3,FALSE)</f>
        <v>法海</v>
      </c>
      <c r="C29" s="105" t="s">
        <v>195</v>
      </c>
      <c r="D29" s="138" t="str">
        <f t="shared" ref="D29" si="6">A29&amp;C29</f>
        <v>8121skill</v>
      </c>
      <c r="E29" s="138" t="str">
        <f>A29&amp;+(COUNTIF(A29:A$109,A29)-1)</f>
        <v>81213</v>
      </c>
      <c r="F29" s="105" t="s">
        <v>185</v>
      </c>
      <c r="G29" s="162" t="s">
        <v>315</v>
      </c>
      <c r="H29" s="162" t="s">
        <v>321</v>
      </c>
    </row>
    <row r="30" spans="1:8" x14ac:dyDescent="0.15">
      <c r="A30" s="105">
        <v>8121</v>
      </c>
      <c r="B30" s="138" t="str">
        <f>VLOOKUP(A30,[1]characters!$A:$C,3,FALSE)</f>
        <v>法海</v>
      </c>
      <c r="C30" s="105" t="s">
        <v>198</v>
      </c>
      <c r="D30" s="138" t="str">
        <f>A30&amp;C30</f>
        <v>8121cskill</v>
      </c>
      <c r="E30" s="138" t="str">
        <f>A30&amp;+(COUNTIF(A30:A$109,A30)-1)</f>
        <v>81212</v>
      </c>
      <c r="F30" s="105" t="s">
        <v>185</v>
      </c>
      <c r="G30" s="162" t="s">
        <v>196</v>
      </c>
      <c r="H30" s="162" t="s">
        <v>318</v>
      </c>
    </row>
    <row r="31" spans="1:8" x14ac:dyDescent="0.15">
      <c r="A31" s="105">
        <v>8121</v>
      </c>
      <c r="B31" s="138" t="str">
        <f>VLOOKUP(A31,[1]characters!$A:$C,3,FALSE)</f>
        <v>法海</v>
      </c>
      <c r="C31" s="105" t="s">
        <v>198</v>
      </c>
      <c r="D31" s="138" t="str">
        <f>A31&amp;C31</f>
        <v>8121cskill</v>
      </c>
      <c r="E31" s="138" t="str">
        <f>A31&amp;+(COUNTIF(A31:A$109,A31)-1)</f>
        <v>81211</v>
      </c>
      <c r="F31" s="105" t="s">
        <v>185</v>
      </c>
      <c r="G31" s="162" t="s">
        <v>315</v>
      </c>
      <c r="H31" s="162" t="s">
        <v>316</v>
      </c>
    </row>
    <row r="32" spans="1:8" x14ac:dyDescent="0.15">
      <c r="A32" s="105">
        <v>8121</v>
      </c>
      <c r="B32" s="138" t="str">
        <f>VLOOKUP(A32,[1]characters!$A:$C,3,FALSE)</f>
        <v>法海</v>
      </c>
      <c r="C32" s="105" t="s">
        <v>198</v>
      </c>
      <c r="D32" s="138" t="str">
        <f>A32&amp;C32</f>
        <v>8121cskill</v>
      </c>
      <c r="E32" s="138" t="str">
        <f>A32&amp;+(COUNTIF(A32:A$109,A32)-1)</f>
        <v>81210</v>
      </c>
      <c r="F32" s="105" t="s">
        <v>185</v>
      </c>
      <c r="G32" s="162" t="s">
        <v>315</v>
      </c>
      <c r="H32" s="162" t="s">
        <v>317</v>
      </c>
    </row>
    <row r="33" spans="1:8" x14ac:dyDescent="0.15">
      <c r="A33" s="105">
        <v>8122</v>
      </c>
      <c r="B33" s="138" t="str">
        <f>VLOOKUP(A33,[1]characters!$A:$C,3,FALSE)</f>
        <v>法海★６</v>
      </c>
      <c r="C33" s="105" t="s">
        <v>195</v>
      </c>
      <c r="D33" s="138" t="str">
        <f t="shared" ref="D33" si="7">A33&amp;C33</f>
        <v>8122skill</v>
      </c>
      <c r="E33" s="138" t="str">
        <f>A33&amp;+(COUNTIF(A33:A$109,A33)-1)</f>
        <v>81224</v>
      </c>
      <c r="F33" s="105" t="s">
        <v>185</v>
      </c>
      <c r="G33" s="162" t="s">
        <v>315</v>
      </c>
      <c r="H33" s="162" t="s">
        <v>321</v>
      </c>
    </row>
    <row r="34" spans="1:8" x14ac:dyDescent="0.15">
      <c r="A34" s="105">
        <v>8122</v>
      </c>
      <c r="B34" s="138" t="str">
        <f>VLOOKUP(A34,[1]characters!$A:$C,3,FALSE)</f>
        <v>法海★６</v>
      </c>
      <c r="C34" s="105" t="s">
        <v>198</v>
      </c>
      <c r="D34" s="138" t="str">
        <f>A34&amp;C34</f>
        <v>8122cskill</v>
      </c>
      <c r="E34" s="138" t="str">
        <f>A34&amp;+(COUNTIF(A34:A$109,A34)-1)</f>
        <v>81223</v>
      </c>
      <c r="F34" s="105" t="s">
        <v>185</v>
      </c>
      <c r="G34" s="162" t="s">
        <v>196</v>
      </c>
      <c r="H34" s="162" t="s">
        <v>318</v>
      </c>
    </row>
    <row r="35" spans="1:8" x14ac:dyDescent="0.15">
      <c r="A35" s="105">
        <v>8122</v>
      </c>
      <c r="B35" s="138" t="str">
        <f>VLOOKUP(A35,[1]characters!$A:$C,3,FALSE)</f>
        <v>法海★６</v>
      </c>
      <c r="C35" s="105" t="s">
        <v>198</v>
      </c>
      <c r="D35" s="138" t="str">
        <f>A35&amp;C35</f>
        <v>8122cskill</v>
      </c>
      <c r="E35" s="138" t="str">
        <f>A35&amp;+(COUNTIF(A35:A$109,A35)-1)</f>
        <v>81222</v>
      </c>
      <c r="F35" s="105" t="s">
        <v>185</v>
      </c>
      <c r="G35" s="162" t="s">
        <v>315</v>
      </c>
      <c r="H35" s="162" t="s">
        <v>316</v>
      </c>
    </row>
    <row r="36" spans="1:8" x14ac:dyDescent="0.15">
      <c r="A36" s="105">
        <v>8122</v>
      </c>
      <c r="B36" s="138" t="str">
        <f>VLOOKUP(A36,[1]characters!$A:$C,3,FALSE)</f>
        <v>法海★６</v>
      </c>
      <c r="C36" s="105" t="s">
        <v>198</v>
      </c>
      <c r="D36" s="138" t="str">
        <f>A36&amp;C36</f>
        <v>8122cskill</v>
      </c>
      <c r="E36" s="138" t="str">
        <f>A36&amp;+(COUNTIF(A36:A$109,A36)-1)</f>
        <v>81221</v>
      </c>
      <c r="F36" s="105" t="s">
        <v>185</v>
      </c>
      <c r="G36" s="162" t="s">
        <v>315</v>
      </c>
      <c r="H36" s="162" t="s">
        <v>317</v>
      </c>
    </row>
    <row r="37" spans="1:8" x14ac:dyDescent="0.15">
      <c r="A37" s="105">
        <v>8122</v>
      </c>
      <c r="B37" s="138" t="str">
        <f>VLOOKUP(A37,[1]characters!$A:$C,3,FALSE)</f>
        <v>法海★６</v>
      </c>
      <c r="C37" s="105" t="s">
        <v>198</v>
      </c>
      <c r="D37" s="138" t="str">
        <f>A37&amp;C37</f>
        <v>8122cskill</v>
      </c>
      <c r="E37" s="138" t="str">
        <f>A37&amp;+(COUNTIF(A37:A$109,A37)-1)</f>
        <v>81220</v>
      </c>
      <c r="F37" s="105" t="s">
        <v>185</v>
      </c>
      <c r="G37" s="162" t="s">
        <v>196</v>
      </c>
      <c r="H37" s="162" t="s">
        <v>320</v>
      </c>
    </row>
    <row r="38" spans="1:8" x14ac:dyDescent="0.15">
      <c r="A38" s="105">
        <v>8105</v>
      </c>
      <c r="B38" s="138" t="str">
        <f>VLOOKUP(A38,[1]characters!$A:$C,3,FALSE)</f>
        <v>曹國舅</v>
      </c>
      <c r="C38" s="105" t="s">
        <v>195</v>
      </c>
      <c r="D38" s="138" t="str">
        <f t="shared" ref="D38" si="8">A38&amp;C38</f>
        <v>8105skill</v>
      </c>
      <c r="E38" s="138" t="str">
        <f>A38&amp;+(COUNTIF(A38:A$109,A38)-1)</f>
        <v>81053</v>
      </c>
      <c r="F38" s="105" t="s">
        <v>185</v>
      </c>
      <c r="G38" s="162" t="s">
        <v>315</v>
      </c>
      <c r="H38" s="162" t="s">
        <v>321</v>
      </c>
    </row>
    <row r="39" spans="1:8" x14ac:dyDescent="0.15">
      <c r="A39" s="105">
        <v>8105</v>
      </c>
      <c r="B39" s="138" t="str">
        <f>VLOOKUP(A39,[1]characters!$A:$C,3,FALSE)</f>
        <v>曹國舅</v>
      </c>
      <c r="C39" s="105" t="s">
        <v>198</v>
      </c>
      <c r="D39" s="138" t="str">
        <f>A39&amp;C39</f>
        <v>8105cskill</v>
      </c>
      <c r="E39" s="138" t="str">
        <f>A39&amp;+(COUNTIF(A39:A$109,A39)-1)</f>
        <v>81052</v>
      </c>
      <c r="F39" s="105" t="s">
        <v>185</v>
      </c>
      <c r="G39" s="162" t="s">
        <v>196</v>
      </c>
      <c r="H39" s="162" t="s">
        <v>318</v>
      </c>
    </row>
    <row r="40" spans="1:8" x14ac:dyDescent="0.15">
      <c r="A40" s="105">
        <v>8105</v>
      </c>
      <c r="B40" s="138" t="str">
        <f>VLOOKUP(A40,[1]characters!$A:$C,3,FALSE)</f>
        <v>曹國舅</v>
      </c>
      <c r="C40" s="105" t="s">
        <v>198</v>
      </c>
      <c r="D40" s="138" t="str">
        <f>A40&amp;C40</f>
        <v>8105cskill</v>
      </c>
      <c r="E40" s="138" t="str">
        <f>A40&amp;+(COUNTIF(A40:A$109,A40)-1)</f>
        <v>81051</v>
      </c>
      <c r="F40" s="105" t="s">
        <v>185</v>
      </c>
      <c r="G40" s="162" t="s">
        <v>315</v>
      </c>
      <c r="H40" s="162" t="s">
        <v>316</v>
      </c>
    </row>
    <row r="41" spans="1:8" x14ac:dyDescent="0.15">
      <c r="A41" s="105">
        <v>8105</v>
      </c>
      <c r="B41" s="138" t="str">
        <f>VLOOKUP(A41,[1]characters!$A:$C,3,FALSE)</f>
        <v>曹國舅</v>
      </c>
      <c r="C41" s="105" t="s">
        <v>198</v>
      </c>
      <c r="D41" s="138" t="str">
        <f>A41&amp;C41</f>
        <v>8105cskill</v>
      </c>
      <c r="E41" s="138" t="str">
        <f>A41&amp;+(COUNTIF(A41:A$109,A41)-1)</f>
        <v>81050</v>
      </c>
      <c r="F41" s="105" t="s">
        <v>185</v>
      </c>
      <c r="G41" s="162" t="s">
        <v>315</v>
      </c>
      <c r="H41" s="162" t="s">
        <v>317</v>
      </c>
    </row>
    <row r="42" spans="1:8" x14ac:dyDescent="0.15">
      <c r="A42" s="105">
        <v>8106</v>
      </c>
      <c r="B42" s="138" t="str">
        <f>VLOOKUP(A42,[1]characters!$A:$C,3,FALSE)</f>
        <v>曹國舅★６</v>
      </c>
      <c r="C42" s="105" t="s">
        <v>195</v>
      </c>
      <c r="D42" s="138" t="str">
        <f t="shared" ref="D42" si="9">A42&amp;C42</f>
        <v>8106skill</v>
      </c>
      <c r="E42" s="138" t="str">
        <f>A42&amp;+(COUNTIF(A42:A$109,A42)-1)</f>
        <v>81064</v>
      </c>
      <c r="F42" s="105" t="s">
        <v>185</v>
      </c>
      <c r="G42" s="162" t="s">
        <v>315</v>
      </c>
      <c r="H42" s="162" t="s">
        <v>321</v>
      </c>
    </row>
    <row r="43" spans="1:8" x14ac:dyDescent="0.15">
      <c r="A43" s="105">
        <v>8106</v>
      </c>
      <c r="B43" s="138" t="str">
        <f>VLOOKUP(A43,[1]characters!$A:$C,3,FALSE)</f>
        <v>曹國舅★６</v>
      </c>
      <c r="C43" s="105" t="s">
        <v>198</v>
      </c>
      <c r="D43" s="138" t="str">
        <f>A43&amp;C43</f>
        <v>8106cskill</v>
      </c>
      <c r="E43" s="138" t="str">
        <f>A43&amp;+(COUNTIF(A43:A$109,A43)-1)</f>
        <v>81063</v>
      </c>
      <c r="F43" s="105" t="s">
        <v>185</v>
      </c>
      <c r="G43" s="162" t="s">
        <v>196</v>
      </c>
      <c r="H43" s="162" t="s">
        <v>318</v>
      </c>
    </row>
    <row r="44" spans="1:8" x14ac:dyDescent="0.15">
      <c r="A44" s="105">
        <v>8106</v>
      </c>
      <c r="B44" s="138" t="str">
        <f>VLOOKUP(A44,[1]characters!$A:$C,3,FALSE)</f>
        <v>曹國舅★６</v>
      </c>
      <c r="C44" s="105" t="s">
        <v>198</v>
      </c>
      <c r="D44" s="138" t="str">
        <f>A44&amp;C44</f>
        <v>8106cskill</v>
      </c>
      <c r="E44" s="138" t="str">
        <f>A44&amp;+(COUNTIF(A44:A$109,A44)-1)</f>
        <v>81062</v>
      </c>
      <c r="F44" s="105" t="s">
        <v>185</v>
      </c>
      <c r="G44" s="162" t="s">
        <v>315</v>
      </c>
      <c r="H44" s="162" t="s">
        <v>316</v>
      </c>
    </row>
    <row r="45" spans="1:8" x14ac:dyDescent="0.15">
      <c r="A45" s="105">
        <v>8106</v>
      </c>
      <c r="B45" s="138" t="str">
        <f>VLOOKUP(A45,[1]characters!$A:$C,3,FALSE)</f>
        <v>曹國舅★６</v>
      </c>
      <c r="C45" s="105" t="s">
        <v>198</v>
      </c>
      <c r="D45" s="138" t="str">
        <f>A45&amp;C45</f>
        <v>8106cskill</v>
      </c>
      <c r="E45" s="138" t="str">
        <f>A45&amp;+(COUNTIF(A45:A$109,A45)-1)</f>
        <v>81061</v>
      </c>
      <c r="F45" s="105" t="s">
        <v>185</v>
      </c>
      <c r="G45" s="162" t="s">
        <v>315</v>
      </c>
      <c r="H45" s="162" t="s">
        <v>317</v>
      </c>
    </row>
    <row r="46" spans="1:8" x14ac:dyDescent="0.15">
      <c r="A46" s="105">
        <v>8106</v>
      </c>
      <c r="B46" s="138" t="str">
        <f>VLOOKUP(A46,[1]characters!$A:$C,3,FALSE)</f>
        <v>曹國舅★６</v>
      </c>
      <c r="C46" s="105" t="s">
        <v>198</v>
      </c>
      <c r="D46" s="138" t="str">
        <f>A46&amp;C46</f>
        <v>8106cskill</v>
      </c>
      <c r="E46" s="138" t="str">
        <f>A46&amp;+(COUNTIF(A46:A$109,A46)-1)</f>
        <v>81060</v>
      </c>
      <c r="F46" s="105" t="s">
        <v>185</v>
      </c>
      <c r="G46" s="162" t="s">
        <v>196</v>
      </c>
      <c r="H46" s="162" t="s">
        <v>320</v>
      </c>
    </row>
  </sheetData>
  <phoneticPr fontId="22"/>
  <dataValidations count="2">
    <dataValidation type="list" allowBlank="1" showInputMessage="1" showErrorMessage="1" sqref="G2:G46">
      <formula1>"maru,giza,kumo"</formula1>
    </dataValidation>
    <dataValidation type="list" allowBlank="1" showInputMessage="1" showErrorMessage="1" sqref="C2:C46">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6"/>
  <sheetViews>
    <sheetView showGridLines="0" workbookViewId="0">
      <pane xSplit="9" ySplit="1" topLeftCell="P2" activePane="bottomRight" state="frozen"/>
      <selection pane="topRight" activeCell="J1" sqref="J1"/>
      <selection pane="bottomLeft" activeCell="A3" sqref="A3"/>
      <selection pane="bottomRight" activeCell="P5" sqref="P5"/>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1">
        <v>8103</v>
      </c>
      <c r="B2" s="53" t="str">
        <f ca="1">VLOOKUP($A2,OFFSET([1]characters!$A$1,0,0,COUNTA([1]characters!$A:$A),MATCH(B$1,[1]characters!$1:$1,0)-MATCH($A$1,[1]characters!$1:$1,0)+1),MATCH(B$1,[1]characters!$1:$1,0)-MATCH($A$1,[1]characters!$1:$1,0)+1,FALSE)</f>
        <v>李鐵拐</v>
      </c>
      <c r="C2" s="53" t="str">
        <f ca="1">VLOOKUP($A2,OFFSET([1]characters!$A$1,0,0,COUNTA([1]characters!$A:$A),MATCH(C$1,[1]characters!$1:$1,0)-MATCH($A$1,[1]characters!$1:$1,0)+1),MATCH(C$1,[1]characters!$1:$1,0)-MATCH($A$1,[1]characters!$1:$1,0)+1,FALSE)</f>
        <v>ポムポムプリン</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女性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PremiumSSw</v>
      </c>
      <c r="I2" s="53" t="str">
        <f ca="1">VLOOKUP($A2,OFFSET([1]characters!$A$1,0,0,COUNTA([1]characters!$A:$A),MATCH(I$1,[1]characters!$1:$1,0)-MATCH($A$1,[1]characters!$1:$1,0)+1),MATCH(I$1,[1]characters!$1:$1,0)-MATCH($A$1,[1]characters!$1:$1,0)+1,FALSE)</f>
        <v>red</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8104</v>
      </c>
      <c r="R2" s="58" t="str">
        <f ca="1">IF(Q2="NULL","",VLOOKUP($Q2,OFFSET([1]characters!$A$1,0,0,COUNTA([1]characters!$A:$A),MATCH(R$1,[1]characters!$1:$1,0)-MATCH($A$1,[1]characters!$1:$1,0)+1),MATCH(R$1,[1]characters!$1:$1,0)-MATCH($A$1,[1]characters!$1:$1,0)+1,FALSE))</f>
        <v>李鐵拐★６</v>
      </c>
      <c r="S2" s="5">
        <f ca="1">IF(ISNA(MATCH(A2,Q:Q,0)),A2,INDIRECT(ADDRESS(MATCH(A2,Q:Q,0),COLUMN())))</f>
        <v>8103</v>
      </c>
      <c r="T2" s="58" t="str">
        <f ca="1">VLOOKUP($S2,OFFSET([1]characters!$A$1,0,0,COUNTA([1]characters!$A:$A),MATCH(T$1,[1]characters!$1:$1,0)-MATCH($A$1,[1]characters!$1:$1,0)+1),MATCH(T$1,[1]characters!$1:$1,0)-MATCH($A$1,[1]characters!$1:$1,0)+1,FALSE)</f>
        <v>李鐵拐</v>
      </c>
      <c r="U2" s="10">
        <f ca="1">IF(Q2="NULL","NULL",VLOOKUP(G2,[3]ビット!$A$2:$B$7,2))</f>
        <v>200000</v>
      </c>
    </row>
    <row r="3" spans="1:21" ht="21" customHeight="1" x14ac:dyDescent="0.15">
      <c r="A3" s="191">
        <v>8111</v>
      </c>
      <c r="B3" s="53" t="str">
        <f ca="1">VLOOKUP($A3,OFFSET([1]characters!$A$1,0,0,COUNTA([1]characters!$A:$A),MATCH(B$1,[1]characters!$1:$1,0)-MATCH($A$1,[1]characters!$1:$1,0)+1),MATCH(B$1,[1]characters!$1:$1,0)-MATCH($A$1,[1]characters!$1:$1,0)+1,FALSE)</f>
        <v>福德正神</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blue</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8112</v>
      </c>
      <c r="R3" s="58" t="str">
        <f ca="1">IF(Q3="NULL","",VLOOKUP($Q3,OFFSET([1]characters!$A$1,0,0,COUNTA([1]characters!$A:$A),MATCH(R$1,[1]characters!$1:$1,0)-MATCH($A$1,[1]characters!$1:$1,0)+1),MATCH(R$1,[1]characters!$1:$1,0)-MATCH($A$1,[1]characters!$1:$1,0)+1,FALSE))</f>
        <v>福德正神★６</v>
      </c>
      <c r="S3" s="5">
        <f ca="1">IF(ISNA(MATCH(A3,Q:Q,0)),A3,INDIRECT(ADDRESS(MATCH(A3,Q:Q,0),COLUMN())))</f>
        <v>8111</v>
      </c>
      <c r="T3" s="58" t="str">
        <f ca="1">VLOOKUP($S3,OFFSET([1]characters!$A$1,0,0,COUNTA([1]characters!$A:$A),MATCH(T$1,[1]characters!$1:$1,0)-MATCH($A$1,[1]characters!$1:$1,0)+1),MATCH(T$1,[1]characters!$1:$1,0)-MATCH($A$1,[1]characters!$1:$1,0)+1,FALSE)</f>
        <v>福德正神</v>
      </c>
      <c r="U3" s="10">
        <f ca="1">IF(Q3="NULL","NULL",VLOOKUP(G3,[3]ビット!$A$2:$B$7,2))</f>
        <v>200000</v>
      </c>
    </row>
    <row r="4" spans="1:21" ht="21" customHeight="1" x14ac:dyDescent="0.15">
      <c r="A4" s="191">
        <v>8115</v>
      </c>
      <c r="B4" s="53" t="str">
        <f ca="1">VLOOKUP($A4,OFFSET([1]characters!$A$1,0,0,COUNTA([1]characters!$A:$A),MATCH(B$1,[1]characters!$1:$1,0)-MATCH($A$1,[1]characters!$1:$1,0)+1),MATCH(B$1,[1]characters!$1:$1,0)-MATCH($A$1,[1]characters!$1:$1,0)+1,FALSE)</f>
        <v>贏政</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DropWizSS</v>
      </c>
      <c r="I4" s="53" t="str">
        <f ca="1">VLOOKUP($A4,OFFSET([1]characters!$A$1,0,0,COUNTA([1]characters!$A:$A),MATCH(I$1,[1]characters!$1:$1,0)-MATCH($A$1,[1]characters!$1:$1,0)+1),MATCH(I$1,[1]characters!$1:$1,0)-MATCH($A$1,[1]characters!$1:$1,0)+1,FALSE)</f>
        <v>blue</v>
      </c>
      <c r="J4" s="53" t="str">
        <f ca="1">VLOOKUP($A4,OFFSET([1]characters!$A$1,0,0,COUNTA([1]characters!$A:$A),MATCH(J$1,[1]characters!$1:$1,0)-MATCH($A$1,[1]characters!$1:$1,0)+1),MATCH(J$1,[1]characters!$1:$1,0)-MATCH($A$1,[1]characters!$1:$1,0)+1,FALSE)</f>
        <v>dragon</v>
      </c>
      <c r="K4" s="5" t="str">
        <f ca="1">VLOOKUP(J4,[1]character_tribe_i18n!$A:$H,3,FALSE)</f>
        <v>ドラゴン</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8116</v>
      </c>
      <c r="R4" s="58" t="str">
        <f ca="1">IF(Q4="NULL","",VLOOKUP($Q4,OFFSET([1]characters!$A$1,0,0,COUNTA([1]characters!$A:$A),MATCH(R$1,[1]characters!$1:$1,0)-MATCH($A$1,[1]characters!$1:$1,0)+1),MATCH(R$1,[1]characters!$1:$1,0)-MATCH($A$1,[1]characters!$1:$1,0)+1,FALSE))</f>
        <v>贏政★６</v>
      </c>
      <c r="S4" s="5">
        <f ca="1">IF(ISNA(MATCH(A4,Q:Q,0)),A4,INDIRECT(ADDRESS(MATCH(A4,Q:Q,0),COLUMN())))</f>
        <v>8115</v>
      </c>
      <c r="T4" s="58" t="str">
        <f ca="1">VLOOKUP($S4,OFFSET([1]characters!$A$1,0,0,COUNTA([1]characters!$A:$A),MATCH(T$1,[1]characters!$1:$1,0)-MATCH($A$1,[1]characters!$1:$1,0)+1),MATCH(T$1,[1]characters!$1:$1,0)-MATCH($A$1,[1]characters!$1:$1,0)+1,FALSE)</f>
        <v>贏政</v>
      </c>
      <c r="U4" s="10">
        <f ca="1">IF(Q4="NULL","NULL",VLOOKUP(G4,[3]ビット!$A$2:$B$7,2))</f>
        <v>200000</v>
      </c>
    </row>
    <row r="5" spans="1:21" ht="21" customHeight="1" x14ac:dyDescent="0.15">
      <c r="A5" s="191">
        <v>8121</v>
      </c>
      <c r="B5" s="53" t="str">
        <f ca="1">VLOOKUP($A5,OFFSET([1]characters!$A$1,0,0,COUNTA([1]characters!$A:$A),MATCH(B$1,[1]characters!$1:$1,0)-MATCH($A$1,[1]characters!$1:$1,0)+1),MATCH(B$1,[1]characters!$1:$1,0)-MATCH($A$1,[1]characters!$1:$1,0)+1,FALSE)</f>
        <v>法海</v>
      </c>
      <c r="C5" s="53" t="str">
        <f ca="1">VLOOKUP($A5,OFFSET([1]characters!$A$1,0,0,COUNTA([1]characters!$A:$A),MATCH(C$1,[1]characters!$1:$1,0)-MATCH($A$1,[1]characters!$1:$1,0)+1),MATCH(C$1,[1]characters!$1:$1,0)-MATCH($A$1,[1]characters!$1:$1,0)+1,FALSE)</f>
        <v>ポムポムプリン</v>
      </c>
      <c r="D5" s="53" t="str">
        <f ca="1">VLOOKUP($A5,OFFSET([1]characters!$A$1,0,0,COUNTA([1]characters!$A:$A),MATCH(D$1,[1]characters!$1:$1,0)-MATCH($A$1,[1]characters!$1:$1,0)+1),MATCH(D$1,[1]characters!$1:$1,0)-MATCH($A$1,[1]characters!$1:$1,0)+1,FALSE)</f>
        <v>執行者</v>
      </c>
      <c r="E5" s="53" t="str">
        <f ca="1">VLOOKUP($A5,OFFSET([1]characters!$A$1,0,0,COUNTA([1]characters!$A:$A),MATCH(E$1,[1]characters!$1:$1,0)-MATCH($A$1,[1]characters!$1:$1,0)+1),MATCH(E$1,[1]characters!$1:$1,0)-MATCH($A$1,[1]characters!$1:$1,0)+1,FALSE)</f>
        <v>格好いい</v>
      </c>
      <c r="F5" s="53" t="str">
        <f ca="1">VLOOKUP($A5,OFFSET([1]characters!$A$1,0,0,COUNTA([1]characters!$A:$A),MATCH(F$1,[1]characters!$1:$1,0)-MATCH($A$1,[1]characters!$1:$1,0)+1),MATCH(F$1,[1]characters!$1:$1,0)-MATCH($A$1,[1]characters!$1:$1,0)+1,FALSE)</f>
        <v>女性</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yellow</v>
      </c>
      <c r="J5" s="53" t="str">
        <f ca="1">VLOOKUP($A5,OFFSET([1]characters!$A$1,0,0,COUNTA([1]characters!$A:$A),MATCH(J$1,[1]characters!$1:$1,0)-MATCH($A$1,[1]characters!$1:$1,0)+1),MATCH(J$1,[1]characters!$1:$1,0)-MATCH($A$1,[1]characters!$1:$1,0)+1,FALSE)</f>
        <v>machine</v>
      </c>
      <c r="K5" s="5" t="str">
        <f ca="1">VLOOKUP(J5,[1]character_tribe_i18n!$A:$H,3,FALSE)</f>
        <v>マシン</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8122</v>
      </c>
      <c r="R5" s="58" t="str">
        <f ca="1">IF(Q5="NULL","",VLOOKUP($Q5,OFFSET([1]characters!$A$1,0,0,COUNTA([1]characters!$A:$A),MATCH(R$1,[1]characters!$1:$1,0)-MATCH($A$1,[1]characters!$1:$1,0)+1),MATCH(R$1,[1]characters!$1:$1,0)-MATCH($A$1,[1]characters!$1:$1,0)+1,FALSE))</f>
        <v>法海★６</v>
      </c>
      <c r="S5" s="5">
        <f ca="1">IF(ISNA(MATCH(A5,Q:Q,0)),A5,INDIRECT(ADDRESS(MATCH(A5,Q:Q,0),COLUMN())))</f>
        <v>8121</v>
      </c>
      <c r="T5" s="58" t="str">
        <f ca="1">VLOOKUP($S5,OFFSET([1]characters!$A$1,0,0,COUNTA([1]characters!$A:$A),MATCH(T$1,[1]characters!$1:$1,0)-MATCH($A$1,[1]characters!$1:$1,0)+1),MATCH(T$1,[1]characters!$1:$1,0)-MATCH($A$1,[1]characters!$1:$1,0)+1,FALSE)</f>
        <v>法海</v>
      </c>
      <c r="U5" s="10">
        <f ca="1">IF(Q5="NULL","NULL",VLOOKUP(G5,[3]ビット!$A$2:$B$7,2))</f>
        <v>200000</v>
      </c>
    </row>
    <row r="6" spans="1:21" ht="21" customHeight="1" x14ac:dyDescent="0.15">
      <c r="A6" s="191">
        <v>8105</v>
      </c>
      <c r="B6" s="53" t="str">
        <f ca="1">VLOOKUP($A6,OFFSET([1]characters!$A$1,0,0,COUNTA([1]characters!$A:$A),MATCH(B$1,[1]characters!$1:$1,0)-MATCH($A$1,[1]characters!$1:$1,0)+1),MATCH(B$1,[1]characters!$1:$1,0)-MATCH($A$1,[1]characters!$1:$1,0)+1,FALSE)</f>
        <v>曹國舅</v>
      </c>
      <c r="C6" s="53" t="str">
        <f ca="1">VLOOKUP($A6,OFFSET([1]characters!$A$1,0,0,COUNTA([1]characters!$A:$A),MATCH(C$1,[1]characters!$1:$1,0)-MATCH($A$1,[1]characters!$1:$1,0)+1),MATCH(C$1,[1]characters!$1:$1,0)-MATCH($A$1,[1]characters!$1:$1,0)+1,FALSE)</f>
        <v>ポムポムプリン</v>
      </c>
      <c r="D6" s="53" t="str">
        <f ca="1">VLOOKUP($A6,OFFSET([1]characters!$A$1,0,0,COUNTA([1]characters!$A:$A),MATCH(D$1,[1]characters!$1:$1,0)-MATCH($A$1,[1]characters!$1:$1,0)+1),MATCH(D$1,[1]characters!$1:$1,0)-MATCH($A$1,[1]characters!$1:$1,0)+1,FALSE)</f>
        <v>執行者</v>
      </c>
      <c r="E6" s="53" t="str">
        <f ca="1">VLOOKUP($A6,OFFSET([1]characters!$A$1,0,0,COUNTA([1]characters!$A:$A),MATCH(E$1,[1]characters!$1:$1,0)-MATCH($A$1,[1]characters!$1:$1,0)+1),MATCH(E$1,[1]characters!$1:$1,0)-MATCH($A$1,[1]characters!$1:$1,0)+1,FALSE)</f>
        <v>格好いい</v>
      </c>
      <c r="F6" s="53" t="str">
        <f ca="1">VLOOKUP($A6,OFFSET([1]characters!$A$1,0,0,COUNTA([1]characters!$A:$A),MATCH(F$1,[1]characters!$1:$1,0)-MATCH($A$1,[1]characters!$1:$1,0)+1),MATCH(F$1,[1]characters!$1:$1,0)-MATCH($A$1,[1]characters!$1:$1,0)+1,FALSE)</f>
        <v>女性</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DropWizS</v>
      </c>
      <c r="I6" s="53" t="str">
        <f ca="1">VLOOKUP($A6,OFFSET([1]characters!$A$1,0,0,COUNTA([1]characters!$A:$A),MATCH(I$1,[1]characters!$1:$1,0)-MATCH($A$1,[1]characters!$1:$1,0)+1),MATCH(I$1,[1]characters!$1:$1,0)-MATCH($A$1,[1]characters!$1:$1,0)+1,FALSE)</f>
        <v>green</v>
      </c>
      <c r="J6" s="53" t="str">
        <f ca="1">VLOOKUP($A6,OFFSET([1]characters!$A$1,0,0,COUNTA([1]characters!$A:$A),MATCH(J$1,[1]characters!$1:$1,0)-MATCH($A$1,[1]characters!$1:$1,0)+1),MATCH(J$1,[1]characters!$1:$1,0)-MATCH($A$1,[1]characters!$1:$1,0)+1,FALSE)</f>
        <v>human</v>
      </c>
      <c r="K6" s="5" t="str">
        <f ca="1">VLOOKUP(J6,[1]character_tribe_i18n!$A:$H,3,FALSE)</f>
        <v>ヒューマン</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7">
        <v>8106</v>
      </c>
      <c r="R6" s="58" t="str">
        <f ca="1">IF(Q6="NULL","",VLOOKUP($Q6,OFFSET([1]characters!$A$1,0,0,COUNTA([1]characters!$A:$A),MATCH(R$1,[1]characters!$1:$1,0)-MATCH($A$1,[1]characters!$1:$1,0)+1),MATCH(R$1,[1]characters!$1:$1,0)-MATCH($A$1,[1]characters!$1:$1,0)+1,FALSE))</f>
        <v>曹國舅★６</v>
      </c>
      <c r="S6" s="5">
        <f ca="1">IF(ISNA(MATCH(A6,Q:Q,0)),A6,INDIRECT(ADDRESS(MATCH(A6,Q:Q,0),COLUMN())))</f>
        <v>8105</v>
      </c>
      <c r="T6" s="58" t="str">
        <f ca="1">VLOOKUP($S6,OFFSET([1]characters!$A$1,0,0,COUNTA([1]characters!$A:$A),MATCH(T$1,[1]characters!$1:$1,0)-MATCH($A$1,[1]characters!$1:$1,0)+1),MATCH(T$1,[1]characters!$1:$1,0)-MATCH($A$1,[1]characters!$1:$1,0)+1,FALSE)</f>
        <v>曹國舅</v>
      </c>
      <c r="U6" s="10">
        <f ca="1">IF(Q6="NULL","NULL",VLOOKUP(G6,[3]ビット!$A$2:$B$7,2))</f>
        <v>200000</v>
      </c>
    </row>
  </sheetData>
  <autoFilter ref="A1:U3"/>
  <phoneticPr fontId="22"/>
  <conditionalFormatting sqref="W1 W7:W1048576 W3">
    <cfRule type="cellIs" dxfId="27" priority="9" operator="equal">
      <formula>"FALSE"</formula>
    </cfRule>
  </conditionalFormatting>
  <conditionalFormatting sqref="W4:W5">
    <cfRule type="cellIs" dxfId="26" priority="3" operator="equal">
      <formula>"FALSE"</formula>
    </cfRule>
  </conditionalFormatting>
  <conditionalFormatting sqref="W6">
    <cfRule type="cellIs" dxfId="25" priority="2" operator="equal">
      <formula>"FALSE"</formula>
    </cfRule>
  </conditionalFormatting>
  <conditionalFormatting sqref="W2">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17"/>
  <sheetViews>
    <sheetView showGridLines="0" workbookViewId="0">
      <pane ySplit="1" topLeftCell="A2" activePane="bottomLeft" state="frozen"/>
      <selection pane="bottomLeft" activeCell="B2" sqref="B2"/>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 t="shared" ref="A2" si="0">B2&amp;"_"&amp;I2</f>
        <v>8103_837</v>
      </c>
      <c r="B2" s="191">
        <v>8103</v>
      </c>
      <c r="C2" s="178">
        <f t="shared" ref="C2" si="1">B2</f>
        <v>8103</v>
      </c>
      <c r="D2" s="53" t="str">
        <f ca="1">VLOOKUP($C2,OFFSET([1]characters!$A$1,0,0,COUNTA([1]characters!$A:$A),MATCH(D$1,[1]characters!$1:$1,0)-MATCH($C$1,[1]characters!$1:$1,0)+1),MATCH(D$1,[1]characters!$1:$1,0)-MATCH($C$1,[1]characters!$1:$1,0)+1,FALSE)</f>
        <v>李鐵拐</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PremiumSSw</v>
      </c>
      <c r="G2" s="187">
        <v>8104</v>
      </c>
      <c r="H2" s="53" t="str">
        <f ca="1">VLOOKUP($G2,OFFSET([1]characters!$A$1,0,0,COUNTA([1]characters!$A:$A),MATCH(H$1,[1]characters!$1:$1,0)-MATCH($C$1,[1]characters!$1:$1,0)+1),MATCH(H$1,[1]characters!$1:$1,0)-MATCH($C$1,[1]characters!$1:$1,0)+1,FALSE)</f>
        <v>李鐵拐★６</v>
      </c>
      <c r="I2" s="194">
        <v>837</v>
      </c>
      <c r="J2" s="53" t="str">
        <f ca="1">VLOOKUP($I2,OFFSET([1]characters!$A$1,0,0,COUNTA([1]characters!$A:$A),MATCH(J$1,[1]characters!$1:$1,0)-MATCH($C$1,[1]characters!$1:$1,0)+1),MATCH(J$1,[1]characters!$1:$1,0)-MATCH($C$1,[1]characters!$1:$1,0)+1,FALSE)</f>
        <v>リトルハンプティ</v>
      </c>
      <c r="K2" s="192">
        <v>1</v>
      </c>
      <c r="L2" s="192">
        <v>1</v>
      </c>
      <c r="M2" s="193">
        <v>1000</v>
      </c>
      <c r="N2" s="2" t="s">
        <v>290</v>
      </c>
    </row>
    <row r="3" spans="1:14" ht="21" customHeight="1" x14ac:dyDescent="0.15">
      <c r="A3" s="61" t="str">
        <f t="shared" ref="A3:A16" si="2">B3&amp;"_"&amp;I3</f>
        <v>8111_110</v>
      </c>
      <c r="B3" s="191">
        <v>8111</v>
      </c>
      <c r="C3" s="178">
        <f t="shared" ref="C3:C16" si="3">B3</f>
        <v>8111</v>
      </c>
      <c r="D3" s="53" t="str">
        <f ca="1">VLOOKUP($C3,OFFSET([1]characters!$A$1,0,0,COUNTA([1]characters!$A:$A),MATCH(D$1,[1]characters!$1:$1,0)-MATCH($C$1,[1]characters!$1:$1,0)+1),MATCH(D$1,[1]characters!$1:$1,0)-MATCH($C$1,[1]characters!$1:$1,0)+1,FALSE)</f>
        <v>福德正神</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DropWizS</v>
      </c>
      <c r="G3" s="187">
        <v>8112</v>
      </c>
      <c r="H3" s="53" t="str">
        <f ca="1">VLOOKUP($G3,OFFSET([1]characters!$A$1,0,0,COUNTA([1]characters!$A:$A),MATCH(H$1,[1]characters!$1:$1,0)-MATCH($C$1,[1]characters!$1:$1,0)+1),MATCH(H$1,[1]characters!$1:$1,0)-MATCH($C$1,[1]characters!$1:$1,0)+1,FALSE)</f>
        <v>福德正神★６</v>
      </c>
      <c r="I3" s="194">
        <v>110</v>
      </c>
      <c r="J3" s="53" t="str">
        <f ca="1">VLOOKUP($I3,OFFSET([1]characters!$A$1,0,0,COUNTA([1]characters!$A:$A),MATCH(J$1,[1]characters!$1:$1,0)-MATCH($C$1,[1]characters!$1:$1,0)+1),MATCH(J$1,[1]characters!$1:$1,0)-MATCH($C$1,[1]characters!$1:$1,0)+1,FALSE)</f>
        <v>ブルーラビット</v>
      </c>
      <c r="K3" s="192">
        <v>1</v>
      </c>
      <c r="L3" s="192">
        <v>1</v>
      </c>
      <c r="M3" s="193">
        <v>10</v>
      </c>
      <c r="N3" s="2" t="s">
        <v>290</v>
      </c>
    </row>
    <row r="4" spans="1:14" ht="21" customHeight="1" x14ac:dyDescent="0.15">
      <c r="A4" s="61" t="str">
        <f t="shared" si="2"/>
        <v>8111_111</v>
      </c>
      <c r="B4" s="191">
        <v>8111</v>
      </c>
      <c r="C4" s="178">
        <f t="shared" si="3"/>
        <v>8111</v>
      </c>
      <c r="D4" s="53" t="str">
        <f ca="1">VLOOKUP($C4,OFFSET([1]characters!$A$1,0,0,COUNTA([1]characters!$A:$A),MATCH(D$1,[1]characters!$1:$1,0)-MATCH($C$1,[1]characters!$1:$1,0)+1),MATCH(D$1,[1]characters!$1:$1,0)-MATCH($C$1,[1]characters!$1:$1,0)+1,FALSE)</f>
        <v>福德正神</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DropWizS</v>
      </c>
      <c r="G4" s="187">
        <v>8112</v>
      </c>
      <c r="H4" s="53" t="str">
        <f ca="1">VLOOKUP($G4,OFFSET([1]characters!$A$1,0,0,COUNTA([1]characters!$A:$A),MATCH(H$1,[1]characters!$1:$1,0)-MATCH($C$1,[1]characters!$1:$1,0)+1),MATCH(H$1,[1]characters!$1:$1,0)-MATCH($C$1,[1]characters!$1:$1,0)+1,FALSE)</f>
        <v>福德正神★６</v>
      </c>
      <c r="I4" s="194">
        <v>111</v>
      </c>
      <c r="J4" s="53" t="str">
        <f ca="1">VLOOKUP($I4,OFFSET([1]characters!$A$1,0,0,COUNTA([1]characters!$A:$A),MATCH(J$1,[1]characters!$1:$1,0)-MATCH($C$1,[1]characters!$1:$1,0)+1),MATCH(J$1,[1]characters!$1:$1,0)-MATCH($C$1,[1]characters!$1:$1,0)+1,FALSE)</f>
        <v>ブルーキャタップ</v>
      </c>
      <c r="K4" s="192">
        <v>1</v>
      </c>
      <c r="L4" s="192">
        <v>1</v>
      </c>
      <c r="M4" s="193">
        <v>10</v>
      </c>
      <c r="N4" s="2" t="s">
        <v>290</v>
      </c>
    </row>
    <row r="5" spans="1:14" ht="21" customHeight="1" x14ac:dyDescent="0.15">
      <c r="A5" s="61" t="str">
        <f t="shared" si="2"/>
        <v>8111_112</v>
      </c>
      <c r="B5" s="191">
        <v>8111</v>
      </c>
      <c r="C5" s="178">
        <f t="shared" si="3"/>
        <v>8111</v>
      </c>
      <c r="D5" s="53" t="str">
        <f ca="1">VLOOKUP($C5,OFFSET([1]characters!$A$1,0,0,COUNTA([1]characters!$A:$A),MATCH(D$1,[1]characters!$1:$1,0)-MATCH($C$1,[1]characters!$1:$1,0)+1),MATCH(D$1,[1]characters!$1:$1,0)-MATCH($C$1,[1]characters!$1:$1,0)+1,FALSE)</f>
        <v>福德正神</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DropWizS</v>
      </c>
      <c r="G5" s="187">
        <v>8112</v>
      </c>
      <c r="H5" s="53" t="str">
        <f ca="1">VLOOKUP($G5,OFFSET([1]characters!$A$1,0,0,COUNTA([1]characters!$A:$A),MATCH(H$1,[1]characters!$1:$1,0)-MATCH($C$1,[1]characters!$1:$1,0)+1),MATCH(H$1,[1]characters!$1:$1,0)-MATCH($C$1,[1]characters!$1:$1,0)+1,FALSE)</f>
        <v>福德正神★６</v>
      </c>
      <c r="I5" s="194">
        <v>112</v>
      </c>
      <c r="J5" s="53" t="str">
        <f ca="1">VLOOKUP($I5,OFFSET([1]characters!$A$1,0,0,COUNTA([1]characters!$A:$A),MATCH(J$1,[1]characters!$1:$1,0)-MATCH($C$1,[1]characters!$1:$1,0)+1),MATCH(J$1,[1]characters!$1:$1,0)-MATCH($C$1,[1]characters!$1:$1,0)+1,FALSE)</f>
        <v>水のマッドハッター</v>
      </c>
      <c r="K5" s="192">
        <v>1</v>
      </c>
      <c r="L5" s="192">
        <v>1</v>
      </c>
      <c r="M5" s="193">
        <v>10</v>
      </c>
      <c r="N5" s="2" t="s">
        <v>290</v>
      </c>
    </row>
    <row r="6" spans="1:14" ht="21" customHeight="1" x14ac:dyDescent="0.15">
      <c r="A6" s="61" t="str">
        <f t="shared" si="2"/>
        <v>8111_358</v>
      </c>
      <c r="B6" s="191">
        <v>8111</v>
      </c>
      <c r="C6" s="178">
        <f t="shared" si="3"/>
        <v>8111</v>
      </c>
      <c r="D6" s="53" t="str">
        <f ca="1">VLOOKUP($C6,OFFSET([1]characters!$A$1,0,0,COUNTA([1]characters!$A:$A),MATCH(D$1,[1]characters!$1:$1,0)-MATCH($C$1,[1]characters!$1:$1,0)+1),MATCH(D$1,[1]characters!$1:$1,0)-MATCH($C$1,[1]characters!$1:$1,0)+1,FALSE)</f>
        <v>福德正神</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DropWizS</v>
      </c>
      <c r="G6" s="187">
        <v>8112</v>
      </c>
      <c r="H6" s="53" t="str">
        <f ca="1">VLOOKUP($G6,OFFSET([1]characters!$A$1,0,0,COUNTA([1]characters!$A:$A),MATCH(H$1,[1]characters!$1:$1,0)-MATCH($C$1,[1]characters!$1:$1,0)+1),MATCH(H$1,[1]characters!$1:$1,0)-MATCH($C$1,[1]characters!$1:$1,0)+1,FALSE)</f>
        <v>福德正神★６</v>
      </c>
      <c r="I6" s="194">
        <v>358</v>
      </c>
      <c r="J6" s="53" t="str">
        <f ca="1">VLOOKUP($I6,OFFSET([1]characters!$A$1,0,0,COUNTA([1]characters!$A:$A),MATCH(J$1,[1]characters!$1:$1,0)-MATCH($C$1,[1]characters!$1:$1,0)+1),MATCH(J$1,[1]characters!$1:$1,0)-MATCH($C$1,[1]characters!$1:$1,0)+1,FALSE)</f>
        <v>深淵の代用ウミガメ</v>
      </c>
      <c r="K6" s="192">
        <v>1</v>
      </c>
      <c r="L6" s="192">
        <v>1</v>
      </c>
      <c r="M6" s="193">
        <v>10</v>
      </c>
      <c r="N6" s="2" t="s">
        <v>290</v>
      </c>
    </row>
    <row r="7" spans="1:14" ht="21" customHeight="1" x14ac:dyDescent="0.15">
      <c r="A7" s="61" t="str">
        <f t="shared" si="2"/>
        <v>8111_837</v>
      </c>
      <c r="B7" s="191">
        <v>8111</v>
      </c>
      <c r="C7" s="178">
        <f t="shared" si="3"/>
        <v>8111</v>
      </c>
      <c r="D7" s="53" t="str">
        <f ca="1">VLOOKUP($C7,OFFSET([1]characters!$A$1,0,0,COUNTA([1]characters!$A:$A),MATCH(D$1,[1]characters!$1:$1,0)-MATCH($C$1,[1]characters!$1:$1,0)+1),MATCH(D$1,[1]characters!$1:$1,0)-MATCH($C$1,[1]characters!$1:$1,0)+1,FALSE)</f>
        <v>福德正神</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DropWizS</v>
      </c>
      <c r="G7" s="187">
        <v>8112</v>
      </c>
      <c r="H7" s="53" t="str">
        <f ca="1">VLOOKUP($G7,OFFSET([1]characters!$A$1,0,0,COUNTA([1]characters!$A:$A),MATCH(H$1,[1]characters!$1:$1,0)-MATCH($C$1,[1]characters!$1:$1,0)+1),MATCH(H$1,[1]characters!$1:$1,0)-MATCH($C$1,[1]characters!$1:$1,0)+1,FALSE)</f>
        <v>福德正神★６</v>
      </c>
      <c r="I7" s="194">
        <v>837</v>
      </c>
      <c r="J7" s="53" t="str">
        <f ca="1">VLOOKUP($I7,OFFSET([1]characters!$A$1,0,0,COUNTA([1]characters!$A:$A),MATCH(J$1,[1]characters!$1:$1,0)-MATCH($C$1,[1]characters!$1:$1,0)+1),MATCH(J$1,[1]characters!$1:$1,0)-MATCH($C$1,[1]characters!$1:$1,0)+1,FALSE)</f>
        <v>リトルハンプティ</v>
      </c>
      <c r="K7" s="192">
        <v>1</v>
      </c>
      <c r="L7" s="192">
        <v>1</v>
      </c>
      <c r="M7" s="193">
        <v>1000</v>
      </c>
      <c r="N7" s="2" t="s">
        <v>290</v>
      </c>
    </row>
    <row r="8" spans="1:14" ht="21" customHeight="1" x14ac:dyDescent="0.15">
      <c r="A8" s="61" t="str">
        <f t="shared" si="2"/>
        <v>8115_837</v>
      </c>
      <c r="B8" s="191">
        <v>8115</v>
      </c>
      <c r="C8" s="178">
        <f t="shared" si="3"/>
        <v>8115</v>
      </c>
      <c r="D8" s="53" t="str">
        <f ca="1">VLOOKUP($C8,OFFSET([1]characters!$A$1,0,0,COUNTA([1]characters!$A:$A),MATCH(D$1,[1]characters!$1:$1,0)-MATCH($C$1,[1]characters!$1:$1,0)+1),MATCH(D$1,[1]characters!$1:$1,0)-MATCH($C$1,[1]characters!$1:$1,0)+1,FALSE)</f>
        <v>贏政</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DropWizSS</v>
      </c>
      <c r="G8" s="195">
        <v>8116</v>
      </c>
      <c r="H8" s="53" t="str">
        <f ca="1">VLOOKUP($G8,OFFSET([1]characters!$A$1,0,0,COUNTA([1]characters!$A:$A),MATCH(H$1,[1]characters!$1:$1,0)-MATCH($C$1,[1]characters!$1:$1,0)+1),MATCH(H$1,[1]characters!$1:$1,0)-MATCH($C$1,[1]characters!$1:$1,0)+1,FALSE)</f>
        <v>贏政★６</v>
      </c>
      <c r="I8" s="194">
        <v>837</v>
      </c>
      <c r="J8" s="53" t="str">
        <f ca="1">VLOOKUP($I8,OFFSET([1]characters!$A$1,0,0,COUNTA([1]characters!$A:$A),MATCH(J$1,[1]characters!$1:$1,0)-MATCH($C$1,[1]characters!$1:$1,0)+1),MATCH(J$1,[1]characters!$1:$1,0)-MATCH($C$1,[1]characters!$1:$1,0)+1,FALSE)</f>
        <v>リトルハンプティ</v>
      </c>
      <c r="K8" s="192">
        <v>1</v>
      </c>
      <c r="L8" s="193">
        <v>1</v>
      </c>
      <c r="M8" s="193">
        <v>1000</v>
      </c>
      <c r="N8" s="2" t="s">
        <v>290</v>
      </c>
    </row>
    <row r="9" spans="1:14" ht="21" customHeight="1" x14ac:dyDescent="0.15">
      <c r="A9" s="61" t="str">
        <f t="shared" si="2"/>
        <v>8115_891</v>
      </c>
      <c r="B9" s="191">
        <v>8115</v>
      </c>
      <c r="C9" s="178">
        <f t="shared" si="3"/>
        <v>8115</v>
      </c>
      <c r="D9" s="53" t="str">
        <f ca="1">VLOOKUP($C9,OFFSET([1]characters!$A$1,0,0,COUNTA([1]characters!$A:$A),MATCH(D$1,[1]characters!$1:$1,0)-MATCH($C$1,[1]characters!$1:$1,0)+1),MATCH(D$1,[1]characters!$1:$1,0)-MATCH($C$1,[1]characters!$1:$1,0)+1,FALSE)</f>
        <v>贏政</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DropWizSS</v>
      </c>
      <c r="G9" s="195">
        <v>8116</v>
      </c>
      <c r="H9" s="53" t="str">
        <f ca="1">VLOOKUP($G9,OFFSET([1]characters!$A$1,0,0,COUNTA([1]characters!$A:$A),MATCH(H$1,[1]characters!$1:$1,0)-MATCH($C$1,[1]characters!$1:$1,0)+1),MATCH(H$1,[1]characters!$1:$1,0)-MATCH($C$1,[1]characters!$1:$1,0)+1,FALSE)</f>
        <v>贏政★６</v>
      </c>
      <c r="I9" s="194">
        <v>891</v>
      </c>
      <c r="J9" s="53" t="str">
        <f ca="1">VLOOKUP($I9,OFFSET([1]characters!$A$1,0,0,COUNTA([1]characters!$A:$A),MATCH(J$1,[1]characters!$1:$1,0)-MATCH($C$1,[1]characters!$1:$1,0)+1),MATCH(J$1,[1]characters!$1:$1,0)-MATCH($C$1,[1]characters!$1:$1,0)+1,FALSE)</f>
        <v>コルキス</v>
      </c>
      <c r="K9" s="192">
        <v>1</v>
      </c>
      <c r="L9" s="193">
        <v>1</v>
      </c>
      <c r="M9" s="193">
        <v>100</v>
      </c>
      <c r="N9" s="2" t="s">
        <v>290</v>
      </c>
    </row>
    <row r="10" spans="1:14" ht="21" customHeight="1" x14ac:dyDescent="0.15">
      <c r="A10" s="61" t="str">
        <f t="shared" si="2"/>
        <v>8115_8003</v>
      </c>
      <c r="B10" s="191">
        <v>8115</v>
      </c>
      <c r="C10" s="178">
        <f t="shared" si="3"/>
        <v>8115</v>
      </c>
      <c r="D10" s="53" t="str">
        <f ca="1">VLOOKUP($C10,OFFSET([1]characters!$A$1,0,0,COUNTA([1]characters!$A:$A),MATCH(D$1,[1]characters!$1:$1,0)-MATCH($C$1,[1]characters!$1:$1,0)+1),MATCH(D$1,[1]characters!$1:$1,0)-MATCH($C$1,[1]characters!$1:$1,0)+1,FALSE)</f>
        <v>贏政</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DropWizSS</v>
      </c>
      <c r="G10" s="195">
        <v>8116</v>
      </c>
      <c r="H10" s="53" t="str">
        <f ca="1">VLOOKUP($G10,OFFSET([1]characters!$A$1,0,0,COUNTA([1]characters!$A:$A),MATCH(H$1,[1]characters!$1:$1,0)-MATCH($C$1,[1]characters!$1:$1,0)+1),MATCH(H$1,[1]characters!$1:$1,0)-MATCH($C$1,[1]characters!$1:$1,0)+1,FALSE)</f>
        <v>贏政★６</v>
      </c>
      <c r="I10" s="194">
        <v>8003</v>
      </c>
      <c r="J10" s="53" t="str">
        <f ca="1">VLOOKUP($I10,OFFSET([1]characters!$A$1,0,0,COUNTA([1]characters!$A:$A),MATCH(J$1,[1]characters!$1:$1,0)-MATCH($C$1,[1]characters!$1:$1,0)+1),MATCH(J$1,[1]characters!$1:$1,0)-MATCH($C$1,[1]characters!$1:$1,0)+1,FALSE)</f>
        <v>蛟龍</v>
      </c>
      <c r="K10" s="192">
        <v>1</v>
      </c>
      <c r="L10" s="193">
        <v>1</v>
      </c>
      <c r="M10" s="193">
        <v>100</v>
      </c>
      <c r="N10" s="2" t="s">
        <v>290</v>
      </c>
    </row>
    <row r="11" spans="1:14" ht="21" customHeight="1" x14ac:dyDescent="0.15">
      <c r="A11" s="61" t="str">
        <f t="shared" si="2"/>
        <v>8115_8041</v>
      </c>
      <c r="B11" s="191">
        <v>8115</v>
      </c>
      <c r="C11" s="178">
        <f t="shared" si="3"/>
        <v>8115</v>
      </c>
      <c r="D11" s="53" t="str">
        <f ca="1">VLOOKUP($C11,OFFSET([1]characters!$A$1,0,0,COUNTA([1]characters!$A:$A),MATCH(D$1,[1]characters!$1:$1,0)-MATCH($C$1,[1]characters!$1:$1,0)+1),MATCH(D$1,[1]characters!$1:$1,0)-MATCH($C$1,[1]characters!$1:$1,0)+1,FALSE)</f>
        <v>贏政</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DropWizSS</v>
      </c>
      <c r="G11" s="195">
        <v>8116</v>
      </c>
      <c r="H11" s="53" t="str">
        <f ca="1">VLOOKUP($G11,OFFSET([1]characters!$A$1,0,0,COUNTA([1]characters!$A:$A),MATCH(H$1,[1]characters!$1:$1,0)-MATCH($C$1,[1]characters!$1:$1,0)+1),MATCH(H$1,[1]characters!$1:$1,0)-MATCH($C$1,[1]characters!$1:$1,0)+1,FALSE)</f>
        <v>贏政★６</v>
      </c>
      <c r="I11" s="194">
        <v>8041</v>
      </c>
      <c r="J11" s="53" t="str">
        <f ca="1">VLOOKUP($I11,OFFSET([1]characters!$A$1,0,0,COUNTA([1]characters!$A:$A),MATCH(J$1,[1]characters!$1:$1,0)-MATCH($C$1,[1]characters!$1:$1,0)+1),MATCH(J$1,[1]characters!$1:$1,0)-MATCH($C$1,[1]characters!$1:$1,0)+1,FALSE)</f>
        <v>藍采和</v>
      </c>
      <c r="K11" s="192">
        <v>1</v>
      </c>
      <c r="L11" s="193">
        <v>1</v>
      </c>
      <c r="M11" s="193">
        <v>100</v>
      </c>
      <c r="N11" s="2" t="s">
        <v>290</v>
      </c>
    </row>
    <row r="12" spans="1:14" ht="21" customHeight="1" x14ac:dyDescent="0.15">
      <c r="A12" s="61" t="str">
        <f t="shared" si="2"/>
        <v>8115_8101</v>
      </c>
      <c r="B12" s="191">
        <v>8115</v>
      </c>
      <c r="C12" s="178">
        <f t="shared" si="3"/>
        <v>8115</v>
      </c>
      <c r="D12" s="53" t="str">
        <f ca="1">VLOOKUP($C12,OFFSET([1]characters!$A$1,0,0,COUNTA([1]characters!$A:$A),MATCH(D$1,[1]characters!$1:$1,0)-MATCH($C$1,[1]characters!$1:$1,0)+1),MATCH(D$1,[1]characters!$1:$1,0)-MATCH($C$1,[1]characters!$1:$1,0)+1,FALSE)</f>
        <v>贏政</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DropWizSS</v>
      </c>
      <c r="G12" s="195">
        <v>8116</v>
      </c>
      <c r="H12" s="53" t="str">
        <f ca="1">VLOOKUP($G12,OFFSET([1]characters!$A$1,0,0,COUNTA([1]characters!$A:$A),MATCH(H$1,[1]characters!$1:$1,0)-MATCH($C$1,[1]characters!$1:$1,0)+1),MATCH(H$1,[1]characters!$1:$1,0)-MATCH($C$1,[1]characters!$1:$1,0)+1,FALSE)</f>
        <v>贏政★６</v>
      </c>
      <c r="I12" s="194">
        <v>8101</v>
      </c>
      <c r="J12" s="53" t="str">
        <f ca="1">VLOOKUP($I12,OFFSET([1]characters!$A$1,0,0,COUNTA([1]characters!$A:$A),MATCH(J$1,[1]characters!$1:$1,0)-MATCH($C$1,[1]characters!$1:$1,0)+1),MATCH(J$1,[1]characters!$1:$1,0)-MATCH($C$1,[1]characters!$1:$1,0)+1,FALSE)</f>
        <v>張果老</v>
      </c>
      <c r="K12" s="192">
        <v>1</v>
      </c>
      <c r="L12" s="193">
        <v>1</v>
      </c>
      <c r="M12" s="193">
        <v>100</v>
      </c>
      <c r="N12" s="2" t="s">
        <v>290</v>
      </c>
    </row>
    <row r="13" spans="1:14" ht="21" customHeight="1" x14ac:dyDescent="0.15">
      <c r="A13" s="61" t="str">
        <f t="shared" si="2"/>
        <v>8121_458</v>
      </c>
      <c r="B13" s="191">
        <v>8121</v>
      </c>
      <c r="C13" s="178">
        <f t="shared" si="3"/>
        <v>8121</v>
      </c>
      <c r="D13" s="53" t="str">
        <f ca="1">VLOOKUP($C13,OFFSET([1]characters!$A$1,0,0,COUNTA([1]characters!$A:$A),MATCH(D$1,[1]characters!$1:$1,0)-MATCH($C$1,[1]characters!$1:$1,0)+1),MATCH(D$1,[1]characters!$1:$1,0)-MATCH($C$1,[1]characters!$1:$1,0)+1,FALSE)</f>
        <v>法海</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DropWizS</v>
      </c>
      <c r="G13" s="195">
        <v>8122</v>
      </c>
      <c r="H13" s="53" t="str">
        <f ca="1">VLOOKUP($G13,OFFSET([1]characters!$A$1,0,0,COUNTA([1]characters!$A:$A),MATCH(H$1,[1]characters!$1:$1,0)-MATCH($C$1,[1]characters!$1:$1,0)+1),MATCH(H$1,[1]characters!$1:$1,0)-MATCH($C$1,[1]characters!$1:$1,0)+1,FALSE)</f>
        <v>法海★６</v>
      </c>
      <c r="I13" s="194">
        <v>458</v>
      </c>
      <c r="J13" s="53" t="str">
        <f ca="1">VLOOKUP($I13,OFFSET([1]characters!$A$1,0,0,COUNTA([1]characters!$A:$A),MATCH(J$1,[1]characters!$1:$1,0)-MATCH($C$1,[1]characters!$1:$1,0)+1),MATCH(J$1,[1]characters!$1:$1,0)-MATCH($C$1,[1]characters!$1:$1,0)+1,FALSE)</f>
        <v>嵐龍 スガル</v>
      </c>
      <c r="K13" s="192">
        <v>1</v>
      </c>
      <c r="L13" s="193">
        <v>2</v>
      </c>
      <c r="M13" s="193">
        <v>100</v>
      </c>
      <c r="N13" s="2" t="s">
        <v>290</v>
      </c>
    </row>
    <row r="14" spans="1:14" ht="21" customHeight="1" x14ac:dyDescent="0.15">
      <c r="A14" s="61" t="str">
        <f t="shared" si="2"/>
        <v>8121_288</v>
      </c>
      <c r="B14" s="191">
        <v>8121</v>
      </c>
      <c r="C14" s="178">
        <f t="shared" si="3"/>
        <v>8121</v>
      </c>
      <c r="D14" s="53" t="str">
        <f ca="1">VLOOKUP($C14,OFFSET([1]characters!$A$1,0,0,COUNTA([1]characters!$A:$A),MATCH(D$1,[1]characters!$1:$1,0)-MATCH($C$1,[1]characters!$1:$1,0)+1),MATCH(D$1,[1]characters!$1:$1,0)-MATCH($C$1,[1]characters!$1:$1,0)+1,FALSE)</f>
        <v>法海</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DropWizS</v>
      </c>
      <c r="G14" s="195">
        <v>8122</v>
      </c>
      <c r="H14" s="53" t="str">
        <f ca="1">VLOOKUP($G14,OFFSET([1]characters!$A$1,0,0,COUNTA([1]characters!$A:$A),MATCH(H$1,[1]characters!$1:$1,0)-MATCH($C$1,[1]characters!$1:$1,0)+1),MATCH(H$1,[1]characters!$1:$1,0)-MATCH($C$1,[1]characters!$1:$1,0)+1,FALSE)</f>
        <v>法海★６</v>
      </c>
      <c r="I14" s="194">
        <v>288</v>
      </c>
      <c r="J14" s="53" t="str">
        <f ca="1">VLOOKUP($I14,OFFSET([1]characters!$A$1,0,0,COUNTA([1]characters!$A:$A),MATCH(J$1,[1]characters!$1:$1,0)-MATCH($C$1,[1]characters!$1:$1,0)+1),MATCH(J$1,[1]characters!$1:$1,0)-MATCH($C$1,[1]characters!$1:$1,0)+1,FALSE)</f>
        <v>ミカド</v>
      </c>
      <c r="K14" s="192">
        <v>1</v>
      </c>
      <c r="L14" s="193">
        <v>3</v>
      </c>
      <c r="M14" s="193">
        <v>100</v>
      </c>
      <c r="N14" s="2" t="s">
        <v>290</v>
      </c>
    </row>
    <row r="15" spans="1:14" ht="21" customHeight="1" x14ac:dyDescent="0.15">
      <c r="A15" s="61" t="str">
        <f t="shared" si="2"/>
        <v>8121_116</v>
      </c>
      <c r="B15" s="191">
        <v>8121</v>
      </c>
      <c r="C15" s="178">
        <f t="shared" si="3"/>
        <v>8121</v>
      </c>
      <c r="D15" s="53" t="str">
        <f ca="1">VLOOKUP($C15,OFFSET([1]characters!$A$1,0,0,COUNTA([1]characters!$A:$A),MATCH(D$1,[1]characters!$1:$1,0)-MATCH($C$1,[1]characters!$1:$1,0)+1),MATCH(D$1,[1]characters!$1:$1,0)-MATCH($C$1,[1]characters!$1:$1,0)+1,FALSE)</f>
        <v>法海</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DropWizS</v>
      </c>
      <c r="G15" s="195">
        <v>8122</v>
      </c>
      <c r="H15" s="53" t="str">
        <f ca="1">VLOOKUP($G15,OFFSET([1]characters!$A$1,0,0,COUNTA([1]characters!$A:$A),MATCH(H$1,[1]characters!$1:$1,0)-MATCH($C$1,[1]characters!$1:$1,0)+1),MATCH(H$1,[1]characters!$1:$1,0)-MATCH($C$1,[1]characters!$1:$1,0)+1,FALSE)</f>
        <v>法海★６</v>
      </c>
      <c r="I15" s="194">
        <v>116</v>
      </c>
      <c r="J15" s="53" t="str">
        <f ca="1">VLOOKUP($I15,OFFSET([1]characters!$A$1,0,0,COUNTA([1]characters!$A:$A),MATCH(J$1,[1]characters!$1:$1,0)-MATCH($C$1,[1]characters!$1:$1,0)+1),MATCH(J$1,[1]characters!$1:$1,0)-MATCH($C$1,[1]characters!$1:$1,0)+1,FALSE)</f>
        <v>雷のマッドハッター</v>
      </c>
      <c r="K15" s="192">
        <v>1</v>
      </c>
      <c r="L15" s="193">
        <v>1</v>
      </c>
      <c r="M15" s="193">
        <v>10</v>
      </c>
      <c r="N15" s="2" t="s">
        <v>290</v>
      </c>
    </row>
    <row r="16" spans="1:14" ht="21" customHeight="1" x14ac:dyDescent="0.15">
      <c r="A16" s="61" t="str">
        <f t="shared" si="2"/>
        <v>8121_837</v>
      </c>
      <c r="B16" s="191">
        <v>8121</v>
      </c>
      <c r="C16" s="178">
        <f t="shared" si="3"/>
        <v>8121</v>
      </c>
      <c r="D16" s="53" t="str">
        <f ca="1">VLOOKUP($C16,OFFSET([1]characters!$A$1,0,0,COUNTA([1]characters!$A:$A),MATCH(D$1,[1]characters!$1:$1,0)-MATCH($C$1,[1]characters!$1:$1,0)+1),MATCH(D$1,[1]characters!$1:$1,0)-MATCH($C$1,[1]characters!$1:$1,0)+1,FALSE)</f>
        <v>法海</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DropWizS</v>
      </c>
      <c r="G16" s="195">
        <v>8122</v>
      </c>
      <c r="H16" s="53" t="str">
        <f ca="1">VLOOKUP($G16,OFFSET([1]characters!$A$1,0,0,COUNTA([1]characters!$A:$A),MATCH(H$1,[1]characters!$1:$1,0)-MATCH($C$1,[1]characters!$1:$1,0)+1),MATCH(H$1,[1]characters!$1:$1,0)-MATCH($C$1,[1]characters!$1:$1,0)+1,FALSE)</f>
        <v>法海★６</v>
      </c>
      <c r="I16" s="194">
        <v>837</v>
      </c>
      <c r="J16" s="53" t="str">
        <f ca="1">VLOOKUP($I16,OFFSET([1]characters!$A$1,0,0,COUNTA([1]characters!$A:$A),MATCH(J$1,[1]characters!$1:$1,0)-MATCH($C$1,[1]characters!$1:$1,0)+1),MATCH(J$1,[1]characters!$1:$1,0)-MATCH($C$1,[1]characters!$1:$1,0)+1,FALSE)</f>
        <v>リトルハンプティ</v>
      </c>
      <c r="K16" s="192">
        <v>1</v>
      </c>
      <c r="L16" s="193">
        <v>1</v>
      </c>
      <c r="M16" s="193">
        <v>1000</v>
      </c>
      <c r="N16" s="2" t="s">
        <v>290</v>
      </c>
    </row>
    <row r="17" spans="1:14" ht="21" customHeight="1" x14ac:dyDescent="0.15">
      <c r="A17" s="61" t="str">
        <f t="shared" ref="A17" si="4">B17&amp;"_"&amp;I17</f>
        <v>8105_837</v>
      </c>
      <c r="B17" s="191">
        <v>8105</v>
      </c>
      <c r="C17" s="178">
        <f t="shared" ref="C17" si="5">B17</f>
        <v>8105</v>
      </c>
      <c r="D17" s="53" t="str">
        <f ca="1">VLOOKUP($C17,OFFSET([1]characters!$A$1,0,0,COUNTA([1]characters!$A:$A),MATCH(D$1,[1]characters!$1:$1,0)-MATCH($C$1,[1]characters!$1:$1,0)+1),MATCH(D$1,[1]characters!$1:$1,0)-MATCH($C$1,[1]characters!$1:$1,0)+1,FALSE)</f>
        <v>曹國舅</v>
      </c>
      <c r="E17" s="53">
        <f ca="1">VLOOKUP($C17,OFFSET([1]characters!$A$1,0,0,COUNTA([1]characters!$A:$A),MATCH(E$1,[1]characters!$1:$1,0)-MATCH($C$1,[1]characters!$1:$1,0)+1),MATCH(E$1,[1]characters!$1:$1,0)-MATCH($C$1,[1]characters!$1:$1,0)+1,FALSE)</f>
        <v>5</v>
      </c>
      <c r="F17" s="53" t="str">
        <f ca="1">VLOOKUP($C17,OFFSET([1]characters!$A$1,0,0,COUNTA([1]characters!$A:$A),MATCH(F$1,[1]characters!$1:$1,0)-MATCH($C$1,[1]characters!$1:$1,0)+1),MATCH(F$1,[1]characters!$1:$1,0)-MATCH($C$1,[1]characters!$1:$1,0)+1,FALSE)</f>
        <v>DropWizS</v>
      </c>
      <c r="G17" s="195">
        <v>8106</v>
      </c>
      <c r="H17" s="53" t="str">
        <f ca="1">VLOOKUP($G17,OFFSET([1]characters!$A$1,0,0,COUNTA([1]characters!$A:$A),MATCH(H$1,[1]characters!$1:$1,0)-MATCH($C$1,[1]characters!$1:$1,0)+1),MATCH(H$1,[1]characters!$1:$1,0)-MATCH($C$1,[1]characters!$1:$1,0)+1,FALSE)</f>
        <v>曹國舅★６</v>
      </c>
      <c r="I17" s="194">
        <v>837</v>
      </c>
      <c r="J17" s="53" t="str">
        <f ca="1">VLOOKUP($I17,OFFSET([1]characters!$A$1,0,0,COUNTA([1]characters!$A:$A),MATCH(J$1,[1]characters!$1:$1,0)-MATCH($C$1,[1]characters!$1:$1,0)+1),MATCH(J$1,[1]characters!$1:$1,0)-MATCH($C$1,[1]characters!$1:$1,0)+1,FALSE)</f>
        <v>リトルハンプティ</v>
      </c>
      <c r="K17" s="192">
        <v>1</v>
      </c>
      <c r="L17" s="193">
        <v>1</v>
      </c>
      <c r="M17" s="193">
        <v>1000</v>
      </c>
      <c r="N17"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1"/>
  <sheetViews>
    <sheetView workbookViewId="0">
      <selection activeCell="B12" sqref="B1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s>
  <sheetData>
    <row r="1" spans="1:11" s="21" customFormat="1" ht="21" customHeight="1" x14ac:dyDescent="0.15">
      <c r="A1" s="167" t="s">
        <v>302</v>
      </c>
      <c r="B1" s="115" t="s">
        <v>303</v>
      </c>
      <c r="C1" s="116" t="s">
        <v>304</v>
      </c>
      <c r="D1" s="117" t="s">
        <v>305</v>
      </c>
      <c r="E1" s="117" t="s">
        <v>306</v>
      </c>
      <c r="F1" s="117" t="s">
        <v>307</v>
      </c>
      <c r="G1" s="117" t="s">
        <v>308</v>
      </c>
      <c r="H1" s="117" t="s">
        <v>309</v>
      </c>
      <c r="I1" s="173" t="s">
        <v>310</v>
      </c>
      <c r="J1" s="117" t="s">
        <v>344</v>
      </c>
      <c r="K1" s="168" t="s">
        <v>311</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11"/>
  <sheetViews>
    <sheetView workbookViewId="0">
      <selection activeCell="D4" sqref="D4"/>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8104</v>
      </c>
      <c r="B2" s="172" t="str">
        <f>VLOOKUP(A2,[1]characters!$A:$C,3)</f>
        <v>李鐵拐★６</v>
      </c>
      <c r="C2" s="196">
        <v>1</v>
      </c>
      <c r="D2" s="196">
        <v>100</v>
      </c>
      <c r="E2" s="173" t="str">
        <f>IF(ISERROR(VLOOKUP(D2,[4]abilities!A:D,3,FALSE))=FALSE,VLOOKUP(D2,[4]abilities!A:D,3),IF(ISERROR(VLOOKUP(D2,abilities!A:D,3,FALSE))=FALSE,VLOOKUP(D2,abilities!A:D,3),"なし"))</f>
        <v>プロテクトブレイク</v>
      </c>
      <c r="F2" s="173" t="str">
        <f>IF(ISERROR(VLOOKUP(D2,[4]abilities!A:D,4,FALSE))=FALSE,VLOOKUP(D2,[4]abilities!A:D,4),IF(ISERROR(VLOOKUP(D2,abilities!A:D,4,FALSE))=FALSE,VLOOKUP(D2,abilities!A:D,4),"なし"))</f>
        <v>自身が先頭の時、プロテクトを無視してパネル破壊できる</v>
      </c>
      <c r="G2" s="174" t="s">
        <v>274</v>
      </c>
      <c r="H2" s="197" t="s">
        <v>377</v>
      </c>
    </row>
    <row r="3" spans="1:8" s="4" customFormat="1" ht="21" customHeight="1" x14ac:dyDescent="0.15">
      <c r="A3" s="169">
        <v>8104</v>
      </c>
      <c r="B3" s="172" t="str">
        <f>VLOOKUP(A3,[1]characters!$A:$C,3)</f>
        <v>李鐵拐★６</v>
      </c>
      <c r="C3" s="196">
        <v>2</v>
      </c>
      <c r="D3" s="196">
        <v>200</v>
      </c>
      <c r="E3" s="173" t="str">
        <f>IF(ISERROR(VLOOKUP(D3,[4]abilities!A:D,3,FALSE))=FALSE,VLOOKUP(D3,[4]abilities!A:D,3),IF(ISERROR(VLOOKUP(D3,abilities!A:D,3,FALSE))=FALSE,VLOOKUP(D3,abilities!A:D,3),"なし"))</f>
        <v>ウィルス無効</v>
      </c>
      <c r="F3" s="173" t="str">
        <f>IF(ISERROR(VLOOKUP(D3,[4]abilities!A:D,4,FALSE))=FALSE,VLOOKUP(D3,[4]abilities!A:D,4),IF(ISERROR(VLOOKUP(D3,abilities!A:D,4,FALSE))=FALSE,VLOOKUP(D3,abilities!A:D,4),"なし"))</f>
        <v>自身にかかるウィルスを無効化する</v>
      </c>
      <c r="G3" s="174" t="s">
        <v>274</v>
      </c>
      <c r="H3" s="197" t="s">
        <v>377</v>
      </c>
    </row>
    <row r="4" spans="1:8" s="4" customFormat="1" ht="21" customHeight="1" x14ac:dyDescent="0.15">
      <c r="A4" s="169">
        <v>8112</v>
      </c>
      <c r="B4" s="172" t="str">
        <f>VLOOKUP(A4,[1]characters!$A:$C,3)</f>
        <v>福德正神★６</v>
      </c>
      <c r="C4" s="196">
        <v>1</v>
      </c>
      <c r="D4" s="196">
        <v>200</v>
      </c>
      <c r="E4" s="173" t="str">
        <f>IF(ISERROR(VLOOKUP(D4,[4]abilities!A:D,3,FALSE))=FALSE,VLOOKUP(D4,[4]abilities!A:D,3),IF(ISERROR(VLOOKUP(D4,abilities!A:D,3,FALSE))=FALSE,VLOOKUP(D4,abilities!A:D,3),"なし"))</f>
        <v>ウィルス無効</v>
      </c>
      <c r="F4" s="173" t="str">
        <f>IF(ISERROR(VLOOKUP(D4,[4]abilities!A:D,4,FALSE))=FALSE,VLOOKUP(D4,[4]abilities!A:D,4),IF(ISERROR(VLOOKUP(D4,abilities!A:D,4,FALSE))=FALSE,VLOOKUP(D4,abilities!A:D,4),"なし"))</f>
        <v>自身にかかるウィルスを無効化する</v>
      </c>
      <c r="G4" s="174" t="s">
        <v>274</v>
      </c>
      <c r="H4" s="197" t="s">
        <v>375</v>
      </c>
    </row>
    <row r="5" spans="1:8" s="4" customFormat="1" ht="21" customHeight="1" x14ac:dyDescent="0.15">
      <c r="A5" s="169">
        <v>8112</v>
      </c>
      <c r="B5" s="172" t="str">
        <f>VLOOKUP(A5,[1]characters!$A:$C,3)</f>
        <v>福德正神★６</v>
      </c>
      <c r="C5" s="196">
        <v>2</v>
      </c>
      <c r="D5" s="196">
        <v>3207</v>
      </c>
      <c r="E5" s="173" t="str">
        <f>IF(ISERROR(VLOOKUP(D5,[4]abilities!A:D,3,FALSE))=FALSE,VLOOKUP(D5,[4]abilities!A:D,3),IF(ISERROR(VLOOKUP(D5,abilities!A:D,3,FALSE))=FALSE,VLOOKUP(D5,abilities!A:D,3),"なし"))</f>
        <v>HP50%以下 回復力UP</v>
      </c>
      <c r="F5" s="173" t="str">
        <f>IF(ISERROR(VLOOKUP(D5,[4]abilities!A:D,4,FALSE))=FALSE,VLOOKUP(D5,[4]abilities!A:D,4),IF(ISERROR(VLOOKUP(D5,abilities!A:D,4,FALSE))=FALSE,VLOOKUP(D5,abilities!A:D,4),"なし"))</f>
        <v>残りHPが50%以下の時、全ユニットの回復力365UP</v>
      </c>
      <c r="G5" s="174" t="s">
        <v>274</v>
      </c>
      <c r="H5" s="197" t="s">
        <v>376</v>
      </c>
    </row>
    <row r="6" spans="1:8" s="4" customFormat="1" ht="21" customHeight="1" x14ac:dyDescent="0.15">
      <c r="A6" s="169">
        <v>8116</v>
      </c>
      <c r="B6" s="172" t="str">
        <f>VLOOKUP(A6,[1]characters!$A:$C,3)</f>
        <v>贏政★６</v>
      </c>
      <c r="C6" s="196">
        <v>1</v>
      </c>
      <c r="D6" s="196">
        <v>100</v>
      </c>
      <c r="E6" s="173" t="str">
        <f>IF(ISERROR(VLOOKUP(D6,[4]abilities!A:D,3,FALSE))=FALSE,VLOOKUP(D6,[4]abilities!A:D,3),IF(ISERROR(VLOOKUP(D6,abilities!A:D,3,FALSE))=FALSE,VLOOKUP(D6,abilities!A:D,3),"なし"))</f>
        <v>プロテクトブレイク</v>
      </c>
      <c r="F6" s="173" t="str">
        <f>IF(ISERROR(VLOOKUP(D6,[4]abilities!A:D,4,FALSE))=FALSE,VLOOKUP(D6,[4]abilities!A:D,4),IF(ISERROR(VLOOKUP(D6,abilities!A:D,4,FALSE))=FALSE,VLOOKUP(D6,abilities!A:D,4),"なし"))</f>
        <v>自身が先頭の時、プロテクトを無視してパネル破壊できる</v>
      </c>
      <c r="G6" s="174" t="s">
        <v>274</v>
      </c>
      <c r="H6" s="197" t="s">
        <v>377</v>
      </c>
    </row>
    <row r="7" spans="1:8" s="4" customFormat="1" ht="21" customHeight="1" x14ac:dyDescent="0.15">
      <c r="A7" s="169">
        <v>8116</v>
      </c>
      <c r="B7" s="172" t="str">
        <f>VLOOKUP(A7,[1]characters!$A:$C,3)</f>
        <v>贏政★６</v>
      </c>
      <c r="C7" s="196">
        <v>2</v>
      </c>
      <c r="D7" s="196">
        <v>3208</v>
      </c>
      <c r="E7" s="173" t="str">
        <f>IF(ISERROR(VLOOKUP(D7,[4]abilities!A:D,3,FALSE))=FALSE,VLOOKUP(D7,[4]abilities!A:D,3),IF(ISERROR(VLOOKUP(D7,abilities!A:D,3,FALSE))=FALSE,VLOOKUP(D7,abilities!A:D,3),"なし"))</f>
        <v>HP35%以下 防御力UP</v>
      </c>
      <c r="F7" s="173" t="str">
        <f>IF(ISERROR(VLOOKUP(D7,[4]abilities!A:D,4,FALSE))=FALSE,VLOOKUP(D7,[4]abilities!A:D,4),IF(ISERROR(VLOOKUP(D7,abilities!A:D,4,FALSE))=FALSE,VLOOKUP(D7,abilities!A:D,4),"なし"))</f>
        <v>残りHPが35%以下の時、自身の防御力800UP</v>
      </c>
      <c r="G7" s="174" t="s">
        <v>274</v>
      </c>
      <c r="H7" s="197" t="s">
        <v>379</v>
      </c>
    </row>
    <row r="8" spans="1:8" s="4" customFormat="1" ht="21" customHeight="1" x14ac:dyDescent="0.15">
      <c r="A8" s="169">
        <v>8122</v>
      </c>
      <c r="B8" s="172" t="str">
        <f>VLOOKUP(A8,[1]characters!$A:$C,3)</f>
        <v>法海★６</v>
      </c>
      <c r="C8" s="196">
        <v>1</v>
      </c>
      <c r="D8" s="196">
        <v>103</v>
      </c>
      <c r="E8" s="173" t="str">
        <f>IF(ISERROR(VLOOKUP(D8,[4]abilities!A:D,3,FALSE))=FALSE,VLOOKUP(D8,[4]abilities!A:D,3),IF(ISERROR(VLOOKUP(D8,abilities!A:D,3,FALSE))=FALSE,VLOOKUP(D8,abilities!A:D,3),"なし"))</f>
        <v>お邪魔ブレイク</v>
      </c>
      <c r="F8" s="173" t="str">
        <f>IF(ISERROR(VLOOKUP(D8,[4]abilities!A:D,4,FALSE))=FALSE,VLOOKUP(D8,[4]abilities!A:D,4),IF(ISERROR(VLOOKUP(D8,abilities!A:D,4,FALSE))=FALSE,VLOOKUP(D8,abilities!A:D,4),"なし"))</f>
        <v>自身が先頭の時、お邪魔パネルを破壊できる</v>
      </c>
      <c r="G8" s="174" t="s">
        <v>274</v>
      </c>
      <c r="H8" s="197" t="s">
        <v>377</v>
      </c>
    </row>
    <row r="9" spans="1:8" s="4" customFormat="1" ht="21" customHeight="1" x14ac:dyDescent="0.15">
      <c r="A9" s="169">
        <v>8122</v>
      </c>
      <c r="B9" s="172" t="str">
        <f>VLOOKUP(A9,[1]characters!$A:$C,3)</f>
        <v>法海★６</v>
      </c>
      <c r="C9" s="196">
        <v>2</v>
      </c>
      <c r="D9" s="196">
        <v>1100</v>
      </c>
      <c r="E9" s="173" t="str">
        <f>IF(ISERROR(VLOOKUP(D9,[4]abilities!A:D,3,FALSE))=FALSE,VLOOKUP(D9,[4]abilities!A:D,3),IF(ISERROR(VLOOKUP(D9,abilities!A:D,3,FALSE))=FALSE,VLOOKUP(D9,abilities!A:D,3),"なし"))</f>
        <v>Cパネル生成短縮</v>
      </c>
      <c r="F9" s="173" t="str">
        <f>IF(ISERROR(VLOOKUP(D9,[4]abilities!A:D,4,FALSE))=FALSE,VLOOKUP(D9,[4]abilities!A:D,4),IF(ISERROR(VLOOKUP(D9,abilities!A:D,4,FALSE))=FALSE,VLOOKUP(D9,abilities!A:D,4),"なし"))</f>
        <v>自身が先頭の時、Cパネル生成に必要なチェイン数を1短縮する</v>
      </c>
      <c r="G9" s="174" t="s">
        <v>274</v>
      </c>
      <c r="H9" s="197" t="s">
        <v>378</v>
      </c>
    </row>
    <row r="10" spans="1:8" s="4" customFormat="1" ht="21" customHeight="1" x14ac:dyDescent="0.15">
      <c r="A10" s="169">
        <v>8106</v>
      </c>
      <c r="B10" s="172" t="str">
        <f>VLOOKUP(A10,[1]characters!$A:$C,3)</f>
        <v>曹國舅★６</v>
      </c>
      <c r="C10" s="196">
        <v>1</v>
      </c>
      <c r="D10" s="196">
        <v>200</v>
      </c>
      <c r="E10" s="173" t="str">
        <f>IF(ISERROR(VLOOKUP(D10,[4]abilities!A:D,3,FALSE))=FALSE,VLOOKUP(D10,[4]abilities!A:D,3),IF(ISERROR(VLOOKUP(D10,abilities!A:D,3,FALSE))=FALSE,VLOOKUP(D10,abilities!A:D,3),"なし"))</f>
        <v>ウィルス無効</v>
      </c>
      <c r="F10" s="173" t="str">
        <f>IF(ISERROR(VLOOKUP(D10,[4]abilities!A:D,4,FALSE))=FALSE,VLOOKUP(D10,[4]abilities!A:D,4),IF(ISERROR(VLOOKUP(D10,abilities!A:D,4,FALSE))=FALSE,VLOOKUP(D10,abilities!A:D,4),"なし"))</f>
        <v>自身にかかるウィルスを無効化する</v>
      </c>
      <c r="G10" s="174" t="s">
        <v>274</v>
      </c>
      <c r="H10" s="197" t="s">
        <v>377</v>
      </c>
    </row>
    <row r="11" spans="1:8" s="4" customFormat="1" ht="21" customHeight="1" x14ac:dyDescent="0.15">
      <c r="A11" s="169">
        <v>8106</v>
      </c>
      <c r="B11" s="172" t="str">
        <f>VLOOKUP(A11,[1]characters!$A:$C,3)</f>
        <v>曹國舅★６</v>
      </c>
      <c r="C11" s="196">
        <v>2</v>
      </c>
      <c r="D11" s="196">
        <v>1507</v>
      </c>
      <c r="E11" s="173" t="str">
        <f>IF(ISERROR(VLOOKUP(D11,[4]abilities!A:D,3,FALSE))=FALSE,VLOOKUP(D11,[4]abilities!A:D,3),IF(ISERROR(VLOOKUP(D11,abilities!A:D,3,FALSE))=FALSE,VLOOKUP(D11,abilities!A:D,3),"なし"))</f>
        <v>バリア3500</v>
      </c>
      <c r="F11" s="173" t="str">
        <f>IF(ISERROR(VLOOKUP(D11,[4]abilities!A:D,4,FALSE))=FALSE,VLOOKUP(D11,[4]abilities!A:D,4),IF(ISERROR(VLOOKUP(D11,abilities!A:D,4,FALSE))=FALSE,VLOOKUP(D11,abilities!A:D,4),"なし"))</f>
        <v>戦闘開始時に、自身への直接ダメージを3500まで防ぐバリアを一度だけ展開(バリアは破壊されると復活しない)</v>
      </c>
      <c r="G11" s="174" t="s">
        <v>274</v>
      </c>
      <c r="H11" s="197" t="s">
        <v>378</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324</v>
      </c>
      <c r="B1" t="s">
        <v>325</v>
      </c>
    </row>
    <row r="2" spans="1:2" x14ac:dyDescent="0.15">
      <c r="A2" t="s">
        <v>326</v>
      </c>
      <c r="B2">
        <v>1</v>
      </c>
    </row>
    <row r="3" spans="1:2" x14ac:dyDescent="0.15">
      <c r="A3" t="s">
        <v>327</v>
      </c>
      <c r="B3">
        <v>1</v>
      </c>
    </row>
    <row r="4" spans="1:2" x14ac:dyDescent="0.15">
      <c r="A4" t="s">
        <v>328</v>
      </c>
      <c r="B4">
        <v>1</v>
      </c>
    </row>
    <row r="5" spans="1:2" x14ac:dyDescent="0.15">
      <c r="A5" t="s">
        <v>329</v>
      </c>
      <c r="B5">
        <v>1</v>
      </c>
    </row>
    <row r="6" spans="1:2" x14ac:dyDescent="0.15">
      <c r="A6" t="s">
        <v>330</v>
      </c>
      <c r="B6">
        <v>1</v>
      </c>
    </row>
    <row r="7" spans="1:2" x14ac:dyDescent="0.15">
      <c r="A7" t="s">
        <v>331</v>
      </c>
      <c r="B7">
        <v>1</v>
      </c>
    </row>
    <row r="8" spans="1:2" x14ac:dyDescent="0.15">
      <c r="A8" t="s">
        <v>332</v>
      </c>
      <c r="B8">
        <v>1</v>
      </c>
    </row>
    <row r="9" spans="1:2" x14ac:dyDescent="0.15">
      <c r="A9" t="s">
        <v>333</v>
      </c>
      <c r="B9">
        <v>1</v>
      </c>
    </row>
    <row r="10" spans="1:2" x14ac:dyDescent="0.15">
      <c r="A10" t="s">
        <v>334</v>
      </c>
      <c r="B10">
        <v>1</v>
      </c>
    </row>
    <row r="11" spans="1:2" x14ac:dyDescent="0.15">
      <c r="A11" t="s">
        <v>335</v>
      </c>
      <c r="B11">
        <v>1</v>
      </c>
    </row>
    <row r="12" spans="1:2" x14ac:dyDescent="0.15">
      <c r="A12" t="s">
        <v>336</v>
      </c>
      <c r="B12">
        <v>1</v>
      </c>
    </row>
    <row r="13" spans="1:2" x14ac:dyDescent="0.15">
      <c r="A13" t="s">
        <v>337</v>
      </c>
      <c r="B13">
        <v>0</v>
      </c>
    </row>
    <row r="14" spans="1:2" x14ac:dyDescent="0.15">
      <c r="A14" t="s">
        <v>338</v>
      </c>
      <c r="B14">
        <v>500</v>
      </c>
    </row>
    <row r="15" spans="1:2" x14ac:dyDescent="0.15">
      <c r="A15" t="s">
        <v>339</v>
      </c>
      <c r="B15">
        <v>600</v>
      </c>
    </row>
    <row r="16" spans="1:2" x14ac:dyDescent="0.15">
      <c r="A16" t="s">
        <v>340</v>
      </c>
      <c r="B16">
        <v>700</v>
      </c>
    </row>
    <row r="17" spans="1:2" x14ac:dyDescent="0.15">
      <c r="A17" t="s">
        <v>341</v>
      </c>
      <c r="B17">
        <v>5500</v>
      </c>
    </row>
    <row r="18" spans="1:2" x14ac:dyDescent="0.15">
      <c r="A18" t="s">
        <v>342</v>
      </c>
      <c r="B18">
        <v>6000</v>
      </c>
    </row>
    <row r="19" spans="1:2" x14ac:dyDescent="0.15">
      <c r="A19" t="s">
        <v>343</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2017-06-08T08:45:40Z</dcterms:modified>
</cp:coreProperties>
</file>