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1"/>
  </bookViews>
  <sheets>
    <sheet name="output" sheetId="103" r:id="rId1"/>
    <sheet name="gacha_300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gacha_300_base!$A$37:$B$63</definedName>
    <definedName name="_xlnm._FilterDatabase" localSheetId="4" hidden="1">gacha_bonus_tables!$B$1:$G$1</definedName>
    <definedName name="_xlnm._FilterDatabase" localSheetId="2" hidden="1">gacha_select_tables!$A$1:$S$407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408" i="82"/>
  <c r="I408" i="82"/>
  <c r="D408" i="82"/>
  <c r="H409" i="82"/>
  <c r="I409" i="82"/>
  <c r="D409" i="82"/>
  <c r="H410" i="82"/>
  <c r="I410" i="82"/>
  <c r="D410" i="82"/>
  <c r="H411" i="82"/>
  <c r="I411" i="82"/>
  <c r="D411" i="82"/>
  <c r="H412" i="82"/>
  <c r="I412" i="82"/>
  <c r="D412" i="82"/>
  <c r="H413" i="82"/>
  <c r="I413" i="82"/>
  <c r="D413" i="82"/>
  <c r="H414" i="82"/>
  <c r="I414" i="82"/>
  <c r="D414" i="82"/>
  <c r="H415" i="82"/>
  <c r="I415" i="82"/>
  <c r="D415" i="82"/>
  <c r="H416" i="82"/>
  <c r="I416" i="82"/>
  <c r="D416" i="82"/>
  <c r="H417" i="82"/>
  <c r="I417" i="82"/>
  <c r="D417" i="82"/>
  <c r="B3" i="104"/>
  <c r="B4" i="104"/>
  <c r="B5" i="104"/>
  <c r="B6" i="104"/>
  <c r="B7" i="104"/>
  <c r="B8" i="104"/>
  <c r="B9" i="104"/>
  <c r="B10" i="104"/>
  <c r="B11" i="104"/>
  <c r="B2" i="104"/>
  <c r="A6" i="94"/>
  <c r="A3" i="94"/>
  <c r="A4" i="94"/>
  <c r="A5" i="94"/>
  <c r="A7" i="94"/>
  <c r="A8" i="94"/>
  <c r="A9" i="94"/>
  <c r="A2" i="94"/>
  <c r="M162" i="82"/>
  <c r="A12" i="94"/>
  <c r="A13" i="94"/>
  <c r="A14" i="94"/>
  <c r="A15" i="94"/>
  <c r="A16" i="94"/>
  <c r="A17" i="94"/>
  <c r="A18" i="94"/>
  <c r="A19" i="94"/>
  <c r="A20" i="94"/>
  <c r="A21" i="94"/>
  <c r="M167" i="82"/>
  <c r="M166" i="82"/>
  <c r="S173" i="82"/>
  <c r="R173" i="82"/>
  <c r="Q173" i="82"/>
  <c r="P173" i="82"/>
  <c r="O173" i="82"/>
  <c r="N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A408" i="82"/>
  <c r="C408" i="82"/>
  <c r="G408" i="82"/>
  <c r="J408" i="82"/>
  <c r="K408" i="82"/>
  <c r="L408" i="82"/>
  <c r="M408" i="82"/>
  <c r="N408" i="82"/>
  <c r="O408" i="82"/>
  <c r="P408" i="82"/>
  <c r="Q408" i="82"/>
  <c r="R408" i="82"/>
  <c r="S408" i="82"/>
  <c r="A409" i="82"/>
  <c r="C409" i="82"/>
  <c r="G409" i="82"/>
  <c r="J409" i="82"/>
  <c r="K409" i="82"/>
  <c r="L409" i="82"/>
  <c r="M409" i="82"/>
  <c r="N409" i="82"/>
  <c r="O409" i="82"/>
  <c r="P409" i="82"/>
  <c r="Q409" i="82"/>
  <c r="R409" i="82"/>
  <c r="S409" i="82"/>
  <c r="A410" i="82"/>
  <c r="C410" i="82"/>
  <c r="G410" i="82"/>
  <c r="J410" i="82"/>
  <c r="K410" i="82"/>
  <c r="L410" i="82"/>
  <c r="M410" i="82"/>
  <c r="N410" i="82"/>
  <c r="O410" i="82"/>
  <c r="P410" i="82"/>
  <c r="Q410" i="82"/>
  <c r="R410" i="82"/>
  <c r="S410" i="82"/>
  <c r="A411" i="82"/>
  <c r="C411" i="82"/>
  <c r="G411" i="82"/>
  <c r="J411" i="82"/>
  <c r="K411" i="82"/>
  <c r="L411" i="82"/>
  <c r="M411" i="82"/>
  <c r="N411" i="82"/>
  <c r="O411" i="82"/>
  <c r="P411" i="82"/>
  <c r="Q411" i="82"/>
  <c r="R411" i="82"/>
  <c r="S411" i="82"/>
  <c r="A412" i="82"/>
  <c r="C412" i="82"/>
  <c r="G412" i="82"/>
  <c r="J412" i="82"/>
  <c r="K412" i="82"/>
  <c r="L412" i="82"/>
  <c r="M412" i="82"/>
  <c r="N412" i="82"/>
  <c r="O412" i="82"/>
  <c r="P412" i="82"/>
  <c r="Q412" i="82"/>
  <c r="R412" i="82"/>
  <c r="S412" i="82"/>
  <c r="A413" i="82"/>
  <c r="C413" i="82"/>
  <c r="G413" i="82"/>
  <c r="J413" i="82"/>
  <c r="K413" i="82"/>
  <c r="L413" i="82"/>
  <c r="M413" i="82"/>
  <c r="N413" i="82"/>
  <c r="O413" i="82"/>
  <c r="P413" i="82"/>
  <c r="Q413" i="82"/>
  <c r="R413" i="82"/>
  <c r="S413" i="82"/>
  <c r="A414" i="82"/>
  <c r="C414" i="82"/>
  <c r="G414" i="82"/>
  <c r="J414" i="82"/>
  <c r="K414" i="82"/>
  <c r="L414" i="82"/>
  <c r="M414" i="82"/>
  <c r="N414" i="82"/>
  <c r="O414" i="82"/>
  <c r="P414" i="82"/>
  <c r="Q414" i="82"/>
  <c r="R414" i="82"/>
  <c r="S414" i="82"/>
  <c r="A415" i="82"/>
  <c r="C415" i="82"/>
  <c r="G415" i="82"/>
  <c r="J415" i="82"/>
  <c r="K415" i="82"/>
  <c r="L415" i="82"/>
  <c r="M415" i="82"/>
  <c r="N415" i="82"/>
  <c r="O415" i="82"/>
  <c r="P415" i="82"/>
  <c r="Q415" i="82"/>
  <c r="R415" i="82"/>
  <c r="S415" i="82"/>
  <c r="A416" i="82"/>
  <c r="C416" i="82"/>
  <c r="G416" i="82"/>
  <c r="J416" i="82"/>
  <c r="K416" i="82"/>
  <c r="L416" i="82"/>
  <c r="M416" i="82"/>
  <c r="N416" i="82"/>
  <c r="O416" i="82"/>
  <c r="P416" i="82"/>
  <c r="Q416" i="82"/>
  <c r="R416" i="82"/>
  <c r="S416" i="82"/>
  <c r="A417" i="82"/>
  <c r="C417" i="82"/>
  <c r="G417" i="82"/>
  <c r="J417" i="82"/>
  <c r="K417" i="82"/>
  <c r="L417" i="82"/>
  <c r="M417" i="82"/>
  <c r="N417" i="82"/>
  <c r="O417" i="82"/>
  <c r="P417" i="82"/>
  <c r="Q417" i="82"/>
  <c r="R417" i="82"/>
  <c r="S417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D13" i="105"/>
  <c r="B5" i="105"/>
  <c r="A13" i="105"/>
  <c r="D16" i="105"/>
  <c r="A16" i="105"/>
  <c r="R165" i="82"/>
  <c r="Q165" i="82"/>
  <c r="P165" i="82"/>
  <c r="O165" i="82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97" i="82"/>
  <c r="C397" i="82"/>
  <c r="G397" i="82"/>
  <c r="J397" i="82"/>
  <c r="K397" i="82"/>
  <c r="L397" i="82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A400" i="82"/>
  <c r="C400" i="82"/>
  <c r="G400" i="82"/>
  <c r="J400" i="82"/>
  <c r="K400" i="82"/>
  <c r="L400" i="82"/>
  <c r="M400" i="82"/>
  <c r="O400" i="82"/>
  <c r="P400" i="82"/>
  <c r="Q400" i="82"/>
  <c r="R400" i="82"/>
  <c r="A401" i="82"/>
  <c r="C401" i="82"/>
  <c r="G401" i="82"/>
  <c r="J401" i="82"/>
  <c r="K401" i="82"/>
  <c r="L401" i="82"/>
  <c r="M401" i="82"/>
  <c r="O401" i="82"/>
  <c r="P401" i="82"/>
  <c r="Q401" i="82"/>
  <c r="R401" i="82"/>
  <c r="A402" i="82"/>
  <c r="C402" i="82"/>
  <c r="G402" i="82"/>
  <c r="J402" i="82"/>
  <c r="K402" i="82"/>
  <c r="L402" i="82"/>
  <c r="M402" i="82"/>
  <c r="O402" i="82"/>
  <c r="P402" i="82"/>
  <c r="Q402" i="82"/>
  <c r="R402" i="82"/>
  <c r="A403" i="82"/>
  <c r="C403" i="82"/>
  <c r="G403" i="82"/>
  <c r="J403" i="82"/>
  <c r="K403" i="82"/>
  <c r="L403" i="82"/>
  <c r="M403" i="82"/>
  <c r="O403" i="82"/>
  <c r="P403" i="82"/>
  <c r="Q403" i="82"/>
  <c r="R403" i="82"/>
  <c r="A404" i="82"/>
  <c r="C404" i="82"/>
  <c r="G404" i="82"/>
  <c r="J404" i="82"/>
  <c r="K404" i="82"/>
  <c r="L404" i="82"/>
  <c r="M404" i="82"/>
  <c r="O404" i="82"/>
  <c r="P404" i="82"/>
  <c r="Q404" i="82"/>
  <c r="R404" i="82"/>
  <c r="A405" i="82"/>
  <c r="C405" i="82"/>
  <c r="G405" i="82"/>
  <c r="J405" i="82"/>
  <c r="K405" i="82"/>
  <c r="L405" i="82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<sst xmlns="http://schemas.openxmlformats.org/spreadsheetml/2006/main" count="156" uniqueCount="93">
  <si>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</si>
  <si>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</si>
  <si>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</si>
  <si>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</si>
  <si>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</si>
  <si>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</si>
  <si>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</si>
  <si>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</si>
  <si>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</si>
  <si>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</si>
  <si>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</si>
  <si>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</si>
  <si>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</si>
  <si>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</si>
  <si>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</si>
  <si>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</si>
  <si>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</si>
  <si>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</si>
  <si>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</si>
  <si>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</si>
  <si>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</si>
  <si>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</si>
  <si>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</si>
  <si>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</si>
  <si>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</si>
  <si>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</si>
  <si>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</si>
  <si>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</si>
  <si>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</si>
  <si>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</si>
  <si>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</si>
  <si>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</si>
  <si>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</si>
  <si>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</si>
  <si>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</si>
  <si>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</si>
  <si>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</si>
  <si>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</si>
  <si>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</si>
  <si>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</si>
  <si>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</si>
  <si>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</si>
  <si>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</si>
  <si>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</si>
  <si>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</si>
  <si>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</si>
  <si>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</si>
  <si>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</si>
  <si>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</si>
  <si>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</si>
  <si>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</si>
  <si>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</si>
  <si>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</si>
  <si>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</si>
  <si>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</si>
  <si>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</si>
  <si>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</si>
  <si>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</si>
  <si>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</si>
  <si>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</si>
  <si>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</si>
  <si>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</si>
  <si>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</si>
  <si>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</si>
  <si>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</si>
  <si>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</si>
  <si>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</si>
  <si>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</si>
  <si>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</si>
  <si>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</si>
  <si>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</si>
  <si>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old</t>
    <phoneticPr fontId="13"/>
  </si>
  <si>
    <t>PremiumW</t>
  </si>
  <si>
    <t>PremiumN</t>
  </si>
  <si>
    <t>PremiumS</t>
  </si>
  <si>
    <t>PremiumSS</t>
  </si>
  <si>
    <t>label</t>
    <phoneticPr fontId="13"/>
  </si>
  <si>
    <t>color</t>
    <phoneticPr fontId="13"/>
  </si>
  <si>
    <t>rarity</t>
    <phoneticPr fontId="13"/>
  </si>
  <si>
    <t>rarity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</si>
  <si>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</si>
  <si>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</si>
  <si>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</si>
  <si>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</si>
  <si>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</si>
  <si>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</si>
  <si>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</si>
  <si>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</si>
  <si>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</si>
  <si>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総ユニット数</t>
    <rPh sb="0" eb="1">
      <t>ソウ</t>
    </rPh>
    <rPh sb="5" eb="6">
      <t>ス</t>
    </rPh>
    <phoneticPr fontId="13"/>
  </si>
  <si>
    <t>総ユニット数</t>
    <rPh sb="0" eb="6">
      <t>ソウユニッt</t>
    </rPh>
    <phoneticPr fontId="13"/>
  </si>
  <si>
    <t>レベル設定ユニット数</t>
    <rPh sb="3" eb="10">
      <t>セッテイy</t>
    </rPh>
    <phoneticPr fontId="13"/>
  </si>
  <si>
    <t>skip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</si>
</sst>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75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6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4" fillId="0" borderId="1" xfId="3036" applyFont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0" fillId="0" borderId="0" xfId="0" applyFill="1"/>
    <xf numFmtId="0" fontId="46" fillId="25" borderId="1" xfId="0" applyFont="1" applyFill="1" applyBorder="1" applyAlignment="1">
      <alignment horizontal="right" vertical="center"/>
    </xf>
    <xf numFmtId="0" fontId="46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6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3" fillId="0" borderId="1" xfId="3036" applyFont="1" applyBorder="1"/>
    <xf numFmtId="0" fontId="46" fillId="27" borderId="1" xfId="0" applyFont="1" applyFill="1" applyBorder="1" applyAlignment="1">
      <alignment vertical="center"/>
    </xf>
    <xf numFmtId="0" fontId="2" fillId="0" borderId="1" xfId="3036" applyFont="1" applyBorder="1"/>
  </cellXfs>
  <cellStyles count="357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A4" sqref="A4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300</v>
      </c>
      <c r="D2" s="25" t="s">
        <v>60</v>
      </c>
      <c r="E2" s="23" t="str">
        <f ca="1">B2&amp;C2&amp;D2</f>
        <v>gacha_select_tables_300.tmp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65" t="s">
        <v>92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300</v>
      </c>
      <c r="D3" s="25" t="s">
        <v>61</v>
      </c>
      <c r="E3" s="23" t="str">
        <f ca="1">B3&amp;C3&amp;D3</f>
        <v>gacha_settle_tables_300.tmp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92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300</v>
      </c>
      <c r="D4" s="25" t="s">
        <v>61</v>
      </c>
      <c r="E4" s="23" t="str">
        <f ca="1">B4&amp;C4&amp;D4</f>
        <v>gacha_bonus_tables_300.tmp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92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300</v>
      </c>
      <c r="D5" s="25" t="s">
        <v>61</v>
      </c>
      <c r="E5" s="23" t="str">
        <f ca="1">B5&amp;C5&amp;D5</f>
        <v>gifts_tmp_300.tmp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92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300</v>
      </c>
      <c r="D6" s="25" t="s">
        <v>61</v>
      </c>
      <c r="E6" s="23" t="str">
        <f ca="1">B6&amp;C6&amp;D6</f>
        <v>gifts_i18n_300.tmp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0"/>
  <sheetViews>
    <sheetView tabSelected="1" workbookViewId="0">
      <selection activeCell="I38" sqref="I38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9" si="0">0&amp;C3&amp;D3&amp;E3</f>
        <v>0PremiumW4</v>
      </c>
      <c r="B3">
        <v>7742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14555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14555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1567</v>
      </c>
      <c r="C6" s="52" t="s">
        <v>75</v>
      </c>
      <c r="D6">
        <v>4</v>
      </c>
    </row>
    <row r="7" spans="1:5">
      <c r="A7" s="15" t="str">
        <f t="shared" si="0"/>
        <v>0PremiumN5</v>
      </c>
      <c r="B7">
        <v>929</v>
      </c>
      <c r="C7" s="52" t="s">
        <v>73</v>
      </c>
      <c r="D7">
        <v>5</v>
      </c>
    </row>
    <row r="8" spans="1:5">
      <c r="A8" s="15" t="str">
        <f t="shared" si="0"/>
        <v>0PremiumS5</v>
      </c>
      <c r="B8">
        <v>929</v>
      </c>
      <c r="C8" s="52" t="s">
        <v>74</v>
      </c>
      <c r="D8">
        <v>5</v>
      </c>
    </row>
    <row r="9" spans="1:5">
      <c r="A9" s="15" t="str">
        <f t="shared" si="0"/>
        <v>0PremiumSS5</v>
      </c>
      <c r="B9">
        <v>100</v>
      </c>
      <c r="C9" s="52" t="s">
        <v>75</v>
      </c>
      <c r="D9">
        <v>5</v>
      </c>
    </row>
    <row r="10" spans="1:5">
      <c r="A10" s="15"/>
      <c r="B10"/>
      <c r="C10" s="61"/>
    </row>
    <row r="11" spans="1:5">
      <c r="A11" s="54"/>
      <c r="B11"/>
      <c r="C11" s="60"/>
    </row>
    <row r="12" spans="1:5">
      <c r="A12" s="15" t="str">
        <f t="shared" ref="A12:A21" si="1">1&amp;C12&amp;D12&amp;E12</f>
        <v>1PremiumW3</v>
      </c>
      <c r="B12">
        <v>4898</v>
      </c>
      <c r="C12" s="51" t="s">
        <v>72</v>
      </c>
      <c r="D12">
        <v>3</v>
      </c>
    </row>
    <row r="13" spans="1:5">
      <c r="A13" s="15" t="str">
        <f t="shared" si="1"/>
        <v>1PremiumN3</v>
      </c>
      <c r="B13">
        <v>7347</v>
      </c>
      <c r="C13" s="51" t="s">
        <v>73</v>
      </c>
      <c r="D13">
        <v>3</v>
      </c>
    </row>
    <row r="14" spans="1:5">
      <c r="A14" s="15" t="str">
        <f t="shared" si="1"/>
        <v>1PremiumS3</v>
      </c>
      <c r="B14">
        <v>7837</v>
      </c>
      <c r="C14" s="51" t="s">
        <v>74</v>
      </c>
      <c r="D14">
        <v>3</v>
      </c>
    </row>
    <row r="15" spans="1:5">
      <c r="A15" s="15" t="str">
        <f t="shared" si="1"/>
        <v>1PremiumW4</v>
      </c>
      <c r="B15">
        <v>4898</v>
      </c>
      <c r="C15" s="51" t="s">
        <v>72</v>
      </c>
      <c r="D15">
        <v>4</v>
      </c>
    </row>
    <row r="16" spans="1:5">
      <c r="A16" s="15" t="str">
        <f t="shared" si="1"/>
        <v>1PremiumN4</v>
      </c>
      <c r="B16">
        <v>6436</v>
      </c>
      <c r="C16" s="51" t="s">
        <v>73</v>
      </c>
      <c r="D16">
        <v>4</v>
      </c>
    </row>
    <row r="17" spans="1:9">
      <c r="A17" s="15" t="str">
        <f t="shared" si="1"/>
        <v>1PremiumS4</v>
      </c>
      <c r="B17">
        <v>6865</v>
      </c>
      <c r="C17" s="51" t="s">
        <v>74</v>
      </c>
      <c r="D17">
        <v>4</v>
      </c>
      <c r="H17" s="50"/>
      <c r="I17" s="50"/>
    </row>
    <row r="18" spans="1:9">
      <c r="A18" s="15" t="str">
        <f t="shared" si="1"/>
        <v>1PremiumSS4</v>
      </c>
      <c r="B18">
        <v>1705</v>
      </c>
      <c r="C18" s="51" t="s">
        <v>75</v>
      </c>
      <c r="D18">
        <v>4</v>
      </c>
    </row>
    <row r="19" spans="1:9">
      <c r="A19" s="15" t="str">
        <f t="shared" si="1"/>
        <v>1PremiumN5</v>
      </c>
      <c r="B19">
        <v>911</v>
      </c>
      <c r="C19" s="51" t="s">
        <v>73</v>
      </c>
      <c r="D19">
        <v>5</v>
      </c>
    </row>
    <row r="20" spans="1:9">
      <c r="A20" s="15" t="str">
        <f t="shared" si="1"/>
        <v>1PremiumS5</v>
      </c>
      <c r="B20">
        <v>972</v>
      </c>
      <c r="C20" s="52" t="s">
        <v>74</v>
      </c>
      <c r="D20">
        <v>5</v>
      </c>
    </row>
    <row r="21" spans="1:9">
      <c r="A21" s="15" t="str">
        <f t="shared" si="1"/>
        <v>1PremiumSS5</v>
      </c>
      <c r="B21">
        <v>113</v>
      </c>
      <c r="C21" s="52" t="s">
        <v>75</v>
      </c>
      <c r="D21">
        <v>5</v>
      </c>
    </row>
    <row r="22" spans="1:9">
      <c r="A22" s="15"/>
      <c r="B22"/>
      <c r="C22" s="52"/>
    </row>
    <row r="23" spans="1:9">
      <c r="A23" s="15"/>
      <c r="B23"/>
      <c r="C23" s="51"/>
    </row>
    <row r="24" spans="1:9">
      <c r="A24" s="15"/>
      <c r="B24"/>
      <c r="C24" s="51"/>
    </row>
    <row r="25" spans="1:9">
      <c r="A25" s="15"/>
      <c r="B25"/>
      <c r="C25" s="41"/>
    </row>
    <row r="26" spans="1:9">
      <c r="A26" s="15"/>
      <c r="B26"/>
      <c r="C26" s="41"/>
    </row>
    <row r="27" spans="1:9">
      <c r="A27" s="15"/>
      <c r="B27"/>
      <c r="C27" s="41"/>
    </row>
    <row r="28" spans="1:9">
      <c r="A28" s="15"/>
      <c r="B28"/>
      <c r="C28" s="41"/>
    </row>
    <row r="29" spans="1:9">
      <c r="A29" s="15"/>
      <c r="B29"/>
      <c r="C29" s="41"/>
    </row>
    <row r="30" spans="1:9">
      <c r="A30" s="54"/>
      <c r="B30"/>
      <c r="C30"/>
    </row>
    <row r="31" spans="1:9">
      <c r="A31" s="54"/>
      <c r="C31" s="60"/>
    </row>
    <row r="32" spans="1:9">
      <c r="A32" s="54"/>
      <c r="C32" s="53"/>
    </row>
    <row r="33" spans="1:3">
      <c r="A33" s="54"/>
      <c r="C33" s="53"/>
    </row>
    <row r="34" spans="1:3">
      <c r="A34" s="54"/>
      <c r="C34" s="53"/>
    </row>
    <row r="35" spans="1:3">
      <c r="A35" s="54"/>
      <c r="C35" s="60"/>
    </row>
    <row r="36" spans="1:3">
      <c r="A36" s="54"/>
      <c r="C36" s="60"/>
    </row>
    <row r="37" spans="1:3">
      <c r="A37" s="54"/>
    </row>
    <row r="38" spans="1:3">
      <c r="A38" s="54"/>
    </row>
    <row r="39" spans="1:3">
      <c r="A39" s="54"/>
    </row>
    <row r="40" spans="1:3">
      <c r="A40" s="54"/>
    </row>
    <row r="43" spans="1:3">
      <c r="A43" s="54"/>
      <c r="C43" s="53"/>
    </row>
    <row r="44" spans="1:3">
      <c r="A44" s="54"/>
      <c r="C44" s="53"/>
    </row>
    <row r="45" spans="1:3">
      <c r="A45" s="54"/>
      <c r="C45" s="53"/>
    </row>
    <row r="46" spans="1:3">
      <c r="A46" s="54"/>
      <c r="C46" s="53"/>
    </row>
    <row r="47" spans="1:3">
      <c r="A47" s="54"/>
      <c r="C47" s="53"/>
    </row>
    <row r="48" spans="1:3">
      <c r="A48" s="54"/>
      <c r="C48" s="53"/>
    </row>
    <row r="49" spans="1:3">
      <c r="A49" s="54"/>
      <c r="C49" s="53"/>
    </row>
    <row r="50" spans="1:3">
      <c r="A50" s="54"/>
    </row>
    <row r="51" spans="1:3">
      <c r="A51" s="54"/>
    </row>
    <row r="52" spans="1:3">
      <c r="A52" s="54"/>
    </row>
    <row r="55" spans="1:3">
      <c r="A55" s="54"/>
      <c r="C55" s="53"/>
    </row>
    <row r="56" spans="1:3">
      <c r="A56" s="54"/>
      <c r="C56" s="53"/>
    </row>
    <row r="57" spans="1:3">
      <c r="A57" s="54"/>
      <c r="C57" s="53"/>
    </row>
    <row r="58" spans="1:3">
      <c r="A58" s="54"/>
      <c r="C58" s="53"/>
    </row>
    <row r="59" spans="1:3">
      <c r="A59" s="54"/>
      <c r="C59" s="53"/>
    </row>
    <row r="60" spans="1:3">
      <c r="A60" s="54"/>
      <c r="C60" s="53"/>
    </row>
    <row r="61" spans="1:3">
      <c r="A61" s="54"/>
      <c r="C61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7" spans="1:3">
      <c r="A67" s="54"/>
      <c r="C67" s="53"/>
    </row>
    <row r="68" spans="1:3">
      <c r="A68" s="54"/>
      <c r="C68" s="53"/>
    </row>
    <row r="69" spans="1:3">
      <c r="A69" s="54"/>
      <c r="C69" s="53"/>
    </row>
    <row r="70" spans="1:3">
      <c r="A70" s="54"/>
      <c r="C70" s="53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17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F404" sqref="F40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3000127</v>
      </c>
      <c r="B2" s="2" t="str">
        <f>300&amp;E2</f>
        <v>3000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VLOOKUP(D2,gacha_300_base!A:B,2,FALSE)</f>
        <v>7742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3000129</v>
      </c>
      <c r="B3" s="2" t="str">
        <f t="shared" ref="B3:B66" si="3">300&amp;E3</f>
        <v>3000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VLOOKUP(D3,gacha_300_base!A:B,2,FALSE)</f>
        <v>7742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3000131</v>
      </c>
      <c r="B4" s="2" t="str">
        <f t="shared" si="3"/>
        <v>3000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VLOOKUP(D4,gacha_300_base!A:B,2,FALSE)</f>
        <v>7742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3000133</v>
      </c>
      <c r="B5" s="2" t="str">
        <f t="shared" si="3"/>
        <v>3000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VLOOKUP(D5,gacha_300_base!A:B,2,FALSE)</f>
        <v>7742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3000135</v>
      </c>
      <c r="B6" s="2" t="str">
        <f t="shared" si="3"/>
        <v>3000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VLOOKUP(D6,gacha_300_base!A:B,2,FALSE)</f>
        <v>7742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3000137</v>
      </c>
      <c r="B7" s="2" t="str">
        <f t="shared" si="3"/>
        <v>3000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VLOOKUP(D7,gacha_300_base!A:B,2,FALSE)</f>
        <v>7742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3000139</v>
      </c>
      <c r="B8" s="2" t="str">
        <f t="shared" si="3"/>
        <v>3000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VLOOKUP(D8,gacha_300_base!A:B,2,FALSE)</f>
        <v>7742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3000141</v>
      </c>
      <c r="B9" s="2" t="str">
        <f t="shared" si="3"/>
        <v>3000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VLOOKUP(D9,gacha_300_base!A:B,2,FALSE)</f>
        <v>7742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3000143</v>
      </c>
      <c r="B10" s="2" t="str">
        <f t="shared" si="3"/>
        <v>3000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VLOOKUP(D10,gacha_300_base!A:B,2,FALSE)</f>
        <v>7742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3000145</v>
      </c>
      <c r="B11" s="2" t="str">
        <f t="shared" si="3"/>
        <v>3000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VLOOKUP(D11,gacha_300_base!A:B,2,FALSE)</f>
        <v>7742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3000147</v>
      </c>
      <c r="B12" s="2" t="str">
        <f t="shared" si="3"/>
        <v>3000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VLOOKUP(D12,gacha_300_base!A:B,2,FALSE)</f>
        <v>7742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3000149</v>
      </c>
      <c r="B13" s="2" t="str">
        <f t="shared" si="3"/>
        <v>3000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VLOOKUP(D13,gacha_300_base!A:B,2,FALSE)</f>
        <v>7742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3000151</v>
      </c>
      <c r="B14" s="2" t="str">
        <f t="shared" si="3"/>
        <v>3000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VLOOKUP(D14,gacha_300_base!A:B,2,FALSE)</f>
        <v>7742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3000153</v>
      </c>
      <c r="B15" s="2" t="str">
        <f t="shared" si="3"/>
        <v>3000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VLOOKUP(D15,gacha_300_base!A:B,2,FALSE)</f>
        <v>7742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3000155</v>
      </c>
      <c r="B16" s="2" t="str">
        <f t="shared" si="3"/>
        <v>3000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VLOOKUP(D16,gacha_300_base!A:B,2,FALSE)</f>
        <v>7742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3000157</v>
      </c>
      <c r="B17" s="2" t="str">
        <f t="shared" si="3"/>
        <v>3000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VLOOKUP(D17,gacha_300_base!A:B,2,FALSE)</f>
        <v>7742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3000159</v>
      </c>
      <c r="B18" s="2" t="str">
        <f t="shared" si="3"/>
        <v>3000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VLOOKUP(D18,gacha_300_base!A:B,2,FALSE)</f>
        <v>7742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3000161</v>
      </c>
      <c r="B19" s="2" t="str">
        <f t="shared" si="3"/>
        <v>3000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VLOOKUP(D19,gacha_300_base!A:B,2,FALSE)</f>
        <v>7742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3000163</v>
      </c>
      <c r="B20" s="2" t="str">
        <f t="shared" si="3"/>
        <v>3000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VLOOKUP(D20,gacha_300_base!A:B,2,FALSE)</f>
        <v>7742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3000165</v>
      </c>
      <c r="B21" s="2" t="str">
        <f t="shared" si="3"/>
        <v>3000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VLOOKUP(D21,gacha_300_base!A:B,2,FALSE)</f>
        <v>7742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3000167</v>
      </c>
      <c r="B22" s="2" t="str">
        <f t="shared" si="3"/>
        <v>3000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VLOOKUP(D22,gacha_300_base!A:B,2,FALSE)</f>
        <v>14555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3000168</v>
      </c>
      <c r="B23" s="2" t="str">
        <f t="shared" si="3"/>
        <v>3000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VLOOKUP(D23,gacha_300_base!A:B,2,FALSE)</f>
        <v>929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3000170</v>
      </c>
      <c r="B24" s="2" t="str">
        <f t="shared" si="3"/>
        <v>3000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VLOOKUP(D24,gacha_300_base!A:B,2,FALSE)</f>
        <v>14555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3000171</v>
      </c>
      <c r="B25" s="2" t="str">
        <f t="shared" si="3"/>
        <v>3000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VLOOKUP(D25,gacha_300_base!A:B,2,FALSE)</f>
        <v>929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3000173</v>
      </c>
      <c r="B26" s="2" t="str">
        <f t="shared" si="3"/>
        <v>3000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VLOOKUP(D26,gacha_300_base!A:B,2,FALSE)</f>
        <v>14555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3000174</v>
      </c>
      <c r="B27" s="2" t="str">
        <f t="shared" si="3"/>
        <v>3000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VLOOKUP(D27,gacha_300_base!A:B,2,FALSE)</f>
        <v>929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3000176</v>
      </c>
      <c r="B28" s="2" t="str">
        <f t="shared" si="3"/>
        <v>3000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VLOOKUP(D28,gacha_300_base!A:B,2,FALSE)</f>
        <v>14555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3000177</v>
      </c>
      <c r="B29" s="2" t="str">
        <f t="shared" si="3"/>
        <v>3000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VLOOKUP(D29,gacha_300_base!A:B,2,FALSE)</f>
        <v>929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3000179</v>
      </c>
      <c r="B30" s="2" t="str">
        <f t="shared" si="3"/>
        <v>3000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VLOOKUP(D30,gacha_300_base!A:B,2,FALSE)</f>
        <v>14555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3000180</v>
      </c>
      <c r="B31" s="2" t="str">
        <f t="shared" si="3"/>
        <v>3000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VLOOKUP(D31,gacha_300_base!A:B,2,FALSE)</f>
        <v>929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3000182</v>
      </c>
      <c r="B32" s="2" t="str">
        <f t="shared" si="3"/>
        <v>3000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VLOOKUP(D32,gacha_300_base!A:B,2,FALSE)</f>
        <v>14555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3000183</v>
      </c>
      <c r="B33" s="2" t="str">
        <f t="shared" si="3"/>
        <v>3000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VLOOKUP(D33,gacha_300_base!A:B,2,FALSE)</f>
        <v>929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3000185</v>
      </c>
      <c r="B34" s="2" t="str">
        <f t="shared" si="3"/>
        <v>3000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VLOOKUP(D34,gacha_300_base!A:B,2,FALSE)</f>
        <v>14555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3000186</v>
      </c>
      <c r="B35" s="2" t="str">
        <f t="shared" si="3"/>
        <v>3000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VLOOKUP(D35,gacha_300_base!A:B,2,FALSE)</f>
        <v>929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3000188</v>
      </c>
      <c r="B36" s="2" t="str">
        <f t="shared" si="3"/>
        <v>3000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VLOOKUP(D36,gacha_300_base!A:B,2,FALSE)</f>
        <v>14555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3000189</v>
      </c>
      <c r="B37" s="2" t="str">
        <f t="shared" si="3"/>
        <v>3000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VLOOKUP(D37,gacha_300_base!A:B,2,FALSE)</f>
        <v>929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3000191</v>
      </c>
      <c r="B38" s="2" t="str">
        <f t="shared" si="3"/>
        <v>3000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VLOOKUP(D38,gacha_300_base!A:B,2,FALSE)</f>
        <v>14555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3000192</v>
      </c>
      <c r="B39" s="2" t="str">
        <f t="shared" si="3"/>
        <v>3000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VLOOKUP(D39,gacha_300_base!A:B,2,FALSE)</f>
        <v>929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3000194</v>
      </c>
      <c r="B40" s="2" t="str">
        <f t="shared" si="3"/>
        <v>3000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VLOOKUP(D40,gacha_300_base!A:B,2,FALSE)</f>
        <v>14555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3000195</v>
      </c>
      <c r="B41" s="2" t="str">
        <f t="shared" si="3"/>
        <v>3000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VLOOKUP(D41,gacha_300_base!A:B,2,FALSE)</f>
        <v>929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3000197</v>
      </c>
      <c r="B42" s="2" t="str">
        <f t="shared" si="3"/>
        <v>3000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VLOOKUP(D42,gacha_300_base!A:B,2,FALSE)</f>
        <v>14555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3000198</v>
      </c>
      <c r="B43" s="2" t="str">
        <f t="shared" si="3"/>
        <v>3000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VLOOKUP(D43,gacha_300_base!A:B,2,FALSE)</f>
        <v>929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3000200</v>
      </c>
      <c r="B44" s="2" t="str">
        <f t="shared" si="3"/>
        <v>3000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VLOOKUP(D44,gacha_300_base!A:B,2,FALSE)</f>
        <v>14555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3000201</v>
      </c>
      <c r="B45" s="2" t="str">
        <f t="shared" si="3"/>
        <v>3000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VLOOKUP(D45,gacha_300_base!A:B,2,FALSE)</f>
        <v>929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3000203</v>
      </c>
      <c r="B46" s="2" t="str">
        <f t="shared" si="3"/>
        <v>3000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VLOOKUP(D46,gacha_300_base!A:B,2,FALSE)</f>
        <v>14555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3000204</v>
      </c>
      <c r="B47" s="2" t="str">
        <f t="shared" si="3"/>
        <v>3000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VLOOKUP(D47,gacha_300_base!A:B,2,FALSE)</f>
        <v>929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3000206</v>
      </c>
      <c r="B48" s="2" t="str">
        <f t="shared" si="3"/>
        <v>3000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VLOOKUP(D48,gacha_300_base!A:B,2,FALSE)</f>
        <v>14555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3000207</v>
      </c>
      <c r="B49" s="2" t="str">
        <f t="shared" si="3"/>
        <v>3000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VLOOKUP(D49,gacha_300_base!A:B,2,FALSE)</f>
        <v>929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3000209</v>
      </c>
      <c r="B50" s="2" t="str">
        <f t="shared" si="3"/>
        <v>3000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VLOOKUP(D50,gacha_300_base!A:B,2,FALSE)</f>
        <v>14555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3000210</v>
      </c>
      <c r="B51" s="2" t="str">
        <f t="shared" si="3"/>
        <v>3000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VLOOKUP(D51,gacha_300_base!A:B,2,FALSE)</f>
        <v>929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3000212</v>
      </c>
      <c r="B52" s="2" t="str">
        <f t="shared" si="3"/>
        <v>3000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VLOOKUP(D52,gacha_300_base!A:B,2,FALSE)</f>
        <v>14555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3000213</v>
      </c>
      <c r="B53" s="2" t="str">
        <f t="shared" si="3"/>
        <v>3000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VLOOKUP(D53,gacha_300_base!A:B,2,FALSE)</f>
        <v>929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3000215</v>
      </c>
      <c r="B54" s="2" t="str">
        <f t="shared" si="3"/>
        <v>3000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VLOOKUP(D54,gacha_300_base!A:B,2,FALSE)</f>
        <v>14555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3000216</v>
      </c>
      <c r="B55" s="2" t="str">
        <f t="shared" si="3"/>
        <v>3000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VLOOKUP(D55,gacha_300_base!A:B,2,FALSE)</f>
        <v>929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3000218</v>
      </c>
      <c r="B56" s="2" t="str">
        <f t="shared" si="3"/>
        <v>3000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VLOOKUP(D56,gacha_300_base!A:B,2,FALSE)</f>
        <v>14555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3000219</v>
      </c>
      <c r="B57" s="2" t="str">
        <f t="shared" si="3"/>
        <v>3000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VLOOKUP(D57,gacha_300_base!A:B,2,FALSE)</f>
        <v>929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3000221</v>
      </c>
      <c r="B58" s="2" t="str">
        <f t="shared" si="3"/>
        <v>3000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VLOOKUP(D58,gacha_300_base!A:B,2,FALSE)</f>
        <v>14555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3000222</v>
      </c>
      <c r="B59" s="2" t="str">
        <f t="shared" si="3"/>
        <v>3000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VLOOKUP(D59,gacha_300_base!A:B,2,FALSE)</f>
        <v>929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3000224</v>
      </c>
      <c r="B60" s="2" t="str">
        <f t="shared" si="3"/>
        <v>3000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VLOOKUP(D60,gacha_300_base!A:B,2,FALSE)</f>
        <v>14555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3000225</v>
      </c>
      <c r="B61" s="2" t="str">
        <f t="shared" si="3"/>
        <v>3000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VLOOKUP(D61,gacha_300_base!A:B,2,FALSE)</f>
        <v>929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3000227</v>
      </c>
      <c r="B62" s="2" t="str">
        <f t="shared" si="3"/>
        <v>3000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VLOOKUP(D62,gacha_300_base!A:B,2,FALSE)</f>
        <v>14555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3000228</v>
      </c>
      <c r="B63" s="2" t="str">
        <f t="shared" si="3"/>
        <v>3000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VLOOKUP(D63,gacha_300_base!A:B,2,FALSE)</f>
        <v>929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3000230</v>
      </c>
      <c r="B64" s="2" t="str">
        <f t="shared" si="3"/>
        <v>3000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VLOOKUP(D64,gacha_300_base!A:B,2,FALSE)</f>
        <v>14555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3000231</v>
      </c>
      <c r="B65" s="2" t="str">
        <f t="shared" si="3"/>
        <v>3000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VLOOKUP(D65,gacha_300_base!A:B,2,FALSE)</f>
        <v>929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3000233</v>
      </c>
      <c r="B66" s="2" t="str">
        <f t="shared" si="3"/>
        <v>3000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VLOOKUP(D66,gacha_300_base!A:B,2,FALSE)</f>
        <v>14555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3000234</v>
      </c>
      <c r="B67" s="2" t="str">
        <f t="shared" ref="B67:B130" si="7">300&amp;E67</f>
        <v>3000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VLOOKUP(D67,gacha_300_base!A:B,2,FALSE)</f>
        <v>929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3000236</v>
      </c>
      <c r="B68" s="2" t="str">
        <f t="shared" si="7"/>
        <v>3000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VLOOKUP(D68,gacha_300_base!A:B,2,FALSE)</f>
        <v>14555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3000237</v>
      </c>
      <c r="B69" s="2" t="str">
        <f t="shared" si="7"/>
        <v>3000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VLOOKUP(D69,gacha_300_base!A:B,2,FALSE)</f>
        <v>929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3000239</v>
      </c>
      <c r="B70" s="2" t="str">
        <f t="shared" si="7"/>
        <v>3000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VLOOKUP(D70,gacha_300_base!A:B,2,FALSE)</f>
        <v>14555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3000240</v>
      </c>
      <c r="B71" s="2" t="str">
        <f t="shared" si="7"/>
        <v>3000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VLOOKUP(D71,gacha_300_base!A:B,2,FALSE)</f>
        <v>929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3000242</v>
      </c>
      <c r="B72" s="2" t="str">
        <f t="shared" si="7"/>
        <v>3000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VLOOKUP(D72,gacha_300_base!A:B,2,FALSE)</f>
        <v>14555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3000243</v>
      </c>
      <c r="B73" s="2" t="str">
        <f t="shared" si="7"/>
        <v>3000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VLOOKUP(D73,gacha_300_base!A:B,2,FALSE)</f>
        <v>929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3000245</v>
      </c>
      <c r="B74" s="2" t="str">
        <f t="shared" si="7"/>
        <v>3000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VLOOKUP(D74,gacha_300_base!A:B,2,FALSE)</f>
        <v>14555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3000246</v>
      </c>
      <c r="B75" s="2" t="str">
        <f t="shared" si="7"/>
        <v>3000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VLOOKUP(D75,gacha_300_base!A:B,2,FALSE)</f>
        <v>929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3000248</v>
      </c>
      <c r="B76" s="2" t="str">
        <f t="shared" si="7"/>
        <v>3000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VLOOKUP(D76,gacha_300_base!A:B,2,FALSE)</f>
        <v>14555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3000249</v>
      </c>
      <c r="B77" s="2" t="str">
        <f t="shared" si="7"/>
        <v>3000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VLOOKUP(D77,gacha_300_base!A:B,2,FALSE)</f>
        <v>929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3000251</v>
      </c>
      <c r="B78" s="2" t="str">
        <f t="shared" si="7"/>
        <v>3000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VLOOKUP(D78,gacha_300_base!A:B,2,FALSE)</f>
        <v>14555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3000252</v>
      </c>
      <c r="B79" s="2" t="str">
        <f t="shared" si="7"/>
        <v>3000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VLOOKUP(D79,gacha_300_base!A:B,2,FALSE)</f>
        <v>929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3000254</v>
      </c>
      <c r="B80" s="2" t="str">
        <f t="shared" si="7"/>
        <v>3000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VLOOKUP(D80,gacha_300_base!A:B,2,FALSE)</f>
        <v>14555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3000255</v>
      </c>
      <c r="B81" s="2" t="str">
        <f t="shared" si="7"/>
        <v>3000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VLOOKUP(D81,gacha_300_base!A:B,2,FALSE)</f>
        <v>929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3000257</v>
      </c>
      <c r="B82" s="2" t="str">
        <f t="shared" si="7"/>
        <v>3000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VLOOKUP(D82,gacha_300_base!A:B,2,FALSE)</f>
        <v>14555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3000258</v>
      </c>
      <c r="B83" s="2" t="str">
        <f t="shared" si="7"/>
        <v>3000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VLOOKUP(D83,gacha_300_base!A:B,2,FALSE)</f>
        <v>929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3000260</v>
      </c>
      <c r="B84" s="2" t="str">
        <f t="shared" si="7"/>
        <v>3000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VLOOKUP(D84,gacha_300_base!A:B,2,FALSE)</f>
        <v>14555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3000261</v>
      </c>
      <c r="B85" s="2" t="str">
        <f t="shared" si="7"/>
        <v>3000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VLOOKUP(D85,gacha_300_base!A:B,2,FALSE)</f>
        <v>929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3000320</v>
      </c>
      <c r="B86" s="2" t="str">
        <f t="shared" si="7"/>
        <v>3000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VLOOKUP(D86,gacha_300_base!A:B,2,FALSE)</f>
        <v>1567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3000321</v>
      </c>
      <c r="B87" s="2" t="str">
        <f t="shared" si="7"/>
        <v>3000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VLOOKUP(D87,gacha_300_base!A:B,2,FALSE)</f>
        <v>100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3000322</v>
      </c>
      <c r="B88" s="2" t="str">
        <f t="shared" si="7"/>
        <v>3000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VLOOKUP(D88,gacha_300_base!A:B,2,FALSE)</f>
        <v>1567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3000323</v>
      </c>
      <c r="B89" s="2" t="str">
        <f t="shared" si="7"/>
        <v>3000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VLOOKUP(D89,gacha_300_base!A:B,2,FALSE)</f>
        <v>100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3000324</v>
      </c>
      <c r="B90" s="2" t="str">
        <f t="shared" si="7"/>
        <v>3000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VLOOKUP(D90,gacha_300_base!A:B,2,FALSE)</f>
        <v>1567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3000325</v>
      </c>
      <c r="B91" s="2" t="str">
        <f t="shared" si="7"/>
        <v>3000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VLOOKUP(D91,gacha_300_base!A:B,2,FALSE)</f>
        <v>100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3000326</v>
      </c>
      <c r="B92" s="2" t="str">
        <f t="shared" si="7"/>
        <v>3000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VLOOKUP(D92,gacha_300_base!A:B,2,FALSE)</f>
        <v>1567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3000327</v>
      </c>
      <c r="B93" s="2" t="str">
        <f t="shared" si="7"/>
        <v>3000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VLOOKUP(D93,gacha_300_base!A:B,2,FALSE)</f>
        <v>100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3000381</v>
      </c>
      <c r="B94" s="2" t="str">
        <f t="shared" si="7"/>
        <v>3000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VLOOKUP(D94,gacha_300_base!A:B,2,FALSE)</f>
        <v>14555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3000382</v>
      </c>
      <c r="B95" s="2" t="str">
        <f t="shared" si="7"/>
        <v>3000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VLOOKUP(D95,gacha_300_base!A:B,2,FALSE)</f>
        <v>929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3000383</v>
      </c>
      <c r="B96" s="2" t="str">
        <f t="shared" si="7"/>
        <v>3000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VLOOKUP(D96,gacha_300_base!A:B,2,FALSE)</f>
        <v>1567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3000384</v>
      </c>
      <c r="B97" s="2" t="str">
        <f t="shared" si="7"/>
        <v>3000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VLOOKUP(D97,gacha_300_base!A:B,2,FALSE)</f>
        <v>100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3000385</v>
      </c>
      <c r="B98" s="2" t="str">
        <f t="shared" si="7"/>
        <v>3000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VLOOKUP(D98,gacha_300_base!A:B,2,FALSE)</f>
        <v>1567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3000386</v>
      </c>
      <c r="B99" s="2" t="str">
        <f t="shared" si="7"/>
        <v>3000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VLOOKUP(D99,gacha_300_base!A:B,2,FALSE)</f>
        <v>100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3000388</v>
      </c>
      <c r="B100" s="2" t="str">
        <f t="shared" si="7"/>
        <v>3000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VLOOKUP(D100,gacha_300_base!A:B,2,FALSE)</f>
        <v>14555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3000389</v>
      </c>
      <c r="B101" s="2" t="str">
        <f t="shared" si="7"/>
        <v>3000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VLOOKUP(D101,gacha_300_base!A:B,2,FALSE)</f>
        <v>929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3000390</v>
      </c>
      <c r="B102" s="2" t="str">
        <f t="shared" si="7"/>
        <v>3000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VLOOKUP(D102,gacha_300_base!A:B,2,FALSE)</f>
        <v>1567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3000391</v>
      </c>
      <c r="B103" s="2" t="str">
        <f t="shared" si="7"/>
        <v>3000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VLOOKUP(D103,gacha_300_base!A:B,2,FALSE)</f>
        <v>100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3000393</v>
      </c>
      <c r="B104" s="2" t="str">
        <f t="shared" si="7"/>
        <v>3000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VLOOKUP(D104,gacha_300_base!A:B,2,FALSE)</f>
        <v>14555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3000394</v>
      </c>
      <c r="B105" s="2" t="str">
        <f t="shared" si="7"/>
        <v>3000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VLOOKUP(D105,gacha_300_base!A:B,2,FALSE)</f>
        <v>929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3000396</v>
      </c>
      <c r="B106" s="2" t="str">
        <f t="shared" si="7"/>
        <v>3000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VLOOKUP(D106,gacha_300_base!A:B,2,FALSE)</f>
        <v>14555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3000397</v>
      </c>
      <c r="B107" s="2" t="str">
        <f t="shared" si="7"/>
        <v>3000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VLOOKUP(D107,gacha_300_base!A:B,2,FALSE)</f>
        <v>929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3000398</v>
      </c>
      <c r="B108" s="2" t="str">
        <f t="shared" si="7"/>
        <v>3000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VLOOKUP(D108,gacha_300_base!A:B,2,FALSE)</f>
        <v>1567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3000399</v>
      </c>
      <c r="B109" s="2" t="str">
        <f t="shared" si="7"/>
        <v>3000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VLOOKUP(D109,gacha_300_base!A:B,2,FALSE)</f>
        <v>100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3000401</v>
      </c>
      <c r="B110" s="2" t="str">
        <f t="shared" si="7"/>
        <v>3000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VLOOKUP(D110,gacha_300_base!A:B,2,FALSE)</f>
        <v>14555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3000402</v>
      </c>
      <c r="B111" s="2" t="str">
        <f t="shared" si="7"/>
        <v>3000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VLOOKUP(D111,gacha_300_base!A:B,2,FALSE)</f>
        <v>929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3000403</v>
      </c>
      <c r="B112" s="2" t="str">
        <f t="shared" si="7"/>
        <v>3000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VLOOKUP(D112,gacha_300_base!A:B,2,FALSE)</f>
        <v>1567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3000404</v>
      </c>
      <c r="B113" s="2" t="str">
        <f t="shared" si="7"/>
        <v>3000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VLOOKUP(D113,gacha_300_base!A:B,2,FALSE)</f>
        <v>100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3000406</v>
      </c>
      <c r="B114" s="2" t="str">
        <f t="shared" si="7"/>
        <v>3000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VLOOKUP(D114,gacha_300_base!A:B,2,FALSE)</f>
        <v>14555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3000407</v>
      </c>
      <c r="B115" s="2" t="str">
        <f t="shared" si="7"/>
        <v>3000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VLOOKUP(D115,gacha_300_base!A:B,2,FALSE)</f>
        <v>929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3000408</v>
      </c>
      <c r="B116" s="2" t="str">
        <f t="shared" si="7"/>
        <v>3000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VLOOKUP(D116,gacha_300_base!A:B,2,FALSE)</f>
        <v>1567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3000409</v>
      </c>
      <c r="B117" s="2" t="str">
        <f t="shared" si="7"/>
        <v>3000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VLOOKUP(D117,gacha_300_base!A:B,2,FALSE)</f>
        <v>100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3000434</v>
      </c>
      <c r="B118" s="2" t="str">
        <f t="shared" si="7"/>
        <v>3000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VLOOKUP(D118,gacha_300_base!A:B,2,FALSE)</f>
        <v>1567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3000435</v>
      </c>
      <c r="B119" s="2" t="str">
        <f t="shared" si="7"/>
        <v>3000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VLOOKUP(D119,gacha_300_base!A:B,2,FALSE)</f>
        <v>100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3000437</v>
      </c>
      <c r="B120" s="2" t="str">
        <f t="shared" si="7"/>
        <v>3000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VLOOKUP(D120,gacha_300_base!A:B,2,FALSE)</f>
        <v>14555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3000438</v>
      </c>
      <c r="B121" s="2" t="str">
        <f t="shared" si="7"/>
        <v>3000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VLOOKUP(D121,gacha_300_base!A:B,2,FALSE)</f>
        <v>929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3000440</v>
      </c>
      <c r="B122" s="2" t="str">
        <f t="shared" si="7"/>
        <v>3000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VLOOKUP(D122,gacha_300_base!A:B,2,FALSE)</f>
        <v>14555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3000441</v>
      </c>
      <c r="B123" s="2" t="str">
        <f t="shared" si="7"/>
        <v>3000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VLOOKUP(D123,gacha_300_base!A:B,2,FALSE)</f>
        <v>929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3000442</v>
      </c>
      <c r="B124" s="2" t="str">
        <f t="shared" si="7"/>
        <v>3000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VLOOKUP(D124,gacha_300_base!A:B,2,FALSE)</f>
        <v>1567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3000443</v>
      </c>
      <c r="B125" s="2" t="str">
        <f t="shared" si="7"/>
        <v>3000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VLOOKUP(D125,gacha_300_base!A:B,2,FALSE)</f>
        <v>100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3000463</v>
      </c>
      <c r="B126" s="2" t="str">
        <f t="shared" si="7"/>
        <v>3000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VLOOKUP(D126,gacha_300_base!A:B,2,FALSE)</f>
        <v>14555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3000464</v>
      </c>
      <c r="B127" s="2" t="str">
        <f t="shared" si="7"/>
        <v>3000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VLOOKUP(D127,gacha_300_base!A:B,2,FALSE)</f>
        <v>929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3000465</v>
      </c>
      <c r="B128" s="2" t="str">
        <f t="shared" si="7"/>
        <v>3000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VLOOKUP(D128,gacha_300_base!A:B,2,FALSE)</f>
        <v>1567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3000466</v>
      </c>
      <c r="B129" s="2" t="str">
        <f t="shared" si="7"/>
        <v>3000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VLOOKUP(D129,gacha_300_base!A:B,2,FALSE)</f>
        <v>100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3000467</v>
      </c>
      <c r="B130" s="2" t="str">
        <f t="shared" si="7"/>
        <v>3000</v>
      </c>
      <c r="C130" s="8" t="str">
        <f t="shared" si="8"/>
        <v>0PremiumSS4</v>
      </c>
      <c r="D130" s="8" t="str">
        <f t="shared" ref="D130:D193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VLOOKUP(D130,gacha_300_base!A:B,2,FALSE)</f>
        <v>1567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3000468</v>
      </c>
      <c r="B131" s="2" t="str">
        <f t="shared" ref="B131:B194" si="11">300&amp;E131</f>
        <v>3000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VLOOKUP(D131,gacha_300_base!A:B,2,FALSE)</f>
        <v>100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3000470</v>
      </c>
      <c r="B132" s="2" t="str">
        <f t="shared" si="11"/>
        <v>3000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VLOOKUP(D132,gacha_300_base!A:B,2,FALSE)</f>
        <v>14555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3000471</v>
      </c>
      <c r="B133" s="2" t="str">
        <f t="shared" si="11"/>
        <v>3000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VLOOKUP(D133,gacha_300_base!A:B,2,FALSE)</f>
        <v>929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3000474</v>
      </c>
      <c r="B134" s="2" t="str">
        <f t="shared" si="11"/>
        <v>3000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VLOOKUP(D134,gacha_300_base!A:B,2,FALSE)</f>
        <v>1567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3000475</v>
      </c>
      <c r="B135" s="2" t="str">
        <f t="shared" si="11"/>
        <v>3000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VLOOKUP(D135,gacha_300_base!A:B,2,FALSE)</f>
        <v>100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3000477</v>
      </c>
      <c r="B136" s="2" t="str">
        <f t="shared" si="11"/>
        <v>3000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VLOOKUP(D136,gacha_300_base!A:B,2,FALSE)</f>
        <v>14555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3000478</v>
      </c>
      <c r="B137" s="2" t="str">
        <f t="shared" si="11"/>
        <v>3000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VLOOKUP(D137,gacha_300_base!A:B,2,FALSE)</f>
        <v>929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3000479</v>
      </c>
      <c r="B138" s="2" t="str">
        <f t="shared" si="11"/>
        <v>3000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VLOOKUP(D138,gacha_300_base!A:B,2,FALSE)</f>
        <v>1567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3000480</v>
      </c>
      <c r="B139" s="2" t="str">
        <f t="shared" si="11"/>
        <v>3000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VLOOKUP(D139,gacha_300_base!A:B,2,FALSE)</f>
        <v>100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3000482</v>
      </c>
      <c r="B140" s="2" t="str">
        <f t="shared" si="11"/>
        <v>3000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VLOOKUP(D140,gacha_300_base!A:B,2,FALSE)</f>
        <v>14555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3000483</v>
      </c>
      <c r="B141" s="2" t="str">
        <f t="shared" si="11"/>
        <v>3000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VLOOKUP(D141,gacha_300_base!A:B,2,FALSE)</f>
        <v>929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73" si="15">B142&amp;F142</f>
        <v>3000492</v>
      </c>
      <c r="B142" s="2" t="str">
        <f t="shared" si="11"/>
        <v>3000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VLOOKUP(D142,gacha_300_base!A:B,2,FALSE)</f>
        <v>1567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3000493</v>
      </c>
      <c r="B143" s="2" t="str">
        <f t="shared" si="11"/>
        <v>3000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VLOOKUP(D143,gacha_300_base!A:B,2,FALSE)</f>
        <v>100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3000494</v>
      </c>
      <c r="B144" s="2" t="str">
        <f t="shared" si="11"/>
        <v>3000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VLOOKUP(D144,gacha_300_base!A:B,2,FALSE)</f>
        <v>1567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3000495</v>
      </c>
      <c r="B145" s="2" t="str">
        <f t="shared" si="11"/>
        <v>3000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VLOOKUP(D145,gacha_300_base!A:B,2,FALSE)</f>
        <v>100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3000497</v>
      </c>
      <c r="B146" s="2" t="str">
        <f t="shared" si="11"/>
        <v>3000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VLOOKUP(D146,gacha_300_base!A:B,2,FALSE)</f>
        <v>14555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3000498</v>
      </c>
      <c r="B147" s="2" t="str">
        <f t="shared" si="11"/>
        <v>3000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VLOOKUP(D147,gacha_300_base!A:B,2,FALSE)</f>
        <v>929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3000499</v>
      </c>
      <c r="B148" s="2" t="str">
        <f t="shared" si="11"/>
        <v>3000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VLOOKUP(D148,gacha_300_base!A:B,2,FALSE)</f>
        <v>1567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3000500</v>
      </c>
      <c r="B149" s="2" t="str">
        <f t="shared" si="11"/>
        <v>3000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VLOOKUP(D149,gacha_300_base!A:B,2,FALSE)</f>
        <v>100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3000586</v>
      </c>
      <c r="B150" s="2" t="str">
        <f t="shared" si="11"/>
        <v>3000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VLOOKUP(D150,gacha_300_base!A:B,2,FALSE)</f>
        <v>1567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3000587</v>
      </c>
      <c r="B151" s="2" t="str">
        <f t="shared" si="11"/>
        <v>3000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VLOOKUP(D151,gacha_300_base!A:B,2,FALSE)</f>
        <v>100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3000589</v>
      </c>
      <c r="B152" s="2" t="str">
        <f t="shared" si="11"/>
        <v>3000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VLOOKUP(D152,gacha_300_base!A:B,2,FALSE)</f>
        <v>14555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3000590</v>
      </c>
      <c r="B153" s="2" t="str">
        <f t="shared" si="11"/>
        <v>3000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VLOOKUP(D153,gacha_300_base!A:B,2,FALSE)</f>
        <v>929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3000592</v>
      </c>
      <c r="B154" s="2" t="str">
        <f t="shared" si="11"/>
        <v>3000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VLOOKUP(D154,gacha_300_base!A:B,2,FALSE)</f>
        <v>14555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3000593</v>
      </c>
      <c r="B155" s="2" t="str">
        <f t="shared" si="11"/>
        <v>3000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VLOOKUP(D155,gacha_300_base!A:B,2,FALSE)</f>
        <v>929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3000594</v>
      </c>
      <c r="B156" s="2" t="str">
        <f t="shared" si="11"/>
        <v>3000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VLOOKUP(D156,gacha_300_base!A:B,2,FALSE)</f>
        <v>1567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3000595</v>
      </c>
      <c r="B157" s="2" t="str">
        <f t="shared" si="11"/>
        <v>3000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VLOOKUP(D157,gacha_300_base!A:B,2,FALSE)</f>
        <v>100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3000597</v>
      </c>
      <c r="B158" s="2" t="str">
        <f t="shared" si="11"/>
        <v>3000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VLOOKUP(D158,gacha_300_base!A:B,2,FALSE)</f>
        <v>14555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3000598</v>
      </c>
      <c r="B159" s="2" t="str">
        <f t="shared" si="11"/>
        <v>3000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VLOOKUP(D159,gacha_300_base!A:B,2,FALSE)</f>
        <v>929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3000600</v>
      </c>
      <c r="B160" s="2" t="str">
        <f t="shared" si="11"/>
        <v>3000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VLOOKUP(D160,gacha_300_base!A:B,2,FALSE)</f>
        <v>14555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3000601</v>
      </c>
      <c r="B161" s="2" t="str">
        <f t="shared" si="11"/>
        <v>3000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VLOOKUP(D161,gacha_300_base!A:B,2,FALSE)</f>
        <v>929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3000602</v>
      </c>
      <c r="B162" s="2" t="str">
        <f t="shared" si="11"/>
        <v>3000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VLOOKUP(D162,gacha_300_base!A:B,2,FALSE)</f>
        <v>1567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3000603</v>
      </c>
      <c r="B163" s="2" t="str">
        <f t="shared" si="11"/>
        <v>3000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VLOOKUP(D163,gacha_300_base!A:B,2,FALSE)</f>
        <v>100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3000605</v>
      </c>
      <c r="B164" s="2" t="str">
        <f t="shared" si="11"/>
        <v>3000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VLOOKUP(D164,gacha_300_base!A:B,2,FALSE)</f>
        <v>14555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3000606</v>
      </c>
      <c r="B165" s="2" t="str">
        <f t="shared" si="11"/>
        <v>3000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VLOOKUP(D165,gacha_300_base!A:B,2,FALSE)</f>
        <v>929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3000658</v>
      </c>
      <c r="B166" s="2" t="str">
        <f t="shared" si="11"/>
        <v>3000</v>
      </c>
      <c r="C166" s="8" t="str">
        <f t="shared" si="16"/>
        <v>0PremiumSS4</v>
      </c>
      <c r="D166" s="8" t="str">
        <f t="shared" si="10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VLOOKUP(D166,gacha_300_base!A:B,2,FALSE)</f>
        <v>1567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3000659</v>
      </c>
      <c r="B167" s="2" t="str">
        <f t="shared" si="11"/>
        <v>3000</v>
      </c>
      <c r="C167" s="8" t="str">
        <f t="shared" si="16"/>
        <v>0PremiumSS5</v>
      </c>
      <c r="D167" s="8" t="str">
        <f t="shared" si="10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VLOOKUP(D167,gacha_300_base!A:B,2,FALSE)</f>
        <v>100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3000660</v>
      </c>
      <c r="B168" s="2" t="str">
        <f t="shared" si="11"/>
        <v>3000</v>
      </c>
      <c r="C168" s="8" t="str">
        <f t="shared" si="16"/>
        <v>0PremiumSS4</v>
      </c>
      <c r="D168" s="8" t="str">
        <f t="shared" si="10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VLOOKUP(D168,gacha_300_base!A:B,2,FALSE)</f>
        <v>1567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3000661</v>
      </c>
      <c r="B169" s="2" t="str">
        <f t="shared" si="11"/>
        <v>3000</v>
      </c>
      <c r="C169" s="8" t="str">
        <f t="shared" si="16"/>
        <v>0PremiumSS5</v>
      </c>
      <c r="D169" s="8" t="str">
        <f t="shared" si="10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VLOOKUP(D169,gacha_300_base!A:B,2,FALSE)</f>
        <v>100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5"/>
        <v>3000663</v>
      </c>
      <c r="B170" s="2" t="str">
        <f t="shared" si="11"/>
        <v>3000</v>
      </c>
      <c r="C170" s="8" t="str">
        <f t="shared" si="16"/>
        <v>0PremiumS4</v>
      </c>
      <c r="D170" s="8" t="str">
        <f t="shared" si="10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VLOOKUP(D170,gacha_300_base!A:B,2,FALSE)</f>
        <v>14555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5"/>
        <v>3000664</v>
      </c>
      <c r="B171" s="2" t="str">
        <f t="shared" si="11"/>
        <v>3000</v>
      </c>
      <c r="C171" s="8" t="str">
        <f t="shared" si="16"/>
        <v>0PremiumS5</v>
      </c>
      <c r="D171" s="8" t="str">
        <f t="shared" si="10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VLOOKUP(D171,gacha_300_base!A:B,2,FALSE)</f>
        <v>929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5"/>
        <v>3000666</v>
      </c>
      <c r="B172" s="2" t="str">
        <f t="shared" si="11"/>
        <v>3000</v>
      </c>
      <c r="C172" s="8" t="str">
        <f t="shared" si="16"/>
        <v>0PremiumS4</v>
      </c>
      <c r="D172" s="8" t="str">
        <f t="shared" si="10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VLOOKUP(D172,gacha_300_base!A:B,2,FALSE)</f>
        <v>14555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5"/>
        <v>3000667</v>
      </c>
      <c r="B173" s="2" t="str">
        <f t="shared" si="11"/>
        <v>3000</v>
      </c>
      <c r="C173" s="8" t="str">
        <f t="shared" si="16"/>
        <v>0PremiumS5</v>
      </c>
      <c r="D173" s="8" t="str">
        <f t="shared" si="10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VLOOKUP(D173,gacha_300_base!A:B,2,FALSE)</f>
        <v>929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>B174&amp;F174</f>
        <v>3001126</v>
      </c>
      <c r="B174" s="2" t="str">
        <f t="shared" si="11"/>
        <v>3001</v>
      </c>
      <c r="C174" s="8" t="str">
        <f t="shared" ref="C174:C237" si="17">E174&amp;H174&amp;I174</f>
        <v>1PremiumW3</v>
      </c>
      <c r="D174" s="8" t="str">
        <f t="shared" si="10"/>
        <v>1PremiumW3</v>
      </c>
      <c r="E174" s="10">
        <v>1</v>
      </c>
      <c r="F174" s="6">
        <v>126</v>
      </c>
      <c r="G174" s="8" t="str">
        <f>VLOOKUP(F174,[1]characters!$A:$C,3,FALSE)</f>
        <v>骨器使い ユノ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VLOOKUP(D174,gacha_300_base!A:B,2,FALSE)</f>
        <v>4898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ref="A175:A238" si="18">B175&amp;F175</f>
        <v>3001127</v>
      </c>
      <c r="B175" s="2" t="str">
        <f t="shared" si="11"/>
        <v>3001</v>
      </c>
      <c r="C175" s="8" t="str">
        <f t="shared" si="17"/>
        <v>1PremiumW4</v>
      </c>
      <c r="D175" s="8" t="str">
        <f t="shared" si="10"/>
        <v>1PremiumW4</v>
      </c>
      <c r="E175" s="10">
        <v>1</v>
      </c>
      <c r="F175" s="6">
        <v>127</v>
      </c>
      <c r="G175" s="8" t="str">
        <f>VLOOKUP(F175,[1]characters!$A:$C,3,FALSE)</f>
        <v>狂喜の賢者 ユノ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VLOOKUP(D175,gacha_300_base!A:B,2,FALSE)</f>
        <v>4898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3001128</v>
      </c>
      <c r="B176" s="2" t="str">
        <f t="shared" si="11"/>
        <v>3001</v>
      </c>
      <c r="C176" s="8" t="str">
        <f t="shared" si="17"/>
        <v>1PremiumW3</v>
      </c>
      <c r="D176" s="8" t="str">
        <f t="shared" si="10"/>
        <v>1PremiumW3</v>
      </c>
      <c r="E176" s="10">
        <v>1</v>
      </c>
      <c r="F176" s="6">
        <v>128</v>
      </c>
      <c r="G176" s="8" t="str">
        <f>VLOOKUP(F176,[1]characters!$A:$C,3,FALSE)</f>
        <v>野生児 アマラ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VLOOKUP(D176,gacha_300_base!A:B,2,FALSE)</f>
        <v>4898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3001129</v>
      </c>
      <c r="B177" s="2" t="str">
        <f t="shared" si="11"/>
        <v>3001</v>
      </c>
      <c r="C177" s="8" t="str">
        <f t="shared" si="17"/>
        <v>1PremiumW4</v>
      </c>
      <c r="D177" s="8" t="str">
        <f t="shared" si="10"/>
        <v>1PremiumW4</v>
      </c>
      <c r="E177" s="10">
        <v>1</v>
      </c>
      <c r="F177" s="6">
        <v>129</v>
      </c>
      <c r="G177" s="8" t="str">
        <f>VLOOKUP(F177,[1]characters!$A:$C,3,FALSE)</f>
        <v>孤高の狼憑き アマラ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VLOOKUP(D177,gacha_300_base!A:B,2,FALSE)</f>
        <v>4898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3001130</v>
      </c>
      <c r="B178" s="2" t="str">
        <f t="shared" si="11"/>
        <v>3001</v>
      </c>
      <c r="C178" s="8" t="str">
        <f t="shared" si="17"/>
        <v>1PremiumW3</v>
      </c>
      <c r="D178" s="8" t="str">
        <f t="shared" si="10"/>
        <v>1PremiumW3</v>
      </c>
      <c r="E178" s="10">
        <v>1</v>
      </c>
      <c r="F178" s="6">
        <v>130</v>
      </c>
      <c r="G178" s="8" t="str">
        <f>VLOOKUP(F178,[1]characters!$A:$C,3,FALSE)</f>
        <v>狼男 ローレンス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animal</v>
      </c>
      <c r="M178" s="16">
        <f>VLOOKUP(D178,gacha_300_base!A:B,2,FALSE)</f>
        <v>4898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3001131</v>
      </c>
      <c r="B179" s="2" t="str">
        <f t="shared" si="11"/>
        <v>3001</v>
      </c>
      <c r="C179" s="8" t="str">
        <f t="shared" si="17"/>
        <v>1PremiumW4</v>
      </c>
      <c r="D179" s="8" t="str">
        <f t="shared" si="10"/>
        <v>1PremiumW4</v>
      </c>
      <c r="E179" s="10">
        <v>1</v>
      </c>
      <c r="F179" s="6">
        <v>131</v>
      </c>
      <c r="G179" s="8" t="str">
        <f>VLOOKUP(F179,[1]characters!$A:$C,3,FALSE)</f>
        <v>月下の人狼 ローレンス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VLOOKUP(D179,gacha_300_base!A:B,2,FALSE)</f>
        <v>4898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3001132</v>
      </c>
      <c r="B180" s="2" t="str">
        <f t="shared" si="11"/>
        <v>3001</v>
      </c>
      <c r="C180" s="8" t="str">
        <f t="shared" si="17"/>
        <v>1PremiumW3</v>
      </c>
      <c r="D180" s="8" t="str">
        <f t="shared" si="10"/>
        <v>1PremiumW3</v>
      </c>
      <c r="E180" s="10">
        <v>1</v>
      </c>
      <c r="F180" s="6">
        <v>132</v>
      </c>
      <c r="G180" s="8" t="str">
        <f>VLOOKUP(F180,[1]characters!$A:$C,3,FALSE)</f>
        <v>鳥人ハヤト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16">
        <f>VLOOKUP(D180,gacha_300_base!A:B,2,FALSE)</f>
        <v>4898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3001133</v>
      </c>
      <c r="B181" s="2" t="str">
        <f t="shared" si="11"/>
        <v>3001</v>
      </c>
      <c r="C181" s="8" t="str">
        <f t="shared" si="17"/>
        <v>1PremiumW4</v>
      </c>
      <c r="D181" s="8" t="str">
        <f t="shared" si="10"/>
        <v>1PremiumW4</v>
      </c>
      <c r="E181" s="10">
        <v>1</v>
      </c>
      <c r="F181" s="6">
        <v>133</v>
      </c>
      <c r="G181" s="8" t="str">
        <f>VLOOKUP(F181,[1]characters!$A:$C,3,FALSE)</f>
        <v>迅雷の刀剣 ハヤト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VLOOKUP(D181,gacha_300_base!A:B,2,FALSE)</f>
        <v>4898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8"/>
        <v>3001134</v>
      </c>
      <c r="B182" s="2" t="str">
        <f t="shared" si="11"/>
        <v>3001</v>
      </c>
      <c r="C182" s="8" t="str">
        <f t="shared" si="17"/>
        <v>1PremiumW3</v>
      </c>
      <c r="D182" s="8" t="str">
        <f t="shared" si="10"/>
        <v>1PremiumW3</v>
      </c>
      <c r="E182" s="10">
        <v>1</v>
      </c>
      <c r="F182" s="6">
        <v>134</v>
      </c>
      <c r="G182" s="8" t="str">
        <f>VLOOKUP(F182,[1]characters!$A:$C,3,FALSE)</f>
        <v>妖炎の夕霧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VLOOKUP(D182,gacha_300_base!A:B,2,FALSE)</f>
        <v>4898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8"/>
        <v>3001135</v>
      </c>
      <c r="B183" s="2" t="str">
        <f t="shared" si="11"/>
        <v>3001</v>
      </c>
      <c r="C183" s="8" t="str">
        <f t="shared" si="17"/>
        <v>1PremiumW4</v>
      </c>
      <c r="D183" s="8" t="str">
        <f t="shared" si="10"/>
        <v>1PremiumW4</v>
      </c>
      <c r="E183" s="10">
        <v>1</v>
      </c>
      <c r="F183" s="6">
        <v>135</v>
      </c>
      <c r="G183" s="8" t="str">
        <f>VLOOKUP(F183,[1]characters!$A:$C,3,FALSE)</f>
        <v>京の炎華夕霧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VLOOKUP(D183,gacha_300_base!A:B,2,FALSE)</f>
        <v>4898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8"/>
        <v>3001136</v>
      </c>
      <c r="B184" s="2" t="str">
        <f t="shared" si="11"/>
        <v>3001</v>
      </c>
      <c r="C184" s="8" t="str">
        <f t="shared" si="17"/>
        <v>1PremiumW3</v>
      </c>
      <c r="D184" s="8" t="str">
        <f t="shared" si="10"/>
        <v>1PremiumW3</v>
      </c>
      <c r="E184" s="10">
        <v>1</v>
      </c>
      <c r="F184" s="9">
        <v>136</v>
      </c>
      <c r="G184" s="8" t="str">
        <f>VLOOKUP(F184,[1]characters!$A:$C,3,FALSE)</f>
        <v>お針子チハヤ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VLOOKUP(D184,gacha_300_base!A:B,2,FALSE)</f>
        <v>4898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8"/>
        <v>3001137</v>
      </c>
      <c r="B185" s="2" t="str">
        <f t="shared" si="11"/>
        <v>3001</v>
      </c>
      <c r="C185" s="8" t="str">
        <f t="shared" si="17"/>
        <v>1PremiumW4</v>
      </c>
      <c r="D185" s="8" t="str">
        <f t="shared" si="10"/>
        <v>1PremiumW4</v>
      </c>
      <c r="E185" s="10">
        <v>1</v>
      </c>
      <c r="F185" s="9">
        <v>137</v>
      </c>
      <c r="G185" s="8" t="str">
        <f>VLOOKUP(F185,[1]characters!$A:$C,3,FALSE)</f>
        <v>清福の仕立屋 チハヤ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VLOOKUP(D185,gacha_300_base!A:B,2,FALSE)</f>
        <v>4898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8"/>
        <v>3001138</v>
      </c>
      <c r="B186" s="2" t="str">
        <f t="shared" si="11"/>
        <v>3001</v>
      </c>
      <c r="C186" s="8" t="str">
        <f t="shared" si="17"/>
        <v>1PremiumW3</v>
      </c>
      <c r="D186" s="8" t="str">
        <f t="shared" si="10"/>
        <v>1PremiumW3</v>
      </c>
      <c r="E186" s="10">
        <v>1</v>
      </c>
      <c r="F186" s="6">
        <v>138</v>
      </c>
      <c r="G186" s="8" t="str">
        <f>VLOOKUP(F186,[1]characters!$A:$C,3,FALSE)</f>
        <v>蒼薙のトモエ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VLOOKUP(D186,gacha_300_base!A:B,2,FALSE)</f>
        <v>4898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8"/>
        <v>3001139</v>
      </c>
      <c r="B187" s="2" t="str">
        <f t="shared" si="11"/>
        <v>3001</v>
      </c>
      <c r="C187" s="8" t="str">
        <f t="shared" si="17"/>
        <v>1PremiumW4</v>
      </c>
      <c r="D187" s="8" t="str">
        <f t="shared" si="10"/>
        <v>1PremiumW4</v>
      </c>
      <c r="E187" s="10">
        <v>1</v>
      </c>
      <c r="F187" s="6">
        <v>139</v>
      </c>
      <c r="G187" s="8" t="str">
        <f>VLOOKUP(F187,[1]characters!$A:$C,3,FALSE)</f>
        <v>蒼昇刃姫 トモエ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VLOOKUP(D187,gacha_300_base!A:B,2,FALSE)</f>
        <v>4898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8"/>
        <v>3001140</v>
      </c>
      <c r="B188" s="2" t="str">
        <f t="shared" si="11"/>
        <v>3001</v>
      </c>
      <c r="C188" s="8" t="str">
        <f t="shared" si="17"/>
        <v>1PremiumW3</v>
      </c>
      <c r="D188" s="8" t="str">
        <f t="shared" si="10"/>
        <v>1PremiumW3</v>
      </c>
      <c r="E188" s="10">
        <v>1</v>
      </c>
      <c r="F188" s="12">
        <v>140</v>
      </c>
      <c r="G188" s="8" t="str">
        <f>VLOOKUP(F188,[1]characters!$A:$C,3,FALSE)</f>
        <v>秋祭のタマモ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animal</v>
      </c>
      <c r="M188" s="16">
        <f>VLOOKUP(D188,gacha_300_base!A:B,2,FALSE)</f>
        <v>4898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8"/>
        <v>3001141</v>
      </c>
      <c r="B189" s="2" t="str">
        <f t="shared" si="11"/>
        <v>3001</v>
      </c>
      <c r="C189" s="8" t="str">
        <f t="shared" si="17"/>
        <v>1PremiumW4</v>
      </c>
      <c r="D189" s="8" t="str">
        <f t="shared" si="10"/>
        <v>1PremiumW4</v>
      </c>
      <c r="E189" s="10">
        <v>1</v>
      </c>
      <c r="F189" s="13">
        <v>141</v>
      </c>
      <c r="G189" s="8" t="str">
        <f>VLOOKUP(F189,[1]characters!$A:$C,3,FALSE)</f>
        <v>妖狐演舞 タマモ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VLOOKUP(D189,gacha_300_base!A:B,2,FALSE)</f>
        <v>4898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8"/>
        <v>3001142</v>
      </c>
      <c r="B190" s="2" t="str">
        <f t="shared" si="11"/>
        <v>3001</v>
      </c>
      <c r="C190" s="8" t="str">
        <f t="shared" si="17"/>
        <v>1PremiumW3</v>
      </c>
      <c r="D190" s="8" t="str">
        <f t="shared" si="10"/>
        <v>1PremiumW3</v>
      </c>
      <c r="E190" s="10">
        <v>1</v>
      </c>
      <c r="F190" s="6">
        <v>142</v>
      </c>
      <c r="G190" s="8" t="str">
        <f>VLOOKUP(F190,[1]characters!$A:$C,3,FALSE)</f>
        <v>赤ずきん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VLOOKUP(D190,gacha_300_base!A:B,2,FALSE)</f>
        <v>4898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s="14" customFormat="1" ht="21" customHeight="1" thickBot="1">
      <c r="A191" s="7" t="str">
        <f t="shared" si="18"/>
        <v>3001143</v>
      </c>
      <c r="B191" s="2" t="str">
        <f t="shared" si="11"/>
        <v>3001</v>
      </c>
      <c r="C191" s="8" t="str">
        <f t="shared" si="17"/>
        <v>1PremiumW4</v>
      </c>
      <c r="D191" s="8" t="str">
        <f t="shared" si="10"/>
        <v>1PremiumW4</v>
      </c>
      <c r="E191" s="10">
        <v>1</v>
      </c>
      <c r="F191" s="6">
        <v>143</v>
      </c>
      <c r="G191" s="8" t="str">
        <f>VLOOKUP(F191,[1]characters!$A:$C,3,FALSE)</f>
        <v>深紅の死神 赤ずきん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VLOOKUP(D191,gacha_300_base!A:B,2,FALSE)</f>
        <v>4898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8"/>
        <v>3001144</v>
      </c>
      <c r="B192" s="2" t="str">
        <f t="shared" si="11"/>
        <v>3001</v>
      </c>
      <c r="C192" s="8" t="str">
        <f t="shared" si="17"/>
        <v>1PremiumW3</v>
      </c>
      <c r="D192" s="8" t="str">
        <f t="shared" si="10"/>
        <v>1PremiumW3</v>
      </c>
      <c r="E192" s="10">
        <v>1</v>
      </c>
      <c r="F192" s="12">
        <v>144</v>
      </c>
      <c r="G192" s="8" t="str">
        <f>VLOOKUP(F192,[1]characters!$A:$C,3,FALSE)</f>
        <v>かぐや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hp</v>
      </c>
      <c r="L192" s="8" t="str">
        <f>VLOOKUP(F192,[1]characters!$A:$M,13,FALSE)</f>
        <v>human</v>
      </c>
      <c r="M192" s="16">
        <f>VLOOKUP(D192,gacha_300_base!A:B,2,FALSE)</f>
        <v>4898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8"/>
        <v>3001145</v>
      </c>
      <c r="B193" s="2" t="str">
        <f t="shared" si="11"/>
        <v>3001</v>
      </c>
      <c r="C193" s="8" t="str">
        <f t="shared" si="17"/>
        <v>1PremiumW4</v>
      </c>
      <c r="D193" s="8" t="str">
        <f t="shared" si="10"/>
        <v>1PremiumW4</v>
      </c>
      <c r="E193" s="10">
        <v>1</v>
      </c>
      <c r="F193" s="6">
        <v>145</v>
      </c>
      <c r="G193" s="8" t="str">
        <f>VLOOKUP(F193,[1]characters!$A:$C,3,FALSE)</f>
        <v>魔性妖艶 かぐや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VLOOKUP(D193,gacha_300_base!A:B,2,FALSE)</f>
        <v>4898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8"/>
        <v>3001146</v>
      </c>
      <c r="B194" s="2" t="str">
        <f t="shared" si="11"/>
        <v>3001</v>
      </c>
      <c r="C194" s="8" t="str">
        <f t="shared" si="17"/>
        <v>1PremiumW3</v>
      </c>
      <c r="D194" s="8" t="str">
        <f t="shared" ref="D194:D257" si="19">E194&amp;H194&amp;I194</f>
        <v>1PremiumW3</v>
      </c>
      <c r="E194" s="10">
        <v>1</v>
      </c>
      <c r="F194" s="6">
        <v>146</v>
      </c>
      <c r="G194" s="8" t="str">
        <f>VLOOKUP(F194,[1]characters!$A:$C,3,FALSE)</f>
        <v>マーメイド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VLOOKUP(D194,gacha_300_base!A:B,2,FALSE)</f>
        <v>4898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8"/>
        <v>3001147</v>
      </c>
      <c r="B195" s="2" t="str">
        <f t="shared" ref="B195:B258" si="20">300&amp;E195</f>
        <v>3001</v>
      </c>
      <c r="C195" s="8" t="str">
        <f t="shared" si="17"/>
        <v>1PremiumW4</v>
      </c>
      <c r="D195" s="8" t="str">
        <f t="shared" si="19"/>
        <v>1PremiumW4</v>
      </c>
      <c r="E195" s="10">
        <v>1</v>
      </c>
      <c r="F195" s="6">
        <v>147</v>
      </c>
      <c r="G195" s="8" t="str">
        <f>VLOOKUP(F195,[1]characters!$A:$C,3,FALSE)</f>
        <v>蒼き閃光 元マーメイド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VLOOKUP(D195,gacha_300_base!A:B,2,FALSE)</f>
        <v>4898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8"/>
        <v>3001148</v>
      </c>
      <c r="B196" s="2" t="str">
        <f t="shared" si="20"/>
        <v>3001</v>
      </c>
      <c r="C196" s="8" t="str">
        <f t="shared" si="17"/>
        <v>1PremiumW3</v>
      </c>
      <c r="D196" s="8" t="str">
        <f t="shared" si="19"/>
        <v>1PremiumW3</v>
      </c>
      <c r="E196" s="10">
        <v>1</v>
      </c>
      <c r="F196" s="6">
        <v>148</v>
      </c>
      <c r="G196" s="8" t="str">
        <f>VLOOKUP(F196,[1]characters!$A:$C,3,FALSE)</f>
        <v>シンデレラ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16">
        <f>VLOOKUP(D196,gacha_300_base!A:B,2,FALSE)</f>
        <v>4898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8"/>
        <v>3001149</v>
      </c>
      <c r="B197" s="2" t="str">
        <f t="shared" si="20"/>
        <v>3001</v>
      </c>
      <c r="C197" s="8" t="str">
        <f t="shared" si="17"/>
        <v>1PremiumW4</v>
      </c>
      <c r="D197" s="8" t="str">
        <f t="shared" si="19"/>
        <v>1PremiumW4</v>
      </c>
      <c r="E197" s="10">
        <v>1</v>
      </c>
      <c r="F197" s="6">
        <v>149</v>
      </c>
      <c r="G197" s="8" t="str">
        <f>VLOOKUP(F197,[1]characters!$A:$C,3,FALSE)</f>
        <v>雷撃蹴技を極めし者 シンデレラ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VLOOKUP(D197,gacha_300_base!A:B,2,FALSE)</f>
        <v>4898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8"/>
        <v>3001150</v>
      </c>
      <c r="B198" s="2" t="str">
        <f t="shared" si="20"/>
        <v>3001</v>
      </c>
      <c r="C198" s="8" t="str">
        <f t="shared" si="17"/>
        <v>1PremiumW3</v>
      </c>
      <c r="D198" s="8" t="str">
        <f t="shared" si="19"/>
        <v>1PremiumW3</v>
      </c>
      <c r="E198" s="10">
        <v>1</v>
      </c>
      <c r="F198" s="6">
        <v>150</v>
      </c>
      <c r="G198" s="8" t="str">
        <f>VLOOKUP(F198,[1]characters!$A:$C,3,FALSE)</f>
        <v>ポイズンマスターサキ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16">
        <f>VLOOKUP(D198,gacha_300_base!A:B,2,FALSE)</f>
        <v>4898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8"/>
        <v>3001151</v>
      </c>
      <c r="B199" s="2" t="str">
        <f t="shared" si="20"/>
        <v>3001</v>
      </c>
      <c r="C199" s="8" t="str">
        <f t="shared" si="17"/>
        <v>1PremiumW4</v>
      </c>
      <c r="D199" s="8" t="str">
        <f t="shared" si="19"/>
        <v>1PremiumW4</v>
      </c>
      <c r="E199" s="10">
        <v>1</v>
      </c>
      <c r="F199" s="6">
        <v>151</v>
      </c>
      <c r="G199" s="8" t="str">
        <f>VLOOKUP(F199,[1]characters!$A:$C,3,FALSE)</f>
        <v>毒煙の処刑人サキ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VLOOKUP(D199,gacha_300_base!A:B,2,FALSE)</f>
        <v>4898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8"/>
        <v>3001152</v>
      </c>
      <c r="B200" s="2" t="str">
        <f t="shared" si="20"/>
        <v>3001</v>
      </c>
      <c r="C200" s="8" t="str">
        <f t="shared" si="17"/>
        <v>1PremiumW3</v>
      </c>
      <c r="D200" s="8" t="str">
        <f t="shared" si="19"/>
        <v>1PremiumW3</v>
      </c>
      <c r="E200" s="10">
        <v>1</v>
      </c>
      <c r="F200" s="6">
        <v>152</v>
      </c>
      <c r="G200" s="8" t="str">
        <f>VLOOKUP(F200,[1]characters!$A:$C,3,FALSE)</f>
        <v>功夫少女ランラン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VLOOKUP(D200,gacha_300_base!A:B,2,FALSE)</f>
        <v>4898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8"/>
        <v>3001153</v>
      </c>
      <c r="B201" s="2" t="str">
        <f t="shared" si="20"/>
        <v>3001</v>
      </c>
      <c r="C201" s="8" t="str">
        <f t="shared" si="17"/>
        <v>1PremiumW4</v>
      </c>
      <c r="D201" s="8" t="str">
        <f t="shared" si="19"/>
        <v>1PremiumW4</v>
      </c>
      <c r="E201" s="10">
        <v>1</v>
      </c>
      <c r="F201" s="6">
        <v>153</v>
      </c>
      <c r="G201" s="8" t="str">
        <f>VLOOKUP(F201,[1]characters!$A:$C,3,FALSE)</f>
        <v>拳聖ランラン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VLOOKUP(D201,gacha_300_base!A:B,2,FALSE)</f>
        <v>4898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8"/>
        <v>3001154</v>
      </c>
      <c r="B202" s="2" t="str">
        <f t="shared" si="20"/>
        <v>3001</v>
      </c>
      <c r="C202" s="8" t="str">
        <f t="shared" si="17"/>
        <v>1PremiumW3</v>
      </c>
      <c r="D202" s="8" t="str">
        <f t="shared" si="19"/>
        <v>1PremiumW3</v>
      </c>
      <c r="E202" s="10">
        <v>1</v>
      </c>
      <c r="F202" s="6">
        <v>154</v>
      </c>
      <c r="G202" s="8" t="str">
        <f>VLOOKUP(F202,[1]characters!$A:$C,3,FALSE)</f>
        <v>始末屋 ハンナ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VLOOKUP(D202,gacha_300_base!A:B,2,FALSE)</f>
        <v>4898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8"/>
        <v>3001155</v>
      </c>
      <c r="B203" s="2" t="str">
        <f t="shared" si="20"/>
        <v>3001</v>
      </c>
      <c r="C203" s="8" t="str">
        <f t="shared" si="17"/>
        <v>1PremiumW4</v>
      </c>
      <c r="D203" s="8" t="str">
        <f t="shared" si="19"/>
        <v>1PremiumW4</v>
      </c>
      <c r="E203" s="10">
        <v>1</v>
      </c>
      <c r="F203" s="6">
        <v>155</v>
      </c>
      <c r="G203" s="8" t="str">
        <f>VLOOKUP(F203,[1]characters!$A:$C,3,FALSE)</f>
        <v>隻眼の掃除屋 ハンナ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VLOOKUP(D203,gacha_300_base!A:B,2,FALSE)</f>
        <v>4898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8"/>
        <v>3001156</v>
      </c>
      <c r="B204" s="2" t="str">
        <f t="shared" si="20"/>
        <v>3001</v>
      </c>
      <c r="C204" s="8" t="str">
        <f t="shared" si="17"/>
        <v>1PremiumW3</v>
      </c>
      <c r="D204" s="8" t="str">
        <f t="shared" si="19"/>
        <v>1PremiumW3</v>
      </c>
      <c r="E204" s="10">
        <v>1</v>
      </c>
      <c r="F204" s="6">
        <v>156</v>
      </c>
      <c r="G204" s="8" t="str">
        <f>VLOOKUP(F204,[1]characters!$A:$C,3,FALSE)</f>
        <v>踊り子 エレナ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VLOOKUP(D204,gacha_300_base!A:B,2,FALSE)</f>
        <v>4898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8"/>
        <v>3001157</v>
      </c>
      <c r="B205" s="2" t="str">
        <f t="shared" si="20"/>
        <v>3001</v>
      </c>
      <c r="C205" s="8" t="str">
        <f t="shared" si="17"/>
        <v>1PremiumW4</v>
      </c>
      <c r="D205" s="8" t="str">
        <f t="shared" si="19"/>
        <v>1PremiumW4</v>
      </c>
      <c r="E205" s="10">
        <v>1</v>
      </c>
      <c r="F205" s="6">
        <v>157</v>
      </c>
      <c r="G205" s="8" t="str">
        <f>VLOOKUP(F205,[1]characters!$A:$C,3,FALSE)</f>
        <v>雷光舞姫 エレナ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VLOOKUP(D205,gacha_300_base!A:B,2,FALSE)</f>
        <v>4898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8"/>
        <v>3001158</v>
      </c>
      <c r="B206" s="2" t="str">
        <f t="shared" si="20"/>
        <v>3001</v>
      </c>
      <c r="C206" s="8" t="str">
        <f t="shared" si="17"/>
        <v>1PremiumW3</v>
      </c>
      <c r="D206" s="8" t="str">
        <f t="shared" si="19"/>
        <v>1PremiumW3</v>
      </c>
      <c r="E206" s="10">
        <v>1</v>
      </c>
      <c r="F206" s="6">
        <v>158</v>
      </c>
      <c r="G206" s="8" t="str">
        <f>VLOOKUP(F206,[1]characters!$A:$C,3,FALSE)</f>
        <v>シスター シャルロッテ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VLOOKUP(D206,gacha_300_base!A:B,2,FALSE)</f>
        <v>4898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8"/>
        <v>3001159</v>
      </c>
      <c r="B207" s="2" t="str">
        <f t="shared" si="20"/>
        <v>3001</v>
      </c>
      <c r="C207" s="8" t="str">
        <f t="shared" si="17"/>
        <v>1PremiumW4</v>
      </c>
      <c r="D207" s="8" t="str">
        <f t="shared" si="19"/>
        <v>1PremiumW4</v>
      </c>
      <c r="E207" s="10">
        <v>1</v>
      </c>
      <c r="F207" s="6">
        <v>159</v>
      </c>
      <c r="G207" s="8" t="str">
        <f>VLOOKUP(F207,[1]characters!$A:$C,3,FALSE)</f>
        <v>邪を狩りし者 シャルロッテ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VLOOKUP(D207,gacha_300_base!A:B,2,FALSE)</f>
        <v>4898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8"/>
        <v>3001160</v>
      </c>
      <c r="B208" s="2" t="str">
        <f t="shared" si="20"/>
        <v>3001</v>
      </c>
      <c r="C208" s="8" t="str">
        <f t="shared" si="17"/>
        <v>1PremiumW3</v>
      </c>
      <c r="D208" s="8" t="str">
        <f t="shared" si="19"/>
        <v>1PremiumW3</v>
      </c>
      <c r="E208" s="10">
        <v>1</v>
      </c>
      <c r="F208" s="6">
        <v>160</v>
      </c>
      <c r="G208" s="8" t="str">
        <f>VLOOKUP(F208,[1]characters!$A:$C,3,FALSE)</f>
        <v>反逆者 クリエ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VLOOKUP(D208,gacha_300_base!A:B,2,FALSE)</f>
        <v>4898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8"/>
        <v>3001161</v>
      </c>
      <c r="B209" s="2" t="str">
        <f t="shared" si="20"/>
        <v>3001</v>
      </c>
      <c r="C209" s="8" t="str">
        <f t="shared" si="17"/>
        <v>1PremiumW4</v>
      </c>
      <c r="D209" s="8" t="str">
        <f t="shared" si="19"/>
        <v>1PremiumW4</v>
      </c>
      <c r="E209" s="10">
        <v>1</v>
      </c>
      <c r="F209" s="6">
        <v>161</v>
      </c>
      <c r="G209" s="8" t="str">
        <f>VLOOKUP(F209,[1]characters!$A:$C,3,FALSE)</f>
        <v>咆哮の先導者 クリエ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VLOOKUP(D209,gacha_300_base!A:B,2,FALSE)</f>
        <v>4898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8"/>
        <v>3001162</v>
      </c>
      <c r="B210" s="2" t="str">
        <f t="shared" si="20"/>
        <v>3001</v>
      </c>
      <c r="C210" s="8" t="str">
        <f t="shared" si="17"/>
        <v>1PremiumW3</v>
      </c>
      <c r="D210" s="8" t="str">
        <f t="shared" si="19"/>
        <v>1PremiumW3</v>
      </c>
      <c r="E210" s="10">
        <v>1</v>
      </c>
      <c r="F210" s="6">
        <v>162</v>
      </c>
      <c r="G210" s="8" t="str">
        <f>VLOOKUP(F210,[1]characters!$A:$C,3,FALSE)</f>
        <v>狂女 クララ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VLOOKUP(D210,gacha_300_base!A:B,2,FALSE)</f>
        <v>4898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8"/>
        <v>3001163</v>
      </c>
      <c r="B211" s="2" t="str">
        <f t="shared" si="20"/>
        <v>3001</v>
      </c>
      <c r="C211" s="8" t="str">
        <f t="shared" si="17"/>
        <v>1PremiumW4</v>
      </c>
      <c r="D211" s="8" t="str">
        <f t="shared" si="19"/>
        <v>1PremiumW4</v>
      </c>
      <c r="E211" s="10">
        <v>1</v>
      </c>
      <c r="F211" s="6">
        <v>163</v>
      </c>
      <c r="G211" s="8" t="str">
        <f>VLOOKUP(F211,[1]characters!$A:$C,3,FALSE)</f>
        <v>冷酷な狂嬢 クララ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VLOOKUP(D211,gacha_300_base!A:B,2,FALSE)</f>
        <v>4898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8"/>
        <v>3001164</v>
      </c>
      <c r="B212" s="2" t="str">
        <f t="shared" si="20"/>
        <v>3001</v>
      </c>
      <c r="C212" s="8" t="str">
        <f t="shared" si="17"/>
        <v>1PremiumW3</v>
      </c>
      <c r="D212" s="8" t="str">
        <f t="shared" si="19"/>
        <v>1PremiumW3</v>
      </c>
      <c r="E212" s="10">
        <v>1</v>
      </c>
      <c r="F212" s="6">
        <v>164</v>
      </c>
      <c r="G212" s="8" t="str">
        <f>VLOOKUP(F212,[1]characters!$A:$C,3,FALSE)</f>
        <v>イブとトモダチ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technical</v>
      </c>
      <c r="L212" s="8" t="str">
        <f>VLOOKUP(F212,[1]characters!$A:$M,13,FALSE)</f>
        <v>human</v>
      </c>
      <c r="M212" s="16">
        <f>VLOOKUP(D212,gacha_300_base!A:B,2,FALSE)</f>
        <v>4898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8"/>
        <v>3001165</v>
      </c>
      <c r="B213" s="2" t="str">
        <f t="shared" si="20"/>
        <v>3001</v>
      </c>
      <c r="C213" s="8" t="str">
        <f t="shared" si="17"/>
        <v>1PremiumW4</v>
      </c>
      <c r="D213" s="8" t="str">
        <f t="shared" si="19"/>
        <v>1PremiumW4</v>
      </c>
      <c r="E213" s="10">
        <v>1</v>
      </c>
      <c r="F213" s="6">
        <v>165</v>
      </c>
      <c r="G213" s="8" t="str">
        <f>VLOOKUP(F213,[1]characters!$A:$C,3,FALSE)</f>
        <v>イブとたったひとりのトモダチ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VLOOKUP(D213,gacha_300_base!A:B,2,FALSE)</f>
        <v>4898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8"/>
        <v>3001166</v>
      </c>
      <c r="B214" s="2" t="str">
        <f t="shared" si="20"/>
        <v>3001</v>
      </c>
      <c r="C214" s="8" t="str">
        <f t="shared" si="17"/>
        <v>1PremiumN3</v>
      </c>
      <c r="D214" s="8" t="str">
        <f t="shared" si="19"/>
        <v>1PremiumN3</v>
      </c>
      <c r="E214" s="10">
        <v>1</v>
      </c>
      <c r="F214" s="6">
        <v>166</v>
      </c>
      <c r="G214" s="8" t="str">
        <f>VLOOKUP(F214,[1]characters!$A:$C,3,FALSE)</f>
        <v>ベリアル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VLOOKUP(D214,gacha_300_base!A:B,2,FALSE)</f>
        <v>7347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8"/>
        <v>3001167</v>
      </c>
      <c r="B215" s="2" t="str">
        <f t="shared" si="20"/>
        <v>3001</v>
      </c>
      <c r="C215" s="8" t="str">
        <f t="shared" si="17"/>
        <v>1PremiumN4</v>
      </c>
      <c r="D215" s="8" t="str">
        <f t="shared" si="19"/>
        <v>1PremiumN4</v>
      </c>
      <c r="E215" s="10">
        <v>1</v>
      </c>
      <c r="F215" s="6">
        <v>167</v>
      </c>
      <c r="G215" s="8" t="str">
        <f>VLOOKUP(F215,[1]characters!$A:$C,3,FALSE)</f>
        <v>逆徒 ベリアル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VLOOKUP(D215,gacha_300_base!A:B,2,FALSE)</f>
        <v>6436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8"/>
        <v>3001168</v>
      </c>
      <c r="B216" s="2" t="str">
        <f t="shared" si="20"/>
        <v>3001</v>
      </c>
      <c r="C216" s="8" t="str">
        <f t="shared" si="17"/>
        <v>1PremiumN5</v>
      </c>
      <c r="D216" s="8" t="str">
        <f t="shared" si="19"/>
        <v>1PremiumN5</v>
      </c>
      <c r="E216" s="10">
        <v>1</v>
      </c>
      <c r="F216" s="6">
        <v>168</v>
      </c>
      <c r="G216" s="8" t="str">
        <f>VLOOKUP(F216,[1]characters!$A:$C,3,FALSE)</f>
        <v>猛進の大逆者 ベリアル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VLOOKUP(D216,gacha_300_base!A:B,2,FALSE)</f>
        <v>911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8"/>
        <v>3001169</v>
      </c>
      <c r="B217" s="2" t="str">
        <f t="shared" si="20"/>
        <v>3001</v>
      </c>
      <c r="C217" s="8" t="str">
        <f t="shared" si="17"/>
        <v>1PremiumN3</v>
      </c>
      <c r="D217" s="8" t="str">
        <f t="shared" si="19"/>
        <v>1PremiumN3</v>
      </c>
      <c r="E217" s="10">
        <v>1</v>
      </c>
      <c r="F217" s="6">
        <v>169</v>
      </c>
      <c r="G217" s="8" t="str">
        <f>VLOOKUP(F217,[1]characters!$A:$C,3,FALSE)</f>
        <v>オセ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VLOOKUP(D217,gacha_300_base!A:B,2,FALSE)</f>
        <v>7347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8"/>
        <v>3001170</v>
      </c>
      <c r="B218" s="2" t="str">
        <f t="shared" si="20"/>
        <v>3001</v>
      </c>
      <c r="C218" s="8" t="str">
        <f t="shared" si="17"/>
        <v>1PremiumN4</v>
      </c>
      <c r="D218" s="8" t="str">
        <f t="shared" si="19"/>
        <v>1PremiumN4</v>
      </c>
      <c r="E218" s="10">
        <v>1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VLOOKUP(D218,gacha_300_base!A:B,2,FALSE)</f>
        <v>6436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8"/>
        <v>3001171</v>
      </c>
      <c r="B219" s="2" t="str">
        <f t="shared" si="20"/>
        <v>3001</v>
      </c>
      <c r="C219" s="8" t="str">
        <f t="shared" si="17"/>
        <v>1PremiumN5</v>
      </c>
      <c r="D219" s="8" t="str">
        <f t="shared" si="19"/>
        <v>1PremiumN5</v>
      </c>
      <c r="E219" s="10">
        <v>1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VLOOKUP(D219,gacha_300_base!A:B,2,FALSE)</f>
        <v>911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8"/>
        <v>3001172</v>
      </c>
      <c r="B220" s="2" t="str">
        <f t="shared" si="20"/>
        <v>3001</v>
      </c>
      <c r="C220" s="8" t="str">
        <f t="shared" si="17"/>
        <v>1PremiumN3</v>
      </c>
      <c r="D220" s="8" t="str">
        <f t="shared" si="19"/>
        <v>1PremiumN3</v>
      </c>
      <c r="E220" s="10">
        <v>1</v>
      </c>
      <c r="F220" s="6">
        <v>172</v>
      </c>
      <c r="G220" s="8" t="str">
        <f>VLOOKUP(F220,[1]characters!$A:$C,3,FALSE)</f>
        <v>フォルネウス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VLOOKUP(D220,gacha_300_base!A:B,2,FALSE)</f>
        <v>7347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8"/>
        <v>3001173</v>
      </c>
      <c r="B221" s="2" t="str">
        <f t="shared" si="20"/>
        <v>3001</v>
      </c>
      <c r="C221" s="8" t="str">
        <f t="shared" si="17"/>
        <v>1PremiumN4</v>
      </c>
      <c r="D221" s="8" t="str">
        <f t="shared" si="19"/>
        <v>1PremiumN4</v>
      </c>
      <c r="E221" s="10">
        <v>1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VLOOKUP(D221,gacha_300_base!A:B,2,FALSE)</f>
        <v>6436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18"/>
        <v>3001174</v>
      </c>
      <c r="B222" s="2" t="str">
        <f t="shared" si="20"/>
        <v>3001</v>
      </c>
      <c r="C222" s="8" t="str">
        <f t="shared" si="17"/>
        <v>1PremiumN5</v>
      </c>
      <c r="D222" s="8" t="str">
        <f t="shared" si="19"/>
        <v>1PremiumN5</v>
      </c>
      <c r="E222" s="10">
        <v>1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VLOOKUP(D222,gacha_300_base!A:B,2,FALSE)</f>
        <v>911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18"/>
        <v>3001175</v>
      </c>
      <c r="B223" s="2" t="str">
        <f t="shared" si="20"/>
        <v>3001</v>
      </c>
      <c r="C223" s="8" t="str">
        <f t="shared" si="17"/>
        <v>1PremiumN3</v>
      </c>
      <c r="D223" s="8" t="str">
        <f t="shared" si="19"/>
        <v>1PremiumN3</v>
      </c>
      <c r="E223" s="10">
        <v>1</v>
      </c>
      <c r="F223" s="6">
        <v>175</v>
      </c>
      <c r="G223" s="8" t="str">
        <f>VLOOKUP(F223,[1]characters!$A:$C,3,FALSE)</f>
        <v>バフォメット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VLOOKUP(D223,gacha_300_base!A:B,2,FALSE)</f>
        <v>7347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18"/>
        <v>3001176</v>
      </c>
      <c r="B224" s="2" t="str">
        <f t="shared" si="20"/>
        <v>3001</v>
      </c>
      <c r="C224" s="8" t="str">
        <f t="shared" si="17"/>
        <v>1PremiumN4</v>
      </c>
      <c r="D224" s="8" t="str">
        <f t="shared" si="19"/>
        <v>1PremiumN4</v>
      </c>
      <c r="E224" s="10">
        <v>1</v>
      </c>
      <c r="F224" s="6">
        <v>176</v>
      </c>
      <c r="G224" s="8" t="str">
        <f>VLOOKUP(F224,[1]characters!$A:$C,3,FALSE)</f>
        <v>異教徒 バフォメット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VLOOKUP(D224,gacha_300_base!A:B,2,FALSE)</f>
        <v>6436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18"/>
        <v>3001177</v>
      </c>
      <c r="B225" s="2" t="str">
        <f t="shared" si="20"/>
        <v>3001</v>
      </c>
      <c r="C225" s="8" t="str">
        <f t="shared" si="17"/>
        <v>1PremiumN5</v>
      </c>
      <c r="D225" s="8" t="str">
        <f t="shared" si="19"/>
        <v>1PremiumN5</v>
      </c>
      <c r="E225" s="10">
        <v>1</v>
      </c>
      <c r="F225" s="6">
        <v>177</v>
      </c>
      <c r="G225" s="8" t="str">
        <f>VLOOKUP(F225,[1]characters!$A:$C,3,FALSE)</f>
        <v>黒魔の異端師 バフォメット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VLOOKUP(D225,gacha_300_base!A:B,2,FALSE)</f>
        <v>911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18"/>
        <v>3001178</v>
      </c>
      <c r="B226" s="2" t="str">
        <f t="shared" si="20"/>
        <v>3001</v>
      </c>
      <c r="C226" s="8" t="str">
        <f t="shared" si="17"/>
        <v>1PremiumN3</v>
      </c>
      <c r="D226" s="8" t="str">
        <f t="shared" si="19"/>
        <v>1PremiumN3</v>
      </c>
      <c r="E226" s="10">
        <v>1</v>
      </c>
      <c r="F226" s="6">
        <v>178</v>
      </c>
      <c r="G226" s="8" t="str">
        <f>VLOOKUP(F226,[1]characters!$A:$C,3,FALSE)</f>
        <v>ケルベロス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16">
        <f>VLOOKUP(D226,gacha_300_base!A:B,2,FALSE)</f>
        <v>7347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18"/>
        <v>3001179</v>
      </c>
      <c r="B227" s="2" t="str">
        <f t="shared" si="20"/>
        <v>3001</v>
      </c>
      <c r="C227" s="8" t="str">
        <f t="shared" si="17"/>
        <v>1PremiumN4</v>
      </c>
      <c r="D227" s="8" t="str">
        <f t="shared" si="19"/>
        <v>1PremiumN4</v>
      </c>
      <c r="E227" s="10">
        <v>1</v>
      </c>
      <c r="F227" s="6">
        <v>179</v>
      </c>
      <c r="G227" s="8" t="str">
        <f>VLOOKUP(F227,[1]characters!$A:$C,3,FALSE)</f>
        <v>番犬 ケルベロス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VLOOKUP(D227,gacha_300_base!A:B,2,FALSE)</f>
        <v>6436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18"/>
        <v>3001180</v>
      </c>
      <c r="B228" s="2" t="str">
        <f t="shared" si="20"/>
        <v>3001</v>
      </c>
      <c r="C228" s="8" t="str">
        <f t="shared" si="17"/>
        <v>1PremiumN5</v>
      </c>
      <c r="D228" s="8" t="str">
        <f t="shared" si="19"/>
        <v>1PremiumN5</v>
      </c>
      <c r="E228" s="10">
        <v>1</v>
      </c>
      <c r="F228" s="6">
        <v>180</v>
      </c>
      <c r="G228" s="8" t="str">
        <f>VLOOKUP(F228,[1]characters!$A:$C,3,FALSE)</f>
        <v>地獄の大門番 ケルベロス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VLOOKUP(D228,gacha_300_base!A:B,2,FALSE)</f>
        <v>911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18"/>
        <v>3001181</v>
      </c>
      <c r="B229" s="2" t="str">
        <f t="shared" si="20"/>
        <v>3001</v>
      </c>
      <c r="C229" s="8" t="str">
        <f t="shared" si="17"/>
        <v>1PremiumN3</v>
      </c>
      <c r="D229" s="8" t="str">
        <f t="shared" si="19"/>
        <v>1PremiumN3</v>
      </c>
      <c r="E229" s="10">
        <v>1</v>
      </c>
      <c r="F229" s="6">
        <v>181</v>
      </c>
      <c r="G229" s="8" t="str">
        <f>VLOOKUP(F229,[1]characters!$A:$C,3,FALSE)</f>
        <v>ベヒモス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hp</v>
      </c>
      <c r="L229" s="8" t="str">
        <f>VLOOKUP(F229,[1]characters!$A:$M,13,FALSE)</f>
        <v>animal</v>
      </c>
      <c r="M229" s="16">
        <f>VLOOKUP(D229,gacha_300_base!A:B,2,FALSE)</f>
        <v>7347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18"/>
        <v>3001182</v>
      </c>
      <c r="B230" s="2" t="str">
        <f t="shared" si="20"/>
        <v>3001</v>
      </c>
      <c r="C230" s="8" t="str">
        <f t="shared" si="17"/>
        <v>1PremiumN4</v>
      </c>
      <c r="D230" s="8" t="str">
        <f t="shared" si="19"/>
        <v>1PremiumN4</v>
      </c>
      <c r="E230" s="10">
        <v>1</v>
      </c>
      <c r="F230" s="6">
        <v>182</v>
      </c>
      <c r="G230" s="8" t="str">
        <f>VLOOKUP(F230,[1]characters!$A:$C,3,FALSE)</f>
        <v>放蕩者 ベヒモス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VLOOKUP(D230,gacha_300_base!A:B,2,FALSE)</f>
        <v>6436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18"/>
        <v>3001183</v>
      </c>
      <c r="B231" s="2" t="str">
        <f t="shared" si="20"/>
        <v>3001</v>
      </c>
      <c r="C231" s="8" t="str">
        <f t="shared" si="17"/>
        <v>1PremiumN5</v>
      </c>
      <c r="D231" s="8" t="str">
        <f t="shared" si="19"/>
        <v>1PremiumN5</v>
      </c>
      <c r="E231" s="10">
        <v>1</v>
      </c>
      <c r="F231" s="6">
        <v>183</v>
      </c>
      <c r="G231" s="8" t="str">
        <f>VLOOKUP(F231,[1]characters!$A:$C,3,FALSE)</f>
        <v>鈍重な彷徨者 ベヒモス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VLOOKUP(D231,gacha_300_base!A:B,2,FALSE)</f>
        <v>911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18"/>
        <v>3001184</v>
      </c>
      <c r="B232" s="2" t="str">
        <f t="shared" si="20"/>
        <v>3001</v>
      </c>
      <c r="C232" s="8" t="str">
        <f t="shared" si="17"/>
        <v>1PremiumN3</v>
      </c>
      <c r="D232" s="8" t="str">
        <f t="shared" si="19"/>
        <v>1PremiumN3</v>
      </c>
      <c r="E232" s="10">
        <v>1</v>
      </c>
      <c r="F232" s="6">
        <v>184</v>
      </c>
      <c r="G232" s="8" t="str">
        <f>VLOOKUP(F232,[1]characters!$A:$C,3,FALSE)</f>
        <v>クラーケン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VLOOKUP(D232,gacha_300_base!A:B,2,FALSE)</f>
        <v>7347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18"/>
        <v>3001185</v>
      </c>
      <c r="B233" s="2" t="str">
        <f t="shared" si="20"/>
        <v>3001</v>
      </c>
      <c r="C233" s="8" t="str">
        <f t="shared" si="17"/>
        <v>1PremiumN4</v>
      </c>
      <c r="D233" s="8" t="str">
        <f t="shared" si="19"/>
        <v>1PremiumN4</v>
      </c>
      <c r="E233" s="10">
        <v>1</v>
      </c>
      <c r="F233" s="6">
        <v>185</v>
      </c>
      <c r="G233" s="8" t="str">
        <f>VLOOKUP(F233,[1]characters!$A:$C,3,FALSE)</f>
        <v>海姫 クラーケン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VLOOKUP(D233,gacha_300_base!A:B,2,FALSE)</f>
        <v>6436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18"/>
        <v>3001186</v>
      </c>
      <c r="B234" s="2" t="str">
        <f t="shared" si="20"/>
        <v>3001</v>
      </c>
      <c r="C234" s="8" t="str">
        <f t="shared" si="17"/>
        <v>1PremiumN5</v>
      </c>
      <c r="D234" s="8" t="str">
        <f t="shared" si="19"/>
        <v>1PremiumN5</v>
      </c>
      <c r="E234" s="10">
        <v>1</v>
      </c>
      <c r="F234" s="9">
        <v>186</v>
      </c>
      <c r="G234" s="8" t="str">
        <f>VLOOKUP(F234,[1]characters!$A:$C,3,FALSE)</f>
        <v>誇り高き多触姫・クラーケン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VLOOKUP(D234,gacha_300_base!A:B,2,FALSE)</f>
        <v>911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18"/>
        <v>3001187</v>
      </c>
      <c r="B235" s="2" t="str">
        <f t="shared" si="20"/>
        <v>3001</v>
      </c>
      <c r="C235" s="8" t="str">
        <f t="shared" si="17"/>
        <v>1PremiumN3</v>
      </c>
      <c r="D235" s="8" t="str">
        <f t="shared" si="19"/>
        <v>1PremiumN3</v>
      </c>
      <c r="E235" s="10">
        <v>1</v>
      </c>
      <c r="F235" s="9">
        <v>187</v>
      </c>
      <c r="G235" s="8" t="str">
        <f>VLOOKUP(F235,[1]characters!$A:$C,3,FALSE)</f>
        <v>ホルス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VLOOKUP(D235,gacha_300_base!A:B,2,FALSE)</f>
        <v>7347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18"/>
        <v>3001188</v>
      </c>
      <c r="B236" s="2" t="str">
        <f t="shared" si="20"/>
        <v>3001</v>
      </c>
      <c r="C236" s="8" t="str">
        <f t="shared" si="17"/>
        <v>1PremiumN4</v>
      </c>
      <c r="D236" s="8" t="str">
        <f t="shared" si="19"/>
        <v>1PremiumN4</v>
      </c>
      <c r="E236" s="10">
        <v>1</v>
      </c>
      <c r="F236" s="9">
        <v>188</v>
      </c>
      <c r="G236" s="8" t="str">
        <f>VLOOKUP(F236,[1]characters!$A:$C,3,FALSE)</f>
        <v>猛禽 ホルス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VLOOKUP(D236,gacha_300_base!A:B,2,FALSE)</f>
        <v>6436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18"/>
        <v>3001189</v>
      </c>
      <c r="B237" s="2" t="str">
        <f t="shared" si="20"/>
        <v>3001</v>
      </c>
      <c r="C237" s="8" t="str">
        <f t="shared" si="17"/>
        <v>1PremiumN5</v>
      </c>
      <c r="D237" s="8" t="str">
        <f t="shared" si="19"/>
        <v>1PremiumN5</v>
      </c>
      <c r="E237" s="10">
        <v>1</v>
      </c>
      <c r="F237" s="9">
        <v>189</v>
      </c>
      <c r="G237" s="8" t="str">
        <f>VLOOKUP(F237,[1]characters!$A:$C,3,FALSE)</f>
        <v>迅雷の王禽 ホルス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VLOOKUP(D237,gacha_300_base!A:B,2,FALSE)</f>
        <v>911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s="11" customFormat="1" ht="21" customHeight="1" thickBot="1">
      <c r="A238" s="7" t="str">
        <f t="shared" si="18"/>
        <v>3001190</v>
      </c>
      <c r="B238" s="2" t="str">
        <f t="shared" si="20"/>
        <v>3001</v>
      </c>
      <c r="C238" s="8" t="str">
        <f t="shared" ref="C238:C301" si="21">E238&amp;H238&amp;I238</f>
        <v>1PremiumN3</v>
      </c>
      <c r="D238" s="8" t="str">
        <f t="shared" si="19"/>
        <v>1PremiumN3</v>
      </c>
      <c r="E238" s="10">
        <v>1</v>
      </c>
      <c r="F238" s="6">
        <v>190</v>
      </c>
      <c r="G238" s="8" t="str">
        <f>VLOOKUP(F238,[1]characters!$A:$C,3,FALSE)</f>
        <v>卑弥呼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VLOOKUP(D238,gacha_300_base!A:B,2,FALSE)</f>
        <v>7347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ref="A239:A302" si="22">B239&amp;F239</f>
        <v>3001191</v>
      </c>
      <c r="B239" s="2" t="str">
        <f t="shared" si="20"/>
        <v>3001</v>
      </c>
      <c r="C239" s="8" t="str">
        <f t="shared" si="21"/>
        <v>1PremiumN4</v>
      </c>
      <c r="D239" s="8" t="str">
        <f t="shared" si="19"/>
        <v>1PremiumN4</v>
      </c>
      <c r="E239" s="10">
        <v>1</v>
      </c>
      <c r="F239" s="6">
        <v>191</v>
      </c>
      <c r="G239" s="8" t="str">
        <f>VLOOKUP(F239,[1]characters!$A:$C,3,FALSE)</f>
        <v>始祖 卑弥呼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VLOOKUP(D239,gacha_300_base!A:B,2,FALSE)</f>
        <v>6436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3001192</v>
      </c>
      <c r="B240" s="2" t="str">
        <f t="shared" si="20"/>
        <v>3001</v>
      </c>
      <c r="C240" s="8" t="str">
        <f t="shared" si="21"/>
        <v>1PremiumN5</v>
      </c>
      <c r="D240" s="8" t="str">
        <f t="shared" si="19"/>
        <v>1PremiumN5</v>
      </c>
      <c r="E240" s="10">
        <v>1</v>
      </c>
      <c r="F240" s="6">
        <v>192</v>
      </c>
      <c r="G240" s="8" t="str">
        <f>VLOOKUP(F240,[1]characters!$A:$C,3,FALSE)</f>
        <v>荘厳なる始祖帝 卑弥呼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VLOOKUP(D240,gacha_300_base!A:B,2,FALSE)</f>
        <v>911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3001193</v>
      </c>
      <c r="B241" s="2" t="str">
        <f t="shared" si="20"/>
        <v>3001</v>
      </c>
      <c r="C241" s="8" t="str">
        <f t="shared" si="21"/>
        <v>1PremiumN3</v>
      </c>
      <c r="D241" s="8" t="str">
        <f t="shared" si="19"/>
        <v>1PremiumN3</v>
      </c>
      <c r="E241" s="10">
        <v>1</v>
      </c>
      <c r="F241" s="6">
        <v>193</v>
      </c>
      <c r="G241" s="8" t="str">
        <f>VLOOKUP(F241,[1]characters!$A:$C,3,FALSE)</f>
        <v>ロビンフッド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VLOOKUP(D241,gacha_300_base!A:B,2,FALSE)</f>
        <v>7347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3001194</v>
      </c>
      <c r="B242" s="2" t="str">
        <f t="shared" si="20"/>
        <v>3001</v>
      </c>
      <c r="C242" s="8" t="str">
        <f t="shared" si="21"/>
        <v>1PremiumN4</v>
      </c>
      <c r="D242" s="8" t="str">
        <f t="shared" si="19"/>
        <v>1PremiumN4</v>
      </c>
      <c r="E242" s="10">
        <v>1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VLOOKUP(D242,gacha_300_base!A:B,2,FALSE)</f>
        <v>6436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3001195</v>
      </c>
      <c r="B243" s="2" t="str">
        <f t="shared" si="20"/>
        <v>3001</v>
      </c>
      <c r="C243" s="8" t="str">
        <f t="shared" si="21"/>
        <v>1PremiumN5</v>
      </c>
      <c r="D243" s="8" t="str">
        <f t="shared" si="19"/>
        <v>1PremiumN5</v>
      </c>
      <c r="E243" s="10">
        <v>1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VLOOKUP(D243,gacha_300_base!A:B,2,FALSE)</f>
        <v>911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3001196</v>
      </c>
      <c r="B244" s="2" t="str">
        <f t="shared" si="20"/>
        <v>3001</v>
      </c>
      <c r="C244" s="8" t="str">
        <f t="shared" si="21"/>
        <v>1PremiumN3</v>
      </c>
      <c r="D244" s="8" t="str">
        <f t="shared" si="19"/>
        <v>1PremiumN3</v>
      </c>
      <c r="E244" s="10">
        <v>1</v>
      </c>
      <c r="F244" s="12">
        <v>196</v>
      </c>
      <c r="G244" s="8" t="str">
        <f>VLOOKUP(F244,[1]characters!$A:$C,3,FALSE)</f>
        <v>アキレス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VLOOKUP(D244,gacha_300_base!A:B,2,FALSE)</f>
        <v>7347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3001197</v>
      </c>
      <c r="B245" s="2" t="str">
        <f t="shared" si="20"/>
        <v>3001</v>
      </c>
      <c r="C245" s="8" t="str">
        <f t="shared" si="21"/>
        <v>1PremiumN4</v>
      </c>
      <c r="D245" s="8" t="str">
        <f t="shared" si="19"/>
        <v>1PremiumN4</v>
      </c>
      <c r="E245" s="10">
        <v>1</v>
      </c>
      <c r="F245" s="13">
        <v>197</v>
      </c>
      <c r="G245" s="8" t="str">
        <f>VLOOKUP(F245,[1]characters!$A:$C,3,FALSE)</f>
        <v>鉄腕 アキレス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VLOOKUP(D245,gacha_300_base!A:B,2,FALSE)</f>
        <v>6436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2"/>
        <v>3001198</v>
      </c>
      <c r="B246" s="2" t="str">
        <f t="shared" si="20"/>
        <v>3001</v>
      </c>
      <c r="C246" s="8" t="str">
        <f t="shared" si="21"/>
        <v>1PremiumN5</v>
      </c>
      <c r="D246" s="8" t="str">
        <f t="shared" si="19"/>
        <v>1PremiumN5</v>
      </c>
      <c r="E246" s="10">
        <v>1</v>
      </c>
      <c r="F246" s="6">
        <v>198</v>
      </c>
      <c r="G246" s="8" t="str">
        <f>VLOOKUP(F246,[1]characters!$A:$C,3,FALSE)</f>
        <v>砕骨の剛腕 アキレス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VLOOKUP(D246,gacha_300_base!A:B,2,FALSE)</f>
        <v>911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2"/>
        <v>3001199</v>
      </c>
      <c r="B247" s="2" t="str">
        <f t="shared" si="20"/>
        <v>3001</v>
      </c>
      <c r="C247" s="8" t="str">
        <f t="shared" si="21"/>
        <v>1PremiumN3</v>
      </c>
      <c r="D247" s="8" t="str">
        <f t="shared" si="19"/>
        <v>1PremiumN3</v>
      </c>
      <c r="E247" s="10">
        <v>1</v>
      </c>
      <c r="F247" s="6">
        <v>199</v>
      </c>
      <c r="G247" s="8" t="str">
        <f>VLOOKUP(F247,[1]characters!$A:$C,3,FALSE)</f>
        <v>ジークフリート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VLOOKUP(D247,gacha_300_base!A:B,2,FALSE)</f>
        <v>7347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2"/>
        <v>3001200</v>
      </c>
      <c r="B248" s="2" t="str">
        <f t="shared" si="20"/>
        <v>3001</v>
      </c>
      <c r="C248" s="8" t="str">
        <f t="shared" si="21"/>
        <v>1PremiumN4</v>
      </c>
      <c r="D248" s="8" t="str">
        <f t="shared" si="19"/>
        <v>1PremiumN4</v>
      </c>
      <c r="E248" s="10">
        <v>1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VLOOKUP(D248,gacha_300_base!A:B,2,FALSE)</f>
        <v>6436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2"/>
        <v>3001201</v>
      </c>
      <c r="B249" s="2" t="str">
        <f t="shared" si="20"/>
        <v>3001</v>
      </c>
      <c r="C249" s="8" t="str">
        <f t="shared" si="21"/>
        <v>1PremiumN5</v>
      </c>
      <c r="D249" s="8" t="str">
        <f t="shared" si="19"/>
        <v>1PremiumN5</v>
      </c>
      <c r="E249" s="10">
        <v>1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VLOOKUP(D249,gacha_300_base!A:B,2,FALSE)</f>
        <v>911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2"/>
        <v>3001202</v>
      </c>
      <c r="B250" s="2" t="str">
        <f t="shared" si="20"/>
        <v>3001</v>
      </c>
      <c r="C250" s="8" t="str">
        <f t="shared" si="21"/>
        <v>1PremiumN3</v>
      </c>
      <c r="D250" s="8" t="str">
        <f t="shared" si="19"/>
        <v>1PremiumN3</v>
      </c>
      <c r="E250" s="10">
        <v>1</v>
      </c>
      <c r="F250" s="5">
        <v>202</v>
      </c>
      <c r="G250" s="8" t="str">
        <f>VLOOKUP(F250,[1]characters!$A:$C,3,FALSE)</f>
        <v>プロメテウス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VLOOKUP(D250,gacha_300_base!A:B,2,FALSE)</f>
        <v>7347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2"/>
        <v>3001203</v>
      </c>
      <c r="B251" s="2" t="str">
        <f t="shared" si="20"/>
        <v>3001</v>
      </c>
      <c r="C251" s="8" t="str">
        <f t="shared" si="21"/>
        <v>1PremiumN4</v>
      </c>
      <c r="D251" s="8" t="str">
        <f t="shared" si="19"/>
        <v>1PremiumN4</v>
      </c>
      <c r="E251" s="10">
        <v>1</v>
      </c>
      <c r="F251" s="5">
        <v>203</v>
      </c>
      <c r="G251" s="8" t="str">
        <f>VLOOKUP(F251,[1]characters!$A:$C,3,FALSE)</f>
        <v>焔神 プロメテウス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VLOOKUP(D251,gacha_300_base!A:B,2,FALSE)</f>
        <v>6436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2"/>
        <v>3001204</v>
      </c>
      <c r="B252" s="2" t="str">
        <f t="shared" si="20"/>
        <v>3001</v>
      </c>
      <c r="C252" s="8" t="str">
        <f t="shared" si="21"/>
        <v>1PremiumN5</v>
      </c>
      <c r="D252" s="8" t="str">
        <f t="shared" si="19"/>
        <v>1PremiumN5</v>
      </c>
      <c r="E252" s="10">
        <v>1</v>
      </c>
      <c r="F252" s="5">
        <v>204</v>
      </c>
      <c r="G252" s="8" t="str">
        <f>VLOOKUP(F252,[1]characters!$A:$C,3,FALSE)</f>
        <v>慟哭の巨焔 プロメテウス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VLOOKUP(D252,gacha_300_base!A:B,2,FALSE)</f>
        <v>911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2"/>
        <v>3001205</v>
      </c>
      <c r="B253" s="2" t="str">
        <f t="shared" si="20"/>
        <v>3001</v>
      </c>
      <c r="C253" s="8" t="str">
        <f t="shared" si="21"/>
        <v>1PremiumN3</v>
      </c>
      <c r="D253" s="8" t="str">
        <f t="shared" si="19"/>
        <v>1PremiumN3</v>
      </c>
      <c r="E253" s="10">
        <v>1</v>
      </c>
      <c r="F253" s="5">
        <v>205</v>
      </c>
      <c r="G253" s="8" t="str">
        <f>VLOOKUP(F253,[1]characters!$A:$C,3,FALSE)</f>
        <v>アフロディーテ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VLOOKUP(D253,gacha_300_base!A:B,2,FALSE)</f>
        <v>7347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2"/>
        <v>3001206</v>
      </c>
      <c r="B254" s="2" t="str">
        <f t="shared" si="20"/>
        <v>3001</v>
      </c>
      <c r="C254" s="8" t="str">
        <f t="shared" si="21"/>
        <v>1PremiumN4</v>
      </c>
      <c r="D254" s="8" t="str">
        <f t="shared" si="19"/>
        <v>1PremiumN4</v>
      </c>
      <c r="E254" s="10">
        <v>1</v>
      </c>
      <c r="F254" s="5">
        <v>206</v>
      </c>
      <c r="G254" s="8" t="str">
        <f>VLOOKUP(F254,[1]characters!$A:$C,3,FALSE)</f>
        <v>美神 アフロディーテ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VLOOKUP(D254,gacha_300_base!A:B,2,FALSE)</f>
        <v>6436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2"/>
        <v>3001207</v>
      </c>
      <c r="B255" s="2" t="str">
        <f t="shared" si="20"/>
        <v>3001</v>
      </c>
      <c r="C255" s="8" t="str">
        <f t="shared" si="21"/>
        <v>1PremiumN5</v>
      </c>
      <c r="D255" s="8" t="str">
        <f t="shared" si="19"/>
        <v>1PremiumN5</v>
      </c>
      <c r="E255" s="10">
        <v>1</v>
      </c>
      <c r="F255" s="5">
        <v>207</v>
      </c>
      <c r="G255" s="8" t="str">
        <f>VLOOKUP(F255,[1]characters!$A:$C,3,FALSE)</f>
        <v>豊穣の麗神・アフロディーテ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VLOOKUP(D255,gacha_300_base!A:B,2,FALSE)</f>
        <v>911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2"/>
        <v>3001208</v>
      </c>
      <c r="B256" s="2" t="str">
        <f t="shared" si="20"/>
        <v>3001</v>
      </c>
      <c r="C256" s="8" t="str">
        <f t="shared" si="21"/>
        <v>1PremiumN3</v>
      </c>
      <c r="D256" s="8" t="str">
        <f t="shared" si="19"/>
        <v>1PremiumN3</v>
      </c>
      <c r="E256" s="10">
        <v>1</v>
      </c>
      <c r="F256" s="5">
        <v>208</v>
      </c>
      <c r="G256" s="8" t="str">
        <f>VLOOKUP(F256,[1]characters!$A:$C,3,FALSE)</f>
        <v>テティス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VLOOKUP(D256,gacha_300_base!A:B,2,FALSE)</f>
        <v>7347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2"/>
        <v>3001209</v>
      </c>
      <c r="B257" s="2" t="str">
        <f t="shared" si="20"/>
        <v>3001</v>
      </c>
      <c r="C257" s="8" t="str">
        <f t="shared" si="21"/>
        <v>1PremiumN4</v>
      </c>
      <c r="D257" s="8" t="str">
        <f t="shared" si="19"/>
        <v>1PremiumN4</v>
      </c>
      <c r="E257" s="10">
        <v>1</v>
      </c>
      <c r="F257" s="5">
        <v>209</v>
      </c>
      <c r="G257" s="8" t="str">
        <f>VLOOKUP(F257,[1]characters!$A:$C,3,FALSE)</f>
        <v>孤神 テティス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VLOOKUP(D257,gacha_300_base!A:B,2,FALSE)</f>
        <v>6436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2"/>
        <v>3001210</v>
      </c>
      <c r="B258" s="2" t="str">
        <f t="shared" si="20"/>
        <v>3001</v>
      </c>
      <c r="C258" s="8" t="str">
        <f t="shared" si="21"/>
        <v>1PremiumN5</v>
      </c>
      <c r="D258" s="8" t="str">
        <f t="shared" ref="D258:D321" si="23">E258&amp;H258&amp;I258</f>
        <v>1PremiumN5</v>
      </c>
      <c r="E258" s="10">
        <v>1</v>
      </c>
      <c r="F258" s="5">
        <v>210</v>
      </c>
      <c r="G258" s="8" t="str">
        <f>VLOOKUP(F258,[1]characters!$A:$C,3,FALSE)</f>
        <v>海底の孤高神 テティス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VLOOKUP(D258,gacha_300_base!A:B,2,FALSE)</f>
        <v>911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2"/>
        <v>3001211</v>
      </c>
      <c r="B259" s="2" t="str">
        <f t="shared" ref="B259:B322" si="24">300&amp;E259</f>
        <v>3001</v>
      </c>
      <c r="C259" s="8" t="str">
        <f t="shared" si="21"/>
        <v>1PremiumN3</v>
      </c>
      <c r="D259" s="8" t="str">
        <f t="shared" si="23"/>
        <v>1PremiumN3</v>
      </c>
      <c r="E259" s="10">
        <v>1</v>
      </c>
      <c r="F259" s="5">
        <v>211</v>
      </c>
      <c r="G259" s="8" t="str">
        <f>VLOOKUP(F259,[1]characters!$A:$C,3,FALSE)</f>
        <v>アストライアー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VLOOKUP(D259,gacha_300_base!A:B,2,FALSE)</f>
        <v>7347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2"/>
        <v>3001212</v>
      </c>
      <c r="B260" s="2" t="str">
        <f t="shared" si="24"/>
        <v>3001</v>
      </c>
      <c r="C260" s="8" t="str">
        <f t="shared" si="21"/>
        <v>1PremiumN4</v>
      </c>
      <c r="D260" s="8" t="str">
        <f t="shared" si="23"/>
        <v>1PremiumN4</v>
      </c>
      <c r="E260" s="10">
        <v>1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VLOOKUP(D260,gacha_300_base!A:B,2,FALSE)</f>
        <v>6436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2"/>
        <v>3001213</v>
      </c>
      <c r="B261" s="2" t="str">
        <f t="shared" si="24"/>
        <v>3001</v>
      </c>
      <c r="C261" s="8" t="str">
        <f t="shared" si="21"/>
        <v>1PremiumN5</v>
      </c>
      <c r="D261" s="8" t="str">
        <f t="shared" si="23"/>
        <v>1PremiumN5</v>
      </c>
      <c r="E261" s="10">
        <v>1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VLOOKUP(D261,gacha_300_base!A:B,2,FALSE)</f>
        <v>911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2"/>
        <v>3001214</v>
      </c>
      <c r="B262" s="2" t="str">
        <f t="shared" si="24"/>
        <v>3001</v>
      </c>
      <c r="C262" s="8" t="str">
        <f t="shared" si="21"/>
        <v>1PremiumN3</v>
      </c>
      <c r="D262" s="8" t="str">
        <f t="shared" si="23"/>
        <v>1PremiumN3</v>
      </c>
      <c r="E262" s="10">
        <v>1</v>
      </c>
      <c r="F262" s="5">
        <v>214</v>
      </c>
      <c r="G262" s="8" t="str">
        <f>VLOOKUP(F262,[1]characters!$A:$C,3,FALSE)</f>
        <v>アズラエル</v>
      </c>
      <c r="H262" s="8" t="str">
        <f>VLOOKUP(F262,[1]characters!$A:$J,10,FALSE)</f>
        <v>PremiumN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VLOOKUP(D262,gacha_300_base!A:B,2,FALSE)</f>
        <v>7347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2"/>
        <v>3001215</v>
      </c>
      <c r="B263" s="2" t="str">
        <f t="shared" si="24"/>
        <v>3001</v>
      </c>
      <c r="C263" s="8" t="str">
        <f t="shared" si="21"/>
        <v>1PremiumN4</v>
      </c>
      <c r="D263" s="8" t="str">
        <f t="shared" si="23"/>
        <v>1PremiumN4</v>
      </c>
      <c r="E263" s="10">
        <v>1</v>
      </c>
      <c r="F263" s="5">
        <v>215</v>
      </c>
      <c r="G263" s="8" t="str">
        <f>VLOOKUP(F263,[1]characters!$A:$C,3,FALSE)</f>
        <v>死導者 アズラエル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VLOOKUP(D263,gacha_300_base!A:B,2,FALSE)</f>
        <v>6436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2"/>
        <v>3001216</v>
      </c>
      <c r="B264" s="2" t="str">
        <f t="shared" si="24"/>
        <v>3001</v>
      </c>
      <c r="C264" s="8" t="str">
        <f t="shared" si="21"/>
        <v>1PremiumN5</v>
      </c>
      <c r="D264" s="8" t="str">
        <f t="shared" si="23"/>
        <v>1PremiumN5</v>
      </c>
      <c r="E264" s="10">
        <v>1</v>
      </c>
      <c r="F264" s="5">
        <v>216</v>
      </c>
      <c r="G264" s="8" t="str">
        <f>VLOOKUP(F264,[1]characters!$A:$C,3,FALSE)</f>
        <v>百読の死導司書 アズラエル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VLOOKUP(D264,gacha_300_base!A:B,2,FALSE)</f>
        <v>911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2"/>
        <v>3001217</v>
      </c>
      <c r="B265" s="2" t="str">
        <f t="shared" si="24"/>
        <v>3001</v>
      </c>
      <c r="C265" s="8" t="str">
        <f t="shared" si="21"/>
        <v>1PremiumN3</v>
      </c>
      <c r="D265" s="8" t="str">
        <f t="shared" si="23"/>
        <v>1PremiumN3</v>
      </c>
      <c r="E265" s="10">
        <v>1</v>
      </c>
      <c r="F265" s="5">
        <v>217</v>
      </c>
      <c r="G265" s="8" t="str">
        <f>VLOOKUP(F265,[1]characters!$A:$C,3,FALSE)</f>
        <v>ケツァクアトル</v>
      </c>
      <c r="H265" s="8" t="str">
        <f>VLOOKUP(F265,[1]characters!$A:$J,10,FALSE)</f>
        <v>PremiumN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16">
        <f>VLOOKUP(D265,gacha_300_base!A:B,2,FALSE)</f>
        <v>7347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2"/>
        <v>3001218</v>
      </c>
      <c r="B266" s="2" t="str">
        <f t="shared" si="24"/>
        <v>3001</v>
      </c>
      <c r="C266" s="8" t="str">
        <f t="shared" si="21"/>
        <v>1PremiumN4</v>
      </c>
      <c r="D266" s="8" t="str">
        <f t="shared" si="23"/>
        <v>1PremiumN4</v>
      </c>
      <c r="E266" s="10">
        <v>1</v>
      </c>
      <c r="F266" s="5">
        <v>218</v>
      </c>
      <c r="G266" s="8" t="str">
        <f>VLOOKUP(F266,[1]characters!$A:$C,3,FALSE)</f>
        <v>聖蛇 ケツァクアトル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VLOOKUP(D266,gacha_300_base!A:B,2,FALSE)</f>
        <v>6436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2"/>
        <v>3001219</v>
      </c>
      <c r="B267" s="2" t="str">
        <f t="shared" si="24"/>
        <v>3001</v>
      </c>
      <c r="C267" s="8" t="str">
        <f t="shared" si="21"/>
        <v>1PremiumN5</v>
      </c>
      <c r="D267" s="8" t="str">
        <f t="shared" si="23"/>
        <v>1PremiumN5</v>
      </c>
      <c r="E267" s="10">
        <v>1</v>
      </c>
      <c r="F267" s="5">
        <v>219</v>
      </c>
      <c r="G267" s="8" t="str">
        <f>VLOOKUP(F267,[1]characters!$A:$C,3,FALSE)</f>
        <v>覇翼の聖蛇竜 ケツァクアトル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VLOOKUP(D267,gacha_300_base!A:B,2,FALSE)</f>
        <v>911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2"/>
        <v>3001220</v>
      </c>
      <c r="B268" s="2" t="str">
        <f t="shared" si="24"/>
        <v>3001</v>
      </c>
      <c r="C268" s="8" t="str">
        <f t="shared" si="21"/>
        <v>1PremiumN3</v>
      </c>
      <c r="D268" s="8" t="str">
        <f t="shared" si="23"/>
        <v>1PremiumN3</v>
      </c>
      <c r="E268" s="10">
        <v>1</v>
      </c>
      <c r="F268" s="5">
        <v>220</v>
      </c>
      <c r="G268" s="8" t="str">
        <f>VLOOKUP(F268,[1]characters!$A:$C,3,FALSE)</f>
        <v>ルキフグス</v>
      </c>
      <c r="H268" s="8" t="str">
        <f>VLOOKUP(F268,[1]characters!$A:$J,10,FALSE)</f>
        <v>PremiumN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VLOOKUP(D268,gacha_300_base!A:B,2,FALSE)</f>
        <v>7347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2"/>
        <v>3001221</v>
      </c>
      <c r="B269" s="2" t="str">
        <f t="shared" si="24"/>
        <v>3001</v>
      </c>
      <c r="C269" s="8" t="str">
        <f t="shared" si="21"/>
        <v>1PremiumN4</v>
      </c>
      <c r="D269" s="8" t="str">
        <f t="shared" si="23"/>
        <v>1PremiumN4</v>
      </c>
      <c r="E269" s="10">
        <v>1</v>
      </c>
      <c r="F269" s="5">
        <v>221</v>
      </c>
      <c r="G269" s="8" t="str">
        <f>VLOOKUP(F269,[1]characters!$A:$C,3,FALSE)</f>
        <v>宰相 ルキフグス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VLOOKUP(D269,gacha_300_base!A:B,2,FALSE)</f>
        <v>6436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2"/>
        <v>3001222</v>
      </c>
      <c r="B270" s="2" t="str">
        <f t="shared" si="24"/>
        <v>3001</v>
      </c>
      <c r="C270" s="8" t="str">
        <f t="shared" si="21"/>
        <v>1PremiumN5</v>
      </c>
      <c r="D270" s="8" t="str">
        <f t="shared" si="23"/>
        <v>1PremiumN5</v>
      </c>
      <c r="E270" s="10">
        <v>1</v>
      </c>
      <c r="F270" s="5">
        <v>222</v>
      </c>
      <c r="G270" s="8" t="str">
        <f>VLOOKUP(F270,[1]characters!$A:$C,3,FALSE)</f>
        <v>避光の鉄鎖宰相 ルキフグス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VLOOKUP(D270,gacha_300_base!A:B,2,FALSE)</f>
        <v>911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2"/>
        <v>3001223</v>
      </c>
      <c r="B271" s="2" t="str">
        <f t="shared" si="24"/>
        <v>3001</v>
      </c>
      <c r="C271" s="8" t="str">
        <f t="shared" si="21"/>
        <v>1PremiumN3</v>
      </c>
      <c r="D271" s="8" t="str">
        <f t="shared" si="23"/>
        <v>1PremiumN3</v>
      </c>
      <c r="E271" s="10">
        <v>1</v>
      </c>
      <c r="F271" s="5">
        <v>223</v>
      </c>
      <c r="G271" s="8" t="str">
        <f>VLOOKUP(F271,[1]characters!$A:$C,3,FALSE)</f>
        <v>ヘラクレス</v>
      </c>
      <c r="H271" s="8" t="str">
        <f>VLOOKUP(F271,[1]characters!$A:$J,10,FALSE)</f>
        <v>PremiumN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VLOOKUP(D271,gacha_300_base!A:B,2,FALSE)</f>
        <v>7347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2"/>
        <v>3001224</v>
      </c>
      <c r="B272" s="2" t="str">
        <f t="shared" si="24"/>
        <v>3001</v>
      </c>
      <c r="C272" s="8" t="str">
        <f t="shared" si="21"/>
        <v>1PremiumN4</v>
      </c>
      <c r="D272" s="8" t="str">
        <f t="shared" si="23"/>
        <v>1PremiumN4</v>
      </c>
      <c r="E272" s="10">
        <v>1</v>
      </c>
      <c r="F272" s="5">
        <v>224</v>
      </c>
      <c r="G272" s="8" t="str">
        <f>VLOOKUP(F272,[1]characters!$A:$C,3,FALSE)</f>
        <v>巨腕 ヘラクレス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VLOOKUP(D272,gacha_300_base!A:B,2,FALSE)</f>
        <v>6436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2"/>
        <v>3001225</v>
      </c>
      <c r="B273" s="2" t="str">
        <f t="shared" si="24"/>
        <v>3001</v>
      </c>
      <c r="C273" s="8" t="str">
        <f t="shared" si="21"/>
        <v>1PremiumN5</v>
      </c>
      <c r="D273" s="8" t="str">
        <f t="shared" si="23"/>
        <v>1PremiumN5</v>
      </c>
      <c r="E273" s="10">
        <v>1</v>
      </c>
      <c r="F273" s="5">
        <v>225</v>
      </c>
      <c r="G273" s="8" t="str">
        <f>VLOOKUP(F273,[1]characters!$A:$C,3,FALSE)</f>
        <v>咆哮の巨獅腕 ヘラクレス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VLOOKUP(D273,gacha_300_base!A:B,2,FALSE)</f>
        <v>911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2"/>
        <v>3001226</v>
      </c>
      <c r="B274" s="2" t="str">
        <f t="shared" si="24"/>
        <v>3001</v>
      </c>
      <c r="C274" s="8" t="str">
        <f t="shared" si="21"/>
        <v>1PremiumS3</v>
      </c>
      <c r="D274" s="8" t="str">
        <f t="shared" si="23"/>
        <v>1PremiumS3</v>
      </c>
      <c r="E274" s="10">
        <v>1</v>
      </c>
      <c r="F274" s="5">
        <v>226</v>
      </c>
      <c r="G274" s="8" t="str">
        <f>VLOOKUP(F274,[1]characters!$A:$C,3,FALSE)</f>
        <v>アレス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VLOOKUP(D274,gacha_300_base!A:B,2,FALSE)</f>
        <v>7837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2"/>
        <v>3001227</v>
      </c>
      <c r="B275" s="2" t="str">
        <f t="shared" si="24"/>
        <v>3001</v>
      </c>
      <c r="C275" s="8" t="str">
        <f t="shared" si="21"/>
        <v>1PremiumS4</v>
      </c>
      <c r="D275" s="8" t="str">
        <f t="shared" si="23"/>
        <v>1PremiumS4</v>
      </c>
      <c r="E275" s="10">
        <v>1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VLOOKUP(D275,gacha_300_base!A:B,2,FALSE)</f>
        <v>6865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2"/>
        <v>3001228</v>
      </c>
      <c r="B276" s="2" t="str">
        <f t="shared" si="24"/>
        <v>3001</v>
      </c>
      <c r="C276" s="8" t="str">
        <f t="shared" si="21"/>
        <v>1PremiumS5</v>
      </c>
      <c r="D276" s="8" t="str">
        <f t="shared" si="23"/>
        <v>1PremiumS5</v>
      </c>
      <c r="E276" s="10">
        <v>1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VLOOKUP(D276,gacha_300_base!A:B,2,FALSE)</f>
        <v>972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2"/>
        <v>3001229</v>
      </c>
      <c r="B277" s="2" t="str">
        <f t="shared" si="24"/>
        <v>3001</v>
      </c>
      <c r="C277" s="8" t="str">
        <f t="shared" si="21"/>
        <v>1PremiumS3</v>
      </c>
      <c r="D277" s="8" t="str">
        <f t="shared" si="23"/>
        <v>1PremiumS3</v>
      </c>
      <c r="E277" s="10">
        <v>1</v>
      </c>
      <c r="F277" s="5">
        <v>229</v>
      </c>
      <c r="G277" s="8" t="str">
        <f>VLOOKUP(F277,[1]characters!$A:$C,3,FALSE)</f>
        <v>ヨルムンガンド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VLOOKUP(D277,gacha_300_base!A:B,2,FALSE)</f>
        <v>7837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2"/>
        <v>3001230</v>
      </c>
      <c r="B278" s="2" t="str">
        <f t="shared" si="24"/>
        <v>3001</v>
      </c>
      <c r="C278" s="8" t="str">
        <f t="shared" si="21"/>
        <v>1PremiumS4</v>
      </c>
      <c r="D278" s="8" t="str">
        <f t="shared" si="23"/>
        <v>1PremiumS4</v>
      </c>
      <c r="E278" s="10">
        <v>1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VLOOKUP(D278,gacha_300_base!A:B,2,FALSE)</f>
        <v>6865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2"/>
        <v>3001231</v>
      </c>
      <c r="B279" s="2" t="str">
        <f t="shared" si="24"/>
        <v>3001</v>
      </c>
      <c r="C279" s="8" t="str">
        <f t="shared" si="21"/>
        <v>1PremiumS5</v>
      </c>
      <c r="D279" s="8" t="str">
        <f t="shared" si="23"/>
        <v>1PremiumS5</v>
      </c>
      <c r="E279" s="10">
        <v>1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VLOOKUP(D279,gacha_300_base!A:B,2,FALSE)</f>
        <v>972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2"/>
        <v>3001232</v>
      </c>
      <c r="B280" s="2" t="str">
        <f t="shared" si="24"/>
        <v>3001</v>
      </c>
      <c r="C280" s="8" t="str">
        <f t="shared" si="21"/>
        <v>1PremiumS3</v>
      </c>
      <c r="D280" s="8" t="str">
        <f t="shared" si="23"/>
        <v>1PremiumS3</v>
      </c>
      <c r="E280" s="10">
        <v>1</v>
      </c>
      <c r="F280" s="5">
        <v>232</v>
      </c>
      <c r="G280" s="8" t="str">
        <f>VLOOKUP(F280,[1]characters!$A:$C,3,FALSE)</f>
        <v>パーシヴァル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VLOOKUP(D280,gacha_300_base!A:B,2,FALSE)</f>
        <v>7837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2"/>
        <v>3001233</v>
      </c>
      <c r="B281" s="2" t="str">
        <f t="shared" si="24"/>
        <v>3001</v>
      </c>
      <c r="C281" s="8" t="str">
        <f t="shared" si="21"/>
        <v>1PremiumS4</v>
      </c>
      <c r="D281" s="8" t="str">
        <f t="shared" si="23"/>
        <v>1PremiumS4</v>
      </c>
      <c r="E281" s="10">
        <v>1</v>
      </c>
      <c r="F281" s="5">
        <v>233</v>
      </c>
      <c r="G281" s="8" t="str">
        <f>VLOOKUP(F281,[1]characters!$A:$C,3,FALSE)</f>
        <v>遂行 パーシヴァル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VLOOKUP(D281,gacha_300_base!A:B,2,FALSE)</f>
        <v>6865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2"/>
        <v>3001234</v>
      </c>
      <c r="B282" s="2" t="str">
        <f t="shared" si="24"/>
        <v>3001</v>
      </c>
      <c r="C282" s="8" t="str">
        <f t="shared" si="21"/>
        <v>1PremiumS5</v>
      </c>
      <c r="D282" s="8" t="str">
        <f t="shared" si="23"/>
        <v>1PremiumS5</v>
      </c>
      <c r="E282" s="10">
        <v>1</v>
      </c>
      <c r="F282" s="5">
        <v>234</v>
      </c>
      <c r="G282" s="8" t="str">
        <f>VLOOKUP(F282,[1]characters!$A:$C,3,FALSE)</f>
        <v>精密なる照準 パーシヴァル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VLOOKUP(D282,gacha_300_base!A:B,2,FALSE)</f>
        <v>972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2"/>
        <v>3001235</v>
      </c>
      <c r="B283" s="2" t="str">
        <f t="shared" si="24"/>
        <v>3001</v>
      </c>
      <c r="C283" s="8" t="str">
        <f t="shared" si="21"/>
        <v>1PremiumS3</v>
      </c>
      <c r="D283" s="8" t="str">
        <f t="shared" si="23"/>
        <v>1PremiumS3</v>
      </c>
      <c r="E283" s="10">
        <v>1</v>
      </c>
      <c r="F283" s="5">
        <v>235</v>
      </c>
      <c r="G283" s="8" t="str">
        <f>VLOOKUP(F283,[1]characters!$A:$C,3,FALSE)</f>
        <v>イザナミ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VLOOKUP(D283,gacha_300_base!A:B,2,FALSE)</f>
        <v>7837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2"/>
        <v>3001236</v>
      </c>
      <c r="B284" s="2" t="str">
        <f t="shared" si="24"/>
        <v>3001</v>
      </c>
      <c r="C284" s="8" t="str">
        <f t="shared" si="21"/>
        <v>1PremiumS4</v>
      </c>
      <c r="D284" s="8" t="str">
        <f t="shared" si="23"/>
        <v>1PremiumS4</v>
      </c>
      <c r="E284" s="10">
        <v>1</v>
      </c>
      <c r="F284" s="5">
        <v>236</v>
      </c>
      <c r="G284" s="8" t="str">
        <f>VLOOKUP(F284,[1]characters!$A:$C,3,FALSE)</f>
        <v>神産 イザナミ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VLOOKUP(D284,gacha_300_base!A:B,2,FALSE)</f>
        <v>6865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2"/>
        <v>3001237</v>
      </c>
      <c r="B285" s="2" t="str">
        <f t="shared" si="24"/>
        <v>3001</v>
      </c>
      <c r="C285" s="8" t="str">
        <f t="shared" si="21"/>
        <v>1PremiumS5</v>
      </c>
      <c r="D285" s="8" t="str">
        <f t="shared" si="23"/>
        <v>1PremiumS5</v>
      </c>
      <c r="E285" s="10">
        <v>1</v>
      </c>
      <c r="F285" s="5">
        <v>237</v>
      </c>
      <c r="G285" s="8" t="str">
        <f>VLOOKUP(F285,[1]characters!$A:$C,3,FALSE)</f>
        <v>森羅万象の神母 イザナミ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VLOOKUP(D285,gacha_300_base!A:B,2,FALSE)</f>
        <v>972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2"/>
        <v>3001238</v>
      </c>
      <c r="B286" s="2" t="str">
        <f t="shared" si="24"/>
        <v>3001</v>
      </c>
      <c r="C286" s="8" t="str">
        <f t="shared" si="21"/>
        <v>1PremiumS3</v>
      </c>
      <c r="D286" s="8" t="str">
        <f t="shared" si="23"/>
        <v>1PremiumS3</v>
      </c>
      <c r="E286" s="10">
        <v>1</v>
      </c>
      <c r="F286" s="5">
        <v>238</v>
      </c>
      <c r="G286" s="8" t="str">
        <f>VLOOKUP(F286,[1]characters!$A:$C,3,FALSE)</f>
        <v>ウリエル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hp</v>
      </c>
      <c r="L286" s="8" t="str">
        <f>VLOOKUP(F286,[1]characters!$A:$M,13,FALSE)</f>
        <v>machine</v>
      </c>
      <c r="M286" s="16">
        <f>VLOOKUP(D286,gacha_300_base!A:B,2,FALSE)</f>
        <v>7837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2"/>
        <v>3001239</v>
      </c>
      <c r="B287" s="2" t="str">
        <f t="shared" si="24"/>
        <v>3001</v>
      </c>
      <c r="C287" s="8" t="str">
        <f t="shared" si="21"/>
        <v>1PremiumS4</v>
      </c>
      <c r="D287" s="8" t="str">
        <f t="shared" si="23"/>
        <v>1PremiumS4</v>
      </c>
      <c r="E287" s="10">
        <v>1</v>
      </c>
      <c r="F287" s="5">
        <v>239</v>
      </c>
      <c r="G287" s="8" t="str">
        <f>VLOOKUP(F287,[1]characters!$A:$C,3,FALSE)</f>
        <v>豪炎の天使 ウリエル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VLOOKUP(D287,gacha_300_base!A:B,2,FALSE)</f>
        <v>6865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2"/>
        <v>3001240</v>
      </c>
      <c r="B288" s="2" t="str">
        <f t="shared" si="24"/>
        <v>3001</v>
      </c>
      <c r="C288" s="8" t="str">
        <f t="shared" si="21"/>
        <v>1PremiumS5</v>
      </c>
      <c r="D288" s="8" t="str">
        <f t="shared" si="23"/>
        <v>1PremiumS5</v>
      </c>
      <c r="E288" s="10">
        <v>1</v>
      </c>
      <c r="F288" s="5">
        <v>240</v>
      </c>
      <c r="G288" s="8" t="str">
        <f>VLOOKUP(F288,[1]characters!$A:$C,3,FALSE)</f>
        <v>轟炎の天使 ウリエル・スレイヤー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VLOOKUP(D288,gacha_300_base!A:B,2,FALSE)</f>
        <v>972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2"/>
        <v>3001241</v>
      </c>
      <c r="B289" s="2" t="str">
        <f t="shared" si="24"/>
        <v>3001</v>
      </c>
      <c r="C289" s="8" t="str">
        <f t="shared" si="21"/>
        <v>1PremiumS3</v>
      </c>
      <c r="D289" s="8" t="str">
        <f t="shared" si="23"/>
        <v>1PremiumS3</v>
      </c>
      <c r="E289" s="10">
        <v>1</v>
      </c>
      <c r="F289" s="5">
        <v>241</v>
      </c>
      <c r="G289" s="8" t="str">
        <f>VLOOKUP(F289,[1]characters!$A:$C,3,FALSE)</f>
        <v>ガブリエル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VLOOKUP(D289,gacha_300_base!A:B,2,FALSE)</f>
        <v>7837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2"/>
        <v>3001242</v>
      </c>
      <c r="B290" s="2" t="str">
        <f t="shared" si="24"/>
        <v>3001</v>
      </c>
      <c r="C290" s="8" t="str">
        <f t="shared" si="21"/>
        <v>1PremiumS4</v>
      </c>
      <c r="D290" s="8" t="str">
        <f t="shared" si="23"/>
        <v>1PremiumS4</v>
      </c>
      <c r="E290" s="10">
        <v>1</v>
      </c>
      <c r="F290" s="5">
        <v>242</v>
      </c>
      <c r="G290" s="8" t="str">
        <f>VLOOKUP(F290,[1]characters!$A:$C,3,FALSE)</f>
        <v>百花の天使 ガブリエル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VLOOKUP(D290,gacha_300_base!A:B,2,FALSE)</f>
        <v>6865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2"/>
        <v>3001243</v>
      </c>
      <c r="B291" s="2" t="str">
        <f t="shared" si="24"/>
        <v>3001</v>
      </c>
      <c r="C291" s="8" t="str">
        <f t="shared" si="21"/>
        <v>1PremiumS5</v>
      </c>
      <c r="D291" s="8" t="str">
        <f t="shared" si="23"/>
        <v>1PremiumS5</v>
      </c>
      <c r="E291" s="10">
        <v>1</v>
      </c>
      <c r="F291" s="5">
        <v>243</v>
      </c>
      <c r="G291" s="8" t="str">
        <f>VLOOKUP(F291,[1]characters!$A:$C,3,FALSE)</f>
        <v>万花の天使 ガブリエル・ブルーム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VLOOKUP(D291,gacha_300_base!A:B,2,FALSE)</f>
        <v>972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2"/>
        <v>3001244</v>
      </c>
      <c r="B292" s="2" t="str">
        <f t="shared" si="24"/>
        <v>3001</v>
      </c>
      <c r="C292" s="8" t="str">
        <f t="shared" si="21"/>
        <v>1PremiumS3</v>
      </c>
      <c r="D292" s="8" t="str">
        <f t="shared" si="23"/>
        <v>1PremiumS3</v>
      </c>
      <c r="E292" s="10">
        <v>1</v>
      </c>
      <c r="F292" s="5">
        <v>244</v>
      </c>
      <c r="G292" s="8" t="str">
        <f>VLOOKUP(F292,[1]characters!$A:$C,3,FALSE)</f>
        <v>ラファエル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VLOOKUP(D292,gacha_300_base!A:B,2,FALSE)</f>
        <v>7837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2"/>
        <v>3001245</v>
      </c>
      <c r="B293" s="2" t="str">
        <f t="shared" si="24"/>
        <v>3001</v>
      </c>
      <c r="C293" s="8" t="str">
        <f t="shared" si="21"/>
        <v>1PremiumS4</v>
      </c>
      <c r="D293" s="8" t="str">
        <f t="shared" si="23"/>
        <v>1PremiumS4</v>
      </c>
      <c r="E293" s="10">
        <v>1</v>
      </c>
      <c r="F293" s="5">
        <v>245</v>
      </c>
      <c r="G293" s="8" t="str">
        <f>VLOOKUP(F293,[1]characters!$A:$C,3,FALSE)</f>
        <v>鎮癒の天使 ラファエル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VLOOKUP(D293,gacha_300_base!A:B,2,FALSE)</f>
        <v>6865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2"/>
        <v>3001246</v>
      </c>
      <c r="B294" s="2" t="str">
        <f t="shared" si="24"/>
        <v>3001</v>
      </c>
      <c r="C294" s="8" t="str">
        <f t="shared" si="21"/>
        <v>1PremiumS5</v>
      </c>
      <c r="D294" s="8" t="str">
        <f t="shared" si="23"/>
        <v>1PremiumS5</v>
      </c>
      <c r="E294" s="10">
        <v>1</v>
      </c>
      <c r="F294" s="5">
        <v>246</v>
      </c>
      <c r="G294" s="8" t="str">
        <f>VLOOKUP(F294,[1]characters!$A:$C,3,FALSE)</f>
        <v>真癒の天使 ラファエル・メディカ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VLOOKUP(D294,gacha_300_base!A:B,2,FALSE)</f>
        <v>972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2"/>
        <v>3001247</v>
      </c>
      <c r="B295" s="2" t="str">
        <f t="shared" si="24"/>
        <v>3001</v>
      </c>
      <c r="C295" s="8" t="str">
        <f t="shared" si="21"/>
        <v>1PremiumS3</v>
      </c>
      <c r="D295" s="8" t="str">
        <f t="shared" si="23"/>
        <v>1PremiumS3</v>
      </c>
      <c r="E295" s="10">
        <v>1</v>
      </c>
      <c r="F295" s="5">
        <v>247</v>
      </c>
      <c r="G295" s="8" t="str">
        <f>VLOOKUP(F295,[1]characters!$A:$C,3,FALSE)</f>
        <v>ミカエル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machine</v>
      </c>
      <c r="M295" s="16">
        <f>VLOOKUP(D295,gacha_300_base!A:B,2,FALSE)</f>
        <v>7837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2"/>
        <v>3001248</v>
      </c>
      <c r="B296" s="2" t="str">
        <f t="shared" si="24"/>
        <v>3001</v>
      </c>
      <c r="C296" s="8" t="str">
        <f t="shared" si="21"/>
        <v>1PremiumS4</v>
      </c>
      <c r="D296" s="8" t="str">
        <f t="shared" si="23"/>
        <v>1PremiumS4</v>
      </c>
      <c r="E296" s="10">
        <v>1</v>
      </c>
      <c r="F296" s="5">
        <v>248</v>
      </c>
      <c r="G296" s="8" t="str">
        <f>VLOOKUP(F296,[1]characters!$A:$C,3,FALSE)</f>
        <v>彩電の天使 ミカエル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VLOOKUP(D296,gacha_300_base!A:B,2,FALSE)</f>
        <v>6865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2"/>
        <v>3001249</v>
      </c>
      <c r="B297" s="2" t="str">
        <f t="shared" si="24"/>
        <v>3001</v>
      </c>
      <c r="C297" s="8" t="str">
        <f t="shared" si="21"/>
        <v>1PremiumS5</v>
      </c>
      <c r="D297" s="8" t="str">
        <f t="shared" si="23"/>
        <v>1PremiumS5</v>
      </c>
      <c r="E297" s="10">
        <v>1</v>
      </c>
      <c r="F297" s="6">
        <v>249</v>
      </c>
      <c r="G297" s="8" t="str">
        <f>VLOOKUP(F297,[1]characters!$A:$C,3,FALSE)</f>
        <v>雷電の天使 ミカエル・ゲイナー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VLOOKUP(D297,gacha_300_base!A:B,2,FALSE)</f>
        <v>972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2"/>
        <v>3001250</v>
      </c>
      <c r="B298" s="2" t="str">
        <f t="shared" si="24"/>
        <v>3001</v>
      </c>
      <c r="C298" s="8" t="str">
        <f t="shared" si="21"/>
        <v>1PremiumS3</v>
      </c>
      <c r="D298" s="8" t="str">
        <f t="shared" si="23"/>
        <v>1PremiumS3</v>
      </c>
      <c r="E298" s="10">
        <v>1</v>
      </c>
      <c r="F298" s="6">
        <v>250</v>
      </c>
      <c r="G298" s="8" t="str">
        <f>VLOOKUP(F298,[1]characters!$A:$C,3,FALSE)</f>
        <v>マンモン</v>
      </c>
      <c r="H298" s="8" t="str">
        <f>VLOOKUP(F298,[1]characters!$A:$J,10,FALSE)</f>
        <v>PremiumS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16">
        <f>VLOOKUP(D298,gacha_300_base!A:B,2,FALSE)</f>
        <v>7837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2"/>
        <v>3001251</v>
      </c>
      <c r="B299" s="2" t="str">
        <f t="shared" si="24"/>
        <v>3001</v>
      </c>
      <c r="C299" s="8" t="str">
        <f t="shared" si="21"/>
        <v>1PremiumS4</v>
      </c>
      <c r="D299" s="8" t="str">
        <f t="shared" si="23"/>
        <v>1PremiumS4</v>
      </c>
      <c r="E299" s="10">
        <v>1</v>
      </c>
      <c r="F299" s="6">
        <v>251</v>
      </c>
      <c r="G299" s="8" t="str">
        <f>VLOOKUP(F299,[1]characters!$A:$C,3,FALSE)</f>
        <v>強欲 マンモン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VLOOKUP(D299,gacha_300_base!A:B,2,FALSE)</f>
        <v>6865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2"/>
        <v>3001252</v>
      </c>
      <c r="B300" s="2" t="str">
        <f t="shared" si="24"/>
        <v>3001</v>
      </c>
      <c r="C300" s="8" t="str">
        <f t="shared" si="21"/>
        <v>1PremiumS5</v>
      </c>
      <c r="D300" s="8" t="str">
        <f t="shared" si="23"/>
        <v>1PremiumS5</v>
      </c>
      <c r="E300" s="10">
        <v>1</v>
      </c>
      <c r="F300" s="6">
        <v>252</v>
      </c>
      <c r="G300" s="8" t="str">
        <f>VLOOKUP(F300,[1]characters!$A:$C,3,FALSE)</f>
        <v>強欲の沸騰 マンモン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VLOOKUP(D300,gacha_300_base!A:B,2,FALSE)</f>
        <v>972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2"/>
        <v>3001253</v>
      </c>
      <c r="B301" s="2" t="str">
        <f t="shared" si="24"/>
        <v>3001</v>
      </c>
      <c r="C301" s="8" t="str">
        <f t="shared" si="21"/>
        <v>1PremiumS3</v>
      </c>
      <c r="D301" s="8" t="str">
        <f t="shared" si="23"/>
        <v>1PremiumS3</v>
      </c>
      <c r="E301" s="10">
        <v>1</v>
      </c>
      <c r="F301" s="6">
        <v>253</v>
      </c>
      <c r="G301" s="8" t="str">
        <f>VLOOKUP(F301,[1]characters!$A:$C,3,FALSE)</f>
        <v>ベルフェゴール</v>
      </c>
      <c r="H301" s="8" t="str">
        <f>VLOOKUP(F301,[1]characters!$A:$J,10,FALSE)</f>
        <v>PremiumS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god</v>
      </c>
      <c r="M301" s="16">
        <f>VLOOKUP(D301,gacha_300_base!A:B,2,FALSE)</f>
        <v>7837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2"/>
        <v>3001254</v>
      </c>
      <c r="B302" s="2" t="str">
        <f t="shared" si="24"/>
        <v>3001</v>
      </c>
      <c r="C302" s="8" t="str">
        <f t="shared" ref="C302:C365" si="25">E302&amp;H302&amp;I302</f>
        <v>1PremiumS4</v>
      </c>
      <c r="D302" s="8" t="str">
        <f t="shared" si="23"/>
        <v>1PremiumS4</v>
      </c>
      <c r="E302" s="10">
        <v>1</v>
      </c>
      <c r="F302" s="6">
        <v>254</v>
      </c>
      <c r="G302" s="8" t="str">
        <f>VLOOKUP(F302,[1]characters!$A:$C,3,FALSE)</f>
        <v>怠惰 ベルフェゴール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VLOOKUP(D302,gacha_300_base!A:B,2,FALSE)</f>
        <v>6865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ref="A303:A366" si="26">B303&amp;F303</f>
        <v>3001255</v>
      </c>
      <c r="B303" s="2" t="str">
        <f t="shared" si="24"/>
        <v>3001</v>
      </c>
      <c r="C303" s="8" t="str">
        <f t="shared" si="25"/>
        <v>1PremiumS5</v>
      </c>
      <c r="D303" s="8" t="str">
        <f t="shared" si="23"/>
        <v>1PremiumS5</v>
      </c>
      <c r="E303" s="10">
        <v>1</v>
      </c>
      <c r="F303" s="6">
        <v>255</v>
      </c>
      <c r="G303" s="8" t="str">
        <f>VLOOKUP(F303,[1]characters!$A:$C,3,FALSE)</f>
        <v>怠惰の頂点 ベルフェゴール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VLOOKUP(D303,gacha_300_base!A:B,2,FALSE)</f>
        <v>972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3001256</v>
      </c>
      <c r="B304" s="2" t="str">
        <f t="shared" si="24"/>
        <v>3001</v>
      </c>
      <c r="C304" s="8" t="str">
        <f t="shared" si="25"/>
        <v>1PremiumS3</v>
      </c>
      <c r="D304" s="8" t="str">
        <f t="shared" si="23"/>
        <v>1PremiumS3</v>
      </c>
      <c r="E304" s="10">
        <v>1</v>
      </c>
      <c r="F304" s="6">
        <v>256</v>
      </c>
      <c r="G304" s="8" t="str">
        <f>VLOOKUP(F304,[1]characters!$A:$C,3,FALSE)</f>
        <v>アスモデウス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blue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16">
        <f>VLOOKUP(D304,gacha_300_base!A:B,2,FALSE)</f>
        <v>7837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3001257</v>
      </c>
      <c r="B305" s="2" t="str">
        <f t="shared" si="24"/>
        <v>3001</v>
      </c>
      <c r="C305" s="8" t="str">
        <f t="shared" si="25"/>
        <v>1PremiumS4</v>
      </c>
      <c r="D305" s="8" t="str">
        <f t="shared" si="23"/>
        <v>1PremiumS4</v>
      </c>
      <c r="E305" s="10">
        <v>1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VLOOKUP(D305,gacha_300_base!A:B,2,FALSE)</f>
        <v>6865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3001258</v>
      </c>
      <c r="B306" s="2" t="str">
        <f t="shared" si="24"/>
        <v>3001</v>
      </c>
      <c r="C306" s="8" t="str">
        <f t="shared" si="25"/>
        <v>1PremiumS5</v>
      </c>
      <c r="D306" s="8" t="str">
        <f t="shared" si="23"/>
        <v>1PremiumS5</v>
      </c>
      <c r="E306" s="10">
        <v>1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VLOOKUP(D306,gacha_300_base!A:B,2,FALSE)</f>
        <v>972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3001259</v>
      </c>
      <c r="B307" s="2" t="str">
        <f t="shared" si="24"/>
        <v>3001</v>
      </c>
      <c r="C307" s="8" t="str">
        <f t="shared" si="25"/>
        <v>1PremiumS3</v>
      </c>
      <c r="D307" s="8" t="str">
        <f t="shared" si="23"/>
        <v>1PremiumS3</v>
      </c>
      <c r="E307" s="10">
        <v>1</v>
      </c>
      <c r="F307" s="6">
        <v>259</v>
      </c>
      <c r="G307" s="8" t="str">
        <f>VLOOKUP(F307,[1]characters!$A:$C,3,FALSE)</f>
        <v>ウロボロス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VLOOKUP(D307,gacha_300_base!A:B,2,FALSE)</f>
        <v>7837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3001260</v>
      </c>
      <c r="B308" s="2" t="str">
        <f t="shared" si="24"/>
        <v>3001</v>
      </c>
      <c r="C308" s="8" t="str">
        <f t="shared" si="25"/>
        <v>1PremiumS4</v>
      </c>
      <c r="D308" s="8" t="str">
        <f t="shared" si="23"/>
        <v>1PremiumS4</v>
      </c>
      <c r="E308" s="10">
        <v>1</v>
      </c>
      <c r="F308" s="9">
        <v>260</v>
      </c>
      <c r="G308" s="8" t="str">
        <f>VLOOKUP(F308,[1]characters!$A:$C,3,FALSE)</f>
        <v>輪廻 ウロボロス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VLOOKUP(D308,gacha_300_base!A:B,2,FALSE)</f>
        <v>6865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3001261</v>
      </c>
      <c r="B309" s="2" t="str">
        <f t="shared" si="24"/>
        <v>3001</v>
      </c>
      <c r="C309" s="8" t="str">
        <f t="shared" si="25"/>
        <v>1PremiumS5</v>
      </c>
      <c r="D309" s="8" t="str">
        <f t="shared" si="23"/>
        <v>1PremiumS5</v>
      </c>
      <c r="E309" s="10">
        <v>1</v>
      </c>
      <c r="F309" s="9">
        <v>261</v>
      </c>
      <c r="G309" s="8" t="str">
        <f>VLOOKUP(F309,[1]characters!$A:$C,3,FALSE)</f>
        <v>輪廻の蛇龍 ウロボロス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VLOOKUP(D309,gacha_300_base!A:B,2,FALSE)</f>
        <v>972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3001320</v>
      </c>
      <c r="B310" s="2" t="str">
        <f t="shared" si="24"/>
        <v>3001</v>
      </c>
      <c r="C310" s="8" t="str">
        <f t="shared" si="25"/>
        <v>1PremiumSS4</v>
      </c>
      <c r="D310" s="8" t="str">
        <f t="shared" si="23"/>
        <v>1PremiumSS4</v>
      </c>
      <c r="E310" s="10">
        <v>1</v>
      </c>
      <c r="F310" s="6">
        <v>320</v>
      </c>
      <c r="G310" s="8" t="str">
        <f>VLOOKUP(F310,[1]characters!$A:$C,3,FALSE)</f>
        <v>烈志士 近藤勇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VLOOKUP(D310,gacha_300_base!A:B,2,FALSE)</f>
        <v>1705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6"/>
        <v>3001321</v>
      </c>
      <c r="B311" s="2" t="str">
        <f t="shared" si="24"/>
        <v>3001</v>
      </c>
      <c r="C311" s="8" t="str">
        <f t="shared" si="25"/>
        <v>1PremiumSS5</v>
      </c>
      <c r="D311" s="8" t="str">
        <f t="shared" si="23"/>
        <v>1PremiumSS5</v>
      </c>
      <c r="E311" s="10">
        <v>1</v>
      </c>
      <c r="F311" s="6">
        <v>321</v>
      </c>
      <c r="G311" s="8" t="str">
        <f>VLOOKUP(F311,[1]characters!$A:$C,3,FALSE)</f>
        <v>巌鉄の烈志士 近藤勇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VLOOKUP(D311,gacha_300_base!A:B,2,FALSE)</f>
        <v>113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6"/>
        <v>3001322</v>
      </c>
      <c r="B312" s="2" t="str">
        <f t="shared" si="24"/>
        <v>3001</v>
      </c>
      <c r="C312" s="8" t="str">
        <f t="shared" si="25"/>
        <v>1PremiumSS4</v>
      </c>
      <c r="D312" s="8" t="str">
        <f t="shared" si="23"/>
        <v>1PremiumSS4</v>
      </c>
      <c r="E312" s="10">
        <v>1</v>
      </c>
      <c r="F312" s="6">
        <v>322</v>
      </c>
      <c r="G312" s="8" t="str">
        <f>VLOOKUP(F312,[1]characters!$A:$C,3,FALSE)</f>
        <v>愛志士 土方歳三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VLOOKUP(D312,gacha_300_base!A:B,2,FALSE)</f>
        <v>1705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3001323</v>
      </c>
      <c r="B313" s="2" t="str">
        <f t="shared" si="24"/>
        <v>3001</v>
      </c>
      <c r="C313" s="8" t="str">
        <f t="shared" si="25"/>
        <v>1PremiumSS5</v>
      </c>
      <c r="D313" s="8" t="str">
        <f t="shared" si="23"/>
        <v>1PremiumSS5</v>
      </c>
      <c r="E313" s="10">
        <v>1</v>
      </c>
      <c r="F313" s="6">
        <v>323</v>
      </c>
      <c r="G313" s="8" t="str">
        <f>VLOOKUP(F313,[1]characters!$A:$C,3,FALSE)</f>
        <v>流麗の愛志士 土方歳三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VLOOKUP(D313,gacha_300_base!A:B,2,FALSE)</f>
        <v>113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3001324</v>
      </c>
      <c r="B314" s="2" t="str">
        <f t="shared" si="24"/>
        <v>3001</v>
      </c>
      <c r="C314" s="8" t="str">
        <f t="shared" si="25"/>
        <v>1PremiumSS4</v>
      </c>
      <c r="D314" s="8" t="str">
        <f t="shared" si="23"/>
        <v>1PremiumSS4</v>
      </c>
      <c r="E314" s="10">
        <v>1</v>
      </c>
      <c r="F314" s="6">
        <v>324</v>
      </c>
      <c r="G314" s="8" t="str">
        <f>VLOOKUP(F314,[1]characters!$A:$C,3,FALSE)</f>
        <v>凛志士 沖田総司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16">
        <f>VLOOKUP(D314,gacha_300_base!A:B,2,FALSE)</f>
        <v>1705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s="14" customFormat="1" ht="21" customHeight="1" thickBot="1">
      <c r="A315" s="7" t="str">
        <f t="shared" si="26"/>
        <v>3001325</v>
      </c>
      <c r="B315" s="2" t="str">
        <f t="shared" si="24"/>
        <v>3001</v>
      </c>
      <c r="C315" s="8" t="str">
        <f t="shared" si="25"/>
        <v>1PremiumSS5</v>
      </c>
      <c r="D315" s="8" t="str">
        <f t="shared" si="23"/>
        <v>1PremiumSS5</v>
      </c>
      <c r="E315" s="10">
        <v>1</v>
      </c>
      <c r="F315" s="6">
        <v>325</v>
      </c>
      <c r="G315" s="8" t="str">
        <f>VLOOKUP(F315,[1]characters!$A:$C,3,FALSE)</f>
        <v>天賦の凛志士 沖田総司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f>VLOOKUP(D315,gacha_300_base!A:B,2,FALSE)</f>
        <v>113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3001326</v>
      </c>
      <c r="B316" s="2" t="str">
        <f t="shared" si="24"/>
        <v>3001</v>
      </c>
      <c r="C316" s="8" t="str">
        <f t="shared" si="25"/>
        <v>1PremiumSS4</v>
      </c>
      <c r="D316" s="8" t="str">
        <f t="shared" si="23"/>
        <v>1PremiumSS4</v>
      </c>
      <c r="E316" s="10">
        <v>1</v>
      </c>
      <c r="F316" s="6">
        <v>326</v>
      </c>
      <c r="G316" s="8" t="str">
        <f>VLOOKUP(F316,[1]characters!$A:$C,3,FALSE)</f>
        <v>妖志士 斎藤一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16">
        <f>VLOOKUP(D316,gacha_300_base!A:B,2,FALSE)</f>
        <v>1705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3001327</v>
      </c>
      <c r="B317" s="2" t="str">
        <f t="shared" si="24"/>
        <v>3001</v>
      </c>
      <c r="C317" s="8" t="str">
        <f t="shared" si="25"/>
        <v>1PremiumSS5</v>
      </c>
      <c r="D317" s="8" t="str">
        <f t="shared" si="23"/>
        <v>1PremiumSS5</v>
      </c>
      <c r="E317" s="10">
        <v>1</v>
      </c>
      <c r="F317" s="6">
        <v>327</v>
      </c>
      <c r="G317" s="8" t="str">
        <f>VLOOKUP(F317,[1]characters!$A:$C,3,FALSE)</f>
        <v>千殺の妖志士 斎藤一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f>VLOOKUP(D317,gacha_300_base!A:B,2,FALSE)</f>
        <v>113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6"/>
        <v>3001380</v>
      </c>
      <c r="B318" s="2" t="str">
        <f t="shared" si="24"/>
        <v>3001</v>
      </c>
      <c r="C318" s="8" t="str">
        <f t="shared" si="25"/>
        <v>1PremiumS3</v>
      </c>
      <c r="D318" s="8" t="str">
        <f t="shared" si="23"/>
        <v>1PremiumS3</v>
      </c>
      <c r="E318" s="10">
        <v>1</v>
      </c>
      <c r="F318" s="6">
        <v>380</v>
      </c>
      <c r="G318" s="8" t="str">
        <f>VLOOKUP(F318,[1]characters!$A:$C,3,FALSE)</f>
        <v>バハムート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16">
        <f>VLOOKUP(D318,gacha_300_base!A:B,2,FALSE)</f>
        <v>7837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6"/>
        <v>3001381</v>
      </c>
      <c r="B319" s="2" t="str">
        <f t="shared" si="24"/>
        <v>3001</v>
      </c>
      <c r="C319" s="8" t="str">
        <f t="shared" si="25"/>
        <v>1PremiumS4</v>
      </c>
      <c r="D319" s="8" t="str">
        <f t="shared" si="23"/>
        <v>1PremiumS4</v>
      </c>
      <c r="E319" s="10">
        <v>1</v>
      </c>
      <c r="F319" s="6">
        <v>381</v>
      </c>
      <c r="G319" s="8" t="str">
        <f>VLOOKUP(F319,[1]characters!$A:$C,3,FALSE)</f>
        <v>肉食の恋火 バハムート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f>VLOOKUP(D319,gacha_300_base!A:B,2,FALSE)</f>
        <v>6865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6"/>
        <v>3001382</v>
      </c>
      <c r="B320" s="2" t="str">
        <f t="shared" si="24"/>
        <v>3001</v>
      </c>
      <c r="C320" s="8" t="str">
        <f t="shared" si="25"/>
        <v>1PremiumS5</v>
      </c>
      <c r="D320" s="8" t="str">
        <f t="shared" si="23"/>
        <v>1PremiumS5</v>
      </c>
      <c r="E320" s="10">
        <v>1</v>
      </c>
      <c r="F320" s="6">
        <v>382</v>
      </c>
      <c r="G320" s="8" t="str">
        <f>VLOOKUP(F320,[1]characters!$A:$C,3,FALSE)</f>
        <v>激情の愛炎 バハムート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f>VLOOKUP(D320,gacha_300_base!A:B,2,FALSE)</f>
        <v>972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3001383</v>
      </c>
      <c r="B321" s="2" t="str">
        <f t="shared" si="24"/>
        <v>3001</v>
      </c>
      <c r="C321" s="8" t="str">
        <f t="shared" si="25"/>
        <v>1PremiumSS4</v>
      </c>
      <c r="D321" s="8" t="str">
        <f t="shared" si="23"/>
        <v>1PremiumSS4</v>
      </c>
      <c r="E321" s="10">
        <v>1</v>
      </c>
      <c r="F321" s="6">
        <v>383</v>
      </c>
      <c r="G321" s="8" t="str">
        <f>VLOOKUP(F321,[1]characters!$A:$C,3,FALSE)</f>
        <v>酒宴の蟒蛇 ヤマタノオロチ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hp</v>
      </c>
      <c r="L321" s="8" t="str">
        <f>VLOOKUP(F321,[1]characters!$A:$M,13,FALSE)</f>
        <v>dragon</v>
      </c>
      <c r="M321" s="16">
        <f>VLOOKUP(D321,gacha_300_base!A:B,2,FALSE)</f>
        <v>1705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3001384</v>
      </c>
      <c r="B322" s="2" t="str">
        <f t="shared" si="24"/>
        <v>3001</v>
      </c>
      <c r="C322" s="8" t="str">
        <f t="shared" si="25"/>
        <v>1PremiumSS5</v>
      </c>
      <c r="D322" s="8" t="str">
        <f t="shared" ref="D322:D385" si="27">E322&amp;H322&amp;I322</f>
        <v>1PremiumSS5</v>
      </c>
      <c r="E322" s="10">
        <v>1</v>
      </c>
      <c r="F322" s="6">
        <v>384</v>
      </c>
      <c r="G322" s="8" t="str">
        <f>VLOOKUP(F322,[1]characters!$A:$C,3,FALSE)</f>
        <v>破国の呑龍 ヤマタノオロチ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f>VLOOKUP(D322,gacha_300_base!A:B,2,FALSE)</f>
        <v>113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3001385</v>
      </c>
      <c r="B323" s="2" t="str">
        <f t="shared" ref="B323:B386" si="28">300&amp;E323</f>
        <v>3001</v>
      </c>
      <c r="C323" s="8" t="str">
        <f t="shared" si="25"/>
        <v>1PremiumSS4</v>
      </c>
      <c r="D323" s="8" t="str">
        <f t="shared" si="27"/>
        <v>1PremiumSS4</v>
      </c>
      <c r="E323" s="10">
        <v>1</v>
      </c>
      <c r="F323" s="6">
        <v>385</v>
      </c>
      <c r="G323" s="8" t="str">
        <f>VLOOKUP(F323,[1]characters!$A:$C,3,FALSE)</f>
        <v>波烈の出奔 リヴァイアサン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dragon</v>
      </c>
      <c r="M323" s="16">
        <f>VLOOKUP(D323,gacha_300_base!A:B,2,FALSE)</f>
        <v>1705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3001386</v>
      </c>
      <c r="B324" s="2" t="str">
        <f t="shared" si="28"/>
        <v>3001</v>
      </c>
      <c r="C324" s="8" t="str">
        <f t="shared" si="25"/>
        <v>1PremiumSS5</v>
      </c>
      <c r="D324" s="8" t="str">
        <f t="shared" si="27"/>
        <v>1PremiumSS5</v>
      </c>
      <c r="E324" s="10">
        <v>1</v>
      </c>
      <c r="F324" s="6">
        <v>386</v>
      </c>
      <c r="G324" s="8" t="str">
        <f>VLOOKUP(F324,[1]characters!$A:$C,3,FALSE)</f>
        <v>氾乱の海龍 リヴァイアサン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f>VLOOKUP(D324,gacha_300_base!A:B,2,FALSE)</f>
        <v>113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3001387</v>
      </c>
      <c r="B325" s="2" t="str">
        <f t="shared" si="28"/>
        <v>3001</v>
      </c>
      <c r="C325" s="8" t="str">
        <f t="shared" si="25"/>
        <v>1PremiumS3</v>
      </c>
      <c r="D325" s="8" t="str">
        <f t="shared" si="27"/>
        <v>1PremiumS3</v>
      </c>
      <c r="E325" s="10">
        <v>1</v>
      </c>
      <c r="F325" s="6">
        <v>387</v>
      </c>
      <c r="G325" s="8" t="str">
        <f>VLOOKUP(F325,[1]characters!$A:$C,3,FALSE)</f>
        <v>スフィンクス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yellow</v>
      </c>
      <c r="K325" s="8" t="str">
        <f>VLOOKUP(F325,[1]characters!$A:$K,11,FALSE)</f>
        <v>heal</v>
      </c>
      <c r="L325" s="8" t="str">
        <f>VLOOKUP(F325,[1]characters!$A:$M,13,FALSE)</f>
        <v>animal</v>
      </c>
      <c r="M325" s="16">
        <f>VLOOKUP(D325,gacha_300_base!A:B,2,FALSE)</f>
        <v>7837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3001388</v>
      </c>
      <c r="B326" s="2" t="str">
        <f t="shared" si="28"/>
        <v>3001</v>
      </c>
      <c r="C326" s="8" t="str">
        <f t="shared" si="25"/>
        <v>1PremiumS4</v>
      </c>
      <c r="D326" s="8" t="str">
        <f t="shared" si="27"/>
        <v>1PremiumS4</v>
      </c>
      <c r="E326" s="10">
        <v>1</v>
      </c>
      <c r="F326" s="6">
        <v>388</v>
      </c>
      <c r="G326" s="8" t="str">
        <f>VLOOKUP(F326,[1]characters!$A:$C,3,FALSE)</f>
        <v>神円の恋姫 スフィンクス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f>VLOOKUP(D326,gacha_300_base!A:B,2,FALSE)</f>
        <v>6865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3001389</v>
      </c>
      <c r="B327" s="2" t="str">
        <f t="shared" si="28"/>
        <v>3001</v>
      </c>
      <c r="C327" s="8" t="str">
        <f t="shared" si="25"/>
        <v>1PremiumS5</v>
      </c>
      <c r="D327" s="8" t="str">
        <f t="shared" si="27"/>
        <v>1PremiumS5</v>
      </c>
      <c r="E327" s="10">
        <v>1</v>
      </c>
      <c r="F327" s="6">
        <v>389</v>
      </c>
      <c r="G327" s="8" t="str">
        <f>VLOOKUP(F327,[1]characters!$A:$C,3,FALSE)</f>
        <v>操神の愛姫 スフィンクス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f>VLOOKUP(D327,gacha_300_base!A:B,2,FALSE)</f>
        <v>972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3001390</v>
      </c>
      <c r="B328" s="2" t="str">
        <f t="shared" si="28"/>
        <v>3001</v>
      </c>
      <c r="C328" s="8" t="str">
        <f t="shared" si="25"/>
        <v>1PremiumSS4</v>
      </c>
      <c r="D328" s="8" t="str">
        <f t="shared" si="27"/>
        <v>1PremiumSS4</v>
      </c>
      <c r="E328" s="10">
        <v>1</v>
      </c>
      <c r="F328" s="6">
        <v>390</v>
      </c>
      <c r="G328" s="8" t="str">
        <f>VLOOKUP(F328,[1]characters!$A:$C,3,FALSE)</f>
        <v>華環の旅客 親指姫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heal</v>
      </c>
      <c r="L328" s="8" t="str">
        <f>VLOOKUP(F328,[1]characters!$A:$M,13,FALSE)</f>
        <v>human</v>
      </c>
      <c r="M328" s="16">
        <f>VLOOKUP(D328,gacha_300_base!A:B,2,FALSE)</f>
        <v>1705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3001391</v>
      </c>
      <c r="B329" s="2" t="str">
        <f t="shared" si="28"/>
        <v>3001</v>
      </c>
      <c r="C329" s="8" t="str">
        <f t="shared" si="25"/>
        <v>1PremiumSS5</v>
      </c>
      <c r="D329" s="8" t="str">
        <f t="shared" si="27"/>
        <v>1PremiumSS5</v>
      </c>
      <c r="E329" s="10">
        <v>1</v>
      </c>
      <c r="F329" s="6">
        <v>391</v>
      </c>
      <c r="G329" s="8" t="str">
        <f>VLOOKUP(F329,[1]characters!$A:$C,3,FALSE)</f>
        <v>燕翼の旅人 親指姫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f>VLOOKUP(D329,gacha_300_base!A:B,2,FALSE)</f>
        <v>113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3001392</v>
      </c>
      <c r="B330" s="2" t="str">
        <f t="shared" si="28"/>
        <v>3001</v>
      </c>
      <c r="C330" s="8" t="str">
        <f t="shared" si="25"/>
        <v>1PremiumS3</v>
      </c>
      <c r="D330" s="8" t="str">
        <f t="shared" si="27"/>
        <v>1PremiumS3</v>
      </c>
      <c r="E330" s="10">
        <v>1</v>
      </c>
      <c r="F330" s="6">
        <v>392</v>
      </c>
      <c r="G330" s="8" t="str">
        <f>VLOOKUP(F330,[1]characters!$A:$C,3,FALSE)</f>
        <v>ピーターパン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green</v>
      </c>
      <c r="K330" s="8" t="str">
        <f>VLOOKUP(F330,[1]characters!$A:$K,11,FALSE)</f>
        <v>attack</v>
      </c>
      <c r="L330" s="8" t="str">
        <f>VLOOKUP(F330,[1]characters!$A:$M,13,FALSE)</f>
        <v>human</v>
      </c>
      <c r="M330" s="16">
        <f>VLOOKUP(D330,gacha_300_base!A:B,2,FALSE)</f>
        <v>7837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3001393</v>
      </c>
      <c r="B331" s="2" t="str">
        <f t="shared" si="28"/>
        <v>3001</v>
      </c>
      <c r="C331" s="8" t="str">
        <f t="shared" si="25"/>
        <v>1PremiumS4</v>
      </c>
      <c r="D331" s="8" t="str">
        <f t="shared" si="27"/>
        <v>1PremiumS4</v>
      </c>
      <c r="E331" s="10">
        <v>1</v>
      </c>
      <c r="F331" s="6">
        <v>393</v>
      </c>
      <c r="G331" s="8" t="str">
        <f>VLOOKUP(F331,[1]characters!$A:$C,3,FALSE)</f>
        <v>影縫い ピーターパン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f>VLOOKUP(D331,gacha_300_base!A:B,2,FALSE)</f>
        <v>6865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3001394</v>
      </c>
      <c r="B332" s="2" t="str">
        <f t="shared" si="28"/>
        <v>3001</v>
      </c>
      <c r="C332" s="8" t="str">
        <f t="shared" si="25"/>
        <v>1PremiumS5</v>
      </c>
      <c r="D332" s="8" t="str">
        <f t="shared" si="27"/>
        <v>1PremiumS5</v>
      </c>
      <c r="E332" s="10">
        <v>1</v>
      </c>
      <c r="F332" s="6">
        <v>394</v>
      </c>
      <c r="G332" s="8" t="str">
        <f>VLOOKUP(F332,[1]characters!$A:$C,3,FALSE)</f>
        <v>影求の悪童 ピーターパン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f>VLOOKUP(D332,gacha_300_base!A:B,2,FALSE)</f>
        <v>972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3001395</v>
      </c>
      <c r="B333" s="2" t="str">
        <f t="shared" si="28"/>
        <v>3001</v>
      </c>
      <c r="C333" s="8" t="str">
        <f t="shared" si="25"/>
        <v>1PremiumS3</v>
      </c>
      <c r="D333" s="8" t="str">
        <f t="shared" si="27"/>
        <v>1PremiumS3</v>
      </c>
      <c r="E333" s="10">
        <v>1</v>
      </c>
      <c r="F333" s="6">
        <v>395</v>
      </c>
      <c r="G333" s="8" t="str">
        <f>VLOOKUP(F333,[1]characters!$A:$C,3,FALSE)</f>
        <v>乙姫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16">
        <f>VLOOKUP(D333,gacha_300_base!A:B,2,FALSE)</f>
        <v>7837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3001396</v>
      </c>
      <c r="B334" s="2" t="str">
        <f t="shared" si="28"/>
        <v>3001</v>
      </c>
      <c r="C334" s="8" t="str">
        <f t="shared" si="25"/>
        <v>1PremiumS4</v>
      </c>
      <c r="D334" s="8" t="str">
        <f t="shared" si="27"/>
        <v>1PremiumS4</v>
      </c>
      <c r="E334" s="10">
        <v>1</v>
      </c>
      <c r="F334" s="6">
        <v>396</v>
      </c>
      <c r="G334" s="8" t="str">
        <f>VLOOKUP(F334,[1]characters!$A:$C,3,FALSE)</f>
        <v>竜宮の水雷 乙姫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VLOOKUP(D334,gacha_300_base!A:B,2,FALSE)</f>
        <v>6865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3001397</v>
      </c>
      <c r="B335" s="2" t="str">
        <f t="shared" si="28"/>
        <v>3001</v>
      </c>
      <c r="C335" s="8" t="str">
        <f t="shared" si="25"/>
        <v>1PremiumS5</v>
      </c>
      <c r="D335" s="8" t="str">
        <f t="shared" si="27"/>
        <v>1PremiumS5</v>
      </c>
      <c r="E335" s="10">
        <v>1</v>
      </c>
      <c r="F335" s="6">
        <v>397</v>
      </c>
      <c r="G335" s="8" t="str">
        <f>VLOOKUP(F335,[1]characters!$A:$C,3,FALSE)</f>
        <v>禁断の追箱 乙姫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VLOOKUP(D335,gacha_300_base!A:B,2,FALSE)</f>
        <v>972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3001398</v>
      </c>
      <c r="B336" s="2" t="str">
        <f t="shared" si="28"/>
        <v>3001</v>
      </c>
      <c r="C336" s="8" t="str">
        <f t="shared" si="25"/>
        <v>1PremiumSS4</v>
      </c>
      <c r="D336" s="8" t="str">
        <f t="shared" si="27"/>
        <v>1PremiumSS4</v>
      </c>
      <c r="E336" s="10">
        <v>1</v>
      </c>
      <c r="F336" s="6">
        <v>398</v>
      </c>
      <c r="G336" s="8" t="str">
        <f>VLOOKUP(F336,[1]characters!$A:$C,3,FALSE)</f>
        <v>ヘンゼル＆グレーテル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VLOOKUP(D336,gacha_300_base!A:B,2,FALSE)</f>
        <v>1705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3001399</v>
      </c>
      <c r="B337" s="2" t="str">
        <f t="shared" si="28"/>
        <v>3001</v>
      </c>
      <c r="C337" s="8" t="str">
        <f t="shared" si="25"/>
        <v>1PremiumSS5</v>
      </c>
      <c r="D337" s="8" t="str">
        <f t="shared" si="27"/>
        <v>1PremiumSS5</v>
      </c>
      <c r="E337" s="10">
        <v>1</v>
      </c>
      <c r="F337" s="6">
        <v>399</v>
      </c>
      <c r="G337" s="8" t="str">
        <f>VLOOKUP(F337,[1]characters!$A:$C,3,FALSE)</f>
        <v>信愛の兄妹 ヘンゼル＆グレーテル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VLOOKUP(D337,gacha_300_base!A:B,2,FALSE)</f>
        <v>113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3001400</v>
      </c>
      <c r="B338" s="2" t="str">
        <f t="shared" si="28"/>
        <v>3001</v>
      </c>
      <c r="C338" s="8" t="str">
        <f t="shared" si="25"/>
        <v>1PremiumS3</v>
      </c>
      <c r="D338" s="8" t="str">
        <f t="shared" si="27"/>
        <v>1PremiumS3</v>
      </c>
      <c r="E338" s="10">
        <v>1</v>
      </c>
      <c r="F338" s="6">
        <v>400</v>
      </c>
      <c r="G338" s="8" t="str">
        <f>VLOOKUP(F338,[1]characters!$A:$C,3,FALSE)</f>
        <v>フェンリル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animal</v>
      </c>
      <c r="M338" s="16">
        <f>VLOOKUP(D338,gacha_300_base!A:B,2,FALSE)</f>
        <v>7837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3001401</v>
      </c>
      <c r="B339" s="2" t="str">
        <f t="shared" si="28"/>
        <v>3001</v>
      </c>
      <c r="C339" s="8" t="str">
        <f t="shared" si="25"/>
        <v>1PremiumS4</v>
      </c>
      <c r="D339" s="8" t="str">
        <f t="shared" si="27"/>
        <v>1PremiumS4</v>
      </c>
      <c r="E339" s="10">
        <v>1</v>
      </c>
      <c r="F339" s="6">
        <v>401</v>
      </c>
      <c r="G339" s="8" t="str">
        <f>VLOOKUP(F339,[1]characters!$A:$C,3,FALSE)</f>
        <v>紅銀の孤狼 フェンリル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f>VLOOKUP(D339,gacha_300_base!A:B,2,FALSE)</f>
        <v>6865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3001402</v>
      </c>
      <c r="B340" s="2" t="str">
        <f t="shared" si="28"/>
        <v>3001</v>
      </c>
      <c r="C340" s="8" t="str">
        <f t="shared" si="25"/>
        <v>1PremiumS5</v>
      </c>
      <c r="D340" s="8" t="str">
        <f t="shared" si="27"/>
        <v>1PremiumS5</v>
      </c>
      <c r="E340" s="10">
        <v>1</v>
      </c>
      <c r="F340" s="6">
        <v>402</v>
      </c>
      <c r="G340" s="8" t="str">
        <f>VLOOKUP(F340,[1]characters!$A:$C,3,FALSE)</f>
        <v>天災の神狼 フェンリル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f>VLOOKUP(D340,gacha_300_base!A:B,2,FALSE)</f>
        <v>972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3001403</v>
      </c>
      <c r="B341" s="2" t="str">
        <f t="shared" si="28"/>
        <v>3001</v>
      </c>
      <c r="C341" s="8" t="str">
        <f t="shared" si="25"/>
        <v>1PremiumSS4</v>
      </c>
      <c r="D341" s="8" t="str">
        <f t="shared" si="27"/>
        <v>1PremiumSS4</v>
      </c>
      <c r="E341" s="10">
        <v>1</v>
      </c>
      <c r="F341" s="6">
        <v>403</v>
      </c>
      <c r="G341" s="8" t="str">
        <f>VLOOKUP(F341,[1]characters!$A:$C,3,FALSE)</f>
        <v>静撃の翠眼 八咫烏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animal</v>
      </c>
      <c r="M341" s="16">
        <f>VLOOKUP(D341,gacha_300_base!A:B,2,FALSE)</f>
        <v>1705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6"/>
        <v>3001404</v>
      </c>
      <c r="B342" s="2" t="str">
        <f t="shared" si="28"/>
        <v>3001</v>
      </c>
      <c r="C342" s="8" t="str">
        <f t="shared" si="25"/>
        <v>1PremiumSS5</v>
      </c>
      <c r="D342" s="8" t="str">
        <f t="shared" si="27"/>
        <v>1PremiumSS5</v>
      </c>
      <c r="E342" s="10">
        <v>1</v>
      </c>
      <c r="F342" s="6">
        <v>404</v>
      </c>
      <c r="G342" s="8" t="str">
        <f>VLOOKUP(F342,[1]characters!$A:$C,3,FALSE)</f>
        <v>空襲の神眼 八咫烏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f>VLOOKUP(D342,gacha_300_base!A:B,2,FALSE)</f>
        <v>113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6"/>
        <v>3001405</v>
      </c>
      <c r="B343" s="2" t="str">
        <f t="shared" si="28"/>
        <v>3001</v>
      </c>
      <c r="C343" s="8" t="str">
        <f t="shared" si="25"/>
        <v>1PremiumS3</v>
      </c>
      <c r="D343" s="8" t="str">
        <f t="shared" si="27"/>
        <v>1PremiumS3</v>
      </c>
      <c r="E343" s="10">
        <v>1</v>
      </c>
      <c r="F343" s="6">
        <v>405</v>
      </c>
      <c r="G343" s="8" t="str">
        <f>VLOOKUP(F343,[1]characters!$A:$C,3,FALSE)</f>
        <v>エキドナ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animal</v>
      </c>
      <c r="M343" s="16">
        <f>VLOOKUP(D343,gacha_300_base!A:B,2,FALSE)</f>
        <v>7837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6"/>
        <v>3001406</v>
      </c>
      <c r="B344" s="2" t="str">
        <f t="shared" si="28"/>
        <v>3001</v>
      </c>
      <c r="C344" s="8" t="str">
        <f t="shared" si="25"/>
        <v>1PremiumS4</v>
      </c>
      <c r="D344" s="8" t="str">
        <f t="shared" si="27"/>
        <v>1PremiumS4</v>
      </c>
      <c r="E344" s="10">
        <v>1</v>
      </c>
      <c r="F344" s="6">
        <v>406</v>
      </c>
      <c r="G344" s="8" t="str">
        <f>VLOOKUP(F344,[1]characters!$A:$C,3,FALSE)</f>
        <v>美笑の蒼蛇 エキドナ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f>VLOOKUP(D344,gacha_300_base!A:B,2,FALSE)</f>
        <v>6865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6"/>
        <v>3001407</v>
      </c>
      <c r="B345" s="2" t="str">
        <f t="shared" si="28"/>
        <v>3001</v>
      </c>
      <c r="C345" s="8" t="str">
        <f t="shared" si="25"/>
        <v>1PremiumS5</v>
      </c>
      <c r="D345" s="8" t="str">
        <f t="shared" si="27"/>
        <v>1PremiumS5</v>
      </c>
      <c r="E345" s="10">
        <v>1</v>
      </c>
      <c r="F345" s="6">
        <v>407</v>
      </c>
      <c r="G345" s="8" t="str">
        <f>VLOOKUP(F345,[1]characters!$A:$C,3,FALSE)</f>
        <v>蠱惑の飛刀 エキドナ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VLOOKUP(D345,gacha_300_base!A:B,2,FALSE)</f>
        <v>972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6"/>
        <v>3001408</v>
      </c>
      <c r="B346" s="2" t="str">
        <f t="shared" si="28"/>
        <v>3001</v>
      </c>
      <c r="C346" s="8" t="str">
        <f t="shared" si="25"/>
        <v>1PremiumSS4</v>
      </c>
      <c r="D346" s="8" t="str">
        <f t="shared" si="27"/>
        <v>1PremiumSS4</v>
      </c>
      <c r="E346" s="10">
        <v>1</v>
      </c>
      <c r="F346" s="6">
        <v>408</v>
      </c>
      <c r="G346" s="8" t="str">
        <f>VLOOKUP(F346,[1]characters!$A:$C,3,FALSE)</f>
        <v>皇魔 アスタロト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god</v>
      </c>
      <c r="M346" s="16">
        <f>VLOOKUP(D346,gacha_300_base!A:B,2,FALSE)</f>
        <v>1705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6"/>
        <v>3001409</v>
      </c>
      <c r="B347" s="2" t="str">
        <f t="shared" si="28"/>
        <v>3001</v>
      </c>
      <c r="C347" s="8" t="str">
        <f t="shared" si="25"/>
        <v>1PremiumSS5</v>
      </c>
      <c r="D347" s="8" t="str">
        <f t="shared" si="27"/>
        <v>1PremiumSS5</v>
      </c>
      <c r="E347" s="10">
        <v>1</v>
      </c>
      <c r="F347" s="6">
        <v>409</v>
      </c>
      <c r="G347" s="8" t="str">
        <f>VLOOKUP(F347,[1]characters!$A:$C,3,FALSE)</f>
        <v>天眼の皇貴魔 アスタロト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VLOOKUP(D347,gacha_300_base!A:B,2,FALSE)</f>
        <v>113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6"/>
        <v>3001434</v>
      </c>
      <c r="B348" s="2" t="str">
        <f t="shared" si="28"/>
        <v>3001</v>
      </c>
      <c r="C348" s="8" t="str">
        <f t="shared" si="25"/>
        <v>1PremiumSS4</v>
      </c>
      <c r="D348" s="8" t="str">
        <f t="shared" si="27"/>
        <v>1PremiumSS4</v>
      </c>
      <c r="E348" s="10">
        <v>1</v>
      </c>
      <c r="F348" s="6">
        <v>434</v>
      </c>
      <c r="G348" s="8" t="str">
        <f>VLOOKUP(F348,[1]characters!$A:$C,3,FALSE)</f>
        <v>D.R.T.H.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16">
        <f>VLOOKUP(D348,gacha_300_base!A:B,2,FALSE)</f>
        <v>1705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6"/>
        <v>3001435</v>
      </c>
      <c r="B349" s="2" t="str">
        <f t="shared" si="28"/>
        <v>3001</v>
      </c>
      <c r="C349" s="8" t="str">
        <f t="shared" si="25"/>
        <v>1PremiumSS5</v>
      </c>
      <c r="D349" s="8" t="str">
        <f t="shared" si="27"/>
        <v>1PremiumSS5</v>
      </c>
      <c r="E349" s="10">
        <v>1</v>
      </c>
      <c r="F349" s="6">
        <v>435</v>
      </c>
      <c r="G349" s="8" t="str">
        <f>VLOOKUP(F349,[1]characters!$A:$C,3,FALSE)</f>
        <v>曝弾の密偵 D.R.T.H.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VLOOKUP(D349,gacha_300_base!A:B,2,FALSE)</f>
        <v>113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6"/>
        <v>3001436</v>
      </c>
      <c r="B350" s="2" t="str">
        <f t="shared" si="28"/>
        <v>3001</v>
      </c>
      <c r="C350" s="8" t="str">
        <f t="shared" si="25"/>
        <v>1PremiumS3</v>
      </c>
      <c r="D350" s="8" t="str">
        <f t="shared" si="27"/>
        <v>1PremiumS3</v>
      </c>
      <c r="E350" s="10">
        <v>1</v>
      </c>
      <c r="F350" s="6">
        <v>436</v>
      </c>
      <c r="G350" s="8" t="str">
        <f>VLOOKUP(F350,[1]characters!$A:$C,3,FALSE)</f>
        <v>カカシ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green</v>
      </c>
      <c r="K350" s="8" t="str">
        <f>VLOOKUP(F350,[1]characters!$A:$K,11,FALSE)</f>
        <v>technical</v>
      </c>
      <c r="L350" s="8" t="str">
        <f>VLOOKUP(F350,[1]characters!$A:$M,13,FALSE)</f>
        <v>human</v>
      </c>
      <c r="M350" s="16">
        <f>VLOOKUP(D350,gacha_300_base!A:B,2,FALSE)</f>
        <v>7837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6"/>
        <v>3001437</v>
      </c>
      <c r="B351" s="2" t="str">
        <f t="shared" si="28"/>
        <v>3001</v>
      </c>
      <c r="C351" s="8" t="str">
        <f t="shared" si="25"/>
        <v>1PremiumS4</v>
      </c>
      <c r="D351" s="8" t="str">
        <f t="shared" si="27"/>
        <v>1PremiumS4</v>
      </c>
      <c r="E351" s="10">
        <v>1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VLOOKUP(D351,gacha_300_base!A:B,2,FALSE)</f>
        <v>6865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6"/>
        <v>3001438</v>
      </c>
      <c r="B352" s="2" t="str">
        <f t="shared" si="28"/>
        <v>3001</v>
      </c>
      <c r="C352" s="8" t="str">
        <f t="shared" si="25"/>
        <v>1PremiumS5</v>
      </c>
      <c r="D352" s="8" t="str">
        <f t="shared" si="27"/>
        <v>1PremiumS5</v>
      </c>
      <c r="E352" s="10">
        <v>1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VLOOKUP(D352,gacha_300_base!A:B,2,FALSE)</f>
        <v>972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6"/>
        <v>3001439</v>
      </c>
      <c r="B353" s="2" t="str">
        <f t="shared" si="28"/>
        <v>3001</v>
      </c>
      <c r="C353" s="8" t="str">
        <f t="shared" si="25"/>
        <v>1PremiumS3</v>
      </c>
      <c r="D353" s="8" t="str">
        <f t="shared" si="27"/>
        <v>1PremiumS3</v>
      </c>
      <c r="E353" s="10">
        <v>1</v>
      </c>
      <c r="F353" s="6">
        <v>439</v>
      </c>
      <c r="G353" s="8" t="str">
        <f>VLOOKUP(F353,[1]characters!$A:$C,3,FALSE)</f>
        <v>ブリキロガー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VLOOKUP(D353,gacha_300_base!A:B,2,FALSE)</f>
        <v>7837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6"/>
        <v>3001440</v>
      </c>
      <c r="B354" s="2" t="str">
        <f t="shared" si="28"/>
        <v>3001</v>
      </c>
      <c r="C354" s="8" t="str">
        <f t="shared" si="25"/>
        <v>1PremiumS4</v>
      </c>
      <c r="D354" s="8" t="str">
        <f t="shared" si="27"/>
        <v>1PremiumS4</v>
      </c>
      <c r="E354" s="10">
        <v>1</v>
      </c>
      <c r="F354" s="6">
        <v>440</v>
      </c>
      <c r="G354" s="8" t="str">
        <f>VLOOKUP(F354,[1]characters!$A:$C,3,FALSE)</f>
        <v>改良型 ブリキロガー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VLOOKUP(D354,gacha_300_base!A:B,2,FALSE)</f>
        <v>6865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6"/>
        <v>3001441</v>
      </c>
      <c r="B355" s="2" t="str">
        <f t="shared" si="28"/>
        <v>3001</v>
      </c>
      <c r="C355" s="8" t="str">
        <f t="shared" si="25"/>
        <v>1PremiumS5</v>
      </c>
      <c r="D355" s="8" t="str">
        <f t="shared" si="27"/>
        <v>1PremiumS5</v>
      </c>
      <c r="E355" s="10">
        <v>1</v>
      </c>
      <c r="F355" s="6">
        <v>441</v>
      </c>
      <c r="G355" s="8" t="str">
        <f>VLOOKUP(F355,[1]characters!$A:$C,3,FALSE)</f>
        <v>求心の錻装 ブリキロガー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VLOOKUP(D355,gacha_300_base!A:B,2,FALSE)</f>
        <v>972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6"/>
        <v>3001442</v>
      </c>
      <c r="B356" s="2" t="str">
        <f t="shared" si="28"/>
        <v>3001</v>
      </c>
      <c r="C356" s="8" t="str">
        <f t="shared" si="25"/>
        <v>1PremiumSS4</v>
      </c>
      <c r="D356" s="8" t="str">
        <f t="shared" si="27"/>
        <v>1PremiumSS4</v>
      </c>
      <c r="E356" s="10">
        <v>1</v>
      </c>
      <c r="F356" s="6">
        <v>442</v>
      </c>
      <c r="G356" s="8" t="str">
        <f>VLOOKUP(F356,[1]characters!$A:$C,3,FALSE)</f>
        <v>ブレイブリー・ライオン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VLOOKUP(D356,gacha_300_base!A:B,2,FALSE)</f>
        <v>1705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6"/>
        <v>3001443</v>
      </c>
      <c r="B357" s="2" t="str">
        <f t="shared" si="28"/>
        <v>3001</v>
      </c>
      <c r="C357" s="8" t="str">
        <f t="shared" si="25"/>
        <v>1PremiumSS5</v>
      </c>
      <c r="D357" s="8" t="str">
        <f t="shared" si="27"/>
        <v>1PremiumSS5</v>
      </c>
      <c r="E357" s="10">
        <v>1</v>
      </c>
      <c r="F357" s="6">
        <v>443</v>
      </c>
      <c r="G357" s="8" t="str">
        <f>VLOOKUP(F357,[1]characters!$A:$C,3,FALSE)</f>
        <v>勇機結集 ブレイブリー・ライオン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VLOOKUP(D357,gacha_300_base!A:B,2,FALSE)</f>
        <v>113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6"/>
        <v>3001462</v>
      </c>
      <c r="B358" s="2" t="str">
        <f t="shared" si="28"/>
        <v>3001</v>
      </c>
      <c r="C358" s="8" t="str">
        <f t="shared" si="25"/>
        <v>1PremiumS3</v>
      </c>
      <c r="D358" s="8" t="str">
        <f t="shared" si="27"/>
        <v>1PremiumS3</v>
      </c>
      <c r="E358" s="10">
        <v>1</v>
      </c>
      <c r="F358" s="9">
        <v>462</v>
      </c>
      <c r="G358" s="8" t="str">
        <f>VLOOKUP(F358,[1]characters!$A:$C,3,FALSE)</f>
        <v>ガウェイン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VLOOKUP(D358,gacha_300_base!A:B,2,FALSE)</f>
        <v>7837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6"/>
        <v>3001463</v>
      </c>
      <c r="B359" s="2" t="str">
        <f t="shared" si="28"/>
        <v>3001</v>
      </c>
      <c r="C359" s="8" t="str">
        <f t="shared" si="25"/>
        <v>1PremiumS4</v>
      </c>
      <c r="D359" s="8" t="str">
        <f t="shared" si="27"/>
        <v>1PremiumS4</v>
      </c>
      <c r="E359" s="10">
        <v>1</v>
      </c>
      <c r="F359" s="9">
        <v>463</v>
      </c>
      <c r="G359" s="8" t="str">
        <f>VLOOKUP(F359,[1]characters!$A:$C,3,FALSE)</f>
        <v>燻銀 ガウェイン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VLOOKUP(D359,gacha_300_base!A:B,2,FALSE)</f>
        <v>6865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6"/>
        <v>3001464</v>
      </c>
      <c r="B360" s="2" t="str">
        <f t="shared" si="28"/>
        <v>3001</v>
      </c>
      <c r="C360" s="8" t="str">
        <f t="shared" si="25"/>
        <v>1PremiumS5</v>
      </c>
      <c r="D360" s="8" t="str">
        <f t="shared" si="27"/>
        <v>1PremiumS5</v>
      </c>
      <c r="E360" s="10">
        <v>1</v>
      </c>
      <c r="F360" s="9">
        <v>464</v>
      </c>
      <c r="G360" s="8" t="str">
        <f>VLOOKUP(F360,[1]characters!$A:$C,3,FALSE)</f>
        <v>円熟の弾導 ガウェイン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VLOOKUP(D360,gacha_300_base!A:B,2,FALSE)</f>
        <v>972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6"/>
        <v>3001465</v>
      </c>
      <c r="B361" s="2" t="str">
        <f t="shared" si="28"/>
        <v>3001</v>
      </c>
      <c r="C361" s="8" t="str">
        <f t="shared" si="25"/>
        <v>1PremiumSS4</v>
      </c>
      <c r="D361" s="8" t="str">
        <f t="shared" si="27"/>
        <v>1PremiumSS4</v>
      </c>
      <c r="E361" s="10">
        <v>1</v>
      </c>
      <c r="F361" s="9">
        <v>465</v>
      </c>
      <c r="G361" s="8" t="str">
        <f>VLOOKUP(F361,[1]characters!$A:$C,3,FALSE)</f>
        <v>真撃 ランスロット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f>VLOOKUP(D361,gacha_300_base!A:B,2,FALSE)</f>
        <v>1705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s="11" customFormat="1" ht="21" customHeight="1" thickBot="1">
      <c r="A362" s="7" t="str">
        <f t="shared" si="26"/>
        <v>3001466</v>
      </c>
      <c r="B362" s="2" t="str">
        <f t="shared" si="28"/>
        <v>3001</v>
      </c>
      <c r="C362" s="8" t="str">
        <f t="shared" si="25"/>
        <v>1PremiumSS5</v>
      </c>
      <c r="D362" s="8" t="str">
        <f t="shared" si="27"/>
        <v>1PremiumSS5</v>
      </c>
      <c r="E362" s="10">
        <v>1</v>
      </c>
      <c r="F362" s="6">
        <v>466</v>
      </c>
      <c r="G362" s="8" t="str">
        <f>VLOOKUP(F362,[1]characters!$A:$C,3,FALSE)</f>
        <v>真断の勇覇 ランスロット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VLOOKUP(D362,gacha_300_base!A:B,2,FALSE)</f>
        <v>113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26"/>
        <v>3001467</v>
      </c>
      <c r="B363" s="2" t="str">
        <f t="shared" si="28"/>
        <v>3001</v>
      </c>
      <c r="C363" s="8" t="str">
        <f t="shared" si="25"/>
        <v>1PremiumSS4</v>
      </c>
      <c r="D363" s="8" t="str">
        <f t="shared" si="27"/>
        <v>1PremiumSS4</v>
      </c>
      <c r="E363" s="10">
        <v>1</v>
      </c>
      <c r="F363" s="6">
        <v>467</v>
      </c>
      <c r="G363" s="8" t="str">
        <f>VLOOKUP(F363,[1]characters!$A:$C,3,FALSE)</f>
        <v>報復 モルドレッド</v>
      </c>
      <c r="H363" s="8" t="str">
        <f>VLOOKUP(F363,[1]characters!$A:$J,10,FALSE)</f>
        <v>PremiumSS</v>
      </c>
      <c r="I363" s="8">
        <f>VLOOKUP(F363,[1]characters!$A:$I,9,FALSE)</f>
        <v>4</v>
      </c>
      <c r="J363" s="8" t="str">
        <f>VLOOKUP(F363,[1]characters!$A:$H,8,FALSE)</f>
        <v>blue</v>
      </c>
      <c r="K363" s="8" t="str">
        <f>VLOOKUP(F363,[1]characters!$A:$K,11,FALSE)</f>
        <v>technical</v>
      </c>
      <c r="L363" s="8" t="str">
        <f>VLOOKUP(F363,[1]characters!$A:$M,13,FALSE)</f>
        <v>human</v>
      </c>
      <c r="M363" s="16">
        <f>VLOOKUP(D363,gacha_300_base!A:B,2,FALSE)</f>
        <v>1705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26"/>
        <v>3001468</v>
      </c>
      <c r="B364" s="2" t="str">
        <f t="shared" si="28"/>
        <v>3001</v>
      </c>
      <c r="C364" s="8" t="str">
        <f t="shared" si="25"/>
        <v>1PremiumSS5</v>
      </c>
      <c r="D364" s="8" t="str">
        <f t="shared" si="27"/>
        <v>1PremiumSS5</v>
      </c>
      <c r="E364" s="10">
        <v>1</v>
      </c>
      <c r="F364" s="6">
        <v>468</v>
      </c>
      <c r="G364" s="8" t="str">
        <f>VLOOKUP(F364,[1]characters!$A:$C,3,FALSE)</f>
        <v>憎愛の尖鋒 モルドレッド</v>
      </c>
      <c r="H364" s="8" t="str">
        <f>VLOOKUP(F364,[1]characters!$A:$J,10,FALSE)</f>
        <v>PremiumSS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VLOOKUP(D364,gacha_300_base!A:B,2,FALSE)</f>
        <v>113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26"/>
        <v>3001469</v>
      </c>
      <c r="B365" s="2" t="str">
        <f t="shared" si="28"/>
        <v>3001</v>
      </c>
      <c r="C365" s="8" t="str">
        <f t="shared" si="25"/>
        <v>1PremiumS3</v>
      </c>
      <c r="D365" s="8" t="str">
        <f t="shared" si="27"/>
        <v>1PremiumS3</v>
      </c>
      <c r="E365" s="10">
        <v>1</v>
      </c>
      <c r="F365" s="6">
        <v>469</v>
      </c>
      <c r="G365" s="8" t="str">
        <f>VLOOKUP(F365,[1]characters!$A:$C,3,FALSE)</f>
        <v>トリスタン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yellow</v>
      </c>
      <c r="K365" s="8" t="str">
        <f>VLOOKUP(F365,[1]characters!$A:$K,11,FALSE)</f>
        <v>attack</v>
      </c>
      <c r="L365" s="8" t="str">
        <f>VLOOKUP(F365,[1]characters!$A:$M,13,FALSE)</f>
        <v>human</v>
      </c>
      <c r="M365" s="16">
        <f>VLOOKUP(D365,gacha_300_base!A:B,2,FALSE)</f>
        <v>7837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26"/>
        <v>3001470</v>
      </c>
      <c r="B366" s="2" t="str">
        <f t="shared" si="28"/>
        <v>3001</v>
      </c>
      <c r="C366" s="8" t="str">
        <f t="shared" ref="C366:C396" si="29">E366&amp;H366&amp;I366</f>
        <v>1PremiumS4</v>
      </c>
      <c r="D366" s="8" t="str">
        <f t="shared" si="27"/>
        <v>1PremiumS4</v>
      </c>
      <c r="E366" s="10">
        <v>1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VLOOKUP(D366,gacha_300_base!A:B,2,FALSE)</f>
        <v>6865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ref="A367:A396" si="30">B367&amp;F367</f>
        <v>3001471</v>
      </c>
      <c r="B367" s="2" t="str">
        <f t="shared" si="28"/>
        <v>3001</v>
      </c>
      <c r="C367" s="8" t="str">
        <f t="shared" si="29"/>
        <v>1PremiumS5</v>
      </c>
      <c r="D367" s="8" t="str">
        <f t="shared" si="27"/>
        <v>1PremiumS5</v>
      </c>
      <c r="E367" s="10">
        <v>1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VLOOKUP(D367,gacha_300_base!A:B,2,FALSE)</f>
        <v>972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3001474</v>
      </c>
      <c r="B368" s="2" t="str">
        <f t="shared" si="28"/>
        <v>3001</v>
      </c>
      <c r="C368" s="8" t="str">
        <f t="shared" si="29"/>
        <v>1PremiumSS4</v>
      </c>
      <c r="D368" s="8" t="str">
        <f t="shared" si="27"/>
        <v>1PremiumSS4</v>
      </c>
      <c r="E368" s="10">
        <v>1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VLOOKUP(D368,gacha_300_base!A:B,2,FALSE)</f>
        <v>1705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3001475</v>
      </c>
      <c r="B369" s="2" t="str">
        <f t="shared" si="28"/>
        <v>3001</v>
      </c>
      <c r="C369" s="8" t="str">
        <f t="shared" si="29"/>
        <v>1PremiumSS5</v>
      </c>
      <c r="D369" s="8" t="str">
        <f t="shared" si="27"/>
        <v>1PremiumSS5</v>
      </c>
      <c r="E369" s="10">
        <v>1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VLOOKUP(D369,gacha_300_base!A:B,2,FALSE)</f>
        <v>113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0"/>
        <v>3001476</v>
      </c>
      <c r="B370" s="2" t="str">
        <f t="shared" si="28"/>
        <v>3001</v>
      </c>
      <c r="C370" s="8" t="str">
        <f t="shared" si="29"/>
        <v>1PremiumS3</v>
      </c>
      <c r="D370" s="8" t="str">
        <f t="shared" si="27"/>
        <v>1PremiumS3</v>
      </c>
      <c r="E370" s="10">
        <v>1</v>
      </c>
      <c r="F370" s="6">
        <v>476</v>
      </c>
      <c r="G370" s="8" t="str">
        <f>VLOOKUP(F370,[1]characters!$A:$C,3,FALSE)</f>
        <v>ファータ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VLOOKUP(D370,gacha_300_base!A:B,2,FALSE)</f>
        <v>7837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3001477</v>
      </c>
      <c r="B371" s="2" t="str">
        <f t="shared" si="28"/>
        <v>3001</v>
      </c>
      <c r="C371" s="8" t="str">
        <f t="shared" si="29"/>
        <v>1PremiumS4</v>
      </c>
      <c r="D371" s="8" t="str">
        <f t="shared" si="27"/>
        <v>1PremiumS4</v>
      </c>
      <c r="E371" s="10">
        <v>1</v>
      </c>
      <c r="F371" s="6">
        <v>477</v>
      </c>
      <c r="G371" s="8" t="str">
        <f>VLOOKUP(F371,[1]characters!$A:$C,3,FALSE)</f>
        <v>愛羽妖精 ファータ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VLOOKUP(D371,gacha_300_base!A:B,2,FALSE)</f>
        <v>6865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3001478</v>
      </c>
      <c r="B372" s="2" t="str">
        <f t="shared" si="28"/>
        <v>3001</v>
      </c>
      <c r="C372" s="8" t="str">
        <f t="shared" si="29"/>
        <v>1PremiumS5</v>
      </c>
      <c r="D372" s="8" t="str">
        <f t="shared" si="27"/>
        <v>1PremiumS5</v>
      </c>
      <c r="E372" s="10">
        <v>1</v>
      </c>
      <c r="F372" s="6">
        <v>478</v>
      </c>
      <c r="G372" s="8" t="str">
        <f>VLOOKUP(F372,[1]characters!$A:$C,3,FALSE)</f>
        <v>時計仕掛けの愛羽妖精 ファータ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VLOOKUP(D372,gacha_300_base!A:B,2,FALSE)</f>
        <v>972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3001479</v>
      </c>
      <c r="B373" s="2" t="str">
        <f t="shared" si="28"/>
        <v>3001</v>
      </c>
      <c r="C373" s="8" t="str">
        <f t="shared" si="29"/>
        <v>1PremiumSS4</v>
      </c>
      <c r="D373" s="8" t="str">
        <f t="shared" si="27"/>
        <v>1PremiumSS4</v>
      </c>
      <c r="E373" s="10">
        <v>1</v>
      </c>
      <c r="F373" s="6">
        <v>479</v>
      </c>
      <c r="G373" s="8" t="str">
        <f>VLOOKUP(F373,[1]characters!$A:$C,3,FALSE)</f>
        <v>フール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VLOOKUP(D373,gacha_300_base!A:B,2,FALSE)</f>
        <v>1705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3001480</v>
      </c>
      <c r="B374" s="2" t="str">
        <f t="shared" si="28"/>
        <v>3001</v>
      </c>
      <c r="C374" s="8" t="str">
        <f t="shared" si="29"/>
        <v>1PremiumSS5</v>
      </c>
      <c r="D374" s="8" t="str">
        <f t="shared" si="27"/>
        <v>1PremiumSS5</v>
      </c>
      <c r="E374" s="10">
        <v>1</v>
      </c>
      <c r="F374" s="6">
        <v>480</v>
      </c>
      <c r="G374" s="8" t="str">
        <f>VLOOKUP(F374,[1]characters!$A:$C,3,FALSE)</f>
        <v>夢幻の愚者フール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VLOOKUP(D374,gacha_300_base!A:B,2,FALSE)</f>
        <v>113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0"/>
        <v>3001481</v>
      </c>
      <c r="B375" s="2" t="str">
        <f t="shared" si="28"/>
        <v>3001</v>
      </c>
      <c r="C375" s="8" t="str">
        <f t="shared" si="29"/>
        <v>1PremiumS3</v>
      </c>
      <c r="D375" s="8" t="str">
        <f t="shared" si="27"/>
        <v>1PremiumS3</v>
      </c>
      <c r="E375" s="10">
        <v>1</v>
      </c>
      <c r="F375" s="6">
        <v>481</v>
      </c>
      <c r="G375" s="8" t="str">
        <f>VLOOKUP(F375,[1]characters!$A:$C,3,FALSE)</f>
        <v>沢庵宗彭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VLOOKUP(D375,gacha_300_base!A:B,2,FALSE)</f>
        <v>7837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0"/>
        <v>3001482</v>
      </c>
      <c r="B376" s="2" t="str">
        <f t="shared" si="28"/>
        <v>3001</v>
      </c>
      <c r="C376" s="8" t="str">
        <f t="shared" si="29"/>
        <v>1PremiumS4</v>
      </c>
      <c r="D376" s="8" t="str">
        <f t="shared" si="27"/>
        <v>1PremiumS4</v>
      </c>
      <c r="E376" s="10">
        <v>1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VLOOKUP(D376,gacha_300_base!A:B,2,FALSE)</f>
        <v>6865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0"/>
        <v>3001483</v>
      </c>
      <c r="B377" s="2" t="str">
        <f t="shared" si="28"/>
        <v>3001</v>
      </c>
      <c r="C377" s="8" t="str">
        <f t="shared" si="29"/>
        <v>1PremiumS5</v>
      </c>
      <c r="D377" s="8" t="str">
        <f t="shared" si="27"/>
        <v>1PremiumS5</v>
      </c>
      <c r="E377" s="10">
        <v>1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VLOOKUP(D377,gacha_300_base!A:B,2,FALSE)</f>
        <v>972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0"/>
        <v>3001492</v>
      </c>
      <c r="B378" s="2" t="str">
        <f t="shared" si="28"/>
        <v>3001</v>
      </c>
      <c r="C378" s="8" t="str">
        <f t="shared" si="29"/>
        <v>1PremiumSS4</v>
      </c>
      <c r="D378" s="8" t="str">
        <f t="shared" si="27"/>
        <v>1PremiumSS4</v>
      </c>
      <c r="E378" s="10">
        <v>1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16">
        <f>VLOOKUP(D378,gacha_300_base!A:B,2,FALSE)</f>
        <v>1705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0"/>
        <v>3001493</v>
      </c>
      <c r="B379" s="2" t="str">
        <f t="shared" si="28"/>
        <v>3001</v>
      </c>
      <c r="C379" s="8" t="str">
        <f t="shared" si="29"/>
        <v>1PremiumSS5</v>
      </c>
      <c r="D379" s="8" t="str">
        <f t="shared" si="27"/>
        <v>1PremiumSS5</v>
      </c>
      <c r="E379" s="10">
        <v>1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VLOOKUP(D379,gacha_300_base!A:B,2,FALSE)</f>
        <v>113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0"/>
        <v>3001494</v>
      </c>
      <c r="B380" s="2" t="str">
        <f t="shared" si="28"/>
        <v>3001</v>
      </c>
      <c r="C380" s="8" t="str">
        <f t="shared" si="29"/>
        <v>1PremiumSS4</v>
      </c>
      <c r="D380" s="8" t="str">
        <f t="shared" si="27"/>
        <v>1PremiumSS4</v>
      </c>
      <c r="E380" s="10">
        <v>1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16">
        <f>VLOOKUP(D380,gacha_300_base!A:B,2,FALSE)</f>
        <v>1705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0"/>
        <v>3001495</v>
      </c>
      <c r="B381" s="2" t="str">
        <f t="shared" si="28"/>
        <v>3001</v>
      </c>
      <c r="C381" s="8" t="str">
        <f t="shared" si="29"/>
        <v>1PremiumSS5</v>
      </c>
      <c r="D381" s="8" t="str">
        <f t="shared" si="27"/>
        <v>1PremiumSS5</v>
      </c>
      <c r="E381" s="10">
        <v>1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VLOOKUP(D381,gacha_300_base!A:B,2,FALSE)</f>
        <v>113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0"/>
        <v>3001496</v>
      </c>
      <c r="B382" s="2" t="str">
        <f t="shared" si="28"/>
        <v>3001</v>
      </c>
      <c r="C382" s="8" t="str">
        <f t="shared" si="29"/>
        <v>1PremiumS3</v>
      </c>
      <c r="D382" s="8" t="str">
        <f t="shared" si="27"/>
        <v>1PremiumS3</v>
      </c>
      <c r="E382" s="10">
        <v>1</v>
      </c>
      <c r="F382" s="6">
        <v>496</v>
      </c>
      <c r="G382" s="8" t="str">
        <f>VLOOKUP(F382,[1]characters!$A:$C,3,FALSE)</f>
        <v>エスタブ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VLOOKUP(D382,gacha_300_base!A:B,2,FALSE)</f>
        <v>7837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0"/>
        <v>3001497</v>
      </c>
      <c r="B383" s="2" t="str">
        <f t="shared" si="28"/>
        <v>3001</v>
      </c>
      <c r="C383" s="8" t="str">
        <f t="shared" si="29"/>
        <v>1PremiumS4</v>
      </c>
      <c r="D383" s="8" t="str">
        <f t="shared" si="27"/>
        <v>1PremiumS4</v>
      </c>
      <c r="E383" s="10">
        <v>1</v>
      </c>
      <c r="F383" s="6">
        <v>497</v>
      </c>
      <c r="G383" s="8" t="str">
        <f>VLOOKUP(F383,[1]characters!$A:$C,3,FALSE)</f>
        <v>偏愛の野獣 エスタブ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VLOOKUP(D383,gacha_300_base!A:B,2,FALSE)</f>
        <v>6865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0"/>
        <v>3001498</v>
      </c>
      <c r="B384" s="2" t="str">
        <f t="shared" si="28"/>
        <v>3001</v>
      </c>
      <c r="C384" s="8" t="str">
        <f t="shared" si="29"/>
        <v>1PremiumS5</v>
      </c>
      <c r="D384" s="8" t="str">
        <f t="shared" si="27"/>
        <v>1PremiumS5</v>
      </c>
      <c r="E384" s="10">
        <v>1</v>
      </c>
      <c r="F384" s="6">
        <v>498</v>
      </c>
      <c r="G384" s="8" t="str">
        <f>VLOOKUP(F384,[1]characters!$A:$C,3,FALSE)</f>
        <v>自愛の高魔 エスタブ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VLOOKUP(D384,gacha_300_base!A:B,2,FALSE)</f>
        <v>972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0"/>
        <v>3001499</v>
      </c>
      <c r="B385" s="2" t="str">
        <f t="shared" si="28"/>
        <v>3001</v>
      </c>
      <c r="C385" s="8" t="str">
        <f t="shared" si="29"/>
        <v>1PremiumSS4</v>
      </c>
      <c r="D385" s="8" t="str">
        <f t="shared" si="27"/>
        <v>1PremiumSS4</v>
      </c>
      <c r="E385" s="10">
        <v>1</v>
      </c>
      <c r="F385" s="6">
        <v>499</v>
      </c>
      <c r="G385" s="8" t="str">
        <f>VLOOKUP(F385,[1]characters!$A:$C,3,FALSE)</f>
        <v>ラプンツェル</v>
      </c>
      <c r="H385" s="8" t="str">
        <f>VLOOKUP(F385,[1]characters!$A:$J,10,FALSE)</f>
        <v>PremiumSS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16">
        <f>VLOOKUP(D385,gacha_300_base!A:B,2,FALSE)</f>
        <v>1705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0"/>
        <v>3001500</v>
      </c>
      <c r="B386" s="2" t="str">
        <f t="shared" si="28"/>
        <v>3001</v>
      </c>
      <c r="C386" s="8" t="str">
        <f t="shared" si="29"/>
        <v>1PremiumSS5</v>
      </c>
      <c r="D386" s="8" t="str">
        <f t="shared" ref="D386:D417" si="31">E386&amp;H386&amp;I386</f>
        <v>1PremiumSS5</v>
      </c>
      <c r="E386" s="10">
        <v>1</v>
      </c>
      <c r="F386" s="6">
        <v>500</v>
      </c>
      <c r="G386" s="8" t="str">
        <f>VLOOKUP(F386,[1]characters!$A:$C,3,FALSE)</f>
        <v>脈動の禁髪 ラプンツェル</v>
      </c>
      <c r="H386" s="8" t="str">
        <f>VLOOKUP(F386,[1]characters!$A:$J,10,FALSE)</f>
        <v>PremiumSS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f>VLOOKUP(D386,gacha_300_base!A:B,2,FALSE)</f>
        <v>113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0"/>
        <v>3001586</v>
      </c>
      <c r="B387" s="2" t="str">
        <f t="shared" ref="B387:B417" si="32">300&amp;E387</f>
        <v>3001</v>
      </c>
      <c r="C387" s="8" t="str">
        <f t="shared" si="29"/>
        <v>1PremiumSS4</v>
      </c>
      <c r="D387" s="8" t="str">
        <f t="shared" si="31"/>
        <v>1PremiumSS4</v>
      </c>
      <c r="E387" s="10">
        <v>1</v>
      </c>
      <c r="F387" s="6">
        <v>586</v>
      </c>
      <c r="G387" s="8" t="str">
        <f>VLOOKUP(F387,[1]characters!$A:$C,3,FALSE)</f>
        <v>ユミル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16">
        <f>VLOOKUP(D387,gacha_300_base!A:B,2,FALSE)</f>
        <v>1705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0"/>
        <v>3001587</v>
      </c>
      <c r="B388" s="2" t="str">
        <f t="shared" si="32"/>
        <v>3001</v>
      </c>
      <c r="C388" s="8" t="str">
        <f t="shared" si="29"/>
        <v>1PremiumSS5</v>
      </c>
      <c r="D388" s="8" t="str">
        <f t="shared" si="31"/>
        <v>1PremiumSS5</v>
      </c>
      <c r="E388" s="10">
        <v>1</v>
      </c>
      <c r="F388" s="6">
        <v>587</v>
      </c>
      <c r="G388" s="8" t="str">
        <f>VLOOKUP(F388,[1]characters!$A:$C,3,FALSE)</f>
        <v>原初の煉鋼巨刃 ユミル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f>VLOOKUP(D388,gacha_300_base!A:B,2,FALSE)</f>
        <v>113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0"/>
        <v>3001588</v>
      </c>
      <c r="B389" s="2" t="str">
        <f t="shared" si="32"/>
        <v>3001</v>
      </c>
      <c r="C389" s="8" t="str">
        <f t="shared" si="29"/>
        <v>1PremiumS3</v>
      </c>
      <c r="D389" s="8" t="str">
        <f t="shared" si="31"/>
        <v>1PremiumS3</v>
      </c>
      <c r="E389" s="10">
        <v>1</v>
      </c>
      <c r="F389" s="6">
        <v>588</v>
      </c>
      <c r="G389" s="8" t="str">
        <f>VLOOKUP(F389,[1]characters!$A:$C,3,FALSE)</f>
        <v>ニーベルゲン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VLOOKUP(D389,gacha_300_base!A:B,2,FALSE)</f>
        <v>7837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0"/>
        <v>3001589</v>
      </c>
      <c r="B390" s="2" t="str">
        <f t="shared" si="32"/>
        <v>3001</v>
      </c>
      <c r="C390" s="8" t="str">
        <f t="shared" si="29"/>
        <v>1PremiumS4</v>
      </c>
      <c r="D390" s="8" t="str">
        <f t="shared" si="31"/>
        <v>1PremiumS4</v>
      </c>
      <c r="E390" s="10">
        <v>1</v>
      </c>
      <c r="F390" s="6">
        <v>589</v>
      </c>
      <c r="G390" s="8" t="str">
        <f>VLOOKUP(F390,[1]characters!$A:$C,3,FALSE)</f>
        <v>不幸の円環 ニーベルゲン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VLOOKUP(D390,gacha_300_base!A:B,2,FALSE)</f>
        <v>6865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0"/>
        <v>3001590</v>
      </c>
      <c r="B391" s="2" t="str">
        <f t="shared" si="32"/>
        <v>3001</v>
      </c>
      <c r="C391" s="8" t="str">
        <f t="shared" si="29"/>
        <v>1PremiumS5</v>
      </c>
      <c r="D391" s="8" t="str">
        <f t="shared" si="31"/>
        <v>1PremiumS5</v>
      </c>
      <c r="E391" s="10">
        <v>1</v>
      </c>
      <c r="F391" s="6">
        <v>590</v>
      </c>
      <c r="G391" s="8" t="str">
        <f>VLOOKUP(F391,[1]characters!$A:$C,3,FALSE)</f>
        <v>永遠を廻る呪い ニーベルゲン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VLOOKUP(D391,gacha_300_base!A:B,2,FALSE)</f>
        <v>972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0"/>
        <v>3001591</v>
      </c>
      <c r="B392" s="2" t="str">
        <f t="shared" si="32"/>
        <v>3001</v>
      </c>
      <c r="C392" s="8" t="str">
        <f t="shared" si="29"/>
        <v>1PremiumS3</v>
      </c>
      <c r="D392" s="8" t="str">
        <f t="shared" si="31"/>
        <v>1PremiumS3</v>
      </c>
      <c r="E392" s="10">
        <v>1</v>
      </c>
      <c r="F392" s="6">
        <v>591</v>
      </c>
      <c r="G392" s="8" t="str">
        <f>VLOOKUP(F392,[1]characters!$A:$C,3,FALSE)</f>
        <v>ファフニール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technical</v>
      </c>
      <c r="L392" s="8" t="str">
        <f>VLOOKUP(F392,[1]characters!$A:$M,13,FALSE)</f>
        <v>dragon</v>
      </c>
      <c r="M392" s="16">
        <f>VLOOKUP(D392,gacha_300_base!A:B,2,FALSE)</f>
        <v>7837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0"/>
        <v>3001592</v>
      </c>
      <c r="B393" s="2" t="str">
        <f t="shared" si="32"/>
        <v>3001</v>
      </c>
      <c r="C393" s="8" t="str">
        <f t="shared" si="29"/>
        <v>1PremiumS4</v>
      </c>
      <c r="D393" s="8" t="str">
        <f t="shared" si="31"/>
        <v>1PremiumS4</v>
      </c>
      <c r="E393" s="10">
        <v>1</v>
      </c>
      <c r="F393" s="6">
        <v>592</v>
      </c>
      <c r="G393" s="8" t="str">
        <f>VLOOKUP(F393,[1]characters!$A:$C,3,FALSE)</f>
        <v>財宝への執着 ファフニール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VLOOKUP(D393,gacha_300_base!A:B,2,FALSE)</f>
        <v>6865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0"/>
        <v>3001593</v>
      </c>
      <c r="B394" s="2" t="str">
        <f t="shared" si="32"/>
        <v>3001</v>
      </c>
      <c r="C394" s="8" t="str">
        <f t="shared" si="29"/>
        <v>1PremiumS5</v>
      </c>
      <c r="D394" s="8" t="str">
        <f t="shared" si="31"/>
        <v>1PremiumS5</v>
      </c>
      <c r="E394" s="10">
        <v>1</v>
      </c>
      <c r="F394" s="6">
        <v>593</v>
      </c>
      <c r="G394" s="8" t="str">
        <f>VLOOKUP(F394,[1]characters!$A:$C,3,FALSE)</f>
        <v>妄執する邪毒龍 ファフニール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VLOOKUP(D394,gacha_300_base!A:B,2,FALSE)</f>
        <v>972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0"/>
        <v>3001594</v>
      </c>
      <c r="B395" s="2" t="str">
        <f t="shared" si="32"/>
        <v>3001</v>
      </c>
      <c r="C395" s="8" t="str">
        <f t="shared" si="29"/>
        <v>1PremiumSS4</v>
      </c>
      <c r="D395" s="8" t="str">
        <f t="shared" si="31"/>
        <v>1PremiumSS4</v>
      </c>
      <c r="E395" s="10">
        <v>1</v>
      </c>
      <c r="F395" s="6">
        <v>594</v>
      </c>
      <c r="G395" s="8" t="str">
        <f>VLOOKUP(F395,[1]characters!$A:$C,3,FALSE)</f>
        <v>アルフヘイム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VLOOKUP(D395,gacha_300_base!A:B,2,FALSE)</f>
        <v>1705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0"/>
        <v>3001595</v>
      </c>
      <c r="B396" s="2" t="str">
        <f t="shared" si="32"/>
        <v>3001</v>
      </c>
      <c r="C396" s="8" t="str">
        <f t="shared" si="29"/>
        <v>1PremiumSS5</v>
      </c>
      <c r="D396" s="8" t="str">
        <f t="shared" si="31"/>
        <v>1PremiumSS5</v>
      </c>
      <c r="E396" s="10">
        <v>1</v>
      </c>
      <c r="F396" s="6">
        <v>595</v>
      </c>
      <c r="G396" s="8" t="str">
        <f>VLOOKUP(F396,[1]characters!$A:$C,3,FALSE)</f>
        <v>光華なる神域 アルフヘイム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VLOOKUP(D396,gacha_300_base!A:B,2,FALSE)</f>
        <v>113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ref="A397:A407" si="33">B397&amp;F397</f>
        <v>3001596</v>
      </c>
      <c r="B397" s="2" t="str">
        <f t="shared" si="32"/>
        <v>3001</v>
      </c>
      <c r="C397" s="8" t="str">
        <f t="shared" ref="C397:C407" si="34">E397&amp;H397&amp;I397</f>
        <v>1PremiumS3</v>
      </c>
      <c r="D397" s="8" t="str">
        <f t="shared" si="31"/>
        <v>1PremiumS3</v>
      </c>
      <c r="E397" s="10">
        <v>1</v>
      </c>
      <c r="F397" s="6">
        <v>596</v>
      </c>
      <c r="G397" s="8" t="str">
        <f>VLOOKUP(F397,[1]characters!$A:$C,3,FALSE)</f>
        <v>ムスペルヘイム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16">
        <f>VLOOKUP(D397,gacha_300_base!A:B,2,FALSE)</f>
        <v>7837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3"/>
        <v>3001597</v>
      </c>
      <c r="B398" s="2" t="str">
        <f t="shared" si="32"/>
        <v>3001</v>
      </c>
      <c r="C398" s="8" t="str">
        <f t="shared" si="34"/>
        <v>1PremiumS4</v>
      </c>
      <c r="D398" s="8" t="str">
        <f t="shared" si="31"/>
        <v>1PremiumS4</v>
      </c>
      <c r="E398" s="10">
        <v>1</v>
      </c>
      <c r="F398" s="6">
        <v>597</v>
      </c>
      <c r="G398" s="8" t="str">
        <f>VLOOKUP(F398,[1]characters!$A:$C,3,FALSE)</f>
        <v>灼熱の魂 ムスペルヘイム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VLOOKUP(D398,gacha_300_base!A:B,2,FALSE)</f>
        <v>6865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3"/>
        <v>3001598</v>
      </c>
      <c r="B399" s="2" t="str">
        <f t="shared" si="32"/>
        <v>3001</v>
      </c>
      <c r="C399" s="8" t="str">
        <f t="shared" si="34"/>
        <v>1PremiumS5</v>
      </c>
      <c r="D399" s="8" t="str">
        <f t="shared" si="31"/>
        <v>1PremiumS5</v>
      </c>
      <c r="E399" s="10">
        <v>1</v>
      </c>
      <c r="F399" s="6">
        <v>598</v>
      </c>
      <c r="G399" s="8" t="str">
        <f>VLOOKUP(F399,[1]characters!$A:$C,3,FALSE)</f>
        <v>焼燃の情熱 ムスペルヘイム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VLOOKUP(D399,gacha_300_base!A:B,2,FALSE)</f>
        <v>972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3"/>
        <v>3001599</v>
      </c>
      <c r="B400" s="2" t="str">
        <f t="shared" si="32"/>
        <v>3001</v>
      </c>
      <c r="C400" s="8" t="str">
        <f t="shared" si="34"/>
        <v>1PremiumS3</v>
      </c>
      <c r="D400" s="8" t="str">
        <f t="shared" si="31"/>
        <v>1PremiumS3</v>
      </c>
      <c r="E400" s="10">
        <v>1</v>
      </c>
      <c r="F400" s="6">
        <v>599</v>
      </c>
      <c r="G400" s="8" t="str">
        <f>VLOOKUP(F400,[1]characters!$A:$C,3,FALSE)</f>
        <v>ニーズヘッグ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green</v>
      </c>
      <c r="K400" s="8" t="str">
        <f>VLOOKUP(F400,[1]characters!$A:$K,11,FALSE)</f>
        <v>attack</v>
      </c>
      <c r="L400" s="8" t="str">
        <f>VLOOKUP(F400,[1]characters!$A:$M,13,FALSE)</f>
        <v>dragon</v>
      </c>
      <c r="M400" s="16">
        <f>VLOOKUP(D400,gacha_300_base!A:B,2,FALSE)</f>
        <v>7837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3"/>
        <v>3001600</v>
      </c>
      <c r="B401" s="2" t="str">
        <f t="shared" si="32"/>
        <v>3001</v>
      </c>
      <c r="C401" s="8" t="str">
        <f t="shared" si="34"/>
        <v>1PremiumS4</v>
      </c>
      <c r="D401" s="8" t="str">
        <f t="shared" si="31"/>
        <v>1PremiumS4</v>
      </c>
      <c r="E401" s="10">
        <v>1</v>
      </c>
      <c r="F401" s="6">
        <v>600</v>
      </c>
      <c r="G401" s="8" t="str">
        <f>VLOOKUP(F401,[1]characters!$A:$C,3,FALSE)</f>
        <v>界下に潜む蛇 ニーズヘッグ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VLOOKUP(D401,gacha_300_base!A:B,2,FALSE)</f>
        <v>6865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3"/>
        <v>3001601</v>
      </c>
      <c r="B402" s="2" t="str">
        <f t="shared" si="32"/>
        <v>3001</v>
      </c>
      <c r="C402" s="8" t="str">
        <f t="shared" si="34"/>
        <v>1PremiumS5</v>
      </c>
      <c r="D402" s="8" t="str">
        <f t="shared" si="31"/>
        <v>1PremiumS5</v>
      </c>
      <c r="E402" s="10">
        <v>1</v>
      </c>
      <c r="F402" s="6">
        <v>601</v>
      </c>
      <c r="G402" s="8" t="str">
        <f>VLOOKUP(F402,[1]characters!$A:$C,3,FALSE)</f>
        <v>界根蝕む悪食 ニーズヘッグ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VLOOKUP(D402,gacha_300_base!A:B,2,FALSE)</f>
        <v>972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3"/>
        <v>3001602</v>
      </c>
      <c r="B403" s="2" t="str">
        <f t="shared" si="32"/>
        <v>3001</v>
      </c>
      <c r="C403" s="8" t="str">
        <f t="shared" si="34"/>
        <v>1PremiumSS4</v>
      </c>
      <c r="D403" s="8" t="str">
        <f t="shared" si="31"/>
        <v>1PremiumSS4</v>
      </c>
      <c r="E403" s="10">
        <v>1</v>
      </c>
      <c r="F403" s="6">
        <v>602</v>
      </c>
      <c r="G403" s="8" t="str">
        <f>VLOOKUP(F403,[1]characters!$A:$C,3,FALSE)</f>
        <v>フレイヤ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16">
        <f>VLOOKUP(D403,gacha_300_base!A:B,2,FALSE)</f>
        <v>1705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3"/>
        <v>3001603</v>
      </c>
      <c r="B404" s="2" t="str">
        <f t="shared" si="32"/>
        <v>3001</v>
      </c>
      <c r="C404" s="8" t="str">
        <f t="shared" si="34"/>
        <v>1PremiumSS5</v>
      </c>
      <c r="D404" s="8" t="str">
        <f t="shared" si="31"/>
        <v>1PremiumSS5</v>
      </c>
      <c r="E404" s="10">
        <v>1</v>
      </c>
      <c r="F404" s="6">
        <v>603</v>
      </c>
      <c r="G404" s="8" t="str">
        <f>VLOOKUP(F404,[1]characters!$A:$C,3,FALSE)</f>
        <v>掌愛の豊穣女神 フレイヤ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f>VLOOKUP(D404,gacha_300_base!A:B,2,FALSE)</f>
        <v>113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3"/>
        <v>3001604</v>
      </c>
      <c r="B405" s="2" t="str">
        <f t="shared" si="32"/>
        <v>3001</v>
      </c>
      <c r="C405" s="8" t="str">
        <f t="shared" si="34"/>
        <v>1PremiumS3</v>
      </c>
      <c r="D405" s="8" t="str">
        <f t="shared" si="31"/>
        <v>1PremiumS3</v>
      </c>
      <c r="E405" s="10">
        <v>1</v>
      </c>
      <c r="F405" s="6">
        <v>604</v>
      </c>
      <c r="G405" s="8" t="str">
        <f>VLOOKUP(F405,[1]characters!$A:$C,3,FALSE)</f>
        <v>バルドル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yellow</v>
      </c>
      <c r="K405" s="8" t="str">
        <f>VLOOKUP(F405,[1]characters!$A:$K,11,FALSE)</f>
        <v>heal</v>
      </c>
      <c r="L405" s="8" t="str">
        <f>VLOOKUP(F405,[1]characters!$A:$M,13,FALSE)</f>
        <v>god</v>
      </c>
      <c r="M405" s="16">
        <f>VLOOKUP(D405,gacha_300_base!A:B,2,FALSE)</f>
        <v>7837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3"/>
        <v>3001605</v>
      </c>
      <c r="B406" s="2" t="str">
        <f t="shared" si="32"/>
        <v>3001</v>
      </c>
      <c r="C406" s="8" t="str">
        <f t="shared" si="34"/>
        <v>1PremiumS4</v>
      </c>
      <c r="D406" s="8" t="str">
        <f t="shared" si="31"/>
        <v>1PremiumS4</v>
      </c>
      <c r="E406" s="10">
        <v>1</v>
      </c>
      <c r="F406" s="6">
        <v>605</v>
      </c>
      <c r="G406" s="8" t="str">
        <f>VLOOKUP(F406,[1]characters!$A:$C,3,FALSE)</f>
        <v>祝福される光耀 バルドル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VLOOKUP(D406,gacha_300_base!A:B,2,FALSE)</f>
        <v>6865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3"/>
        <v>3001606</v>
      </c>
      <c r="B407" s="2" t="str">
        <f t="shared" si="32"/>
        <v>3001</v>
      </c>
      <c r="C407" s="8" t="str">
        <f t="shared" si="34"/>
        <v>1PremiumS5</v>
      </c>
      <c r="D407" s="8" t="str">
        <f t="shared" si="31"/>
        <v>1PremiumS5</v>
      </c>
      <c r="E407" s="10">
        <v>1</v>
      </c>
      <c r="F407" s="6">
        <v>606</v>
      </c>
      <c r="G407" s="8" t="str">
        <f>VLOOKUP(F407,[1]characters!$A:$C,3,FALSE)</f>
        <v>冀望の光芒 バルドル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VLOOKUP(D407,gacha_300_base!A:B,2,FALSE)</f>
        <v>972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ref="A408:A417" si="35">B408&amp;F408</f>
        <v>3001658</v>
      </c>
      <c r="B408" s="2" t="str">
        <f t="shared" si="32"/>
        <v>3001</v>
      </c>
      <c r="C408" s="8" t="str">
        <f t="shared" ref="C408:C417" si="36">E408&amp;H408&amp;I408</f>
        <v>1PremiumSS4</v>
      </c>
      <c r="D408" s="8" t="str">
        <f t="shared" si="31"/>
        <v>1PremiumSS4</v>
      </c>
      <c r="E408" s="10">
        <v>1</v>
      </c>
      <c r="F408" s="6">
        <v>658</v>
      </c>
      <c r="G408" s="8" t="str">
        <f>VLOOKUP(F408,[1]characters!$A:$C,3,FALSE)</f>
        <v>猫又 クルミ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attack</v>
      </c>
      <c r="L408" s="8" t="str">
        <f>VLOOKUP(F408,[1]characters!$A:$M,13,FALSE)</f>
        <v>animal</v>
      </c>
      <c r="M408" s="16">
        <f>VLOOKUP(D408,gacha_300_base!A:B,2,FALSE)</f>
        <v>1705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5"/>
        <v>3001659</v>
      </c>
      <c r="B409" s="2" t="str">
        <f t="shared" si="32"/>
        <v>3001</v>
      </c>
      <c r="C409" s="8" t="str">
        <f t="shared" si="36"/>
        <v>1PremiumSS5</v>
      </c>
      <c r="D409" s="8" t="str">
        <f t="shared" si="31"/>
        <v>1PremiumSS5</v>
      </c>
      <c r="E409" s="10">
        <v>1</v>
      </c>
      <c r="F409" s="6">
        <v>659</v>
      </c>
      <c r="G409" s="8" t="str">
        <f>VLOOKUP(F409,[1]characters!$A:$C,3,FALSE)</f>
        <v>跳梁する化猫 クルミ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f>VLOOKUP(D409,gacha_300_base!A:B,2,FALSE)</f>
        <v>113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5"/>
        <v>3001660</v>
      </c>
      <c r="B410" s="2" t="str">
        <f t="shared" si="32"/>
        <v>3001</v>
      </c>
      <c r="C410" s="8" t="str">
        <f t="shared" si="36"/>
        <v>1PremiumSS4</v>
      </c>
      <c r="D410" s="8" t="str">
        <f t="shared" si="31"/>
        <v>1PremiumSS4</v>
      </c>
      <c r="E410" s="10">
        <v>1</v>
      </c>
      <c r="F410" s="6">
        <v>660</v>
      </c>
      <c r="G410" s="8" t="str">
        <f>VLOOKUP(F410,[1]characters!$A:$C,3,FALSE)</f>
        <v>烏天狗 フウガ</v>
      </c>
      <c r="H410" s="8" t="str">
        <f>VLOOKUP(F410,[1]characters!$A:$J,10,FALSE)</f>
        <v>PremiumSS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animal</v>
      </c>
      <c r="M410" s="16">
        <f>VLOOKUP(D410,gacha_300_base!A:B,2,FALSE)</f>
        <v>1705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5"/>
        <v>3001661</v>
      </c>
      <c r="B411" s="2" t="str">
        <f t="shared" si="32"/>
        <v>3001</v>
      </c>
      <c r="C411" s="8" t="str">
        <f t="shared" si="36"/>
        <v>1PremiumSS5</v>
      </c>
      <c r="D411" s="8" t="str">
        <f t="shared" si="31"/>
        <v>1PremiumSS5</v>
      </c>
      <c r="E411" s="10">
        <v>1</v>
      </c>
      <c r="F411" s="6">
        <v>661</v>
      </c>
      <c r="G411" s="8" t="str">
        <f>VLOOKUP(F411,[1]characters!$A:$C,3,FALSE)</f>
        <v>疾風の天狗礫 フウガ</v>
      </c>
      <c r="H411" s="8" t="str">
        <f>VLOOKUP(F411,[1]characters!$A:$J,10,FALSE)</f>
        <v>PremiumSS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VLOOKUP(D411,gacha_300_base!A:B,2,FALSE)</f>
        <v>113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5"/>
        <v>3001662</v>
      </c>
      <c r="B412" s="2" t="str">
        <f t="shared" si="32"/>
        <v>3001</v>
      </c>
      <c r="C412" s="8" t="str">
        <f t="shared" si="36"/>
        <v>1PremiumS3</v>
      </c>
      <c r="D412" s="8" t="str">
        <f t="shared" si="31"/>
        <v>1PremiumS3</v>
      </c>
      <c r="E412" s="10">
        <v>1</v>
      </c>
      <c r="F412" s="6">
        <v>662</v>
      </c>
      <c r="G412" s="8" t="str">
        <f>VLOOKUP(F412,[1]characters!$A:$C,3,FALSE)</f>
        <v>ダイダラ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hp</v>
      </c>
      <c r="L412" s="8" t="str">
        <f>VLOOKUP(F412,[1]characters!$A:$M,13,FALSE)</f>
        <v>unknown</v>
      </c>
      <c r="M412" s="16">
        <f>VLOOKUP(D412,gacha_300_base!A:B,2,FALSE)</f>
        <v>7837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5"/>
        <v>3001663</v>
      </c>
      <c r="B413" s="2" t="str">
        <f t="shared" si="32"/>
        <v>3001</v>
      </c>
      <c r="C413" s="8" t="str">
        <f t="shared" si="36"/>
        <v>1PremiumS4</v>
      </c>
      <c r="D413" s="8" t="str">
        <f t="shared" si="31"/>
        <v>1PremiumS4</v>
      </c>
      <c r="E413" s="10">
        <v>1</v>
      </c>
      <c r="F413" s="6">
        <v>663</v>
      </c>
      <c r="G413" s="8" t="str">
        <f>VLOOKUP(F413,[1]characters!$A:$C,3,FALSE)</f>
        <v>都揺らす地響き ダイダラ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VLOOKUP(D413,gacha_300_base!A:B,2,FALSE)</f>
        <v>6865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5"/>
        <v>3001664</v>
      </c>
      <c r="B414" s="2" t="str">
        <f t="shared" si="32"/>
        <v>3001</v>
      </c>
      <c r="C414" s="8" t="str">
        <f t="shared" si="36"/>
        <v>1PremiumS5</v>
      </c>
      <c r="D414" s="8" t="str">
        <f t="shared" si="31"/>
        <v>1PremiumS5</v>
      </c>
      <c r="E414" s="10">
        <v>1</v>
      </c>
      <c r="F414" s="6">
        <v>664</v>
      </c>
      <c r="G414" s="8" t="str">
        <f>VLOOKUP(F414,[1]characters!$A:$C,3,FALSE)</f>
        <v>山掴み国造り ダイダラ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VLOOKUP(D414,gacha_300_base!A:B,2,FALSE)</f>
        <v>972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5"/>
        <v>3001665</v>
      </c>
      <c r="B415" s="2" t="str">
        <f t="shared" si="32"/>
        <v>3001</v>
      </c>
      <c r="C415" s="8" t="str">
        <f t="shared" si="36"/>
        <v>1PremiumS3</v>
      </c>
      <c r="D415" s="8" t="str">
        <f t="shared" si="31"/>
        <v>1PremiumS3</v>
      </c>
      <c r="E415" s="10">
        <v>1</v>
      </c>
      <c r="F415" s="6">
        <v>665</v>
      </c>
      <c r="G415" s="8" t="str">
        <f>VLOOKUP(F415,[1]characters!$A:$C,3,FALSE)</f>
        <v>座敷童子 テマリ</v>
      </c>
      <c r="H415" s="8" t="str">
        <f>VLOOKUP(F415,[1]characters!$A:$J,10,FALSE)</f>
        <v>PremiumS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unknown</v>
      </c>
      <c r="M415" s="16">
        <f>VLOOKUP(D415,gacha_300_base!A:B,2,FALSE)</f>
        <v>7837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si="35"/>
        <v>3001666</v>
      </c>
      <c r="B416" s="2" t="str">
        <f t="shared" si="32"/>
        <v>3001</v>
      </c>
      <c r="C416" s="8" t="str">
        <f t="shared" si="36"/>
        <v>1PremiumS4</v>
      </c>
      <c r="D416" s="8" t="str">
        <f t="shared" si="31"/>
        <v>1PremiumS4</v>
      </c>
      <c r="E416" s="10">
        <v>1</v>
      </c>
      <c r="F416" s="6">
        <v>666</v>
      </c>
      <c r="G416" s="8" t="str">
        <f>VLOOKUP(F416,[1]characters!$A:$C,3,FALSE)</f>
        <v>拡散する幸福 テマリ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VLOOKUP(D416,gacha_300_base!A:B,2,FALSE)</f>
        <v>6865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5"/>
        <v>3001667</v>
      </c>
      <c r="B417" s="2" t="str">
        <f t="shared" si="32"/>
        <v>3001</v>
      </c>
      <c r="C417" s="8" t="str">
        <f t="shared" si="36"/>
        <v>1PremiumS5</v>
      </c>
      <c r="D417" s="8" t="str">
        <f t="shared" si="31"/>
        <v>1PremiumS5</v>
      </c>
      <c r="E417" s="10">
        <v>1</v>
      </c>
      <c r="F417" s="6">
        <v>667</v>
      </c>
      <c r="G417" s="8" t="str">
        <f>VLOOKUP(F417,[1]characters!$A:$C,3,FALSE)</f>
        <v>最幸運の妖童 テマリ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VLOOKUP(D417,gacha_300_base!A:B,2,FALSE)</f>
        <v>972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</sheetData>
  <autoFilter ref="A1:S407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29" sqref="H29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64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4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4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4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4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4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4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4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4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4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300</v>
      </c>
    </row>
    <row r="5" spans="1:8">
      <c r="A5" s="42" t="s">
        <v>82</v>
      </c>
      <c r="B5" s="43" t="str">
        <f>$A$3 &amp; "1"</f>
        <v>3001</v>
      </c>
      <c r="C5" s="62"/>
      <c r="D5" s="42" t="s">
        <v>85</v>
      </c>
      <c r="E5" s="43" t="str">
        <f>$A$3 &amp; "0"</f>
        <v>3000</v>
      </c>
      <c r="F5" s="62"/>
      <c r="G5" s="42" t="s">
        <v>86</v>
      </c>
      <c r="H5" s="43" t="str">
        <f>$A$3 &amp; "3"</f>
        <v>3003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244</v>
      </c>
      <c r="B16" s="46"/>
      <c r="C16" s="62"/>
      <c r="D16" s="48">
        <f>COUNTIF(gacha_select_tables!$B:$B,E5)</f>
        <v>172</v>
      </c>
      <c r="E16" s="46"/>
      <c r="F16" s="62"/>
      <c r="G16" s="48">
        <f>COUNTIF(gacha_settle_tables!B:B,H5)</f>
        <v>0</v>
      </c>
      <c r="H16" s="46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gacha_300_base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2016-03-03T08:18:03Z</dcterms:modified>
</cp:coreProperties>
</file>